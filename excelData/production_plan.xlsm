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ls341\MBBU_FAB\MB_PD\生管自動化\滴定\production_plan\"/>
    </mc:Choice>
  </mc:AlternateContent>
  <xr:revisionPtr revIDLastSave="0" documentId="8_{15FF28DD-5FA8-4E10-A40D-22FAC260177C}" xr6:coauthVersionLast="47" xr6:coauthVersionMax="47" xr10:uidLastSave="{00000000-0000-0000-0000-000000000000}"/>
  <bookViews>
    <workbookView xWindow="-120" yWindow="-120" windowWidth="29040" windowHeight="15720" tabRatio="818" xr2:uid="{00000000-000D-0000-FFFF-FFFF00000000}"/>
  </bookViews>
  <sheets>
    <sheet name="P_plan Reagent" sheetId="41" r:id="rId1"/>
    <sheet name="P_plan Device" sheetId="40" r:id="rId2"/>
    <sheet name="Hi" sheetId="38" r:id="rId3"/>
    <sheet name="ELISA" sheetId="36" r:id="rId4"/>
    <sheet name="2020 Device AP" sheetId="19" r:id="rId5"/>
    <sheet name="工作表3" sheetId="17" r:id="rId6"/>
    <sheet name="A1C 客戶" sheetId="22" r:id="rId7"/>
    <sheet name="P01 客戶 HB" sheetId="23" r:id="rId8"/>
    <sheet name="P01 客戶  VB" sheetId="32" r:id="rId9"/>
    <sheet name="Vi 客戶" sheetId="33" r:id="rId10"/>
  </sheets>
  <functionGroups builtInGroupCount="19"/>
  <definedNames>
    <definedName name="_xlnm._FilterDatabase" localSheetId="1" hidden="1">'P_plan Device'!$B$2:$D$43</definedName>
    <definedName name="_xlnm._FilterDatabase" localSheetId="0" hidden="1">'P_plan Reagent'!$E$2:$E$121</definedName>
    <definedName name="_xlnm.Print_Area" localSheetId="1">'P_plan Device'!$B$1:$D$43</definedName>
    <definedName name="_xlnm.Print_Area" localSheetId="0">'P_plan Reagent'!$B$1:$E$82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F146" i="41" l="1"/>
  <c r="WX146" i="41"/>
  <c r="WX147" i="41"/>
  <c r="WX148" i="41"/>
  <c r="WP146" i="41"/>
  <c r="WP147" i="41"/>
  <c r="WP148" i="41"/>
  <c r="WG146" i="41"/>
  <c r="WH146" i="41" s="1"/>
  <c r="WG147" i="41"/>
  <c r="WH147" i="41"/>
  <c r="M197" i="41" l="1"/>
  <c r="M198" i="41"/>
  <c r="M199" i="41"/>
  <c r="M200" i="41"/>
  <c r="M201" i="41"/>
  <c r="M202" i="41"/>
  <c r="M203" i="41"/>
  <c r="M204" i="41"/>
  <c r="M205" i="41"/>
  <c r="M206" i="41"/>
  <c r="M207" i="41"/>
  <c r="M208" i="41"/>
  <c r="M209" i="41"/>
  <c r="M210" i="41"/>
  <c r="M211" i="41"/>
  <c r="M212" i="41"/>
  <c r="M213" i="41"/>
  <c r="M214" i="41"/>
  <c r="M215" i="41"/>
  <c r="M216" i="41"/>
  <c r="M217" i="41"/>
  <c r="M218" i="41"/>
  <c r="M219" i="41"/>
  <c r="M220" i="41"/>
  <c r="M221" i="41"/>
  <c r="M222" i="41"/>
  <c r="M223" i="41"/>
  <c r="M224" i="41"/>
  <c r="M225" i="41"/>
  <c r="M226" i="41"/>
  <c r="M227" i="41"/>
  <c r="M228" i="41"/>
  <c r="M229" i="41"/>
  <c r="M230" i="41"/>
  <c r="M231" i="41"/>
  <c r="M232" i="41"/>
  <c r="M233" i="41"/>
  <c r="M234" i="41"/>
  <c r="M235" i="41"/>
  <c r="M236" i="41"/>
  <c r="M237" i="41"/>
  <c r="M238" i="41"/>
  <c r="M239" i="41"/>
  <c r="VY145" i="41"/>
  <c r="VY146" i="41"/>
  <c r="VY147" i="41"/>
  <c r="VY148" i="41"/>
  <c r="VY149" i="41"/>
  <c r="VY150" i="41"/>
  <c r="VQ144" i="41"/>
  <c r="VQ145" i="41"/>
  <c r="VQ146" i="41"/>
  <c r="VQ147" i="41"/>
  <c r="VQ148" i="41"/>
  <c r="VQ149" i="41"/>
  <c r="VI145" i="41"/>
  <c r="VI146" i="41"/>
  <c r="VI147" i="41"/>
  <c r="VI148" i="41"/>
  <c r="YU3" i="41" l="1"/>
  <c r="YU4" i="41"/>
  <c r="YU5" i="41"/>
  <c r="YU6" i="41"/>
  <c r="YU7" i="41"/>
  <c r="YU8" i="41"/>
  <c r="YU9" i="41"/>
  <c r="YU10" i="41"/>
  <c r="YU11" i="41"/>
  <c r="YU12" i="41"/>
  <c r="YU13" i="41"/>
  <c r="YU14" i="41"/>
  <c r="YU15" i="41"/>
  <c r="YU16" i="41"/>
  <c r="YU17" i="41"/>
  <c r="YU18" i="41"/>
  <c r="YU19" i="41"/>
  <c r="YU20" i="41"/>
  <c r="YU21" i="41"/>
  <c r="YU22" i="41"/>
  <c r="YU23" i="41"/>
  <c r="YU24" i="41"/>
  <c r="YU25" i="41"/>
  <c r="YU26" i="41"/>
  <c r="YU27" i="41"/>
  <c r="YU28" i="41"/>
  <c r="YU29" i="41"/>
  <c r="YU30" i="41"/>
  <c r="YU31" i="41"/>
  <c r="YU32" i="41"/>
  <c r="YU33" i="41"/>
  <c r="YU34" i="41"/>
  <c r="YU35" i="41"/>
  <c r="YU36" i="41"/>
  <c r="YU37" i="41"/>
  <c r="YU38" i="41"/>
  <c r="YU39" i="41"/>
  <c r="YU40" i="41"/>
  <c r="YU41" i="41"/>
  <c r="YU42" i="41"/>
  <c r="YU43" i="41"/>
  <c r="YU44" i="41"/>
  <c r="YU45" i="41"/>
  <c r="YU46" i="41"/>
  <c r="YU47" i="41"/>
  <c r="YU48" i="41"/>
  <c r="YU49" i="41"/>
  <c r="YU50" i="41"/>
  <c r="YU51" i="41"/>
  <c r="YU52" i="41"/>
  <c r="YU53" i="41"/>
  <c r="YU54" i="41"/>
  <c r="YU55" i="41"/>
  <c r="YU56" i="41"/>
  <c r="YU57" i="41"/>
  <c r="YU58" i="41"/>
  <c r="YU59" i="41"/>
  <c r="YU60" i="41"/>
  <c r="YU61" i="41"/>
  <c r="YU62" i="41"/>
  <c r="YU63" i="41"/>
  <c r="YU64" i="41"/>
  <c r="YU65" i="41"/>
  <c r="YU66" i="41"/>
  <c r="YU67" i="41"/>
  <c r="YU68" i="41"/>
  <c r="YU69" i="41"/>
  <c r="YU70" i="41"/>
  <c r="YU71" i="41"/>
  <c r="YU72" i="41"/>
  <c r="YU73" i="41"/>
  <c r="YU74" i="41"/>
  <c r="YU75" i="41"/>
  <c r="YU76" i="41"/>
  <c r="YU77" i="41"/>
  <c r="YU78" i="41"/>
  <c r="YU79" i="41"/>
  <c r="YU80" i="41"/>
  <c r="VQ47" i="41" l="1"/>
  <c r="VQ48" i="41"/>
  <c r="VQ46" i="41"/>
  <c r="VQ59" i="41"/>
  <c r="VQ60" i="41"/>
  <c r="VQ61" i="41"/>
  <c r="VQ62" i="41"/>
  <c r="VQ63" i="41"/>
  <c r="VQ64" i="41"/>
  <c r="VQ65" i="41"/>
  <c r="VQ66" i="41"/>
  <c r="VQ67" i="41"/>
  <c r="VQ68" i="41"/>
  <c r="VQ69" i="41"/>
  <c r="VQ70" i="41"/>
  <c r="VQ71" i="41"/>
  <c r="VQ72" i="41"/>
  <c r="VQ73" i="41"/>
  <c r="VQ74" i="41"/>
  <c r="VQ75" i="41"/>
  <c r="VQ76" i="41"/>
  <c r="VQ77" i="41"/>
  <c r="VQ78" i="41"/>
  <c r="VQ79" i="41"/>
  <c r="VQ80" i="41"/>
  <c r="VQ81" i="41"/>
  <c r="OA197" i="41" l="1"/>
  <c r="OB197" i="41" s="1"/>
  <c r="OJ197" i="41"/>
  <c r="PQ197" i="41" s="1"/>
  <c r="OR197" i="41"/>
  <c r="OA198" i="41"/>
  <c r="OB198" i="41"/>
  <c r="OJ198" i="41"/>
  <c r="OR198" i="41"/>
  <c r="OA199" i="41"/>
  <c r="OB199" i="41"/>
  <c r="OJ199" i="41"/>
  <c r="PQ199" i="41" s="1"/>
  <c r="OR199" i="41"/>
  <c r="OA200" i="41"/>
  <c r="OB200" i="41" s="1"/>
  <c r="OJ200" i="41"/>
  <c r="OR200" i="41"/>
  <c r="OA201" i="41"/>
  <c r="OB201" i="41"/>
  <c r="OJ201" i="41"/>
  <c r="OR201" i="41"/>
  <c r="OA202" i="41"/>
  <c r="OB202" i="41"/>
  <c r="OJ202" i="41"/>
  <c r="OR202" i="41"/>
  <c r="OA203" i="41"/>
  <c r="OB203" i="41" s="1"/>
  <c r="OJ203" i="41"/>
  <c r="OR203" i="41"/>
  <c r="OA204" i="41"/>
  <c r="OB204" i="41" s="1"/>
  <c r="OJ204" i="41"/>
  <c r="OR204" i="41"/>
  <c r="OA205" i="41"/>
  <c r="OB205" i="41" s="1"/>
  <c r="OJ205" i="41"/>
  <c r="OR205" i="41"/>
  <c r="OA206" i="41"/>
  <c r="OB206" i="41"/>
  <c r="OJ206" i="41"/>
  <c r="OR206" i="41"/>
  <c r="OA207" i="41"/>
  <c r="OB207" i="41"/>
  <c r="OJ207" i="41"/>
  <c r="OR207" i="41"/>
  <c r="OZ197" i="41"/>
  <c r="PH197" i="41"/>
  <c r="OZ198" i="41"/>
  <c r="PH198" i="41"/>
  <c r="OZ199" i="41"/>
  <c r="PH199" i="41"/>
  <c r="OZ200" i="41"/>
  <c r="PH200" i="41"/>
  <c r="OZ201" i="41"/>
  <c r="PH201" i="41"/>
  <c r="OZ202" i="41"/>
  <c r="PH202" i="41"/>
  <c r="OZ203" i="41"/>
  <c r="PH203" i="41"/>
  <c r="OZ204" i="41"/>
  <c r="PH204" i="41"/>
  <c r="OZ205" i="41"/>
  <c r="PH205" i="41"/>
  <c r="OZ206" i="41"/>
  <c r="PH206" i="41"/>
  <c r="OZ207" i="41"/>
  <c r="PH207" i="41"/>
  <c r="PP197" i="41"/>
  <c r="PP198" i="41"/>
  <c r="PP199" i="41"/>
  <c r="PP200" i="41"/>
  <c r="PP201" i="41"/>
  <c r="PP202" i="41"/>
  <c r="PP203" i="41"/>
  <c r="PY197" i="41"/>
  <c r="PY198" i="41"/>
  <c r="PY199" i="41"/>
  <c r="PY200" i="41"/>
  <c r="PY201" i="41"/>
  <c r="QG197" i="41"/>
  <c r="QO197" i="41"/>
  <c r="QX197" i="41" s="1"/>
  <c r="QG198" i="41"/>
  <c r="QO198" i="41"/>
  <c r="QG199" i="41"/>
  <c r="QO199" i="41"/>
  <c r="QG200" i="41"/>
  <c r="QO200" i="41"/>
  <c r="QW197" i="41"/>
  <c r="QW198" i="41"/>
  <c r="QW199" i="41"/>
  <c r="QW200" i="41"/>
  <c r="QX200" i="41" s="1"/>
  <c r="RF197" i="41"/>
  <c r="RF198" i="41"/>
  <c r="RF199" i="41"/>
  <c r="RF200" i="41"/>
  <c r="SE200" i="41" s="1"/>
  <c r="RF201" i="41"/>
  <c r="RN197" i="41"/>
  <c r="RV197" i="41"/>
  <c r="RN198" i="41"/>
  <c r="RV198" i="41"/>
  <c r="RN199" i="41"/>
  <c r="RV199" i="41"/>
  <c r="RN200" i="41"/>
  <c r="RV200" i="41"/>
  <c r="RN201" i="41"/>
  <c r="RV201" i="41"/>
  <c r="SD197" i="41"/>
  <c r="SD198" i="41"/>
  <c r="SD199" i="41"/>
  <c r="SD200" i="41"/>
  <c r="SD201" i="41"/>
  <c r="SM197" i="41"/>
  <c r="SM198" i="41"/>
  <c r="SM199" i="41"/>
  <c r="SM200" i="41"/>
  <c r="SM201" i="41"/>
  <c r="SU197" i="41"/>
  <c r="SU198" i="41"/>
  <c r="SU199" i="41"/>
  <c r="TT199" i="41" s="1"/>
  <c r="SU200" i="41"/>
  <c r="SU201" i="41"/>
  <c r="TC197" i="41"/>
  <c r="TC198" i="41"/>
  <c r="TC199" i="41"/>
  <c r="TC200" i="41"/>
  <c r="TC201" i="41"/>
  <c r="TC202" i="41"/>
  <c r="TK197" i="41"/>
  <c r="TK198" i="41"/>
  <c r="TK199" i="41"/>
  <c r="TK200" i="41"/>
  <c r="TK201" i="41"/>
  <c r="TS197" i="41"/>
  <c r="TS198" i="41"/>
  <c r="TS199" i="41"/>
  <c r="UB197" i="41"/>
  <c r="UB198" i="41"/>
  <c r="UB199" i="41"/>
  <c r="UB200" i="41"/>
  <c r="UB201" i="41"/>
  <c r="UJ197" i="41"/>
  <c r="UJ198" i="41"/>
  <c r="UJ199" i="41"/>
  <c r="UJ200" i="41"/>
  <c r="VI195" i="41"/>
  <c r="VI196" i="41"/>
  <c r="VI197" i="41"/>
  <c r="VI198" i="41"/>
  <c r="VI199" i="41"/>
  <c r="VI200" i="41"/>
  <c r="VI201" i="41"/>
  <c r="VI202" i="41"/>
  <c r="VI203" i="41"/>
  <c r="VI204" i="41"/>
  <c r="VI205" i="41"/>
  <c r="VI206" i="41"/>
  <c r="VI207" i="41"/>
  <c r="VI208" i="41"/>
  <c r="VI209" i="41"/>
  <c r="VI210" i="41"/>
  <c r="VI211" i="41"/>
  <c r="VI212" i="41"/>
  <c r="VI213" i="41"/>
  <c r="VI214" i="41"/>
  <c r="VI215" i="41"/>
  <c r="VI216" i="41"/>
  <c r="VI217" i="41"/>
  <c r="VI218" i="41"/>
  <c r="VI219" i="41"/>
  <c r="VI220" i="41"/>
  <c r="VI221" i="41"/>
  <c r="VI222" i="41"/>
  <c r="VI223" i="41"/>
  <c r="VI224" i="41"/>
  <c r="VI225" i="41"/>
  <c r="VI226" i="41"/>
  <c r="VI227" i="41"/>
  <c r="VI228" i="41"/>
  <c r="VI229" i="41"/>
  <c r="VI230" i="41"/>
  <c r="VI231" i="41"/>
  <c r="VI232" i="41"/>
  <c r="VI233" i="41"/>
  <c r="VI234" i="41"/>
  <c r="VI235" i="41"/>
  <c r="VI236" i="41"/>
  <c r="VI237" i="41"/>
  <c r="VI238" i="41"/>
  <c r="VI239" i="41"/>
  <c r="VI240" i="41"/>
  <c r="VI241" i="41"/>
  <c r="VI242" i="41"/>
  <c r="VI243" i="41"/>
  <c r="VQ195" i="41"/>
  <c r="VQ196" i="41"/>
  <c r="VQ197" i="41"/>
  <c r="VQ198" i="41"/>
  <c r="VQ199" i="41"/>
  <c r="VQ200" i="41"/>
  <c r="VQ201" i="41"/>
  <c r="VQ202" i="41"/>
  <c r="VQ203" i="41"/>
  <c r="VQ204" i="41"/>
  <c r="VQ205" i="41"/>
  <c r="VQ206" i="41"/>
  <c r="VQ207" i="41"/>
  <c r="VQ208" i="41"/>
  <c r="VQ209" i="41"/>
  <c r="VQ210" i="41"/>
  <c r="VQ211" i="41"/>
  <c r="VQ212" i="41"/>
  <c r="VQ213" i="41"/>
  <c r="VQ214" i="41"/>
  <c r="VQ215" i="41"/>
  <c r="VQ216" i="41"/>
  <c r="VQ217" i="41"/>
  <c r="VQ218" i="41"/>
  <c r="VQ219" i="41"/>
  <c r="VQ220" i="41"/>
  <c r="VQ221" i="41"/>
  <c r="VQ222" i="41"/>
  <c r="VQ223" i="41"/>
  <c r="VQ224" i="41"/>
  <c r="VQ225" i="41"/>
  <c r="VQ226" i="41"/>
  <c r="VQ227" i="41"/>
  <c r="VQ228" i="41"/>
  <c r="VQ229" i="41"/>
  <c r="VQ230" i="41"/>
  <c r="VQ231" i="41"/>
  <c r="VQ232" i="41"/>
  <c r="VQ233" i="41"/>
  <c r="VQ234" i="41"/>
  <c r="VQ235" i="41"/>
  <c r="VQ236" i="41"/>
  <c r="VQ237" i="41"/>
  <c r="VQ238" i="41"/>
  <c r="VQ239" i="41"/>
  <c r="VQ240" i="41"/>
  <c r="VQ241" i="41"/>
  <c r="VQ242" i="41"/>
  <c r="VQ243" i="41"/>
  <c r="VY195" i="41"/>
  <c r="VY196" i="41"/>
  <c r="VY197" i="41"/>
  <c r="VY198" i="41"/>
  <c r="VY199" i="41"/>
  <c r="VY200" i="41"/>
  <c r="VY201" i="41"/>
  <c r="VY202" i="41"/>
  <c r="VY203" i="41"/>
  <c r="VY204" i="41"/>
  <c r="VY205" i="41"/>
  <c r="VY206" i="41"/>
  <c r="VY207" i="41"/>
  <c r="VY208" i="41"/>
  <c r="VY209" i="41"/>
  <c r="VY210" i="41"/>
  <c r="VY211" i="41"/>
  <c r="VY212" i="41"/>
  <c r="VY213" i="41"/>
  <c r="VY214" i="41"/>
  <c r="VY215" i="41"/>
  <c r="VY216" i="41"/>
  <c r="VY217" i="41"/>
  <c r="VY218" i="41"/>
  <c r="VY219" i="41"/>
  <c r="VY220" i="41"/>
  <c r="VY221" i="41"/>
  <c r="VY222" i="41"/>
  <c r="VY223" i="41"/>
  <c r="VY224" i="41"/>
  <c r="VY225" i="41"/>
  <c r="VY226" i="41"/>
  <c r="VY227" i="41"/>
  <c r="VY228" i="41"/>
  <c r="VY229" i="41"/>
  <c r="VY230" i="41"/>
  <c r="VY231" i="41"/>
  <c r="VY232" i="41"/>
  <c r="VY233" i="41"/>
  <c r="VY234" i="41"/>
  <c r="VY235" i="41"/>
  <c r="VY236" i="41"/>
  <c r="VY237" i="41"/>
  <c r="VY238" i="41"/>
  <c r="VY239" i="41"/>
  <c r="VY240" i="41"/>
  <c r="VY241" i="41"/>
  <c r="VY242" i="41"/>
  <c r="VY243" i="41"/>
  <c r="WG194" i="41"/>
  <c r="WG195" i="41"/>
  <c r="WG196" i="41"/>
  <c r="WG197" i="41"/>
  <c r="WG198" i="41"/>
  <c r="WG199" i="41"/>
  <c r="WG200" i="41"/>
  <c r="WG201" i="41"/>
  <c r="WG202" i="41"/>
  <c r="WG203" i="41"/>
  <c r="WG204" i="41"/>
  <c r="WG205" i="41"/>
  <c r="WG206" i="41"/>
  <c r="WG207" i="41"/>
  <c r="WG208" i="41"/>
  <c r="WG209" i="41"/>
  <c r="WG210" i="41"/>
  <c r="WG211" i="41"/>
  <c r="WG212" i="41"/>
  <c r="WG213" i="41"/>
  <c r="WG214" i="41"/>
  <c r="WG215" i="41"/>
  <c r="WG216" i="41"/>
  <c r="WG217" i="41"/>
  <c r="WG218" i="41"/>
  <c r="WG219" i="41"/>
  <c r="WG220" i="41"/>
  <c r="WG221" i="41"/>
  <c r="WG222" i="41"/>
  <c r="WG223" i="41"/>
  <c r="WG224" i="41"/>
  <c r="WG225" i="41"/>
  <c r="WG226" i="41"/>
  <c r="WG227" i="41"/>
  <c r="WG228" i="41"/>
  <c r="WG229" i="41"/>
  <c r="WG230" i="41"/>
  <c r="WG231" i="41"/>
  <c r="WG232" i="41"/>
  <c r="WG233" i="41"/>
  <c r="WG234" i="41"/>
  <c r="WG235" i="41"/>
  <c r="WG236" i="41"/>
  <c r="WG237" i="41"/>
  <c r="WG238" i="41"/>
  <c r="WG239" i="41"/>
  <c r="WG240" i="41"/>
  <c r="WG241" i="41"/>
  <c r="WG242" i="41"/>
  <c r="US244" i="41"/>
  <c r="UT244" i="41"/>
  <c r="UU244" i="41"/>
  <c r="UV244" i="41"/>
  <c r="UW244" i="41"/>
  <c r="UX244" i="41"/>
  <c r="UY244" i="41"/>
  <c r="VB244" i="41"/>
  <c r="VC244" i="41"/>
  <c r="VD244" i="41"/>
  <c r="VE244" i="41"/>
  <c r="VF244" i="41"/>
  <c r="VG244" i="41"/>
  <c r="VH244" i="41"/>
  <c r="VJ244" i="41"/>
  <c r="VK244" i="41"/>
  <c r="VL244" i="41"/>
  <c r="VM244" i="41"/>
  <c r="VN244" i="41"/>
  <c r="VO244" i="41"/>
  <c r="VP244" i="41"/>
  <c r="VR244" i="41"/>
  <c r="VS244" i="41"/>
  <c r="VT244" i="41"/>
  <c r="VU244" i="41"/>
  <c r="VV244" i="41"/>
  <c r="VW244" i="41"/>
  <c r="VX244" i="41"/>
  <c r="VZ244" i="41"/>
  <c r="WA244" i="41"/>
  <c r="WB244" i="41"/>
  <c r="WC244" i="41"/>
  <c r="WD244" i="41"/>
  <c r="WE244" i="41"/>
  <c r="WF244" i="41"/>
  <c r="WI244" i="41"/>
  <c r="WJ244" i="41"/>
  <c r="WK244" i="41"/>
  <c r="WL244" i="41"/>
  <c r="WM244" i="41"/>
  <c r="WN244" i="41"/>
  <c r="WO244" i="41"/>
  <c r="WQ244" i="41"/>
  <c r="WR244" i="41"/>
  <c r="WS244" i="41"/>
  <c r="WT244" i="41"/>
  <c r="WU244" i="41"/>
  <c r="WV244" i="41"/>
  <c r="WW244" i="41"/>
  <c r="WY244" i="41"/>
  <c r="WZ244" i="41"/>
  <c r="XA244" i="41"/>
  <c r="XB244" i="41"/>
  <c r="XC244" i="41"/>
  <c r="XD244" i="41"/>
  <c r="XE244" i="41"/>
  <c r="XG244" i="41"/>
  <c r="XH244" i="41"/>
  <c r="XI244" i="41"/>
  <c r="XJ244" i="41"/>
  <c r="XK244" i="41"/>
  <c r="XL244" i="41"/>
  <c r="XM244" i="41"/>
  <c r="XO244" i="41"/>
  <c r="XP244" i="41"/>
  <c r="XQ244" i="41"/>
  <c r="XR244" i="41"/>
  <c r="XS244" i="41"/>
  <c r="XT244" i="41"/>
  <c r="XU244" i="41"/>
  <c r="XX244" i="41"/>
  <c r="XY244" i="41"/>
  <c r="XZ244" i="41"/>
  <c r="YA244" i="41"/>
  <c r="YB244" i="41"/>
  <c r="YC244" i="41"/>
  <c r="YD244" i="41"/>
  <c r="YF244" i="41"/>
  <c r="YG244" i="41"/>
  <c r="YH244" i="41"/>
  <c r="YI244" i="41"/>
  <c r="YJ244" i="41"/>
  <c r="YK244" i="41"/>
  <c r="YL244" i="41"/>
  <c r="YN244" i="41"/>
  <c r="YO244" i="41"/>
  <c r="YP244" i="41"/>
  <c r="YQ244" i="41"/>
  <c r="YR244" i="41"/>
  <c r="YS244" i="41"/>
  <c r="YT244" i="41"/>
  <c r="YV244" i="41"/>
  <c r="YW244" i="41"/>
  <c r="YX244" i="41"/>
  <c r="YY244" i="41"/>
  <c r="YZ244" i="41"/>
  <c r="ZA244" i="41"/>
  <c r="ZB244" i="41"/>
  <c r="ZE244" i="41"/>
  <c r="ZF244" i="41"/>
  <c r="ZG244" i="41"/>
  <c r="ZH244" i="41"/>
  <c r="ZI244" i="41"/>
  <c r="ZJ244" i="41"/>
  <c r="ZK244" i="41"/>
  <c r="ZM244" i="41"/>
  <c r="ZN244" i="41"/>
  <c r="ZO244" i="41"/>
  <c r="ZP244" i="41"/>
  <c r="ZQ244" i="41"/>
  <c r="ZR244" i="41"/>
  <c r="ZS244" i="41"/>
  <c r="ZU244" i="41"/>
  <c r="ZV244" i="41"/>
  <c r="ZW244" i="41"/>
  <c r="ZX244" i="41"/>
  <c r="ZY244" i="41"/>
  <c r="ZZ244" i="41"/>
  <c r="AAA244" i="41"/>
  <c r="AAC244" i="41"/>
  <c r="AAD244" i="41"/>
  <c r="AAE244" i="41"/>
  <c r="AAF244" i="41"/>
  <c r="AAG244" i="41"/>
  <c r="AAH244" i="41"/>
  <c r="AAI244" i="41"/>
  <c r="AAK244" i="41"/>
  <c r="AAL244" i="41"/>
  <c r="AAM244" i="41"/>
  <c r="AAN244" i="41"/>
  <c r="AAO244" i="41"/>
  <c r="AAP244" i="41"/>
  <c r="AAQ244" i="41"/>
  <c r="VB82" i="41"/>
  <c r="VC82" i="41"/>
  <c r="VD82" i="41"/>
  <c r="VE82" i="41"/>
  <c r="VF82" i="41"/>
  <c r="VG82" i="41"/>
  <c r="VH82" i="41"/>
  <c r="VJ82" i="41"/>
  <c r="VK82" i="41"/>
  <c r="VL82" i="41"/>
  <c r="VM82" i="41"/>
  <c r="VN82" i="41"/>
  <c r="VO82" i="41"/>
  <c r="VP82" i="41"/>
  <c r="VR82" i="41"/>
  <c r="VS82" i="41"/>
  <c r="VT82" i="41"/>
  <c r="VU82" i="41"/>
  <c r="VV82" i="41"/>
  <c r="VW82" i="41"/>
  <c r="VX82" i="41"/>
  <c r="VZ82" i="41"/>
  <c r="WA82" i="41"/>
  <c r="WB82" i="41"/>
  <c r="WC82" i="41"/>
  <c r="WD82" i="41"/>
  <c r="WE82" i="41"/>
  <c r="WF82" i="41"/>
  <c r="WI82" i="41"/>
  <c r="WJ82" i="41"/>
  <c r="WK82" i="41"/>
  <c r="WL82" i="41"/>
  <c r="WM82" i="41"/>
  <c r="WN82" i="41"/>
  <c r="WO82" i="41"/>
  <c r="WQ82" i="41"/>
  <c r="WR82" i="41"/>
  <c r="WS82" i="41"/>
  <c r="WT82" i="41"/>
  <c r="WU82" i="41"/>
  <c r="WV82" i="41"/>
  <c r="WW82" i="41"/>
  <c r="WY82" i="41"/>
  <c r="WZ82" i="41"/>
  <c r="XA82" i="41"/>
  <c r="XB82" i="41"/>
  <c r="XC82" i="41"/>
  <c r="XD82" i="41"/>
  <c r="XE82" i="41"/>
  <c r="XG82" i="41"/>
  <c r="XH82" i="41"/>
  <c r="XI82" i="41"/>
  <c r="XJ82" i="41"/>
  <c r="XK82" i="41"/>
  <c r="XL82" i="41"/>
  <c r="XM82" i="41"/>
  <c r="XO82" i="41"/>
  <c r="XP82" i="41"/>
  <c r="XQ82" i="41"/>
  <c r="XR82" i="41"/>
  <c r="XS82" i="41"/>
  <c r="XT82" i="41"/>
  <c r="XU82" i="41"/>
  <c r="XX82" i="41"/>
  <c r="XY82" i="41"/>
  <c r="XZ82" i="41"/>
  <c r="YA82" i="41"/>
  <c r="YB82" i="41"/>
  <c r="YC82" i="41"/>
  <c r="YD82" i="41"/>
  <c r="YF82" i="41"/>
  <c r="YG82" i="41"/>
  <c r="YH82" i="41"/>
  <c r="YI82" i="41"/>
  <c r="YJ82" i="41"/>
  <c r="YK82" i="41"/>
  <c r="YL82" i="41"/>
  <c r="YN82" i="41"/>
  <c r="YO82" i="41"/>
  <c r="YP82" i="41"/>
  <c r="YQ82" i="41"/>
  <c r="YR82" i="41"/>
  <c r="YS82" i="41"/>
  <c r="YT82" i="41"/>
  <c r="YV82" i="41"/>
  <c r="YW82" i="41"/>
  <c r="YX82" i="41"/>
  <c r="YY82" i="41"/>
  <c r="YZ82" i="41"/>
  <c r="ZA82" i="41"/>
  <c r="ZB82" i="41"/>
  <c r="ZE82" i="41"/>
  <c r="ZF82" i="41"/>
  <c r="ZG82" i="41"/>
  <c r="ZH82" i="41"/>
  <c r="ZI82" i="41"/>
  <c r="ZJ82" i="41"/>
  <c r="ZK82" i="41"/>
  <c r="ZM82" i="41"/>
  <c r="ZN82" i="41"/>
  <c r="ZO82" i="41"/>
  <c r="ZP82" i="41"/>
  <c r="ZQ82" i="41"/>
  <c r="ZR82" i="41"/>
  <c r="ZS82" i="41"/>
  <c r="ZU82" i="41"/>
  <c r="ZV82" i="41"/>
  <c r="ZW82" i="41"/>
  <c r="ZX82" i="41"/>
  <c r="ZY82" i="41"/>
  <c r="ZZ82" i="41"/>
  <c r="AAA82" i="41"/>
  <c r="AAC82" i="41"/>
  <c r="AAD82" i="41"/>
  <c r="AAE82" i="41"/>
  <c r="AAF82" i="41"/>
  <c r="AAG82" i="41"/>
  <c r="AAH82" i="41"/>
  <c r="AAI82" i="41"/>
  <c r="AAK82" i="41"/>
  <c r="AAL82" i="41"/>
  <c r="AAM82" i="41"/>
  <c r="AAN82" i="41"/>
  <c r="AAO82" i="41"/>
  <c r="AAP82" i="41"/>
  <c r="AAQ82" i="41"/>
  <c r="WH231" i="41" l="1"/>
  <c r="WH232" i="41"/>
  <c r="WH216" i="41"/>
  <c r="WH215" i="41"/>
  <c r="WH234" i="41"/>
  <c r="QX198" i="41"/>
  <c r="WH233" i="41"/>
  <c r="PQ201" i="41"/>
  <c r="PQ198" i="41"/>
  <c r="PQ202" i="41"/>
  <c r="WH236" i="41"/>
  <c r="WH235" i="41"/>
  <c r="TT198" i="41"/>
  <c r="WH213" i="41"/>
  <c r="WH195" i="41"/>
  <c r="WH214" i="41"/>
  <c r="WH199" i="41"/>
  <c r="WH197" i="41"/>
  <c r="TT197" i="41"/>
  <c r="PQ200" i="41"/>
  <c r="WH196" i="41"/>
  <c r="SE198" i="41"/>
  <c r="SE199" i="41"/>
  <c r="QX199" i="41"/>
  <c r="PQ203" i="41"/>
  <c r="SE201" i="41"/>
  <c r="WH217" i="41"/>
  <c r="SE197" i="41"/>
  <c r="WH237" i="41"/>
  <c r="WH230" i="41"/>
  <c r="WH212" i="41"/>
  <c r="WH219" i="41"/>
  <c r="WH218" i="41"/>
  <c r="WH211" i="41"/>
  <c r="WH227" i="41"/>
  <c r="WH206" i="41"/>
  <c r="WH205" i="41"/>
  <c r="WH204" i="41"/>
  <c r="WH239" i="41"/>
  <c r="WH221" i="41"/>
  <c r="WH209" i="41"/>
  <c r="WH242" i="41"/>
  <c r="WH223" i="41"/>
  <c r="WH240" i="41"/>
  <c r="WH220" i="41"/>
  <c r="WH228" i="41"/>
  <c r="WH226" i="41"/>
  <c r="WH225" i="41"/>
  <c r="WH224" i="41"/>
  <c r="WH238" i="41"/>
  <c r="WH201" i="41"/>
  <c r="WH229" i="41"/>
  <c r="WH210" i="41"/>
  <c r="WH207" i="41"/>
  <c r="WH241" i="41"/>
  <c r="WH222" i="41"/>
  <c r="WH202" i="41"/>
  <c r="WH200" i="41"/>
  <c r="WP4" i="41"/>
  <c r="WP5" i="41"/>
  <c r="WP6" i="41"/>
  <c r="WP7" i="41"/>
  <c r="WP8" i="41"/>
  <c r="WP9" i="41"/>
  <c r="WP10" i="41"/>
  <c r="WP11" i="41"/>
  <c r="WP12" i="41"/>
  <c r="WP13" i="41"/>
  <c r="WP14" i="41"/>
  <c r="WP15" i="41"/>
  <c r="WP16" i="41"/>
  <c r="WP17" i="41"/>
  <c r="WP18" i="41"/>
  <c r="WP19" i="41"/>
  <c r="WP20" i="41"/>
  <c r="WP21" i="41"/>
  <c r="WP22" i="41"/>
  <c r="WP23" i="41"/>
  <c r="WP24" i="41"/>
  <c r="WP25" i="41"/>
  <c r="WP26" i="41"/>
  <c r="WP27" i="41"/>
  <c r="WP28" i="41"/>
  <c r="WP29" i="41"/>
  <c r="WP30" i="41"/>
  <c r="WP31" i="41"/>
  <c r="WP32" i="41"/>
  <c r="WP33" i="41"/>
  <c r="WP34" i="41"/>
  <c r="WP35" i="41"/>
  <c r="WP36" i="41"/>
  <c r="WP37" i="41"/>
  <c r="WP38" i="41"/>
  <c r="WP39" i="41"/>
  <c r="WP40" i="41"/>
  <c r="WP41" i="41"/>
  <c r="WP42" i="41"/>
  <c r="WP43" i="41"/>
  <c r="WP44" i="41"/>
  <c r="WP45" i="41"/>
  <c r="WP46" i="41"/>
  <c r="WP47" i="41"/>
  <c r="WP48" i="41"/>
  <c r="WP49" i="41"/>
  <c r="WP50" i="41"/>
  <c r="WP51" i="41"/>
  <c r="WP52" i="41"/>
  <c r="WP53" i="41"/>
  <c r="WP54" i="41"/>
  <c r="WP55" i="41"/>
  <c r="WP56" i="41"/>
  <c r="WP57" i="41"/>
  <c r="WP58" i="41"/>
  <c r="WP59" i="41"/>
  <c r="WP60" i="41"/>
  <c r="WP61" i="41"/>
  <c r="WP62" i="41"/>
  <c r="WP63" i="41"/>
  <c r="WP64" i="41"/>
  <c r="WP65" i="41"/>
  <c r="WP66" i="41"/>
  <c r="WP67" i="41"/>
  <c r="WP68" i="41"/>
  <c r="WP69" i="41"/>
  <c r="WP70" i="41"/>
  <c r="WP71" i="41"/>
  <c r="WP72" i="41"/>
  <c r="WP73" i="41"/>
  <c r="WP74" i="41"/>
  <c r="WP75" i="41"/>
  <c r="WP76" i="41"/>
  <c r="WP77" i="41"/>
  <c r="WP78" i="41"/>
  <c r="WP79" i="41"/>
  <c r="WP80" i="41"/>
  <c r="WP81" i="41"/>
  <c r="WP3" i="41"/>
  <c r="WP82" i="41" l="1"/>
  <c r="UZ146" i="41"/>
  <c r="VA146" i="41"/>
  <c r="UC82" i="41" l="1"/>
  <c r="UR195" i="41" l="1"/>
  <c r="UR196" i="41"/>
  <c r="UR197" i="41"/>
  <c r="UR198" i="41"/>
  <c r="UR199" i="41"/>
  <c r="UR200" i="41"/>
  <c r="UR201" i="41"/>
  <c r="UR202" i="41"/>
  <c r="UR203" i="41"/>
  <c r="UR204" i="41"/>
  <c r="UR205" i="41"/>
  <c r="UR206" i="41"/>
  <c r="UR207" i="41"/>
  <c r="UR208" i="41"/>
  <c r="UZ208" i="41" s="1"/>
  <c r="UR209" i="41"/>
  <c r="UR210" i="41"/>
  <c r="UR211" i="41"/>
  <c r="UR212" i="41"/>
  <c r="UR213" i="41"/>
  <c r="UR214" i="41"/>
  <c r="UR215" i="41"/>
  <c r="UR216" i="41"/>
  <c r="UR217" i="41"/>
  <c r="UR218" i="41"/>
  <c r="UR219" i="41"/>
  <c r="UR220" i="41"/>
  <c r="UR221" i="41"/>
  <c r="UR222" i="41"/>
  <c r="UR223" i="41"/>
  <c r="UR224" i="41"/>
  <c r="UR225" i="41"/>
  <c r="UR226" i="41"/>
  <c r="UR227" i="41"/>
  <c r="UR228" i="41"/>
  <c r="UR229" i="41"/>
  <c r="UR230" i="41"/>
  <c r="UZ230" i="41" s="1"/>
  <c r="UR231" i="41"/>
  <c r="UR232" i="41"/>
  <c r="UR233" i="41"/>
  <c r="UR234" i="41"/>
  <c r="UR235" i="41"/>
  <c r="UR236" i="41"/>
  <c r="UR237" i="41"/>
  <c r="UR238" i="41"/>
  <c r="UR239" i="41"/>
  <c r="UR240" i="41"/>
  <c r="UR241" i="41"/>
  <c r="VA241" i="41" s="1"/>
  <c r="UR242" i="41"/>
  <c r="UR243" i="41"/>
  <c r="UJ195" i="41"/>
  <c r="UJ196" i="41"/>
  <c r="UJ201" i="41"/>
  <c r="UJ202" i="41"/>
  <c r="UJ203" i="41"/>
  <c r="UJ204" i="41"/>
  <c r="UJ205" i="41"/>
  <c r="UJ206" i="41"/>
  <c r="UJ207" i="41"/>
  <c r="UJ208" i="41"/>
  <c r="UJ209" i="41"/>
  <c r="UJ210" i="41"/>
  <c r="UJ211" i="41"/>
  <c r="UJ212" i="41"/>
  <c r="UJ213" i="41"/>
  <c r="UJ214" i="41"/>
  <c r="UJ215" i="41"/>
  <c r="UJ216" i="41"/>
  <c r="UJ217" i="41"/>
  <c r="UJ218" i="41"/>
  <c r="UJ219" i="41"/>
  <c r="UJ220" i="41"/>
  <c r="UJ221" i="41"/>
  <c r="UJ222" i="41"/>
  <c r="UJ223" i="41"/>
  <c r="UJ224" i="41"/>
  <c r="UJ225" i="41"/>
  <c r="UJ226" i="41"/>
  <c r="UJ227" i="41"/>
  <c r="UJ228" i="41"/>
  <c r="UJ229" i="41"/>
  <c r="UJ230" i="41"/>
  <c r="UJ231" i="41"/>
  <c r="UJ232" i="41"/>
  <c r="UJ233" i="41"/>
  <c r="UJ234" i="41"/>
  <c r="UJ235" i="41"/>
  <c r="UJ236" i="41"/>
  <c r="UJ237" i="41"/>
  <c r="UJ238" i="41"/>
  <c r="UJ239" i="41"/>
  <c r="UJ240" i="41"/>
  <c r="UJ241" i="41"/>
  <c r="UJ242" i="41"/>
  <c r="UJ243" i="41"/>
  <c r="UB195" i="41"/>
  <c r="UB196" i="41"/>
  <c r="UB202" i="41"/>
  <c r="UB203" i="41"/>
  <c r="UB204" i="41"/>
  <c r="UB205" i="41"/>
  <c r="UB206" i="41"/>
  <c r="UB207" i="41"/>
  <c r="UB208" i="41"/>
  <c r="UB209" i="41"/>
  <c r="UB210" i="41"/>
  <c r="UB211" i="41"/>
  <c r="UB212" i="41"/>
  <c r="UB213" i="41"/>
  <c r="UB214" i="41"/>
  <c r="UB215" i="41"/>
  <c r="UB216" i="41"/>
  <c r="UB217" i="41"/>
  <c r="UB218" i="41"/>
  <c r="UB219" i="41"/>
  <c r="UB220" i="41"/>
  <c r="UB221" i="41"/>
  <c r="UB222" i="41"/>
  <c r="UB223" i="41"/>
  <c r="UB224" i="41"/>
  <c r="UB225" i="41"/>
  <c r="UB226" i="41"/>
  <c r="UB227" i="41"/>
  <c r="UB228" i="41"/>
  <c r="UB229" i="41"/>
  <c r="UB230" i="41"/>
  <c r="UB231" i="41"/>
  <c r="UB232" i="41"/>
  <c r="UB233" i="41"/>
  <c r="UB234" i="41"/>
  <c r="UB235" i="41"/>
  <c r="UB236" i="41"/>
  <c r="UB237" i="41"/>
  <c r="UB238" i="41"/>
  <c r="UB239" i="41"/>
  <c r="UB240" i="41"/>
  <c r="UB241" i="41"/>
  <c r="UB242" i="41"/>
  <c r="UB243" i="41"/>
  <c r="ZL195" i="41"/>
  <c r="ZL196" i="41"/>
  <c r="ZL197" i="41"/>
  <c r="ZL198" i="41"/>
  <c r="ZL199" i="41"/>
  <c r="ZL200" i="41"/>
  <c r="ZL201" i="41"/>
  <c r="ZL202" i="41"/>
  <c r="ZL203" i="41"/>
  <c r="ZL204" i="41"/>
  <c r="ZL205" i="41"/>
  <c r="ZL206" i="41"/>
  <c r="ZL207" i="41"/>
  <c r="ZL208" i="41"/>
  <c r="ZL209" i="41"/>
  <c r="ZL210" i="41"/>
  <c r="ZL211" i="41"/>
  <c r="ZL212" i="41"/>
  <c r="ZL213" i="41"/>
  <c r="ZL214" i="41"/>
  <c r="ZL215" i="41"/>
  <c r="ZL216" i="41"/>
  <c r="ZL217" i="41"/>
  <c r="ZL218" i="41"/>
  <c r="ZL219" i="41"/>
  <c r="ZL220" i="41"/>
  <c r="ZL221" i="41"/>
  <c r="ZL222" i="41"/>
  <c r="ZL223" i="41"/>
  <c r="ZL224" i="41"/>
  <c r="ZL225" i="41"/>
  <c r="ZL226" i="41"/>
  <c r="ZL227" i="41"/>
  <c r="ZL228" i="41"/>
  <c r="ZL229" i="41"/>
  <c r="ZL230" i="41"/>
  <c r="ZL231" i="41"/>
  <c r="ZL232" i="41"/>
  <c r="ZL233" i="41"/>
  <c r="ZL234" i="41"/>
  <c r="ZL235" i="41"/>
  <c r="ZL236" i="41"/>
  <c r="ZL237" i="41"/>
  <c r="ZL238" i="41"/>
  <c r="ZL239" i="41"/>
  <c r="ZL240" i="41"/>
  <c r="ZL241" i="41"/>
  <c r="ZL242" i="41"/>
  <c r="ZL243" i="41"/>
  <c r="ZT194" i="41"/>
  <c r="ZT195" i="41"/>
  <c r="ZT196" i="41"/>
  <c r="ZT197" i="41"/>
  <c r="ZT198" i="41"/>
  <c r="ZT199" i="41"/>
  <c r="ZT200" i="41"/>
  <c r="ZT201" i="41"/>
  <c r="ZT202" i="41"/>
  <c r="ZT203" i="41"/>
  <c r="ZT204" i="41"/>
  <c r="ZT205" i="41"/>
  <c r="ZT206" i="41"/>
  <c r="ZT207" i="41"/>
  <c r="ZT208" i="41"/>
  <c r="ZT209" i="41"/>
  <c r="ZT210" i="41"/>
  <c r="ZT211" i="41"/>
  <c r="ZT212" i="41"/>
  <c r="ZT213" i="41"/>
  <c r="ZT214" i="41"/>
  <c r="ZT215" i="41"/>
  <c r="AAS215" i="41" s="1"/>
  <c r="ZT216" i="41"/>
  <c r="ZT217" i="41"/>
  <c r="ZT218" i="41"/>
  <c r="ZT219" i="41"/>
  <c r="ZT220" i="41"/>
  <c r="ZT221" i="41"/>
  <c r="ZT222" i="41"/>
  <c r="ZT223" i="41"/>
  <c r="ZT224" i="41"/>
  <c r="ZT225" i="41"/>
  <c r="ZT226" i="41"/>
  <c r="ZT227" i="41"/>
  <c r="ZT228" i="41"/>
  <c r="ZT229" i="41"/>
  <c r="ZT230" i="41"/>
  <c r="ZT231" i="41"/>
  <c r="ZT232" i="41"/>
  <c r="ZT233" i="41"/>
  <c r="ZT234" i="41"/>
  <c r="ZT235" i="41"/>
  <c r="ZT236" i="41"/>
  <c r="ZT237" i="41"/>
  <c r="ZT238" i="41"/>
  <c r="ZT239" i="41"/>
  <c r="ZT240" i="41"/>
  <c r="ZT241" i="41"/>
  <c r="ZT242" i="41"/>
  <c r="AAB195" i="41"/>
  <c r="AAB196" i="41"/>
  <c r="AAB197" i="41"/>
  <c r="AAB198" i="41"/>
  <c r="AAB199" i="41"/>
  <c r="AAB200" i="41"/>
  <c r="AAB201" i="41"/>
  <c r="AAB202" i="41"/>
  <c r="AAB203" i="41"/>
  <c r="AAB204" i="41"/>
  <c r="AAB205" i="41"/>
  <c r="AAB206" i="41"/>
  <c r="AAB207" i="41"/>
  <c r="AAB208" i="41"/>
  <c r="AAB209" i="41"/>
  <c r="AAB210" i="41"/>
  <c r="AAB211" i="41"/>
  <c r="AAB212" i="41"/>
  <c r="AAB213" i="41"/>
  <c r="AAB214" i="41"/>
  <c r="AAB215" i="41"/>
  <c r="AAB216" i="41"/>
  <c r="AAB217" i="41"/>
  <c r="AAB218" i="41"/>
  <c r="AAB219" i="41"/>
  <c r="AAB220" i="41"/>
  <c r="AAB221" i="41"/>
  <c r="AAB222" i="41"/>
  <c r="AAB223" i="41"/>
  <c r="AAB224" i="41"/>
  <c r="AAB225" i="41"/>
  <c r="AAB226" i="41"/>
  <c r="AAB227" i="41"/>
  <c r="AAB228" i="41"/>
  <c r="AAB229" i="41"/>
  <c r="AAB230" i="41"/>
  <c r="AAB231" i="41"/>
  <c r="AAB232" i="41"/>
  <c r="AAB233" i="41"/>
  <c r="AAB234" i="41"/>
  <c r="AAB235" i="41"/>
  <c r="AAB236" i="41"/>
  <c r="AAB237" i="41"/>
  <c r="AAB238" i="41"/>
  <c r="AAB239" i="41"/>
  <c r="AAB240" i="41"/>
  <c r="AAB241" i="41"/>
  <c r="AAB242" i="41"/>
  <c r="AAB243" i="41"/>
  <c r="AAJ194" i="41"/>
  <c r="AAJ195" i="41"/>
  <c r="AAJ196" i="41"/>
  <c r="AAJ197" i="41"/>
  <c r="AAJ198" i="41"/>
  <c r="AAJ199" i="41"/>
  <c r="AAJ200" i="41"/>
  <c r="AAJ201" i="41"/>
  <c r="AAJ202" i="41"/>
  <c r="AAJ203" i="41"/>
  <c r="AAJ204" i="41"/>
  <c r="AAJ205" i="41"/>
  <c r="AAJ206" i="41"/>
  <c r="AAJ207" i="41"/>
  <c r="AAJ208" i="41"/>
  <c r="AAJ209" i="41"/>
  <c r="AAJ210" i="41"/>
  <c r="AAJ211" i="41"/>
  <c r="AAJ212" i="41"/>
  <c r="AAJ213" i="41"/>
  <c r="AAJ214" i="41"/>
  <c r="AAJ215" i="41"/>
  <c r="AAJ216" i="41"/>
  <c r="AAJ217" i="41"/>
  <c r="AAJ218" i="41"/>
  <c r="AAJ219" i="41"/>
  <c r="AAJ220" i="41"/>
  <c r="AAJ221" i="41"/>
  <c r="AAJ222" i="41"/>
  <c r="AAJ223" i="41"/>
  <c r="AAJ224" i="41"/>
  <c r="AAJ225" i="41"/>
  <c r="AAJ226" i="41"/>
  <c r="AAJ227" i="41"/>
  <c r="AAJ228" i="41"/>
  <c r="AAJ229" i="41"/>
  <c r="AAJ230" i="41"/>
  <c r="AAJ231" i="41"/>
  <c r="AAJ232" i="41"/>
  <c r="AAJ233" i="41"/>
  <c r="AAJ234" i="41"/>
  <c r="AAJ235" i="41"/>
  <c r="AAJ236" i="41"/>
  <c r="AAJ237" i="41"/>
  <c r="AAJ238" i="41"/>
  <c r="AAJ239" i="41"/>
  <c r="AAJ240" i="41"/>
  <c r="AAJ241" i="41"/>
  <c r="AAJ242" i="41"/>
  <c r="AAR195" i="41"/>
  <c r="AAR196" i="41"/>
  <c r="AAR197" i="41"/>
  <c r="AAR198" i="41"/>
  <c r="AAR199" i="41"/>
  <c r="AAR200" i="41"/>
  <c r="AAR201" i="41"/>
  <c r="AAR202" i="41"/>
  <c r="AAR203" i="41"/>
  <c r="AAR204" i="41"/>
  <c r="AAR205" i="41"/>
  <c r="AAR206" i="41"/>
  <c r="AAR207" i="41"/>
  <c r="AAR208" i="41"/>
  <c r="AAR209" i="41"/>
  <c r="AAR210" i="41"/>
  <c r="AAR211" i="41"/>
  <c r="AAR212" i="41"/>
  <c r="AAR213" i="41"/>
  <c r="AAR214" i="41"/>
  <c r="AAR215" i="41"/>
  <c r="AAR216" i="41"/>
  <c r="AAR217" i="41"/>
  <c r="AAR218" i="41"/>
  <c r="AAR219" i="41"/>
  <c r="AAR220" i="41"/>
  <c r="AAR221" i="41"/>
  <c r="AAR222" i="41"/>
  <c r="AAR223" i="41"/>
  <c r="AAR224" i="41"/>
  <c r="AAR225" i="41"/>
  <c r="AAR226" i="41"/>
  <c r="AAR227" i="41"/>
  <c r="AAR228" i="41"/>
  <c r="AAR229" i="41"/>
  <c r="AAR230" i="41"/>
  <c r="AAR231" i="41"/>
  <c r="AAR232" i="41"/>
  <c r="AAR233" i="41"/>
  <c r="AAR234" i="41"/>
  <c r="AAR235" i="41"/>
  <c r="AAR236" i="41"/>
  <c r="AAR237" i="41"/>
  <c r="AAR238" i="41"/>
  <c r="AAR239" i="41"/>
  <c r="AAR240" i="41"/>
  <c r="AAR241" i="41"/>
  <c r="AAR242" i="41"/>
  <c r="AAR243" i="41"/>
  <c r="AAR125" i="41"/>
  <c r="AAR126" i="41"/>
  <c r="AAR127" i="41"/>
  <c r="AAR128" i="41"/>
  <c r="AAR129" i="41"/>
  <c r="AAR130" i="41"/>
  <c r="AAR131" i="41"/>
  <c r="AAR132" i="41"/>
  <c r="AAR133" i="41"/>
  <c r="AAR134" i="41"/>
  <c r="AAR135" i="41"/>
  <c r="AAR136" i="41"/>
  <c r="AAR137" i="41"/>
  <c r="AAR138" i="41"/>
  <c r="AAR139" i="41"/>
  <c r="AAR140" i="41"/>
  <c r="AAR141" i="41"/>
  <c r="AAR142" i="41"/>
  <c r="AAR143" i="41"/>
  <c r="AAR144" i="41"/>
  <c r="AAR145" i="41"/>
  <c r="AAR146" i="41"/>
  <c r="AAR147" i="41"/>
  <c r="AAR148" i="41"/>
  <c r="AAR149" i="41"/>
  <c r="AAR150" i="41"/>
  <c r="AAR151" i="41"/>
  <c r="AAR152" i="41"/>
  <c r="AAR153" i="41"/>
  <c r="AAR154" i="41"/>
  <c r="AAR155" i="41"/>
  <c r="AAR156" i="41"/>
  <c r="AAR157" i="41"/>
  <c r="AAR158" i="41"/>
  <c r="AAR159" i="41"/>
  <c r="AAR160" i="41"/>
  <c r="AAR161" i="41"/>
  <c r="AAR162" i="41"/>
  <c r="AAR163" i="41"/>
  <c r="AAR164" i="41"/>
  <c r="AAR165" i="41"/>
  <c r="AAR166" i="41"/>
  <c r="AAR167" i="41"/>
  <c r="AAR168" i="41"/>
  <c r="AAR169" i="41"/>
  <c r="AAR170" i="41"/>
  <c r="AAR171" i="41"/>
  <c r="AAR172" i="41"/>
  <c r="AAR173" i="41"/>
  <c r="AAR174" i="41"/>
  <c r="AAR175" i="41"/>
  <c r="AAR176" i="41"/>
  <c r="AAR177" i="41"/>
  <c r="AAR178" i="41"/>
  <c r="AAR179" i="41"/>
  <c r="AAR180" i="41"/>
  <c r="AAR181" i="41"/>
  <c r="AAR182" i="41"/>
  <c r="AAR183" i="41"/>
  <c r="AAR184" i="41"/>
  <c r="AAR185" i="41"/>
  <c r="AAR186" i="41"/>
  <c r="AAR187" i="41"/>
  <c r="AAR188" i="41"/>
  <c r="AAR189" i="41"/>
  <c r="AAR190" i="41"/>
  <c r="AAR86" i="41"/>
  <c r="AAR87" i="41"/>
  <c r="AAR88" i="41"/>
  <c r="AAR89" i="41"/>
  <c r="AAR90" i="41"/>
  <c r="AAR91" i="41"/>
  <c r="AAR92" i="41"/>
  <c r="AAR93" i="41"/>
  <c r="AAR94" i="41"/>
  <c r="AAR95" i="41"/>
  <c r="AAR96" i="41"/>
  <c r="AAR97" i="41"/>
  <c r="AAR98" i="41"/>
  <c r="AAR99" i="41"/>
  <c r="AAR100" i="41"/>
  <c r="AAR101" i="41"/>
  <c r="AAR102" i="41"/>
  <c r="AAR103" i="41"/>
  <c r="AAR104" i="41"/>
  <c r="AAR105" i="41"/>
  <c r="AAR106" i="41"/>
  <c r="AAR107" i="41"/>
  <c r="AAR108" i="41"/>
  <c r="AAR109" i="41"/>
  <c r="AAR110" i="41"/>
  <c r="AAR111" i="41"/>
  <c r="AAR112" i="41"/>
  <c r="AAR113" i="41"/>
  <c r="AAR114" i="41"/>
  <c r="AAR115" i="41"/>
  <c r="AAR116" i="41"/>
  <c r="AAR117" i="41"/>
  <c r="AAR118" i="41"/>
  <c r="AAR119" i="41"/>
  <c r="XF194" i="41"/>
  <c r="XF195" i="41"/>
  <c r="XF196" i="41"/>
  <c r="XF197" i="41"/>
  <c r="XF198" i="41"/>
  <c r="XF199" i="41"/>
  <c r="XF200" i="41"/>
  <c r="XF201" i="41"/>
  <c r="XF202" i="41"/>
  <c r="XF203" i="41"/>
  <c r="XF204" i="41"/>
  <c r="XF205" i="41"/>
  <c r="XF206" i="41"/>
  <c r="XF207" i="41"/>
  <c r="XF208" i="41"/>
  <c r="XF209" i="41"/>
  <c r="XF210" i="41"/>
  <c r="XF211" i="41"/>
  <c r="XF212" i="41"/>
  <c r="XF213" i="41"/>
  <c r="XF214" i="41"/>
  <c r="XF215" i="41"/>
  <c r="XF216" i="41"/>
  <c r="XF217" i="41"/>
  <c r="XF218" i="41"/>
  <c r="XF219" i="41"/>
  <c r="XF220" i="41"/>
  <c r="XF221" i="41"/>
  <c r="XF222" i="41"/>
  <c r="XF223" i="41"/>
  <c r="XF224" i="41"/>
  <c r="XF225" i="41"/>
  <c r="XF226" i="41"/>
  <c r="XF227" i="41"/>
  <c r="XF228" i="41"/>
  <c r="XF230" i="41"/>
  <c r="XF231" i="41"/>
  <c r="XF232" i="41"/>
  <c r="XF233" i="41"/>
  <c r="XF234" i="41"/>
  <c r="XF235" i="41"/>
  <c r="XF236" i="41"/>
  <c r="XF237" i="41"/>
  <c r="XF238" i="41"/>
  <c r="XF239" i="41"/>
  <c r="XF240" i="41"/>
  <c r="XF241" i="41"/>
  <c r="WX195" i="41"/>
  <c r="WX196" i="41"/>
  <c r="WX197" i="41"/>
  <c r="WX198" i="41"/>
  <c r="WX199" i="41"/>
  <c r="WX200" i="41"/>
  <c r="WX201" i="41"/>
  <c r="WX202" i="41"/>
  <c r="WX203" i="41"/>
  <c r="WX204" i="41"/>
  <c r="WX205" i="41"/>
  <c r="WX206" i="41"/>
  <c r="WX207" i="41"/>
  <c r="WX208" i="41"/>
  <c r="WX209" i="41"/>
  <c r="WX210" i="41"/>
  <c r="WX211" i="41"/>
  <c r="WX212" i="41"/>
  <c r="WX213" i="41"/>
  <c r="WX214" i="41"/>
  <c r="WX215" i="41"/>
  <c r="WX216" i="41"/>
  <c r="WX217" i="41"/>
  <c r="WX218" i="41"/>
  <c r="WX219" i="41"/>
  <c r="WX220" i="41"/>
  <c r="WX221" i="41"/>
  <c r="WX222" i="41"/>
  <c r="WX223" i="41"/>
  <c r="WX224" i="41"/>
  <c r="WX225" i="41"/>
  <c r="WX226" i="41"/>
  <c r="WX227" i="41"/>
  <c r="WX228" i="41"/>
  <c r="WX229" i="41"/>
  <c r="XF229" i="41" s="1"/>
  <c r="WX230" i="41"/>
  <c r="WX231" i="41"/>
  <c r="WX232" i="41"/>
  <c r="WX233" i="41"/>
  <c r="WX234" i="41"/>
  <c r="WX235" i="41"/>
  <c r="WX236" i="41"/>
  <c r="WX237" i="41"/>
  <c r="WX238" i="41"/>
  <c r="WX239" i="41"/>
  <c r="WX240" i="41"/>
  <c r="WX241" i="41"/>
  <c r="WX242" i="41"/>
  <c r="WX243" i="41"/>
  <c r="WP194" i="41"/>
  <c r="WP195" i="41"/>
  <c r="WP196" i="41"/>
  <c r="WP197" i="41"/>
  <c r="WP198" i="41"/>
  <c r="WP199" i="41"/>
  <c r="WP200" i="41"/>
  <c r="WP201" i="41"/>
  <c r="WP202" i="41"/>
  <c r="WP203" i="41"/>
  <c r="WP204" i="41"/>
  <c r="WP205" i="41"/>
  <c r="WP206" i="41"/>
  <c r="WP207" i="41"/>
  <c r="WP208" i="41"/>
  <c r="WP209" i="41"/>
  <c r="WP210" i="41"/>
  <c r="WP211" i="41"/>
  <c r="WP212" i="41"/>
  <c r="WP213" i="41"/>
  <c r="WP214" i="41"/>
  <c r="WP215" i="41"/>
  <c r="WP216" i="41"/>
  <c r="WP217" i="41"/>
  <c r="WP218" i="41"/>
  <c r="WP219" i="41"/>
  <c r="WP220" i="41"/>
  <c r="WP221" i="41"/>
  <c r="WP222" i="41"/>
  <c r="WP223" i="41"/>
  <c r="WP224" i="41"/>
  <c r="WP225" i="41"/>
  <c r="WP226" i="41"/>
  <c r="WP227" i="41"/>
  <c r="WP228" i="41"/>
  <c r="WP229" i="41"/>
  <c r="WP230" i="41"/>
  <c r="WP231" i="41"/>
  <c r="WP232" i="41"/>
  <c r="WP233" i="41"/>
  <c r="WP234" i="41"/>
  <c r="WP239" i="41"/>
  <c r="WP240" i="41"/>
  <c r="WP241" i="41"/>
  <c r="WP242" i="41"/>
  <c r="WG243" i="41"/>
  <c r="VY194" i="41"/>
  <c r="VI194" i="41"/>
  <c r="UZ209" i="41"/>
  <c r="UZ210" i="41"/>
  <c r="UZ211" i="41"/>
  <c r="UZ212" i="41"/>
  <c r="UZ213" i="41"/>
  <c r="UZ214" i="41"/>
  <c r="UZ215" i="41"/>
  <c r="UZ216" i="41"/>
  <c r="UZ217" i="41"/>
  <c r="UZ218" i="41"/>
  <c r="UZ219" i="41"/>
  <c r="UZ220" i="41"/>
  <c r="UZ221" i="41"/>
  <c r="UZ222" i="41"/>
  <c r="UZ223" i="41"/>
  <c r="UZ224" i="41"/>
  <c r="UZ225" i="41"/>
  <c r="UZ226" i="41"/>
  <c r="UZ227" i="41"/>
  <c r="UZ228" i="41"/>
  <c r="UZ229" i="41"/>
  <c r="UZ231" i="41"/>
  <c r="UZ232" i="41"/>
  <c r="UZ233" i="41"/>
  <c r="UZ234" i="41"/>
  <c r="UZ235" i="41"/>
  <c r="UZ236" i="41"/>
  <c r="UZ237" i="41"/>
  <c r="UZ238" i="41"/>
  <c r="UZ239" i="41"/>
  <c r="UZ240" i="41"/>
  <c r="UZ241" i="41"/>
  <c r="UZ242" i="41"/>
  <c r="UZ243" i="41"/>
  <c r="AAS200" i="41" l="1"/>
  <c r="AAS232" i="41"/>
  <c r="VY244" i="41"/>
  <c r="WG244" i="41"/>
  <c r="WH243" i="41"/>
  <c r="AAS236" i="41"/>
  <c r="AAS220" i="41"/>
  <c r="AAS218" i="41"/>
  <c r="AAS202" i="41"/>
  <c r="VA240" i="41"/>
  <c r="WP235" i="41"/>
  <c r="AAS219" i="41"/>
  <c r="WP238" i="41"/>
  <c r="WP236" i="41"/>
  <c r="WP237" i="41"/>
  <c r="AAS217" i="41"/>
  <c r="AAS199" i="41"/>
  <c r="AAS231" i="41"/>
  <c r="AAS213" i="41"/>
  <c r="AAS195" i="41"/>
  <c r="AAS198" i="41"/>
  <c r="AAS197" i="41"/>
  <c r="AAS216" i="41"/>
  <c r="AAS214" i="41"/>
  <c r="AAS196" i="41"/>
  <c r="VA214" i="41"/>
  <c r="AAS240" i="41"/>
  <c r="AAS239" i="41"/>
  <c r="AAS238" i="41"/>
  <c r="AAS237" i="41"/>
  <c r="AAS233" i="41"/>
  <c r="AAS235" i="41"/>
  <c r="AAS234" i="41"/>
  <c r="VA216" i="41"/>
  <c r="VA209" i="41"/>
  <c r="VA239" i="41"/>
  <c r="VA221" i="41"/>
  <c r="VA237" i="41"/>
  <c r="VA212" i="41"/>
  <c r="VA243" i="41"/>
  <c r="VA238" i="41"/>
  <c r="VA230" i="41"/>
  <c r="VA229" i="41"/>
  <c r="VA228" i="41"/>
  <c r="VA227" i="41"/>
  <c r="VA242" i="41"/>
  <c r="AAS230" i="41"/>
  <c r="AAS206" i="41"/>
  <c r="AAS212" i="41"/>
  <c r="AAS208" i="41"/>
  <c r="AAS226" i="41"/>
  <c r="AAS242" i="41"/>
  <c r="AAS224" i="41"/>
  <c r="AAS222" i="41"/>
  <c r="AAS205" i="41"/>
  <c r="AAS203" i="41"/>
  <c r="AAS223" i="41"/>
  <c r="AAS204" i="41"/>
  <c r="AAS201" i="41"/>
  <c r="AAS241" i="41"/>
  <c r="AAS221" i="41"/>
  <c r="AAS227" i="41"/>
  <c r="AAS211" i="41"/>
  <c r="AAS228" i="41"/>
  <c r="AAS209" i="41"/>
  <c r="AAS225" i="41"/>
  <c r="AAS207" i="41"/>
  <c r="AAS229" i="41"/>
  <c r="AAS210" i="41"/>
  <c r="TS85" i="41" l="1"/>
  <c r="YE86" i="41" l="1"/>
  <c r="YM86" i="41"/>
  <c r="YU86" i="41"/>
  <c r="ZC86" i="41"/>
  <c r="ZL86" i="41"/>
  <c r="ZT86" i="41"/>
  <c r="AAB86" i="41"/>
  <c r="AAJ86" i="41"/>
  <c r="YE87" i="41"/>
  <c r="YM87" i="41"/>
  <c r="YU87" i="41"/>
  <c r="ZC87" i="41"/>
  <c r="ZL87" i="41"/>
  <c r="ZT87" i="41"/>
  <c r="AAB87" i="41"/>
  <c r="AAJ87" i="41"/>
  <c r="YE88" i="41"/>
  <c r="YM88" i="41"/>
  <c r="YU88" i="41"/>
  <c r="ZC88" i="41"/>
  <c r="ZL88" i="41"/>
  <c r="ZT88" i="41"/>
  <c r="AAB88" i="41"/>
  <c r="AAJ88" i="41"/>
  <c r="YE89" i="41"/>
  <c r="YM89" i="41"/>
  <c r="YU89" i="41"/>
  <c r="ZC89" i="41"/>
  <c r="ZL89" i="41"/>
  <c r="ZT89" i="41"/>
  <c r="AAB89" i="41"/>
  <c r="AAJ89" i="41"/>
  <c r="YE90" i="41"/>
  <c r="YM90" i="41"/>
  <c r="YU90" i="41"/>
  <c r="ZC90" i="41"/>
  <c r="ZL90" i="41"/>
  <c r="ZT90" i="41"/>
  <c r="AAB90" i="41"/>
  <c r="AAJ90" i="41"/>
  <c r="AAS90" i="41" s="1"/>
  <c r="YE91" i="41"/>
  <c r="YM91" i="41"/>
  <c r="YU91" i="41"/>
  <c r="ZC91" i="41"/>
  <c r="ZL91" i="41"/>
  <c r="ZT91" i="41"/>
  <c r="AAB91" i="41"/>
  <c r="AAJ91" i="41"/>
  <c r="YE92" i="41"/>
  <c r="YM92" i="41"/>
  <c r="YU92" i="41"/>
  <c r="ZC92" i="41"/>
  <c r="ZL92" i="41"/>
  <c r="ZT92" i="41"/>
  <c r="AAB92" i="41"/>
  <c r="AAJ92" i="41"/>
  <c r="YE93" i="41"/>
  <c r="YM93" i="41"/>
  <c r="YU93" i="41"/>
  <c r="ZC93" i="41"/>
  <c r="ZL93" i="41"/>
  <c r="ZT93" i="41"/>
  <c r="AAB93" i="41"/>
  <c r="AAJ93" i="41"/>
  <c r="YE94" i="41"/>
  <c r="YM94" i="41"/>
  <c r="YU94" i="41"/>
  <c r="ZC94" i="41"/>
  <c r="ZL94" i="41"/>
  <c r="ZT94" i="41"/>
  <c r="AAB94" i="41"/>
  <c r="AAJ94" i="41"/>
  <c r="AAS94" i="41" s="1"/>
  <c r="YE95" i="41"/>
  <c r="YM95" i="41"/>
  <c r="YU95" i="41"/>
  <c r="ZC95" i="41"/>
  <c r="ZL95" i="41"/>
  <c r="ZT95" i="41"/>
  <c r="AAB95" i="41"/>
  <c r="AAJ95" i="41"/>
  <c r="YE96" i="41"/>
  <c r="YM96" i="41"/>
  <c r="YU96" i="41"/>
  <c r="ZC96" i="41"/>
  <c r="ZL96" i="41"/>
  <c r="ZT96" i="41"/>
  <c r="AAB96" i="41"/>
  <c r="AAJ96" i="41"/>
  <c r="YE97" i="41"/>
  <c r="YM97" i="41"/>
  <c r="YU97" i="41"/>
  <c r="ZC97" i="41"/>
  <c r="ZL97" i="41"/>
  <c r="ZT97" i="41"/>
  <c r="AAB97" i="41"/>
  <c r="AAJ97" i="41"/>
  <c r="AAS97" i="41" s="1"/>
  <c r="YE98" i="41"/>
  <c r="YM98" i="41"/>
  <c r="YU98" i="41"/>
  <c r="ZC98" i="41"/>
  <c r="ZL98" i="41"/>
  <c r="ZT98" i="41"/>
  <c r="AAB98" i="41"/>
  <c r="AAJ98" i="41"/>
  <c r="YE99" i="41"/>
  <c r="YM99" i="41"/>
  <c r="YU99" i="41"/>
  <c r="ZC99" i="41"/>
  <c r="ZL99" i="41"/>
  <c r="ZT99" i="41"/>
  <c r="AAB99" i="41"/>
  <c r="AAJ99" i="41"/>
  <c r="AAS99" i="41" s="1"/>
  <c r="YE100" i="41"/>
  <c r="YM100" i="41"/>
  <c r="YU100" i="41"/>
  <c r="ZC100" i="41"/>
  <c r="ZL100" i="41"/>
  <c r="ZT100" i="41"/>
  <c r="AAB100" i="41"/>
  <c r="AAJ100" i="41"/>
  <c r="YE101" i="41"/>
  <c r="YM101" i="41"/>
  <c r="YU101" i="41"/>
  <c r="ZC101" i="41"/>
  <c r="ZL101" i="41"/>
  <c r="ZT101" i="41"/>
  <c r="AAB101" i="41"/>
  <c r="AAJ101" i="41"/>
  <c r="YE102" i="41"/>
  <c r="YM102" i="41"/>
  <c r="YU102" i="41"/>
  <c r="ZC102" i="41"/>
  <c r="ZL102" i="41"/>
  <c r="ZT102" i="41"/>
  <c r="AAB102" i="41"/>
  <c r="AAJ102" i="41"/>
  <c r="YE103" i="41"/>
  <c r="YM103" i="41"/>
  <c r="YU103" i="41"/>
  <c r="ZC103" i="41"/>
  <c r="ZL103" i="41"/>
  <c r="ZT103" i="41"/>
  <c r="AAB103" i="41"/>
  <c r="AAJ103" i="41"/>
  <c r="AAS103" i="41" s="1"/>
  <c r="YE104" i="41"/>
  <c r="YM104" i="41"/>
  <c r="YU104" i="41"/>
  <c r="ZC104" i="41"/>
  <c r="ZL104" i="41"/>
  <c r="ZT104" i="41"/>
  <c r="AAB104" i="41"/>
  <c r="AAJ104" i="41"/>
  <c r="YE105" i="41"/>
  <c r="YM105" i="41"/>
  <c r="YU105" i="41"/>
  <c r="ZC105" i="41"/>
  <c r="ZL105" i="41"/>
  <c r="ZT105" i="41"/>
  <c r="AAB105" i="41"/>
  <c r="AAJ105" i="41"/>
  <c r="YE106" i="41"/>
  <c r="YM106" i="41"/>
  <c r="YU106" i="41"/>
  <c r="ZC106" i="41"/>
  <c r="ZL106" i="41"/>
  <c r="ZT106" i="41"/>
  <c r="AAB106" i="41"/>
  <c r="AAJ106" i="41"/>
  <c r="AAS106" i="41" s="1"/>
  <c r="YE107" i="41"/>
  <c r="YM107" i="41"/>
  <c r="YU107" i="41"/>
  <c r="ZC107" i="41"/>
  <c r="ZL107" i="41"/>
  <c r="ZT107" i="41"/>
  <c r="AAB107" i="41"/>
  <c r="AAJ107" i="41"/>
  <c r="YE108" i="41"/>
  <c r="YM108" i="41"/>
  <c r="YU108" i="41"/>
  <c r="ZC108" i="41"/>
  <c r="ZL108" i="41"/>
  <c r="ZT108" i="41"/>
  <c r="AAB108" i="41"/>
  <c r="AAJ108" i="41"/>
  <c r="AAS108" i="41" s="1"/>
  <c r="YE109" i="41"/>
  <c r="YM109" i="41"/>
  <c r="YU109" i="41"/>
  <c r="ZC109" i="41"/>
  <c r="ZL109" i="41"/>
  <c r="ZT109" i="41"/>
  <c r="AAB109" i="41"/>
  <c r="AAJ109" i="41"/>
  <c r="YE110" i="41"/>
  <c r="YM110" i="41"/>
  <c r="YU110" i="41"/>
  <c r="ZC110" i="41"/>
  <c r="ZL110" i="41"/>
  <c r="ZT110" i="41"/>
  <c r="AAB110" i="41"/>
  <c r="AAJ110" i="41"/>
  <c r="YE111" i="41"/>
  <c r="YM111" i="41"/>
  <c r="YU111" i="41"/>
  <c r="ZC111" i="41"/>
  <c r="ZL111" i="41"/>
  <c r="ZT111" i="41"/>
  <c r="AAB111" i="41"/>
  <c r="AAJ111" i="41"/>
  <c r="YE112" i="41"/>
  <c r="YM112" i="41"/>
  <c r="YU112" i="41"/>
  <c r="ZC112" i="41"/>
  <c r="ZL112" i="41"/>
  <c r="ZT112" i="41"/>
  <c r="AAB112" i="41"/>
  <c r="AAJ112" i="41"/>
  <c r="AAS112" i="41" s="1"/>
  <c r="YE113" i="41"/>
  <c r="YM113" i="41"/>
  <c r="YU113" i="41"/>
  <c r="ZC113" i="41"/>
  <c r="ZL113" i="41"/>
  <c r="ZT113" i="41"/>
  <c r="AAB113" i="41"/>
  <c r="AAJ113" i="41"/>
  <c r="YE114" i="41"/>
  <c r="YM114" i="41"/>
  <c r="YU114" i="41"/>
  <c r="ZC114" i="41"/>
  <c r="ZL114" i="41"/>
  <c r="ZT114" i="41"/>
  <c r="AAB114" i="41"/>
  <c r="AAJ114" i="41"/>
  <c r="YE115" i="41"/>
  <c r="YM115" i="41"/>
  <c r="YU115" i="41"/>
  <c r="ZC115" i="41"/>
  <c r="ZL115" i="41"/>
  <c r="ZT115" i="41"/>
  <c r="AAB115" i="41"/>
  <c r="AAJ115" i="41"/>
  <c r="AAS115" i="41" s="1"/>
  <c r="YE116" i="41"/>
  <c r="YM116" i="41"/>
  <c r="YU116" i="41"/>
  <c r="ZC116" i="41"/>
  <c r="ZL116" i="41"/>
  <c r="ZT116" i="41"/>
  <c r="AAB116" i="41"/>
  <c r="AAJ116" i="41"/>
  <c r="YE117" i="41"/>
  <c r="YM117" i="41"/>
  <c r="YU117" i="41"/>
  <c r="ZC117" i="41"/>
  <c r="ZL117" i="41"/>
  <c r="ZT117" i="41"/>
  <c r="AAB117" i="41"/>
  <c r="AAJ117" i="41"/>
  <c r="AAS117" i="41" s="1"/>
  <c r="YE118" i="41"/>
  <c r="YM118" i="41"/>
  <c r="YU118" i="41"/>
  <c r="ZC118" i="41"/>
  <c r="ZL118" i="41"/>
  <c r="ZT118" i="41"/>
  <c r="AAB118" i="41"/>
  <c r="AAJ118" i="41"/>
  <c r="YE119" i="41"/>
  <c r="YM119" i="41"/>
  <c r="YU119" i="41"/>
  <c r="ZC119" i="41"/>
  <c r="ZL119" i="41"/>
  <c r="ZT119" i="41"/>
  <c r="AAB119" i="41"/>
  <c r="AAJ119" i="41"/>
  <c r="YE125" i="41"/>
  <c r="YM125" i="41"/>
  <c r="YU125" i="41"/>
  <c r="ZC125" i="41"/>
  <c r="ZL125" i="41"/>
  <c r="ZT125" i="41"/>
  <c r="AAB125" i="41"/>
  <c r="AAJ125" i="41"/>
  <c r="YE126" i="41"/>
  <c r="YM126" i="41"/>
  <c r="YU126" i="41"/>
  <c r="ZC126" i="41"/>
  <c r="ZL126" i="41"/>
  <c r="ZT126" i="41"/>
  <c r="AAB126" i="41"/>
  <c r="AAJ126" i="41"/>
  <c r="AAS126" i="41" s="1"/>
  <c r="YE127" i="41"/>
  <c r="YM127" i="41"/>
  <c r="YU127" i="41"/>
  <c r="ZC127" i="41"/>
  <c r="ZL127" i="41"/>
  <c r="ZT127" i="41"/>
  <c r="AAB127" i="41"/>
  <c r="AAJ127" i="41"/>
  <c r="YE128" i="41"/>
  <c r="YM128" i="41"/>
  <c r="YU128" i="41"/>
  <c r="ZC128" i="41"/>
  <c r="ZL128" i="41"/>
  <c r="ZT128" i="41"/>
  <c r="AAB128" i="41"/>
  <c r="AAJ128" i="41"/>
  <c r="YE129" i="41"/>
  <c r="YM129" i="41"/>
  <c r="YU129" i="41"/>
  <c r="ZC129" i="41"/>
  <c r="ZL129" i="41"/>
  <c r="ZT129" i="41"/>
  <c r="AAB129" i="41"/>
  <c r="AAJ129" i="41"/>
  <c r="AAS129" i="41" s="1"/>
  <c r="YE130" i="41"/>
  <c r="YM130" i="41"/>
  <c r="YU130" i="41"/>
  <c r="ZC130" i="41"/>
  <c r="ZL130" i="41"/>
  <c r="ZT130" i="41"/>
  <c r="AAB130" i="41"/>
  <c r="AAJ130" i="41"/>
  <c r="YE131" i="41"/>
  <c r="YM131" i="41"/>
  <c r="YU131" i="41"/>
  <c r="ZC131" i="41"/>
  <c r="ZL131" i="41"/>
  <c r="ZT131" i="41"/>
  <c r="AAB131" i="41"/>
  <c r="AAJ131" i="41"/>
  <c r="YE132" i="41"/>
  <c r="YM132" i="41"/>
  <c r="YU132" i="41"/>
  <c r="ZC132" i="41"/>
  <c r="ZL132" i="41"/>
  <c r="ZT132" i="41"/>
  <c r="AAB132" i="41"/>
  <c r="AAJ132" i="41"/>
  <c r="YE133" i="41"/>
  <c r="YM133" i="41"/>
  <c r="YU133" i="41"/>
  <c r="ZC133" i="41"/>
  <c r="ZL133" i="41"/>
  <c r="ZT133" i="41"/>
  <c r="AAB133" i="41"/>
  <c r="AAJ133" i="41"/>
  <c r="YE134" i="41"/>
  <c r="YM134" i="41"/>
  <c r="YU134" i="41"/>
  <c r="ZC134" i="41"/>
  <c r="ZL134" i="41"/>
  <c r="ZT134" i="41"/>
  <c r="AAB134" i="41"/>
  <c r="AAJ134" i="41"/>
  <c r="YE135" i="41"/>
  <c r="YM135" i="41"/>
  <c r="YU135" i="41"/>
  <c r="ZC135" i="41"/>
  <c r="ZL135" i="41"/>
  <c r="ZT135" i="41"/>
  <c r="AAB135" i="41"/>
  <c r="AAJ135" i="41"/>
  <c r="AAS135" i="41" s="1"/>
  <c r="YE136" i="41"/>
  <c r="YM136" i="41"/>
  <c r="YU136" i="41"/>
  <c r="ZC136" i="41"/>
  <c r="ZL136" i="41"/>
  <c r="ZT136" i="41"/>
  <c r="AAB136" i="41"/>
  <c r="AAJ136" i="41"/>
  <c r="YE137" i="41"/>
  <c r="YM137" i="41"/>
  <c r="YU137" i="41"/>
  <c r="ZC137" i="41"/>
  <c r="ZL137" i="41"/>
  <c r="ZT137" i="41"/>
  <c r="AAB137" i="41"/>
  <c r="AAJ137" i="41"/>
  <c r="YE138" i="41"/>
  <c r="YM138" i="41"/>
  <c r="YU138" i="41"/>
  <c r="ZC138" i="41"/>
  <c r="ZL138" i="41"/>
  <c r="ZT138" i="41"/>
  <c r="AAB138" i="41"/>
  <c r="AAJ138" i="41"/>
  <c r="AAS138" i="41" s="1"/>
  <c r="YE139" i="41"/>
  <c r="YM139" i="41"/>
  <c r="YU139" i="41"/>
  <c r="ZC139" i="41"/>
  <c r="ZL139" i="41"/>
  <c r="ZT139" i="41"/>
  <c r="AAB139" i="41"/>
  <c r="AAJ139" i="41"/>
  <c r="YE140" i="41"/>
  <c r="YM140" i="41"/>
  <c r="YU140" i="41"/>
  <c r="ZC140" i="41"/>
  <c r="ZL140" i="41"/>
  <c r="ZT140" i="41"/>
  <c r="AAB140" i="41"/>
  <c r="AAJ140" i="41"/>
  <c r="YE141" i="41"/>
  <c r="YM141" i="41"/>
  <c r="YU141" i="41"/>
  <c r="ZC141" i="41"/>
  <c r="ZL141" i="41"/>
  <c r="ZT141" i="41"/>
  <c r="AAB141" i="41"/>
  <c r="AAJ141" i="41"/>
  <c r="YE142" i="41"/>
  <c r="YM142" i="41"/>
  <c r="YU142" i="41"/>
  <c r="ZC142" i="41"/>
  <c r="ZL142" i="41"/>
  <c r="ZT142" i="41"/>
  <c r="AAB142" i="41"/>
  <c r="AAJ142" i="41"/>
  <c r="YE143" i="41"/>
  <c r="YM143" i="41"/>
  <c r="YU143" i="41"/>
  <c r="ZC143" i="41"/>
  <c r="ZL143" i="41"/>
  <c r="ZT143" i="41"/>
  <c r="AAB143" i="41"/>
  <c r="AAJ143" i="41"/>
  <c r="YE144" i="41"/>
  <c r="YM144" i="41"/>
  <c r="YU144" i="41"/>
  <c r="ZC144" i="41"/>
  <c r="ZL144" i="41"/>
  <c r="ZT144" i="41"/>
  <c r="AAB144" i="41"/>
  <c r="AAJ144" i="41"/>
  <c r="AAS144" i="41" s="1"/>
  <c r="YE145" i="41"/>
  <c r="YM145" i="41"/>
  <c r="YU145" i="41"/>
  <c r="ZC145" i="41"/>
  <c r="ZL145" i="41"/>
  <c r="ZT145" i="41"/>
  <c r="AAB145" i="41"/>
  <c r="AAJ145" i="41"/>
  <c r="YE146" i="41"/>
  <c r="YM146" i="41"/>
  <c r="YU146" i="41"/>
  <c r="ZD146" i="41" s="1"/>
  <c r="ZC146" i="41"/>
  <c r="ZL146" i="41"/>
  <c r="ZT146" i="41"/>
  <c r="AAB146" i="41"/>
  <c r="AAJ146" i="41"/>
  <c r="YE147" i="41"/>
  <c r="YM147" i="41"/>
  <c r="YU147" i="41"/>
  <c r="ZC147" i="41"/>
  <c r="ZL147" i="41"/>
  <c r="ZT147" i="41"/>
  <c r="AAB147" i="41"/>
  <c r="AAJ147" i="41"/>
  <c r="AAS147" i="41" s="1"/>
  <c r="YE148" i="41"/>
  <c r="YM148" i="41"/>
  <c r="YU148" i="41"/>
  <c r="ZC148" i="41"/>
  <c r="ZL148" i="41"/>
  <c r="ZT148" i="41"/>
  <c r="AAB148" i="41"/>
  <c r="AAJ148" i="41"/>
  <c r="YE149" i="41"/>
  <c r="YM149" i="41"/>
  <c r="YU149" i="41"/>
  <c r="ZC149" i="41"/>
  <c r="ZL149" i="41"/>
  <c r="ZT149" i="41"/>
  <c r="AAB149" i="41"/>
  <c r="AAJ149" i="41"/>
  <c r="YE150" i="41"/>
  <c r="YM150" i="41"/>
  <c r="YU150" i="41"/>
  <c r="ZC150" i="41"/>
  <c r="ZL150" i="41"/>
  <c r="ZT150" i="41"/>
  <c r="AAB150" i="41"/>
  <c r="AAJ150" i="41"/>
  <c r="YE151" i="41"/>
  <c r="YM151" i="41"/>
  <c r="YU151" i="41"/>
  <c r="ZC151" i="41"/>
  <c r="ZL151" i="41"/>
  <c r="ZT151" i="41"/>
  <c r="AAB151" i="41"/>
  <c r="AAJ151" i="41"/>
  <c r="YE152" i="41"/>
  <c r="YM152" i="41"/>
  <c r="YU152" i="41"/>
  <c r="ZC152" i="41"/>
  <c r="ZL152" i="41"/>
  <c r="ZT152" i="41"/>
  <c r="AAB152" i="41"/>
  <c r="AAJ152" i="41"/>
  <c r="YE153" i="41"/>
  <c r="YM153" i="41"/>
  <c r="YU153" i="41"/>
  <c r="ZC153" i="41"/>
  <c r="ZL153" i="41"/>
  <c r="ZT153" i="41"/>
  <c r="AAB153" i="41"/>
  <c r="AAJ153" i="41"/>
  <c r="AAS153" i="41" s="1"/>
  <c r="YE154" i="41"/>
  <c r="YM154" i="41"/>
  <c r="YU154" i="41"/>
  <c r="ZC154" i="41"/>
  <c r="ZL154" i="41"/>
  <c r="ZT154" i="41"/>
  <c r="AAB154" i="41"/>
  <c r="AAJ154" i="41"/>
  <c r="YE155" i="41"/>
  <c r="YM155" i="41"/>
  <c r="YU155" i="41"/>
  <c r="ZC155" i="41"/>
  <c r="ZL155" i="41"/>
  <c r="ZT155" i="41"/>
  <c r="AAB155" i="41"/>
  <c r="AAJ155" i="41"/>
  <c r="YE156" i="41"/>
  <c r="YM156" i="41"/>
  <c r="YU156" i="41"/>
  <c r="ZC156" i="41"/>
  <c r="ZL156" i="41"/>
  <c r="ZT156" i="41"/>
  <c r="AAB156" i="41"/>
  <c r="AAJ156" i="41"/>
  <c r="AAS156" i="41" s="1"/>
  <c r="YE157" i="41"/>
  <c r="YM157" i="41"/>
  <c r="YU157" i="41"/>
  <c r="ZC157" i="41"/>
  <c r="ZL157" i="41"/>
  <c r="ZT157" i="41"/>
  <c r="AAB157" i="41"/>
  <c r="AAJ157" i="41"/>
  <c r="YE158" i="41"/>
  <c r="YM158" i="41"/>
  <c r="YU158" i="41"/>
  <c r="ZC158" i="41"/>
  <c r="ZL158" i="41"/>
  <c r="ZT158" i="41"/>
  <c r="AAB158" i="41"/>
  <c r="AAJ158" i="41"/>
  <c r="AAS158" i="41" s="1"/>
  <c r="YE159" i="41"/>
  <c r="YM159" i="41"/>
  <c r="YU159" i="41"/>
  <c r="ZC159" i="41"/>
  <c r="ZL159" i="41"/>
  <c r="ZT159" i="41"/>
  <c r="AAB159" i="41"/>
  <c r="AAJ159" i="41"/>
  <c r="YE160" i="41"/>
  <c r="YM160" i="41"/>
  <c r="YU160" i="41"/>
  <c r="ZC160" i="41"/>
  <c r="ZL160" i="41"/>
  <c r="ZT160" i="41"/>
  <c r="AAB160" i="41"/>
  <c r="AAJ160" i="41"/>
  <c r="YE161" i="41"/>
  <c r="YM161" i="41"/>
  <c r="YU161" i="41"/>
  <c r="ZC161" i="41"/>
  <c r="ZL161" i="41"/>
  <c r="ZT161" i="41"/>
  <c r="AAB161" i="41"/>
  <c r="AAJ161" i="41"/>
  <c r="YE162" i="41"/>
  <c r="YM162" i="41"/>
  <c r="YU162" i="41"/>
  <c r="ZC162" i="41"/>
  <c r="ZL162" i="41"/>
  <c r="ZT162" i="41"/>
  <c r="AAB162" i="41"/>
  <c r="AAJ162" i="41"/>
  <c r="AAS162" i="41" s="1"/>
  <c r="YE163" i="41"/>
  <c r="YM163" i="41"/>
  <c r="YU163" i="41"/>
  <c r="ZC163" i="41"/>
  <c r="ZL163" i="41"/>
  <c r="ZT163" i="41"/>
  <c r="AAB163" i="41"/>
  <c r="AAJ163" i="41"/>
  <c r="YE164" i="41"/>
  <c r="YM164" i="41"/>
  <c r="YU164" i="41"/>
  <c r="ZC164" i="41"/>
  <c r="ZL164" i="41"/>
  <c r="ZT164" i="41"/>
  <c r="AAB164" i="41"/>
  <c r="AAJ164" i="41"/>
  <c r="YE165" i="41"/>
  <c r="YM165" i="41"/>
  <c r="YU165" i="41"/>
  <c r="ZC165" i="41"/>
  <c r="ZL165" i="41"/>
  <c r="ZT165" i="41"/>
  <c r="AAB165" i="41"/>
  <c r="AAJ165" i="41"/>
  <c r="AAS165" i="41" s="1"/>
  <c r="YE166" i="41"/>
  <c r="YM166" i="41"/>
  <c r="YU166" i="41"/>
  <c r="ZC166" i="41"/>
  <c r="ZL166" i="41"/>
  <c r="ZT166" i="41"/>
  <c r="AAB166" i="41"/>
  <c r="AAJ166" i="41"/>
  <c r="YE167" i="41"/>
  <c r="YM167" i="41"/>
  <c r="YU167" i="41"/>
  <c r="ZC167" i="41"/>
  <c r="ZL167" i="41"/>
  <c r="ZT167" i="41"/>
  <c r="AAB167" i="41"/>
  <c r="AAJ167" i="41"/>
  <c r="AAS167" i="41" s="1"/>
  <c r="YE168" i="41"/>
  <c r="YM168" i="41"/>
  <c r="YU168" i="41"/>
  <c r="ZC168" i="41"/>
  <c r="ZL168" i="41"/>
  <c r="ZT168" i="41"/>
  <c r="AAB168" i="41"/>
  <c r="AAJ168" i="41"/>
  <c r="YE169" i="41"/>
  <c r="YM169" i="41"/>
  <c r="YU169" i="41"/>
  <c r="ZC169" i="41"/>
  <c r="ZL169" i="41"/>
  <c r="ZT169" i="41"/>
  <c r="AAB169" i="41"/>
  <c r="AAJ169" i="41"/>
  <c r="YE170" i="41"/>
  <c r="YM170" i="41"/>
  <c r="YU170" i="41"/>
  <c r="ZC170" i="41"/>
  <c r="ZL170" i="41"/>
  <c r="ZT170" i="41"/>
  <c r="AAB170" i="41"/>
  <c r="AAJ170" i="41"/>
  <c r="YE171" i="41"/>
  <c r="YM171" i="41"/>
  <c r="YU171" i="41"/>
  <c r="ZC171" i="41"/>
  <c r="ZL171" i="41"/>
  <c r="ZT171" i="41"/>
  <c r="AAB171" i="41"/>
  <c r="AAJ171" i="41"/>
  <c r="AAS171" i="41" s="1"/>
  <c r="YE172" i="41"/>
  <c r="YM172" i="41"/>
  <c r="YU172" i="41"/>
  <c r="ZC172" i="41"/>
  <c r="ZL172" i="41"/>
  <c r="ZT172" i="41"/>
  <c r="AAB172" i="41"/>
  <c r="AAJ172" i="41"/>
  <c r="YE173" i="41"/>
  <c r="YM173" i="41"/>
  <c r="YU173" i="41"/>
  <c r="ZC173" i="41"/>
  <c r="ZL173" i="41"/>
  <c r="ZT173" i="41"/>
  <c r="AAB173" i="41"/>
  <c r="AAJ173" i="41"/>
  <c r="YE174" i="41"/>
  <c r="YM174" i="41"/>
  <c r="YU174" i="41"/>
  <c r="ZC174" i="41"/>
  <c r="ZL174" i="41"/>
  <c r="ZT174" i="41"/>
  <c r="AAB174" i="41"/>
  <c r="AAJ174" i="41"/>
  <c r="AAS174" i="41" s="1"/>
  <c r="YE175" i="41"/>
  <c r="YM175" i="41"/>
  <c r="YU175" i="41"/>
  <c r="ZC175" i="41"/>
  <c r="ZL175" i="41"/>
  <c r="ZT175" i="41"/>
  <c r="AAB175" i="41"/>
  <c r="AAJ175" i="41"/>
  <c r="YE176" i="41"/>
  <c r="YM176" i="41"/>
  <c r="YU176" i="41"/>
  <c r="ZC176" i="41"/>
  <c r="ZL176" i="41"/>
  <c r="ZT176" i="41"/>
  <c r="AAB176" i="41"/>
  <c r="AAJ176" i="41"/>
  <c r="AAS176" i="41" s="1"/>
  <c r="YE177" i="41"/>
  <c r="YM177" i="41"/>
  <c r="YU177" i="41"/>
  <c r="ZC177" i="41"/>
  <c r="ZL177" i="41"/>
  <c r="ZT177" i="41"/>
  <c r="AAB177" i="41"/>
  <c r="AAJ177" i="41"/>
  <c r="YE178" i="41"/>
  <c r="YM178" i="41"/>
  <c r="YU178" i="41"/>
  <c r="ZC178" i="41"/>
  <c r="ZL178" i="41"/>
  <c r="ZT178" i="41"/>
  <c r="AAB178" i="41"/>
  <c r="AAJ178" i="41"/>
  <c r="YE179" i="41"/>
  <c r="YM179" i="41"/>
  <c r="YU179" i="41"/>
  <c r="ZC179" i="41"/>
  <c r="ZL179" i="41"/>
  <c r="ZT179" i="41"/>
  <c r="AAB179" i="41"/>
  <c r="AAJ179" i="41"/>
  <c r="YE180" i="41"/>
  <c r="YM180" i="41"/>
  <c r="YU180" i="41"/>
  <c r="ZC180" i="41"/>
  <c r="ZL180" i="41"/>
  <c r="ZT180" i="41"/>
  <c r="AAB180" i="41"/>
  <c r="AAJ180" i="41"/>
  <c r="AAS180" i="41" s="1"/>
  <c r="YE181" i="41"/>
  <c r="YM181" i="41"/>
  <c r="YU181" i="41"/>
  <c r="ZC181" i="41"/>
  <c r="ZL181" i="41"/>
  <c r="ZT181" i="41"/>
  <c r="AAB181" i="41"/>
  <c r="AAJ181" i="41"/>
  <c r="YE182" i="41"/>
  <c r="YM182" i="41"/>
  <c r="YU182" i="41"/>
  <c r="ZC182" i="41"/>
  <c r="ZL182" i="41"/>
  <c r="ZT182" i="41"/>
  <c r="AAB182" i="41"/>
  <c r="AAJ182" i="41"/>
  <c r="YE183" i="41"/>
  <c r="YM183" i="41"/>
  <c r="YU183" i="41"/>
  <c r="ZC183" i="41"/>
  <c r="ZL183" i="41"/>
  <c r="ZT183" i="41"/>
  <c r="AAB183" i="41"/>
  <c r="AAJ183" i="41"/>
  <c r="AAS183" i="41" s="1"/>
  <c r="YE184" i="41"/>
  <c r="YM184" i="41"/>
  <c r="YU184" i="41"/>
  <c r="ZC184" i="41"/>
  <c r="ZL184" i="41"/>
  <c r="ZT184" i="41"/>
  <c r="AAB184" i="41"/>
  <c r="AAJ184" i="41"/>
  <c r="YE185" i="41"/>
  <c r="YM185" i="41"/>
  <c r="YU185" i="41"/>
  <c r="ZC185" i="41"/>
  <c r="ZL185" i="41"/>
  <c r="ZT185" i="41"/>
  <c r="AAB185" i="41"/>
  <c r="AAJ185" i="41"/>
  <c r="AAS185" i="41" s="1"/>
  <c r="YE186" i="41"/>
  <c r="YM186" i="41"/>
  <c r="YU186" i="41"/>
  <c r="ZC186" i="41"/>
  <c r="ZL186" i="41"/>
  <c r="ZT186" i="41"/>
  <c r="AAB186" i="41"/>
  <c r="AAJ186" i="41"/>
  <c r="YE187" i="41"/>
  <c r="YM187" i="41"/>
  <c r="YU187" i="41"/>
  <c r="ZC187" i="41"/>
  <c r="ZL187" i="41"/>
  <c r="ZT187" i="41"/>
  <c r="AAB187" i="41"/>
  <c r="AAJ187" i="41"/>
  <c r="YE188" i="41"/>
  <c r="YM188" i="41"/>
  <c r="YU188" i="41"/>
  <c r="ZC188" i="41"/>
  <c r="ZL188" i="41"/>
  <c r="ZT188" i="41"/>
  <c r="AAB188" i="41"/>
  <c r="AAJ188" i="41"/>
  <c r="YE189" i="41"/>
  <c r="YM189" i="41"/>
  <c r="YU189" i="41"/>
  <c r="ZC189" i="41"/>
  <c r="ZL189" i="41"/>
  <c r="ZT189" i="41"/>
  <c r="AAB189" i="41"/>
  <c r="AAJ189" i="41"/>
  <c r="AAS189" i="41" s="1"/>
  <c r="YE190" i="41"/>
  <c r="YM190" i="41"/>
  <c r="YU190" i="41"/>
  <c r="ZC190" i="41"/>
  <c r="ZL190" i="41"/>
  <c r="ZT190" i="41"/>
  <c r="AAB190" i="41"/>
  <c r="AAJ190" i="41"/>
  <c r="YE195" i="41"/>
  <c r="YM195" i="41"/>
  <c r="YU195" i="41"/>
  <c r="ZD195" i="41" s="1"/>
  <c r="ZC195" i="41"/>
  <c r="YE196" i="41"/>
  <c r="YM196" i="41"/>
  <c r="YU196" i="41"/>
  <c r="ZC196" i="41"/>
  <c r="YE197" i="41"/>
  <c r="ZD197" i="41" s="1"/>
  <c r="YM197" i="41"/>
  <c r="YU197" i="41"/>
  <c r="ZC197" i="41"/>
  <c r="YE198" i="41"/>
  <c r="YM198" i="41"/>
  <c r="YU198" i="41"/>
  <c r="ZC198" i="41"/>
  <c r="YE199" i="41"/>
  <c r="YM199" i="41"/>
  <c r="YU199" i="41"/>
  <c r="ZD199" i="41" s="1"/>
  <c r="ZC199" i="41"/>
  <c r="YE200" i="41"/>
  <c r="YM200" i="41"/>
  <c r="YU200" i="41"/>
  <c r="ZC200" i="41"/>
  <c r="YE201" i="41"/>
  <c r="YM201" i="41"/>
  <c r="YU201" i="41"/>
  <c r="ZC201" i="41"/>
  <c r="YE202" i="41"/>
  <c r="YM202" i="41"/>
  <c r="YU202" i="41"/>
  <c r="ZC202" i="41"/>
  <c r="YE203" i="41"/>
  <c r="YM203" i="41"/>
  <c r="YU203" i="41"/>
  <c r="ZC203" i="41"/>
  <c r="YE204" i="41"/>
  <c r="YM204" i="41"/>
  <c r="YU204" i="41"/>
  <c r="ZC204" i="41"/>
  <c r="YE205" i="41"/>
  <c r="YM205" i="41"/>
  <c r="YU205" i="41"/>
  <c r="ZC205" i="41"/>
  <c r="YE206" i="41"/>
  <c r="YM206" i="41"/>
  <c r="YU206" i="41"/>
  <c r="ZC206" i="41"/>
  <c r="YE207" i="41"/>
  <c r="YM207" i="41"/>
  <c r="YU207" i="41"/>
  <c r="ZC207" i="41"/>
  <c r="YE208" i="41"/>
  <c r="YM208" i="41"/>
  <c r="YU208" i="41"/>
  <c r="ZC208" i="41"/>
  <c r="YE209" i="41"/>
  <c r="YM209" i="41"/>
  <c r="YU209" i="41"/>
  <c r="ZC209" i="41"/>
  <c r="YE210" i="41"/>
  <c r="YM210" i="41"/>
  <c r="YU210" i="41"/>
  <c r="ZC210" i="41"/>
  <c r="YE211" i="41"/>
  <c r="YM211" i="41"/>
  <c r="YU211" i="41"/>
  <c r="ZC211" i="41"/>
  <c r="YE212" i="41"/>
  <c r="YM212" i="41"/>
  <c r="YU212" i="41"/>
  <c r="ZC212" i="41"/>
  <c r="YE213" i="41"/>
  <c r="YM213" i="41"/>
  <c r="YU213" i="41"/>
  <c r="ZC213" i="41"/>
  <c r="YE214" i="41"/>
  <c r="YM214" i="41"/>
  <c r="YU214" i="41"/>
  <c r="ZC214" i="41"/>
  <c r="YE215" i="41"/>
  <c r="YM215" i="41"/>
  <c r="YU215" i="41"/>
  <c r="ZC215" i="41"/>
  <c r="YE216" i="41"/>
  <c r="YM216" i="41"/>
  <c r="YU216" i="41"/>
  <c r="ZC216" i="41"/>
  <c r="YE217" i="41"/>
  <c r="YM217" i="41"/>
  <c r="YU217" i="41"/>
  <c r="ZC217" i="41"/>
  <c r="YE218" i="41"/>
  <c r="YM218" i="41"/>
  <c r="YU218" i="41"/>
  <c r="ZC218" i="41"/>
  <c r="YE219" i="41"/>
  <c r="YM219" i="41"/>
  <c r="YU219" i="41"/>
  <c r="ZC219" i="41"/>
  <c r="YE220" i="41"/>
  <c r="YM220" i="41"/>
  <c r="YU220" i="41"/>
  <c r="ZC220" i="41"/>
  <c r="YE221" i="41"/>
  <c r="YM221" i="41"/>
  <c r="YU221" i="41"/>
  <c r="ZC221" i="41"/>
  <c r="YE222" i="41"/>
  <c r="YM222" i="41"/>
  <c r="YU222" i="41"/>
  <c r="ZC222" i="41"/>
  <c r="YE223" i="41"/>
  <c r="YM223" i="41"/>
  <c r="YU223" i="41"/>
  <c r="ZC223" i="41"/>
  <c r="YE224" i="41"/>
  <c r="YM224" i="41"/>
  <c r="YU224" i="41"/>
  <c r="ZC224" i="41"/>
  <c r="YE225" i="41"/>
  <c r="YM225" i="41"/>
  <c r="YU225" i="41"/>
  <c r="ZC225" i="41"/>
  <c r="YE226" i="41"/>
  <c r="YM226" i="41"/>
  <c r="YU226" i="41"/>
  <c r="ZC226" i="41"/>
  <c r="YE227" i="41"/>
  <c r="YM227" i="41"/>
  <c r="YU227" i="41"/>
  <c r="ZC227" i="41"/>
  <c r="YE228" i="41"/>
  <c r="YM228" i="41"/>
  <c r="YU228" i="41"/>
  <c r="ZC228" i="41"/>
  <c r="YE229" i="41"/>
  <c r="YM229" i="41"/>
  <c r="YU229" i="41"/>
  <c r="ZC229" i="41"/>
  <c r="YE230" i="41"/>
  <c r="YM230" i="41"/>
  <c r="YU230" i="41"/>
  <c r="ZC230" i="41"/>
  <c r="YE231" i="41"/>
  <c r="YM231" i="41"/>
  <c r="YU231" i="41"/>
  <c r="ZC231" i="41"/>
  <c r="YE232" i="41"/>
  <c r="YM232" i="41"/>
  <c r="YU232" i="41"/>
  <c r="ZC232" i="41"/>
  <c r="YE233" i="41"/>
  <c r="YM233" i="41"/>
  <c r="YU233" i="41"/>
  <c r="ZC233" i="41"/>
  <c r="YE234" i="41"/>
  <c r="YM234" i="41"/>
  <c r="YU234" i="41"/>
  <c r="ZC234" i="41"/>
  <c r="YE235" i="41"/>
  <c r="YM235" i="41"/>
  <c r="YU235" i="41"/>
  <c r="ZC235" i="41"/>
  <c r="YE236" i="41"/>
  <c r="YM236" i="41"/>
  <c r="YU236" i="41"/>
  <c r="ZC236" i="41"/>
  <c r="YE237" i="41"/>
  <c r="YM237" i="41"/>
  <c r="YU237" i="41"/>
  <c r="ZC237" i="41"/>
  <c r="YE238" i="41"/>
  <c r="YM238" i="41"/>
  <c r="YU238" i="41"/>
  <c r="ZC238" i="41"/>
  <c r="YE239" i="41"/>
  <c r="YM239" i="41"/>
  <c r="YU239" i="41"/>
  <c r="ZC239" i="41"/>
  <c r="YE240" i="41"/>
  <c r="YM240" i="41"/>
  <c r="YU240" i="41"/>
  <c r="ZC240" i="41"/>
  <c r="YE241" i="41"/>
  <c r="YM241" i="41"/>
  <c r="YU241" i="41"/>
  <c r="ZC241" i="41"/>
  <c r="YE242" i="41"/>
  <c r="YM242" i="41"/>
  <c r="YU242" i="41"/>
  <c r="ZC242" i="41"/>
  <c r="YE243" i="41"/>
  <c r="YM243" i="41"/>
  <c r="YU243" i="41"/>
  <c r="ZC243" i="41"/>
  <c r="ZT243" i="41"/>
  <c r="ZT244" i="41" s="1"/>
  <c r="AAJ243" i="41"/>
  <c r="AAR194" i="41"/>
  <c r="AAR244" i="41" s="1"/>
  <c r="AAB194" i="41"/>
  <c r="AAB244" i="41" s="1"/>
  <c r="ZL194" i="41"/>
  <c r="ZL244" i="41" s="1"/>
  <c r="ZC194" i="41"/>
  <c r="YU194" i="41"/>
  <c r="YM194" i="41"/>
  <c r="YE194" i="41"/>
  <c r="AAR124" i="41"/>
  <c r="AAJ124" i="41"/>
  <c r="AAB124" i="41"/>
  <c r="ZT124" i="41"/>
  <c r="ZL124" i="41"/>
  <c r="ZC124" i="41"/>
  <c r="YU124" i="41"/>
  <c r="YM124" i="41"/>
  <c r="YE124" i="41"/>
  <c r="AAR85" i="41"/>
  <c r="AAJ85" i="41"/>
  <c r="AAB85" i="41"/>
  <c r="ZT85" i="41"/>
  <c r="ZL85" i="41"/>
  <c r="ZC85" i="41"/>
  <c r="YU85" i="41"/>
  <c r="YM85" i="41"/>
  <c r="YE85" i="41"/>
  <c r="YE4" i="41"/>
  <c r="YM4" i="41"/>
  <c r="ZC4" i="41"/>
  <c r="ZL4" i="41"/>
  <c r="ZT4" i="41"/>
  <c r="AAB4" i="41"/>
  <c r="AAS4" i="41" s="1"/>
  <c r="AAJ4" i="41"/>
  <c r="AAR4" i="41"/>
  <c r="YE5" i="41"/>
  <c r="YM5" i="41"/>
  <c r="ZD5" i="41"/>
  <c r="ZC5" i="41"/>
  <c r="ZL5" i="41"/>
  <c r="ZT5" i="41"/>
  <c r="AAB5" i="41"/>
  <c r="AAJ5" i="41"/>
  <c r="AAR5" i="41"/>
  <c r="YE6" i="41"/>
  <c r="YM6" i="41"/>
  <c r="ZC6" i="41"/>
  <c r="ZL6" i="41"/>
  <c r="ZT6" i="41"/>
  <c r="AAB6" i="41"/>
  <c r="AAJ6" i="41"/>
  <c r="AAR6" i="41"/>
  <c r="YE7" i="41"/>
  <c r="YM7" i="41"/>
  <c r="ZD7" i="41"/>
  <c r="ZC7" i="41"/>
  <c r="ZL7" i="41"/>
  <c r="ZT7" i="41"/>
  <c r="AAB7" i="41"/>
  <c r="AAJ7" i="41"/>
  <c r="AAR7" i="41"/>
  <c r="YE8" i="41"/>
  <c r="YM8" i="41"/>
  <c r="ZC8" i="41"/>
  <c r="ZL8" i="41"/>
  <c r="ZT8" i="41"/>
  <c r="AAB8" i="41"/>
  <c r="AAJ8" i="41"/>
  <c r="AAR8" i="41"/>
  <c r="YE9" i="41"/>
  <c r="YM9" i="41"/>
  <c r="ZD9" i="41"/>
  <c r="ZC9" i="41"/>
  <c r="ZL9" i="41"/>
  <c r="ZT9" i="41"/>
  <c r="AAB9" i="41"/>
  <c r="AAJ9" i="41"/>
  <c r="AAR9" i="41"/>
  <c r="YE10" i="41"/>
  <c r="YM10" i="41"/>
  <c r="ZC10" i="41"/>
  <c r="ZL10" i="41"/>
  <c r="ZT10" i="41"/>
  <c r="AAB10" i="41"/>
  <c r="AAJ10" i="41"/>
  <c r="AAR10" i="41"/>
  <c r="YE11" i="41"/>
  <c r="YM11" i="41"/>
  <c r="ZD11" i="41"/>
  <c r="ZC11" i="41"/>
  <c r="ZL11" i="41"/>
  <c r="ZT11" i="41"/>
  <c r="AAB11" i="41"/>
  <c r="AAJ11" i="41"/>
  <c r="AAR11" i="41"/>
  <c r="YE12" i="41"/>
  <c r="YM12" i="41"/>
  <c r="ZC12" i="41"/>
  <c r="ZL12" i="41"/>
  <c r="ZT12" i="41"/>
  <c r="AAB12" i="41"/>
  <c r="AAJ12" i="41"/>
  <c r="AAR12" i="41"/>
  <c r="YE13" i="41"/>
  <c r="YM13" i="41"/>
  <c r="ZC13" i="41"/>
  <c r="ZL13" i="41"/>
  <c r="ZT13" i="41"/>
  <c r="AAB13" i="41"/>
  <c r="AAJ13" i="41"/>
  <c r="AAR13" i="41"/>
  <c r="YE14" i="41"/>
  <c r="YM14" i="41"/>
  <c r="ZC14" i="41"/>
  <c r="ZL14" i="41"/>
  <c r="ZT14" i="41"/>
  <c r="AAB14" i="41"/>
  <c r="AAJ14" i="41"/>
  <c r="AAR14" i="41"/>
  <c r="YE15" i="41"/>
  <c r="YM15" i="41"/>
  <c r="ZC15" i="41"/>
  <c r="ZL15" i="41"/>
  <c r="ZT15" i="41"/>
  <c r="AAB15" i="41"/>
  <c r="AAJ15" i="41"/>
  <c r="AAR15" i="41"/>
  <c r="YE16" i="41"/>
  <c r="YM16" i="41"/>
  <c r="ZC16" i="41"/>
  <c r="ZL16" i="41"/>
  <c r="ZT16" i="41"/>
  <c r="AAB16" i="41"/>
  <c r="AAJ16" i="41"/>
  <c r="AAR16" i="41"/>
  <c r="YE17" i="41"/>
  <c r="YM17" i="41"/>
  <c r="ZC17" i="41"/>
  <c r="ZL17" i="41"/>
  <c r="ZT17" i="41"/>
  <c r="AAB17" i="41"/>
  <c r="AAJ17" i="41"/>
  <c r="AAR17" i="41"/>
  <c r="YE18" i="41"/>
  <c r="YM18" i="41"/>
  <c r="ZC18" i="41"/>
  <c r="ZL18" i="41"/>
  <c r="ZT18" i="41"/>
  <c r="AAB18" i="41"/>
  <c r="AAJ18" i="41"/>
  <c r="AAR18" i="41"/>
  <c r="YE19" i="41"/>
  <c r="YM19" i="41"/>
  <c r="ZC19" i="41"/>
  <c r="ZL19" i="41"/>
  <c r="ZT19" i="41"/>
  <c r="AAB19" i="41"/>
  <c r="AAJ19" i="41"/>
  <c r="AAR19" i="41"/>
  <c r="YE20" i="41"/>
  <c r="YM20" i="41"/>
  <c r="ZC20" i="41"/>
  <c r="ZL20" i="41"/>
  <c r="ZT20" i="41"/>
  <c r="AAB20" i="41"/>
  <c r="AAJ20" i="41"/>
  <c r="AAR20" i="41"/>
  <c r="YE21" i="41"/>
  <c r="YM21" i="41"/>
  <c r="ZC21" i="41"/>
  <c r="ZL21" i="41"/>
  <c r="ZT21" i="41"/>
  <c r="AAB21" i="41"/>
  <c r="AAJ21" i="41"/>
  <c r="AAR21" i="41"/>
  <c r="YE22" i="41"/>
  <c r="YM22" i="41"/>
  <c r="ZC22" i="41"/>
  <c r="ZL22" i="41"/>
  <c r="ZT22" i="41"/>
  <c r="AAB22" i="41"/>
  <c r="AAJ22" i="41"/>
  <c r="AAR22" i="41"/>
  <c r="YE23" i="41"/>
  <c r="YM23" i="41"/>
  <c r="ZC23" i="41"/>
  <c r="ZL23" i="41"/>
  <c r="ZT23" i="41"/>
  <c r="AAB23" i="41"/>
  <c r="AAJ23" i="41"/>
  <c r="AAR23" i="41"/>
  <c r="YE24" i="41"/>
  <c r="YM24" i="41"/>
  <c r="ZC24" i="41"/>
  <c r="ZL24" i="41"/>
  <c r="ZT24" i="41"/>
  <c r="AAB24" i="41"/>
  <c r="AAJ24" i="41"/>
  <c r="AAR24" i="41"/>
  <c r="YE25" i="41"/>
  <c r="YM25" i="41"/>
  <c r="ZC25" i="41"/>
  <c r="ZL25" i="41"/>
  <c r="ZT25" i="41"/>
  <c r="AAB25" i="41"/>
  <c r="AAJ25" i="41"/>
  <c r="AAR25" i="41"/>
  <c r="YE26" i="41"/>
  <c r="YM26" i="41"/>
  <c r="ZC26" i="41"/>
  <c r="ZL26" i="41"/>
  <c r="ZT26" i="41"/>
  <c r="AAB26" i="41"/>
  <c r="AAJ26" i="41"/>
  <c r="AAR26" i="41"/>
  <c r="YE27" i="41"/>
  <c r="YM27" i="41"/>
  <c r="ZC27" i="41"/>
  <c r="ZL27" i="41"/>
  <c r="ZT27" i="41"/>
  <c r="AAB27" i="41"/>
  <c r="AAJ27" i="41"/>
  <c r="AAR27" i="41"/>
  <c r="YE28" i="41"/>
  <c r="YM28" i="41"/>
  <c r="ZC28" i="41"/>
  <c r="ZL28" i="41"/>
  <c r="ZT28" i="41"/>
  <c r="AAB28" i="41"/>
  <c r="AAJ28" i="41"/>
  <c r="AAR28" i="41"/>
  <c r="YE29" i="41"/>
  <c r="YM29" i="41"/>
  <c r="ZC29" i="41"/>
  <c r="ZL29" i="41"/>
  <c r="ZT29" i="41"/>
  <c r="AAB29" i="41"/>
  <c r="AAJ29" i="41"/>
  <c r="AAR29" i="41"/>
  <c r="YE30" i="41"/>
  <c r="YM30" i="41"/>
  <c r="ZC30" i="41"/>
  <c r="ZL30" i="41"/>
  <c r="ZT30" i="41"/>
  <c r="AAB30" i="41"/>
  <c r="AAJ30" i="41"/>
  <c r="AAR30" i="41"/>
  <c r="YE31" i="41"/>
  <c r="YM31" i="41"/>
  <c r="ZC31" i="41"/>
  <c r="ZL31" i="41"/>
  <c r="ZT31" i="41"/>
  <c r="AAB31" i="41"/>
  <c r="AAJ31" i="41"/>
  <c r="AAR31" i="41"/>
  <c r="YE32" i="41"/>
  <c r="YM32" i="41"/>
  <c r="ZC32" i="41"/>
  <c r="ZL32" i="41"/>
  <c r="ZT32" i="41"/>
  <c r="AAB32" i="41"/>
  <c r="AAJ32" i="41"/>
  <c r="AAR32" i="41"/>
  <c r="YE33" i="41"/>
  <c r="YM33" i="41"/>
  <c r="ZC33" i="41"/>
  <c r="ZL33" i="41"/>
  <c r="ZT33" i="41"/>
  <c r="AAB33" i="41"/>
  <c r="AAJ33" i="41"/>
  <c r="AAR33" i="41"/>
  <c r="YE34" i="41"/>
  <c r="YM34" i="41"/>
  <c r="ZC34" i="41"/>
  <c r="ZL34" i="41"/>
  <c r="ZT34" i="41"/>
  <c r="AAB34" i="41"/>
  <c r="AAJ34" i="41"/>
  <c r="AAR34" i="41"/>
  <c r="YE35" i="41"/>
  <c r="YM35" i="41"/>
  <c r="ZC35" i="41"/>
  <c r="ZL35" i="41"/>
  <c r="ZT35" i="41"/>
  <c r="AAB35" i="41"/>
  <c r="AAJ35" i="41"/>
  <c r="AAR35" i="41"/>
  <c r="YE36" i="41"/>
  <c r="YM36" i="41"/>
  <c r="ZC36" i="41"/>
  <c r="ZL36" i="41"/>
  <c r="ZT36" i="41"/>
  <c r="AAB36" i="41"/>
  <c r="AAJ36" i="41"/>
  <c r="AAR36" i="41"/>
  <c r="YE37" i="41"/>
  <c r="YM37" i="41"/>
  <c r="ZC37" i="41"/>
  <c r="ZL37" i="41"/>
  <c r="ZT37" i="41"/>
  <c r="AAB37" i="41"/>
  <c r="AAJ37" i="41"/>
  <c r="AAR37" i="41"/>
  <c r="YE38" i="41"/>
  <c r="YM38" i="41"/>
  <c r="ZC38" i="41"/>
  <c r="ZL38" i="41"/>
  <c r="ZT38" i="41"/>
  <c r="AAB38" i="41"/>
  <c r="AAJ38" i="41"/>
  <c r="AAR38" i="41"/>
  <c r="YE39" i="41"/>
  <c r="YM39" i="41"/>
  <c r="ZC39" i="41"/>
  <c r="ZL39" i="41"/>
  <c r="ZT39" i="41"/>
  <c r="AAB39" i="41"/>
  <c r="AAJ39" i="41"/>
  <c r="AAR39" i="41"/>
  <c r="YE40" i="41"/>
  <c r="YM40" i="41"/>
  <c r="ZC40" i="41"/>
  <c r="ZL40" i="41"/>
  <c r="ZT40" i="41"/>
  <c r="AAB40" i="41"/>
  <c r="AAJ40" i="41"/>
  <c r="AAR40" i="41"/>
  <c r="YE41" i="41"/>
  <c r="YM41" i="41"/>
  <c r="ZC41" i="41"/>
  <c r="ZL41" i="41"/>
  <c r="ZT41" i="41"/>
  <c r="AAB41" i="41"/>
  <c r="AAJ41" i="41"/>
  <c r="AAR41" i="41"/>
  <c r="YE42" i="41"/>
  <c r="YM42" i="41"/>
  <c r="ZC42" i="41"/>
  <c r="ZL42" i="41"/>
  <c r="ZT42" i="41"/>
  <c r="AAB42" i="41"/>
  <c r="AAS42" i="41" s="1"/>
  <c r="AAJ42" i="41"/>
  <c r="AAR42" i="41"/>
  <c r="YE43" i="41"/>
  <c r="YM43" i="41"/>
  <c r="ZC43" i="41"/>
  <c r="ZL43" i="41"/>
  <c r="ZT43" i="41"/>
  <c r="AAB43" i="41"/>
  <c r="AAJ43" i="41"/>
  <c r="AAR43" i="41"/>
  <c r="YE44" i="41"/>
  <c r="YM44" i="41"/>
  <c r="ZC44" i="41"/>
  <c r="ZL44" i="41"/>
  <c r="ZT44" i="41"/>
  <c r="AAB44" i="41"/>
  <c r="AAJ44" i="41"/>
  <c r="AAR44" i="41"/>
  <c r="YE45" i="41"/>
  <c r="YM45" i="41"/>
  <c r="ZC45" i="41"/>
  <c r="ZL45" i="41"/>
  <c r="ZT45" i="41"/>
  <c r="AAB45" i="41"/>
  <c r="AAJ45" i="41"/>
  <c r="AAR45" i="41"/>
  <c r="YE46" i="41"/>
  <c r="YM46" i="41"/>
  <c r="ZC46" i="41"/>
  <c r="ZL46" i="41"/>
  <c r="ZT46" i="41"/>
  <c r="AAB46" i="41"/>
  <c r="AAJ46" i="41"/>
  <c r="AAR46" i="41"/>
  <c r="YE47" i="41"/>
  <c r="YM47" i="41"/>
  <c r="ZC47" i="41"/>
  <c r="ZL47" i="41"/>
  <c r="ZT47" i="41"/>
  <c r="AAB47" i="41"/>
  <c r="AAJ47" i="41"/>
  <c r="AAS47" i="41" s="1"/>
  <c r="AAR47" i="41"/>
  <c r="YE48" i="41"/>
  <c r="YM48" i="41"/>
  <c r="ZC48" i="41"/>
  <c r="ZL48" i="41"/>
  <c r="ZT48" i="41"/>
  <c r="AAS48" i="41" s="1"/>
  <c r="AAB48" i="41"/>
  <c r="AAJ48" i="41"/>
  <c r="AAR48" i="41"/>
  <c r="YE49" i="41"/>
  <c r="YM49" i="41"/>
  <c r="ZC49" i="41"/>
  <c r="ZL49" i="41"/>
  <c r="ZT49" i="41"/>
  <c r="AAB49" i="41"/>
  <c r="AAJ49" i="41"/>
  <c r="AAR49" i="41"/>
  <c r="YE50" i="41"/>
  <c r="YM50" i="41"/>
  <c r="ZC50" i="41"/>
  <c r="ZL50" i="41"/>
  <c r="ZT50" i="41"/>
  <c r="AAB50" i="41"/>
  <c r="AAJ50" i="41"/>
  <c r="AAR50" i="41"/>
  <c r="YE51" i="41"/>
  <c r="YM51" i="41"/>
  <c r="ZC51" i="41"/>
  <c r="ZL51" i="41"/>
  <c r="ZT51" i="41"/>
  <c r="AAB51" i="41"/>
  <c r="AAJ51" i="41"/>
  <c r="AAS51" i="41" s="1"/>
  <c r="AAR51" i="41"/>
  <c r="YE52" i="41"/>
  <c r="YM52" i="41"/>
  <c r="ZC52" i="41"/>
  <c r="ZL52" i="41"/>
  <c r="ZT52" i="41"/>
  <c r="AAB52" i="41"/>
  <c r="AAJ52" i="41"/>
  <c r="AAR52" i="41"/>
  <c r="YE53" i="41"/>
  <c r="YM53" i="41"/>
  <c r="ZC53" i="41"/>
  <c r="ZL53" i="41"/>
  <c r="ZT53" i="41"/>
  <c r="AAB53" i="41"/>
  <c r="AAS53" i="41" s="1"/>
  <c r="AAJ53" i="41"/>
  <c r="AAR53" i="41"/>
  <c r="YE54" i="41"/>
  <c r="YM54" i="41"/>
  <c r="ZC54" i="41"/>
  <c r="ZL54" i="41"/>
  <c r="ZT54" i="41"/>
  <c r="AAB54" i="41"/>
  <c r="AAJ54" i="41"/>
  <c r="AAR54" i="41"/>
  <c r="YE55" i="41"/>
  <c r="YM55" i="41"/>
  <c r="ZC55" i="41"/>
  <c r="ZL55" i="41"/>
  <c r="ZT55" i="41"/>
  <c r="AAB55" i="41"/>
  <c r="AAJ55" i="41"/>
  <c r="AAR55" i="41"/>
  <c r="YE56" i="41"/>
  <c r="YM56" i="41"/>
  <c r="ZC56" i="41"/>
  <c r="ZL56" i="41"/>
  <c r="ZT56" i="41"/>
  <c r="AAB56" i="41"/>
  <c r="AAJ56" i="41"/>
  <c r="AAR56" i="41"/>
  <c r="YE57" i="41"/>
  <c r="YM57" i="41"/>
  <c r="ZC57" i="41"/>
  <c r="ZL57" i="41"/>
  <c r="ZT57" i="41"/>
  <c r="AAB57" i="41"/>
  <c r="AAJ57" i="41"/>
  <c r="AAR57" i="41"/>
  <c r="YE58" i="41"/>
  <c r="YM58" i="41"/>
  <c r="ZC58" i="41"/>
  <c r="ZL58" i="41"/>
  <c r="ZT58" i="41"/>
  <c r="AAB58" i="41"/>
  <c r="AAJ58" i="41"/>
  <c r="AAR58" i="41"/>
  <c r="YE59" i="41"/>
  <c r="YM59" i="41"/>
  <c r="ZC59" i="41"/>
  <c r="ZL59" i="41"/>
  <c r="ZT59" i="41"/>
  <c r="AAB59" i="41"/>
  <c r="AAJ59" i="41"/>
  <c r="AAR59" i="41"/>
  <c r="YE60" i="41"/>
  <c r="YM60" i="41"/>
  <c r="ZC60" i="41"/>
  <c r="ZL60" i="41"/>
  <c r="ZT60" i="41"/>
  <c r="AAB60" i="41"/>
  <c r="AAJ60" i="41"/>
  <c r="AAR60" i="41"/>
  <c r="YE61" i="41"/>
  <c r="YM61" i="41"/>
  <c r="ZC61" i="41"/>
  <c r="ZL61" i="41"/>
  <c r="ZT61" i="41"/>
  <c r="AAB61" i="41"/>
  <c r="AAJ61" i="41"/>
  <c r="AAR61" i="41"/>
  <c r="YE62" i="41"/>
  <c r="YM62" i="41"/>
  <c r="ZD62" i="41"/>
  <c r="ZC62" i="41"/>
  <c r="ZL62" i="41"/>
  <c r="ZT62" i="41"/>
  <c r="AAB62" i="41"/>
  <c r="AAJ62" i="41"/>
  <c r="AAR62" i="41"/>
  <c r="YE63" i="41"/>
  <c r="YM63" i="41"/>
  <c r="ZC63" i="41"/>
  <c r="ZL63" i="41"/>
  <c r="ZT63" i="41"/>
  <c r="AAB63" i="41"/>
  <c r="AAJ63" i="41"/>
  <c r="AAR63" i="41"/>
  <c r="YE64" i="41"/>
  <c r="YM64" i="41"/>
  <c r="ZC64" i="41"/>
  <c r="ZL64" i="41"/>
  <c r="ZT64" i="41"/>
  <c r="AAB64" i="41"/>
  <c r="AAJ64" i="41"/>
  <c r="AAR64" i="41"/>
  <c r="YE65" i="41"/>
  <c r="YM65" i="41"/>
  <c r="ZC65" i="41"/>
  <c r="ZL65" i="41"/>
  <c r="ZT65" i="41"/>
  <c r="AAB65" i="41"/>
  <c r="AAJ65" i="41"/>
  <c r="AAR65" i="41"/>
  <c r="YE66" i="41"/>
  <c r="YM66" i="41"/>
  <c r="ZC66" i="41"/>
  <c r="ZL66" i="41"/>
  <c r="ZT66" i="41"/>
  <c r="AAB66" i="41"/>
  <c r="AAJ66" i="41"/>
  <c r="AAR66" i="41"/>
  <c r="YE67" i="41"/>
  <c r="YM67" i="41"/>
  <c r="ZC67" i="41"/>
  <c r="ZL67" i="41"/>
  <c r="ZT67" i="41"/>
  <c r="AAB67" i="41"/>
  <c r="AAJ67" i="41"/>
  <c r="AAR67" i="41"/>
  <c r="YE68" i="41"/>
  <c r="YM68" i="41"/>
  <c r="ZD68" i="41"/>
  <c r="ZC68" i="41"/>
  <c r="ZL68" i="41"/>
  <c r="ZT68" i="41"/>
  <c r="AAB68" i="41"/>
  <c r="AAJ68" i="41"/>
  <c r="AAR68" i="41"/>
  <c r="YE69" i="41"/>
  <c r="YM69" i="41"/>
  <c r="ZC69" i="41"/>
  <c r="ZL69" i="41"/>
  <c r="ZT69" i="41"/>
  <c r="AAB69" i="41"/>
  <c r="AAJ69" i="41"/>
  <c r="AAR69" i="41"/>
  <c r="YE70" i="41"/>
  <c r="YM70" i="41"/>
  <c r="ZC70" i="41"/>
  <c r="ZL70" i="41"/>
  <c r="ZT70" i="41"/>
  <c r="AAB70" i="41"/>
  <c r="AAJ70" i="41"/>
  <c r="AAR70" i="41"/>
  <c r="YE71" i="41"/>
  <c r="YM71" i="41"/>
  <c r="ZC71" i="41"/>
  <c r="ZL71" i="41"/>
  <c r="ZT71" i="41"/>
  <c r="AAB71" i="41"/>
  <c r="AAJ71" i="41"/>
  <c r="AAR71" i="41"/>
  <c r="YE72" i="41"/>
  <c r="YM72" i="41"/>
  <c r="ZC72" i="41"/>
  <c r="ZL72" i="41"/>
  <c r="ZT72" i="41"/>
  <c r="AAB72" i="41"/>
  <c r="AAJ72" i="41"/>
  <c r="AAR72" i="41"/>
  <c r="YE73" i="41"/>
  <c r="YM73" i="41"/>
  <c r="ZC73" i="41"/>
  <c r="ZL73" i="41"/>
  <c r="ZT73" i="41"/>
  <c r="AAB73" i="41"/>
  <c r="AAJ73" i="41"/>
  <c r="AAR73" i="41"/>
  <c r="YE74" i="41"/>
  <c r="YM74" i="41"/>
  <c r="ZD74" i="41"/>
  <c r="ZC74" i="41"/>
  <c r="ZL74" i="41"/>
  <c r="ZT74" i="41"/>
  <c r="AAB74" i="41"/>
  <c r="AAJ74" i="41"/>
  <c r="AAR74" i="41"/>
  <c r="YE75" i="41"/>
  <c r="YM75" i="41"/>
  <c r="ZC75" i="41"/>
  <c r="ZL75" i="41"/>
  <c r="ZT75" i="41"/>
  <c r="AAB75" i="41"/>
  <c r="AAJ75" i="41"/>
  <c r="AAR75" i="41"/>
  <c r="YE76" i="41"/>
  <c r="YM76" i="41"/>
  <c r="ZC76" i="41"/>
  <c r="ZL76" i="41"/>
  <c r="ZT76" i="41"/>
  <c r="AAB76" i="41"/>
  <c r="AAJ76" i="41"/>
  <c r="AAR76" i="41"/>
  <c r="YE77" i="41"/>
  <c r="YM77" i="41"/>
  <c r="ZC77" i="41"/>
  <c r="ZL77" i="41"/>
  <c r="ZT77" i="41"/>
  <c r="AAB77" i="41"/>
  <c r="AAJ77" i="41"/>
  <c r="AAR77" i="41"/>
  <c r="YE78" i="41"/>
  <c r="YM78" i="41"/>
  <c r="ZC78" i="41"/>
  <c r="ZL78" i="41"/>
  <c r="ZT78" i="41"/>
  <c r="AAB78" i="41"/>
  <c r="AAJ78" i="41"/>
  <c r="AAR78" i="41"/>
  <c r="YE79" i="41"/>
  <c r="YM79" i="41"/>
  <c r="ZC79" i="41"/>
  <c r="ZL79" i="41"/>
  <c r="ZT79" i="41"/>
  <c r="AAB79" i="41"/>
  <c r="AAJ79" i="41"/>
  <c r="AAR79" i="41"/>
  <c r="YE80" i="41"/>
  <c r="YM80" i="41"/>
  <c r="ZD80" i="41"/>
  <c r="ZC80" i="41"/>
  <c r="ZL80" i="41"/>
  <c r="ZT80" i="41"/>
  <c r="AAB80" i="41"/>
  <c r="AAJ80" i="41"/>
  <c r="AAR80" i="41"/>
  <c r="YE81" i="41"/>
  <c r="YM81" i="41"/>
  <c r="YU81" i="41"/>
  <c r="ZC81" i="41"/>
  <c r="ZL81" i="41"/>
  <c r="ZT81" i="41"/>
  <c r="AAB81" i="41"/>
  <c r="AAJ81" i="41"/>
  <c r="AAR81" i="41"/>
  <c r="AAR3" i="41"/>
  <c r="AAJ3" i="41"/>
  <c r="AAB3" i="41"/>
  <c r="ZT3" i="41"/>
  <c r="ZL3" i="41"/>
  <c r="ZC3" i="41"/>
  <c r="ZD3" i="41"/>
  <c r="YM3" i="41"/>
  <c r="YE3" i="41"/>
  <c r="ZD81" i="41" l="1"/>
  <c r="ZD61" i="41"/>
  <c r="AAS184" i="41"/>
  <c r="AAS175" i="41"/>
  <c r="AAS166" i="41"/>
  <c r="AAS157" i="41"/>
  <c r="AAS148" i="41"/>
  <c r="AAS139" i="41"/>
  <c r="AAS130" i="41"/>
  <c r="AAS116" i="41"/>
  <c r="AAS107" i="41"/>
  <c r="AAS98" i="41"/>
  <c r="AAS89" i="41"/>
  <c r="ZD79" i="41"/>
  <c r="ZD63" i="41"/>
  <c r="ZD231" i="41"/>
  <c r="ZD204" i="41"/>
  <c r="AAS186" i="41"/>
  <c r="AAS177" i="41"/>
  <c r="AAS168" i="41"/>
  <c r="AAS159" i="41"/>
  <c r="AAS150" i="41"/>
  <c r="AAS141" i="41"/>
  <c r="AAS132" i="41"/>
  <c r="AAS118" i="41"/>
  <c r="AAS109" i="41"/>
  <c r="AAS100" i="41"/>
  <c r="AAS91" i="41"/>
  <c r="AAS50" i="41"/>
  <c r="AAS44" i="41"/>
  <c r="AAS30" i="41"/>
  <c r="AAS24" i="41"/>
  <c r="AAS16" i="41"/>
  <c r="AAS6" i="41"/>
  <c r="AAS12" i="41"/>
  <c r="AAS69" i="41"/>
  <c r="AAS65" i="41"/>
  <c r="AAS61" i="41"/>
  <c r="AAS55" i="41"/>
  <c r="ZD42" i="41"/>
  <c r="ZD40" i="41"/>
  <c r="ZD38" i="41"/>
  <c r="ZD36" i="41"/>
  <c r="ZD34" i="41"/>
  <c r="ZD32" i="41"/>
  <c r="ZD30" i="41"/>
  <c r="ZD28" i="41"/>
  <c r="ZD26" i="41"/>
  <c r="ZD24" i="41"/>
  <c r="ZD22" i="41"/>
  <c r="ZD20" i="41"/>
  <c r="ZD18" i="41"/>
  <c r="ZD16" i="41"/>
  <c r="ZD14" i="41"/>
  <c r="ZD12" i="41"/>
  <c r="ZD10" i="41"/>
  <c r="ZD8" i="41"/>
  <c r="ZD6" i="41"/>
  <c r="ZD4" i="41"/>
  <c r="YE244" i="41"/>
  <c r="ZD73" i="41"/>
  <c r="YM244" i="41"/>
  <c r="YE82" i="41"/>
  <c r="ZD45" i="41"/>
  <c r="ZD43" i="41"/>
  <c r="YU244" i="41"/>
  <c r="ZD209" i="41"/>
  <c r="AAS182" i="41"/>
  <c r="AAS173" i="41"/>
  <c r="AAS164" i="41"/>
  <c r="AAS155" i="41"/>
  <c r="AAS146" i="41"/>
  <c r="AAS137" i="41"/>
  <c r="AAS128" i="41"/>
  <c r="AAS114" i="41"/>
  <c r="AAS105" i="41"/>
  <c r="AAS96" i="41"/>
  <c r="AAS87" i="41"/>
  <c r="AAS88" i="41"/>
  <c r="ZD44" i="41"/>
  <c r="ZD75" i="41"/>
  <c r="ZD53" i="41"/>
  <c r="AAS76" i="41"/>
  <c r="AAS74" i="41"/>
  <c r="AAS68" i="41"/>
  <c r="AAS62" i="41"/>
  <c r="ZD51" i="41"/>
  <c r="ZD47" i="41"/>
  <c r="ZD41" i="41"/>
  <c r="ZD39" i="41"/>
  <c r="ZD37" i="41"/>
  <c r="ZD35" i="41"/>
  <c r="ZD33" i="41"/>
  <c r="ZD31" i="41"/>
  <c r="ZD29" i="41"/>
  <c r="ZD27" i="41"/>
  <c r="ZD25" i="41"/>
  <c r="ZD23" i="41"/>
  <c r="ZD21" i="41"/>
  <c r="ZD19" i="41"/>
  <c r="ZD17" i="41"/>
  <c r="ZD15" i="41"/>
  <c r="ZD13" i="41"/>
  <c r="ZC244" i="41"/>
  <c r="AAS188" i="41"/>
  <c r="AAS179" i="41"/>
  <c r="AAS152" i="41"/>
  <c r="AAS134" i="41"/>
  <c r="AAS93" i="41"/>
  <c r="AAJ82" i="41"/>
  <c r="ZD78" i="41"/>
  <c r="ZD76" i="41"/>
  <c r="ZD72" i="41"/>
  <c r="ZD70" i="41"/>
  <c r="ZD60" i="41"/>
  <c r="ZD58" i="41"/>
  <c r="ZD54" i="41"/>
  <c r="ZT82" i="41"/>
  <c r="AAS243" i="41"/>
  <c r="AAJ244" i="41"/>
  <c r="AAB82" i="41"/>
  <c r="AAS8" i="41"/>
  <c r="AAS170" i="41"/>
  <c r="AAS161" i="41"/>
  <c r="AAS143" i="41"/>
  <c r="AAS125" i="41"/>
  <c r="AAS111" i="41"/>
  <c r="AAS102" i="41"/>
  <c r="AAR82" i="41"/>
  <c r="ZD66" i="41"/>
  <c r="ZD64" i="41"/>
  <c r="ZD52" i="41"/>
  <c r="ZD50" i="41"/>
  <c r="ZL82" i="41"/>
  <c r="AAS29" i="41"/>
  <c r="ZD77" i="41"/>
  <c r="ZD71" i="41"/>
  <c r="ZD69" i="41"/>
  <c r="ZD67" i="41"/>
  <c r="ZD65" i="41"/>
  <c r="ZD59" i="41"/>
  <c r="ZD56" i="41"/>
  <c r="ZD57" i="41"/>
  <c r="ZD49" i="41"/>
  <c r="ZD46" i="41"/>
  <c r="ZD48" i="41"/>
  <c r="ZD55" i="41"/>
  <c r="ZC82" i="41"/>
  <c r="YU82" i="41"/>
  <c r="YM82" i="41"/>
  <c r="AAS70" i="41"/>
  <c r="AAS45" i="41"/>
  <c r="AAS43" i="41"/>
  <c r="AAS41" i="41"/>
  <c r="AAS39" i="41"/>
  <c r="AAS33" i="41"/>
  <c r="AAS31" i="41"/>
  <c r="AAS25" i="41"/>
  <c r="AAS23" i="41"/>
  <c r="AAS21" i="41"/>
  <c r="AAS19" i="41"/>
  <c r="AAS17" i="41"/>
  <c r="AAS27" i="41"/>
  <c r="AAS15" i="41"/>
  <c r="AAS60" i="41"/>
  <c r="AAS34" i="41"/>
  <c r="AAS63" i="41"/>
  <c r="AAS149" i="41"/>
  <c r="AAS32" i="41"/>
  <c r="AAS79" i="41"/>
  <c r="AAS40" i="41"/>
  <c r="AAS71" i="41"/>
  <c r="ZD228" i="41"/>
  <c r="AAS11" i="41"/>
  <c r="AAS37" i="41"/>
  <c r="AAS81" i="41"/>
  <c r="AAS56" i="41"/>
  <c r="ZD216" i="41"/>
  <c r="AAS190" i="41"/>
  <c r="AAS181" i="41"/>
  <c r="AAS172" i="41"/>
  <c r="AAS163" i="41"/>
  <c r="AAS154" i="41"/>
  <c r="AAS145" i="41"/>
  <c r="AAS136" i="41"/>
  <c r="AAS127" i="41"/>
  <c r="AAS113" i="41"/>
  <c r="AAS104" i="41"/>
  <c r="AAS95" i="41"/>
  <c r="AAS86" i="41"/>
  <c r="AAS77" i="41"/>
  <c r="AAS58" i="41"/>
  <c r="AAS52" i="41"/>
  <c r="ZD214" i="41"/>
  <c r="AAS20" i="41"/>
  <c r="AAS22" i="41"/>
  <c r="AAS75" i="41"/>
  <c r="AAS13" i="41"/>
  <c r="AAS35" i="41"/>
  <c r="AAS67" i="41"/>
  <c r="AAS3" i="41"/>
  <c r="AAS9" i="41"/>
  <c r="AAS7" i="41"/>
  <c r="AAS66" i="41"/>
  <c r="AAS49" i="41"/>
  <c r="AAS140" i="41"/>
  <c r="AAS131" i="41"/>
  <c r="AAS78" i="41"/>
  <c r="AAS38" i="41"/>
  <c r="ZD225" i="41"/>
  <c r="AAS187" i="41"/>
  <c r="AAS178" i="41"/>
  <c r="AAS169" i="41"/>
  <c r="AAS160" i="41"/>
  <c r="AAS151" i="41"/>
  <c r="AAS142" i="41"/>
  <c r="AAS133" i="41"/>
  <c r="AAS119" i="41"/>
  <c r="AAS110" i="41"/>
  <c r="AAS101" i="41"/>
  <c r="AAS92" i="41"/>
  <c r="AAS14" i="41"/>
  <c r="AAS57" i="41"/>
  <c r="AAS73" i="41"/>
  <c r="AAS85" i="41"/>
  <c r="ZD227" i="41"/>
  <c r="ZD201" i="41"/>
  <c r="ZD226" i="41"/>
  <c r="AAS46" i="41"/>
  <c r="AAS54" i="41"/>
  <c r="AAS124" i="41"/>
  <c r="AAS10" i="41"/>
  <c r="AAS18" i="41"/>
  <c r="AAS80" i="41"/>
  <c r="AAS59" i="41"/>
  <c r="AAS64" i="41"/>
  <c r="AAS36" i="41"/>
  <c r="AAS72" i="41"/>
  <c r="AAS28" i="41"/>
  <c r="AAS194" i="41"/>
  <c r="AAS5" i="41"/>
  <c r="AAS26" i="41"/>
  <c r="VA225" i="41"/>
  <c r="AAS82" i="41" l="1"/>
  <c r="AAS244" i="41"/>
  <c r="SW244" i="41"/>
  <c r="SX244" i="41"/>
  <c r="SY244" i="41"/>
  <c r="SZ244" i="41"/>
  <c r="TA244" i="41"/>
  <c r="TB244" i="41"/>
  <c r="TD244" i="41"/>
  <c r="TE244" i="41"/>
  <c r="TF244" i="41"/>
  <c r="TG244" i="41"/>
  <c r="TH244" i="41"/>
  <c r="TI244" i="41"/>
  <c r="TJ244" i="41"/>
  <c r="TL244" i="41"/>
  <c r="TM244" i="41"/>
  <c r="TN244" i="41"/>
  <c r="TO244" i="41"/>
  <c r="TP244" i="41"/>
  <c r="TQ244" i="41"/>
  <c r="TR244" i="41"/>
  <c r="TU244" i="41"/>
  <c r="TV244" i="41"/>
  <c r="TW244" i="41"/>
  <c r="TX244" i="41"/>
  <c r="TY244" i="41"/>
  <c r="TZ244" i="41"/>
  <c r="UA244" i="41"/>
  <c r="UC244" i="41"/>
  <c r="UD244" i="41"/>
  <c r="UE244" i="41"/>
  <c r="UF244" i="41"/>
  <c r="UG244" i="41"/>
  <c r="UH244" i="41"/>
  <c r="UI244" i="41"/>
  <c r="UK244" i="41"/>
  <c r="UL244" i="41"/>
  <c r="UM244" i="41"/>
  <c r="UN244" i="41"/>
  <c r="UO244" i="41"/>
  <c r="UP244" i="41"/>
  <c r="UQ244" i="41"/>
  <c r="SV244" i="41"/>
  <c r="VA220" i="41" l="1"/>
  <c r="VA223" i="41"/>
  <c r="VA224" i="41"/>
  <c r="VA231" i="41"/>
  <c r="VA232" i="41"/>
  <c r="VA233" i="41"/>
  <c r="VA234" i="41"/>
  <c r="VA235" i="41"/>
  <c r="VA236" i="41"/>
  <c r="TS146" i="41" l="1"/>
  <c r="TT146" i="41"/>
  <c r="TS225" i="41" l="1"/>
  <c r="TS226" i="41"/>
  <c r="TS227" i="41"/>
  <c r="TS228" i="41"/>
  <c r="TS229" i="41"/>
  <c r="TS230" i="41"/>
  <c r="TS231" i="41"/>
  <c r="TS232" i="41"/>
  <c r="TS233" i="41"/>
  <c r="TS234" i="41"/>
  <c r="TS235" i="41"/>
  <c r="TK225" i="41"/>
  <c r="TK226" i="41"/>
  <c r="TK227" i="41"/>
  <c r="TK228" i="41"/>
  <c r="TK229" i="41"/>
  <c r="TK230" i="41"/>
  <c r="TK231" i="41"/>
  <c r="TK232" i="41"/>
  <c r="TK233" i="41"/>
  <c r="TK234" i="41"/>
  <c r="TC210" i="41"/>
  <c r="TC211" i="41"/>
  <c r="TC212" i="41"/>
  <c r="TC213" i="41"/>
  <c r="TC215" i="41"/>
  <c r="TC217" i="41"/>
  <c r="TC218" i="41"/>
  <c r="TC219" i="41"/>
  <c r="TC220" i="41"/>
  <c r="TC221" i="41"/>
  <c r="TC222" i="41"/>
  <c r="TC223" i="41"/>
  <c r="TC224" i="41"/>
  <c r="TC225" i="41"/>
  <c r="TC226" i="41"/>
  <c r="TC227" i="41"/>
  <c r="TC228" i="41"/>
  <c r="TC229" i="41"/>
  <c r="TC230" i="41"/>
  <c r="TC231" i="41"/>
  <c r="TC232" i="41"/>
  <c r="TC233" i="41"/>
  <c r="TC234" i="41"/>
  <c r="TC235" i="41"/>
  <c r="TC236" i="41"/>
  <c r="TC237" i="41"/>
  <c r="TC238" i="41"/>
  <c r="TK235" i="41"/>
  <c r="TK236" i="41"/>
  <c r="TS223" i="41"/>
  <c r="TS224" i="41"/>
  <c r="TK222" i="41"/>
  <c r="TK223" i="41"/>
  <c r="TK224" i="41"/>
  <c r="TT227" i="41" l="1"/>
  <c r="TT226" i="41"/>
  <c r="TT231" i="41"/>
  <c r="TT228" i="41"/>
  <c r="TT225" i="41"/>
  <c r="SU104" i="41"/>
  <c r="SU105" i="41"/>
  <c r="XV232" i="41" l="1"/>
  <c r="XV233" i="41"/>
  <c r="XV234" i="41"/>
  <c r="XV235" i="41"/>
  <c r="XV236" i="41"/>
  <c r="XV237" i="41"/>
  <c r="XV238" i="41"/>
  <c r="XV239" i="41"/>
  <c r="XV240" i="41"/>
  <c r="XV241" i="41"/>
  <c r="XN232" i="41"/>
  <c r="XN233" i="41"/>
  <c r="XN234" i="41"/>
  <c r="XN235" i="41"/>
  <c r="XN236" i="41"/>
  <c r="XN237" i="41"/>
  <c r="XN238" i="41"/>
  <c r="XN239" i="41"/>
  <c r="XN240" i="41"/>
  <c r="XN241" i="41"/>
  <c r="TS236" i="41"/>
  <c r="TS237" i="41"/>
  <c r="TS238" i="41"/>
  <c r="TS239" i="41"/>
  <c r="TS240" i="41"/>
  <c r="TS241" i="41"/>
  <c r="TK237" i="41"/>
  <c r="TK238" i="41"/>
  <c r="TK239" i="41"/>
  <c r="TK240" i="41"/>
  <c r="TK241" i="41"/>
  <c r="TK242" i="41"/>
  <c r="TC239" i="41"/>
  <c r="TC240" i="41"/>
  <c r="TC241" i="41"/>
  <c r="TC242" i="41"/>
  <c r="SU232" i="41"/>
  <c r="SU233" i="41"/>
  <c r="SU234" i="41"/>
  <c r="SU235" i="41"/>
  <c r="SU236" i="41"/>
  <c r="SU237" i="41"/>
  <c r="SU238" i="41"/>
  <c r="SU239" i="41"/>
  <c r="SU240" i="41"/>
  <c r="SU241" i="41"/>
  <c r="SU242" i="41"/>
  <c r="SM232" i="41"/>
  <c r="SM233" i="41"/>
  <c r="SM234" i="41"/>
  <c r="SM235" i="41"/>
  <c r="SM236" i="41"/>
  <c r="SM237" i="41"/>
  <c r="SM238" i="41"/>
  <c r="SM239" i="41"/>
  <c r="SM240" i="41"/>
  <c r="SM241" i="41"/>
  <c r="SM242" i="41"/>
  <c r="SD233" i="41"/>
  <c r="SD234" i="41"/>
  <c r="SD235" i="41"/>
  <c r="SD236" i="41"/>
  <c r="SD237" i="41"/>
  <c r="SD238" i="41"/>
  <c r="SD239" i="41"/>
  <c r="SD240" i="41"/>
  <c r="SD241" i="41"/>
  <c r="SD242" i="41"/>
  <c r="RV230" i="41"/>
  <c r="RV232" i="41"/>
  <c r="RV233" i="41"/>
  <c r="RV234" i="41"/>
  <c r="RV235" i="41"/>
  <c r="RV236" i="41"/>
  <c r="RV237" i="41"/>
  <c r="RV238" i="41"/>
  <c r="RV239" i="41"/>
  <c r="RV240" i="41"/>
  <c r="RV241" i="41"/>
  <c r="RN221" i="41"/>
  <c r="RN222" i="41"/>
  <c r="RN223" i="41"/>
  <c r="RN224" i="41"/>
  <c r="RN229" i="41"/>
  <c r="RN230" i="41"/>
  <c r="RN232" i="41"/>
  <c r="RN233" i="41"/>
  <c r="RN234" i="41"/>
  <c r="RN235" i="41"/>
  <c r="RN236" i="41"/>
  <c r="RN237" i="41"/>
  <c r="RN238" i="41"/>
  <c r="RN239" i="41"/>
  <c r="RN240" i="41"/>
  <c r="RN241" i="41"/>
  <c r="RN242" i="41"/>
  <c r="RF230" i="41"/>
  <c r="RF232" i="41"/>
  <c r="RF233" i="41"/>
  <c r="RF234" i="41"/>
  <c r="RF235" i="41"/>
  <c r="RF236" i="41"/>
  <c r="RF237" i="41"/>
  <c r="RF238" i="41"/>
  <c r="RF239" i="41"/>
  <c r="RF240" i="41"/>
  <c r="U232" i="41"/>
  <c r="AC232" i="41"/>
  <c r="AK232" i="41"/>
  <c r="AL232" i="41"/>
  <c r="AT232" i="41"/>
  <c r="BB232" i="41"/>
  <c r="BJ232" i="41"/>
  <c r="BR232" i="41"/>
  <c r="CA232" i="41"/>
  <c r="CI232" i="41"/>
  <c r="CQ232" i="41"/>
  <c r="CY232" i="41"/>
  <c r="DG232" i="41"/>
  <c r="DP232" i="41"/>
  <c r="DX232" i="41"/>
  <c r="EF232" i="41"/>
  <c r="EN232" i="41"/>
  <c r="EW232" i="41"/>
  <c r="FE232" i="41"/>
  <c r="FM232" i="41"/>
  <c r="FU232" i="41"/>
  <c r="GD232" i="41"/>
  <c r="GL232" i="41"/>
  <c r="GT232" i="41"/>
  <c r="HB232" i="41"/>
  <c r="HJ232" i="41"/>
  <c r="HS232" i="41"/>
  <c r="IA232" i="41"/>
  <c r="II232" i="41"/>
  <c r="IQ232" i="41"/>
  <c r="IZ232" i="41"/>
  <c r="JH232" i="41"/>
  <c r="JP232" i="41"/>
  <c r="JX232" i="41"/>
  <c r="KG232" i="41"/>
  <c r="KO232" i="41"/>
  <c r="KW232" i="41"/>
  <c r="LE232" i="41"/>
  <c r="LM232" i="41"/>
  <c r="LV232" i="41"/>
  <c r="MD232" i="41"/>
  <c r="ML232" i="41"/>
  <c r="MT232" i="41"/>
  <c r="NC232" i="41"/>
  <c r="NK232" i="41"/>
  <c r="NS232" i="41"/>
  <c r="OA232" i="41"/>
  <c r="OJ232" i="41"/>
  <c r="OR232" i="41"/>
  <c r="OZ232" i="41"/>
  <c r="PH232" i="41"/>
  <c r="PP232" i="41"/>
  <c r="PY232" i="41"/>
  <c r="QG232" i="41"/>
  <c r="QO232" i="41"/>
  <c r="QW232" i="41"/>
  <c r="U233" i="41"/>
  <c r="AC233" i="41"/>
  <c r="AK233" i="41"/>
  <c r="AL233" i="41"/>
  <c r="AT233" i="41"/>
  <c r="BB233" i="41"/>
  <c r="BJ233" i="41"/>
  <c r="BR233" i="41"/>
  <c r="CA233" i="41"/>
  <c r="CI233" i="41"/>
  <c r="CQ233" i="41"/>
  <c r="CY233" i="41"/>
  <c r="DG233" i="41"/>
  <c r="DP233" i="41"/>
  <c r="DX233" i="41"/>
  <c r="EF233" i="41"/>
  <c r="EN233" i="41"/>
  <c r="EW233" i="41"/>
  <c r="FE233" i="41"/>
  <c r="FM233" i="41"/>
  <c r="FU233" i="41"/>
  <c r="GD233" i="41"/>
  <c r="GL233" i="41"/>
  <c r="GT233" i="41"/>
  <c r="HB233" i="41"/>
  <c r="HJ233" i="41"/>
  <c r="HK233" i="41"/>
  <c r="HS233" i="41"/>
  <c r="IA233" i="41"/>
  <c r="II233" i="41"/>
  <c r="IQ233" i="41"/>
  <c r="IZ233" i="41"/>
  <c r="JH233" i="41"/>
  <c r="JP233" i="41"/>
  <c r="JX233" i="41"/>
  <c r="KG233" i="41"/>
  <c r="KO233" i="41"/>
  <c r="KW233" i="41"/>
  <c r="LE233" i="41"/>
  <c r="LM233" i="41"/>
  <c r="LV233" i="41"/>
  <c r="MD233" i="41"/>
  <c r="ML233" i="41"/>
  <c r="MT233" i="41"/>
  <c r="MU233" i="41"/>
  <c r="NC233" i="41"/>
  <c r="NK233" i="41"/>
  <c r="NS233" i="41"/>
  <c r="OA233" i="41"/>
  <c r="OJ233" i="41"/>
  <c r="OR233" i="41"/>
  <c r="OZ233" i="41"/>
  <c r="PH233" i="41"/>
  <c r="PP233" i="41"/>
  <c r="PY233" i="41"/>
  <c r="QG233" i="41"/>
  <c r="QO233" i="41"/>
  <c r="QW233" i="41"/>
  <c r="U234" i="41"/>
  <c r="AC234" i="41"/>
  <c r="AK234" i="41"/>
  <c r="AL234" i="41"/>
  <c r="AT234" i="41"/>
  <c r="BB234" i="41"/>
  <c r="BJ234" i="41"/>
  <c r="BR234" i="41"/>
  <c r="CA234" i="41"/>
  <c r="CI234" i="41"/>
  <c r="CQ234" i="41"/>
  <c r="CY234" i="41"/>
  <c r="DG234" i="41"/>
  <c r="DP234" i="41"/>
  <c r="DX234" i="41"/>
  <c r="EF234" i="41"/>
  <c r="EN234" i="41"/>
  <c r="EW234" i="41"/>
  <c r="FE234" i="41"/>
  <c r="FM234" i="41"/>
  <c r="FU234" i="41"/>
  <c r="GD234" i="41"/>
  <c r="GL234" i="41"/>
  <c r="GT234" i="41"/>
  <c r="HB234" i="41"/>
  <c r="HJ234" i="41"/>
  <c r="HS234" i="41"/>
  <c r="IA234" i="41"/>
  <c r="II234" i="41"/>
  <c r="IQ234" i="41"/>
  <c r="IZ234" i="41"/>
  <c r="JH234" i="41"/>
  <c r="JP234" i="41"/>
  <c r="JX234" i="41"/>
  <c r="KG234" i="41"/>
  <c r="KO234" i="41"/>
  <c r="KW234" i="41"/>
  <c r="LE234" i="41"/>
  <c r="LM234" i="41"/>
  <c r="LV234" i="41"/>
  <c r="MD234" i="41"/>
  <c r="ML234" i="41"/>
  <c r="MT234" i="41"/>
  <c r="NC234" i="41"/>
  <c r="NK234" i="41"/>
  <c r="NS234" i="41"/>
  <c r="OA234" i="41"/>
  <c r="OJ234" i="41"/>
  <c r="OR234" i="41"/>
  <c r="OZ234" i="41"/>
  <c r="PH234" i="41"/>
  <c r="PP234" i="41"/>
  <c r="PY234" i="41"/>
  <c r="QG234" i="41"/>
  <c r="QO234" i="41"/>
  <c r="QW234" i="41"/>
  <c r="U235" i="41"/>
  <c r="AC235" i="41"/>
  <c r="AK235" i="41"/>
  <c r="AL235" i="41"/>
  <c r="AT235" i="41"/>
  <c r="BB235" i="41"/>
  <c r="BJ235" i="41"/>
  <c r="BR235" i="41"/>
  <c r="CA235" i="41"/>
  <c r="CI235" i="41"/>
  <c r="CQ235" i="41"/>
  <c r="CY235" i="41"/>
  <c r="DG235" i="41"/>
  <c r="DP235" i="41"/>
  <c r="DX235" i="41"/>
  <c r="EF235" i="41"/>
  <c r="EN235" i="41"/>
  <c r="EW235" i="41"/>
  <c r="FE235" i="41"/>
  <c r="FM235" i="41"/>
  <c r="FU235" i="41"/>
  <c r="GD235" i="41"/>
  <c r="GL235" i="41"/>
  <c r="GT235" i="41"/>
  <c r="HB235" i="41"/>
  <c r="HJ235" i="41"/>
  <c r="HS235" i="41"/>
  <c r="IA235" i="41"/>
  <c r="II235" i="41"/>
  <c r="IQ235" i="41"/>
  <c r="IZ235" i="41"/>
  <c r="JH235" i="41"/>
  <c r="JP235" i="41"/>
  <c r="JX235" i="41"/>
  <c r="KG235" i="41"/>
  <c r="KO235" i="41"/>
  <c r="KW235" i="41"/>
  <c r="LE235" i="41"/>
  <c r="LM235" i="41"/>
  <c r="LV235" i="41"/>
  <c r="MD235" i="41"/>
  <c r="ML235" i="41"/>
  <c r="MT235" i="41"/>
  <c r="NC235" i="41"/>
  <c r="NK235" i="41"/>
  <c r="NS235" i="41"/>
  <c r="OA235" i="41"/>
  <c r="OJ235" i="41"/>
  <c r="OR235" i="41"/>
  <c r="OZ235" i="41"/>
  <c r="PH235" i="41"/>
  <c r="PP235" i="41"/>
  <c r="PY235" i="41"/>
  <c r="QG235" i="41"/>
  <c r="QO235" i="41"/>
  <c r="QW235" i="41"/>
  <c r="U236" i="41"/>
  <c r="AC236" i="41"/>
  <c r="AK236" i="41"/>
  <c r="AL236" i="41"/>
  <c r="AT236" i="41"/>
  <c r="BB236" i="41"/>
  <c r="BJ236" i="41"/>
  <c r="BR236" i="41"/>
  <c r="CA236" i="41"/>
  <c r="CI236" i="41"/>
  <c r="CQ236" i="41"/>
  <c r="CY236" i="41"/>
  <c r="DG236" i="41"/>
  <c r="DP236" i="41"/>
  <c r="DX236" i="41"/>
  <c r="EF236" i="41"/>
  <c r="EN236" i="41"/>
  <c r="EW236" i="41"/>
  <c r="FE236" i="41"/>
  <c r="FM236" i="41"/>
  <c r="FU236" i="41"/>
  <c r="GD236" i="41"/>
  <c r="GL236" i="41"/>
  <c r="GT236" i="41"/>
  <c r="HB236" i="41"/>
  <c r="HJ236" i="41"/>
  <c r="HS236" i="41"/>
  <c r="IA236" i="41"/>
  <c r="II236" i="41"/>
  <c r="IQ236" i="41"/>
  <c r="IZ236" i="41"/>
  <c r="JH236" i="41"/>
  <c r="JP236" i="41"/>
  <c r="JX236" i="41"/>
  <c r="KG236" i="41"/>
  <c r="KO236" i="41"/>
  <c r="KW236" i="41"/>
  <c r="LE236" i="41"/>
  <c r="LM236" i="41"/>
  <c r="LV236" i="41"/>
  <c r="MD236" i="41"/>
  <c r="ML236" i="41"/>
  <c r="MT236" i="41"/>
  <c r="NC236" i="41"/>
  <c r="NK236" i="41"/>
  <c r="NS236" i="41"/>
  <c r="OA236" i="41"/>
  <c r="OJ236" i="41"/>
  <c r="OR236" i="41"/>
  <c r="OZ236" i="41"/>
  <c r="PH236" i="41"/>
  <c r="PP236" i="41"/>
  <c r="PY236" i="41"/>
  <c r="QG236" i="41"/>
  <c r="QO236" i="41"/>
  <c r="QW236" i="41"/>
  <c r="U237" i="41"/>
  <c r="AC237" i="41"/>
  <c r="AK237" i="41"/>
  <c r="AL237" i="41"/>
  <c r="AT237" i="41"/>
  <c r="BB237" i="41"/>
  <c r="BJ237" i="41"/>
  <c r="BR237" i="41"/>
  <c r="CA237" i="41"/>
  <c r="CI237" i="41"/>
  <c r="CQ237" i="41"/>
  <c r="CY237" i="41"/>
  <c r="DG237" i="41"/>
  <c r="DP237" i="41"/>
  <c r="DX237" i="41"/>
  <c r="EF237" i="41"/>
  <c r="EN237" i="41"/>
  <c r="EW237" i="41"/>
  <c r="FE237" i="41"/>
  <c r="FM237" i="41"/>
  <c r="FU237" i="41"/>
  <c r="GD237" i="41"/>
  <c r="GL237" i="41"/>
  <c r="GT237" i="41"/>
  <c r="HB237" i="41"/>
  <c r="HJ237" i="41"/>
  <c r="HS237" i="41"/>
  <c r="IA237" i="41"/>
  <c r="II237" i="41"/>
  <c r="IQ237" i="41"/>
  <c r="IZ237" i="41"/>
  <c r="JH237" i="41"/>
  <c r="JP237" i="41"/>
  <c r="JX237" i="41"/>
  <c r="KG237" i="41"/>
  <c r="KO237" i="41"/>
  <c r="KW237" i="41"/>
  <c r="LE237" i="41"/>
  <c r="LM237" i="41"/>
  <c r="LV237" i="41"/>
  <c r="MD237" i="41"/>
  <c r="ML237" i="41"/>
  <c r="MT237" i="41"/>
  <c r="NC237" i="41"/>
  <c r="NK237" i="41"/>
  <c r="NS237" i="41"/>
  <c r="OA237" i="41"/>
  <c r="OJ237" i="41"/>
  <c r="OR237" i="41"/>
  <c r="OZ237" i="41"/>
  <c r="PH237" i="41"/>
  <c r="PP237" i="41"/>
  <c r="PY237" i="41"/>
  <c r="QG237" i="41"/>
  <c r="QO237" i="41"/>
  <c r="QW237" i="41"/>
  <c r="U238" i="41"/>
  <c r="AC238" i="41"/>
  <c r="AK238" i="41"/>
  <c r="AL238" i="41"/>
  <c r="AT238" i="41"/>
  <c r="BB238" i="41"/>
  <c r="BJ238" i="41"/>
  <c r="BR238" i="41"/>
  <c r="CA238" i="41"/>
  <c r="CI238" i="41"/>
  <c r="CQ238" i="41"/>
  <c r="CY238" i="41"/>
  <c r="DG238" i="41"/>
  <c r="DP238" i="41"/>
  <c r="DX238" i="41"/>
  <c r="EF238" i="41"/>
  <c r="EN238" i="41"/>
  <c r="EW238" i="41"/>
  <c r="FE238" i="41"/>
  <c r="FM238" i="41"/>
  <c r="FU238" i="41"/>
  <c r="GD238" i="41"/>
  <c r="GL238" i="41"/>
  <c r="GT238" i="41"/>
  <c r="HB238" i="41"/>
  <c r="HJ238" i="41"/>
  <c r="HS238" i="41"/>
  <c r="IA238" i="41"/>
  <c r="II238" i="41"/>
  <c r="IQ238" i="41"/>
  <c r="IZ238" i="41"/>
  <c r="JH238" i="41"/>
  <c r="JP238" i="41"/>
  <c r="JX238" i="41"/>
  <c r="KG238" i="41"/>
  <c r="KO238" i="41"/>
  <c r="KW238" i="41"/>
  <c r="LE238" i="41"/>
  <c r="LM238" i="41"/>
  <c r="LV238" i="41"/>
  <c r="MD238" i="41"/>
  <c r="ML238" i="41"/>
  <c r="MT238" i="41"/>
  <c r="NC238" i="41"/>
  <c r="NK238" i="41"/>
  <c r="NS238" i="41"/>
  <c r="OA238" i="41"/>
  <c r="OJ238" i="41"/>
  <c r="OR238" i="41"/>
  <c r="OZ238" i="41"/>
  <c r="PH238" i="41"/>
  <c r="PP238" i="41"/>
  <c r="PY238" i="41"/>
  <c r="QG238" i="41"/>
  <c r="QO238" i="41"/>
  <c r="QW238" i="41"/>
  <c r="U239" i="41"/>
  <c r="AC239" i="41"/>
  <c r="AK239" i="41"/>
  <c r="AL239" i="41"/>
  <c r="AT239" i="41"/>
  <c r="BB239" i="41"/>
  <c r="BJ239" i="41"/>
  <c r="BR239" i="41"/>
  <c r="CA239" i="41"/>
  <c r="CI239" i="41"/>
  <c r="CQ239" i="41"/>
  <c r="CY239" i="41"/>
  <c r="DG239" i="41"/>
  <c r="DP239" i="41"/>
  <c r="DX239" i="41"/>
  <c r="EF239" i="41"/>
  <c r="EN239" i="41"/>
  <c r="EW239" i="41"/>
  <c r="FE239" i="41"/>
  <c r="FM239" i="41"/>
  <c r="FU239" i="41"/>
  <c r="GD239" i="41"/>
  <c r="GL239" i="41"/>
  <c r="GT239" i="41"/>
  <c r="HB239" i="41"/>
  <c r="HJ239" i="41"/>
  <c r="HS239" i="41"/>
  <c r="IA239" i="41"/>
  <c r="II239" i="41"/>
  <c r="IQ239" i="41"/>
  <c r="IZ239" i="41"/>
  <c r="JH239" i="41"/>
  <c r="JP239" i="41"/>
  <c r="JX239" i="41"/>
  <c r="KG239" i="41"/>
  <c r="KO239" i="41"/>
  <c r="KW239" i="41"/>
  <c r="LE239" i="41"/>
  <c r="LM239" i="41"/>
  <c r="LV239" i="41"/>
  <c r="MD239" i="41"/>
  <c r="ML239" i="41"/>
  <c r="MT239" i="41"/>
  <c r="NC239" i="41"/>
  <c r="NK239" i="41"/>
  <c r="NS239" i="41"/>
  <c r="OA239" i="41"/>
  <c r="OJ239" i="41"/>
  <c r="OR239" i="41"/>
  <c r="OZ239" i="41"/>
  <c r="PH239" i="41"/>
  <c r="PP239" i="41"/>
  <c r="PY239" i="41"/>
  <c r="QG239" i="41"/>
  <c r="QO239" i="41"/>
  <c r="QW239" i="41"/>
  <c r="M240" i="41"/>
  <c r="U240" i="41"/>
  <c r="AC240" i="41"/>
  <c r="AK240" i="41"/>
  <c r="AL240" i="41"/>
  <c r="AT240" i="41"/>
  <c r="BB240" i="41"/>
  <c r="BJ240" i="41"/>
  <c r="BR240" i="41"/>
  <c r="CA240" i="41"/>
  <c r="CI240" i="41"/>
  <c r="CQ240" i="41"/>
  <c r="CY240" i="41"/>
  <c r="DG240" i="41"/>
  <c r="DP240" i="41"/>
  <c r="DX240" i="41"/>
  <c r="EF240" i="41"/>
  <c r="EN240" i="41"/>
  <c r="EW240" i="41"/>
  <c r="FE240" i="41"/>
  <c r="FM240" i="41"/>
  <c r="FU240" i="41"/>
  <c r="GD240" i="41"/>
  <c r="GL240" i="41"/>
  <c r="GT240" i="41"/>
  <c r="HB240" i="41"/>
  <c r="HJ240" i="41"/>
  <c r="HS240" i="41"/>
  <c r="IA240" i="41"/>
  <c r="II240" i="41"/>
  <c r="IQ240" i="41"/>
  <c r="IZ240" i="41"/>
  <c r="JH240" i="41"/>
  <c r="JP240" i="41"/>
  <c r="JX240" i="41"/>
  <c r="KG240" i="41"/>
  <c r="KO240" i="41"/>
  <c r="KW240" i="41"/>
  <c r="LE240" i="41"/>
  <c r="LM240" i="41"/>
  <c r="LV240" i="41"/>
  <c r="MD240" i="41"/>
  <c r="ML240" i="41"/>
  <c r="MT240" i="41"/>
  <c r="NC240" i="41"/>
  <c r="NK240" i="41"/>
  <c r="NS240" i="41"/>
  <c r="OA240" i="41"/>
  <c r="OJ240" i="41"/>
  <c r="OR240" i="41"/>
  <c r="OZ240" i="41"/>
  <c r="PH240" i="41"/>
  <c r="PP240" i="41"/>
  <c r="PY240" i="41"/>
  <c r="QG240" i="41"/>
  <c r="QO240" i="41"/>
  <c r="QW240" i="41"/>
  <c r="M241" i="41"/>
  <c r="U241" i="41"/>
  <c r="AC241" i="41"/>
  <c r="AK241" i="41"/>
  <c r="AL241" i="41"/>
  <c r="AT241" i="41"/>
  <c r="BB241" i="41"/>
  <c r="BJ241" i="41"/>
  <c r="BR241" i="41"/>
  <c r="CA241" i="41"/>
  <c r="CI241" i="41"/>
  <c r="CQ241" i="41"/>
  <c r="CY241" i="41"/>
  <c r="DG241" i="41"/>
  <c r="DP241" i="41"/>
  <c r="DX241" i="41"/>
  <c r="EF241" i="41"/>
  <c r="EN241" i="41"/>
  <c r="EW241" i="41"/>
  <c r="FE241" i="41"/>
  <c r="FM241" i="41"/>
  <c r="FU241" i="41"/>
  <c r="GD241" i="41"/>
  <c r="GL241" i="41"/>
  <c r="GT241" i="41"/>
  <c r="HB241" i="41"/>
  <c r="HJ241" i="41"/>
  <c r="HS241" i="41"/>
  <c r="IA241" i="41"/>
  <c r="II241" i="41"/>
  <c r="IQ241" i="41"/>
  <c r="IZ241" i="41"/>
  <c r="JH241" i="41"/>
  <c r="JP241" i="41"/>
  <c r="JX241" i="41"/>
  <c r="KG241" i="41"/>
  <c r="KO241" i="41"/>
  <c r="KW241" i="41"/>
  <c r="LE241" i="41"/>
  <c r="LM241" i="41"/>
  <c r="LV241" i="41"/>
  <c r="MD241" i="41"/>
  <c r="ML241" i="41"/>
  <c r="MT241" i="41"/>
  <c r="NC241" i="41"/>
  <c r="NK241" i="41"/>
  <c r="NS241" i="41"/>
  <c r="OA241" i="41"/>
  <c r="OJ241" i="41"/>
  <c r="OR241" i="41"/>
  <c r="OZ241" i="41"/>
  <c r="PH241" i="41"/>
  <c r="PP241" i="41"/>
  <c r="PY241" i="41"/>
  <c r="QG241" i="41"/>
  <c r="QO241" i="41"/>
  <c r="QW241" i="41"/>
  <c r="M242" i="41"/>
  <c r="U242" i="41"/>
  <c r="AC242" i="41"/>
  <c r="AK242" i="41"/>
  <c r="AL242" i="41"/>
  <c r="AT242" i="41"/>
  <c r="BB242" i="41"/>
  <c r="BJ242" i="41"/>
  <c r="BR242" i="41"/>
  <c r="CA242" i="41"/>
  <c r="CI242" i="41"/>
  <c r="CQ242" i="41"/>
  <c r="CY242" i="41"/>
  <c r="DG242" i="41"/>
  <c r="DP242" i="41"/>
  <c r="DX242" i="41"/>
  <c r="EF242" i="41"/>
  <c r="EN242" i="41"/>
  <c r="EW242" i="41"/>
  <c r="FE242" i="41"/>
  <c r="FM242" i="41"/>
  <c r="FU242" i="41"/>
  <c r="GD242" i="41"/>
  <c r="GL242" i="41"/>
  <c r="GT242" i="41"/>
  <c r="HB242" i="41"/>
  <c r="HJ242" i="41"/>
  <c r="HS242" i="41"/>
  <c r="IA242" i="41"/>
  <c r="II242" i="41"/>
  <c r="IQ242" i="41"/>
  <c r="IZ242" i="41"/>
  <c r="JH242" i="41"/>
  <c r="JP242" i="41"/>
  <c r="JX242" i="41"/>
  <c r="KG242" i="41"/>
  <c r="KO242" i="41"/>
  <c r="KW242" i="41"/>
  <c r="LE242" i="41"/>
  <c r="LM242" i="41"/>
  <c r="LV242" i="41"/>
  <c r="MD242" i="41"/>
  <c r="ML242" i="41"/>
  <c r="MT242" i="41"/>
  <c r="NC242" i="41"/>
  <c r="NK242" i="41"/>
  <c r="NS242" i="41"/>
  <c r="OA242" i="41"/>
  <c r="OJ242" i="41"/>
  <c r="OR242" i="41"/>
  <c r="OZ242" i="41"/>
  <c r="PH242" i="41"/>
  <c r="PP242" i="41"/>
  <c r="PY242" i="41"/>
  <c r="QG242" i="41"/>
  <c r="QO242" i="41"/>
  <c r="QW242" i="41"/>
  <c r="RF241" i="41"/>
  <c r="RF242" i="41"/>
  <c r="RV242" i="41"/>
  <c r="TS242" i="41"/>
  <c r="XF242" i="41"/>
  <c r="XN242" i="41"/>
  <c r="XV242" i="41"/>
  <c r="M243" i="41"/>
  <c r="U243" i="41"/>
  <c r="AC243" i="41"/>
  <c r="AK243" i="41"/>
  <c r="AL243" i="41"/>
  <c r="AT243" i="41"/>
  <c r="BB243" i="41"/>
  <c r="BJ243" i="41"/>
  <c r="BR243" i="41"/>
  <c r="CA243" i="41"/>
  <c r="CI243" i="41"/>
  <c r="CQ243" i="41"/>
  <c r="CY243" i="41"/>
  <c r="DG243" i="41"/>
  <c r="DP243" i="41"/>
  <c r="DX243" i="41"/>
  <c r="EF243" i="41"/>
  <c r="EN243" i="41"/>
  <c r="EW243" i="41"/>
  <c r="FE243" i="41"/>
  <c r="FM243" i="41"/>
  <c r="FU243" i="41"/>
  <c r="GD243" i="41"/>
  <c r="GL243" i="41"/>
  <c r="GT243" i="41"/>
  <c r="HB243" i="41"/>
  <c r="HJ243" i="41"/>
  <c r="HS243" i="41"/>
  <c r="IA243" i="41"/>
  <c r="II243" i="41"/>
  <c r="IQ243" i="41"/>
  <c r="IZ243" i="41"/>
  <c r="JH243" i="41"/>
  <c r="JP243" i="41"/>
  <c r="JX243" i="41"/>
  <c r="KG243" i="41"/>
  <c r="KO243" i="41"/>
  <c r="KW243" i="41"/>
  <c r="LE243" i="41"/>
  <c r="LM243" i="41"/>
  <c r="LV243" i="41"/>
  <c r="MD243" i="41"/>
  <c r="ML243" i="41"/>
  <c r="MT243" i="41"/>
  <c r="NC243" i="41"/>
  <c r="NK243" i="41"/>
  <c r="NS243" i="41"/>
  <c r="OA243" i="41"/>
  <c r="OJ243" i="41"/>
  <c r="OR243" i="41"/>
  <c r="OZ243" i="41"/>
  <c r="PH243" i="41"/>
  <c r="PP243" i="41"/>
  <c r="PY243" i="41"/>
  <c r="QG243" i="41"/>
  <c r="QO243" i="41"/>
  <c r="QW243" i="41"/>
  <c r="RF243" i="41"/>
  <c r="RN243" i="41"/>
  <c r="RV243" i="41"/>
  <c r="SD243" i="41"/>
  <c r="SM243" i="41"/>
  <c r="SU243" i="41"/>
  <c r="TC243" i="41"/>
  <c r="TK243" i="41"/>
  <c r="TS243" i="41"/>
  <c r="WP243" i="41"/>
  <c r="WP244" i="41" s="1"/>
  <c r="XF243" i="41"/>
  <c r="XN243" i="41"/>
  <c r="XV243" i="41"/>
  <c r="XV200" i="41"/>
  <c r="XV202" i="41"/>
  <c r="XV203" i="41"/>
  <c r="XV205" i="41"/>
  <c r="XV206" i="41"/>
  <c r="XV207" i="41"/>
  <c r="XV208" i="41"/>
  <c r="XV210" i="41"/>
  <c r="XV211" i="41"/>
  <c r="XV212" i="41"/>
  <c r="XV213" i="41"/>
  <c r="XV215" i="41"/>
  <c r="XV217" i="41"/>
  <c r="XV218" i="41"/>
  <c r="XV219" i="41"/>
  <c r="XV220" i="41"/>
  <c r="XV221" i="41"/>
  <c r="XV222" i="41"/>
  <c r="XV223" i="41"/>
  <c r="XN198" i="41"/>
  <c r="XN200" i="41"/>
  <c r="XN202" i="41"/>
  <c r="XN203" i="41"/>
  <c r="XN205" i="41"/>
  <c r="XN206" i="41"/>
  <c r="XN207" i="41"/>
  <c r="XN208" i="41"/>
  <c r="XN210" i="41"/>
  <c r="XN211" i="41"/>
  <c r="XN212" i="41"/>
  <c r="XN213" i="41"/>
  <c r="XN215" i="41"/>
  <c r="XN217" i="41"/>
  <c r="XN218" i="41"/>
  <c r="UZ196" i="41"/>
  <c r="UZ198" i="41"/>
  <c r="UZ200" i="41"/>
  <c r="UZ202" i="41"/>
  <c r="UZ203" i="41"/>
  <c r="UZ205" i="41"/>
  <c r="UZ206" i="41"/>
  <c r="UZ207" i="41"/>
  <c r="VA222" i="41"/>
  <c r="VA211" i="41"/>
  <c r="VA215" i="41"/>
  <c r="VA218" i="41"/>
  <c r="VA219" i="41"/>
  <c r="VA210" i="41"/>
  <c r="TS221" i="41"/>
  <c r="TS222" i="41"/>
  <c r="TS200" i="41"/>
  <c r="TS202" i="41"/>
  <c r="TS203" i="41"/>
  <c r="TS205" i="41"/>
  <c r="TS206" i="41"/>
  <c r="TS207" i="41"/>
  <c r="TS208" i="41"/>
  <c r="TS210" i="41"/>
  <c r="TS211" i="41"/>
  <c r="TS212" i="41"/>
  <c r="TS213" i="41"/>
  <c r="TS215" i="41"/>
  <c r="TS217" i="41"/>
  <c r="TS218" i="41"/>
  <c r="TS219" i="41"/>
  <c r="TS220" i="41"/>
  <c r="TK196" i="41"/>
  <c r="TK202" i="41"/>
  <c r="TK203" i="41"/>
  <c r="TK205" i="41"/>
  <c r="TK206" i="41"/>
  <c r="TK207" i="41"/>
  <c r="TK208" i="41"/>
  <c r="TK210" i="41"/>
  <c r="TK211" i="41"/>
  <c r="TK212" i="41"/>
  <c r="TK213" i="41"/>
  <c r="TK215" i="41"/>
  <c r="TK217" i="41"/>
  <c r="TK218" i="41"/>
  <c r="TK219" i="41"/>
  <c r="TK220" i="41"/>
  <c r="TK221" i="41"/>
  <c r="TC196" i="41"/>
  <c r="TC203" i="41"/>
  <c r="TC205" i="41"/>
  <c r="TC206" i="41"/>
  <c r="TC207" i="41"/>
  <c r="TC208" i="41"/>
  <c r="SU222" i="41"/>
  <c r="SU223" i="41"/>
  <c r="SU224" i="41"/>
  <c r="SU229" i="41"/>
  <c r="SU230" i="41"/>
  <c r="SM222" i="41"/>
  <c r="SM223" i="41"/>
  <c r="SM224" i="41"/>
  <c r="SM229" i="41"/>
  <c r="SU202" i="41"/>
  <c r="SU203" i="41"/>
  <c r="SU205" i="41"/>
  <c r="SU206" i="41"/>
  <c r="SU207" i="41"/>
  <c r="SU208" i="41"/>
  <c r="SU210" i="41"/>
  <c r="SU211" i="41"/>
  <c r="SU212" i="41"/>
  <c r="SU213" i="41"/>
  <c r="SU215" i="41"/>
  <c r="SU217" i="41"/>
  <c r="SU218" i="41"/>
  <c r="SU219" i="41"/>
  <c r="SU220" i="41"/>
  <c r="SM196" i="41"/>
  <c r="SM202" i="41"/>
  <c r="SM203" i="41"/>
  <c r="SM205" i="41"/>
  <c r="SM206" i="41"/>
  <c r="SM207" i="41"/>
  <c r="SM208" i="41"/>
  <c r="SM210" i="41"/>
  <c r="SM211" i="41"/>
  <c r="SM212" i="41"/>
  <c r="SM213" i="41"/>
  <c r="SM215" i="41"/>
  <c r="SM217" i="41"/>
  <c r="SD202" i="41"/>
  <c r="SD203" i="41"/>
  <c r="SD205" i="41"/>
  <c r="SD206" i="41"/>
  <c r="SD207" i="41"/>
  <c r="SD208" i="41"/>
  <c r="SD210" i="41"/>
  <c r="SD211" i="41"/>
  <c r="SD212" i="41"/>
  <c r="SD213" i="41"/>
  <c r="SD215" i="41"/>
  <c r="SD217" i="41"/>
  <c r="RV202" i="41"/>
  <c r="RV203" i="41"/>
  <c r="RV205" i="41"/>
  <c r="RV206" i="41"/>
  <c r="RV207" i="41"/>
  <c r="RV208" i="41"/>
  <c r="RV210" i="41"/>
  <c r="RV211" i="41"/>
  <c r="RV212" i="41"/>
  <c r="RV213" i="41"/>
  <c r="RV215" i="41"/>
  <c r="RV217" i="41"/>
  <c r="RN202" i="41"/>
  <c r="RN203" i="41"/>
  <c r="RN205" i="41"/>
  <c r="RN206" i="41"/>
  <c r="RN207" i="41"/>
  <c r="RN208" i="41"/>
  <c r="RN210" i="41"/>
  <c r="RN211" i="41"/>
  <c r="RN212" i="41"/>
  <c r="RN213" i="41"/>
  <c r="RN215" i="41"/>
  <c r="RN217" i="41"/>
  <c r="RF196" i="41"/>
  <c r="RF202" i="41"/>
  <c r="RF203" i="41"/>
  <c r="RF205" i="41"/>
  <c r="RF206" i="41"/>
  <c r="RF207" i="41"/>
  <c r="RF208" i="41"/>
  <c r="RF210" i="41"/>
  <c r="RF211" i="41"/>
  <c r="RF212" i="41"/>
  <c r="RF213" i="41"/>
  <c r="RF215" i="41"/>
  <c r="RF217" i="41"/>
  <c r="QX202" i="41"/>
  <c r="QX203" i="41"/>
  <c r="QX205" i="41"/>
  <c r="QX206" i="41"/>
  <c r="QX207" i="41"/>
  <c r="QX208" i="41"/>
  <c r="QX210" i="41"/>
  <c r="QX211" i="41"/>
  <c r="QX212" i="41"/>
  <c r="QX213" i="41"/>
  <c r="QX215" i="41"/>
  <c r="QX217" i="41"/>
  <c r="PQ232" i="41" l="1"/>
  <c r="XF244" i="41"/>
  <c r="SE233" i="41"/>
  <c r="LN233" i="41"/>
  <c r="VA213" i="41"/>
  <c r="VA217" i="41"/>
  <c r="LN240" i="41"/>
  <c r="JY232" i="41"/>
  <c r="BS236" i="41"/>
  <c r="EO239" i="41"/>
  <c r="IR233" i="41"/>
  <c r="IR238" i="41"/>
  <c r="QX233" i="41"/>
  <c r="JY239" i="41"/>
  <c r="LN242" i="41"/>
  <c r="OB241" i="41"/>
  <c r="IR240" i="41"/>
  <c r="JY240" i="41"/>
  <c r="QX235" i="41"/>
  <c r="DH234" i="41"/>
  <c r="TT229" i="41"/>
  <c r="TT224" i="41"/>
  <c r="TT223" i="41"/>
  <c r="TT235" i="41"/>
  <c r="TT234" i="41"/>
  <c r="TT233" i="41"/>
  <c r="TT232" i="41"/>
  <c r="OB242" i="41"/>
  <c r="OB234" i="41"/>
  <c r="DH239" i="41"/>
  <c r="EO242" i="41"/>
  <c r="JY238" i="41"/>
  <c r="QX241" i="41"/>
  <c r="JY242" i="41"/>
  <c r="IR239" i="41"/>
  <c r="IR234" i="41"/>
  <c r="EO241" i="41"/>
  <c r="FV237" i="41"/>
  <c r="LN237" i="41"/>
  <c r="MU239" i="41"/>
  <c r="QX240" i="41"/>
  <c r="IR241" i="41"/>
  <c r="MU234" i="41"/>
  <c r="BS238" i="41"/>
  <c r="FV235" i="41"/>
  <c r="SE238" i="41"/>
  <c r="MU241" i="41"/>
  <c r="LN236" i="41"/>
  <c r="FV242" i="41"/>
  <c r="JY241" i="41"/>
  <c r="PQ242" i="41"/>
  <c r="FV232" i="41"/>
  <c r="LN238" i="41"/>
  <c r="XW236" i="41"/>
  <c r="ZD236" i="41" s="1"/>
  <c r="MU240" i="41"/>
  <c r="HK240" i="41"/>
  <c r="JY235" i="41"/>
  <c r="TT240" i="41"/>
  <c r="SE237" i="41"/>
  <c r="XW233" i="41"/>
  <c r="ZD233" i="41" s="1"/>
  <c r="JY236" i="41"/>
  <c r="OB236" i="41"/>
  <c r="DH233" i="41"/>
  <c r="QX239" i="41"/>
  <c r="QX232" i="41"/>
  <c r="QX238" i="41"/>
  <c r="LN239" i="41"/>
  <c r="DH242" i="41"/>
  <c r="OB233" i="41"/>
  <c r="PQ241" i="41"/>
  <c r="BS242" i="41"/>
  <c r="SE239" i="41"/>
  <c r="DH238" i="41"/>
  <c r="EO240" i="41"/>
  <c r="SE241" i="41"/>
  <c r="JY234" i="41"/>
  <c r="SE240" i="41"/>
  <c r="DH232" i="41"/>
  <c r="PQ237" i="41"/>
  <c r="BS241" i="41"/>
  <c r="MU232" i="41"/>
  <c r="BS232" i="41"/>
  <c r="OB240" i="41"/>
  <c r="MU238" i="41"/>
  <c r="HK232" i="41"/>
  <c r="DH240" i="41"/>
  <c r="HK238" i="41"/>
  <c r="LN232" i="41"/>
  <c r="IR236" i="41"/>
  <c r="EO233" i="41"/>
  <c r="XW241" i="41"/>
  <c r="ZD241" i="41" s="1"/>
  <c r="MU242" i="41"/>
  <c r="EO234" i="41"/>
  <c r="XW238" i="41"/>
  <c r="ZD238" i="41" s="1"/>
  <c r="SE242" i="41"/>
  <c r="FV241" i="41"/>
  <c r="XW240" i="41"/>
  <c r="ZD240" i="41" s="1"/>
  <c r="PQ236" i="41"/>
  <c r="FV238" i="41"/>
  <c r="PQ238" i="41"/>
  <c r="QX237" i="41"/>
  <c r="QX234" i="41"/>
  <c r="SE236" i="41"/>
  <c r="XW234" i="41"/>
  <c r="ZD234" i="41" s="1"/>
  <c r="FV236" i="41"/>
  <c r="XW237" i="41"/>
  <c r="ZD237" i="41" s="1"/>
  <c r="XW235" i="41"/>
  <c r="EO238" i="41"/>
  <c r="LN234" i="41"/>
  <c r="HK234" i="41"/>
  <c r="SE235" i="41"/>
  <c r="EO236" i="41"/>
  <c r="EO235" i="41"/>
  <c r="BS234" i="41"/>
  <c r="SE234" i="41"/>
  <c r="BS239" i="41"/>
  <c r="EO237" i="41"/>
  <c r="IR235" i="41"/>
  <c r="XW239" i="41"/>
  <c r="ZD239" i="41" s="1"/>
  <c r="HK239" i="41"/>
  <c r="MU235" i="41"/>
  <c r="JY237" i="41"/>
  <c r="OB235" i="41"/>
  <c r="TT238" i="41"/>
  <c r="TT236" i="41"/>
  <c r="TT241" i="41"/>
  <c r="TT239" i="41"/>
  <c r="TT237" i="41"/>
  <c r="BS237" i="41"/>
  <c r="MU237" i="41"/>
  <c r="DH237" i="41"/>
  <c r="OB237" i="41"/>
  <c r="BS235" i="41"/>
  <c r="EO243" i="41"/>
  <c r="OB239" i="41"/>
  <c r="JY233" i="41"/>
  <c r="PQ234" i="41"/>
  <c r="PQ239" i="41"/>
  <c r="HK235" i="41"/>
  <c r="DH235" i="41"/>
  <c r="QX242" i="41"/>
  <c r="HK237" i="41"/>
  <c r="HK242" i="41"/>
  <c r="DH241" i="41"/>
  <c r="PQ240" i="41"/>
  <c r="FV240" i="41"/>
  <c r="PQ235" i="41"/>
  <c r="FV233" i="41"/>
  <c r="EO232" i="41"/>
  <c r="OB238" i="41"/>
  <c r="BS240" i="41"/>
  <c r="QX236" i="41"/>
  <c r="HK236" i="41"/>
  <c r="OB232" i="41"/>
  <c r="IR232" i="41"/>
  <c r="FV234" i="41"/>
  <c r="MU236" i="41"/>
  <c r="IR242" i="41"/>
  <c r="LN241" i="41"/>
  <c r="HK241" i="41"/>
  <c r="IR237" i="41"/>
  <c r="FV239" i="41"/>
  <c r="LN235" i="41"/>
  <c r="JY243" i="41"/>
  <c r="DH236" i="41"/>
  <c r="BS233" i="41"/>
  <c r="PQ233" i="41"/>
  <c r="TT242" i="41"/>
  <c r="DH243" i="41"/>
  <c r="MU243" i="41"/>
  <c r="TT243" i="41"/>
  <c r="IR243" i="41"/>
  <c r="XW242" i="41"/>
  <c r="ZD242" i="41" s="1"/>
  <c r="OB243" i="41"/>
  <c r="HK243" i="41"/>
  <c r="SE217" i="41"/>
  <c r="VA200" i="41"/>
  <c r="SE213" i="41"/>
  <c r="XW207" i="41"/>
  <c r="ZD207" i="41" s="1"/>
  <c r="TT205" i="41"/>
  <c r="TT203" i="41"/>
  <c r="TT202" i="41"/>
  <c r="LN243" i="41"/>
  <c r="TT206" i="41"/>
  <c r="SE243" i="41"/>
  <c r="XW218" i="41"/>
  <c r="ZD218" i="41" s="1"/>
  <c r="TT222" i="41"/>
  <c r="TT217" i="41"/>
  <c r="TT200" i="41"/>
  <c r="SE212" i="41"/>
  <c r="TT215" i="41"/>
  <c r="TT207" i="41"/>
  <c r="QX243" i="41"/>
  <c r="XW202" i="41"/>
  <c r="ZD202" i="41" s="1"/>
  <c r="VA207" i="41"/>
  <c r="XW211" i="41"/>
  <c r="ZD211" i="41" s="1"/>
  <c r="SE211" i="41"/>
  <c r="XW213" i="41"/>
  <c r="ZD213" i="41" s="1"/>
  <c r="XW210" i="41"/>
  <c r="ZD210" i="41" s="1"/>
  <c r="TT210" i="41"/>
  <c r="VA206" i="41"/>
  <c r="XW217" i="41"/>
  <c r="ZD217" i="41" s="1"/>
  <c r="XW208" i="41"/>
  <c r="ZD208" i="41" s="1"/>
  <c r="TT212" i="41"/>
  <c r="XW205" i="41"/>
  <c r="ZD205" i="41" s="1"/>
  <c r="TT208" i="41"/>
  <c r="VA202" i="41"/>
  <c r="XW243" i="41"/>
  <c r="ZD243" i="41" s="1"/>
  <c r="XW215" i="41"/>
  <c r="ZD215" i="41" s="1"/>
  <c r="SE210" i="41"/>
  <c r="XW206" i="41"/>
  <c r="ZD206" i="41" s="1"/>
  <c r="SE207" i="41"/>
  <c r="SE203" i="41"/>
  <c r="XW203" i="41"/>
  <c r="ZD203" i="41" s="1"/>
  <c r="TT211" i="41"/>
  <c r="SE215" i="41"/>
  <c r="SE206" i="41"/>
  <c r="SE202" i="41"/>
  <c r="XW200" i="41"/>
  <c r="ZD200" i="41" s="1"/>
  <c r="TT213" i="41"/>
  <c r="VA205" i="41"/>
  <c r="XW212" i="41"/>
  <c r="ZD212" i="41" s="1"/>
  <c r="SE205" i="41"/>
  <c r="BS243" i="41"/>
  <c r="PQ243" i="41"/>
  <c r="FV243" i="41"/>
  <c r="SE208" i="41"/>
  <c r="ZD235" i="41" l="1"/>
  <c r="SS82" i="41"/>
  <c r="ST82" i="41"/>
  <c r="SV82" i="41"/>
  <c r="SW82" i="41"/>
  <c r="SX82" i="41"/>
  <c r="SY82" i="41"/>
  <c r="SZ82" i="41"/>
  <c r="TU121" i="41" l="1"/>
  <c r="TV121" i="41"/>
  <c r="TW121" i="41"/>
  <c r="TX121" i="41"/>
  <c r="TY121" i="41"/>
  <c r="TZ121" i="41"/>
  <c r="UA121" i="41"/>
  <c r="UC121" i="41"/>
  <c r="UD121" i="41"/>
  <c r="UE121" i="41"/>
  <c r="UF121" i="41"/>
  <c r="UG121" i="41"/>
  <c r="UH121" i="41"/>
  <c r="UI121" i="41"/>
  <c r="UK121" i="41"/>
  <c r="UL121" i="41"/>
  <c r="UM121" i="41"/>
  <c r="UN121" i="41"/>
  <c r="UO121" i="41"/>
  <c r="UP121" i="41"/>
  <c r="UQ121" i="41"/>
  <c r="US121" i="41"/>
  <c r="UT121" i="41"/>
  <c r="UU121" i="41"/>
  <c r="UV121" i="41"/>
  <c r="UW121" i="41"/>
  <c r="UX121" i="41"/>
  <c r="UY121" i="41"/>
  <c r="VB121" i="41"/>
  <c r="VC121" i="41"/>
  <c r="VD121" i="41"/>
  <c r="VE121" i="41"/>
  <c r="VF121" i="41"/>
  <c r="VG121" i="41"/>
  <c r="VH121" i="41"/>
  <c r="VJ121" i="41"/>
  <c r="VK121" i="41"/>
  <c r="VL121" i="41"/>
  <c r="VM121" i="41"/>
  <c r="VN121" i="41"/>
  <c r="VO121" i="41"/>
  <c r="VP121" i="41"/>
  <c r="VR121" i="41"/>
  <c r="VS121" i="41"/>
  <c r="VT121" i="41"/>
  <c r="VU121" i="41"/>
  <c r="VV121" i="41"/>
  <c r="VW121" i="41"/>
  <c r="VX121" i="41"/>
  <c r="VZ121" i="41"/>
  <c r="WA121" i="41"/>
  <c r="WB121" i="41"/>
  <c r="WC121" i="41"/>
  <c r="WD121" i="41"/>
  <c r="WE121" i="41"/>
  <c r="WF121" i="41"/>
  <c r="WI121" i="41"/>
  <c r="WJ121" i="41"/>
  <c r="WK121" i="41"/>
  <c r="WL121" i="41"/>
  <c r="WM121" i="41"/>
  <c r="WN121" i="41"/>
  <c r="WO121" i="41"/>
  <c r="WQ121" i="41"/>
  <c r="WR121" i="41"/>
  <c r="WS121" i="41"/>
  <c r="WT121" i="41"/>
  <c r="WU121" i="41"/>
  <c r="WV121" i="41"/>
  <c r="WW121" i="41"/>
  <c r="WY121" i="41"/>
  <c r="WZ121" i="41"/>
  <c r="XA121" i="41"/>
  <c r="XB121" i="41"/>
  <c r="XC121" i="41"/>
  <c r="XD121" i="41"/>
  <c r="XE121" i="41"/>
  <c r="XG121" i="41"/>
  <c r="XH121" i="41"/>
  <c r="XI121" i="41"/>
  <c r="XJ121" i="41"/>
  <c r="XK121" i="41"/>
  <c r="XL121" i="41"/>
  <c r="XM121" i="41"/>
  <c r="XO121" i="41"/>
  <c r="XP121" i="41"/>
  <c r="XQ121" i="41"/>
  <c r="XR121" i="41"/>
  <c r="XS121" i="41"/>
  <c r="XT121" i="41"/>
  <c r="XU121" i="41"/>
  <c r="VI86" i="41"/>
  <c r="VQ86" i="41"/>
  <c r="VY86" i="41"/>
  <c r="WG86" i="41"/>
  <c r="WP86" i="41"/>
  <c r="WX86" i="41"/>
  <c r="XF86" i="41"/>
  <c r="XN86" i="41"/>
  <c r="XV86" i="41"/>
  <c r="VI87" i="41"/>
  <c r="VQ87" i="41"/>
  <c r="VY87" i="41"/>
  <c r="WG87" i="41"/>
  <c r="WP87" i="41"/>
  <c r="WX87" i="41"/>
  <c r="XF87" i="41"/>
  <c r="XN87" i="41"/>
  <c r="XV87" i="41"/>
  <c r="VI88" i="41"/>
  <c r="VQ88" i="41"/>
  <c r="VY88" i="41"/>
  <c r="WG88" i="41"/>
  <c r="WP88" i="41"/>
  <c r="WX88" i="41"/>
  <c r="XF88" i="41"/>
  <c r="XN88" i="41"/>
  <c r="XV88" i="41"/>
  <c r="VI89" i="41"/>
  <c r="VQ89" i="41"/>
  <c r="VY89" i="41"/>
  <c r="WG89" i="41"/>
  <c r="WP89" i="41"/>
  <c r="WX89" i="41"/>
  <c r="XF89" i="41"/>
  <c r="XN89" i="41"/>
  <c r="XV89" i="41"/>
  <c r="VI90" i="41"/>
  <c r="VQ90" i="41"/>
  <c r="VY90" i="41"/>
  <c r="WG90" i="41"/>
  <c r="WP90" i="41"/>
  <c r="WX90" i="41"/>
  <c r="XF90" i="41"/>
  <c r="XN90" i="41"/>
  <c r="XV90" i="41"/>
  <c r="VI91" i="41"/>
  <c r="VQ91" i="41"/>
  <c r="VY91" i="41"/>
  <c r="WG91" i="41"/>
  <c r="WP91" i="41"/>
  <c r="WX91" i="41"/>
  <c r="XF91" i="41"/>
  <c r="XN91" i="41"/>
  <c r="XV91" i="41"/>
  <c r="VI92" i="41"/>
  <c r="VQ92" i="41"/>
  <c r="VY92" i="41"/>
  <c r="WG92" i="41"/>
  <c r="WP92" i="41"/>
  <c r="WX92" i="41"/>
  <c r="XF92" i="41"/>
  <c r="XN92" i="41"/>
  <c r="XV92" i="41"/>
  <c r="VI93" i="41"/>
  <c r="VQ93" i="41"/>
  <c r="VY93" i="41"/>
  <c r="WG93" i="41"/>
  <c r="WP93" i="41"/>
  <c r="WX93" i="41"/>
  <c r="XF93" i="41"/>
  <c r="XN93" i="41"/>
  <c r="XV93" i="41"/>
  <c r="VI94" i="41"/>
  <c r="VQ94" i="41"/>
  <c r="VY94" i="41"/>
  <c r="WG94" i="41"/>
  <c r="WP94" i="41"/>
  <c r="WX94" i="41"/>
  <c r="XF94" i="41"/>
  <c r="XN94" i="41"/>
  <c r="XV94" i="41"/>
  <c r="VI95" i="41"/>
  <c r="VQ95" i="41"/>
  <c r="VY95" i="41"/>
  <c r="WG95" i="41"/>
  <c r="WP95" i="41"/>
  <c r="WX95" i="41"/>
  <c r="XF95" i="41"/>
  <c r="XN95" i="41"/>
  <c r="XV95" i="41"/>
  <c r="VI96" i="41"/>
  <c r="VQ96" i="41"/>
  <c r="VY96" i="41"/>
  <c r="WG96" i="41"/>
  <c r="WP96" i="41"/>
  <c r="WX96" i="41"/>
  <c r="XF96" i="41"/>
  <c r="XN96" i="41"/>
  <c r="XV96" i="41"/>
  <c r="VI97" i="41"/>
  <c r="VQ97" i="41"/>
  <c r="VY97" i="41"/>
  <c r="WG97" i="41"/>
  <c r="WP97" i="41"/>
  <c r="WX97" i="41"/>
  <c r="XF97" i="41"/>
  <c r="XN97" i="41"/>
  <c r="XV97" i="41"/>
  <c r="VI98" i="41"/>
  <c r="VQ98" i="41"/>
  <c r="VY98" i="41"/>
  <c r="WG98" i="41"/>
  <c r="WP98" i="41"/>
  <c r="WX98" i="41"/>
  <c r="XF98" i="41"/>
  <c r="XN98" i="41"/>
  <c r="XV98" i="41"/>
  <c r="VI99" i="41"/>
  <c r="VQ99" i="41"/>
  <c r="VY99" i="41"/>
  <c r="WG99" i="41"/>
  <c r="WP99" i="41"/>
  <c r="WX99" i="41"/>
  <c r="XF99" i="41"/>
  <c r="XN99" i="41"/>
  <c r="XV99" i="41"/>
  <c r="VI100" i="41"/>
  <c r="VQ100" i="41"/>
  <c r="VY100" i="41"/>
  <c r="WG100" i="41"/>
  <c r="WP100" i="41"/>
  <c r="WX100" i="41"/>
  <c r="XF100" i="41"/>
  <c r="XN100" i="41"/>
  <c r="XV100" i="41"/>
  <c r="VI101" i="41"/>
  <c r="VQ101" i="41"/>
  <c r="VY101" i="41"/>
  <c r="WG101" i="41"/>
  <c r="WP101" i="41"/>
  <c r="WX101" i="41"/>
  <c r="XF101" i="41"/>
  <c r="XN101" i="41"/>
  <c r="XV101" i="41"/>
  <c r="VI102" i="41"/>
  <c r="VQ102" i="41"/>
  <c r="VY102" i="41"/>
  <c r="WG102" i="41"/>
  <c r="WP102" i="41"/>
  <c r="WX102" i="41"/>
  <c r="XF102" i="41"/>
  <c r="XN102" i="41"/>
  <c r="XV102" i="41"/>
  <c r="VI103" i="41"/>
  <c r="VQ103" i="41"/>
  <c r="VY103" i="41"/>
  <c r="WG103" i="41"/>
  <c r="WP103" i="41"/>
  <c r="WX103" i="41"/>
  <c r="XF103" i="41"/>
  <c r="XN103" i="41"/>
  <c r="XV103" i="41"/>
  <c r="VI104" i="41"/>
  <c r="VQ104" i="41"/>
  <c r="VY104" i="41"/>
  <c r="WG104" i="41"/>
  <c r="WP104" i="41"/>
  <c r="WX104" i="41"/>
  <c r="XF104" i="41"/>
  <c r="XN104" i="41"/>
  <c r="XV104" i="41"/>
  <c r="VI105" i="41"/>
  <c r="VQ105" i="41"/>
  <c r="VY105" i="41"/>
  <c r="WG105" i="41"/>
  <c r="WP105" i="41"/>
  <c r="WX105" i="41"/>
  <c r="XF105" i="41"/>
  <c r="XN105" i="41"/>
  <c r="XV105" i="41"/>
  <c r="VI106" i="41"/>
  <c r="VQ106" i="41"/>
  <c r="VY106" i="41"/>
  <c r="WG106" i="41"/>
  <c r="WP106" i="41"/>
  <c r="WX106" i="41"/>
  <c r="XF106" i="41"/>
  <c r="XN106" i="41"/>
  <c r="XV106" i="41"/>
  <c r="VI107" i="41"/>
  <c r="VQ107" i="41"/>
  <c r="VY107" i="41"/>
  <c r="WG107" i="41"/>
  <c r="WP107" i="41"/>
  <c r="WX107" i="41"/>
  <c r="XF107" i="41"/>
  <c r="XN107" i="41"/>
  <c r="XV107" i="41"/>
  <c r="VI108" i="41"/>
  <c r="VQ108" i="41"/>
  <c r="VY108" i="41"/>
  <c r="WG108" i="41"/>
  <c r="WP108" i="41"/>
  <c r="WX108" i="41"/>
  <c r="XF108" i="41"/>
  <c r="XN108" i="41"/>
  <c r="XV108" i="41"/>
  <c r="VI109" i="41"/>
  <c r="VQ109" i="41"/>
  <c r="VY109" i="41"/>
  <c r="WG109" i="41"/>
  <c r="WP109" i="41"/>
  <c r="WX109" i="41"/>
  <c r="XF109" i="41"/>
  <c r="XN109" i="41"/>
  <c r="XV109" i="41"/>
  <c r="VI110" i="41"/>
  <c r="VQ110" i="41"/>
  <c r="VY110" i="41"/>
  <c r="WG110" i="41"/>
  <c r="WP110" i="41"/>
  <c r="WX110" i="41"/>
  <c r="XF110" i="41"/>
  <c r="XN110" i="41"/>
  <c r="XV110" i="41"/>
  <c r="VI111" i="41"/>
  <c r="VQ111" i="41"/>
  <c r="VY111" i="41"/>
  <c r="WG111" i="41"/>
  <c r="WP111" i="41"/>
  <c r="WX111" i="41"/>
  <c r="XF111" i="41"/>
  <c r="XN111" i="41"/>
  <c r="XV111" i="41"/>
  <c r="VI112" i="41"/>
  <c r="VQ112" i="41"/>
  <c r="VY112" i="41"/>
  <c r="WG112" i="41"/>
  <c r="WP112" i="41"/>
  <c r="WX112" i="41"/>
  <c r="XF112" i="41"/>
  <c r="XN112" i="41"/>
  <c r="XV112" i="41"/>
  <c r="VI113" i="41"/>
  <c r="VQ113" i="41"/>
  <c r="VY113" i="41"/>
  <c r="WG113" i="41"/>
  <c r="WP113" i="41"/>
  <c r="WX113" i="41"/>
  <c r="XF113" i="41"/>
  <c r="XN113" i="41"/>
  <c r="XV113" i="41"/>
  <c r="VI114" i="41"/>
  <c r="VQ114" i="41"/>
  <c r="VY114" i="41"/>
  <c r="WG114" i="41"/>
  <c r="WP114" i="41"/>
  <c r="WX114" i="41"/>
  <c r="XF114" i="41"/>
  <c r="XN114" i="41"/>
  <c r="XV114" i="41"/>
  <c r="VI115" i="41"/>
  <c r="VQ115" i="41"/>
  <c r="VY115" i="41"/>
  <c r="WG115" i="41"/>
  <c r="WP115" i="41"/>
  <c r="WX115" i="41"/>
  <c r="XF115" i="41"/>
  <c r="XN115" i="41"/>
  <c r="XV115" i="41"/>
  <c r="VI116" i="41"/>
  <c r="VQ116" i="41"/>
  <c r="VY116" i="41"/>
  <c r="WG116" i="41"/>
  <c r="WP116" i="41"/>
  <c r="WX116" i="41"/>
  <c r="XF116" i="41"/>
  <c r="XN116" i="41"/>
  <c r="XV116" i="41"/>
  <c r="VI117" i="41"/>
  <c r="VQ117" i="41"/>
  <c r="VY117" i="41"/>
  <c r="WG117" i="41"/>
  <c r="WP117" i="41"/>
  <c r="WX117" i="41"/>
  <c r="XF117" i="41"/>
  <c r="XN117" i="41"/>
  <c r="XV117" i="41"/>
  <c r="VI118" i="41"/>
  <c r="VQ118" i="41"/>
  <c r="VY118" i="41"/>
  <c r="WG118" i="41"/>
  <c r="WP118" i="41"/>
  <c r="WX118" i="41"/>
  <c r="XF118" i="41"/>
  <c r="XN118" i="41"/>
  <c r="XV118" i="41"/>
  <c r="VI119" i="41"/>
  <c r="VQ119" i="41"/>
  <c r="VY119" i="41"/>
  <c r="WG119" i="41"/>
  <c r="WP119" i="41"/>
  <c r="WX119" i="41"/>
  <c r="XF119" i="41"/>
  <c r="XN119" i="41"/>
  <c r="XV119" i="41"/>
  <c r="VI125" i="41"/>
  <c r="VQ125" i="41"/>
  <c r="VY125" i="41"/>
  <c r="WG125" i="41"/>
  <c r="WP125" i="41"/>
  <c r="WX125" i="41"/>
  <c r="XF125" i="41"/>
  <c r="XN125" i="41"/>
  <c r="XV125" i="41"/>
  <c r="VI126" i="41"/>
  <c r="VQ126" i="41"/>
  <c r="VY126" i="41"/>
  <c r="WG126" i="41"/>
  <c r="WP126" i="41"/>
  <c r="WX126" i="41"/>
  <c r="XF126" i="41"/>
  <c r="XN126" i="41"/>
  <c r="XV126" i="41"/>
  <c r="VI127" i="41"/>
  <c r="VQ127" i="41"/>
  <c r="VY127" i="41"/>
  <c r="WG127" i="41"/>
  <c r="WP127" i="41"/>
  <c r="WX127" i="41"/>
  <c r="XF127" i="41"/>
  <c r="XN127" i="41"/>
  <c r="XV127" i="41"/>
  <c r="VI128" i="41"/>
  <c r="VQ128" i="41"/>
  <c r="VY128" i="41"/>
  <c r="WG128" i="41"/>
  <c r="WP128" i="41"/>
  <c r="WX128" i="41"/>
  <c r="XF128" i="41"/>
  <c r="XN128" i="41"/>
  <c r="XV128" i="41"/>
  <c r="VI129" i="41"/>
  <c r="VQ129" i="41"/>
  <c r="VY129" i="41"/>
  <c r="WG129" i="41"/>
  <c r="WP129" i="41"/>
  <c r="WX129" i="41"/>
  <c r="XF129" i="41"/>
  <c r="XN129" i="41"/>
  <c r="XV129" i="41"/>
  <c r="VI130" i="41"/>
  <c r="VQ130" i="41"/>
  <c r="VY130" i="41"/>
  <c r="WG130" i="41"/>
  <c r="WP130" i="41"/>
  <c r="WX130" i="41"/>
  <c r="XF130" i="41"/>
  <c r="XN130" i="41"/>
  <c r="XV130" i="41"/>
  <c r="VI131" i="41"/>
  <c r="VQ131" i="41"/>
  <c r="VY131" i="41"/>
  <c r="WG131" i="41"/>
  <c r="WP131" i="41"/>
  <c r="WX131" i="41"/>
  <c r="XF131" i="41"/>
  <c r="XN131" i="41"/>
  <c r="XV131" i="41"/>
  <c r="VI132" i="41"/>
  <c r="VQ132" i="41"/>
  <c r="VY132" i="41"/>
  <c r="WG132" i="41"/>
  <c r="WP132" i="41"/>
  <c r="WX132" i="41"/>
  <c r="XF132" i="41"/>
  <c r="XN132" i="41"/>
  <c r="XV132" i="41"/>
  <c r="VI133" i="41"/>
  <c r="VQ133" i="41"/>
  <c r="VY133" i="41"/>
  <c r="WG133" i="41"/>
  <c r="WP133" i="41"/>
  <c r="WX133" i="41"/>
  <c r="XF133" i="41"/>
  <c r="XN133" i="41"/>
  <c r="XV133" i="41"/>
  <c r="VI134" i="41"/>
  <c r="VQ134" i="41"/>
  <c r="VY134" i="41"/>
  <c r="WG134" i="41"/>
  <c r="WP134" i="41"/>
  <c r="WX134" i="41"/>
  <c r="XF134" i="41"/>
  <c r="XN134" i="41"/>
  <c r="XV134" i="41"/>
  <c r="VI135" i="41"/>
  <c r="VQ135" i="41"/>
  <c r="VY135" i="41"/>
  <c r="WG135" i="41"/>
  <c r="WP135" i="41"/>
  <c r="WX135" i="41"/>
  <c r="XF135" i="41"/>
  <c r="XN135" i="41"/>
  <c r="XV135" i="41"/>
  <c r="VI136" i="41"/>
  <c r="VQ136" i="41"/>
  <c r="VY136" i="41"/>
  <c r="WG136" i="41"/>
  <c r="WP136" i="41"/>
  <c r="WX136" i="41"/>
  <c r="XF136" i="41"/>
  <c r="XN136" i="41"/>
  <c r="XV136" i="41"/>
  <c r="VI137" i="41"/>
  <c r="VQ137" i="41"/>
  <c r="VY137" i="41"/>
  <c r="WG137" i="41"/>
  <c r="WP137" i="41"/>
  <c r="WX137" i="41"/>
  <c r="XF137" i="41"/>
  <c r="XN137" i="41"/>
  <c r="XV137" i="41"/>
  <c r="VI138" i="41"/>
  <c r="VQ138" i="41"/>
  <c r="VY138" i="41"/>
  <c r="WG138" i="41"/>
  <c r="WP138" i="41"/>
  <c r="WX138" i="41"/>
  <c r="XF138" i="41"/>
  <c r="XN138" i="41"/>
  <c r="XV138" i="41"/>
  <c r="VI139" i="41"/>
  <c r="VQ139" i="41"/>
  <c r="VY139" i="41"/>
  <c r="WG139" i="41"/>
  <c r="WP139" i="41"/>
  <c r="WX139" i="41"/>
  <c r="XF139" i="41"/>
  <c r="XN139" i="41"/>
  <c r="XV139" i="41"/>
  <c r="VI140" i="41"/>
  <c r="VQ140" i="41"/>
  <c r="VY140" i="41"/>
  <c r="WG140" i="41"/>
  <c r="WP140" i="41"/>
  <c r="WX140" i="41"/>
  <c r="XF140" i="41"/>
  <c r="XN140" i="41"/>
  <c r="XV140" i="41"/>
  <c r="VI141" i="41"/>
  <c r="VQ141" i="41"/>
  <c r="VY141" i="41"/>
  <c r="WG141" i="41"/>
  <c r="WP141" i="41"/>
  <c r="WX141" i="41"/>
  <c r="XF141" i="41"/>
  <c r="XN141" i="41"/>
  <c r="XV141" i="41"/>
  <c r="VI142" i="41"/>
  <c r="VQ142" i="41"/>
  <c r="VY142" i="41"/>
  <c r="WG142" i="41"/>
  <c r="WP142" i="41"/>
  <c r="WX142" i="41"/>
  <c r="XF142" i="41"/>
  <c r="XN142" i="41"/>
  <c r="XV142" i="41"/>
  <c r="VI143" i="41"/>
  <c r="VQ143" i="41"/>
  <c r="VY143" i="41"/>
  <c r="WG143" i="41"/>
  <c r="WP143" i="41"/>
  <c r="WX143" i="41"/>
  <c r="XF143" i="41"/>
  <c r="XN143" i="41"/>
  <c r="XV143" i="41"/>
  <c r="VI144" i="41"/>
  <c r="VY144" i="41"/>
  <c r="WG144" i="41"/>
  <c r="WP144" i="41"/>
  <c r="WX144" i="41"/>
  <c r="XF144" i="41"/>
  <c r="XN144" i="41"/>
  <c r="XV144" i="41"/>
  <c r="WG145" i="41"/>
  <c r="WP145" i="41"/>
  <c r="WX145" i="41"/>
  <c r="XF145" i="41"/>
  <c r="XN145" i="41"/>
  <c r="XV145" i="41"/>
  <c r="XF147" i="41"/>
  <c r="XN147" i="41"/>
  <c r="XV147" i="41"/>
  <c r="WG148" i="41"/>
  <c r="XF148" i="41"/>
  <c r="XN148" i="41"/>
  <c r="XV148" i="41"/>
  <c r="VI149" i="41"/>
  <c r="WG149" i="41"/>
  <c r="WP149" i="41"/>
  <c r="WX149" i="41"/>
  <c r="XF149" i="41"/>
  <c r="XN149" i="41"/>
  <c r="XV149" i="41"/>
  <c r="VI150" i="41"/>
  <c r="VQ150" i="41"/>
  <c r="WG150" i="41"/>
  <c r="WP150" i="41"/>
  <c r="WX150" i="41"/>
  <c r="XF150" i="41"/>
  <c r="XN150" i="41"/>
  <c r="XV150" i="41"/>
  <c r="VI151" i="41"/>
  <c r="VQ151" i="41"/>
  <c r="VY151" i="41"/>
  <c r="WG151" i="41"/>
  <c r="WP151" i="41"/>
  <c r="WX151" i="41"/>
  <c r="XF151" i="41"/>
  <c r="XN151" i="41"/>
  <c r="XV151" i="41"/>
  <c r="VI152" i="41"/>
  <c r="VQ152" i="41"/>
  <c r="VY152" i="41"/>
  <c r="WG152" i="41"/>
  <c r="WP152" i="41"/>
  <c r="WX152" i="41"/>
  <c r="XF152" i="41"/>
  <c r="XN152" i="41"/>
  <c r="XV152" i="41"/>
  <c r="VI153" i="41"/>
  <c r="VQ153" i="41"/>
  <c r="VY153" i="41"/>
  <c r="WG153" i="41"/>
  <c r="WP153" i="41"/>
  <c r="WX153" i="41"/>
  <c r="XF153" i="41"/>
  <c r="XN153" i="41"/>
  <c r="XV153" i="41"/>
  <c r="VI154" i="41"/>
  <c r="VQ154" i="41"/>
  <c r="VY154" i="41"/>
  <c r="WG154" i="41"/>
  <c r="WP154" i="41"/>
  <c r="WX154" i="41"/>
  <c r="XF154" i="41"/>
  <c r="XN154" i="41"/>
  <c r="XV154" i="41"/>
  <c r="VI155" i="41"/>
  <c r="VQ155" i="41"/>
  <c r="VY155" i="41"/>
  <c r="WG155" i="41"/>
  <c r="WP155" i="41"/>
  <c r="WX155" i="41"/>
  <c r="XF155" i="41"/>
  <c r="XN155" i="41"/>
  <c r="XV155" i="41"/>
  <c r="VI156" i="41"/>
  <c r="VQ156" i="41"/>
  <c r="VY156" i="41"/>
  <c r="WG156" i="41"/>
  <c r="WP156" i="41"/>
  <c r="WX156" i="41"/>
  <c r="XF156" i="41"/>
  <c r="XN156" i="41"/>
  <c r="XV156" i="41"/>
  <c r="VI157" i="41"/>
  <c r="VQ157" i="41"/>
  <c r="VY157" i="41"/>
  <c r="WG157" i="41"/>
  <c r="WP157" i="41"/>
  <c r="WX157" i="41"/>
  <c r="XF157" i="41"/>
  <c r="XN157" i="41"/>
  <c r="XV157" i="41"/>
  <c r="VI158" i="41"/>
  <c r="VQ158" i="41"/>
  <c r="VY158" i="41"/>
  <c r="WG158" i="41"/>
  <c r="WP158" i="41"/>
  <c r="WX158" i="41"/>
  <c r="XF158" i="41"/>
  <c r="XN158" i="41"/>
  <c r="XV158" i="41"/>
  <c r="VI159" i="41"/>
  <c r="VQ159" i="41"/>
  <c r="VY159" i="41"/>
  <c r="WG159" i="41"/>
  <c r="WP159" i="41"/>
  <c r="WX159" i="41"/>
  <c r="XF159" i="41"/>
  <c r="XN159" i="41"/>
  <c r="XV159" i="41"/>
  <c r="VI160" i="41"/>
  <c r="VQ160" i="41"/>
  <c r="VY160" i="41"/>
  <c r="WG160" i="41"/>
  <c r="WP160" i="41"/>
  <c r="WX160" i="41"/>
  <c r="XF160" i="41"/>
  <c r="XN160" i="41"/>
  <c r="XV160" i="41"/>
  <c r="VI161" i="41"/>
  <c r="VQ161" i="41"/>
  <c r="VY161" i="41"/>
  <c r="WG161" i="41"/>
  <c r="WP161" i="41"/>
  <c r="WX161" i="41"/>
  <c r="XF161" i="41"/>
  <c r="XN161" i="41"/>
  <c r="XV161" i="41"/>
  <c r="VI162" i="41"/>
  <c r="VQ162" i="41"/>
  <c r="VY162" i="41"/>
  <c r="WG162" i="41"/>
  <c r="WP162" i="41"/>
  <c r="WX162" i="41"/>
  <c r="XF162" i="41"/>
  <c r="XN162" i="41"/>
  <c r="XV162" i="41"/>
  <c r="VI163" i="41"/>
  <c r="VQ163" i="41"/>
  <c r="VY163" i="41"/>
  <c r="WG163" i="41"/>
  <c r="WP163" i="41"/>
  <c r="WX163" i="41"/>
  <c r="XF163" i="41"/>
  <c r="XN163" i="41"/>
  <c r="XV163" i="41"/>
  <c r="VI164" i="41"/>
  <c r="VQ164" i="41"/>
  <c r="VY164" i="41"/>
  <c r="WG164" i="41"/>
  <c r="WP164" i="41"/>
  <c r="WX164" i="41"/>
  <c r="XF164" i="41"/>
  <c r="XN164" i="41"/>
  <c r="XV164" i="41"/>
  <c r="VI165" i="41"/>
  <c r="VQ165" i="41"/>
  <c r="VY165" i="41"/>
  <c r="WG165" i="41"/>
  <c r="WP165" i="41"/>
  <c r="WX165" i="41"/>
  <c r="XF165" i="41"/>
  <c r="XN165" i="41"/>
  <c r="XV165" i="41"/>
  <c r="VI166" i="41"/>
  <c r="VQ166" i="41"/>
  <c r="VY166" i="41"/>
  <c r="WG166" i="41"/>
  <c r="WP166" i="41"/>
  <c r="WX166" i="41"/>
  <c r="XF166" i="41"/>
  <c r="XN166" i="41"/>
  <c r="XV166" i="41"/>
  <c r="VI167" i="41"/>
  <c r="VQ167" i="41"/>
  <c r="VY167" i="41"/>
  <c r="WG167" i="41"/>
  <c r="WP167" i="41"/>
  <c r="WX167" i="41"/>
  <c r="XF167" i="41"/>
  <c r="XN167" i="41"/>
  <c r="XV167" i="41"/>
  <c r="VI168" i="41"/>
  <c r="VQ168" i="41"/>
  <c r="VY168" i="41"/>
  <c r="WG168" i="41"/>
  <c r="WP168" i="41"/>
  <c r="WX168" i="41"/>
  <c r="XF168" i="41"/>
  <c r="XN168" i="41"/>
  <c r="XV168" i="41"/>
  <c r="VI169" i="41"/>
  <c r="VQ169" i="41"/>
  <c r="VY169" i="41"/>
  <c r="WG169" i="41"/>
  <c r="WP169" i="41"/>
  <c r="WX169" i="41"/>
  <c r="XF169" i="41"/>
  <c r="XN169" i="41"/>
  <c r="XV169" i="41"/>
  <c r="VI170" i="41"/>
  <c r="VQ170" i="41"/>
  <c r="VY170" i="41"/>
  <c r="WG170" i="41"/>
  <c r="WP170" i="41"/>
  <c r="WX170" i="41"/>
  <c r="XF170" i="41"/>
  <c r="XN170" i="41"/>
  <c r="XV170" i="41"/>
  <c r="VI171" i="41"/>
  <c r="VQ171" i="41"/>
  <c r="VY171" i="41"/>
  <c r="WG171" i="41"/>
  <c r="WP171" i="41"/>
  <c r="WX171" i="41"/>
  <c r="XF171" i="41"/>
  <c r="XN171" i="41"/>
  <c r="XV171" i="41"/>
  <c r="VI172" i="41"/>
  <c r="VQ172" i="41"/>
  <c r="VY172" i="41"/>
  <c r="WG172" i="41"/>
  <c r="WP172" i="41"/>
  <c r="WX172" i="41"/>
  <c r="XF172" i="41"/>
  <c r="XN172" i="41"/>
  <c r="XV172" i="41"/>
  <c r="VI173" i="41"/>
  <c r="VQ173" i="41"/>
  <c r="VY173" i="41"/>
  <c r="WG173" i="41"/>
  <c r="WP173" i="41"/>
  <c r="WX173" i="41"/>
  <c r="XF173" i="41"/>
  <c r="XN173" i="41"/>
  <c r="XV173" i="41"/>
  <c r="VI174" i="41"/>
  <c r="VQ174" i="41"/>
  <c r="VY174" i="41"/>
  <c r="WG174" i="41"/>
  <c r="WP174" i="41"/>
  <c r="WX174" i="41"/>
  <c r="XF174" i="41"/>
  <c r="XN174" i="41"/>
  <c r="XV174" i="41"/>
  <c r="VI175" i="41"/>
  <c r="VQ175" i="41"/>
  <c r="VY175" i="41"/>
  <c r="WG175" i="41"/>
  <c r="WP175" i="41"/>
  <c r="WX175" i="41"/>
  <c r="XF175" i="41"/>
  <c r="XN175" i="41"/>
  <c r="XV175" i="41"/>
  <c r="VI176" i="41"/>
  <c r="VQ176" i="41"/>
  <c r="VY176" i="41"/>
  <c r="WG176" i="41"/>
  <c r="WP176" i="41"/>
  <c r="WX176" i="41"/>
  <c r="XF176" i="41"/>
  <c r="XN176" i="41"/>
  <c r="XV176" i="41"/>
  <c r="VI177" i="41"/>
  <c r="VQ177" i="41"/>
  <c r="VY177" i="41"/>
  <c r="WG177" i="41"/>
  <c r="WP177" i="41"/>
  <c r="WX177" i="41"/>
  <c r="XF177" i="41"/>
  <c r="XN177" i="41"/>
  <c r="XV177" i="41"/>
  <c r="VI178" i="41"/>
  <c r="VQ178" i="41"/>
  <c r="VY178" i="41"/>
  <c r="WG178" i="41"/>
  <c r="WP178" i="41"/>
  <c r="WX178" i="41"/>
  <c r="XF178" i="41"/>
  <c r="XN178" i="41"/>
  <c r="XV178" i="41"/>
  <c r="VI179" i="41"/>
  <c r="VQ179" i="41"/>
  <c r="VY179" i="41"/>
  <c r="WG179" i="41"/>
  <c r="WP179" i="41"/>
  <c r="WX179" i="41"/>
  <c r="XF179" i="41"/>
  <c r="XN179" i="41"/>
  <c r="XV179" i="41"/>
  <c r="VI180" i="41"/>
  <c r="VQ180" i="41"/>
  <c r="VY180" i="41"/>
  <c r="WG180" i="41"/>
  <c r="WP180" i="41"/>
  <c r="WX180" i="41"/>
  <c r="XF180" i="41"/>
  <c r="XN180" i="41"/>
  <c r="XV180" i="41"/>
  <c r="VI181" i="41"/>
  <c r="VQ181" i="41"/>
  <c r="VY181" i="41"/>
  <c r="WG181" i="41"/>
  <c r="WP181" i="41"/>
  <c r="WX181" i="41"/>
  <c r="XF181" i="41"/>
  <c r="XN181" i="41"/>
  <c r="XV181" i="41"/>
  <c r="VI182" i="41"/>
  <c r="VQ182" i="41"/>
  <c r="VY182" i="41"/>
  <c r="WG182" i="41"/>
  <c r="WP182" i="41"/>
  <c r="WX182" i="41"/>
  <c r="XF182" i="41"/>
  <c r="XN182" i="41"/>
  <c r="XV182" i="41"/>
  <c r="VI183" i="41"/>
  <c r="VQ183" i="41"/>
  <c r="VY183" i="41"/>
  <c r="WG183" i="41"/>
  <c r="WP183" i="41"/>
  <c r="WX183" i="41"/>
  <c r="XF183" i="41"/>
  <c r="XN183" i="41"/>
  <c r="XV183" i="41"/>
  <c r="VI184" i="41"/>
  <c r="VQ184" i="41"/>
  <c r="VY184" i="41"/>
  <c r="WG184" i="41"/>
  <c r="WP184" i="41"/>
  <c r="WX184" i="41"/>
  <c r="XF184" i="41"/>
  <c r="XN184" i="41"/>
  <c r="XV184" i="41"/>
  <c r="VI185" i="41"/>
  <c r="VQ185" i="41"/>
  <c r="VY185" i="41"/>
  <c r="WG185" i="41"/>
  <c r="WP185" i="41"/>
  <c r="WX185" i="41"/>
  <c r="XF185" i="41"/>
  <c r="XN185" i="41"/>
  <c r="XV185" i="41"/>
  <c r="VI186" i="41"/>
  <c r="VQ186" i="41"/>
  <c r="VY186" i="41"/>
  <c r="WG186" i="41"/>
  <c r="WP186" i="41"/>
  <c r="WX186" i="41"/>
  <c r="XF186" i="41"/>
  <c r="XN186" i="41"/>
  <c r="XV186" i="41"/>
  <c r="VI187" i="41"/>
  <c r="VQ187" i="41"/>
  <c r="VY187" i="41"/>
  <c r="WG187" i="41"/>
  <c r="WP187" i="41"/>
  <c r="WX187" i="41"/>
  <c r="XF187" i="41"/>
  <c r="XN187" i="41"/>
  <c r="XV187" i="41"/>
  <c r="VI188" i="41"/>
  <c r="VQ188" i="41"/>
  <c r="VY188" i="41"/>
  <c r="WG188" i="41"/>
  <c r="WP188" i="41"/>
  <c r="WX188" i="41"/>
  <c r="XF188" i="41"/>
  <c r="XN188" i="41"/>
  <c r="XV188" i="41"/>
  <c r="VI189" i="41"/>
  <c r="VQ189" i="41"/>
  <c r="VY189" i="41"/>
  <c r="WG189" i="41"/>
  <c r="WP189" i="41"/>
  <c r="WX189" i="41"/>
  <c r="XF189" i="41"/>
  <c r="XN189" i="41"/>
  <c r="XV189" i="41"/>
  <c r="VI190" i="41"/>
  <c r="VQ190" i="41"/>
  <c r="VY190" i="41"/>
  <c r="WG190" i="41"/>
  <c r="WP190" i="41"/>
  <c r="WX190" i="41"/>
  <c r="XF190" i="41"/>
  <c r="XN190" i="41"/>
  <c r="XV190" i="41"/>
  <c r="XN196" i="41"/>
  <c r="XV196" i="41"/>
  <c r="XV198" i="41"/>
  <c r="XN219" i="41"/>
  <c r="XW219" i="41" s="1"/>
  <c r="ZD219" i="41" s="1"/>
  <c r="XN220" i="41"/>
  <c r="XW220" i="41" s="1"/>
  <c r="ZD220" i="41" s="1"/>
  <c r="XN221" i="41"/>
  <c r="XN222" i="41"/>
  <c r="XN223" i="41"/>
  <c r="XW223" i="41" s="1"/>
  <c r="ZD223" i="41" s="1"/>
  <c r="XN224" i="41"/>
  <c r="XV224" i="41"/>
  <c r="XN229" i="41"/>
  <c r="XV229" i="41"/>
  <c r="XN230" i="41"/>
  <c r="XV230" i="41"/>
  <c r="XW232" i="41"/>
  <c r="ZD232" i="41" s="1"/>
  <c r="XV194" i="41"/>
  <c r="XN194" i="41"/>
  <c r="WX194" i="41"/>
  <c r="WX244" i="41" s="1"/>
  <c r="VQ194" i="41"/>
  <c r="XV124" i="41"/>
  <c r="XN124" i="41"/>
  <c r="XF124" i="41"/>
  <c r="WX124" i="41"/>
  <c r="WP124" i="41"/>
  <c r="WG124" i="41"/>
  <c r="VY124" i="41"/>
  <c r="VQ124" i="41"/>
  <c r="VI124" i="41"/>
  <c r="XV85" i="41"/>
  <c r="XN85" i="41"/>
  <c r="XF85" i="41"/>
  <c r="WX85" i="41"/>
  <c r="WP85" i="41"/>
  <c r="WG85" i="41"/>
  <c r="VY85" i="41"/>
  <c r="VQ85" i="41"/>
  <c r="VI85" i="41"/>
  <c r="VI4" i="41"/>
  <c r="VQ4" i="41"/>
  <c r="VY4" i="41"/>
  <c r="WG4" i="41"/>
  <c r="WX4" i="41"/>
  <c r="XF4" i="41"/>
  <c r="XN4" i="41"/>
  <c r="XV4" i="41"/>
  <c r="VI5" i="41"/>
  <c r="VQ5" i="41"/>
  <c r="VY5" i="41"/>
  <c r="WG5" i="41"/>
  <c r="WX5" i="41"/>
  <c r="XF5" i="41"/>
  <c r="XN5" i="41"/>
  <c r="XV5" i="41"/>
  <c r="VI6" i="41"/>
  <c r="VQ6" i="41"/>
  <c r="VY6" i="41"/>
  <c r="WG6" i="41"/>
  <c r="WX6" i="41"/>
  <c r="XF6" i="41"/>
  <c r="XN6" i="41"/>
  <c r="XV6" i="41"/>
  <c r="VI7" i="41"/>
  <c r="VQ7" i="41"/>
  <c r="VY7" i="41"/>
  <c r="WG7" i="41"/>
  <c r="WX7" i="41"/>
  <c r="XF7" i="41"/>
  <c r="XN7" i="41"/>
  <c r="XV7" i="41"/>
  <c r="VI8" i="41"/>
  <c r="VQ8" i="41"/>
  <c r="VY8" i="41"/>
  <c r="WG8" i="41"/>
  <c r="WX8" i="41"/>
  <c r="XF8" i="41"/>
  <c r="XN8" i="41"/>
  <c r="XV8" i="41"/>
  <c r="VI9" i="41"/>
  <c r="VQ9" i="41"/>
  <c r="VY9" i="41"/>
  <c r="WG9" i="41"/>
  <c r="WX9" i="41"/>
  <c r="XF9" i="41"/>
  <c r="XN9" i="41"/>
  <c r="XV9" i="41"/>
  <c r="VI10" i="41"/>
  <c r="VQ10" i="41"/>
  <c r="VY10" i="41"/>
  <c r="WG10" i="41"/>
  <c r="WX10" i="41"/>
  <c r="XF10" i="41"/>
  <c r="XN10" i="41"/>
  <c r="XV10" i="41"/>
  <c r="VI11" i="41"/>
  <c r="VQ11" i="41"/>
  <c r="VY11" i="41"/>
  <c r="WG11" i="41"/>
  <c r="WX11" i="41"/>
  <c r="XF11" i="41"/>
  <c r="XN11" i="41"/>
  <c r="XV11" i="41"/>
  <c r="VI12" i="41"/>
  <c r="VQ12" i="41"/>
  <c r="VY12" i="41"/>
  <c r="WG12" i="41"/>
  <c r="WX12" i="41"/>
  <c r="XF12" i="41"/>
  <c r="XN12" i="41"/>
  <c r="XV12" i="41"/>
  <c r="VI13" i="41"/>
  <c r="VQ13" i="41"/>
  <c r="VY13" i="41"/>
  <c r="WG13" i="41"/>
  <c r="WX13" i="41"/>
  <c r="XF13" i="41"/>
  <c r="XN13" i="41"/>
  <c r="XV13" i="41"/>
  <c r="VI14" i="41"/>
  <c r="VQ14" i="41"/>
  <c r="VY14" i="41"/>
  <c r="WG14" i="41"/>
  <c r="WX14" i="41"/>
  <c r="XF14" i="41"/>
  <c r="XN14" i="41"/>
  <c r="XV14" i="41"/>
  <c r="VI15" i="41"/>
  <c r="VQ15" i="41"/>
  <c r="VY15" i="41"/>
  <c r="WG15" i="41"/>
  <c r="WX15" i="41"/>
  <c r="XF15" i="41"/>
  <c r="XN15" i="41"/>
  <c r="XV15" i="41"/>
  <c r="VI16" i="41"/>
  <c r="VQ16" i="41"/>
  <c r="VY16" i="41"/>
  <c r="WG16" i="41"/>
  <c r="WX16" i="41"/>
  <c r="XF16" i="41"/>
  <c r="XN16" i="41"/>
  <c r="XV16" i="41"/>
  <c r="VI17" i="41"/>
  <c r="VQ17" i="41"/>
  <c r="VY17" i="41"/>
  <c r="WG17" i="41"/>
  <c r="WX17" i="41"/>
  <c r="XF17" i="41"/>
  <c r="XN17" i="41"/>
  <c r="XV17" i="41"/>
  <c r="VI18" i="41"/>
  <c r="VQ18" i="41"/>
  <c r="VY18" i="41"/>
  <c r="WG18" i="41"/>
  <c r="WX18" i="41"/>
  <c r="XF18" i="41"/>
  <c r="XN18" i="41"/>
  <c r="XV18" i="41"/>
  <c r="VI19" i="41"/>
  <c r="VQ19" i="41"/>
  <c r="VY19" i="41"/>
  <c r="WG19" i="41"/>
  <c r="WX19" i="41"/>
  <c r="XF19" i="41"/>
  <c r="XN19" i="41"/>
  <c r="XV19" i="41"/>
  <c r="VI20" i="41"/>
  <c r="VQ20" i="41"/>
  <c r="VY20" i="41"/>
  <c r="WG20" i="41"/>
  <c r="WX20" i="41"/>
  <c r="XF20" i="41"/>
  <c r="XN20" i="41"/>
  <c r="XV20" i="41"/>
  <c r="VI21" i="41"/>
  <c r="VQ21" i="41"/>
  <c r="VY21" i="41"/>
  <c r="WG21" i="41"/>
  <c r="WX21" i="41"/>
  <c r="XF21" i="41"/>
  <c r="XN21" i="41"/>
  <c r="XV21" i="41"/>
  <c r="VI22" i="41"/>
  <c r="VQ22" i="41"/>
  <c r="VY22" i="41"/>
  <c r="WG22" i="41"/>
  <c r="WX22" i="41"/>
  <c r="XF22" i="41"/>
  <c r="XN22" i="41"/>
  <c r="XV22" i="41"/>
  <c r="VI23" i="41"/>
  <c r="VQ23" i="41"/>
  <c r="VY23" i="41"/>
  <c r="WG23" i="41"/>
  <c r="WX23" i="41"/>
  <c r="XF23" i="41"/>
  <c r="XN23" i="41"/>
  <c r="XV23" i="41"/>
  <c r="VI24" i="41"/>
  <c r="VQ24" i="41"/>
  <c r="VY24" i="41"/>
  <c r="WG24" i="41"/>
  <c r="WX24" i="41"/>
  <c r="XF24" i="41"/>
  <c r="XN24" i="41"/>
  <c r="XV24" i="41"/>
  <c r="VI25" i="41"/>
  <c r="VQ25" i="41"/>
  <c r="VY25" i="41"/>
  <c r="WG25" i="41"/>
  <c r="WX25" i="41"/>
  <c r="XF25" i="41"/>
  <c r="XN25" i="41"/>
  <c r="XV25" i="41"/>
  <c r="VI26" i="41"/>
  <c r="VQ26" i="41"/>
  <c r="VY26" i="41"/>
  <c r="WG26" i="41"/>
  <c r="WX26" i="41"/>
  <c r="XF26" i="41"/>
  <c r="XN26" i="41"/>
  <c r="XV26" i="41"/>
  <c r="VI27" i="41"/>
  <c r="VQ27" i="41"/>
  <c r="VY27" i="41"/>
  <c r="WG27" i="41"/>
  <c r="WX27" i="41"/>
  <c r="XF27" i="41"/>
  <c r="XN27" i="41"/>
  <c r="XV27" i="41"/>
  <c r="VI28" i="41"/>
  <c r="VQ28" i="41"/>
  <c r="VY28" i="41"/>
  <c r="WG28" i="41"/>
  <c r="WX28" i="41"/>
  <c r="XF28" i="41"/>
  <c r="XN28" i="41"/>
  <c r="XV28" i="41"/>
  <c r="VI29" i="41"/>
  <c r="VQ29" i="41"/>
  <c r="VY29" i="41"/>
  <c r="WG29" i="41"/>
  <c r="WX29" i="41"/>
  <c r="XF29" i="41"/>
  <c r="XN29" i="41"/>
  <c r="XV29" i="41"/>
  <c r="VI30" i="41"/>
  <c r="VQ30" i="41"/>
  <c r="VY30" i="41"/>
  <c r="WG30" i="41"/>
  <c r="WX30" i="41"/>
  <c r="XF30" i="41"/>
  <c r="XN30" i="41"/>
  <c r="XV30" i="41"/>
  <c r="VI31" i="41"/>
  <c r="VQ31" i="41"/>
  <c r="VY31" i="41"/>
  <c r="WG31" i="41"/>
  <c r="WX31" i="41"/>
  <c r="XF31" i="41"/>
  <c r="XN31" i="41"/>
  <c r="XV31" i="41"/>
  <c r="VI32" i="41"/>
  <c r="VQ32" i="41"/>
  <c r="VY32" i="41"/>
  <c r="WG32" i="41"/>
  <c r="WX32" i="41"/>
  <c r="XF32" i="41"/>
  <c r="XN32" i="41"/>
  <c r="XV32" i="41"/>
  <c r="VI33" i="41"/>
  <c r="VQ33" i="41"/>
  <c r="VY33" i="41"/>
  <c r="WG33" i="41"/>
  <c r="WX33" i="41"/>
  <c r="XF33" i="41"/>
  <c r="XN33" i="41"/>
  <c r="XV33" i="41"/>
  <c r="VI34" i="41"/>
  <c r="VQ34" i="41"/>
  <c r="VY34" i="41"/>
  <c r="WG34" i="41"/>
  <c r="WX34" i="41"/>
  <c r="XF34" i="41"/>
  <c r="XN34" i="41"/>
  <c r="XV34" i="41"/>
  <c r="VI35" i="41"/>
  <c r="VQ35" i="41"/>
  <c r="VY35" i="41"/>
  <c r="WG35" i="41"/>
  <c r="WX35" i="41"/>
  <c r="XF35" i="41"/>
  <c r="XN35" i="41"/>
  <c r="XV35" i="41"/>
  <c r="VI36" i="41"/>
  <c r="VQ36" i="41"/>
  <c r="VY36" i="41"/>
  <c r="WG36" i="41"/>
  <c r="WX36" i="41"/>
  <c r="XF36" i="41"/>
  <c r="XN36" i="41"/>
  <c r="XV36" i="41"/>
  <c r="VI37" i="41"/>
  <c r="VQ37" i="41"/>
  <c r="VY37" i="41"/>
  <c r="WG37" i="41"/>
  <c r="WX37" i="41"/>
  <c r="XF37" i="41"/>
  <c r="XN37" i="41"/>
  <c r="XV37" i="41"/>
  <c r="VI38" i="41"/>
  <c r="VQ38" i="41"/>
  <c r="VY38" i="41"/>
  <c r="WG38" i="41"/>
  <c r="WX38" i="41"/>
  <c r="XF38" i="41"/>
  <c r="XN38" i="41"/>
  <c r="XV38" i="41"/>
  <c r="VI39" i="41"/>
  <c r="VQ39" i="41"/>
  <c r="VY39" i="41"/>
  <c r="WG39" i="41"/>
  <c r="WX39" i="41"/>
  <c r="XF39" i="41"/>
  <c r="XN39" i="41"/>
  <c r="XV39" i="41"/>
  <c r="VI40" i="41"/>
  <c r="VQ40" i="41"/>
  <c r="VY40" i="41"/>
  <c r="WG40" i="41"/>
  <c r="WX40" i="41"/>
  <c r="XF40" i="41"/>
  <c r="XN40" i="41"/>
  <c r="XV40" i="41"/>
  <c r="VI41" i="41"/>
  <c r="VQ41" i="41"/>
  <c r="VY41" i="41"/>
  <c r="WG41" i="41"/>
  <c r="WX41" i="41"/>
  <c r="XF41" i="41"/>
  <c r="XN41" i="41"/>
  <c r="XV41" i="41"/>
  <c r="VI42" i="41"/>
  <c r="VQ42" i="41"/>
  <c r="VY42" i="41"/>
  <c r="WG42" i="41"/>
  <c r="WX42" i="41"/>
  <c r="XF42" i="41"/>
  <c r="XN42" i="41"/>
  <c r="XV42" i="41"/>
  <c r="VI43" i="41"/>
  <c r="VQ43" i="41"/>
  <c r="VY43" i="41"/>
  <c r="WG43" i="41"/>
  <c r="WX43" i="41"/>
  <c r="XF43" i="41"/>
  <c r="XN43" i="41"/>
  <c r="XV43" i="41"/>
  <c r="VI44" i="41"/>
  <c r="VQ44" i="41"/>
  <c r="VY44" i="41"/>
  <c r="WG44" i="41"/>
  <c r="WX44" i="41"/>
  <c r="XF44" i="41"/>
  <c r="XN44" i="41"/>
  <c r="XV44" i="41"/>
  <c r="VI45" i="41"/>
  <c r="VQ45" i="41"/>
  <c r="VY45" i="41"/>
  <c r="WG45" i="41"/>
  <c r="WX45" i="41"/>
  <c r="XF45" i="41"/>
  <c r="XN45" i="41"/>
  <c r="XV45" i="41"/>
  <c r="VI46" i="41"/>
  <c r="VY46" i="41"/>
  <c r="WG46" i="41"/>
  <c r="WX46" i="41"/>
  <c r="XF46" i="41"/>
  <c r="XN46" i="41"/>
  <c r="XV46" i="41"/>
  <c r="VI47" i="41"/>
  <c r="VY47" i="41"/>
  <c r="WG47" i="41"/>
  <c r="WX47" i="41"/>
  <c r="XF47" i="41"/>
  <c r="XN47" i="41"/>
  <c r="XV47" i="41"/>
  <c r="VI48" i="41"/>
  <c r="VY48" i="41"/>
  <c r="WG48" i="41"/>
  <c r="WX48" i="41"/>
  <c r="XF48" i="41"/>
  <c r="XN48" i="41"/>
  <c r="XV48" i="41"/>
  <c r="VI49" i="41"/>
  <c r="VQ49" i="41"/>
  <c r="VY49" i="41"/>
  <c r="WG49" i="41"/>
  <c r="WX49" i="41"/>
  <c r="XF49" i="41"/>
  <c r="XN49" i="41"/>
  <c r="XV49" i="41"/>
  <c r="VI50" i="41"/>
  <c r="VQ50" i="41"/>
  <c r="VY50" i="41"/>
  <c r="WG50" i="41"/>
  <c r="WX50" i="41"/>
  <c r="XF50" i="41"/>
  <c r="XN50" i="41"/>
  <c r="XV50" i="41"/>
  <c r="VI51" i="41"/>
  <c r="VQ51" i="41"/>
  <c r="VY51" i="41"/>
  <c r="WG51" i="41"/>
  <c r="WX51" i="41"/>
  <c r="XF51" i="41"/>
  <c r="XN51" i="41"/>
  <c r="XV51" i="41"/>
  <c r="VI52" i="41"/>
  <c r="VQ52" i="41"/>
  <c r="VY52" i="41"/>
  <c r="WG52" i="41"/>
  <c r="WX52" i="41"/>
  <c r="XF52" i="41"/>
  <c r="XN52" i="41"/>
  <c r="XV52" i="41"/>
  <c r="VI53" i="41"/>
  <c r="VQ53" i="41"/>
  <c r="VY53" i="41"/>
  <c r="WG53" i="41"/>
  <c r="WX53" i="41"/>
  <c r="XF53" i="41"/>
  <c r="XN53" i="41"/>
  <c r="XV53" i="41"/>
  <c r="VI54" i="41"/>
  <c r="VQ54" i="41"/>
  <c r="VY54" i="41"/>
  <c r="WG54" i="41"/>
  <c r="WX54" i="41"/>
  <c r="XF54" i="41"/>
  <c r="XN54" i="41"/>
  <c r="XV54" i="41"/>
  <c r="VI55" i="41"/>
  <c r="VQ55" i="41"/>
  <c r="VY55" i="41"/>
  <c r="WG55" i="41"/>
  <c r="WX55" i="41"/>
  <c r="XF55" i="41"/>
  <c r="XN55" i="41"/>
  <c r="XV55" i="41"/>
  <c r="VI56" i="41"/>
  <c r="VQ56" i="41"/>
  <c r="VY56" i="41"/>
  <c r="WG56" i="41"/>
  <c r="WX56" i="41"/>
  <c r="XF56" i="41"/>
  <c r="XN56" i="41"/>
  <c r="XV56" i="41"/>
  <c r="VI57" i="41"/>
  <c r="VQ57" i="41"/>
  <c r="VY57" i="41"/>
  <c r="WG57" i="41"/>
  <c r="WX57" i="41"/>
  <c r="XF57" i="41"/>
  <c r="XN57" i="41"/>
  <c r="XV57" i="41"/>
  <c r="VI58" i="41"/>
  <c r="VQ58" i="41"/>
  <c r="VY58" i="41"/>
  <c r="WG58" i="41"/>
  <c r="WX58" i="41"/>
  <c r="XF58" i="41"/>
  <c r="XN58" i="41"/>
  <c r="XV58" i="41"/>
  <c r="VI59" i="41"/>
  <c r="VY59" i="41"/>
  <c r="WG59" i="41"/>
  <c r="WX59" i="41"/>
  <c r="XF59" i="41"/>
  <c r="XN59" i="41"/>
  <c r="XV59" i="41"/>
  <c r="VI60" i="41"/>
  <c r="VY60" i="41"/>
  <c r="WG60" i="41"/>
  <c r="WX60" i="41"/>
  <c r="XF60" i="41"/>
  <c r="XN60" i="41"/>
  <c r="XV60" i="41"/>
  <c r="VI61" i="41"/>
  <c r="VY61" i="41"/>
  <c r="WG61" i="41"/>
  <c r="WX61" i="41"/>
  <c r="XF61" i="41"/>
  <c r="XN61" i="41"/>
  <c r="XV61" i="41"/>
  <c r="VI62" i="41"/>
  <c r="VY62" i="41"/>
  <c r="WG62" i="41"/>
  <c r="WX62" i="41"/>
  <c r="XF62" i="41"/>
  <c r="XN62" i="41"/>
  <c r="XV62" i="41"/>
  <c r="VI63" i="41"/>
  <c r="VY63" i="41"/>
  <c r="WG63" i="41"/>
  <c r="WX63" i="41"/>
  <c r="XF63" i="41"/>
  <c r="XN63" i="41"/>
  <c r="XV63" i="41"/>
  <c r="VI64" i="41"/>
  <c r="VY64" i="41"/>
  <c r="WG64" i="41"/>
  <c r="WX64" i="41"/>
  <c r="XF64" i="41"/>
  <c r="XN64" i="41"/>
  <c r="XV64" i="41"/>
  <c r="VI65" i="41"/>
  <c r="VY65" i="41"/>
  <c r="WG65" i="41"/>
  <c r="WX65" i="41"/>
  <c r="XF65" i="41"/>
  <c r="XN65" i="41"/>
  <c r="XV65" i="41"/>
  <c r="VI66" i="41"/>
  <c r="VY66" i="41"/>
  <c r="WG66" i="41"/>
  <c r="WX66" i="41"/>
  <c r="XF66" i="41"/>
  <c r="XN66" i="41"/>
  <c r="XV66" i="41"/>
  <c r="VI67" i="41"/>
  <c r="VY67" i="41"/>
  <c r="WG67" i="41"/>
  <c r="WX67" i="41"/>
  <c r="XF67" i="41"/>
  <c r="XN67" i="41"/>
  <c r="XV67" i="41"/>
  <c r="VI68" i="41"/>
  <c r="VY68" i="41"/>
  <c r="WG68" i="41"/>
  <c r="WX68" i="41"/>
  <c r="XF68" i="41"/>
  <c r="XN68" i="41"/>
  <c r="XV68" i="41"/>
  <c r="VI69" i="41"/>
  <c r="VY69" i="41"/>
  <c r="WG69" i="41"/>
  <c r="WX69" i="41"/>
  <c r="XF69" i="41"/>
  <c r="XN69" i="41"/>
  <c r="XV69" i="41"/>
  <c r="VI70" i="41"/>
  <c r="VY70" i="41"/>
  <c r="WG70" i="41"/>
  <c r="WX70" i="41"/>
  <c r="XF70" i="41"/>
  <c r="XN70" i="41"/>
  <c r="XV70" i="41"/>
  <c r="VI71" i="41"/>
  <c r="VY71" i="41"/>
  <c r="WG71" i="41"/>
  <c r="WX71" i="41"/>
  <c r="XF71" i="41"/>
  <c r="XN71" i="41"/>
  <c r="XV71" i="41"/>
  <c r="VI72" i="41"/>
  <c r="VY72" i="41"/>
  <c r="WG72" i="41"/>
  <c r="WX72" i="41"/>
  <c r="XF72" i="41"/>
  <c r="XN72" i="41"/>
  <c r="XV72" i="41"/>
  <c r="VI73" i="41"/>
  <c r="VY73" i="41"/>
  <c r="WG73" i="41"/>
  <c r="WX73" i="41"/>
  <c r="XF73" i="41"/>
  <c r="XN73" i="41"/>
  <c r="XV73" i="41"/>
  <c r="VI74" i="41"/>
  <c r="VY74" i="41"/>
  <c r="WG74" i="41"/>
  <c r="WX74" i="41"/>
  <c r="XF74" i="41"/>
  <c r="XN74" i="41"/>
  <c r="XV74" i="41"/>
  <c r="VI75" i="41"/>
  <c r="VY75" i="41"/>
  <c r="WG75" i="41"/>
  <c r="WX75" i="41"/>
  <c r="XF75" i="41"/>
  <c r="XN75" i="41"/>
  <c r="XV75" i="41"/>
  <c r="VI76" i="41"/>
  <c r="VY76" i="41"/>
  <c r="WG76" i="41"/>
  <c r="WX76" i="41"/>
  <c r="XF76" i="41"/>
  <c r="XN76" i="41"/>
  <c r="XV76" i="41"/>
  <c r="VI77" i="41"/>
  <c r="VY77" i="41"/>
  <c r="WG77" i="41"/>
  <c r="WX77" i="41"/>
  <c r="XF77" i="41"/>
  <c r="XN77" i="41"/>
  <c r="XV77" i="41"/>
  <c r="VI78" i="41"/>
  <c r="VY78" i="41"/>
  <c r="WG78" i="41"/>
  <c r="WX78" i="41"/>
  <c r="XF78" i="41"/>
  <c r="XN78" i="41"/>
  <c r="XV78" i="41"/>
  <c r="VI79" i="41"/>
  <c r="VY79" i="41"/>
  <c r="WG79" i="41"/>
  <c r="WX79" i="41"/>
  <c r="XF79" i="41"/>
  <c r="XN79" i="41"/>
  <c r="XV79" i="41"/>
  <c r="VI80" i="41"/>
  <c r="VY80" i="41"/>
  <c r="WG80" i="41"/>
  <c r="WX80" i="41"/>
  <c r="XF80" i="41"/>
  <c r="XN80" i="41"/>
  <c r="XV80" i="41"/>
  <c r="VI81" i="41"/>
  <c r="VY81" i="41"/>
  <c r="WG81" i="41"/>
  <c r="WX81" i="41"/>
  <c r="XF81" i="41"/>
  <c r="XN81" i="41"/>
  <c r="XV81" i="41"/>
  <c r="XV3" i="41"/>
  <c r="XN3" i="41"/>
  <c r="XF3" i="41"/>
  <c r="WX3" i="41"/>
  <c r="WG3" i="41"/>
  <c r="VY3" i="41"/>
  <c r="VQ3" i="41"/>
  <c r="VI3" i="41"/>
  <c r="QW218" i="41"/>
  <c r="QW219" i="41"/>
  <c r="QW220" i="41"/>
  <c r="QW221" i="41"/>
  <c r="QW222" i="41"/>
  <c r="QX222" i="41" s="1"/>
  <c r="XV244" i="41" l="1"/>
  <c r="VI82" i="41"/>
  <c r="XV82" i="41"/>
  <c r="VQ244" i="41"/>
  <c r="WH194" i="41"/>
  <c r="XN244" i="41"/>
  <c r="XN82" i="41"/>
  <c r="WX82" i="41"/>
  <c r="VY82" i="41"/>
  <c r="XF82" i="41"/>
  <c r="VQ82" i="41"/>
  <c r="WG82" i="41"/>
  <c r="WH186" i="41"/>
  <c r="WH92" i="41"/>
  <c r="WH90" i="41"/>
  <c r="WH86" i="41"/>
  <c r="XW222" i="41"/>
  <c r="ZD222" i="41" s="1"/>
  <c r="XW221" i="41"/>
  <c r="ZD221" i="41" s="1"/>
  <c r="WH31" i="41"/>
  <c r="WH103" i="41"/>
  <c r="WH177" i="41"/>
  <c r="WH169" i="41"/>
  <c r="WH105" i="41"/>
  <c r="XW97" i="41"/>
  <c r="ZD97" i="41" s="1"/>
  <c r="WH101" i="41"/>
  <c r="XW156" i="41"/>
  <c r="ZD156" i="41" s="1"/>
  <c r="WH100" i="41"/>
  <c r="XW48" i="41"/>
  <c r="XW70" i="41"/>
  <c r="XW93" i="41"/>
  <c r="ZD93" i="41" s="1"/>
  <c r="XW149" i="41"/>
  <c r="ZD149" i="41" s="1"/>
  <c r="XW147" i="41"/>
  <c r="ZD147" i="41" s="1"/>
  <c r="XW132" i="41"/>
  <c r="ZD132" i="41" s="1"/>
  <c r="XW128" i="41"/>
  <c r="ZD128" i="41" s="1"/>
  <c r="XW103" i="41"/>
  <c r="ZD103" i="41" s="1"/>
  <c r="WH189" i="41"/>
  <c r="WH181" i="41"/>
  <c r="WH136" i="41"/>
  <c r="XW164" i="41"/>
  <c r="ZD164" i="41" s="1"/>
  <c r="XW162" i="41"/>
  <c r="ZD162" i="41" s="1"/>
  <c r="XW160" i="41"/>
  <c r="ZD160" i="41" s="1"/>
  <c r="XW133" i="41"/>
  <c r="ZD133" i="41" s="1"/>
  <c r="XW129" i="41"/>
  <c r="ZD129" i="41" s="1"/>
  <c r="XW114" i="41"/>
  <c r="ZD114" i="41" s="1"/>
  <c r="XW112" i="41"/>
  <c r="ZD112" i="41" s="1"/>
  <c r="XW106" i="41"/>
  <c r="ZD106" i="41" s="1"/>
  <c r="WH41" i="41"/>
  <c r="WH39" i="41"/>
  <c r="WH37" i="41"/>
  <c r="XW57" i="41"/>
  <c r="WH153" i="41"/>
  <c r="WH151" i="41"/>
  <c r="XW79" i="41"/>
  <c r="XW15" i="41"/>
  <c r="XW95" i="41"/>
  <c r="ZD95" i="41" s="1"/>
  <c r="WH130" i="41"/>
  <c r="WH126" i="41"/>
  <c r="WH5" i="41"/>
  <c r="XW152" i="41"/>
  <c r="ZD152" i="41" s="1"/>
  <c r="XW148" i="41"/>
  <c r="ZD148" i="41" s="1"/>
  <c r="XW72" i="41"/>
  <c r="XW76" i="41"/>
  <c r="XW74" i="41"/>
  <c r="XW135" i="41"/>
  <c r="ZD135" i="41" s="1"/>
  <c r="WH97" i="41"/>
  <c r="WH95" i="41"/>
  <c r="XW108" i="41"/>
  <c r="ZD108" i="41" s="1"/>
  <c r="XW50" i="41"/>
  <c r="XW60" i="41"/>
  <c r="XW52" i="41"/>
  <c r="XW101" i="41"/>
  <c r="ZD101" i="41" s="1"/>
  <c r="XW161" i="41"/>
  <c r="ZD161" i="41" s="1"/>
  <c r="WH156" i="41"/>
  <c r="WH137" i="41"/>
  <c r="WH80" i="41"/>
  <c r="XW165" i="41"/>
  <c r="ZD165" i="41" s="1"/>
  <c r="XW42" i="41"/>
  <c r="XW29" i="41"/>
  <c r="WH74" i="41"/>
  <c r="WH72" i="41"/>
  <c r="XW22" i="41"/>
  <c r="XW18" i="41"/>
  <c r="XW6" i="41"/>
  <c r="XW230" i="41"/>
  <c r="ZD230" i="41" s="1"/>
  <c r="XW224" i="41"/>
  <c r="ZD224" i="41" s="1"/>
  <c r="WH10" i="41"/>
  <c r="XW17" i="41"/>
  <c r="WH48" i="41"/>
  <c r="WH46" i="41"/>
  <c r="WH42" i="41"/>
  <c r="WH36" i="41"/>
  <c r="XW53" i="41"/>
  <c r="WH14" i="41"/>
  <c r="WH12" i="41"/>
  <c r="XW35" i="41"/>
  <c r="XW31" i="41"/>
  <c r="WH8" i="41"/>
  <c r="WH4" i="41"/>
  <c r="WH148" i="41"/>
  <c r="WH145" i="41"/>
  <c r="XW173" i="41"/>
  <c r="ZD173" i="41" s="1"/>
  <c r="XW169" i="41"/>
  <c r="ZD169" i="41" s="1"/>
  <c r="XW167" i="41"/>
  <c r="ZD167" i="41" s="1"/>
  <c r="WH155" i="41"/>
  <c r="WH59" i="41"/>
  <c r="WH57" i="41"/>
  <c r="XW23" i="41"/>
  <c r="XW21" i="41"/>
  <c r="XW19" i="41"/>
  <c r="XW151" i="41"/>
  <c r="ZD151" i="41" s="1"/>
  <c r="WH47" i="41"/>
  <c r="WH45" i="41"/>
  <c r="WH187" i="41"/>
  <c r="WH158" i="41"/>
  <c r="XW55" i="41"/>
  <c r="WH143" i="41"/>
  <c r="WH141" i="41"/>
  <c r="WH139" i="41"/>
  <c r="XW12" i="41"/>
  <c r="XW190" i="41"/>
  <c r="ZD190" i="41" s="1"/>
  <c r="WH168" i="41"/>
  <c r="XW154" i="41"/>
  <c r="ZD154" i="41" s="1"/>
  <c r="WH52" i="41"/>
  <c r="WH69" i="41"/>
  <c r="WH67" i="41"/>
  <c r="WH61" i="41"/>
  <c r="WH26" i="41"/>
  <c r="WH24" i="41"/>
  <c r="XW8" i="41"/>
  <c r="WH135" i="41"/>
  <c r="XW185" i="41"/>
  <c r="ZD185" i="41" s="1"/>
  <c r="WH110" i="41"/>
  <c r="WH54" i="41"/>
  <c r="WH16" i="41"/>
  <c r="XW4" i="41"/>
  <c r="WH118" i="41"/>
  <c r="XW37" i="41"/>
  <c r="XW159" i="41"/>
  <c r="ZD159" i="41" s="1"/>
  <c r="WH152" i="41"/>
  <c r="XW180" i="41"/>
  <c r="ZD180" i="41" s="1"/>
  <c r="XW88" i="41"/>
  <c r="ZD88" i="41" s="1"/>
  <c r="XW24" i="41"/>
  <c r="XW11" i="41"/>
  <c r="WH182" i="41"/>
  <c r="WH176" i="41"/>
  <c r="WH174" i="41"/>
  <c r="WH172" i="41"/>
  <c r="WH87" i="41"/>
  <c r="XW172" i="41"/>
  <c r="ZD172" i="41" s="1"/>
  <c r="XW81" i="41"/>
  <c r="XW73" i="41"/>
  <c r="XW69" i="41"/>
  <c r="XW65" i="41"/>
  <c r="XW63" i="41"/>
  <c r="XW61" i="41"/>
  <c r="XW46" i="41"/>
  <c r="XW44" i="41"/>
  <c r="WH27" i="41"/>
  <c r="WH23" i="41"/>
  <c r="WH19" i="41"/>
  <c r="XW196" i="41"/>
  <c r="ZD196" i="41" s="1"/>
  <c r="WH184" i="41"/>
  <c r="WH166" i="41"/>
  <c r="WH127" i="41"/>
  <c r="WH125" i="41"/>
  <c r="XW115" i="41"/>
  <c r="ZD115" i="41" s="1"/>
  <c r="XW141" i="41"/>
  <c r="ZD141" i="41" s="1"/>
  <c r="WH62" i="41"/>
  <c r="XW178" i="41"/>
  <c r="ZD178" i="41" s="1"/>
  <c r="WH21" i="41"/>
  <c r="XW187" i="41"/>
  <c r="ZD187" i="41" s="1"/>
  <c r="WH164" i="41"/>
  <c r="WH162" i="41"/>
  <c r="XW138" i="41"/>
  <c r="ZD138" i="41" s="1"/>
  <c r="WH114" i="41"/>
  <c r="XW119" i="41"/>
  <c r="ZD119" i="41" s="1"/>
  <c r="WH28" i="41"/>
  <c r="XW39" i="41"/>
  <c r="WH160" i="41"/>
  <c r="XW102" i="41"/>
  <c r="ZD102" i="41" s="1"/>
  <c r="WH55" i="41"/>
  <c r="WH78" i="41"/>
  <c r="XW38" i="41"/>
  <c r="XW32" i="41"/>
  <c r="XW183" i="41"/>
  <c r="ZD183" i="41" s="1"/>
  <c r="XW179" i="41"/>
  <c r="ZD179" i="41" s="1"/>
  <c r="XW177" i="41"/>
  <c r="ZD177" i="41" s="1"/>
  <c r="WH149" i="41"/>
  <c r="XW134" i="41"/>
  <c r="ZD134" i="41" s="1"/>
  <c r="WH109" i="41"/>
  <c r="WH179" i="41"/>
  <c r="XW66" i="41"/>
  <c r="XW64" i="41"/>
  <c r="XW62" i="41"/>
  <c r="WH40" i="41"/>
  <c r="XW34" i="41"/>
  <c r="XW30" i="41"/>
  <c r="WH173" i="41"/>
  <c r="WH144" i="41"/>
  <c r="WH142" i="41"/>
  <c r="WH9" i="41"/>
  <c r="XW136" i="41"/>
  <c r="ZD136" i="41" s="1"/>
  <c r="XW13" i="41"/>
  <c r="XW182" i="41"/>
  <c r="ZD182" i="41" s="1"/>
  <c r="WH171" i="41"/>
  <c r="WH140" i="41"/>
  <c r="XW130" i="41"/>
  <c r="ZD130" i="41" s="1"/>
  <c r="WH96" i="41"/>
  <c r="XW27" i="41"/>
  <c r="WH29" i="41"/>
  <c r="XW175" i="41"/>
  <c r="ZD175" i="41" s="1"/>
  <c r="WH131" i="41"/>
  <c r="XW58" i="41"/>
  <c r="XW43" i="41"/>
  <c r="WH34" i="41"/>
  <c r="WH32" i="41"/>
  <c r="WH167" i="41"/>
  <c r="WH108" i="41"/>
  <c r="WH91" i="41"/>
  <c r="XW150" i="41"/>
  <c r="ZD150" i="41" s="1"/>
  <c r="XW94" i="41"/>
  <c r="ZD94" i="41" s="1"/>
  <c r="XW3" i="41"/>
  <c r="WH68" i="41"/>
  <c r="XW189" i="41"/>
  <c r="ZD189" i="41" s="1"/>
  <c r="XW174" i="41"/>
  <c r="ZD174" i="41" s="1"/>
  <c r="WH163" i="41"/>
  <c r="XW143" i="41"/>
  <c r="ZD143" i="41" s="1"/>
  <c r="WH132" i="41"/>
  <c r="WH104" i="41"/>
  <c r="WH73" i="41"/>
  <c r="XW127" i="41"/>
  <c r="ZD127" i="41" s="1"/>
  <c r="WH33" i="41"/>
  <c r="XW25" i="41"/>
  <c r="XW142" i="41"/>
  <c r="ZD142" i="41" s="1"/>
  <c r="XW125" i="41"/>
  <c r="ZD125" i="41" s="1"/>
  <c r="WH64" i="41"/>
  <c r="XW41" i="41"/>
  <c r="WH15" i="41"/>
  <c r="XW145" i="41"/>
  <c r="ZD145" i="41" s="1"/>
  <c r="XW77" i="41"/>
  <c r="XW20" i="41"/>
  <c r="XW170" i="41"/>
  <c r="ZD170" i="41" s="1"/>
  <c r="WH150" i="41"/>
  <c r="XW139" i="41"/>
  <c r="ZD139" i="41" s="1"/>
  <c r="WH50" i="41"/>
  <c r="WH81" i="41"/>
  <c r="XW75" i="41"/>
  <c r="XW40" i="41"/>
  <c r="WH106" i="41"/>
  <c r="XW87" i="41"/>
  <c r="ZD87" i="41" s="1"/>
  <c r="XW194" i="41"/>
  <c r="WH66" i="41"/>
  <c r="XW51" i="41"/>
  <c r="WH44" i="41"/>
  <c r="XW9" i="41"/>
  <c r="WH6" i="41"/>
  <c r="WH185" i="41"/>
  <c r="WH119" i="41"/>
  <c r="XW98" i="41"/>
  <c r="ZD98" i="41" s="1"/>
  <c r="VQ121" i="41"/>
  <c r="WH70" i="41"/>
  <c r="XW71" i="41"/>
  <c r="WH13" i="41"/>
  <c r="XW7" i="41"/>
  <c r="WH165" i="41"/>
  <c r="XW140" i="41"/>
  <c r="ZD140" i="41" s="1"/>
  <c r="XW96" i="41"/>
  <c r="ZD96" i="41" s="1"/>
  <c r="WH134" i="41"/>
  <c r="XW91" i="41"/>
  <c r="ZD91" i="41" s="1"/>
  <c r="VI121" i="41"/>
  <c r="XW188" i="41"/>
  <c r="ZD188" i="41" s="1"/>
  <c r="XW157" i="41"/>
  <c r="ZD157" i="41" s="1"/>
  <c r="WH154" i="41"/>
  <c r="WG121" i="41"/>
  <c r="WH63" i="41"/>
  <c r="WH124" i="41"/>
  <c r="WH75" i="41"/>
  <c r="WH22" i="41"/>
  <c r="XW16" i="41"/>
  <c r="WH133" i="41"/>
  <c r="XW111" i="41"/>
  <c r="ZD111" i="41" s="1"/>
  <c r="WH65" i="41"/>
  <c r="XW68" i="41"/>
  <c r="WH77" i="41"/>
  <c r="WH60" i="41"/>
  <c r="XW56" i="41"/>
  <c r="XW47" i="41"/>
  <c r="WH11" i="41"/>
  <c r="VY121" i="41"/>
  <c r="WH161" i="41"/>
  <c r="XW155" i="41"/>
  <c r="ZD155" i="41" s="1"/>
  <c r="WH113" i="41"/>
  <c r="WH111" i="41"/>
  <c r="XW109" i="41"/>
  <c r="ZD109" i="41" s="1"/>
  <c r="WH71" i="41"/>
  <c r="XW67" i="41"/>
  <c r="XW45" i="41"/>
  <c r="WH20" i="41"/>
  <c r="WH190" i="41"/>
  <c r="XW184" i="41"/>
  <c r="ZD184" i="41" s="1"/>
  <c r="XW166" i="41"/>
  <c r="ZD166" i="41" s="1"/>
  <c r="WH115" i="41"/>
  <c r="XW90" i="41"/>
  <c r="ZD90" i="41" s="1"/>
  <c r="XF121" i="41"/>
  <c r="XV121" i="41"/>
  <c r="XW137" i="41"/>
  <c r="ZD137" i="41" s="1"/>
  <c r="XW78" i="41"/>
  <c r="WH51" i="41"/>
  <c r="WH49" i="41"/>
  <c r="WH38" i="41"/>
  <c r="WH18" i="41"/>
  <c r="XW14" i="41"/>
  <c r="WP121" i="41"/>
  <c r="WH159" i="41"/>
  <c r="XW153" i="41"/>
  <c r="ZD153" i="41" s="1"/>
  <c r="WH129" i="41"/>
  <c r="XW116" i="41"/>
  <c r="ZD116" i="41" s="1"/>
  <c r="WH107" i="41"/>
  <c r="XW99" i="41"/>
  <c r="ZD99" i="41" s="1"/>
  <c r="XW117" i="41"/>
  <c r="ZD117" i="41" s="1"/>
  <c r="XW110" i="41"/>
  <c r="ZD110" i="41" s="1"/>
  <c r="WH94" i="41"/>
  <c r="WH76" i="41"/>
  <c r="WH17" i="41"/>
  <c r="XW198" i="41"/>
  <c r="ZD198" i="41" s="1"/>
  <c r="WH138" i="41"/>
  <c r="XW104" i="41"/>
  <c r="ZD104" i="41" s="1"/>
  <c r="WH30" i="41"/>
  <c r="XW105" i="41"/>
  <c r="ZD105" i="41" s="1"/>
  <c r="WH188" i="41"/>
  <c r="WH79" i="41"/>
  <c r="WH53" i="41"/>
  <c r="XW85" i="41"/>
  <c r="ZD85" i="41" s="1"/>
  <c r="WH180" i="41"/>
  <c r="XW171" i="41"/>
  <c r="ZD171" i="41" s="1"/>
  <c r="XW113" i="41"/>
  <c r="ZD113" i="41" s="1"/>
  <c r="WH88" i="41"/>
  <c r="WH89" i="41"/>
  <c r="WH35" i="41"/>
  <c r="XW126" i="41"/>
  <c r="ZD126" i="41" s="1"/>
  <c r="WH98" i="41"/>
  <c r="WH128" i="41"/>
  <c r="XW168" i="41"/>
  <c r="ZD168" i="41" s="1"/>
  <c r="WH112" i="41"/>
  <c r="XW86" i="41"/>
  <c r="ZD86" i="41" s="1"/>
  <c r="XW49" i="41"/>
  <c r="WH175" i="41"/>
  <c r="WH99" i="41"/>
  <c r="XW5" i="41"/>
  <c r="XW158" i="41"/>
  <c r="ZD158" i="41" s="1"/>
  <c r="WH58" i="41"/>
  <c r="WH25" i="41"/>
  <c r="XW176" i="41"/>
  <c r="ZD176" i="41" s="1"/>
  <c r="WH117" i="41"/>
  <c r="WH3" i="41"/>
  <c r="XW10" i="41"/>
  <c r="XW80" i="41"/>
  <c r="XW28" i="41"/>
  <c r="WH178" i="41"/>
  <c r="XW144" i="41"/>
  <c r="ZD144" i="41" s="1"/>
  <c r="XW100" i="41"/>
  <c r="ZD100" i="41" s="1"/>
  <c r="XW89" i="41"/>
  <c r="ZD89" i="41" s="1"/>
  <c r="WH157" i="41"/>
  <c r="XW36" i="41"/>
  <c r="WH7" i="41"/>
  <c r="XW92" i="41"/>
  <c r="ZD92" i="41" s="1"/>
  <c r="WH43" i="41"/>
  <c r="WH170" i="41"/>
  <c r="XW54" i="41"/>
  <c r="XW229" i="41"/>
  <c r="ZD229" i="41" s="1"/>
  <c r="XW118" i="41"/>
  <c r="ZD118" i="41" s="1"/>
  <c r="XW107" i="41"/>
  <c r="ZD107" i="41" s="1"/>
  <c r="XW124" i="41"/>
  <c r="ZD124" i="41" s="1"/>
  <c r="WX121" i="41"/>
  <c r="WH116" i="41"/>
  <c r="XW163" i="41"/>
  <c r="ZD163" i="41" s="1"/>
  <c r="XN121" i="41"/>
  <c r="WH85" i="41"/>
  <c r="XW131" i="41"/>
  <c r="ZD131" i="41" s="1"/>
  <c r="XW59" i="41"/>
  <c r="WH56" i="41"/>
  <c r="XW33" i="41"/>
  <c r="XW26" i="41"/>
  <c r="XW186" i="41"/>
  <c r="ZD186" i="41" s="1"/>
  <c r="WH183" i="41"/>
  <c r="XW181" i="41"/>
  <c r="ZD181" i="41" s="1"/>
  <c r="WH102" i="41"/>
  <c r="WH93" i="41"/>
  <c r="M196" i="41"/>
  <c r="U196" i="41"/>
  <c r="AC196" i="41"/>
  <c r="AK196" i="41"/>
  <c r="AL196" i="41"/>
  <c r="AT196" i="41"/>
  <c r="BB196" i="41"/>
  <c r="BJ196" i="41"/>
  <c r="BR196" i="41"/>
  <c r="CA196" i="41"/>
  <c r="CI196" i="41"/>
  <c r="CQ196" i="41"/>
  <c r="CY196" i="41"/>
  <c r="DG196" i="41"/>
  <c r="DP196" i="41"/>
  <c r="DX196" i="41"/>
  <c r="EF196" i="41"/>
  <c r="EN196" i="41"/>
  <c r="EW196" i="41"/>
  <c r="FE196" i="41"/>
  <c r="FM196" i="41"/>
  <c r="FU196" i="41"/>
  <c r="GD196" i="41"/>
  <c r="GL196" i="41"/>
  <c r="GT196" i="41"/>
  <c r="HB196" i="41"/>
  <c r="HJ196" i="41"/>
  <c r="HS196" i="41"/>
  <c r="IA196" i="41"/>
  <c r="II196" i="41"/>
  <c r="IQ196" i="41"/>
  <c r="IZ196" i="41"/>
  <c r="JH196" i="41"/>
  <c r="JP196" i="41"/>
  <c r="JX196" i="41"/>
  <c r="KG196" i="41"/>
  <c r="KO196" i="41"/>
  <c r="KW196" i="41"/>
  <c r="LE196" i="41"/>
  <c r="LM196" i="41"/>
  <c r="LV196" i="41"/>
  <c r="MD196" i="41"/>
  <c r="ML196" i="41"/>
  <c r="MT196" i="41"/>
  <c r="NC196" i="41"/>
  <c r="NK196" i="41"/>
  <c r="NS196" i="41"/>
  <c r="OA196" i="41"/>
  <c r="OJ196" i="41"/>
  <c r="OR196" i="41"/>
  <c r="OZ196" i="41"/>
  <c r="PH196" i="41"/>
  <c r="PP196" i="41"/>
  <c r="PY196" i="41"/>
  <c r="QG196" i="41"/>
  <c r="QO196" i="41"/>
  <c r="QW196" i="41"/>
  <c r="RN196" i="41"/>
  <c r="RV196" i="41"/>
  <c r="SD196" i="41"/>
  <c r="SU196" i="41"/>
  <c r="TS196" i="41"/>
  <c r="U218" i="41"/>
  <c r="AC218" i="41"/>
  <c r="AK218" i="41"/>
  <c r="AL218" i="41"/>
  <c r="AT218" i="41"/>
  <c r="BB218" i="41"/>
  <c r="BJ218" i="41"/>
  <c r="BR218" i="41"/>
  <c r="CA218" i="41"/>
  <c r="CI218" i="41"/>
  <c r="CQ218" i="41"/>
  <c r="CY218" i="41"/>
  <c r="DG218" i="41"/>
  <c r="DP218" i="41"/>
  <c r="DX218" i="41"/>
  <c r="EF218" i="41"/>
  <c r="EN218" i="41"/>
  <c r="EW218" i="41"/>
  <c r="FE218" i="41"/>
  <c r="FM218" i="41"/>
  <c r="FU218" i="41"/>
  <c r="GD218" i="41"/>
  <c r="GL218" i="41"/>
  <c r="GT218" i="41"/>
  <c r="HB218" i="41"/>
  <c r="HJ218" i="41"/>
  <c r="HS218" i="41"/>
  <c r="IA218" i="41"/>
  <c r="II218" i="41"/>
  <c r="IQ218" i="41"/>
  <c r="IZ218" i="41"/>
  <c r="JH218" i="41"/>
  <c r="JP218" i="41"/>
  <c r="JX218" i="41"/>
  <c r="KG218" i="41"/>
  <c r="KO218" i="41"/>
  <c r="KW218" i="41"/>
  <c r="LE218" i="41"/>
  <c r="LM218" i="41"/>
  <c r="LV218" i="41"/>
  <c r="MD218" i="41"/>
  <c r="ML218" i="41"/>
  <c r="MT218" i="41"/>
  <c r="NC218" i="41"/>
  <c r="NK218" i="41"/>
  <c r="NS218" i="41"/>
  <c r="OA218" i="41"/>
  <c r="OJ218" i="41"/>
  <c r="OR218" i="41"/>
  <c r="OZ218" i="41"/>
  <c r="PH218" i="41"/>
  <c r="PP218" i="41"/>
  <c r="PY218" i="41"/>
  <c r="QG218" i="41"/>
  <c r="QO218" i="41"/>
  <c r="RF218" i="41"/>
  <c r="RN218" i="41"/>
  <c r="RV218" i="41"/>
  <c r="SD218" i="41"/>
  <c r="SM218" i="41"/>
  <c r="TT218" i="41" s="1"/>
  <c r="U219" i="41"/>
  <c r="AC219" i="41"/>
  <c r="AK219" i="41"/>
  <c r="AL219" i="41"/>
  <c r="AT219" i="41"/>
  <c r="BB219" i="41"/>
  <c r="BJ219" i="41"/>
  <c r="BR219" i="41"/>
  <c r="CA219" i="41"/>
  <c r="CI219" i="41"/>
  <c r="CQ219" i="41"/>
  <c r="CY219" i="41"/>
  <c r="DG219" i="41"/>
  <c r="DP219" i="41"/>
  <c r="DX219" i="41"/>
  <c r="EF219" i="41"/>
  <c r="EN219" i="41"/>
  <c r="EW219" i="41"/>
  <c r="FE219" i="41"/>
  <c r="FM219" i="41"/>
  <c r="FU219" i="41"/>
  <c r="GD219" i="41"/>
  <c r="GL219" i="41"/>
  <c r="GT219" i="41"/>
  <c r="HB219" i="41"/>
  <c r="HJ219" i="41"/>
  <c r="HS219" i="41"/>
  <c r="IA219" i="41"/>
  <c r="II219" i="41"/>
  <c r="IQ219" i="41"/>
  <c r="IZ219" i="41"/>
  <c r="JH219" i="41"/>
  <c r="JP219" i="41"/>
  <c r="JX219" i="41"/>
  <c r="KG219" i="41"/>
  <c r="KO219" i="41"/>
  <c r="KW219" i="41"/>
  <c r="LE219" i="41"/>
  <c r="LM219" i="41"/>
  <c r="LV219" i="41"/>
  <c r="MD219" i="41"/>
  <c r="ML219" i="41"/>
  <c r="MT219" i="41"/>
  <c r="NC219" i="41"/>
  <c r="NK219" i="41"/>
  <c r="NS219" i="41"/>
  <c r="OA219" i="41"/>
  <c r="OJ219" i="41"/>
  <c r="OR219" i="41"/>
  <c r="OZ219" i="41"/>
  <c r="PH219" i="41"/>
  <c r="PP219" i="41"/>
  <c r="PY219" i="41"/>
  <c r="QG219" i="41"/>
  <c r="QO219" i="41"/>
  <c r="RF219" i="41"/>
  <c r="RN219" i="41"/>
  <c r="RV219" i="41"/>
  <c r="SD219" i="41"/>
  <c r="SM219" i="41"/>
  <c r="TT219" i="41" s="1"/>
  <c r="U220" i="41"/>
  <c r="AC220" i="41"/>
  <c r="AK220" i="41"/>
  <c r="AL220" i="41"/>
  <c r="AT220" i="41"/>
  <c r="BB220" i="41"/>
  <c r="BJ220" i="41"/>
  <c r="BR220" i="41"/>
  <c r="CA220" i="41"/>
  <c r="CI220" i="41"/>
  <c r="CQ220" i="41"/>
  <c r="CY220" i="41"/>
  <c r="DG220" i="41"/>
  <c r="DP220" i="41"/>
  <c r="DX220" i="41"/>
  <c r="EF220" i="41"/>
  <c r="EN220" i="41"/>
  <c r="EW220" i="41"/>
  <c r="FE220" i="41"/>
  <c r="FM220" i="41"/>
  <c r="FU220" i="41"/>
  <c r="GD220" i="41"/>
  <c r="GL220" i="41"/>
  <c r="GT220" i="41"/>
  <c r="HB220" i="41"/>
  <c r="HJ220" i="41"/>
  <c r="HS220" i="41"/>
  <c r="IA220" i="41"/>
  <c r="II220" i="41"/>
  <c r="IQ220" i="41"/>
  <c r="IZ220" i="41"/>
  <c r="JH220" i="41"/>
  <c r="JP220" i="41"/>
  <c r="JX220" i="41"/>
  <c r="KG220" i="41"/>
  <c r="KO220" i="41"/>
  <c r="KW220" i="41"/>
  <c r="LE220" i="41"/>
  <c r="LM220" i="41"/>
  <c r="LV220" i="41"/>
  <c r="MD220" i="41"/>
  <c r="ML220" i="41"/>
  <c r="MT220" i="41"/>
  <c r="NC220" i="41"/>
  <c r="NK220" i="41"/>
  <c r="NS220" i="41"/>
  <c r="OA220" i="41"/>
  <c r="OJ220" i="41"/>
  <c r="OR220" i="41"/>
  <c r="OZ220" i="41"/>
  <c r="PH220" i="41"/>
  <c r="PP220" i="41"/>
  <c r="PY220" i="41"/>
  <c r="QG220" i="41"/>
  <c r="QO220" i="41"/>
  <c r="RF220" i="41"/>
  <c r="RN220" i="41"/>
  <c r="RV220" i="41"/>
  <c r="SD220" i="41"/>
  <c r="SM220" i="41"/>
  <c r="TT220" i="41" s="1"/>
  <c r="U221" i="41"/>
  <c r="AC221" i="41"/>
  <c r="AK221" i="41"/>
  <c r="AL221" i="41"/>
  <c r="AT221" i="41"/>
  <c r="BB221" i="41"/>
  <c r="BJ221" i="41"/>
  <c r="BR221" i="41"/>
  <c r="CA221" i="41"/>
  <c r="CI221" i="41"/>
  <c r="CQ221" i="41"/>
  <c r="CY221" i="41"/>
  <c r="DG221" i="41"/>
  <c r="DP221" i="41"/>
  <c r="DX221" i="41"/>
  <c r="EF221" i="41"/>
  <c r="EN221" i="41"/>
  <c r="EW221" i="41"/>
  <c r="FE221" i="41"/>
  <c r="FM221" i="41"/>
  <c r="FU221" i="41"/>
  <c r="GD221" i="41"/>
  <c r="GL221" i="41"/>
  <c r="GT221" i="41"/>
  <c r="HB221" i="41"/>
  <c r="HJ221" i="41"/>
  <c r="HS221" i="41"/>
  <c r="IA221" i="41"/>
  <c r="II221" i="41"/>
  <c r="IQ221" i="41"/>
  <c r="IZ221" i="41"/>
  <c r="JH221" i="41"/>
  <c r="JP221" i="41"/>
  <c r="JX221" i="41"/>
  <c r="KG221" i="41"/>
  <c r="KO221" i="41"/>
  <c r="KW221" i="41"/>
  <c r="LE221" i="41"/>
  <c r="LM221" i="41"/>
  <c r="LV221" i="41"/>
  <c r="MD221" i="41"/>
  <c r="ML221" i="41"/>
  <c r="MT221" i="41"/>
  <c r="NC221" i="41"/>
  <c r="NK221" i="41"/>
  <c r="NS221" i="41"/>
  <c r="OA221" i="41"/>
  <c r="OJ221" i="41"/>
  <c r="OR221" i="41"/>
  <c r="OZ221" i="41"/>
  <c r="PH221" i="41"/>
  <c r="PP221" i="41"/>
  <c r="PY221" i="41"/>
  <c r="QG221" i="41"/>
  <c r="QO221" i="41"/>
  <c r="RF221" i="41"/>
  <c r="RV221" i="41"/>
  <c r="SD221" i="41"/>
  <c r="SM221" i="41"/>
  <c r="SU221" i="41"/>
  <c r="U223" i="41"/>
  <c r="AC223" i="41"/>
  <c r="AK223" i="41"/>
  <c r="AL223" i="41"/>
  <c r="AT223" i="41"/>
  <c r="BB223" i="41"/>
  <c r="BJ223" i="41"/>
  <c r="BR223" i="41"/>
  <c r="CA223" i="41"/>
  <c r="CI223" i="41"/>
  <c r="CQ223" i="41"/>
  <c r="CY223" i="41"/>
  <c r="DG223" i="41"/>
  <c r="DP223" i="41"/>
  <c r="DX223" i="41"/>
  <c r="EF223" i="41"/>
  <c r="EN223" i="41"/>
  <c r="EW223" i="41"/>
  <c r="FE223" i="41"/>
  <c r="FM223" i="41"/>
  <c r="FU223" i="41"/>
  <c r="GD223" i="41"/>
  <c r="GL223" i="41"/>
  <c r="GT223" i="41"/>
  <c r="HB223" i="41"/>
  <c r="HJ223" i="41"/>
  <c r="HS223" i="41"/>
  <c r="IA223" i="41"/>
  <c r="II223" i="41"/>
  <c r="IQ223" i="41"/>
  <c r="IZ223" i="41"/>
  <c r="JH223" i="41"/>
  <c r="JP223" i="41"/>
  <c r="JX223" i="41"/>
  <c r="KG223" i="41"/>
  <c r="KO223" i="41"/>
  <c r="KW223" i="41"/>
  <c r="LE223" i="41"/>
  <c r="LM223" i="41"/>
  <c r="LV223" i="41"/>
  <c r="MD223" i="41"/>
  <c r="ML223" i="41"/>
  <c r="MT223" i="41"/>
  <c r="NC223" i="41"/>
  <c r="NK223" i="41"/>
  <c r="NS223" i="41"/>
  <c r="OA223" i="41"/>
  <c r="OJ223" i="41"/>
  <c r="OR223" i="41"/>
  <c r="OZ223" i="41"/>
  <c r="PH223" i="41"/>
  <c r="PP223" i="41"/>
  <c r="PY223" i="41"/>
  <c r="QG223" i="41"/>
  <c r="QO223" i="41"/>
  <c r="QW223" i="41"/>
  <c r="RF223" i="41"/>
  <c r="RV223" i="41"/>
  <c r="SD223" i="41"/>
  <c r="U224" i="41"/>
  <c r="AC224" i="41"/>
  <c r="AK224" i="41"/>
  <c r="AL224" i="41"/>
  <c r="AT224" i="41"/>
  <c r="BB224" i="41"/>
  <c r="BJ224" i="41"/>
  <c r="BR224" i="41"/>
  <c r="CA224" i="41"/>
  <c r="CI224" i="41"/>
  <c r="CQ224" i="41"/>
  <c r="CY224" i="41"/>
  <c r="DG224" i="41"/>
  <c r="DP224" i="41"/>
  <c r="DX224" i="41"/>
  <c r="EF224" i="41"/>
  <c r="EN224" i="41"/>
  <c r="EW224" i="41"/>
  <c r="FE224" i="41"/>
  <c r="FM224" i="41"/>
  <c r="FU224" i="41"/>
  <c r="GD224" i="41"/>
  <c r="GL224" i="41"/>
  <c r="GT224" i="41"/>
  <c r="HB224" i="41"/>
  <c r="HJ224" i="41"/>
  <c r="HS224" i="41"/>
  <c r="IA224" i="41"/>
  <c r="II224" i="41"/>
  <c r="IQ224" i="41"/>
  <c r="IZ224" i="41"/>
  <c r="JH224" i="41"/>
  <c r="JP224" i="41"/>
  <c r="JX224" i="41"/>
  <c r="KG224" i="41"/>
  <c r="KO224" i="41"/>
  <c r="KW224" i="41"/>
  <c r="LE224" i="41"/>
  <c r="LM224" i="41"/>
  <c r="LV224" i="41"/>
  <c r="MD224" i="41"/>
  <c r="ML224" i="41"/>
  <c r="MT224" i="41"/>
  <c r="NC224" i="41"/>
  <c r="NK224" i="41"/>
  <c r="NS224" i="41"/>
  <c r="OA224" i="41"/>
  <c r="OJ224" i="41"/>
  <c r="OR224" i="41"/>
  <c r="OZ224" i="41"/>
  <c r="PH224" i="41"/>
  <c r="PP224" i="41"/>
  <c r="PY224" i="41"/>
  <c r="QG224" i="41"/>
  <c r="QO224" i="41"/>
  <c r="QW224" i="41"/>
  <c r="RF224" i="41"/>
  <c r="RV224" i="41"/>
  <c r="SD224" i="41"/>
  <c r="U229" i="41"/>
  <c r="AC229" i="41"/>
  <c r="AK229" i="41"/>
  <c r="AL229" i="41"/>
  <c r="AT229" i="41"/>
  <c r="BB229" i="41"/>
  <c r="BJ229" i="41"/>
  <c r="BR229" i="41"/>
  <c r="CA229" i="41"/>
  <c r="CI229" i="41"/>
  <c r="CQ229" i="41"/>
  <c r="CY229" i="41"/>
  <c r="DG229" i="41"/>
  <c r="DP229" i="41"/>
  <c r="DX229" i="41"/>
  <c r="EF229" i="41"/>
  <c r="EN229" i="41"/>
  <c r="EW229" i="41"/>
  <c r="FE229" i="41"/>
  <c r="FM229" i="41"/>
  <c r="FU229" i="41"/>
  <c r="GD229" i="41"/>
  <c r="GL229" i="41"/>
  <c r="GT229" i="41"/>
  <c r="HB229" i="41"/>
  <c r="HJ229" i="41"/>
  <c r="HS229" i="41"/>
  <c r="IA229" i="41"/>
  <c r="II229" i="41"/>
  <c r="IQ229" i="41"/>
  <c r="IZ229" i="41"/>
  <c r="JH229" i="41"/>
  <c r="JP229" i="41"/>
  <c r="JX229" i="41"/>
  <c r="KG229" i="41"/>
  <c r="KO229" i="41"/>
  <c r="KW229" i="41"/>
  <c r="LE229" i="41"/>
  <c r="LM229" i="41"/>
  <c r="LV229" i="41"/>
  <c r="MD229" i="41"/>
  <c r="ML229" i="41"/>
  <c r="MT229" i="41"/>
  <c r="NC229" i="41"/>
  <c r="NK229" i="41"/>
  <c r="NS229" i="41"/>
  <c r="OA229" i="41"/>
  <c r="OJ229" i="41"/>
  <c r="OR229" i="41"/>
  <c r="OZ229" i="41"/>
  <c r="PH229" i="41"/>
  <c r="PP229" i="41"/>
  <c r="PY229" i="41"/>
  <c r="QG229" i="41"/>
  <c r="QO229" i="41"/>
  <c r="QW229" i="41"/>
  <c r="RF229" i="41"/>
  <c r="RV229" i="41"/>
  <c r="SD229" i="41"/>
  <c r="U230" i="41"/>
  <c r="AC230" i="41"/>
  <c r="AK230" i="41"/>
  <c r="AL230" i="41"/>
  <c r="AT230" i="41"/>
  <c r="BB230" i="41"/>
  <c r="BJ230" i="41"/>
  <c r="BR230" i="41"/>
  <c r="CA230" i="41"/>
  <c r="CI230" i="41"/>
  <c r="CQ230" i="41"/>
  <c r="CY230" i="41"/>
  <c r="DG230" i="41"/>
  <c r="DP230" i="41"/>
  <c r="DX230" i="41"/>
  <c r="EF230" i="41"/>
  <c r="EN230" i="41"/>
  <c r="EW230" i="41"/>
  <c r="FE230" i="41"/>
  <c r="FM230" i="41"/>
  <c r="FU230" i="41"/>
  <c r="GD230" i="41"/>
  <c r="GL230" i="41"/>
  <c r="GT230" i="41"/>
  <c r="HB230" i="41"/>
  <c r="HJ230" i="41"/>
  <c r="HS230" i="41"/>
  <c r="IA230" i="41"/>
  <c r="II230" i="41"/>
  <c r="IQ230" i="41"/>
  <c r="IZ230" i="41"/>
  <c r="JH230" i="41"/>
  <c r="JP230" i="41"/>
  <c r="JX230" i="41"/>
  <c r="KG230" i="41"/>
  <c r="KO230" i="41"/>
  <c r="KW230" i="41"/>
  <c r="LE230" i="41"/>
  <c r="LM230" i="41"/>
  <c r="LV230" i="41"/>
  <c r="MD230" i="41"/>
  <c r="ML230" i="41"/>
  <c r="MT230" i="41"/>
  <c r="NC230" i="41"/>
  <c r="NK230" i="41"/>
  <c r="NS230" i="41"/>
  <c r="OA230" i="41"/>
  <c r="OJ230" i="41"/>
  <c r="OR230" i="41"/>
  <c r="OZ230" i="41"/>
  <c r="PH230" i="41"/>
  <c r="PP230" i="41"/>
  <c r="PY230" i="41"/>
  <c r="QG230" i="41"/>
  <c r="QO230" i="41"/>
  <c r="QW230" i="41"/>
  <c r="SD230" i="41"/>
  <c r="SM230" i="41"/>
  <c r="TT230" i="41" s="1"/>
  <c r="SD232" i="41"/>
  <c r="UZ194" i="41"/>
  <c r="UZ244" i="41" s="1"/>
  <c r="UR194" i="41"/>
  <c r="UJ194" i="41"/>
  <c r="UB194" i="41"/>
  <c r="UB244" i="41" s="1"/>
  <c r="TS194" i="41"/>
  <c r="TK194" i="41"/>
  <c r="TK244" i="41" s="1"/>
  <c r="TC194" i="41"/>
  <c r="TC244" i="41" s="1"/>
  <c r="SU194" i="41"/>
  <c r="SM194" i="41"/>
  <c r="SD194" i="41"/>
  <c r="RV194" i="41"/>
  <c r="RN194" i="41"/>
  <c r="RF194" i="41"/>
  <c r="QW194" i="41"/>
  <c r="QO194" i="41"/>
  <c r="QG194" i="41"/>
  <c r="PY194" i="41"/>
  <c r="PP194" i="41"/>
  <c r="PH194" i="41"/>
  <c r="OZ194" i="41"/>
  <c r="OR194" i="41"/>
  <c r="OJ194" i="41"/>
  <c r="OA194" i="41"/>
  <c r="NS194" i="41"/>
  <c r="NK194" i="41"/>
  <c r="NC194" i="41"/>
  <c r="MT194" i="41"/>
  <c r="ML194" i="41"/>
  <c r="MD194" i="41"/>
  <c r="LV194" i="41"/>
  <c r="LM194" i="41"/>
  <c r="LE194" i="41"/>
  <c r="KW194" i="41"/>
  <c r="KO194" i="41"/>
  <c r="KG194" i="41"/>
  <c r="JX194" i="41"/>
  <c r="JP194" i="41"/>
  <c r="JH194" i="41"/>
  <c r="IZ194" i="41"/>
  <c r="IQ194" i="41"/>
  <c r="II194" i="41"/>
  <c r="IA194" i="41"/>
  <c r="HS194" i="41"/>
  <c r="HJ194" i="41"/>
  <c r="HB194" i="41"/>
  <c r="GT194" i="41"/>
  <c r="GL194" i="41"/>
  <c r="GD194" i="41"/>
  <c r="FU194" i="41"/>
  <c r="FM194" i="41"/>
  <c r="FE194" i="41"/>
  <c r="EW194" i="41"/>
  <c r="EN194" i="41"/>
  <c r="EF194" i="41"/>
  <c r="DX194" i="41"/>
  <c r="DP194" i="41"/>
  <c r="DG194" i="41"/>
  <c r="CY194" i="41"/>
  <c r="CQ194" i="41"/>
  <c r="CI194" i="41"/>
  <c r="CA194" i="41"/>
  <c r="BR194" i="41"/>
  <c r="BJ194" i="41"/>
  <c r="BB194" i="41"/>
  <c r="AT194" i="41"/>
  <c r="AL194" i="41"/>
  <c r="AK194" i="41"/>
  <c r="AC194" i="41"/>
  <c r="U194" i="41"/>
  <c r="M194" i="41"/>
  <c r="TV193" i="41"/>
  <c r="TW193" i="41" s="1"/>
  <c r="TX193" i="41" s="1"/>
  <c r="TY193" i="41" s="1"/>
  <c r="TZ193" i="41" s="1"/>
  <c r="UA193" i="41" s="1"/>
  <c r="UC193" i="41" s="1"/>
  <c r="UD193" i="41" s="1"/>
  <c r="UE193" i="41" s="1"/>
  <c r="UF193" i="41" s="1"/>
  <c r="UG193" i="41" s="1"/>
  <c r="UH193" i="41" s="1"/>
  <c r="UI193" i="41" s="1"/>
  <c r="UK193" i="41" s="1"/>
  <c r="UL193" i="41" s="1"/>
  <c r="UM193" i="41" s="1"/>
  <c r="UN193" i="41" s="1"/>
  <c r="UO193" i="41" s="1"/>
  <c r="UP193" i="41" s="1"/>
  <c r="UQ193" i="41" s="1"/>
  <c r="US193" i="41" s="1"/>
  <c r="UT193" i="41" s="1"/>
  <c r="UU193" i="41" s="1"/>
  <c r="UV193" i="41" s="1"/>
  <c r="UW193" i="41" s="1"/>
  <c r="UX193" i="41" s="1"/>
  <c r="UY193" i="41" s="1"/>
  <c r="VB193" i="41" s="1"/>
  <c r="VC193" i="41" s="1"/>
  <c r="VD193" i="41" s="1"/>
  <c r="VE193" i="41" s="1"/>
  <c r="VF193" i="41" s="1"/>
  <c r="VG193" i="41" s="1"/>
  <c r="VH193" i="41" s="1"/>
  <c r="VJ193" i="41" s="1"/>
  <c r="VK193" i="41" s="1"/>
  <c r="VL193" i="41" s="1"/>
  <c r="VM193" i="41" s="1"/>
  <c r="VN193" i="41" s="1"/>
  <c r="VO193" i="41" s="1"/>
  <c r="VP193" i="41" s="1"/>
  <c r="VR193" i="41" s="1"/>
  <c r="VS193" i="41" s="1"/>
  <c r="VT193" i="41" s="1"/>
  <c r="VU193" i="41" s="1"/>
  <c r="VV193" i="41" s="1"/>
  <c r="VW193" i="41" s="1"/>
  <c r="VX193" i="41" s="1"/>
  <c r="VZ193" i="41" s="1"/>
  <c r="WA193" i="41" s="1"/>
  <c r="WB193" i="41" s="1"/>
  <c r="WC193" i="41" s="1"/>
  <c r="WD193" i="41" s="1"/>
  <c r="WE193" i="41" s="1"/>
  <c r="WF193" i="41" s="1"/>
  <c r="WI193" i="41" s="1"/>
  <c r="WJ193" i="41" s="1"/>
  <c r="WK193" i="41" s="1"/>
  <c r="WL193" i="41" s="1"/>
  <c r="WM193" i="41" s="1"/>
  <c r="WN193" i="41" s="1"/>
  <c r="WO193" i="41" s="1"/>
  <c r="WQ193" i="41" s="1"/>
  <c r="WR193" i="41" s="1"/>
  <c r="WS193" i="41" s="1"/>
  <c r="WT193" i="41" s="1"/>
  <c r="WU193" i="41" s="1"/>
  <c r="WV193" i="41" s="1"/>
  <c r="WW193" i="41" s="1"/>
  <c r="WY193" i="41" s="1"/>
  <c r="WZ193" i="41" s="1"/>
  <c r="XA193" i="41" s="1"/>
  <c r="XB193" i="41" s="1"/>
  <c r="XC193" i="41" s="1"/>
  <c r="XD193" i="41" s="1"/>
  <c r="XE193" i="41" s="1"/>
  <c r="XG193" i="41" s="1"/>
  <c r="XH193" i="41" s="1"/>
  <c r="XI193" i="41" s="1"/>
  <c r="XJ193" i="41" s="1"/>
  <c r="XK193" i="41" s="1"/>
  <c r="XL193" i="41" s="1"/>
  <c r="XM193" i="41" s="1"/>
  <c r="XO193" i="41" s="1"/>
  <c r="XP193" i="41" s="1"/>
  <c r="XQ193" i="41" s="1"/>
  <c r="XR193" i="41" s="1"/>
  <c r="XS193" i="41" s="1"/>
  <c r="XT193" i="41" s="1"/>
  <c r="XU193" i="41" s="1"/>
  <c r="XX193" i="41" s="1"/>
  <c r="XY193" i="41" s="1"/>
  <c r="XZ193" i="41" s="1"/>
  <c r="YA193" i="41" s="1"/>
  <c r="YB193" i="41" s="1"/>
  <c r="YC193" i="41" s="1"/>
  <c r="YD193" i="41" s="1"/>
  <c r="YF193" i="41" s="1"/>
  <c r="YG193" i="41" s="1"/>
  <c r="YH193" i="41" s="1"/>
  <c r="YI193" i="41" s="1"/>
  <c r="YJ193" i="41" s="1"/>
  <c r="YK193" i="41" s="1"/>
  <c r="YL193" i="41" s="1"/>
  <c r="YN193" i="41" s="1"/>
  <c r="YO193" i="41" s="1"/>
  <c r="YP193" i="41" s="1"/>
  <c r="YQ193" i="41" s="1"/>
  <c r="YR193" i="41" s="1"/>
  <c r="YS193" i="41" s="1"/>
  <c r="YT193" i="41" s="1"/>
  <c r="YV193" i="41" s="1"/>
  <c r="YW193" i="41" s="1"/>
  <c r="YX193" i="41" s="1"/>
  <c r="YY193" i="41" s="1"/>
  <c r="YZ193" i="41" s="1"/>
  <c r="ZA193" i="41" s="1"/>
  <c r="ZB193" i="41" s="1"/>
  <c r="ZE193" i="41" s="1"/>
  <c r="ZF193" i="41" s="1"/>
  <c r="ZG193" i="41" s="1"/>
  <c r="ZH193" i="41" s="1"/>
  <c r="ZI193" i="41" s="1"/>
  <c r="ZJ193" i="41" s="1"/>
  <c r="ZK193" i="41" s="1"/>
  <c r="ZM193" i="41" s="1"/>
  <c r="ZN193" i="41" s="1"/>
  <c r="ZO193" i="41" s="1"/>
  <c r="ZP193" i="41" s="1"/>
  <c r="ZQ193" i="41" s="1"/>
  <c r="ZR193" i="41" s="1"/>
  <c r="ZS193" i="41" s="1"/>
  <c r="ZU193" i="41" s="1"/>
  <c r="ZV193" i="41" s="1"/>
  <c r="ZW193" i="41" s="1"/>
  <c r="ZX193" i="41" s="1"/>
  <c r="ZY193" i="41" s="1"/>
  <c r="ZZ193" i="41" s="1"/>
  <c r="AAA193" i="41" s="1"/>
  <c r="AAC193" i="41" s="1"/>
  <c r="AAD193" i="41" s="1"/>
  <c r="AAE193" i="41" s="1"/>
  <c r="AAF193" i="41" s="1"/>
  <c r="AAG193" i="41" s="1"/>
  <c r="AAH193" i="41" s="1"/>
  <c r="AAI193" i="41" s="1"/>
  <c r="AAK193" i="41" s="1"/>
  <c r="AAL193" i="41" s="1"/>
  <c r="AAM193" i="41" s="1"/>
  <c r="AAN193" i="41" s="1"/>
  <c r="AAO193" i="41" s="1"/>
  <c r="AAP193" i="41" s="1"/>
  <c r="AAQ193" i="41" s="1"/>
  <c r="PW193" i="41"/>
  <c r="PX193" i="41" s="1"/>
  <c r="PZ193" i="41" s="1"/>
  <c r="QA193" i="41" s="1"/>
  <c r="QB193" i="41" s="1"/>
  <c r="QC193" i="41" s="1"/>
  <c r="QD193" i="41" s="1"/>
  <c r="QE193" i="41" s="1"/>
  <c r="QF193" i="41" s="1"/>
  <c r="QH193" i="41" s="1"/>
  <c r="QI193" i="41" s="1"/>
  <c r="QJ193" i="41" s="1"/>
  <c r="QK193" i="41" s="1"/>
  <c r="QL193" i="41" s="1"/>
  <c r="QM193" i="41" s="1"/>
  <c r="QN193" i="41" s="1"/>
  <c r="QP193" i="41" s="1"/>
  <c r="QQ193" i="41" s="1"/>
  <c r="QR193" i="41" s="1"/>
  <c r="QS193" i="41" s="1"/>
  <c r="QT193" i="41" s="1"/>
  <c r="QU193" i="41" s="1"/>
  <c r="QV193" i="41" s="1"/>
  <c r="QY193" i="41" s="1"/>
  <c r="QZ193" i="41" s="1"/>
  <c r="RA193" i="41" s="1"/>
  <c r="RB193" i="41" s="1"/>
  <c r="RC193" i="41" s="1"/>
  <c r="RD193" i="41" s="1"/>
  <c r="RE193" i="41" s="1"/>
  <c r="RG193" i="41" s="1"/>
  <c r="RH193" i="41" s="1"/>
  <c r="RI193" i="41" s="1"/>
  <c r="RJ193" i="41" s="1"/>
  <c r="RK193" i="41" s="1"/>
  <c r="RL193" i="41" s="1"/>
  <c r="RM193" i="41" s="1"/>
  <c r="RO193" i="41" s="1"/>
  <c r="RP193" i="41" s="1"/>
  <c r="RQ193" i="41" s="1"/>
  <c r="RR193" i="41" s="1"/>
  <c r="RS193" i="41" s="1"/>
  <c r="RT193" i="41" s="1"/>
  <c r="RU193" i="41" s="1"/>
  <c r="RW193" i="41" s="1"/>
  <c r="RX193" i="41" s="1"/>
  <c r="RY193" i="41" s="1"/>
  <c r="RZ193" i="41" s="1"/>
  <c r="SA193" i="41" s="1"/>
  <c r="SB193" i="41" s="1"/>
  <c r="SC193" i="41" s="1"/>
  <c r="SF193" i="41" s="1"/>
  <c r="SG193" i="41" s="1"/>
  <c r="SH193" i="41" s="1"/>
  <c r="SI193" i="41" s="1"/>
  <c r="SJ193" i="41" s="1"/>
  <c r="SK193" i="41" s="1"/>
  <c r="SL193" i="41" s="1"/>
  <c r="SN193" i="41" s="1"/>
  <c r="SO193" i="41" s="1"/>
  <c r="SP193" i="41" s="1"/>
  <c r="SQ193" i="41" s="1"/>
  <c r="SR193" i="41" s="1"/>
  <c r="SS193" i="41" s="1"/>
  <c r="ST193" i="41" s="1"/>
  <c r="SV193" i="41" s="1"/>
  <c r="SW193" i="41" s="1"/>
  <c r="SX193" i="41" s="1"/>
  <c r="SY193" i="41" s="1"/>
  <c r="SZ193" i="41" s="1"/>
  <c r="TA193" i="41" s="1"/>
  <c r="TB193" i="41" s="1"/>
  <c r="TD193" i="41" s="1"/>
  <c r="TE193" i="41" s="1"/>
  <c r="TF193" i="41" s="1"/>
  <c r="TG193" i="41" s="1"/>
  <c r="TH193" i="41" s="1"/>
  <c r="TI193" i="41" s="1"/>
  <c r="TJ193" i="41" s="1"/>
  <c r="TL193" i="41" s="1"/>
  <c r="TM193" i="41" s="1"/>
  <c r="TN193" i="41" s="1"/>
  <c r="TO193" i="41" s="1"/>
  <c r="TP193" i="41" s="1"/>
  <c r="TQ193" i="41" s="1"/>
  <c r="TR193" i="41" s="1"/>
  <c r="LX193" i="41"/>
  <c r="LY193" i="41" s="1"/>
  <c r="LZ193" i="41" s="1"/>
  <c r="MA193" i="41" s="1"/>
  <c r="MB193" i="41" s="1"/>
  <c r="MC193" i="41" s="1"/>
  <c r="ME193" i="41" s="1"/>
  <c r="MF193" i="41" s="1"/>
  <c r="MG193" i="41" s="1"/>
  <c r="MH193" i="41" s="1"/>
  <c r="MI193" i="41" s="1"/>
  <c r="MJ193" i="41" s="1"/>
  <c r="MK193" i="41" s="1"/>
  <c r="MM193" i="41" s="1"/>
  <c r="MN193" i="41" s="1"/>
  <c r="MO193" i="41" s="1"/>
  <c r="MP193" i="41" s="1"/>
  <c r="MQ193" i="41" s="1"/>
  <c r="MR193" i="41" s="1"/>
  <c r="MS193" i="41" s="1"/>
  <c r="MV193" i="41" s="1"/>
  <c r="MW193" i="41" s="1"/>
  <c r="MX193" i="41" s="1"/>
  <c r="MY193" i="41" s="1"/>
  <c r="MZ193" i="41" s="1"/>
  <c r="NA193" i="41" s="1"/>
  <c r="NB193" i="41" s="1"/>
  <c r="ND193" i="41" s="1"/>
  <c r="NE193" i="41" s="1"/>
  <c r="NF193" i="41" s="1"/>
  <c r="NG193" i="41" s="1"/>
  <c r="NH193" i="41" s="1"/>
  <c r="NI193" i="41" s="1"/>
  <c r="NJ193" i="41" s="1"/>
  <c r="NL193" i="41" s="1"/>
  <c r="NM193" i="41" s="1"/>
  <c r="NN193" i="41" s="1"/>
  <c r="NO193" i="41" s="1"/>
  <c r="NP193" i="41" s="1"/>
  <c r="NQ193" i="41" s="1"/>
  <c r="NR193" i="41" s="1"/>
  <c r="NT193" i="41" s="1"/>
  <c r="NU193" i="41" s="1"/>
  <c r="NV193" i="41" s="1"/>
  <c r="NW193" i="41" s="1"/>
  <c r="NX193" i="41" s="1"/>
  <c r="NY193" i="41" s="1"/>
  <c r="NZ193" i="41" s="1"/>
  <c r="OC193" i="41" s="1"/>
  <c r="OD193" i="41" s="1"/>
  <c r="OE193" i="41" s="1"/>
  <c r="OF193" i="41" s="1"/>
  <c r="OG193" i="41" s="1"/>
  <c r="OH193" i="41" s="1"/>
  <c r="OI193" i="41" s="1"/>
  <c r="OK193" i="41" s="1"/>
  <c r="OL193" i="41" s="1"/>
  <c r="OM193" i="41" s="1"/>
  <c r="ON193" i="41" s="1"/>
  <c r="OO193" i="41" s="1"/>
  <c r="OP193" i="41" s="1"/>
  <c r="OQ193" i="41" s="1"/>
  <c r="OS193" i="41" s="1"/>
  <c r="OT193" i="41" s="1"/>
  <c r="OU193" i="41" s="1"/>
  <c r="OV193" i="41" s="1"/>
  <c r="OW193" i="41" s="1"/>
  <c r="OX193" i="41" s="1"/>
  <c r="OY193" i="41" s="1"/>
  <c r="PA193" i="41" s="1"/>
  <c r="PB193" i="41" s="1"/>
  <c r="PC193" i="41" s="1"/>
  <c r="PD193" i="41" s="1"/>
  <c r="PE193" i="41" s="1"/>
  <c r="PF193" i="41" s="1"/>
  <c r="PG193" i="41" s="1"/>
  <c r="PI193" i="41" s="1"/>
  <c r="PJ193" i="41" s="1"/>
  <c r="PK193" i="41" s="1"/>
  <c r="PL193" i="41" s="1"/>
  <c r="PM193" i="41" s="1"/>
  <c r="PN193" i="41" s="1"/>
  <c r="PO193" i="41" s="1"/>
  <c r="KU193" i="41"/>
  <c r="KV193" i="41" s="1"/>
  <c r="KX193" i="41" s="1"/>
  <c r="KY193" i="41" s="1"/>
  <c r="KZ193" i="41" s="1"/>
  <c r="LA193" i="41" s="1"/>
  <c r="LB193" i="41" s="1"/>
  <c r="LC193" i="41" s="1"/>
  <c r="LD193" i="41" s="1"/>
  <c r="LF193" i="41" s="1"/>
  <c r="LG193" i="41" s="1"/>
  <c r="LH193" i="41" s="1"/>
  <c r="LI193" i="41" s="1"/>
  <c r="LJ193" i="41" s="1"/>
  <c r="LK193" i="41" s="1"/>
  <c r="LL193" i="41" s="1"/>
  <c r="LO193" i="41" s="1"/>
  <c r="LP193" i="41" s="1"/>
  <c r="LQ193" i="41" s="1"/>
  <c r="LR193" i="41" s="1"/>
  <c r="LS193" i="41" s="1"/>
  <c r="LT193" i="41" s="1"/>
  <c r="LU193" i="41" s="1"/>
  <c r="EU193" i="41"/>
  <c r="EV193" i="41" s="1"/>
  <c r="EX193" i="41" s="1"/>
  <c r="EY193" i="41" s="1"/>
  <c r="EZ193" i="41" s="1"/>
  <c r="FA193" i="41" s="1"/>
  <c r="FB193" i="41" s="1"/>
  <c r="FC193" i="41" s="1"/>
  <c r="FD193" i="41" s="1"/>
  <c r="FF193" i="41" s="1"/>
  <c r="FG193" i="41" s="1"/>
  <c r="FH193" i="41" s="1"/>
  <c r="FI193" i="41" s="1"/>
  <c r="FJ193" i="41" s="1"/>
  <c r="FK193" i="41" s="1"/>
  <c r="FL193" i="41" s="1"/>
  <c r="FN193" i="41" s="1"/>
  <c r="FO193" i="41" s="1"/>
  <c r="FP193" i="41" s="1"/>
  <c r="FQ193" i="41" s="1"/>
  <c r="FR193" i="41" s="1"/>
  <c r="FS193" i="41" s="1"/>
  <c r="FT193" i="41" s="1"/>
  <c r="FW193" i="41" s="1"/>
  <c r="FX193" i="41" s="1"/>
  <c r="FY193" i="41" s="1"/>
  <c r="FZ193" i="41" s="1"/>
  <c r="GA193" i="41" s="1"/>
  <c r="GB193" i="41" s="1"/>
  <c r="GC193" i="41" s="1"/>
  <c r="GE193" i="41" s="1"/>
  <c r="GF193" i="41" s="1"/>
  <c r="GG193" i="41" s="1"/>
  <c r="GH193" i="41" s="1"/>
  <c r="GI193" i="41" s="1"/>
  <c r="GJ193" i="41" s="1"/>
  <c r="GK193" i="41" s="1"/>
  <c r="GM193" i="41" s="1"/>
  <c r="GN193" i="41" s="1"/>
  <c r="GO193" i="41" s="1"/>
  <c r="GP193" i="41" s="1"/>
  <c r="GQ193" i="41" s="1"/>
  <c r="GR193" i="41" s="1"/>
  <c r="GS193" i="41" s="1"/>
  <c r="GU193" i="41" s="1"/>
  <c r="GV193" i="41" s="1"/>
  <c r="GW193" i="41" s="1"/>
  <c r="GX193" i="41" s="1"/>
  <c r="GY193" i="41" s="1"/>
  <c r="GZ193" i="41" s="1"/>
  <c r="HA193" i="41" s="1"/>
  <c r="HC193" i="41" s="1"/>
  <c r="HD193" i="41" s="1"/>
  <c r="HE193" i="41" s="1"/>
  <c r="HF193" i="41" s="1"/>
  <c r="HG193" i="41" s="1"/>
  <c r="HH193" i="41" s="1"/>
  <c r="HI193" i="41" s="1"/>
  <c r="HL193" i="41" s="1"/>
  <c r="HM193" i="41" s="1"/>
  <c r="HN193" i="41" s="1"/>
  <c r="HO193" i="41" s="1"/>
  <c r="HP193" i="41" s="1"/>
  <c r="HQ193" i="41" s="1"/>
  <c r="HR193" i="41" s="1"/>
  <c r="HT193" i="41" s="1"/>
  <c r="HU193" i="41" s="1"/>
  <c r="HV193" i="41" s="1"/>
  <c r="HW193" i="41" s="1"/>
  <c r="HX193" i="41" s="1"/>
  <c r="HY193" i="41" s="1"/>
  <c r="HZ193" i="41" s="1"/>
  <c r="IB193" i="41" s="1"/>
  <c r="IC193" i="41" s="1"/>
  <c r="ID193" i="41" s="1"/>
  <c r="IE193" i="41" s="1"/>
  <c r="IF193" i="41" s="1"/>
  <c r="IG193" i="41" s="1"/>
  <c r="IH193" i="41" s="1"/>
  <c r="IJ193" i="41" s="1"/>
  <c r="IK193" i="41" s="1"/>
  <c r="IL193" i="41" s="1"/>
  <c r="IM193" i="41" s="1"/>
  <c r="IN193" i="41" s="1"/>
  <c r="IO193" i="41" s="1"/>
  <c r="IP193" i="41" s="1"/>
  <c r="IS193" i="41" s="1"/>
  <c r="IT193" i="41" s="1"/>
  <c r="IU193" i="41" s="1"/>
  <c r="IV193" i="41" s="1"/>
  <c r="IW193" i="41" s="1"/>
  <c r="IX193" i="41" s="1"/>
  <c r="IY193" i="41" s="1"/>
  <c r="JA193" i="41" s="1"/>
  <c r="JB193" i="41" s="1"/>
  <c r="JC193" i="41" s="1"/>
  <c r="JD193" i="41" s="1"/>
  <c r="JE193" i="41" s="1"/>
  <c r="JF193" i="41" s="1"/>
  <c r="JG193" i="41" s="1"/>
  <c r="JI193" i="41" s="1"/>
  <c r="JJ193" i="41" s="1"/>
  <c r="JK193" i="41" s="1"/>
  <c r="JL193" i="41" s="1"/>
  <c r="JM193" i="41" s="1"/>
  <c r="JN193" i="41" s="1"/>
  <c r="JO193" i="41" s="1"/>
  <c r="JQ193" i="41" s="1"/>
  <c r="JR193" i="41" s="1"/>
  <c r="JS193" i="41" s="1"/>
  <c r="JT193" i="41" s="1"/>
  <c r="JU193" i="41" s="1"/>
  <c r="JV193" i="41" s="1"/>
  <c r="JW193" i="41" s="1"/>
  <c r="JZ193" i="41" s="1"/>
  <c r="KA193" i="41" s="1"/>
  <c r="KB193" i="41" s="1"/>
  <c r="KC193" i="41" s="1"/>
  <c r="KD193" i="41" s="1"/>
  <c r="KE193" i="41" s="1"/>
  <c r="KF193" i="41" s="1"/>
  <c r="KH193" i="41" s="1"/>
  <c r="KI193" i="41" s="1"/>
  <c r="KJ193" i="41" s="1"/>
  <c r="KK193" i="41" s="1"/>
  <c r="KL193" i="41" s="1"/>
  <c r="KM193" i="41" s="1"/>
  <c r="KN193" i="41" s="1"/>
  <c r="CO193" i="41"/>
  <c r="CP193" i="41" s="1"/>
  <c r="CR193" i="41" s="1"/>
  <c r="CS193" i="41" s="1"/>
  <c r="CT193" i="41" s="1"/>
  <c r="CU193" i="41" s="1"/>
  <c r="CV193" i="41" s="1"/>
  <c r="CW193" i="41" s="1"/>
  <c r="CX193" i="41" s="1"/>
  <c r="CZ193" i="41" s="1"/>
  <c r="DA193" i="41" s="1"/>
  <c r="DB193" i="41" s="1"/>
  <c r="DC193" i="41" s="1"/>
  <c r="DD193" i="41" s="1"/>
  <c r="DE193" i="41" s="1"/>
  <c r="DF193" i="41" s="1"/>
  <c r="DI193" i="41" s="1"/>
  <c r="DJ193" i="41" s="1"/>
  <c r="DK193" i="41" s="1"/>
  <c r="DL193" i="41" s="1"/>
  <c r="DM193" i="41" s="1"/>
  <c r="DN193" i="41" s="1"/>
  <c r="DO193" i="41" s="1"/>
  <c r="DQ193" i="41" s="1"/>
  <c r="DR193" i="41" s="1"/>
  <c r="DS193" i="41" s="1"/>
  <c r="DT193" i="41" s="1"/>
  <c r="DU193" i="41" s="1"/>
  <c r="DV193" i="41" s="1"/>
  <c r="DW193" i="41" s="1"/>
  <c r="DY193" i="41" s="1"/>
  <c r="DZ193" i="41" s="1"/>
  <c r="EA193" i="41" s="1"/>
  <c r="EB193" i="41" s="1"/>
  <c r="EC193" i="41" s="1"/>
  <c r="ED193" i="41" s="1"/>
  <c r="EE193" i="41" s="1"/>
  <c r="EG193" i="41" s="1"/>
  <c r="EH193" i="41" s="1"/>
  <c r="EI193" i="41" s="1"/>
  <c r="EJ193" i="41" s="1"/>
  <c r="EK193" i="41" s="1"/>
  <c r="EL193" i="41" s="1"/>
  <c r="EM193" i="41" s="1"/>
  <c r="K193" i="41"/>
  <c r="L193" i="41" s="1"/>
  <c r="N193" i="41" s="1"/>
  <c r="O193" i="41" s="1"/>
  <c r="P193" i="41" s="1"/>
  <c r="Q193" i="41" s="1"/>
  <c r="R193" i="41" s="1"/>
  <c r="S193" i="41" s="1"/>
  <c r="T193" i="41" s="1"/>
  <c r="V193" i="41" s="1"/>
  <c r="W193" i="41" s="1"/>
  <c r="X193" i="41" s="1"/>
  <c r="Y193" i="41" s="1"/>
  <c r="Z193" i="41" s="1"/>
  <c r="AA193" i="41" s="1"/>
  <c r="AB193" i="41" s="1"/>
  <c r="AD193" i="41" s="1"/>
  <c r="AE193" i="41" s="1"/>
  <c r="AF193" i="41" s="1"/>
  <c r="AG193" i="41" s="1"/>
  <c r="AH193" i="41" s="1"/>
  <c r="AI193" i="41" s="1"/>
  <c r="AJ193" i="41" s="1"/>
  <c r="AM193" i="41" s="1"/>
  <c r="AN193" i="41" s="1"/>
  <c r="AO193" i="41" s="1"/>
  <c r="AP193" i="41" s="1"/>
  <c r="AQ193" i="41" s="1"/>
  <c r="AR193" i="41" s="1"/>
  <c r="AS193" i="41" s="1"/>
  <c r="AU193" i="41" s="1"/>
  <c r="AV193" i="41" s="1"/>
  <c r="AW193" i="41" s="1"/>
  <c r="AX193" i="41" s="1"/>
  <c r="AY193" i="41" s="1"/>
  <c r="AZ193" i="41" s="1"/>
  <c r="BA193" i="41" s="1"/>
  <c r="BC193" i="41" s="1"/>
  <c r="BD193" i="41" s="1"/>
  <c r="BE193" i="41" s="1"/>
  <c r="BF193" i="41" s="1"/>
  <c r="BG193" i="41" s="1"/>
  <c r="BH193" i="41" s="1"/>
  <c r="BI193" i="41" s="1"/>
  <c r="BK193" i="41" s="1"/>
  <c r="BL193" i="41" s="1"/>
  <c r="BM193" i="41" s="1"/>
  <c r="BN193" i="41" s="1"/>
  <c r="BO193" i="41" s="1"/>
  <c r="BP193" i="41" s="1"/>
  <c r="BQ193" i="41" s="1"/>
  <c r="BT193" i="41" s="1"/>
  <c r="BU193" i="41" s="1"/>
  <c r="BV193" i="41" s="1"/>
  <c r="BW193" i="41" s="1"/>
  <c r="BX193" i="41" s="1"/>
  <c r="BY193" i="41" s="1"/>
  <c r="BZ193" i="41" s="1"/>
  <c r="CB193" i="41" s="1"/>
  <c r="CC193" i="41" s="1"/>
  <c r="CD193" i="41" s="1"/>
  <c r="CE193" i="41" s="1"/>
  <c r="CF193" i="41" s="1"/>
  <c r="CG193" i="41" s="1"/>
  <c r="CH193" i="41" s="1"/>
  <c r="ZD194" i="41" l="1"/>
  <c r="ZD244" i="41" s="1"/>
  <c r="XW244" i="41"/>
  <c r="TT221" i="41"/>
  <c r="XW82" i="41"/>
  <c r="WH82" i="41"/>
  <c r="ZD82" i="41"/>
  <c r="TS244" i="41"/>
  <c r="UJ244" i="41"/>
  <c r="UR244" i="41"/>
  <c r="VA196" i="41"/>
  <c r="QX230" i="41"/>
  <c r="BS196" i="41"/>
  <c r="HK194" i="41"/>
  <c r="BS230" i="41"/>
  <c r="QX219" i="41"/>
  <c r="QX218" i="41"/>
  <c r="BS224" i="41"/>
  <c r="QX221" i="41"/>
  <c r="XW121" i="41"/>
  <c r="MU223" i="41"/>
  <c r="SE219" i="41"/>
  <c r="WH121" i="41"/>
  <c r="SE221" i="41"/>
  <c r="LN220" i="41"/>
  <c r="QX220" i="41"/>
  <c r="DH196" i="41"/>
  <c r="BS194" i="41"/>
  <c r="MU230" i="41"/>
  <c r="IR221" i="41"/>
  <c r="HK196" i="41"/>
  <c r="IR223" i="41"/>
  <c r="HK230" i="41"/>
  <c r="LN224" i="41"/>
  <c r="MU219" i="41"/>
  <c r="SE223" i="41"/>
  <c r="FV224" i="41"/>
  <c r="SE220" i="41"/>
  <c r="VA194" i="41"/>
  <c r="IR196" i="41"/>
  <c r="PQ224" i="41"/>
  <c r="EO194" i="41"/>
  <c r="PQ230" i="41"/>
  <c r="IR218" i="41"/>
  <c r="PQ229" i="41"/>
  <c r="QX196" i="41"/>
  <c r="LN196" i="41"/>
  <c r="LN230" i="41"/>
  <c r="LN229" i="41"/>
  <c r="FV220" i="41"/>
  <c r="PQ194" i="41"/>
  <c r="DH229" i="41"/>
  <c r="EO218" i="41"/>
  <c r="EO219" i="41"/>
  <c r="DH230" i="41"/>
  <c r="DH221" i="41"/>
  <c r="OB223" i="41"/>
  <c r="JY229" i="41"/>
  <c r="JY219" i="41"/>
  <c r="JY221" i="41"/>
  <c r="HK220" i="41"/>
  <c r="BS220" i="41"/>
  <c r="BS219" i="41"/>
  <c r="BS218" i="41"/>
  <c r="FV221" i="41"/>
  <c r="MU196" i="41"/>
  <c r="PQ220" i="41"/>
  <c r="LN218" i="41"/>
  <c r="JY224" i="41"/>
  <c r="OB229" i="41"/>
  <c r="JY196" i="41"/>
  <c r="DH219" i="41"/>
  <c r="IR230" i="41"/>
  <c r="OB219" i="41"/>
  <c r="IR229" i="41"/>
  <c r="SE230" i="41"/>
  <c r="JY218" i="41"/>
  <c r="SE218" i="41"/>
  <c r="SE196" i="41"/>
  <c r="HK221" i="41"/>
  <c r="PQ219" i="41"/>
  <c r="EO223" i="41"/>
  <c r="OB218" i="41"/>
  <c r="HK229" i="41"/>
  <c r="MU218" i="41"/>
  <c r="FV219" i="41"/>
  <c r="EO230" i="41"/>
  <c r="IR220" i="41"/>
  <c r="OB224" i="41"/>
  <c r="BS229" i="41"/>
  <c r="QX229" i="41"/>
  <c r="MU221" i="41"/>
  <c r="SE232" i="41"/>
  <c r="BS221" i="41"/>
  <c r="LN221" i="41"/>
  <c r="FV194" i="41"/>
  <c r="JY223" i="41"/>
  <c r="DH218" i="41"/>
  <c r="MU229" i="41"/>
  <c r="MU224" i="41"/>
  <c r="EO220" i="41"/>
  <c r="OB230" i="41"/>
  <c r="EO224" i="41"/>
  <c r="FV223" i="41"/>
  <c r="PQ196" i="41"/>
  <c r="PQ221" i="41"/>
  <c r="EO221" i="41"/>
  <c r="HK223" i="41"/>
  <c r="OB221" i="41"/>
  <c r="PQ218" i="41"/>
  <c r="DH223" i="41"/>
  <c r="IR219" i="41"/>
  <c r="MU194" i="41"/>
  <c r="SE229" i="41"/>
  <c r="BS223" i="41"/>
  <c r="LN194" i="41"/>
  <c r="SE194" i="41"/>
  <c r="FV229" i="41"/>
  <c r="MU220" i="41"/>
  <c r="JY230" i="41"/>
  <c r="FV230" i="41"/>
  <c r="HK218" i="41"/>
  <c r="FV218" i="41"/>
  <c r="OB194" i="41"/>
  <c r="LN223" i="41"/>
  <c r="JY220" i="41"/>
  <c r="HK219" i="41"/>
  <c r="FV196" i="41"/>
  <c r="DH224" i="41"/>
  <c r="LN219" i="41"/>
  <c r="DH220" i="41"/>
  <c r="HK224" i="41"/>
  <c r="QX194" i="41"/>
  <c r="IR224" i="41"/>
  <c r="EO196" i="41"/>
  <c r="OB196" i="41"/>
  <c r="EO229" i="41"/>
  <c r="DH194" i="41"/>
  <c r="IR194" i="41"/>
  <c r="SE224" i="41"/>
  <c r="PQ223" i="41"/>
  <c r="OB220" i="41"/>
  <c r="TT196" i="41"/>
  <c r="QX223" i="41"/>
  <c r="QX224" i="41"/>
  <c r="JY194" i="41"/>
  <c r="TT194" i="41"/>
  <c r="QW80" i="41"/>
  <c r="QW81" i="41"/>
  <c r="QW50" i="41"/>
  <c r="QW51" i="41"/>
  <c r="QW52" i="41"/>
  <c r="QW53" i="41"/>
  <c r="QW54" i="41"/>
  <c r="QW55" i="41"/>
  <c r="QW56" i="41"/>
  <c r="QW57" i="41"/>
  <c r="QW58" i="41"/>
  <c r="QW59" i="41"/>
  <c r="QW60" i="41"/>
  <c r="QW61" i="41"/>
  <c r="QW62" i="41"/>
  <c r="QW63" i="41"/>
  <c r="QW64" i="41"/>
  <c r="QW65" i="41"/>
  <c r="QW66" i="41"/>
  <c r="QW67" i="41"/>
  <c r="QW68" i="41"/>
  <c r="QW69" i="41"/>
  <c r="QW70" i="41"/>
  <c r="QW71" i="41"/>
  <c r="QW72" i="41"/>
  <c r="QW73" i="41"/>
  <c r="QW74" i="41"/>
  <c r="QW75" i="41"/>
  <c r="QW76" i="41"/>
  <c r="QW77" i="41"/>
  <c r="QW78" i="41"/>
  <c r="QW79" i="41"/>
  <c r="QW47" i="41"/>
  <c r="QW48" i="41"/>
  <c r="QW49" i="41"/>
  <c r="QW46" i="41"/>
  <c r="UB125" i="41"/>
  <c r="UJ125" i="41"/>
  <c r="UR125" i="41"/>
  <c r="UZ125" i="41"/>
  <c r="UB126" i="41"/>
  <c r="UJ126" i="41"/>
  <c r="UR126" i="41"/>
  <c r="UZ126" i="41"/>
  <c r="UB127" i="41"/>
  <c r="UJ127" i="41"/>
  <c r="UR127" i="41"/>
  <c r="UZ127" i="41"/>
  <c r="UB128" i="41"/>
  <c r="UJ128" i="41"/>
  <c r="UR128" i="41"/>
  <c r="UZ128" i="41"/>
  <c r="UB129" i="41"/>
  <c r="UJ129" i="41"/>
  <c r="UR129" i="41"/>
  <c r="UZ129" i="41"/>
  <c r="UB130" i="41"/>
  <c r="UJ130" i="41"/>
  <c r="UR130" i="41"/>
  <c r="UZ130" i="41"/>
  <c r="UB131" i="41"/>
  <c r="UJ131" i="41"/>
  <c r="UR131" i="41"/>
  <c r="UZ131" i="41"/>
  <c r="UB132" i="41"/>
  <c r="UJ132" i="41"/>
  <c r="UR132" i="41"/>
  <c r="UZ132" i="41"/>
  <c r="UB133" i="41"/>
  <c r="UJ133" i="41"/>
  <c r="UR133" i="41"/>
  <c r="UZ133" i="41"/>
  <c r="UB134" i="41"/>
  <c r="UJ134" i="41"/>
  <c r="UR134" i="41"/>
  <c r="UZ134" i="41"/>
  <c r="UB135" i="41"/>
  <c r="UJ135" i="41"/>
  <c r="UR135" i="41"/>
  <c r="UZ135" i="41"/>
  <c r="UB136" i="41"/>
  <c r="UJ136" i="41"/>
  <c r="UR136" i="41"/>
  <c r="UZ136" i="41"/>
  <c r="UB137" i="41"/>
  <c r="UJ137" i="41"/>
  <c r="UR137" i="41"/>
  <c r="UZ137" i="41"/>
  <c r="UB138" i="41"/>
  <c r="UJ138" i="41"/>
  <c r="UR138" i="41"/>
  <c r="UZ138" i="41"/>
  <c r="UB139" i="41"/>
  <c r="UJ139" i="41"/>
  <c r="UR139" i="41"/>
  <c r="UZ139" i="41"/>
  <c r="UB140" i="41"/>
  <c r="UJ140" i="41"/>
  <c r="UR140" i="41"/>
  <c r="UZ140" i="41"/>
  <c r="UB141" i="41"/>
  <c r="UJ141" i="41"/>
  <c r="UR141" i="41"/>
  <c r="UZ141" i="41"/>
  <c r="UB142" i="41"/>
  <c r="UJ142" i="41"/>
  <c r="UR142" i="41"/>
  <c r="UZ142" i="41"/>
  <c r="UB143" i="41"/>
  <c r="UJ143" i="41"/>
  <c r="UR143" i="41"/>
  <c r="UZ143" i="41"/>
  <c r="UB144" i="41"/>
  <c r="UJ144" i="41"/>
  <c r="UR144" i="41"/>
  <c r="UZ144" i="41"/>
  <c r="UB145" i="41"/>
  <c r="UJ145" i="41"/>
  <c r="UR145" i="41"/>
  <c r="UZ145" i="41"/>
  <c r="UB147" i="41"/>
  <c r="UJ147" i="41"/>
  <c r="UR147" i="41"/>
  <c r="UZ147" i="41"/>
  <c r="UB148" i="41"/>
  <c r="UJ148" i="41"/>
  <c r="UR148" i="41"/>
  <c r="UZ148" i="41"/>
  <c r="UB149" i="41"/>
  <c r="UJ149" i="41"/>
  <c r="UR149" i="41"/>
  <c r="UZ149" i="41"/>
  <c r="UB150" i="41"/>
  <c r="UJ150" i="41"/>
  <c r="UR150" i="41"/>
  <c r="UZ150" i="41"/>
  <c r="UB151" i="41"/>
  <c r="UJ151" i="41"/>
  <c r="UR151" i="41"/>
  <c r="UZ151" i="41"/>
  <c r="UB152" i="41"/>
  <c r="UJ152" i="41"/>
  <c r="UR152" i="41"/>
  <c r="UZ152" i="41"/>
  <c r="UB153" i="41"/>
  <c r="UJ153" i="41"/>
  <c r="UR153" i="41"/>
  <c r="UZ153" i="41"/>
  <c r="UB154" i="41"/>
  <c r="UJ154" i="41"/>
  <c r="UR154" i="41"/>
  <c r="UZ154" i="41"/>
  <c r="UB155" i="41"/>
  <c r="UJ155" i="41"/>
  <c r="UR155" i="41"/>
  <c r="UZ155" i="41"/>
  <c r="UB156" i="41"/>
  <c r="UJ156" i="41"/>
  <c r="UR156" i="41"/>
  <c r="UZ156" i="41"/>
  <c r="UB157" i="41"/>
  <c r="UJ157" i="41"/>
  <c r="UR157" i="41"/>
  <c r="UZ157" i="41"/>
  <c r="UB158" i="41"/>
  <c r="UJ158" i="41"/>
  <c r="UR158" i="41"/>
  <c r="UZ158" i="41"/>
  <c r="UB159" i="41"/>
  <c r="UJ159" i="41"/>
  <c r="UR159" i="41"/>
  <c r="UZ159" i="41"/>
  <c r="UB160" i="41"/>
  <c r="UJ160" i="41"/>
  <c r="UR160" i="41"/>
  <c r="UZ160" i="41"/>
  <c r="UB161" i="41"/>
  <c r="UJ161" i="41"/>
  <c r="UR161" i="41"/>
  <c r="UZ161" i="41"/>
  <c r="UB162" i="41"/>
  <c r="UJ162" i="41"/>
  <c r="UR162" i="41"/>
  <c r="UZ162" i="41"/>
  <c r="UB163" i="41"/>
  <c r="UJ163" i="41"/>
  <c r="UR163" i="41"/>
  <c r="UZ163" i="41"/>
  <c r="UB164" i="41"/>
  <c r="UJ164" i="41"/>
  <c r="UR164" i="41"/>
  <c r="UZ164" i="41"/>
  <c r="UB165" i="41"/>
  <c r="UJ165" i="41"/>
  <c r="UR165" i="41"/>
  <c r="UZ165" i="41"/>
  <c r="UB166" i="41"/>
  <c r="UJ166" i="41"/>
  <c r="UR166" i="41"/>
  <c r="UZ166" i="41"/>
  <c r="UB167" i="41"/>
  <c r="UJ167" i="41"/>
  <c r="UR167" i="41"/>
  <c r="UZ167" i="41"/>
  <c r="UB168" i="41"/>
  <c r="UJ168" i="41"/>
  <c r="UR168" i="41"/>
  <c r="UZ168" i="41"/>
  <c r="UB169" i="41"/>
  <c r="UJ169" i="41"/>
  <c r="UR169" i="41"/>
  <c r="UZ169" i="41"/>
  <c r="UB170" i="41"/>
  <c r="UJ170" i="41"/>
  <c r="UR170" i="41"/>
  <c r="UZ170" i="41"/>
  <c r="UB171" i="41"/>
  <c r="UJ171" i="41"/>
  <c r="UR171" i="41"/>
  <c r="UZ171" i="41"/>
  <c r="UB172" i="41"/>
  <c r="UJ172" i="41"/>
  <c r="UR172" i="41"/>
  <c r="UZ172" i="41"/>
  <c r="UB173" i="41"/>
  <c r="UJ173" i="41"/>
  <c r="UR173" i="41"/>
  <c r="UZ173" i="41"/>
  <c r="UB174" i="41"/>
  <c r="UJ174" i="41"/>
  <c r="UR174" i="41"/>
  <c r="UZ174" i="41"/>
  <c r="UB175" i="41"/>
  <c r="UJ175" i="41"/>
  <c r="UR175" i="41"/>
  <c r="UZ175" i="41"/>
  <c r="UB176" i="41"/>
  <c r="UJ176" i="41"/>
  <c r="UR176" i="41"/>
  <c r="UZ176" i="41"/>
  <c r="UB177" i="41"/>
  <c r="UJ177" i="41"/>
  <c r="UR177" i="41"/>
  <c r="UZ177" i="41"/>
  <c r="UB178" i="41"/>
  <c r="UJ178" i="41"/>
  <c r="UR178" i="41"/>
  <c r="UZ178" i="41"/>
  <c r="UB179" i="41"/>
  <c r="UJ179" i="41"/>
  <c r="UR179" i="41"/>
  <c r="UZ179" i="41"/>
  <c r="UB180" i="41"/>
  <c r="UJ180" i="41"/>
  <c r="UR180" i="41"/>
  <c r="UZ180" i="41"/>
  <c r="UB181" i="41"/>
  <c r="UJ181" i="41"/>
  <c r="UR181" i="41"/>
  <c r="UZ181" i="41"/>
  <c r="UB182" i="41"/>
  <c r="UJ182" i="41"/>
  <c r="UR182" i="41"/>
  <c r="UZ182" i="41"/>
  <c r="UB183" i="41"/>
  <c r="UJ183" i="41"/>
  <c r="UR183" i="41"/>
  <c r="UZ183" i="41"/>
  <c r="UB184" i="41"/>
  <c r="UJ184" i="41"/>
  <c r="UR184" i="41"/>
  <c r="UZ184" i="41"/>
  <c r="UB185" i="41"/>
  <c r="UJ185" i="41"/>
  <c r="UR185" i="41"/>
  <c r="UZ185" i="41"/>
  <c r="UB186" i="41"/>
  <c r="UJ186" i="41"/>
  <c r="UR186" i="41"/>
  <c r="UZ186" i="41"/>
  <c r="UB187" i="41"/>
  <c r="UJ187" i="41"/>
  <c r="UR187" i="41"/>
  <c r="UZ187" i="41"/>
  <c r="UB188" i="41"/>
  <c r="UJ188" i="41"/>
  <c r="UR188" i="41"/>
  <c r="UZ188" i="41"/>
  <c r="UB189" i="41"/>
  <c r="UJ189" i="41"/>
  <c r="UR189" i="41"/>
  <c r="UZ189" i="41"/>
  <c r="UB190" i="41"/>
  <c r="UJ190" i="41"/>
  <c r="UR190" i="41"/>
  <c r="UZ190" i="41"/>
  <c r="UZ124" i="41"/>
  <c r="UR124" i="41"/>
  <c r="UJ124" i="41"/>
  <c r="UB124" i="41"/>
  <c r="TV123" i="41"/>
  <c r="TW123" i="41" s="1"/>
  <c r="TX123" i="41" s="1"/>
  <c r="TY123" i="41" s="1"/>
  <c r="TZ123" i="41" s="1"/>
  <c r="UA123" i="41" s="1"/>
  <c r="UC123" i="41" s="1"/>
  <c r="UD123" i="41" s="1"/>
  <c r="UE123" i="41" s="1"/>
  <c r="UF123" i="41" s="1"/>
  <c r="UG123" i="41" s="1"/>
  <c r="UH123" i="41" s="1"/>
  <c r="UI123" i="41" s="1"/>
  <c r="UK123" i="41" s="1"/>
  <c r="UL123" i="41" s="1"/>
  <c r="UM123" i="41" s="1"/>
  <c r="UN123" i="41" s="1"/>
  <c r="UO123" i="41" s="1"/>
  <c r="UP123" i="41" s="1"/>
  <c r="UQ123" i="41" s="1"/>
  <c r="US123" i="41" s="1"/>
  <c r="UT123" i="41" s="1"/>
  <c r="UU123" i="41" s="1"/>
  <c r="UV123" i="41" s="1"/>
  <c r="UW123" i="41" s="1"/>
  <c r="UX123" i="41" s="1"/>
  <c r="UY123" i="41" s="1"/>
  <c r="VB123" i="41" s="1"/>
  <c r="VC123" i="41" s="1"/>
  <c r="VD123" i="41" s="1"/>
  <c r="VE123" i="41" s="1"/>
  <c r="VF123" i="41" s="1"/>
  <c r="VG123" i="41" s="1"/>
  <c r="VH123" i="41" s="1"/>
  <c r="VJ123" i="41" s="1"/>
  <c r="VK123" i="41" s="1"/>
  <c r="VL123" i="41" s="1"/>
  <c r="VM123" i="41" s="1"/>
  <c r="VN123" i="41" s="1"/>
  <c r="VO123" i="41" s="1"/>
  <c r="VP123" i="41" s="1"/>
  <c r="VR123" i="41" s="1"/>
  <c r="VS123" i="41" s="1"/>
  <c r="VT123" i="41" s="1"/>
  <c r="VU123" i="41" s="1"/>
  <c r="VV123" i="41" s="1"/>
  <c r="VW123" i="41" s="1"/>
  <c r="VX123" i="41" s="1"/>
  <c r="VZ123" i="41" s="1"/>
  <c r="WA123" i="41" s="1"/>
  <c r="WB123" i="41" s="1"/>
  <c r="WC123" i="41" s="1"/>
  <c r="WD123" i="41" s="1"/>
  <c r="WE123" i="41" s="1"/>
  <c r="WF123" i="41" s="1"/>
  <c r="WI123" i="41" s="1"/>
  <c r="WJ123" i="41" s="1"/>
  <c r="WK123" i="41" s="1"/>
  <c r="WL123" i="41" s="1"/>
  <c r="WM123" i="41" s="1"/>
  <c r="WN123" i="41" s="1"/>
  <c r="WO123" i="41" s="1"/>
  <c r="WQ123" i="41" s="1"/>
  <c r="WR123" i="41" s="1"/>
  <c r="WS123" i="41" s="1"/>
  <c r="WT123" i="41" s="1"/>
  <c r="WU123" i="41" s="1"/>
  <c r="WV123" i="41" s="1"/>
  <c r="WW123" i="41" s="1"/>
  <c r="WY123" i="41" s="1"/>
  <c r="WZ123" i="41" s="1"/>
  <c r="XA123" i="41" s="1"/>
  <c r="XB123" i="41" s="1"/>
  <c r="XC123" i="41" s="1"/>
  <c r="XD123" i="41" s="1"/>
  <c r="XE123" i="41" s="1"/>
  <c r="XG123" i="41" s="1"/>
  <c r="XH123" i="41" s="1"/>
  <c r="XI123" i="41" s="1"/>
  <c r="XJ123" i="41" s="1"/>
  <c r="XK123" i="41" s="1"/>
  <c r="XL123" i="41" s="1"/>
  <c r="XM123" i="41" s="1"/>
  <c r="XO123" i="41" s="1"/>
  <c r="XP123" i="41" s="1"/>
  <c r="XQ123" i="41" s="1"/>
  <c r="XR123" i="41" s="1"/>
  <c r="XS123" i="41" s="1"/>
  <c r="XT123" i="41" s="1"/>
  <c r="XU123" i="41" s="1"/>
  <c r="XX123" i="41" s="1"/>
  <c r="XY123" i="41" s="1"/>
  <c r="XZ123" i="41" s="1"/>
  <c r="YA123" i="41" s="1"/>
  <c r="YB123" i="41" s="1"/>
  <c r="YC123" i="41" s="1"/>
  <c r="YD123" i="41" s="1"/>
  <c r="YF123" i="41" s="1"/>
  <c r="YG123" i="41" s="1"/>
  <c r="YH123" i="41" s="1"/>
  <c r="YI123" i="41" s="1"/>
  <c r="YJ123" i="41" s="1"/>
  <c r="YK123" i="41" s="1"/>
  <c r="YL123" i="41" s="1"/>
  <c r="YN123" i="41" s="1"/>
  <c r="YO123" i="41" s="1"/>
  <c r="YP123" i="41" s="1"/>
  <c r="YQ123" i="41" s="1"/>
  <c r="YR123" i="41" s="1"/>
  <c r="YS123" i="41" s="1"/>
  <c r="YT123" i="41" s="1"/>
  <c r="YV123" i="41" s="1"/>
  <c r="YW123" i="41" s="1"/>
  <c r="YX123" i="41" s="1"/>
  <c r="YY123" i="41" s="1"/>
  <c r="YZ123" i="41" s="1"/>
  <c r="ZA123" i="41" s="1"/>
  <c r="ZB123" i="41" s="1"/>
  <c r="ZE123" i="41" s="1"/>
  <c r="ZF123" i="41" s="1"/>
  <c r="ZG123" i="41" s="1"/>
  <c r="ZH123" i="41" s="1"/>
  <c r="ZI123" i="41" s="1"/>
  <c r="ZJ123" i="41" s="1"/>
  <c r="ZK123" i="41" s="1"/>
  <c r="ZM123" i="41" s="1"/>
  <c r="ZN123" i="41" s="1"/>
  <c r="ZO123" i="41" s="1"/>
  <c r="ZP123" i="41" s="1"/>
  <c r="ZQ123" i="41" s="1"/>
  <c r="ZR123" i="41" s="1"/>
  <c r="ZS123" i="41" s="1"/>
  <c r="ZU123" i="41" s="1"/>
  <c r="ZV123" i="41" s="1"/>
  <c r="ZW123" i="41" s="1"/>
  <c r="ZX123" i="41" s="1"/>
  <c r="ZY123" i="41" s="1"/>
  <c r="ZZ123" i="41" s="1"/>
  <c r="AAA123" i="41" s="1"/>
  <c r="AAC123" i="41" s="1"/>
  <c r="AAD123" i="41" s="1"/>
  <c r="AAE123" i="41" s="1"/>
  <c r="AAF123" i="41" s="1"/>
  <c r="AAG123" i="41" s="1"/>
  <c r="AAH123" i="41" s="1"/>
  <c r="AAI123" i="41" s="1"/>
  <c r="AAK123" i="41" s="1"/>
  <c r="AAL123" i="41" s="1"/>
  <c r="AAM123" i="41" s="1"/>
  <c r="AAN123" i="41" s="1"/>
  <c r="AAO123" i="41" s="1"/>
  <c r="AAP123" i="41" s="1"/>
  <c r="AAQ123" i="41" s="1"/>
  <c r="UB86" i="41"/>
  <c r="UJ86" i="41"/>
  <c r="UR86" i="41"/>
  <c r="UZ86" i="41"/>
  <c r="UB87" i="41"/>
  <c r="UJ87" i="41"/>
  <c r="UR87" i="41"/>
  <c r="UZ87" i="41"/>
  <c r="UB88" i="41"/>
  <c r="UJ88" i="41"/>
  <c r="UR88" i="41"/>
  <c r="UZ88" i="41"/>
  <c r="UB89" i="41"/>
  <c r="UJ89" i="41"/>
  <c r="UR89" i="41"/>
  <c r="UZ89" i="41"/>
  <c r="UB90" i="41"/>
  <c r="UJ90" i="41"/>
  <c r="UR90" i="41"/>
  <c r="UZ90" i="41"/>
  <c r="UB91" i="41"/>
  <c r="UJ91" i="41"/>
  <c r="UR91" i="41"/>
  <c r="UZ91" i="41"/>
  <c r="UB92" i="41"/>
  <c r="UJ92" i="41"/>
  <c r="UR92" i="41"/>
  <c r="UZ92" i="41"/>
  <c r="UB93" i="41"/>
  <c r="UJ93" i="41"/>
  <c r="UR93" i="41"/>
  <c r="UZ93" i="41"/>
  <c r="UB94" i="41"/>
  <c r="UJ94" i="41"/>
  <c r="UR94" i="41"/>
  <c r="UZ94" i="41"/>
  <c r="UB95" i="41"/>
  <c r="UJ95" i="41"/>
  <c r="UR95" i="41"/>
  <c r="UZ95" i="41"/>
  <c r="UB96" i="41"/>
  <c r="UJ96" i="41"/>
  <c r="UR96" i="41"/>
  <c r="UZ96" i="41"/>
  <c r="UB97" i="41"/>
  <c r="UJ97" i="41"/>
  <c r="UR97" i="41"/>
  <c r="UZ97" i="41"/>
  <c r="UB98" i="41"/>
  <c r="UJ98" i="41"/>
  <c r="UR98" i="41"/>
  <c r="UZ98" i="41"/>
  <c r="UB99" i="41"/>
  <c r="UJ99" i="41"/>
  <c r="UR99" i="41"/>
  <c r="UZ99" i="41"/>
  <c r="UB100" i="41"/>
  <c r="UJ100" i="41"/>
  <c r="UR100" i="41"/>
  <c r="UZ100" i="41"/>
  <c r="UB101" i="41"/>
  <c r="UJ101" i="41"/>
  <c r="UR101" i="41"/>
  <c r="UZ101" i="41"/>
  <c r="UB102" i="41"/>
  <c r="UJ102" i="41"/>
  <c r="UR102" i="41"/>
  <c r="UZ102" i="41"/>
  <c r="UB103" i="41"/>
  <c r="UJ103" i="41"/>
  <c r="UR103" i="41"/>
  <c r="UZ103" i="41"/>
  <c r="UB104" i="41"/>
  <c r="UJ104" i="41"/>
  <c r="UR104" i="41"/>
  <c r="UZ104" i="41"/>
  <c r="UB105" i="41"/>
  <c r="UJ105" i="41"/>
  <c r="UR105" i="41"/>
  <c r="UZ105" i="41"/>
  <c r="UB106" i="41"/>
  <c r="UJ106" i="41"/>
  <c r="UR106" i="41"/>
  <c r="UZ106" i="41"/>
  <c r="UB107" i="41"/>
  <c r="UJ107" i="41"/>
  <c r="UR107" i="41"/>
  <c r="UZ107" i="41"/>
  <c r="UB108" i="41"/>
  <c r="UJ108" i="41"/>
  <c r="UR108" i="41"/>
  <c r="UZ108" i="41"/>
  <c r="UB109" i="41"/>
  <c r="UJ109" i="41"/>
  <c r="UR109" i="41"/>
  <c r="UZ109" i="41"/>
  <c r="UB110" i="41"/>
  <c r="UJ110" i="41"/>
  <c r="UR110" i="41"/>
  <c r="UZ110" i="41"/>
  <c r="UB111" i="41"/>
  <c r="UJ111" i="41"/>
  <c r="UR111" i="41"/>
  <c r="UZ111" i="41"/>
  <c r="UB112" i="41"/>
  <c r="UJ112" i="41"/>
  <c r="UR112" i="41"/>
  <c r="UZ112" i="41"/>
  <c r="UB113" i="41"/>
  <c r="UJ113" i="41"/>
  <c r="UR113" i="41"/>
  <c r="UZ113" i="41"/>
  <c r="UB114" i="41"/>
  <c r="UJ114" i="41"/>
  <c r="UR114" i="41"/>
  <c r="UZ114" i="41"/>
  <c r="UB115" i="41"/>
  <c r="UJ115" i="41"/>
  <c r="UR115" i="41"/>
  <c r="UZ115" i="41"/>
  <c r="UB116" i="41"/>
  <c r="UJ116" i="41"/>
  <c r="UR116" i="41"/>
  <c r="UZ116" i="41"/>
  <c r="UB117" i="41"/>
  <c r="UJ117" i="41"/>
  <c r="UR117" i="41"/>
  <c r="UZ117" i="41"/>
  <c r="UB118" i="41"/>
  <c r="UJ118" i="41"/>
  <c r="UR118" i="41"/>
  <c r="UZ118" i="41"/>
  <c r="UB119" i="41"/>
  <c r="UJ119" i="41"/>
  <c r="UR119" i="41"/>
  <c r="UZ119" i="41"/>
  <c r="UB120" i="41"/>
  <c r="UJ120" i="41"/>
  <c r="UR120" i="41"/>
  <c r="UZ120" i="41"/>
  <c r="UZ85" i="41"/>
  <c r="UR85" i="41"/>
  <c r="UJ85" i="41"/>
  <c r="UB85" i="41"/>
  <c r="TV84" i="41"/>
  <c r="TW84" i="41" s="1"/>
  <c r="TX84" i="41" s="1"/>
  <c r="TY84" i="41" s="1"/>
  <c r="TZ84" i="41" s="1"/>
  <c r="UA84" i="41" s="1"/>
  <c r="UC84" i="41" s="1"/>
  <c r="UD84" i="41" s="1"/>
  <c r="UE84" i="41" s="1"/>
  <c r="UF84" i="41" s="1"/>
  <c r="UG84" i="41" s="1"/>
  <c r="UH84" i="41" s="1"/>
  <c r="UI84" i="41" s="1"/>
  <c r="UK84" i="41" s="1"/>
  <c r="UL84" i="41" s="1"/>
  <c r="UM84" i="41" s="1"/>
  <c r="UN84" i="41" s="1"/>
  <c r="UO84" i="41" s="1"/>
  <c r="UP84" i="41" s="1"/>
  <c r="UQ84" i="41" s="1"/>
  <c r="US84" i="41" s="1"/>
  <c r="UT84" i="41" s="1"/>
  <c r="UU84" i="41" s="1"/>
  <c r="UV84" i="41" s="1"/>
  <c r="UW84" i="41" s="1"/>
  <c r="UX84" i="41" s="1"/>
  <c r="UY84" i="41" s="1"/>
  <c r="VB84" i="41" s="1"/>
  <c r="VC84" i="41" s="1"/>
  <c r="VD84" i="41" s="1"/>
  <c r="VE84" i="41" s="1"/>
  <c r="VF84" i="41" s="1"/>
  <c r="VG84" i="41" s="1"/>
  <c r="VH84" i="41" s="1"/>
  <c r="VJ84" i="41" s="1"/>
  <c r="VK84" i="41" s="1"/>
  <c r="VL84" i="41" s="1"/>
  <c r="VM84" i="41" s="1"/>
  <c r="VN84" i="41" s="1"/>
  <c r="VO84" i="41" s="1"/>
  <c r="VP84" i="41" s="1"/>
  <c r="VR84" i="41" s="1"/>
  <c r="VS84" i="41" s="1"/>
  <c r="VT84" i="41" s="1"/>
  <c r="VU84" i="41" s="1"/>
  <c r="VV84" i="41" s="1"/>
  <c r="VW84" i="41" s="1"/>
  <c r="VX84" i="41" s="1"/>
  <c r="VZ84" i="41" s="1"/>
  <c r="WA84" i="41" s="1"/>
  <c r="WB84" i="41" s="1"/>
  <c r="WC84" i="41" s="1"/>
  <c r="WD84" i="41" s="1"/>
  <c r="WE84" i="41" s="1"/>
  <c r="WF84" i="41" s="1"/>
  <c r="WI84" i="41" s="1"/>
  <c r="WJ84" i="41" s="1"/>
  <c r="WK84" i="41" s="1"/>
  <c r="WL84" i="41" s="1"/>
  <c r="WM84" i="41" s="1"/>
  <c r="WN84" i="41" s="1"/>
  <c r="WO84" i="41" s="1"/>
  <c r="WQ84" i="41" s="1"/>
  <c r="WR84" i="41" s="1"/>
  <c r="WS84" i="41" s="1"/>
  <c r="WT84" i="41" s="1"/>
  <c r="WU84" i="41" s="1"/>
  <c r="WV84" i="41" s="1"/>
  <c r="WW84" i="41" s="1"/>
  <c r="WY84" i="41" s="1"/>
  <c r="WZ84" i="41" s="1"/>
  <c r="XA84" i="41" s="1"/>
  <c r="XB84" i="41" s="1"/>
  <c r="XC84" i="41" s="1"/>
  <c r="XD84" i="41" s="1"/>
  <c r="XE84" i="41" s="1"/>
  <c r="XG84" i="41" s="1"/>
  <c r="XH84" i="41" s="1"/>
  <c r="XI84" i="41" s="1"/>
  <c r="XJ84" i="41" s="1"/>
  <c r="XK84" i="41" s="1"/>
  <c r="XL84" i="41" s="1"/>
  <c r="XM84" i="41" s="1"/>
  <c r="XO84" i="41" s="1"/>
  <c r="XP84" i="41" s="1"/>
  <c r="XQ84" i="41" s="1"/>
  <c r="XR84" i="41" s="1"/>
  <c r="XS84" i="41" s="1"/>
  <c r="XT84" i="41" s="1"/>
  <c r="XU84" i="41" s="1"/>
  <c r="XX84" i="41" s="1"/>
  <c r="XY84" i="41" s="1"/>
  <c r="XZ84" i="41" s="1"/>
  <c r="YA84" i="41" s="1"/>
  <c r="YB84" i="41" s="1"/>
  <c r="YC84" i="41" s="1"/>
  <c r="YD84" i="41" s="1"/>
  <c r="YF84" i="41" s="1"/>
  <c r="YG84" i="41" s="1"/>
  <c r="YH84" i="41" s="1"/>
  <c r="YI84" i="41" s="1"/>
  <c r="YJ84" i="41" s="1"/>
  <c r="YK84" i="41" s="1"/>
  <c r="YL84" i="41" s="1"/>
  <c r="YN84" i="41" s="1"/>
  <c r="YO84" i="41" s="1"/>
  <c r="YP84" i="41" s="1"/>
  <c r="YQ84" i="41" s="1"/>
  <c r="YR84" i="41" s="1"/>
  <c r="YS84" i="41" s="1"/>
  <c r="YT84" i="41" s="1"/>
  <c r="YV84" i="41" s="1"/>
  <c r="YW84" i="41" s="1"/>
  <c r="YX84" i="41" s="1"/>
  <c r="YY84" i="41" s="1"/>
  <c r="YZ84" i="41" s="1"/>
  <c r="ZA84" i="41" s="1"/>
  <c r="ZB84" i="41" s="1"/>
  <c r="ZE84" i="41" s="1"/>
  <c r="ZF84" i="41" s="1"/>
  <c r="ZG84" i="41" s="1"/>
  <c r="ZH84" i="41" s="1"/>
  <c r="ZI84" i="41" s="1"/>
  <c r="ZJ84" i="41" s="1"/>
  <c r="ZK84" i="41" s="1"/>
  <c r="ZM84" i="41" s="1"/>
  <c r="ZN84" i="41" s="1"/>
  <c r="ZO84" i="41" s="1"/>
  <c r="ZP84" i="41" s="1"/>
  <c r="ZQ84" i="41" s="1"/>
  <c r="ZR84" i="41" s="1"/>
  <c r="ZS84" i="41" s="1"/>
  <c r="ZU84" i="41" s="1"/>
  <c r="ZV84" i="41" s="1"/>
  <c r="ZW84" i="41" s="1"/>
  <c r="ZX84" i="41" s="1"/>
  <c r="ZY84" i="41" s="1"/>
  <c r="ZZ84" i="41" s="1"/>
  <c r="AAA84" i="41" s="1"/>
  <c r="AAC84" i="41" s="1"/>
  <c r="AAD84" i="41" s="1"/>
  <c r="AAE84" i="41" s="1"/>
  <c r="AAF84" i="41" s="1"/>
  <c r="AAG84" i="41" s="1"/>
  <c r="AAH84" i="41" s="1"/>
  <c r="AAI84" i="41" s="1"/>
  <c r="AAK84" i="41" s="1"/>
  <c r="AAL84" i="41" s="1"/>
  <c r="AAM84" i="41" s="1"/>
  <c r="AAN84" i="41" s="1"/>
  <c r="AAO84" i="41" s="1"/>
  <c r="AAP84" i="41" s="1"/>
  <c r="AAQ84" i="41" s="1"/>
  <c r="TU82" i="41"/>
  <c r="TV82" i="41"/>
  <c r="TW82" i="41"/>
  <c r="TX82" i="41"/>
  <c r="TY82" i="41"/>
  <c r="TZ82" i="41"/>
  <c r="UA82" i="41"/>
  <c r="UD82" i="41"/>
  <c r="UE82" i="41"/>
  <c r="UF82" i="41"/>
  <c r="UG82" i="41"/>
  <c r="UH82" i="41"/>
  <c r="UI82" i="41"/>
  <c r="UK82" i="41"/>
  <c r="UL82" i="41"/>
  <c r="UM82" i="41"/>
  <c r="UN82" i="41"/>
  <c r="UO82" i="41"/>
  <c r="UP82" i="41"/>
  <c r="UQ82" i="41"/>
  <c r="US82" i="41"/>
  <c r="UT82" i="41"/>
  <c r="UU82" i="41"/>
  <c r="UV82" i="41"/>
  <c r="UW82" i="41"/>
  <c r="UX82" i="41"/>
  <c r="UY82" i="41"/>
  <c r="UB4" i="41"/>
  <c r="UJ4" i="41"/>
  <c r="UR4" i="41"/>
  <c r="UZ4" i="41"/>
  <c r="UB5" i="41"/>
  <c r="UJ5" i="41"/>
  <c r="UR5" i="41"/>
  <c r="UZ5" i="41"/>
  <c r="UB6" i="41"/>
  <c r="UJ6" i="41"/>
  <c r="UR6" i="41"/>
  <c r="UZ6" i="41"/>
  <c r="UB7" i="41"/>
  <c r="UJ7" i="41"/>
  <c r="UR7" i="41"/>
  <c r="UZ7" i="41"/>
  <c r="UB8" i="41"/>
  <c r="UJ8" i="41"/>
  <c r="UR8" i="41"/>
  <c r="UZ8" i="41"/>
  <c r="UB9" i="41"/>
  <c r="UJ9" i="41"/>
  <c r="UR9" i="41"/>
  <c r="UZ9" i="41"/>
  <c r="UB10" i="41"/>
  <c r="UJ10" i="41"/>
  <c r="UR10" i="41"/>
  <c r="UZ10" i="41"/>
  <c r="UB11" i="41"/>
  <c r="UJ11" i="41"/>
  <c r="UR11" i="41"/>
  <c r="UZ11" i="41"/>
  <c r="UB12" i="41"/>
  <c r="UJ12" i="41"/>
  <c r="UR12" i="41"/>
  <c r="UZ12" i="41"/>
  <c r="UB13" i="41"/>
  <c r="UJ13" i="41"/>
  <c r="UR13" i="41"/>
  <c r="UZ13" i="41"/>
  <c r="UB14" i="41"/>
  <c r="UJ14" i="41"/>
  <c r="UR14" i="41"/>
  <c r="UZ14" i="41"/>
  <c r="UB15" i="41"/>
  <c r="UJ15" i="41"/>
  <c r="UR15" i="41"/>
  <c r="UZ15" i="41"/>
  <c r="UB16" i="41"/>
  <c r="UJ16" i="41"/>
  <c r="UR16" i="41"/>
  <c r="UZ16" i="41"/>
  <c r="UB17" i="41"/>
  <c r="UJ17" i="41"/>
  <c r="UR17" i="41"/>
  <c r="UZ17" i="41"/>
  <c r="UB18" i="41"/>
  <c r="UJ18" i="41"/>
  <c r="UR18" i="41"/>
  <c r="UZ18" i="41"/>
  <c r="UB19" i="41"/>
  <c r="UJ19" i="41"/>
  <c r="UR19" i="41"/>
  <c r="UZ19" i="41"/>
  <c r="UB20" i="41"/>
  <c r="UJ20" i="41"/>
  <c r="UR20" i="41"/>
  <c r="UZ20" i="41"/>
  <c r="UB21" i="41"/>
  <c r="UJ21" i="41"/>
  <c r="UR21" i="41"/>
  <c r="UZ21" i="41"/>
  <c r="UB22" i="41"/>
  <c r="UJ22" i="41"/>
  <c r="UR22" i="41"/>
  <c r="UZ22" i="41"/>
  <c r="UB23" i="41"/>
  <c r="UJ23" i="41"/>
  <c r="UR23" i="41"/>
  <c r="UZ23" i="41"/>
  <c r="UB24" i="41"/>
  <c r="UJ24" i="41"/>
  <c r="UR24" i="41"/>
  <c r="UZ24" i="41"/>
  <c r="UB25" i="41"/>
  <c r="UJ25" i="41"/>
  <c r="UR25" i="41"/>
  <c r="UZ25" i="41"/>
  <c r="UB26" i="41"/>
  <c r="UJ26" i="41"/>
  <c r="UR26" i="41"/>
  <c r="UZ26" i="41"/>
  <c r="UB27" i="41"/>
  <c r="UJ27" i="41"/>
  <c r="UR27" i="41"/>
  <c r="UZ27" i="41"/>
  <c r="UB28" i="41"/>
  <c r="UJ28" i="41"/>
  <c r="UR28" i="41"/>
  <c r="UZ28" i="41"/>
  <c r="UB29" i="41"/>
  <c r="UJ29" i="41"/>
  <c r="UR29" i="41"/>
  <c r="UZ29" i="41"/>
  <c r="UB30" i="41"/>
  <c r="UJ30" i="41"/>
  <c r="UR30" i="41"/>
  <c r="UZ30" i="41"/>
  <c r="UB31" i="41"/>
  <c r="UJ31" i="41"/>
  <c r="UR31" i="41"/>
  <c r="UZ31" i="41"/>
  <c r="UB32" i="41"/>
  <c r="UJ32" i="41"/>
  <c r="UR32" i="41"/>
  <c r="UZ32" i="41"/>
  <c r="UB33" i="41"/>
  <c r="UJ33" i="41"/>
  <c r="UR33" i="41"/>
  <c r="UZ33" i="41"/>
  <c r="UB34" i="41"/>
  <c r="UJ34" i="41"/>
  <c r="UR34" i="41"/>
  <c r="UZ34" i="41"/>
  <c r="UB35" i="41"/>
  <c r="UJ35" i="41"/>
  <c r="UR35" i="41"/>
  <c r="UZ35" i="41"/>
  <c r="UB36" i="41"/>
  <c r="UJ36" i="41"/>
  <c r="UR36" i="41"/>
  <c r="UZ36" i="41"/>
  <c r="UB37" i="41"/>
  <c r="UJ37" i="41"/>
  <c r="UR37" i="41"/>
  <c r="UZ37" i="41"/>
  <c r="UB38" i="41"/>
  <c r="UJ38" i="41"/>
  <c r="UR38" i="41"/>
  <c r="UZ38" i="41"/>
  <c r="UB39" i="41"/>
  <c r="UJ39" i="41"/>
  <c r="UR39" i="41"/>
  <c r="UZ39" i="41"/>
  <c r="UB40" i="41"/>
  <c r="UJ40" i="41"/>
  <c r="UR40" i="41"/>
  <c r="UZ40" i="41"/>
  <c r="UB41" i="41"/>
  <c r="UJ41" i="41"/>
  <c r="UR41" i="41"/>
  <c r="UZ41" i="41"/>
  <c r="UB42" i="41"/>
  <c r="UJ42" i="41"/>
  <c r="UR42" i="41"/>
  <c r="UZ42" i="41"/>
  <c r="UB43" i="41"/>
  <c r="UJ43" i="41"/>
  <c r="UR43" i="41"/>
  <c r="UZ43" i="41"/>
  <c r="UB44" i="41"/>
  <c r="UJ44" i="41"/>
  <c r="UR44" i="41"/>
  <c r="UZ44" i="41"/>
  <c r="UB45" i="41"/>
  <c r="UJ45" i="41"/>
  <c r="UR45" i="41"/>
  <c r="UZ45" i="41"/>
  <c r="UB46" i="41"/>
  <c r="UJ46" i="41"/>
  <c r="UR46" i="41"/>
  <c r="UZ46" i="41"/>
  <c r="UB47" i="41"/>
  <c r="UJ47" i="41"/>
  <c r="UR47" i="41"/>
  <c r="UZ47" i="41"/>
  <c r="UB48" i="41"/>
  <c r="UJ48" i="41"/>
  <c r="UR48" i="41"/>
  <c r="UZ48" i="41"/>
  <c r="UB49" i="41"/>
  <c r="UJ49" i="41"/>
  <c r="UR49" i="41"/>
  <c r="UZ49" i="41"/>
  <c r="UB50" i="41"/>
  <c r="UJ50" i="41"/>
  <c r="UR50" i="41"/>
  <c r="UZ50" i="41"/>
  <c r="UB51" i="41"/>
  <c r="UJ51" i="41"/>
  <c r="UR51" i="41"/>
  <c r="UZ51" i="41"/>
  <c r="UB52" i="41"/>
  <c r="UJ52" i="41"/>
  <c r="UR52" i="41"/>
  <c r="UZ52" i="41"/>
  <c r="UB53" i="41"/>
  <c r="UJ53" i="41"/>
  <c r="UR53" i="41"/>
  <c r="UZ53" i="41"/>
  <c r="UB54" i="41"/>
  <c r="UJ54" i="41"/>
  <c r="UR54" i="41"/>
  <c r="UZ54" i="41"/>
  <c r="UB55" i="41"/>
  <c r="UJ55" i="41"/>
  <c r="UR55" i="41"/>
  <c r="UZ55" i="41"/>
  <c r="UB56" i="41"/>
  <c r="UJ56" i="41"/>
  <c r="UR56" i="41"/>
  <c r="UZ56" i="41"/>
  <c r="UB57" i="41"/>
  <c r="UJ57" i="41"/>
  <c r="UR57" i="41"/>
  <c r="UZ57" i="41"/>
  <c r="UB58" i="41"/>
  <c r="UJ58" i="41"/>
  <c r="UR58" i="41"/>
  <c r="UZ58" i="41"/>
  <c r="UB59" i="41"/>
  <c r="UJ59" i="41"/>
  <c r="UR59" i="41"/>
  <c r="UZ59" i="41"/>
  <c r="UB60" i="41"/>
  <c r="UJ60" i="41"/>
  <c r="UR60" i="41"/>
  <c r="UZ60" i="41"/>
  <c r="UB61" i="41"/>
  <c r="UJ61" i="41"/>
  <c r="UR61" i="41"/>
  <c r="UZ61" i="41"/>
  <c r="UB62" i="41"/>
  <c r="UJ62" i="41"/>
  <c r="UR62" i="41"/>
  <c r="UZ62" i="41"/>
  <c r="UB63" i="41"/>
  <c r="UJ63" i="41"/>
  <c r="UR63" i="41"/>
  <c r="UZ63" i="41"/>
  <c r="UB64" i="41"/>
  <c r="UJ64" i="41"/>
  <c r="UR64" i="41"/>
  <c r="UZ64" i="41"/>
  <c r="UB65" i="41"/>
  <c r="UJ65" i="41"/>
  <c r="UR65" i="41"/>
  <c r="UZ65" i="41"/>
  <c r="UB66" i="41"/>
  <c r="UJ66" i="41"/>
  <c r="UR66" i="41"/>
  <c r="UZ66" i="41"/>
  <c r="UB67" i="41"/>
  <c r="UJ67" i="41"/>
  <c r="UR67" i="41"/>
  <c r="UZ67" i="41"/>
  <c r="UB68" i="41"/>
  <c r="UJ68" i="41"/>
  <c r="UR68" i="41"/>
  <c r="UZ68" i="41"/>
  <c r="UB69" i="41"/>
  <c r="UJ69" i="41"/>
  <c r="UR69" i="41"/>
  <c r="UZ69" i="41"/>
  <c r="UB70" i="41"/>
  <c r="UJ70" i="41"/>
  <c r="UR70" i="41"/>
  <c r="UZ70" i="41"/>
  <c r="UB71" i="41"/>
  <c r="UJ71" i="41"/>
  <c r="UR71" i="41"/>
  <c r="UZ71" i="41"/>
  <c r="UB72" i="41"/>
  <c r="UJ72" i="41"/>
  <c r="UR72" i="41"/>
  <c r="UZ72" i="41"/>
  <c r="UB73" i="41"/>
  <c r="UJ73" i="41"/>
  <c r="UR73" i="41"/>
  <c r="UZ73" i="41"/>
  <c r="UB74" i="41"/>
  <c r="UJ74" i="41"/>
  <c r="UR74" i="41"/>
  <c r="UZ74" i="41"/>
  <c r="UB75" i="41"/>
  <c r="UJ75" i="41"/>
  <c r="UR75" i="41"/>
  <c r="UZ75" i="41"/>
  <c r="UB76" i="41"/>
  <c r="UJ76" i="41"/>
  <c r="UR76" i="41"/>
  <c r="UZ76" i="41"/>
  <c r="UB77" i="41"/>
  <c r="UJ77" i="41"/>
  <c r="UR77" i="41"/>
  <c r="UZ77" i="41"/>
  <c r="UB78" i="41"/>
  <c r="UJ78" i="41"/>
  <c r="UR78" i="41"/>
  <c r="UZ78" i="41"/>
  <c r="UB79" i="41"/>
  <c r="UJ79" i="41"/>
  <c r="UR79" i="41"/>
  <c r="UZ79" i="41"/>
  <c r="UB80" i="41"/>
  <c r="UJ80" i="41"/>
  <c r="UR80" i="41"/>
  <c r="UZ80" i="41"/>
  <c r="UB81" i="41"/>
  <c r="UJ81" i="41"/>
  <c r="UR81" i="41"/>
  <c r="UZ81" i="41"/>
  <c r="UZ3" i="41"/>
  <c r="UR3" i="41"/>
  <c r="UJ3" i="41"/>
  <c r="UB3" i="41"/>
  <c r="TC4" i="41"/>
  <c r="TC5" i="41"/>
  <c r="TC6" i="41"/>
  <c r="TC7" i="41"/>
  <c r="TC8" i="41"/>
  <c r="TC9" i="41"/>
  <c r="TC10" i="41"/>
  <c r="TC11" i="41"/>
  <c r="TC12" i="41"/>
  <c r="TC13" i="41"/>
  <c r="TC14" i="41"/>
  <c r="TC15" i="41"/>
  <c r="TC16" i="41"/>
  <c r="TC17" i="41"/>
  <c r="TC18" i="41"/>
  <c r="TC19" i="41"/>
  <c r="TC20" i="41"/>
  <c r="TC21" i="41"/>
  <c r="TC22" i="41"/>
  <c r="TC23" i="41"/>
  <c r="TC24" i="41"/>
  <c r="TC25" i="41"/>
  <c r="TC26" i="41"/>
  <c r="TC27" i="41"/>
  <c r="TC28" i="41"/>
  <c r="TC29" i="41"/>
  <c r="TC30" i="41"/>
  <c r="TC31" i="41"/>
  <c r="TC32" i="41"/>
  <c r="TC33" i="41"/>
  <c r="TC34" i="41"/>
  <c r="TC35" i="41"/>
  <c r="TC36" i="41"/>
  <c r="TC37" i="41"/>
  <c r="TC38" i="41"/>
  <c r="TC39" i="41"/>
  <c r="TC40" i="41"/>
  <c r="TC41" i="41"/>
  <c r="TC42" i="41"/>
  <c r="TC43" i="41"/>
  <c r="TC44" i="41"/>
  <c r="TC45" i="41"/>
  <c r="TC46" i="41"/>
  <c r="TC47" i="41"/>
  <c r="TC48" i="41"/>
  <c r="TC49" i="41"/>
  <c r="TC50" i="41"/>
  <c r="TC51" i="41"/>
  <c r="TC52" i="41"/>
  <c r="TC53" i="41"/>
  <c r="TC54" i="41"/>
  <c r="TC55" i="41"/>
  <c r="TC56" i="41"/>
  <c r="TC57" i="41"/>
  <c r="TC58" i="41"/>
  <c r="TC59" i="41"/>
  <c r="TC60" i="41"/>
  <c r="TC61" i="41"/>
  <c r="TC62" i="41"/>
  <c r="TC63" i="41"/>
  <c r="TC64" i="41"/>
  <c r="TC65" i="41"/>
  <c r="TC66" i="41"/>
  <c r="TC67" i="41"/>
  <c r="TC68" i="41"/>
  <c r="TC69" i="41"/>
  <c r="TC70" i="41"/>
  <c r="TC71" i="41"/>
  <c r="TC72" i="41"/>
  <c r="TC73" i="41"/>
  <c r="TC74" i="41"/>
  <c r="TC75" i="41"/>
  <c r="TC76" i="41"/>
  <c r="TC77" i="41"/>
  <c r="TC78" i="41"/>
  <c r="TC79" i="41"/>
  <c r="TC80" i="41"/>
  <c r="TC81" i="41"/>
  <c r="TT244" i="41" l="1"/>
  <c r="VA177" i="41"/>
  <c r="VA164" i="41"/>
  <c r="VA125" i="41"/>
  <c r="VA73" i="41"/>
  <c r="UB121" i="41"/>
  <c r="VA90" i="41"/>
  <c r="VA143" i="41"/>
  <c r="VA144" i="41"/>
  <c r="UZ121" i="41"/>
  <c r="UJ121" i="41"/>
  <c r="UR121" i="41"/>
  <c r="VA120" i="41"/>
  <c r="VA184" i="41"/>
  <c r="VA148" i="41"/>
  <c r="VA86" i="41"/>
  <c r="VA8" i="41"/>
  <c r="VA113" i="41"/>
  <c r="VA188" i="41"/>
  <c r="VA81" i="41"/>
  <c r="VA160" i="41"/>
  <c r="VA116" i="41"/>
  <c r="VA173" i="41"/>
  <c r="VA16" i="41"/>
  <c r="VA12" i="41"/>
  <c r="VA20" i="41"/>
  <c r="VA180" i="41"/>
  <c r="VA153" i="41"/>
  <c r="VA152" i="41"/>
  <c r="VA97" i="41"/>
  <c r="VA78" i="41"/>
  <c r="VA88" i="41"/>
  <c r="VA186" i="41"/>
  <c r="VA42" i="41"/>
  <c r="VA101" i="41"/>
  <c r="VA77" i="41"/>
  <c r="VA85" i="41"/>
  <c r="VA46" i="41"/>
  <c r="VA182" i="41"/>
  <c r="VA55" i="41"/>
  <c r="UB82" i="41"/>
  <c r="VA70" i="41"/>
  <c r="VA137" i="41"/>
  <c r="VA62" i="41"/>
  <c r="VA74" i="41"/>
  <c r="VA27" i="41"/>
  <c r="VA141" i="41"/>
  <c r="VA129" i="41"/>
  <c r="VA104" i="41"/>
  <c r="VA109" i="41"/>
  <c r="VA40" i="41"/>
  <c r="VA66" i="41"/>
  <c r="VA145" i="41"/>
  <c r="VA24" i="41"/>
  <c r="VA133" i="41"/>
  <c r="VA48" i="41"/>
  <c r="VA149" i="41"/>
  <c r="VA106" i="41"/>
  <c r="VA174" i="41"/>
  <c r="VA161" i="41"/>
  <c r="VA150" i="41"/>
  <c r="VA56" i="41"/>
  <c r="VA39" i="41"/>
  <c r="VA136" i="41"/>
  <c r="VA98" i="41"/>
  <c r="VA139" i="41"/>
  <c r="VA3" i="41"/>
  <c r="VA35" i="41"/>
  <c r="VA171" i="41"/>
  <c r="VA157" i="41"/>
  <c r="VA131" i="41"/>
  <c r="VA126" i="41"/>
  <c r="VA31" i="41"/>
  <c r="VA163" i="41"/>
  <c r="VA179" i="41"/>
  <c r="VA119" i="41"/>
  <c r="VA170" i="41"/>
  <c r="VA37" i="41"/>
  <c r="VA19" i="41"/>
  <c r="VA130" i="41"/>
  <c r="VA108" i="41"/>
  <c r="VA102" i="41"/>
  <c r="VA134" i="41"/>
  <c r="VA127" i="41"/>
  <c r="VA67" i="41"/>
  <c r="VA23" i="41"/>
  <c r="VA138" i="41"/>
  <c r="VA142" i="41"/>
  <c r="VA167" i="41"/>
  <c r="VA155" i="41"/>
  <c r="VA61" i="41"/>
  <c r="VA6" i="41"/>
  <c r="VA124" i="41"/>
  <c r="VA175" i="41"/>
  <c r="VA159" i="41"/>
  <c r="VA166" i="41"/>
  <c r="VA162" i="41"/>
  <c r="VA64" i="41"/>
  <c r="VA34" i="41"/>
  <c r="VA9" i="41"/>
  <c r="VA60" i="41"/>
  <c r="VA13" i="41"/>
  <c r="VA21" i="41"/>
  <c r="VA17" i="41"/>
  <c r="VA59" i="41"/>
  <c r="VA5" i="41"/>
  <c r="VA178" i="41"/>
  <c r="VA63" i="41"/>
  <c r="VA140" i="41"/>
  <c r="VA65" i="41"/>
  <c r="VA38" i="41"/>
  <c r="VA75" i="41"/>
  <c r="VA71" i="41"/>
  <c r="VA41" i="41"/>
  <c r="VA91" i="41"/>
  <c r="VA189" i="41"/>
  <c r="VA185" i="41"/>
  <c r="VA181" i="41"/>
  <c r="VA156" i="41"/>
  <c r="VA45" i="41"/>
  <c r="VA28" i="41"/>
  <c r="VA10" i="41"/>
  <c r="VA26" i="41"/>
  <c r="VA49" i="41"/>
  <c r="VA111" i="41"/>
  <c r="VA107" i="41"/>
  <c r="VA99" i="41"/>
  <c r="VA95" i="41"/>
  <c r="VA30" i="41"/>
  <c r="VA7" i="41"/>
  <c r="VA115" i="41"/>
  <c r="VA52" i="41"/>
  <c r="VA69" i="41"/>
  <c r="VA80" i="41"/>
  <c r="UR82" i="41"/>
  <c r="VA53" i="41"/>
  <c r="VA11" i="41"/>
  <c r="UZ82" i="41"/>
  <c r="VA57" i="41"/>
  <c r="VA44" i="41"/>
  <c r="VA15" i="41"/>
  <c r="VA94" i="41"/>
  <c r="VA165" i="41"/>
  <c r="VA54" i="41"/>
  <c r="VA50" i="41"/>
  <c r="VA105" i="41"/>
  <c r="VA51" i="41"/>
  <c r="VA110" i="41"/>
  <c r="VA43" i="41"/>
  <c r="VA114" i="41"/>
  <c r="VA154" i="41"/>
  <c r="VA169" i="41"/>
  <c r="VA117" i="41"/>
  <c r="VA93" i="41"/>
  <c r="VA89" i="41"/>
  <c r="VA176" i="41"/>
  <c r="VA58" i="41"/>
  <c r="VA4" i="41"/>
  <c r="UJ82" i="41"/>
  <c r="VA187" i="41"/>
  <c r="VA172" i="41"/>
  <c r="VA168" i="41"/>
  <c r="VA183" i="41"/>
  <c r="VA151" i="41"/>
  <c r="VA36" i="41"/>
  <c r="VA147" i="41"/>
  <c r="VA47" i="41"/>
  <c r="VA158" i="41"/>
  <c r="VA118" i="41"/>
  <c r="VA76" i="41"/>
  <c r="VA22" i="41"/>
  <c r="VA92" i="41"/>
  <c r="VA72" i="41"/>
  <c r="VA68" i="41"/>
  <c r="VA18" i="41"/>
  <c r="VA14" i="41"/>
  <c r="VA112" i="41"/>
  <c r="VA100" i="41"/>
  <c r="VA96" i="41"/>
  <c r="VA190" i="41"/>
  <c r="VA132" i="41"/>
  <c r="VA128" i="41"/>
  <c r="VA135" i="41"/>
  <c r="VA32" i="41"/>
  <c r="VA33" i="41"/>
  <c r="VA29" i="41"/>
  <c r="VA79" i="41"/>
  <c r="VA25" i="41"/>
  <c r="VA103" i="41"/>
  <c r="VA87" i="41"/>
  <c r="OC82" i="41"/>
  <c r="VA121" i="41" l="1"/>
  <c r="VA82" i="41"/>
  <c r="PH86" i="41"/>
  <c r="PH87" i="41"/>
  <c r="PH88" i="41"/>
  <c r="PH89" i="41"/>
  <c r="PH90" i="41"/>
  <c r="PH91" i="41"/>
  <c r="PH92" i="41"/>
  <c r="PH93" i="41"/>
  <c r="PH94" i="41"/>
  <c r="PH95" i="41"/>
  <c r="PH96" i="41"/>
  <c r="PH97" i="41"/>
  <c r="PH98" i="41"/>
  <c r="PH99" i="41"/>
  <c r="PH100" i="41"/>
  <c r="PH101" i="41"/>
  <c r="PH102" i="41"/>
  <c r="PH103" i="41"/>
  <c r="PH104" i="41"/>
  <c r="PH105" i="41"/>
  <c r="PH106" i="41"/>
  <c r="PH107" i="41"/>
  <c r="PH108" i="41"/>
  <c r="PH109" i="41"/>
  <c r="PH110" i="41"/>
  <c r="PH111" i="41"/>
  <c r="PH112" i="41"/>
  <c r="PH113" i="41"/>
  <c r="PH114" i="41"/>
  <c r="PH115" i="41"/>
  <c r="PH116" i="41"/>
  <c r="PH117" i="41"/>
  <c r="PH118" i="41"/>
  <c r="PQ118" i="41" s="1"/>
  <c r="PH119" i="41"/>
  <c r="PQ119" i="41" s="1"/>
  <c r="PP86" i="41"/>
  <c r="PP87" i="41"/>
  <c r="PP88" i="41"/>
  <c r="PP89" i="41"/>
  <c r="PP90" i="41"/>
  <c r="PP91" i="41"/>
  <c r="PP92" i="41"/>
  <c r="PP93" i="41"/>
  <c r="PP94" i="41"/>
  <c r="PP95" i="41"/>
  <c r="PP96" i="41"/>
  <c r="PP97" i="41"/>
  <c r="PP98" i="41"/>
  <c r="PP99" i="41"/>
  <c r="PP100" i="41"/>
  <c r="PP101" i="41"/>
  <c r="PP102" i="41"/>
  <c r="PP103" i="41"/>
  <c r="PP104" i="41"/>
  <c r="PP105" i="41"/>
  <c r="PP106" i="41"/>
  <c r="PP107" i="41"/>
  <c r="PP108" i="41"/>
  <c r="PP109" i="41"/>
  <c r="PP110" i="41"/>
  <c r="PP111" i="41"/>
  <c r="PP112" i="41"/>
  <c r="PP113" i="41"/>
  <c r="PP114" i="41"/>
  <c r="PP115" i="41"/>
  <c r="PP116" i="41"/>
  <c r="PP117" i="41"/>
  <c r="PP118" i="41"/>
  <c r="PP119" i="41"/>
  <c r="PY86" i="41"/>
  <c r="PY87" i="41"/>
  <c r="PY88" i="41"/>
  <c r="PY89" i="41"/>
  <c r="PY90" i="41"/>
  <c r="PY91" i="41"/>
  <c r="PY92" i="41"/>
  <c r="PY93" i="41"/>
  <c r="PY94" i="41"/>
  <c r="PY95" i="41"/>
  <c r="PY96" i="41"/>
  <c r="PY97" i="41"/>
  <c r="PY98" i="41"/>
  <c r="PY99" i="41"/>
  <c r="PY100" i="41"/>
  <c r="PY101" i="41"/>
  <c r="PY102" i="41"/>
  <c r="PY103" i="41"/>
  <c r="PY104" i="41"/>
  <c r="PY105" i="41"/>
  <c r="PY106" i="41"/>
  <c r="PY107" i="41"/>
  <c r="PY108" i="41"/>
  <c r="PY109" i="41"/>
  <c r="PY110" i="41"/>
  <c r="PY111" i="41"/>
  <c r="PY112" i="41"/>
  <c r="PY113" i="41"/>
  <c r="PY114" i="41"/>
  <c r="PY115" i="41"/>
  <c r="PY116" i="41"/>
  <c r="PY117" i="41"/>
  <c r="PY118" i="41"/>
  <c r="PY119" i="41"/>
  <c r="OZ86" i="41"/>
  <c r="OZ87" i="41"/>
  <c r="OZ88" i="41"/>
  <c r="OZ89" i="41"/>
  <c r="OZ90" i="41"/>
  <c r="OZ91" i="41"/>
  <c r="OZ92" i="41"/>
  <c r="OZ93" i="41"/>
  <c r="OZ94" i="41"/>
  <c r="OZ95" i="41"/>
  <c r="OZ96" i="41"/>
  <c r="OZ97" i="41"/>
  <c r="OZ98" i="41"/>
  <c r="OZ99" i="41"/>
  <c r="OZ100" i="41"/>
  <c r="OZ101" i="41"/>
  <c r="OZ102" i="41"/>
  <c r="OZ103" i="41"/>
  <c r="OZ104" i="41"/>
  <c r="OZ105" i="41"/>
  <c r="OZ106" i="41"/>
  <c r="OZ107" i="41"/>
  <c r="OZ108" i="41"/>
  <c r="OZ109" i="41"/>
  <c r="OZ110" i="41"/>
  <c r="OZ111" i="41"/>
  <c r="OZ112" i="41"/>
  <c r="OZ113" i="41"/>
  <c r="OZ114" i="41"/>
  <c r="OZ115" i="41"/>
  <c r="OZ116" i="41"/>
  <c r="OZ117" i="41"/>
  <c r="OZ118" i="41"/>
  <c r="OZ119" i="41"/>
  <c r="OR86" i="41"/>
  <c r="OR87" i="41"/>
  <c r="OR88" i="41"/>
  <c r="OR89" i="41"/>
  <c r="OR90" i="41"/>
  <c r="OR91" i="41"/>
  <c r="OR92" i="41"/>
  <c r="OR93" i="41"/>
  <c r="OR94" i="41"/>
  <c r="OR95" i="41"/>
  <c r="OR96" i="41"/>
  <c r="OR97" i="41"/>
  <c r="OR98" i="41"/>
  <c r="OR99" i="41"/>
  <c r="OR100" i="41"/>
  <c r="OR101" i="41"/>
  <c r="OR102" i="41"/>
  <c r="OR103" i="41"/>
  <c r="OR104" i="41"/>
  <c r="OR105" i="41"/>
  <c r="OR106" i="41"/>
  <c r="OR107" i="41"/>
  <c r="OR108" i="41"/>
  <c r="OR109" i="41"/>
  <c r="OR110" i="41"/>
  <c r="OR111" i="41"/>
  <c r="OR112" i="41"/>
  <c r="OR113" i="41"/>
  <c r="OR114" i="41"/>
  <c r="OR115" i="41"/>
  <c r="OR116" i="41"/>
  <c r="OR117" i="41"/>
  <c r="OR118" i="41"/>
  <c r="OR119" i="41"/>
  <c r="OJ86" i="41"/>
  <c r="OJ87" i="41"/>
  <c r="OJ88" i="41"/>
  <c r="OJ89" i="41"/>
  <c r="OJ90" i="41"/>
  <c r="OJ91" i="41"/>
  <c r="OJ92" i="41"/>
  <c r="OJ93" i="41"/>
  <c r="OJ94" i="41"/>
  <c r="OJ95" i="41"/>
  <c r="OJ96" i="41"/>
  <c r="OJ97" i="41"/>
  <c r="OJ98" i="41"/>
  <c r="OJ99" i="41"/>
  <c r="OJ100" i="41"/>
  <c r="OJ101" i="41"/>
  <c r="OJ102" i="41"/>
  <c r="OJ103" i="41"/>
  <c r="OJ104" i="41"/>
  <c r="OJ105" i="41"/>
  <c r="OJ106" i="41"/>
  <c r="OJ107" i="41"/>
  <c r="OJ108" i="41"/>
  <c r="OJ109" i="41"/>
  <c r="OJ110" i="41"/>
  <c r="OJ111" i="41"/>
  <c r="OJ112" i="41"/>
  <c r="OJ113" i="41"/>
  <c r="OJ114" i="41"/>
  <c r="OJ115" i="41"/>
  <c r="OJ116" i="41"/>
  <c r="OJ117" i="41"/>
  <c r="OJ118" i="41"/>
  <c r="OJ119" i="41"/>
  <c r="OA86" i="41"/>
  <c r="OA87" i="41"/>
  <c r="OA88" i="41"/>
  <c r="OA89" i="41"/>
  <c r="OA90" i="41"/>
  <c r="OA91" i="41"/>
  <c r="OA92" i="41"/>
  <c r="OA93" i="41"/>
  <c r="OA94" i="41"/>
  <c r="OA95" i="41"/>
  <c r="OA96" i="41"/>
  <c r="OA97" i="41"/>
  <c r="OA98" i="41"/>
  <c r="OA99" i="41"/>
  <c r="OA100" i="41"/>
  <c r="OA101" i="41"/>
  <c r="OA102" i="41"/>
  <c r="OA103" i="41"/>
  <c r="OA104" i="41"/>
  <c r="OA105" i="41"/>
  <c r="OA106" i="41"/>
  <c r="OA107" i="41"/>
  <c r="OA108" i="41"/>
  <c r="OA109" i="41"/>
  <c r="OA110" i="41"/>
  <c r="OA111" i="41"/>
  <c r="OA112" i="41"/>
  <c r="OA113" i="41"/>
  <c r="OA114" i="41"/>
  <c r="OA115" i="41"/>
  <c r="OA116" i="41"/>
  <c r="OA117" i="41"/>
  <c r="OA118" i="41"/>
  <c r="OA119" i="41"/>
  <c r="NS86" i="41"/>
  <c r="NS87" i="41"/>
  <c r="NS88" i="41"/>
  <c r="NS89" i="41"/>
  <c r="NS90" i="41"/>
  <c r="NS91" i="41"/>
  <c r="NS92" i="41"/>
  <c r="NS93" i="41"/>
  <c r="NS94" i="41"/>
  <c r="NS95" i="41"/>
  <c r="NS96" i="41"/>
  <c r="NS97" i="41"/>
  <c r="NS98" i="41"/>
  <c r="NS99" i="41"/>
  <c r="NS100" i="41"/>
  <c r="NS101" i="41"/>
  <c r="NS102" i="41"/>
  <c r="NS103" i="41"/>
  <c r="NS104" i="41"/>
  <c r="NS105" i="41"/>
  <c r="NS106" i="41"/>
  <c r="NS107" i="41"/>
  <c r="NS108" i="41"/>
  <c r="NS109" i="41"/>
  <c r="NS110" i="41"/>
  <c r="NS111" i="41"/>
  <c r="NS112" i="41"/>
  <c r="NS113" i="41"/>
  <c r="NS114" i="41"/>
  <c r="NS115" i="41"/>
  <c r="NS116" i="41"/>
  <c r="NS117" i="41"/>
  <c r="NS118" i="41"/>
  <c r="NS119" i="41"/>
  <c r="NS120" i="41"/>
  <c r="NK86" i="41"/>
  <c r="NK87" i="41"/>
  <c r="NK88" i="41"/>
  <c r="NK89" i="41"/>
  <c r="NK90" i="41"/>
  <c r="NK91" i="41"/>
  <c r="NK92" i="41"/>
  <c r="NK93" i="41"/>
  <c r="NK94" i="41"/>
  <c r="NK95" i="41"/>
  <c r="NK96" i="41"/>
  <c r="NK97" i="41"/>
  <c r="NK98" i="41"/>
  <c r="NK99" i="41"/>
  <c r="NK100" i="41"/>
  <c r="NK101" i="41"/>
  <c r="NK102" i="41"/>
  <c r="NK103" i="41"/>
  <c r="NK104" i="41"/>
  <c r="NK105" i="41"/>
  <c r="NK106" i="41"/>
  <c r="NK107" i="41"/>
  <c r="NK108" i="41"/>
  <c r="NK109" i="41"/>
  <c r="NK110" i="41"/>
  <c r="NK111" i="41"/>
  <c r="NK112" i="41"/>
  <c r="NK113" i="41"/>
  <c r="NK114" i="41"/>
  <c r="NK115" i="41"/>
  <c r="NK116" i="41"/>
  <c r="NK117" i="41"/>
  <c r="NK118" i="41"/>
  <c r="NK119" i="41"/>
  <c r="NC86" i="41"/>
  <c r="NC87" i="41"/>
  <c r="NC88" i="41"/>
  <c r="NC89" i="41"/>
  <c r="NC90" i="41"/>
  <c r="NC91" i="41"/>
  <c r="NC92" i="41"/>
  <c r="NC93" i="41"/>
  <c r="NC94" i="41"/>
  <c r="NC95" i="41"/>
  <c r="NC96" i="41"/>
  <c r="NC97" i="41"/>
  <c r="NC98" i="41"/>
  <c r="NC99" i="41"/>
  <c r="NC100" i="41"/>
  <c r="NC101" i="41"/>
  <c r="NC102" i="41"/>
  <c r="NC103" i="41"/>
  <c r="NC104" i="41"/>
  <c r="NC105" i="41"/>
  <c r="NC106" i="41"/>
  <c r="NC107" i="41"/>
  <c r="NC108" i="41"/>
  <c r="NC109" i="41"/>
  <c r="NC110" i="41"/>
  <c r="NC111" i="41"/>
  <c r="NC112" i="41"/>
  <c r="NC113" i="41"/>
  <c r="NC114" i="41"/>
  <c r="NC115" i="41"/>
  <c r="NC116" i="41"/>
  <c r="NC117" i="41"/>
  <c r="NC118" i="41"/>
  <c r="NC119" i="41"/>
  <c r="NC120" i="41"/>
  <c r="ML101" i="41"/>
  <c r="OB95" i="41" l="1"/>
  <c r="OB119" i="41"/>
  <c r="PQ113" i="41"/>
  <c r="PQ112" i="41"/>
  <c r="OB105" i="41"/>
  <c r="PQ103" i="41"/>
  <c r="PQ101" i="41"/>
  <c r="OB89" i="41"/>
  <c r="OB86" i="41"/>
  <c r="PQ89" i="41"/>
  <c r="OB112" i="41"/>
  <c r="OB111" i="41"/>
  <c r="OB93" i="41"/>
  <c r="PQ117" i="41"/>
  <c r="OB113" i="41"/>
  <c r="PQ116" i="41"/>
  <c r="OB94" i="41"/>
  <c r="OB109" i="41"/>
  <c r="OB88" i="41"/>
  <c r="PQ115" i="41"/>
  <c r="OB117" i="41"/>
  <c r="OB108" i="41"/>
  <c r="OB90" i="41"/>
  <c r="PQ114" i="41"/>
  <c r="OB110" i="41"/>
  <c r="OB87" i="41"/>
  <c r="OB104" i="41"/>
  <c r="OB96" i="41"/>
  <c r="PQ88" i="41"/>
  <c r="OB103" i="41"/>
  <c r="OB118" i="41"/>
  <c r="OB98" i="41"/>
  <c r="OB101" i="41"/>
  <c r="PQ107" i="41"/>
  <c r="OB107" i="41"/>
  <c r="OB106" i="41"/>
  <c r="PQ110" i="41"/>
  <c r="PQ111" i="41"/>
  <c r="OB99" i="41"/>
  <c r="OB100" i="41"/>
  <c r="OB114" i="41"/>
  <c r="OB97" i="41"/>
  <c r="OB116" i="41"/>
  <c r="OB115" i="41"/>
  <c r="PQ105" i="41"/>
  <c r="PQ95" i="41"/>
  <c r="PQ104" i="41"/>
  <c r="PQ94" i="41"/>
  <c r="PQ93" i="41"/>
  <c r="PQ92" i="41"/>
  <c r="PQ108" i="41"/>
  <c r="PQ91" i="41"/>
  <c r="OB91" i="41"/>
  <c r="PQ90" i="41"/>
  <c r="PQ109" i="41"/>
  <c r="PQ99" i="41"/>
  <c r="PQ100" i="41"/>
  <c r="PQ98" i="41"/>
  <c r="PQ102" i="41"/>
  <c r="PQ96" i="41"/>
  <c r="PQ87" i="41"/>
  <c r="PQ86" i="41"/>
  <c r="PQ106" i="41"/>
  <c r="PQ97" i="41"/>
  <c r="OB92" i="41"/>
  <c r="OB102" i="41"/>
  <c r="PR121" i="41"/>
  <c r="PS121" i="41"/>
  <c r="PT121" i="41"/>
  <c r="PU121" i="41"/>
  <c r="PV121" i="41"/>
  <c r="PW121" i="41"/>
  <c r="PX121" i="41"/>
  <c r="PZ121" i="41"/>
  <c r="QA121" i="41"/>
  <c r="QB121" i="41"/>
  <c r="QC121" i="41"/>
  <c r="QD121" i="41"/>
  <c r="QE121" i="41"/>
  <c r="QF121" i="41"/>
  <c r="QH121" i="41"/>
  <c r="QI121" i="41"/>
  <c r="QJ121" i="41"/>
  <c r="QK121" i="41"/>
  <c r="QL121" i="41"/>
  <c r="QM121" i="41"/>
  <c r="QN121" i="41"/>
  <c r="QP121" i="41"/>
  <c r="QQ121" i="41"/>
  <c r="QR121" i="41"/>
  <c r="QS121" i="41"/>
  <c r="QT121" i="41"/>
  <c r="QU121" i="41"/>
  <c r="QV121" i="41"/>
  <c r="QY121" i="41"/>
  <c r="QZ121" i="41"/>
  <c r="RA121" i="41"/>
  <c r="RB121" i="41"/>
  <c r="RC121" i="41"/>
  <c r="RD121" i="41"/>
  <c r="RE121" i="41"/>
  <c r="RG121" i="41"/>
  <c r="RH121" i="41"/>
  <c r="RI121" i="41"/>
  <c r="RJ121" i="41"/>
  <c r="RK121" i="41"/>
  <c r="RL121" i="41"/>
  <c r="RM121" i="41"/>
  <c r="RO121" i="41"/>
  <c r="RP121" i="41"/>
  <c r="RQ121" i="41"/>
  <c r="RR121" i="41"/>
  <c r="RS121" i="41"/>
  <c r="RT121" i="41"/>
  <c r="RU121" i="41"/>
  <c r="RW121" i="41"/>
  <c r="RX121" i="41"/>
  <c r="RY121" i="41"/>
  <c r="RZ121" i="41"/>
  <c r="SA121" i="41"/>
  <c r="SB121" i="41"/>
  <c r="SC121" i="41"/>
  <c r="SF121" i="41"/>
  <c r="SG121" i="41"/>
  <c r="SH121" i="41"/>
  <c r="SI121" i="41"/>
  <c r="SJ121" i="41"/>
  <c r="SK121" i="41"/>
  <c r="SL121" i="41"/>
  <c r="SN121" i="41"/>
  <c r="SO121" i="41"/>
  <c r="SP121" i="41"/>
  <c r="SQ121" i="41"/>
  <c r="SR121" i="41"/>
  <c r="SS121" i="41"/>
  <c r="ST121" i="41"/>
  <c r="SV121" i="41"/>
  <c r="SW121" i="41"/>
  <c r="SX121" i="41"/>
  <c r="SY121" i="41"/>
  <c r="SZ121" i="41"/>
  <c r="TA121" i="41"/>
  <c r="TB121" i="41"/>
  <c r="TD121" i="41"/>
  <c r="TE121" i="41"/>
  <c r="TF121" i="41"/>
  <c r="TG121" i="41"/>
  <c r="TH121" i="41"/>
  <c r="TI121" i="41"/>
  <c r="TJ121" i="41"/>
  <c r="TL121" i="41"/>
  <c r="TM121" i="41"/>
  <c r="TN121" i="41"/>
  <c r="TO121" i="41"/>
  <c r="TP121" i="41"/>
  <c r="TQ121" i="41"/>
  <c r="TR121" i="41"/>
  <c r="PY125" i="41"/>
  <c r="QG125" i="41"/>
  <c r="QO125" i="41"/>
  <c r="QW125" i="41"/>
  <c r="RF125" i="41"/>
  <c r="RN125" i="41"/>
  <c r="RV125" i="41"/>
  <c r="SD125" i="41"/>
  <c r="SM125" i="41"/>
  <c r="SU125" i="41"/>
  <c r="TC125" i="41"/>
  <c r="TK125" i="41"/>
  <c r="TS125" i="41"/>
  <c r="PY126" i="41"/>
  <c r="QG126" i="41"/>
  <c r="QO126" i="41"/>
  <c r="QW126" i="41"/>
  <c r="RF126" i="41"/>
  <c r="RN126" i="41"/>
  <c r="RV126" i="41"/>
  <c r="SD126" i="41"/>
  <c r="SM126" i="41"/>
  <c r="SU126" i="41"/>
  <c r="TC126" i="41"/>
  <c r="TK126" i="41"/>
  <c r="TS126" i="41"/>
  <c r="PY127" i="41"/>
  <c r="QG127" i="41"/>
  <c r="QO127" i="41"/>
  <c r="QW127" i="41"/>
  <c r="RF127" i="41"/>
  <c r="RN127" i="41"/>
  <c r="RV127" i="41"/>
  <c r="SD127" i="41"/>
  <c r="SM127" i="41"/>
  <c r="SU127" i="41"/>
  <c r="TC127" i="41"/>
  <c r="TK127" i="41"/>
  <c r="TS127" i="41"/>
  <c r="PY128" i="41"/>
  <c r="QG128" i="41"/>
  <c r="QO128" i="41"/>
  <c r="QW128" i="41"/>
  <c r="RF128" i="41"/>
  <c r="RN128" i="41"/>
  <c r="RV128" i="41"/>
  <c r="SD128" i="41"/>
  <c r="SM128" i="41"/>
  <c r="SU128" i="41"/>
  <c r="TC128" i="41"/>
  <c r="TK128" i="41"/>
  <c r="TS128" i="41"/>
  <c r="PY129" i="41"/>
  <c r="QG129" i="41"/>
  <c r="QO129" i="41"/>
  <c r="QW129" i="41"/>
  <c r="RF129" i="41"/>
  <c r="RN129" i="41"/>
  <c r="RV129" i="41"/>
  <c r="SD129" i="41"/>
  <c r="SM129" i="41"/>
  <c r="SU129" i="41"/>
  <c r="TC129" i="41"/>
  <c r="TK129" i="41"/>
  <c r="TS129" i="41"/>
  <c r="PY130" i="41"/>
  <c r="QG130" i="41"/>
  <c r="QO130" i="41"/>
  <c r="QW130" i="41"/>
  <c r="RF130" i="41"/>
  <c r="RN130" i="41"/>
  <c r="RV130" i="41"/>
  <c r="SD130" i="41"/>
  <c r="SM130" i="41"/>
  <c r="SU130" i="41"/>
  <c r="TC130" i="41"/>
  <c r="TK130" i="41"/>
  <c r="TS130" i="41"/>
  <c r="PY131" i="41"/>
  <c r="QG131" i="41"/>
  <c r="QO131" i="41"/>
  <c r="QW131" i="41"/>
  <c r="RF131" i="41"/>
  <c r="RN131" i="41"/>
  <c r="RV131" i="41"/>
  <c r="SD131" i="41"/>
  <c r="SM131" i="41"/>
  <c r="SU131" i="41"/>
  <c r="TC131" i="41"/>
  <c r="TK131" i="41"/>
  <c r="TS131" i="41"/>
  <c r="PY132" i="41"/>
  <c r="QG132" i="41"/>
  <c r="QO132" i="41"/>
  <c r="QW132" i="41"/>
  <c r="RF132" i="41"/>
  <c r="RN132" i="41"/>
  <c r="RV132" i="41"/>
  <c r="SD132" i="41"/>
  <c r="SM132" i="41"/>
  <c r="SU132" i="41"/>
  <c r="TC132" i="41"/>
  <c r="TK132" i="41"/>
  <c r="TS132" i="41"/>
  <c r="PY133" i="41"/>
  <c r="QG133" i="41"/>
  <c r="QO133" i="41"/>
  <c r="QW133" i="41"/>
  <c r="RF133" i="41"/>
  <c r="RN133" i="41"/>
  <c r="RV133" i="41"/>
  <c r="SD133" i="41"/>
  <c r="SM133" i="41"/>
  <c r="SU133" i="41"/>
  <c r="TC133" i="41"/>
  <c r="TK133" i="41"/>
  <c r="TS133" i="41"/>
  <c r="PY134" i="41"/>
  <c r="QG134" i="41"/>
  <c r="QO134" i="41"/>
  <c r="QW134" i="41"/>
  <c r="RF134" i="41"/>
  <c r="RN134" i="41"/>
  <c r="RV134" i="41"/>
  <c r="SD134" i="41"/>
  <c r="SM134" i="41"/>
  <c r="SU134" i="41"/>
  <c r="TC134" i="41"/>
  <c r="TK134" i="41"/>
  <c r="TS134" i="41"/>
  <c r="PY135" i="41"/>
  <c r="QG135" i="41"/>
  <c r="QO135" i="41"/>
  <c r="QW135" i="41"/>
  <c r="RF135" i="41"/>
  <c r="RN135" i="41"/>
  <c r="RV135" i="41"/>
  <c r="SD135" i="41"/>
  <c r="SM135" i="41"/>
  <c r="SU135" i="41"/>
  <c r="TC135" i="41"/>
  <c r="TK135" i="41"/>
  <c r="TS135" i="41"/>
  <c r="PY136" i="41"/>
  <c r="QG136" i="41"/>
  <c r="QO136" i="41"/>
  <c r="QW136" i="41"/>
  <c r="RF136" i="41"/>
  <c r="RN136" i="41"/>
  <c r="RV136" i="41"/>
  <c r="SD136" i="41"/>
  <c r="SM136" i="41"/>
  <c r="SU136" i="41"/>
  <c r="TC136" i="41"/>
  <c r="TK136" i="41"/>
  <c r="TS136" i="41"/>
  <c r="PY137" i="41"/>
  <c r="QG137" i="41"/>
  <c r="QO137" i="41"/>
  <c r="QW137" i="41"/>
  <c r="RF137" i="41"/>
  <c r="RN137" i="41"/>
  <c r="RV137" i="41"/>
  <c r="SD137" i="41"/>
  <c r="SM137" i="41"/>
  <c r="SU137" i="41"/>
  <c r="TC137" i="41"/>
  <c r="TK137" i="41"/>
  <c r="TS137" i="41"/>
  <c r="PY138" i="41"/>
  <c r="QG138" i="41"/>
  <c r="QO138" i="41"/>
  <c r="QW138" i="41"/>
  <c r="RF138" i="41"/>
  <c r="RN138" i="41"/>
  <c r="RV138" i="41"/>
  <c r="SD138" i="41"/>
  <c r="SM138" i="41"/>
  <c r="SU138" i="41"/>
  <c r="TC138" i="41"/>
  <c r="TK138" i="41"/>
  <c r="TS138" i="41"/>
  <c r="PY139" i="41"/>
  <c r="QG139" i="41"/>
  <c r="QO139" i="41"/>
  <c r="QW139" i="41"/>
  <c r="RF139" i="41"/>
  <c r="RN139" i="41"/>
  <c r="RV139" i="41"/>
  <c r="SD139" i="41"/>
  <c r="SM139" i="41"/>
  <c r="SU139" i="41"/>
  <c r="TC139" i="41"/>
  <c r="TK139" i="41"/>
  <c r="TS139" i="41"/>
  <c r="PY140" i="41"/>
  <c r="QG140" i="41"/>
  <c r="QO140" i="41"/>
  <c r="QW140" i="41"/>
  <c r="RF140" i="41"/>
  <c r="RN140" i="41"/>
  <c r="RV140" i="41"/>
  <c r="SD140" i="41"/>
  <c r="SM140" i="41"/>
  <c r="SU140" i="41"/>
  <c r="TC140" i="41"/>
  <c r="TK140" i="41"/>
  <c r="TS140" i="41"/>
  <c r="PY141" i="41"/>
  <c r="QG141" i="41"/>
  <c r="QO141" i="41"/>
  <c r="QW141" i="41"/>
  <c r="RF141" i="41"/>
  <c r="RN141" i="41"/>
  <c r="RV141" i="41"/>
  <c r="SD141" i="41"/>
  <c r="SM141" i="41"/>
  <c r="SU141" i="41"/>
  <c r="TC141" i="41"/>
  <c r="TK141" i="41"/>
  <c r="TS141" i="41"/>
  <c r="PY142" i="41"/>
  <c r="QG142" i="41"/>
  <c r="QO142" i="41"/>
  <c r="QW142" i="41"/>
  <c r="RF142" i="41"/>
  <c r="RN142" i="41"/>
  <c r="RV142" i="41"/>
  <c r="SD142" i="41"/>
  <c r="SM142" i="41"/>
  <c r="SU142" i="41"/>
  <c r="TC142" i="41"/>
  <c r="TK142" i="41"/>
  <c r="TS142" i="41"/>
  <c r="PY143" i="41"/>
  <c r="QG143" i="41"/>
  <c r="QO143" i="41"/>
  <c r="QW143" i="41"/>
  <c r="RF143" i="41"/>
  <c r="RN143" i="41"/>
  <c r="RV143" i="41"/>
  <c r="SD143" i="41"/>
  <c r="SM143" i="41"/>
  <c r="SU143" i="41"/>
  <c r="TC143" i="41"/>
  <c r="TK143" i="41"/>
  <c r="TS143" i="41"/>
  <c r="PY144" i="41"/>
  <c r="QG144" i="41"/>
  <c r="QO144" i="41"/>
  <c r="QW144" i="41"/>
  <c r="RF144" i="41"/>
  <c r="RN144" i="41"/>
  <c r="RV144" i="41"/>
  <c r="SD144" i="41"/>
  <c r="SM144" i="41"/>
  <c r="SU144" i="41"/>
  <c r="TC144" i="41"/>
  <c r="TK144" i="41"/>
  <c r="TS144" i="41"/>
  <c r="PY145" i="41"/>
  <c r="QG145" i="41"/>
  <c r="QO145" i="41"/>
  <c r="QW145" i="41"/>
  <c r="RF145" i="41"/>
  <c r="RN145" i="41"/>
  <c r="RV145" i="41"/>
  <c r="SD145" i="41"/>
  <c r="SM145" i="41"/>
  <c r="SU145" i="41"/>
  <c r="TC145" i="41"/>
  <c r="TK145" i="41"/>
  <c r="TS145" i="41"/>
  <c r="PY147" i="41"/>
  <c r="QG147" i="41"/>
  <c r="QO147" i="41"/>
  <c r="QW147" i="41"/>
  <c r="RF147" i="41"/>
  <c r="RN147" i="41"/>
  <c r="RV147" i="41"/>
  <c r="SD147" i="41"/>
  <c r="SM147" i="41"/>
  <c r="SU147" i="41"/>
  <c r="TC147" i="41"/>
  <c r="TK147" i="41"/>
  <c r="TS147" i="41"/>
  <c r="PY148" i="41"/>
  <c r="QG148" i="41"/>
  <c r="QO148" i="41"/>
  <c r="QW148" i="41"/>
  <c r="RF148" i="41"/>
  <c r="RN148" i="41"/>
  <c r="RV148" i="41"/>
  <c r="SD148" i="41"/>
  <c r="SM148" i="41"/>
  <c r="SU148" i="41"/>
  <c r="TC148" i="41"/>
  <c r="TK148" i="41"/>
  <c r="TS148" i="41"/>
  <c r="PY149" i="41"/>
  <c r="QG149" i="41"/>
  <c r="QO149" i="41"/>
  <c r="QW149" i="41"/>
  <c r="RF149" i="41"/>
  <c r="RN149" i="41"/>
  <c r="RV149" i="41"/>
  <c r="SD149" i="41"/>
  <c r="SM149" i="41"/>
  <c r="SU149" i="41"/>
  <c r="TC149" i="41"/>
  <c r="TK149" i="41"/>
  <c r="TS149" i="41"/>
  <c r="PY150" i="41"/>
  <c r="QG150" i="41"/>
  <c r="QO150" i="41"/>
  <c r="QW150" i="41"/>
  <c r="RF150" i="41"/>
  <c r="RN150" i="41"/>
  <c r="RV150" i="41"/>
  <c r="SD150" i="41"/>
  <c r="SM150" i="41"/>
  <c r="SU150" i="41"/>
  <c r="TC150" i="41"/>
  <c r="TK150" i="41"/>
  <c r="TS150" i="41"/>
  <c r="PY151" i="41"/>
  <c r="QG151" i="41"/>
  <c r="QO151" i="41"/>
  <c r="QW151" i="41"/>
  <c r="RF151" i="41"/>
  <c r="RN151" i="41"/>
  <c r="RV151" i="41"/>
  <c r="SD151" i="41"/>
  <c r="SM151" i="41"/>
  <c r="SU151" i="41"/>
  <c r="TC151" i="41"/>
  <c r="TK151" i="41"/>
  <c r="TS151" i="41"/>
  <c r="PY152" i="41"/>
  <c r="QG152" i="41"/>
  <c r="QO152" i="41"/>
  <c r="QW152" i="41"/>
  <c r="RF152" i="41"/>
  <c r="RN152" i="41"/>
  <c r="RV152" i="41"/>
  <c r="SD152" i="41"/>
  <c r="SM152" i="41"/>
  <c r="SU152" i="41"/>
  <c r="TC152" i="41"/>
  <c r="TK152" i="41"/>
  <c r="TS152" i="41"/>
  <c r="PY153" i="41"/>
  <c r="QG153" i="41"/>
  <c r="QO153" i="41"/>
  <c r="QW153" i="41"/>
  <c r="RF153" i="41"/>
  <c r="RN153" i="41"/>
  <c r="RV153" i="41"/>
  <c r="SD153" i="41"/>
  <c r="SM153" i="41"/>
  <c r="SU153" i="41"/>
  <c r="TC153" i="41"/>
  <c r="TK153" i="41"/>
  <c r="TS153" i="41"/>
  <c r="PY154" i="41"/>
  <c r="QG154" i="41"/>
  <c r="QO154" i="41"/>
  <c r="QW154" i="41"/>
  <c r="RF154" i="41"/>
  <c r="RN154" i="41"/>
  <c r="RV154" i="41"/>
  <c r="SD154" i="41"/>
  <c r="SM154" i="41"/>
  <c r="SU154" i="41"/>
  <c r="TC154" i="41"/>
  <c r="TK154" i="41"/>
  <c r="TS154" i="41"/>
  <c r="PY155" i="41"/>
  <c r="QG155" i="41"/>
  <c r="QO155" i="41"/>
  <c r="QW155" i="41"/>
  <c r="RF155" i="41"/>
  <c r="RN155" i="41"/>
  <c r="RV155" i="41"/>
  <c r="SD155" i="41"/>
  <c r="SM155" i="41"/>
  <c r="SU155" i="41"/>
  <c r="TC155" i="41"/>
  <c r="TK155" i="41"/>
  <c r="TS155" i="41"/>
  <c r="PY156" i="41"/>
  <c r="QG156" i="41"/>
  <c r="QO156" i="41"/>
  <c r="QW156" i="41"/>
  <c r="RF156" i="41"/>
  <c r="RN156" i="41"/>
  <c r="RV156" i="41"/>
  <c r="SD156" i="41"/>
  <c r="SM156" i="41"/>
  <c r="SU156" i="41"/>
  <c r="TC156" i="41"/>
  <c r="TK156" i="41"/>
  <c r="TS156" i="41"/>
  <c r="PY157" i="41"/>
  <c r="QG157" i="41"/>
  <c r="QO157" i="41"/>
  <c r="QW157" i="41"/>
  <c r="RF157" i="41"/>
  <c r="RN157" i="41"/>
  <c r="RV157" i="41"/>
  <c r="SD157" i="41"/>
  <c r="SM157" i="41"/>
  <c r="SU157" i="41"/>
  <c r="TC157" i="41"/>
  <c r="TK157" i="41"/>
  <c r="TS157" i="41"/>
  <c r="PY158" i="41"/>
  <c r="QG158" i="41"/>
  <c r="QO158" i="41"/>
  <c r="QW158" i="41"/>
  <c r="RF158" i="41"/>
  <c r="RN158" i="41"/>
  <c r="RV158" i="41"/>
  <c r="SD158" i="41"/>
  <c r="SM158" i="41"/>
  <c r="SU158" i="41"/>
  <c r="TC158" i="41"/>
  <c r="TK158" i="41"/>
  <c r="TS158" i="41"/>
  <c r="PY159" i="41"/>
  <c r="QG159" i="41"/>
  <c r="QO159" i="41"/>
  <c r="QW159" i="41"/>
  <c r="RF159" i="41"/>
  <c r="RN159" i="41"/>
  <c r="RV159" i="41"/>
  <c r="SD159" i="41"/>
  <c r="SM159" i="41"/>
  <c r="SU159" i="41"/>
  <c r="TC159" i="41"/>
  <c r="TK159" i="41"/>
  <c r="TS159" i="41"/>
  <c r="PY160" i="41"/>
  <c r="QG160" i="41"/>
  <c r="QO160" i="41"/>
  <c r="QW160" i="41"/>
  <c r="RF160" i="41"/>
  <c r="RN160" i="41"/>
  <c r="RV160" i="41"/>
  <c r="SD160" i="41"/>
  <c r="SM160" i="41"/>
  <c r="SU160" i="41"/>
  <c r="TC160" i="41"/>
  <c r="TK160" i="41"/>
  <c r="TS160" i="41"/>
  <c r="PY161" i="41"/>
  <c r="QG161" i="41"/>
  <c r="QO161" i="41"/>
  <c r="QW161" i="41"/>
  <c r="RF161" i="41"/>
  <c r="RN161" i="41"/>
  <c r="RV161" i="41"/>
  <c r="SD161" i="41"/>
  <c r="SM161" i="41"/>
  <c r="SU161" i="41"/>
  <c r="TC161" i="41"/>
  <c r="TK161" i="41"/>
  <c r="TS161" i="41"/>
  <c r="PY162" i="41"/>
  <c r="QG162" i="41"/>
  <c r="QO162" i="41"/>
  <c r="QW162" i="41"/>
  <c r="RF162" i="41"/>
  <c r="RN162" i="41"/>
  <c r="RV162" i="41"/>
  <c r="SD162" i="41"/>
  <c r="SM162" i="41"/>
  <c r="SU162" i="41"/>
  <c r="TC162" i="41"/>
  <c r="TK162" i="41"/>
  <c r="TS162" i="41"/>
  <c r="PY163" i="41"/>
  <c r="QG163" i="41"/>
  <c r="QO163" i="41"/>
  <c r="QW163" i="41"/>
  <c r="RF163" i="41"/>
  <c r="RN163" i="41"/>
  <c r="RV163" i="41"/>
  <c r="SD163" i="41"/>
  <c r="SM163" i="41"/>
  <c r="SU163" i="41"/>
  <c r="TC163" i="41"/>
  <c r="TK163" i="41"/>
  <c r="TS163" i="41"/>
  <c r="PY164" i="41"/>
  <c r="QG164" i="41"/>
  <c r="QO164" i="41"/>
  <c r="QW164" i="41"/>
  <c r="RF164" i="41"/>
  <c r="RN164" i="41"/>
  <c r="RV164" i="41"/>
  <c r="SD164" i="41"/>
  <c r="SM164" i="41"/>
  <c r="SU164" i="41"/>
  <c r="TC164" i="41"/>
  <c r="TK164" i="41"/>
  <c r="TS164" i="41"/>
  <c r="PY165" i="41"/>
  <c r="QG165" i="41"/>
  <c r="QO165" i="41"/>
  <c r="QW165" i="41"/>
  <c r="RF165" i="41"/>
  <c r="RN165" i="41"/>
  <c r="RV165" i="41"/>
  <c r="SD165" i="41"/>
  <c r="SM165" i="41"/>
  <c r="SU165" i="41"/>
  <c r="TC165" i="41"/>
  <c r="TK165" i="41"/>
  <c r="TS165" i="41"/>
  <c r="PY166" i="41"/>
  <c r="QG166" i="41"/>
  <c r="QO166" i="41"/>
  <c r="QW166" i="41"/>
  <c r="RF166" i="41"/>
  <c r="RN166" i="41"/>
  <c r="RV166" i="41"/>
  <c r="SD166" i="41"/>
  <c r="SM166" i="41"/>
  <c r="SU166" i="41"/>
  <c r="TC166" i="41"/>
  <c r="TK166" i="41"/>
  <c r="TS166" i="41"/>
  <c r="PY167" i="41"/>
  <c r="QG167" i="41"/>
  <c r="QO167" i="41"/>
  <c r="QW167" i="41"/>
  <c r="RF167" i="41"/>
  <c r="RN167" i="41"/>
  <c r="RV167" i="41"/>
  <c r="SD167" i="41"/>
  <c r="SM167" i="41"/>
  <c r="SU167" i="41"/>
  <c r="TC167" i="41"/>
  <c r="TK167" i="41"/>
  <c r="TS167" i="41"/>
  <c r="PY168" i="41"/>
  <c r="QG168" i="41"/>
  <c r="QO168" i="41"/>
  <c r="QW168" i="41"/>
  <c r="RF168" i="41"/>
  <c r="RN168" i="41"/>
  <c r="RV168" i="41"/>
  <c r="SD168" i="41"/>
  <c r="SM168" i="41"/>
  <c r="SU168" i="41"/>
  <c r="TC168" i="41"/>
  <c r="TK168" i="41"/>
  <c r="TS168" i="41"/>
  <c r="PY169" i="41"/>
  <c r="QG169" i="41"/>
  <c r="QO169" i="41"/>
  <c r="QW169" i="41"/>
  <c r="RF169" i="41"/>
  <c r="RN169" i="41"/>
  <c r="RV169" i="41"/>
  <c r="SD169" i="41"/>
  <c r="SM169" i="41"/>
  <c r="SU169" i="41"/>
  <c r="TC169" i="41"/>
  <c r="TK169" i="41"/>
  <c r="TS169" i="41"/>
  <c r="PY170" i="41"/>
  <c r="QG170" i="41"/>
  <c r="QO170" i="41"/>
  <c r="QW170" i="41"/>
  <c r="RF170" i="41"/>
  <c r="RN170" i="41"/>
  <c r="RV170" i="41"/>
  <c r="SD170" i="41"/>
  <c r="SM170" i="41"/>
  <c r="SU170" i="41"/>
  <c r="TC170" i="41"/>
  <c r="TK170" i="41"/>
  <c r="TS170" i="41"/>
  <c r="PY171" i="41"/>
  <c r="QG171" i="41"/>
  <c r="QO171" i="41"/>
  <c r="QW171" i="41"/>
  <c r="RF171" i="41"/>
  <c r="RN171" i="41"/>
  <c r="RV171" i="41"/>
  <c r="SD171" i="41"/>
  <c r="SM171" i="41"/>
  <c r="SU171" i="41"/>
  <c r="TC171" i="41"/>
  <c r="TK171" i="41"/>
  <c r="TS171" i="41"/>
  <c r="PY172" i="41"/>
  <c r="QG172" i="41"/>
  <c r="QO172" i="41"/>
  <c r="QW172" i="41"/>
  <c r="RF172" i="41"/>
  <c r="RN172" i="41"/>
  <c r="RV172" i="41"/>
  <c r="SD172" i="41"/>
  <c r="SM172" i="41"/>
  <c r="SU172" i="41"/>
  <c r="TC172" i="41"/>
  <c r="TK172" i="41"/>
  <c r="TS172" i="41"/>
  <c r="PY173" i="41"/>
  <c r="QG173" i="41"/>
  <c r="QO173" i="41"/>
  <c r="QW173" i="41"/>
  <c r="RF173" i="41"/>
  <c r="RN173" i="41"/>
  <c r="RV173" i="41"/>
  <c r="SD173" i="41"/>
  <c r="SM173" i="41"/>
  <c r="SU173" i="41"/>
  <c r="TC173" i="41"/>
  <c r="TK173" i="41"/>
  <c r="TS173" i="41"/>
  <c r="PY174" i="41"/>
  <c r="QG174" i="41"/>
  <c r="QO174" i="41"/>
  <c r="QW174" i="41"/>
  <c r="RF174" i="41"/>
  <c r="RN174" i="41"/>
  <c r="RV174" i="41"/>
  <c r="SD174" i="41"/>
  <c r="SM174" i="41"/>
  <c r="SU174" i="41"/>
  <c r="TC174" i="41"/>
  <c r="TK174" i="41"/>
  <c r="TS174" i="41"/>
  <c r="PY175" i="41"/>
  <c r="QG175" i="41"/>
  <c r="QO175" i="41"/>
  <c r="QW175" i="41"/>
  <c r="RF175" i="41"/>
  <c r="RN175" i="41"/>
  <c r="RV175" i="41"/>
  <c r="SD175" i="41"/>
  <c r="SM175" i="41"/>
  <c r="SU175" i="41"/>
  <c r="TC175" i="41"/>
  <c r="TK175" i="41"/>
  <c r="TS175" i="41"/>
  <c r="PY176" i="41"/>
  <c r="QG176" i="41"/>
  <c r="QO176" i="41"/>
  <c r="QW176" i="41"/>
  <c r="RF176" i="41"/>
  <c r="RN176" i="41"/>
  <c r="RV176" i="41"/>
  <c r="SD176" i="41"/>
  <c r="SM176" i="41"/>
  <c r="SU176" i="41"/>
  <c r="TC176" i="41"/>
  <c r="TK176" i="41"/>
  <c r="TS176" i="41"/>
  <c r="PY177" i="41"/>
  <c r="QG177" i="41"/>
  <c r="QO177" i="41"/>
  <c r="QW177" i="41"/>
  <c r="RF177" i="41"/>
  <c r="RN177" i="41"/>
  <c r="RV177" i="41"/>
  <c r="SD177" i="41"/>
  <c r="SM177" i="41"/>
  <c r="SU177" i="41"/>
  <c r="TC177" i="41"/>
  <c r="TK177" i="41"/>
  <c r="TS177" i="41"/>
  <c r="PY178" i="41"/>
  <c r="QG178" i="41"/>
  <c r="QO178" i="41"/>
  <c r="QW178" i="41"/>
  <c r="RF178" i="41"/>
  <c r="RN178" i="41"/>
  <c r="RV178" i="41"/>
  <c r="SD178" i="41"/>
  <c r="SM178" i="41"/>
  <c r="SU178" i="41"/>
  <c r="TC178" i="41"/>
  <c r="TK178" i="41"/>
  <c r="TS178" i="41"/>
  <c r="PY179" i="41"/>
  <c r="QG179" i="41"/>
  <c r="QO179" i="41"/>
  <c r="QW179" i="41"/>
  <c r="RF179" i="41"/>
  <c r="RN179" i="41"/>
  <c r="RV179" i="41"/>
  <c r="SD179" i="41"/>
  <c r="SM179" i="41"/>
  <c r="SU179" i="41"/>
  <c r="TC179" i="41"/>
  <c r="TK179" i="41"/>
  <c r="TS179" i="41"/>
  <c r="PY180" i="41"/>
  <c r="QG180" i="41"/>
  <c r="QO180" i="41"/>
  <c r="QW180" i="41"/>
  <c r="RF180" i="41"/>
  <c r="RN180" i="41"/>
  <c r="RV180" i="41"/>
  <c r="SD180" i="41"/>
  <c r="SM180" i="41"/>
  <c r="SU180" i="41"/>
  <c r="TC180" i="41"/>
  <c r="TK180" i="41"/>
  <c r="TS180" i="41"/>
  <c r="PY181" i="41"/>
  <c r="QG181" i="41"/>
  <c r="QO181" i="41"/>
  <c r="QW181" i="41"/>
  <c r="RF181" i="41"/>
  <c r="RN181" i="41"/>
  <c r="RV181" i="41"/>
  <c r="SD181" i="41"/>
  <c r="SM181" i="41"/>
  <c r="SU181" i="41"/>
  <c r="TC181" i="41"/>
  <c r="TK181" i="41"/>
  <c r="TS181" i="41"/>
  <c r="PY182" i="41"/>
  <c r="QG182" i="41"/>
  <c r="QO182" i="41"/>
  <c r="QW182" i="41"/>
  <c r="RF182" i="41"/>
  <c r="RN182" i="41"/>
  <c r="RV182" i="41"/>
  <c r="SD182" i="41"/>
  <c r="SM182" i="41"/>
  <c r="SU182" i="41"/>
  <c r="TC182" i="41"/>
  <c r="TK182" i="41"/>
  <c r="TS182" i="41"/>
  <c r="PY183" i="41"/>
  <c r="QG183" i="41"/>
  <c r="QO183" i="41"/>
  <c r="QW183" i="41"/>
  <c r="RF183" i="41"/>
  <c r="RN183" i="41"/>
  <c r="RV183" i="41"/>
  <c r="SD183" i="41"/>
  <c r="SM183" i="41"/>
  <c r="SU183" i="41"/>
  <c r="TC183" i="41"/>
  <c r="TK183" i="41"/>
  <c r="TS183" i="41"/>
  <c r="PY184" i="41"/>
  <c r="QG184" i="41"/>
  <c r="QO184" i="41"/>
  <c r="QW184" i="41"/>
  <c r="RF184" i="41"/>
  <c r="RN184" i="41"/>
  <c r="RV184" i="41"/>
  <c r="SD184" i="41"/>
  <c r="SM184" i="41"/>
  <c r="SU184" i="41"/>
  <c r="TC184" i="41"/>
  <c r="TK184" i="41"/>
  <c r="TS184" i="41"/>
  <c r="PY185" i="41"/>
  <c r="QG185" i="41"/>
  <c r="QO185" i="41"/>
  <c r="QW185" i="41"/>
  <c r="RF185" i="41"/>
  <c r="RN185" i="41"/>
  <c r="RV185" i="41"/>
  <c r="SD185" i="41"/>
  <c r="SM185" i="41"/>
  <c r="SU185" i="41"/>
  <c r="TC185" i="41"/>
  <c r="TK185" i="41"/>
  <c r="TS185" i="41"/>
  <c r="PY186" i="41"/>
  <c r="QG186" i="41"/>
  <c r="QO186" i="41"/>
  <c r="QW186" i="41"/>
  <c r="RF186" i="41"/>
  <c r="RN186" i="41"/>
  <c r="RV186" i="41"/>
  <c r="SD186" i="41"/>
  <c r="SM186" i="41"/>
  <c r="SU186" i="41"/>
  <c r="TC186" i="41"/>
  <c r="TK186" i="41"/>
  <c r="TS186" i="41"/>
  <c r="PY187" i="41"/>
  <c r="QG187" i="41"/>
  <c r="QO187" i="41"/>
  <c r="QW187" i="41"/>
  <c r="RF187" i="41"/>
  <c r="RN187" i="41"/>
  <c r="RV187" i="41"/>
  <c r="SD187" i="41"/>
  <c r="SM187" i="41"/>
  <c r="SU187" i="41"/>
  <c r="TC187" i="41"/>
  <c r="TK187" i="41"/>
  <c r="TS187" i="41"/>
  <c r="PY188" i="41"/>
  <c r="QG188" i="41"/>
  <c r="QO188" i="41"/>
  <c r="QW188" i="41"/>
  <c r="RF188" i="41"/>
  <c r="RN188" i="41"/>
  <c r="RV188" i="41"/>
  <c r="SD188" i="41"/>
  <c r="SM188" i="41"/>
  <c r="SU188" i="41"/>
  <c r="TC188" i="41"/>
  <c r="TK188" i="41"/>
  <c r="TS188" i="41"/>
  <c r="PY189" i="41"/>
  <c r="QG189" i="41"/>
  <c r="QO189" i="41"/>
  <c r="QW189" i="41"/>
  <c r="RF189" i="41"/>
  <c r="RN189" i="41"/>
  <c r="RV189" i="41"/>
  <c r="SD189" i="41"/>
  <c r="SM189" i="41"/>
  <c r="SU189" i="41"/>
  <c r="TC189" i="41"/>
  <c r="TK189" i="41"/>
  <c r="TS189" i="41"/>
  <c r="PY190" i="41"/>
  <c r="QG190" i="41"/>
  <c r="QO190" i="41"/>
  <c r="QW190" i="41"/>
  <c r="RF190" i="41"/>
  <c r="RN190" i="41"/>
  <c r="RV190" i="41"/>
  <c r="SD190" i="41"/>
  <c r="SM190" i="41"/>
  <c r="SU190" i="41"/>
  <c r="TC190" i="41"/>
  <c r="TK190" i="41"/>
  <c r="TS190" i="41"/>
  <c r="QG86" i="41"/>
  <c r="QO86" i="41"/>
  <c r="QW86" i="41"/>
  <c r="RF86" i="41"/>
  <c r="RN86" i="41"/>
  <c r="RV86" i="41"/>
  <c r="SD86" i="41"/>
  <c r="SM86" i="41"/>
  <c r="SU86" i="41"/>
  <c r="TC86" i="41"/>
  <c r="TK86" i="41"/>
  <c r="TS86" i="41"/>
  <c r="QG87" i="41"/>
  <c r="QO87" i="41"/>
  <c r="QW87" i="41"/>
  <c r="RF87" i="41"/>
  <c r="RN87" i="41"/>
  <c r="RV87" i="41"/>
  <c r="SD87" i="41"/>
  <c r="SM87" i="41"/>
  <c r="SU87" i="41"/>
  <c r="TC87" i="41"/>
  <c r="TK87" i="41"/>
  <c r="TS87" i="41"/>
  <c r="QG88" i="41"/>
  <c r="QO88" i="41"/>
  <c r="QW88" i="41"/>
  <c r="RF88" i="41"/>
  <c r="RN88" i="41"/>
  <c r="RV88" i="41"/>
  <c r="SD88" i="41"/>
  <c r="SM88" i="41"/>
  <c r="SU88" i="41"/>
  <c r="TC88" i="41"/>
  <c r="TK88" i="41"/>
  <c r="TS88" i="41"/>
  <c r="QG89" i="41"/>
  <c r="QO89" i="41"/>
  <c r="QW89" i="41"/>
  <c r="RF89" i="41"/>
  <c r="RN89" i="41"/>
  <c r="RV89" i="41"/>
  <c r="SD89" i="41"/>
  <c r="SM89" i="41"/>
  <c r="SU89" i="41"/>
  <c r="TC89" i="41"/>
  <c r="TK89" i="41"/>
  <c r="TS89" i="41"/>
  <c r="QG90" i="41"/>
  <c r="QO90" i="41"/>
  <c r="QW90" i="41"/>
  <c r="RF90" i="41"/>
  <c r="RN90" i="41"/>
  <c r="RV90" i="41"/>
  <c r="SD90" i="41"/>
  <c r="SM90" i="41"/>
  <c r="SU90" i="41"/>
  <c r="TC90" i="41"/>
  <c r="TK90" i="41"/>
  <c r="TS90" i="41"/>
  <c r="QG91" i="41"/>
  <c r="QO91" i="41"/>
  <c r="QW91" i="41"/>
  <c r="RF91" i="41"/>
  <c r="RN91" i="41"/>
  <c r="RV91" i="41"/>
  <c r="SD91" i="41"/>
  <c r="SM91" i="41"/>
  <c r="SU91" i="41"/>
  <c r="TC91" i="41"/>
  <c r="TK91" i="41"/>
  <c r="TS91" i="41"/>
  <c r="QG92" i="41"/>
  <c r="QO92" i="41"/>
  <c r="QW92" i="41"/>
  <c r="RF92" i="41"/>
  <c r="RN92" i="41"/>
  <c r="RV92" i="41"/>
  <c r="SD92" i="41"/>
  <c r="SM92" i="41"/>
  <c r="SU92" i="41"/>
  <c r="TC92" i="41"/>
  <c r="TK92" i="41"/>
  <c r="TS92" i="41"/>
  <c r="QG93" i="41"/>
  <c r="QO93" i="41"/>
  <c r="QW93" i="41"/>
  <c r="RF93" i="41"/>
  <c r="RN93" i="41"/>
  <c r="RV93" i="41"/>
  <c r="SD93" i="41"/>
  <c r="SM93" i="41"/>
  <c r="SU93" i="41"/>
  <c r="TC93" i="41"/>
  <c r="TK93" i="41"/>
  <c r="TS93" i="41"/>
  <c r="QG94" i="41"/>
  <c r="QO94" i="41"/>
  <c r="QW94" i="41"/>
  <c r="RF94" i="41"/>
  <c r="RN94" i="41"/>
  <c r="RV94" i="41"/>
  <c r="SD94" i="41"/>
  <c r="SM94" i="41"/>
  <c r="SU94" i="41"/>
  <c r="TC94" i="41"/>
  <c r="TK94" i="41"/>
  <c r="TS94" i="41"/>
  <c r="QG95" i="41"/>
  <c r="QO95" i="41"/>
  <c r="QW95" i="41"/>
  <c r="RF95" i="41"/>
  <c r="RN95" i="41"/>
  <c r="RV95" i="41"/>
  <c r="SD95" i="41"/>
  <c r="SM95" i="41"/>
  <c r="SU95" i="41"/>
  <c r="TC95" i="41"/>
  <c r="TK95" i="41"/>
  <c r="TS95" i="41"/>
  <c r="QG96" i="41"/>
  <c r="QO96" i="41"/>
  <c r="QW96" i="41"/>
  <c r="RF96" i="41"/>
  <c r="RN96" i="41"/>
  <c r="RV96" i="41"/>
  <c r="SD96" i="41"/>
  <c r="SM96" i="41"/>
  <c r="SU96" i="41"/>
  <c r="TC96" i="41"/>
  <c r="TK96" i="41"/>
  <c r="TS96" i="41"/>
  <c r="QG97" i="41"/>
  <c r="QO97" i="41"/>
  <c r="QW97" i="41"/>
  <c r="RF97" i="41"/>
  <c r="RN97" i="41"/>
  <c r="RV97" i="41"/>
  <c r="SD97" i="41"/>
  <c r="SM97" i="41"/>
  <c r="SU97" i="41"/>
  <c r="TC97" i="41"/>
  <c r="TK97" i="41"/>
  <c r="TS97" i="41"/>
  <c r="QG98" i="41"/>
  <c r="QO98" i="41"/>
  <c r="QW98" i="41"/>
  <c r="RF98" i="41"/>
  <c r="RN98" i="41"/>
  <c r="RV98" i="41"/>
  <c r="SD98" i="41"/>
  <c r="SM98" i="41"/>
  <c r="SU98" i="41"/>
  <c r="TC98" i="41"/>
  <c r="TK98" i="41"/>
  <c r="TS98" i="41"/>
  <c r="QG99" i="41"/>
  <c r="QO99" i="41"/>
  <c r="QW99" i="41"/>
  <c r="RF99" i="41"/>
  <c r="RN99" i="41"/>
  <c r="RV99" i="41"/>
  <c r="SD99" i="41"/>
  <c r="SM99" i="41"/>
  <c r="SU99" i="41"/>
  <c r="TC99" i="41"/>
  <c r="TK99" i="41"/>
  <c r="TS99" i="41"/>
  <c r="QG100" i="41"/>
  <c r="QO100" i="41"/>
  <c r="QW100" i="41"/>
  <c r="RF100" i="41"/>
  <c r="RN100" i="41"/>
  <c r="RV100" i="41"/>
  <c r="SD100" i="41"/>
  <c r="SM100" i="41"/>
  <c r="SU100" i="41"/>
  <c r="TC100" i="41"/>
  <c r="TK100" i="41"/>
  <c r="TS100" i="41"/>
  <c r="QG102" i="41"/>
  <c r="QO102" i="41"/>
  <c r="QW102" i="41"/>
  <c r="RF102" i="41"/>
  <c r="RN102" i="41"/>
  <c r="RV102" i="41"/>
  <c r="SD102" i="41"/>
  <c r="SM102" i="41"/>
  <c r="SU102" i="41"/>
  <c r="TC102" i="41"/>
  <c r="TK102" i="41"/>
  <c r="TS102" i="41"/>
  <c r="QG103" i="41"/>
  <c r="QO103" i="41"/>
  <c r="QW103" i="41"/>
  <c r="RF103" i="41"/>
  <c r="RN103" i="41"/>
  <c r="RV103" i="41"/>
  <c r="SD103" i="41"/>
  <c r="SM103" i="41"/>
  <c r="SU103" i="41"/>
  <c r="TC103" i="41"/>
  <c r="TK103" i="41"/>
  <c r="TS103" i="41"/>
  <c r="QG104" i="41"/>
  <c r="QO104" i="41"/>
  <c r="QW104" i="41"/>
  <c r="RF104" i="41"/>
  <c r="RN104" i="41"/>
  <c r="RV104" i="41"/>
  <c r="SD104" i="41"/>
  <c r="SM104" i="41"/>
  <c r="TC104" i="41"/>
  <c r="TK104" i="41"/>
  <c r="TS104" i="41"/>
  <c r="QG105" i="41"/>
  <c r="QO105" i="41"/>
  <c r="QW105" i="41"/>
  <c r="RF105" i="41"/>
  <c r="RN105" i="41"/>
  <c r="RV105" i="41"/>
  <c r="SD105" i="41"/>
  <c r="SM105" i="41"/>
  <c r="TC105" i="41"/>
  <c r="TK105" i="41"/>
  <c r="TS105" i="41"/>
  <c r="QG106" i="41"/>
  <c r="QO106" i="41"/>
  <c r="QW106" i="41"/>
  <c r="RF106" i="41"/>
  <c r="RN106" i="41"/>
  <c r="RV106" i="41"/>
  <c r="SD106" i="41"/>
  <c r="SM106" i="41"/>
  <c r="SU106" i="41"/>
  <c r="TC106" i="41"/>
  <c r="TK106" i="41"/>
  <c r="TS106" i="41"/>
  <c r="QG107" i="41"/>
  <c r="QO107" i="41"/>
  <c r="QW107" i="41"/>
  <c r="RF107" i="41"/>
  <c r="RN107" i="41"/>
  <c r="RV107" i="41"/>
  <c r="SD107" i="41"/>
  <c r="SM107" i="41"/>
  <c r="SU107" i="41"/>
  <c r="TC107" i="41"/>
  <c r="TK107" i="41"/>
  <c r="TS107" i="41"/>
  <c r="QG108" i="41"/>
  <c r="QO108" i="41"/>
  <c r="QW108" i="41"/>
  <c r="RF108" i="41"/>
  <c r="RN108" i="41"/>
  <c r="RV108" i="41"/>
  <c r="SD108" i="41"/>
  <c r="SM108" i="41"/>
  <c r="SU108" i="41"/>
  <c r="TC108" i="41"/>
  <c r="TK108" i="41"/>
  <c r="TS108" i="41"/>
  <c r="QG109" i="41"/>
  <c r="QO109" i="41"/>
  <c r="QW109" i="41"/>
  <c r="RF109" i="41"/>
  <c r="RN109" i="41"/>
  <c r="RV109" i="41"/>
  <c r="SD109" i="41"/>
  <c r="SM109" i="41"/>
  <c r="SU109" i="41"/>
  <c r="TC109" i="41"/>
  <c r="TK109" i="41"/>
  <c r="TS109" i="41"/>
  <c r="QG111" i="41"/>
  <c r="QO111" i="41"/>
  <c r="QW111" i="41"/>
  <c r="RF111" i="41"/>
  <c r="RN111" i="41"/>
  <c r="RV111" i="41"/>
  <c r="SD111" i="41"/>
  <c r="SM111" i="41"/>
  <c r="SU111" i="41"/>
  <c r="TC111" i="41"/>
  <c r="TK111" i="41"/>
  <c r="TS111" i="41"/>
  <c r="QG112" i="41"/>
  <c r="QO112" i="41"/>
  <c r="QW112" i="41"/>
  <c r="RF112" i="41"/>
  <c r="RN112" i="41"/>
  <c r="RV112" i="41"/>
  <c r="SD112" i="41"/>
  <c r="SM112" i="41"/>
  <c r="SU112" i="41"/>
  <c r="TC112" i="41"/>
  <c r="TK112" i="41"/>
  <c r="TS112" i="41"/>
  <c r="QG113" i="41"/>
  <c r="QO113" i="41"/>
  <c r="QW113" i="41"/>
  <c r="RF113" i="41"/>
  <c r="RN113" i="41"/>
  <c r="RV113" i="41"/>
  <c r="SD113" i="41"/>
  <c r="SM113" i="41"/>
  <c r="SU113" i="41"/>
  <c r="TC113" i="41"/>
  <c r="TK113" i="41"/>
  <c r="TS113" i="41"/>
  <c r="QG114" i="41"/>
  <c r="QO114" i="41"/>
  <c r="QW114" i="41"/>
  <c r="RF114" i="41"/>
  <c r="RN114" i="41"/>
  <c r="RV114" i="41"/>
  <c r="SD114" i="41"/>
  <c r="SM114" i="41"/>
  <c r="SU114" i="41"/>
  <c r="TC114" i="41"/>
  <c r="TK114" i="41"/>
  <c r="TS114" i="41"/>
  <c r="QG115" i="41"/>
  <c r="QO115" i="41"/>
  <c r="QW115" i="41"/>
  <c r="RF115" i="41"/>
  <c r="RN115" i="41"/>
  <c r="RV115" i="41"/>
  <c r="SD115" i="41"/>
  <c r="SM115" i="41"/>
  <c r="SU115" i="41"/>
  <c r="TC115" i="41"/>
  <c r="TK115" i="41"/>
  <c r="TS115" i="41"/>
  <c r="QG116" i="41"/>
  <c r="QO116" i="41"/>
  <c r="QW116" i="41"/>
  <c r="RF116" i="41"/>
  <c r="RN116" i="41"/>
  <c r="RV116" i="41"/>
  <c r="SD116" i="41"/>
  <c r="SM116" i="41"/>
  <c r="SU116" i="41"/>
  <c r="TC116" i="41"/>
  <c r="TK116" i="41"/>
  <c r="TS116" i="41"/>
  <c r="QG117" i="41"/>
  <c r="QO117" i="41"/>
  <c r="QW117" i="41"/>
  <c r="RF117" i="41"/>
  <c r="RN117" i="41"/>
  <c r="RV117" i="41"/>
  <c r="SD117" i="41"/>
  <c r="SM117" i="41"/>
  <c r="SU117" i="41"/>
  <c r="TC117" i="41"/>
  <c r="TK117" i="41"/>
  <c r="TS117" i="41"/>
  <c r="QG118" i="41"/>
  <c r="QO118" i="41"/>
  <c r="QW118" i="41"/>
  <c r="RF118" i="41"/>
  <c r="RN118" i="41"/>
  <c r="RV118" i="41"/>
  <c r="SD118" i="41"/>
  <c r="SM118" i="41"/>
  <c r="SU118" i="41"/>
  <c r="TC118" i="41"/>
  <c r="TK118" i="41"/>
  <c r="TS118" i="41"/>
  <c r="QG119" i="41"/>
  <c r="QO119" i="41"/>
  <c r="QW119" i="41"/>
  <c r="RF119" i="41"/>
  <c r="RN119" i="41"/>
  <c r="RV119" i="41"/>
  <c r="SD119" i="41"/>
  <c r="SM119" i="41"/>
  <c r="SU119" i="41"/>
  <c r="TC119" i="41"/>
  <c r="TK119" i="41"/>
  <c r="TS119" i="41"/>
  <c r="TS124" i="41"/>
  <c r="TK124" i="41"/>
  <c r="TC124" i="41"/>
  <c r="SU124" i="41"/>
  <c r="SM124" i="41"/>
  <c r="SD124" i="41"/>
  <c r="RV124" i="41"/>
  <c r="RN124" i="41"/>
  <c r="RF124" i="41"/>
  <c r="QW124" i="41"/>
  <c r="QO124" i="41"/>
  <c r="QG124" i="41"/>
  <c r="PY124" i="41"/>
  <c r="TK85" i="41"/>
  <c r="TC85" i="41"/>
  <c r="SU85" i="41"/>
  <c r="SM85" i="41"/>
  <c r="SD85" i="41"/>
  <c r="RV85" i="41"/>
  <c r="RN85" i="41"/>
  <c r="RF85" i="41"/>
  <c r="QW85" i="41"/>
  <c r="QO85" i="41"/>
  <c r="QG85" i="41"/>
  <c r="PY85" i="41"/>
  <c r="PR82" i="41"/>
  <c r="PS82" i="41"/>
  <c r="PT82" i="41"/>
  <c r="PU82" i="41"/>
  <c r="PV82" i="41"/>
  <c r="PW82" i="41"/>
  <c r="PX82" i="41"/>
  <c r="PZ82" i="41"/>
  <c r="QA82" i="41"/>
  <c r="QB82" i="41"/>
  <c r="QC82" i="41"/>
  <c r="QD82" i="41"/>
  <c r="QE82" i="41"/>
  <c r="QF82" i="41"/>
  <c r="QH82" i="41"/>
  <c r="QI82" i="41"/>
  <c r="QJ82" i="41"/>
  <c r="QK82" i="41"/>
  <c r="QL82" i="41"/>
  <c r="QM82" i="41"/>
  <c r="QN82" i="41"/>
  <c r="QP82" i="41"/>
  <c r="QQ82" i="41"/>
  <c r="QR82" i="41"/>
  <c r="QS82" i="41"/>
  <c r="QT82" i="41"/>
  <c r="QU82" i="41"/>
  <c r="QV82" i="41"/>
  <c r="QY82" i="41"/>
  <c r="QZ82" i="41"/>
  <c r="RA82" i="41"/>
  <c r="RB82" i="41"/>
  <c r="RC82" i="41"/>
  <c r="RD82" i="41"/>
  <c r="RE82" i="41"/>
  <c r="RG82" i="41"/>
  <c r="RH82" i="41"/>
  <c r="RI82" i="41"/>
  <c r="RJ82" i="41"/>
  <c r="RK82" i="41"/>
  <c r="RL82" i="41"/>
  <c r="RM82" i="41"/>
  <c r="RO82" i="41"/>
  <c r="RP82" i="41"/>
  <c r="RQ82" i="41"/>
  <c r="RR82" i="41"/>
  <c r="RS82" i="41"/>
  <c r="RT82" i="41"/>
  <c r="RU82" i="41"/>
  <c r="RW82" i="41"/>
  <c r="RX82" i="41"/>
  <c r="RY82" i="41"/>
  <c r="RZ82" i="41"/>
  <c r="SA82" i="41"/>
  <c r="SB82" i="41"/>
  <c r="SC82" i="41"/>
  <c r="SF82" i="41"/>
  <c r="SG82" i="41"/>
  <c r="SH82" i="41"/>
  <c r="SI82" i="41"/>
  <c r="SJ82" i="41"/>
  <c r="SK82" i="41"/>
  <c r="SL82" i="41"/>
  <c r="SN82" i="41"/>
  <c r="SO82" i="41"/>
  <c r="SP82" i="41"/>
  <c r="SQ82" i="41"/>
  <c r="SR82" i="41"/>
  <c r="TA82" i="41"/>
  <c r="TB82" i="41"/>
  <c r="TD82" i="41"/>
  <c r="TE82" i="41"/>
  <c r="TF82" i="41"/>
  <c r="TG82" i="41"/>
  <c r="TH82" i="41"/>
  <c r="TI82" i="41"/>
  <c r="TJ82" i="41"/>
  <c r="TL82" i="41"/>
  <c r="TM82" i="41"/>
  <c r="TN82" i="41"/>
  <c r="TO82" i="41"/>
  <c r="TP82" i="41"/>
  <c r="TQ82" i="41"/>
  <c r="TR82" i="41"/>
  <c r="PY4" i="41"/>
  <c r="QG4" i="41"/>
  <c r="QO4" i="41"/>
  <c r="QW4" i="41"/>
  <c r="RF4" i="41"/>
  <c r="RN4" i="41"/>
  <c r="RV4" i="41"/>
  <c r="SD4" i="41"/>
  <c r="SM4" i="41"/>
  <c r="SU4" i="41"/>
  <c r="TK4" i="41"/>
  <c r="TS4" i="41"/>
  <c r="PY5" i="41"/>
  <c r="QG5" i="41"/>
  <c r="QO5" i="41"/>
  <c r="QW5" i="41"/>
  <c r="RF5" i="41"/>
  <c r="RN5" i="41"/>
  <c r="RV5" i="41"/>
  <c r="SD5" i="41"/>
  <c r="SM5" i="41"/>
  <c r="SU5" i="41"/>
  <c r="TK5" i="41"/>
  <c r="TS5" i="41"/>
  <c r="PY6" i="41"/>
  <c r="QG6" i="41"/>
  <c r="QO6" i="41"/>
  <c r="QW6" i="41"/>
  <c r="RF6" i="41"/>
  <c r="RN6" i="41"/>
  <c r="RV6" i="41"/>
  <c r="SD6" i="41"/>
  <c r="SM6" i="41"/>
  <c r="SU6" i="41"/>
  <c r="TK6" i="41"/>
  <c r="TS6" i="41"/>
  <c r="PY7" i="41"/>
  <c r="QG7" i="41"/>
  <c r="QO7" i="41"/>
  <c r="QW7" i="41"/>
  <c r="RF7" i="41"/>
  <c r="RN7" i="41"/>
  <c r="RV7" i="41"/>
  <c r="SD7" i="41"/>
  <c r="SM7" i="41"/>
  <c r="SU7" i="41"/>
  <c r="TK7" i="41"/>
  <c r="TS7" i="41"/>
  <c r="PY8" i="41"/>
  <c r="QG8" i="41"/>
  <c r="QO8" i="41"/>
  <c r="QW8" i="41"/>
  <c r="RF8" i="41"/>
  <c r="RN8" i="41"/>
  <c r="RV8" i="41"/>
  <c r="SD8" i="41"/>
  <c r="SM8" i="41"/>
  <c r="SU8" i="41"/>
  <c r="TK8" i="41"/>
  <c r="TS8" i="41"/>
  <c r="PY9" i="41"/>
  <c r="QG9" i="41"/>
  <c r="QO9" i="41"/>
  <c r="QW9" i="41"/>
  <c r="RF9" i="41"/>
  <c r="RN9" i="41"/>
  <c r="RV9" i="41"/>
  <c r="SD9" i="41"/>
  <c r="SM9" i="41"/>
  <c r="SU9" i="41"/>
  <c r="TK9" i="41"/>
  <c r="TS9" i="41"/>
  <c r="PY10" i="41"/>
  <c r="QG10" i="41"/>
  <c r="QO10" i="41"/>
  <c r="QW10" i="41"/>
  <c r="RF10" i="41"/>
  <c r="RN10" i="41"/>
  <c r="RV10" i="41"/>
  <c r="SD10" i="41"/>
  <c r="SM10" i="41"/>
  <c r="SU10" i="41"/>
  <c r="TK10" i="41"/>
  <c r="TS10" i="41"/>
  <c r="PY11" i="41"/>
  <c r="QG11" i="41"/>
  <c r="QO11" i="41"/>
  <c r="QW11" i="41"/>
  <c r="RF11" i="41"/>
  <c r="RN11" i="41"/>
  <c r="RV11" i="41"/>
  <c r="SD11" i="41"/>
  <c r="SM11" i="41"/>
  <c r="SU11" i="41"/>
  <c r="TK11" i="41"/>
  <c r="TS11" i="41"/>
  <c r="PY12" i="41"/>
  <c r="QG12" i="41"/>
  <c r="QO12" i="41"/>
  <c r="QW12" i="41"/>
  <c r="RF12" i="41"/>
  <c r="RN12" i="41"/>
  <c r="RV12" i="41"/>
  <c r="SD12" i="41"/>
  <c r="SM12" i="41"/>
  <c r="SU12" i="41"/>
  <c r="TK12" i="41"/>
  <c r="TS12" i="41"/>
  <c r="PY13" i="41"/>
  <c r="QG13" i="41"/>
  <c r="QO13" i="41"/>
  <c r="QW13" i="41"/>
  <c r="RF13" i="41"/>
  <c r="RN13" i="41"/>
  <c r="RV13" i="41"/>
  <c r="SD13" i="41"/>
  <c r="SM13" i="41"/>
  <c r="SU13" i="41"/>
  <c r="TK13" i="41"/>
  <c r="TS13" i="41"/>
  <c r="PY14" i="41"/>
  <c r="QG14" i="41"/>
  <c r="QO14" i="41"/>
  <c r="QW14" i="41"/>
  <c r="RF14" i="41"/>
  <c r="RN14" i="41"/>
  <c r="RV14" i="41"/>
  <c r="SD14" i="41"/>
  <c r="SM14" i="41"/>
  <c r="SU14" i="41"/>
  <c r="TK14" i="41"/>
  <c r="TS14" i="41"/>
  <c r="PY15" i="41"/>
  <c r="QG15" i="41"/>
  <c r="QO15" i="41"/>
  <c r="QW15" i="41"/>
  <c r="RF15" i="41"/>
  <c r="RN15" i="41"/>
  <c r="RV15" i="41"/>
  <c r="SD15" i="41"/>
  <c r="SM15" i="41"/>
  <c r="SU15" i="41"/>
  <c r="TK15" i="41"/>
  <c r="TS15" i="41"/>
  <c r="PY16" i="41"/>
  <c r="QG16" i="41"/>
  <c r="QO16" i="41"/>
  <c r="QW16" i="41"/>
  <c r="RF16" i="41"/>
  <c r="RN16" i="41"/>
  <c r="RV16" i="41"/>
  <c r="SD16" i="41"/>
  <c r="SM16" i="41"/>
  <c r="SU16" i="41"/>
  <c r="TK16" i="41"/>
  <c r="TS16" i="41"/>
  <c r="PY17" i="41"/>
  <c r="QG17" i="41"/>
  <c r="QO17" i="41"/>
  <c r="QW17" i="41"/>
  <c r="RF17" i="41"/>
  <c r="RN17" i="41"/>
  <c r="RV17" i="41"/>
  <c r="SD17" i="41"/>
  <c r="SM17" i="41"/>
  <c r="SU17" i="41"/>
  <c r="TK17" i="41"/>
  <c r="TS17" i="41"/>
  <c r="PY18" i="41"/>
  <c r="QG18" i="41"/>
  <c r="QO18" i="41"/>
  <c r="QW18" i="41"/>
  <c r="RF18" i="41"/>
  <c r="RN18" i="41"/>
  <c r="RV18" i="41"/>
  <c r="SD18" i="41"/>
  <c r="SM18" i="41"/>
  <c r="SU18" i="41"/>
  <c r="TK18" i="41"/>
  <c r="TS18" i="41"/>
  <c r="PY19" i="41"/>
  <c r="QG19" i="41"/>
  <c r="QO19" i="41"/>
  <c r="QW19" i="41"/>
  <c r="RF19" i="41"/>
  <c r="RN19" i="41"/>
  <c r="RV19" i="41"/>
  <c r="SD19" i="41"/>
  <c r="SM19" i="41"/>
  <c r="SU19" i="41"/>
  <c r="TK19" i="41"/>
  <c r="TS19" i="41"/>
  <c r="PY20" i="41"/>
  <c r="QG20" i="41"/>
  <c r="QO20" i="41"/>
  <c r="QW20" i="41"/>
  <c r="RF20" i="41"/>
  <c r="RN20" i="41"/>
  <c r="RV20" i="41"/>
  <c r="SD20" i="41"/>
  <c r="SM20" i="41"/>
  <c r="SU20" i="41"/>
  <c r="TK20" i="41"/>
  <c r="TS20" i="41"/>
  <c r="PY21" i="41"/>
  <c r="QG21" i="41"/>
  <c r="QO21" i="41"/>
  <c r="QW21" i="41"/>
  <c r="RF21" i="41"/>
  <c r="RN21" i="41"/>
  <c r="RV21" i="41"/>
  <c r="SD21" i="41"/>
  <c r="SM21" i="41"/>
  <c r="SU21" i="41"/>
  <c r="TK21" i="41"/>
  <c r="TS21" i="41"/>
  <c r="PY22" i="41"/>
  <c r="QG22" i="41"/>
  <c r="QO22" i="41"/>
  <c r="QW22" i="41"/>
  <c r="RF22" i="41"/>
  <c r="RN22" i="41"/>
  <c r="RV22" i="41"/>
  <c r="SD22" i="41"/>
  <c r="SM22" i="41"/>
  <c r="SU22" i="41"/>
  <c r="TK22" i="41"/>
  <c r="TS22" i="41"/>
  <c r="PY23" i="41"/>
  <c r="QG23" i="41"/>
  <c r="QO23" i="41"/>
  <c r="QW23" i="41"/>
  <c r="RF23" i="41"/>
  <c r="RN23" i="41"/>
  <c r="RV23" i="41"/>
  <c r="SD23" i="41"/>
  <c r="SM23" i="41"/>
  <c r="SU23" i="41"/>
  <c r="TK23" i="41"/>
  <c r="TS23" i="41"/>
  <c r="PY24" i="41"/>
  <c r="QG24" i="41"/>
  <c r="QO24" i="41"/>
  <c r="QW24" i="41"/>
  <c r="RF24" i="41"/>
  <c r="RN24" i="41"/>
  <c r="RV24" i="41"/>
  <c r="SD24" i="41"/>
  <c r="SM24" i="41"/>
  <c r="SU24" i="41"/>
  <c r="TK24" i="41"/>
  <c r="TS24" i="41"/>
  <c r="PY25" i="41"/>
  <c r="QG25" i="41"/>
  <c r="QO25" i="41"/>
  <c r="QW25" i="41"/>
  <c r="RF25" i="41"/>
  <c r="RN25" i="41"/>
  <c r="RV25" i="41"/>
  <c r="SD25" i="41"/>
  <c r="SM25" i="41"/>
  <c r="SU25" i="41"/>
  <c r="TK25" i="41"/>
  <c r="TS25" i="41"/>
  <c r="PY26" i="41"/>
  <c r="QG26" i="41"/>
  <c r="QO26" i="41"/>
  <c r="QW26" i="41"/>
  <c r="RF26" i="41"/>
  <c r="RN26" i="41"/>
  <c r="RV26" i="41"/>
  <c r="SD26" i="41"/>
  <c r="SM26" i="41"/>
  <c r="SU26" i="41"/>
  <c r="TK26" i="41"/>
  <c r="TS26" i="41"/>
  <c r="PY27" i="41"/>
  <c r="QG27" i="41"/>
  <c r="QO27" i="41"/>
  <c r="QW27" i="41"/>
  <c r="RF27" i="41"/>
  <c r="RN27" i="41"/>
  <c r="RV27" i="41"/>
  <c r="SD27" i="41"/>
  <c r="SM27" i="41"/>
  <c r="SU27" i="41"/>
  <c r="TK27" i="41"/>
  <c r="TS27" i="41"/>
  <c r="PY28" i="41"/>
  <c r="QG28" i="41"/>
  <c r="QO28" i="41"/>
  <c r="QW28" i="41"/>
  <c r="RF28" i="41"/>
  <c r="RN28" i="41"/>
  <c r="RV28" i="41"/>
  <c r="SD28" i="41"/>
  <c r="SM28" i="41"/>
  <c r="SU28" i="41"/>
  <c r="TK28" i="41"/>
  <c r="TS28" i="41"/>
  <c r="PY29" i="41"/>
  <c r="QG29" i="41"/>
  <c r="QO29" i="41"/>
  <c r="QW29" i="41"/>
  <c r="RF29" i="41"/>
  <c r="RN29" i="41"/>
  <c r="RV29" i="41"/>
  <c r="SD29" i="41"/>
  <c r="SM29" i="41"/>
  <c r="SU29" i="41"/>
  <c r="TK29" i="41"/>
  <c r="TS29" i="41"/>
  <c r="PY30" i="41"/>
  <c r="QG30" i="41"/>
  <c r="QO30" i="41"/>
  <c r="QW30" i="41"/>
  <c r="RF30" i="41"/>
  <c r="RN30" i="41"/>
  <c r="RV30" i="41"/>
  <c r="SD30" i="41"/>
  <c r="SM30" i="41"/>
  <c r="SU30" i="41"/>
  <c r="TK30" i="41"/>
  <c r="TS30" i="41"/>
  <c r="PY31" i="41"/>
  <c r="QG31" i="41"/>
  <c r="QO31" i="41"/>
  <c r="QW31" i="41"/>
  <c r="RF31" i="41"/>
  <c r="RN31" i="41"/>
  <c r="RV31" i="41"/>
  <c r="SD31" i="41"/>
  <c r="SM31" i="41"/>
  <c r="SU31" i="41"/>
  <c r="TK31" i="41"/>
  <c r="TS31" i="41"/>
  <c r="PY32" i="41"/>
  <c r="QG32" i="41"/>
  <c r="QO32" i="41"/>
  <c r="QW32" i="41"/>
  <c r="RF32" i="41"/>
  <c r="RN32" i="41"/>
  <c r="RV32" i="41"/>
  <c r="SD32" i="41"/>
  <c r="SM32" i="41"/>
  <c r="SU32" i="41"/>
  <c r="TK32" i="41"/>
  <c r="TS32" i="41"/>
  <c r="PY33" i="41"/>
  <c r="QG33" i="41"/>
  <c r="QO33" i="41"/>
  <c r="QW33" i="41"/>
  <c r="RF33" i="41"/>
  <c r="RN33" i="41"/>
  <c r="RV33" i="41"/>
  <c r="SD33" i="41"/>
  <c r="SM33" i="41"/>
  <c r="SU33" i="41"/>
  <c r="TK33" i="41"/>
  <c r="TS33" i="41"/>
  <c r="PY34" i="41"/>
  <c r="QG34" i="41"/>
  <c r="QO34" i="41"/>
  <c r="QW34" i="41"/>
  <c r="RF34" i="41"/>
  <c r="RN34" i="41"/>
  <c r="RV34" i="41"/>
  <c r="SD34" i="41"/>
  <c r="SM34" i="41"/>
  <c r="SU34" i="41"/>
  <c r="TK34" i="41"/>
  <c r="TS34" i="41"/>
  <c r="PY35" i="41"/>
  <c r="QG35" i="41"/>
  <c r="QO35" i="41"/>
  <c r="QW35" i="41"/>
  <c r="RF35" i="41"/>
  <c r="RN35" i="41"/>
  <c r="RV35" i="41"/>
  <c r="SD35" i="41"/>
  <c r="SM35" i="41"/>
  <c r="SU35" i="41"/>
  <c r="TK35" i="41"/>
  <c r="TS35" i="41"/>
  <c r="PY36" i="41"/>
  <c r="QG36" i="41"/>
  <c r="QO36" i="41"/>
  <c r="QW36" i="41"/>
  <c r="RF36" i="41"/>
  <c r="RN36" i="41"/>
  <c r="RV36" i="41"/>
  <c r="SD36" i="41"/>
  <c r="SM36" i="41"/>
  <c r="SU36" i="41"/>
  <c r="TK36" i="41"/>
  <c r="TS36" i="41"/>
  <c r="PY37" i="41"/>
  <c r="QG37" i="41"/>
  <c r="QO37" i="41"/>
  <c r="QW37" i="41"/>
  <c r="RF37" i="41"/>
  <c r="RN37" i="41"/>
  <c r="RV37" i="41"/>
  <c r="SD37" i="41"/>
  <c r="SM37" i="41"/>
  <c r="SU37" i="41"/>
  <c r="TK37" i="41"/>
  <c r="TS37" i="41"/>
  <c r="PY38" i="41"/>
  <c r="QG38" i="41"/>
  <c r="QO38" i="41"/>
  <c r="QW38" i="41"/>
  <c r="RF38" i="41"/>
  <c r="RN38" i="41"/>
  <c r="RV38" i="41"/>
  <c r="SD38" i="41"/>
  <c r="SM38" i="41"/>
  <c r="SU38" i="41"/>
  <c r="TK38" i="41"/>
  <c r="TS38" i="41"/>
  <c r="PY39" i="41"/>
  <c r="QG39" i="41"/>
  <c r="QO39" i="41"/>
  <c r="QW39" i="41"/>
  <c r="RF39" i="41"/>
  <c r="RN39" i="41"/>
  <c r="RV39" i="41"/>
  <c r="SD39" i="41"/>
  <c r="SM39" i="41"/>
  <c r="SU39" i="41"/>
  <c r="TK39" i="41"/>
  <c r="TS39" i="41"/>
  <c r="PY40" i="41"/>
  <c r="QG40" i="41"/>
  <c r="QO40" i="41"/>
  <c r="QW40" i="41"/>
  <c r="RF40" i="41"/>
  <c r="RN40" i="41"/>
  <c r="RV40" i="41"/>
  <c r="SD40" i="41"/>
  <c r="SM40" i="41"/>
  <c r="SU40" i="41"/>
  <c r="TK40" i="41"/>
  <c r="TS40" i="41"/>
  <c r="PY41" i="41"/>
  <c r="QG41" i="41"/>
  <c r="QO41" i="41"/>
  <c r="QW41" i="41"/>
  <c r="RF41" i="41"/>
  <c r="RN41" i="41"/>
  <c r="RV41" i="41"/>
  <c r="SD41" i="41"/>
  <c r="SM41" i="41"/>
  <c r="SU41" i="41"/>
  <c r="TK41" i="41"/>
  <c r="TS41" i="41"/>
  <c r="PY42" i="41"/>
  <c r="QG42" i="41"/>
  <c r="QO42" i="41"/>
  <c r="QW42" i="41"/>
  <c r="RF42" i="41"/>
  <c r="RN42" i="41"/>
  <c r="RV42" i="41"/>
  <c r="SD42" i="41"/>
  <c r="SM42" i="41"/>
  <c r="SU42" i="41"/>
  <c r="TK42" i="41"/>
  <c r="TS42" i="41"/>
  <c r="PY43" i="41"/>
  <c r="QG43" i="41"/>
  <c r="QO43" i="41"/>
  <c r="QW43" i="41"/>
  <c r="RF43" i="41"/>
  <c r="RN43" i="41"/>
  <c r="RV43" i="41"/>
  <c r="SD43" i="41"/>
  <c r="SM43" i="41"/>
  <c r="SU43" i="41"/>
  <c r="TK43" i="41"/>
  <c r="TS43" i="41"/>
  <c r="PY44" i="41"/>
  <c r="QG44" i="41"/>
  <c r="QO44" i="41"/>
  <c r="QW44" i="41"/>
  <c r="RF44" i="41"/>
  <c r="RN44" i="41"/>
  <c r="RV44" i="41"/>
  <c r="SD44" i="41"/>
  <c r="SM44" i="41"/>
  <c r="SU44" i="41"/>
  <c r="TK44" i="41"/>
  <c r="TS44" i="41"/>
  <c r="PY45" i="41"/>
  <c r="QG45" i="41"/>
  <c r="QO45" i="41"/>
  <c r="QW45" i="41"/>
  <c r="RF45" i="41"/>
  <c r="RN45" i="41"/>
  <c r="RV45" i="41"/>
  <c r="SD45" i="41"/>
  <c r="SM45" i="41"/>
  <c r="SU45" i="41"/>
  <c r="TK45" i="41"/>
  <c r="TS45" i="41"/>
  <c r="PY46" i="41"/>
  <c r="QG46" i="41"/>
  <c r="QO46" i="41"/>
  <c r="RF46" i="41"/>
  <c r="RN46" i="41"/>
  <c r="RV46" i="41"/>
  <c r="SD46" i="41"/>
  <c r="SM46" i="41"/>
  <c r="SU46" i="41"/>
  <c r="TK46" i="41"/>
  <c r="TS46" i="41"/>
  <c r="PY47" i="41"/>
  <c r="QG47" i="41"/>
  <c r="QO47" i="41"/>
  <c r="RF47" i="41"/>
  <c r="RN47" i="41"/>
  <c r="RV47" i="41"/>
  <c r="SD47" i="41"/>
  <c r="SM47" i="41"/>
  <c r="SU47" i="41"/>
  <c r="TK47" i="41"/>
  <c r="TS47" i="41"/>
  <c r="PY48" i="41"/>
  <c r="QG48" i="41"/>
  <c r="QO48" i="41"/>
  <c r="RF48" i="41"/>
  <c r="RN48" i="41"/>
  <c r="RV48" i="41"/>
  <c r="SD48" i="41"/>
  <c r="SM48" i="41"/>
  <c r="SU48" i="41"/>
  <c r="TK48" i="41"/>
  <c r="TS48" i="41"/>
  <c r="PY49" i="41"/>
  <c r="QG49" i="41"/>
  <c r="QO49" i="41"/>
  <c r="RF49" i="41"/>
  <c r="RN49" i="41"/>
  <c r="RV49" i="41"/>
  <c r="SD49" i="41"/>
  <c r="SM49" i="41"/>
  <c r="SU49" i="41"/>
  <c r="TK49" i="41"/>
  <c r="TS49" i="41"/>
  <c r="PY50" i="41"/>
  <c r="QG50" i="41"/>
  <c r="QO50" i="41"/>
  <c r="RF50" i="41"/>
  <c r="RN50" i="41"/>
  <c r="RV50" i="41"/>
  <c r="SD50" i="41"/>
  <c r="SM50" i="41"/>
  <c r="SU50" i="41"/>
  <c r="TK50" i="41"/>
  <c r="TS50" i="41"/>
  <c r="PY51" i="41"/>
  <c r="QG51" i="41"/>
  <c r="QO51" i="41"/>
  <c r="RF51" i="41"/>
  <c r="RN51" i="41"/>
  <c r="RV51" i="41"/>
  <c r="SD51" i="41"/>
  <c r="SM51" i="41"/>
  <c r="SU51" i="41"/>
  <c r="TK51" i="41"/>
  <c r="TS51" i="41"/>
  <c r="PY52" i="41"/>
  <c r="QG52" i="41"/>
  <c r="QO52" i="41"/>
  <c r="RF52" i="41"/>
  <c r="RN52" i="41"/>
  <c r="RV52" i="41"/>
  <c r="SD52" i="41"/>
  <c r="SM52" i="41"/>
  <c r="SU52" i="41"/>
  <c r="TK52" i="41"/>
  <c r="TS52" i="41"/>
  <c r="PY53" i="41"/>
  <c r="QG53" i="41"/>
  <c r="QO53" i="41"/>
  <c r="RF53" i="41"/>
  <c r="RN53" i="41"/>
  <c r="RV53" i="41"/>
  <c r="SD53" i="41"/>
  <c r="SM53" i="41"/>
  <c r="SU53" i="41"/>
  <c r="TK53" i="41"/>
  <c r="TS53" i="41"/>
  <c r="PY54" i="41"/>
  <c r="QG54" i="41"/>
  <c r="QO54" i="41"/>
  <c r="RF54" i="41"/>
  <c r="RN54" i="41"/>
  <c r="RV54" i="41"/>
  <c r="SD54" i="41"/>
  <c r="SM54" i="41"/>
  <c r="SU54" i="41"/>
  <c r="TK54" i="41"/>
  <c r="TS54" i="41"/>
  <c r="PY55" i="41"/>
  <c r="QG55" i="41"/>
  <c r="QO55" i="41"/>
  <c r="RF55" i="41"/>
  <c r="RN55" i="41"/>
  <c r="RV55" i="41"/>
  <c r="SD55" i="41"/>
  <c r="SM55" i="41"/>
  <c r="SU55" i="41"/>
  <c r="TK55" i="41"/>
  <c r="TS55" i="41"/>
  <c r="PY56" i="41"/>
  <c r="QG56" i="41"/>
  <c r="QO56" i="41"/>
  <c r="RF56" i="41"/>
  <c r="RN56" i="41"/>
  <c r="RV56" i="41"/>
  <c r="SD56" i="41"/>
  <c r="SM56" i="41"/>
  <c r="SU56" i="41"/>
  <c r="TK56" i="41"/>
  <c r="TS56" i="41"/>
  <c r="PY57" i="41"/>
  <c r="QG57" i="41"/>
  <c r="QO57" i="41"/>
  <c r="RF57" i="41"/>
  <c r="RN57" i="41"/>
  <c r="RV57" i="41"/>
  <c r="SD57" i="41"/>
  <c r="SM57" i="41"/>
  <c r="SU57" i="41"/>
  <c r="TK57" i="41"/>
  <c r="TS57" i="41"/>
  <c r="PY58" i="41"/>
  <c r="QG58" i="41"/>
  <c r="QO58" i="41"/>
  <c r="RF58" i="41"/>
  <c r="RN58" i="41"/>
  <c r="RV58" i="41"/>
  <c r="SD58" i="41"/>
  <c r="SM58" i="41"/>
  <c r="SU58" i="41"/>
  <c r="TK58" i="41"/>
  <c r="TS58" i="41"/>
  <c r="PY59" i="41"/>
  <c r="QG59" i="41"/>
  <c r="QO59" i="41"/>
  <c r="RF59" i="41"/>
  <c r="RN59" i="41"/>
  <c r="RV59" i="41"/>
  <c r="SD59" i="41"/>
  <c r="SM59" i="41"/>
  <c r="SU59" i="41"/>
  <c r="TK59" i="41"/>
  <c r="TS59" i="41"/>
  <c r="PY60" i="41"/>
  <c r="QG60" i="41"/>
  <c r="QO60" i="41"/>
  <c r="RF60" i="41"/>
  <c r="RN60" i="41"/>
  <c r="RV60" i="41"/>
  <c r="SD60" i="41"/>
  <c r="SM60" i="41"/>
  <c r="SU60" i="41"/>
  <c r="TK60" i="41"/>
  <c r="TS60" i="41"/>
  <c r="PY61" i="41"/>
  <c r="QG61" i="41"/>
  <c r="QO61" i="41"/>
  <c r="RF61" i="41"/>
  <c r="RN61" i="41"/>
  <c r="RV61" i="41"/>
  <c r="SD61" i="41"/>
  <c r="SM61" i="41"/>
  <c r="SU61" i="41"/>
  <c r="TK61" i="41"/>
  <c r="TS61" i="41"/>
  <c r="PY62" i="41"/>
  <c r="QG62" i="41"/>
  <c r="QO62" i="41"/>
  <c r="RF62" i="41"/>
  <c r="RN62" i="41"/>
  <c r="RV62" i="41"/>
  <c r="SD62" i="41"/>
  <c r="SM62" i="41"/>
  <c r="SU62" i="41"/>
  <c r="TK62" i="41"/>
  <c r="TS62" i="41"/>
  <c r="PY63" i="41"/>
  <c r="QG63" i="41"/>
  <c r="QO63" i="41"/>
  <c r="RF63" i="41"/>
  <c r="RN63" i="41"/>
  <c r="RV63" i="41"/>
  <c r="SD63" i="41"/>
  <c r="SM63" i="41"/>
  <c r="SU63" i="41"/>
  <c r="TK63" i="41"/>
  <c r="TS63" i="41"/>
  <c r="PY64" i="41"/>
  <c r="QG64" i="41"/>
  <c r="QO64" i="41"/>
  <c r="RF64" i="41"/>
  <c r="RN64" i="41"/>
  <c r="RV64" i="41"/>
  <c r="SD64" i="41"/>
  <c r="SM64" i="41"/>
  <c r="SU64" i="41"/>
  <c r="TK64" i="41"/>
  <c r="TS64" i="41"/>
  <c r="PY65" i="41"/>
  <c r="QG65" i="41"/>
  <c r="QO65" i="41"/>
  <c r="RF65" i="41"/>
  <c r="RN65" i="41"/>
  <c r="RV65" i="41"/>
  <c r="SD65" i="41"/>
  <c r="SM65" i="41"/>
  <c r="SU65" i="41"/>
  <c r="TK65" i="41"/>
  <c r="TS65" i="41"/>
  <c r="PY66" i="41"/>
  <c r="QG66" i="41"/>
  <c r="QO66" i="41"/>
  <c r="RF66" i="41"/>
  <c r="RN66" i="41"/>
  <c r="RV66" i="41"/>
  <c r="SD66" i="41"/>
  <c r="SM66" i="41"/>
  <c r="SU66" i="41"/>
  <c r="TK66" i="41"/>
  <c r="TS66" i="41"/>
  <c r="PY67" i="41"/>
  <c r="QG67" i="41"/>
  <c r="QO67" i="41"/>
  <c r="RF67" i="41"/>
  <c r="RN67" i="41"/>
  <c r="RV67" i="41"/>
  <c r="SD67" i="41"/>
  <c r="SM67" i="41"/>
  <c r="SU67" i="41"/>
  <c r="TK67" i="41"/>
  <c r="TS67" i="41"/>
  <c r="PY68" i="41"/>
  <c r="QG68" i="41"/>
  <c r="QO68" i="41"/>
  <c r="RF68" i="41"/>
  <c r="RN68" i="41"/>
  <c r="RV68" i="41"/>
  <c r="SD68" i="41"/>
  <c r="SM68" i="41"/>
  <c r="SU68" i="41"/>
  <c r="TK68" i="41"/>
  <c r="TS68" i="41"/>
  <c r="PY69" i="41"/>
  <c r="QG69" i="41"/>
  <c r="QO69" i="41"/>
  <c r="RF69" i="41"/>
  <c r="RN69" i="41"/>
  <c r="RV69" i="41"/>
  <c r="SD69" i="41"/>
  <c r="SM69" i="41"/>
  <c r="SU69" i="41"/>
  <c r="TK69" i="41"/>
  <c r="TS69" i="41"/>
  <c r="PY70" i="41"/>
  <c r="QG70" i="41"/>
  <c r="QO70" i="41"/>
  <c r="RF70" i="41"/>
  <c r="RN70" i="41"/>
  <c r="RV70" i="41"/>
  <c r="SD70" i="41"/>
  <c r="SM70" i="41"/>
  <c r="SU70" i="41"/>
  <c r="TK70" i="41"/>
  <c r="TS70" i="41"/>
  <c r="PY71" i="41"/>
  <c r="QG71" i="41"/>
  <c r="QO71" i="41"/>
  <c r="RF71" i="41"/>
  <c r="RN71" i="41"/>
  <c r="RV71" i="41"/>
  <c r="SD71" i="41"/>
  <c r="SM71" i="41"/>
  <c r="SU71" i="41"/>
  <c r="TK71" i="41"/>
  <c r="TS71" i="41"/>
  <c r="PY72" i="41"/>
  <c r="QG72" i="41"/>
  <c r="QO72" i="41"/>
  <c r="RF72" i="41"/>
  <c r="RN72" i="41"/>
  <c r="RV72" i="41"/>
  <c r="SD72" i="41"/>
  <c r="SM72" i="41"/>
  <c r="SU72" i="41"/>
  <c r="TK72" i="41"/>
  <c r="TS72" i="41"/>
  <c r="PY73" i="41"/>
  <c r="QG73" i="41"/>
  <c r="QO73" i="41"/>
  <c r="RF73" i="41"/>
  <c r="RN73" i="41"/>
  <c r="RV73" i="41"/>
  <c r="SD73" i="41"/>
  <c r="SM73" i="41"/>
  <c r="SU73" i="41"/>
  <c r="TK73" i="41"/>
  <c r="TS73" i="41"/>
  <c r="PY74" i="41"/>
  <c r="QG74" i="41"/>
  <c r="QO74" i="41"/>
  <c r="RF74" i="41"/>
  <c r="RN74" i="41"/>
  <c r="RV74" i="41"/>
  <c r="SD74" i="41"/>
  <c r="SM74" i="41"/>
  <c r="SU74" i="41"/>
  <c r="TK74" i="41"/>
  <c r="TS74" i="41"/>
  <c r="PY75" i="41"/>
  <c r="QG75" i="41"/>
  <c r="QO75" i="41"/>
  <c r="RF75" i="41"/>
  <c r="RN75" i="41"/>
  <c r="RV75" i="41"/>
  <c r="SD75" i="41"/>
  <c r="SM75" i="41"/>
  <c r="SU75" i="41"/>
  <c r="TK75" i="41"/>
  <c r="TS75" i="41"/>
  <c r="PY76" i="41"/>
  <c r="QG76" i="41"/>
  <c r="QO76" i="41"/>
  <c r="RF76" i="41"/>
  <c r="RN76" i="41"/>
  <c r="RV76" i="41"/>
  <c r="SD76" i="41"/>
  <c r="SM76" i="41"/>
  <c r="SU76" i="41"/>
  <c r="TK76" i="41"/>
  <c r="TS76" i="41"/>
  <c r="PY77" i="41"/>
  <c r="QG77" i="41"/>
  <c r="QO77" i="41"/>
  <c r="RF77" i="41"/>
  <c r="RN77" i="41"/>
  <c r="RV77" i="41"/>
  <c r="SD77" i="41"/>
  <c r="SM77" i="41"/>
  <c r="SU77" i="41"/>
  <c r="TK77" i="41"/>
  <c r="TS77" i="41"/>
  <c r="PY78" i="41"/>
  <c r="QG78" i="41"/>
  <c r="QO78" i="41"/>
  <c r="RF78" i="41"/>
  <c r="RN78" i="41"/>
  <c r="RV78" i="41"/>
  <c r="SD78" i="41"/>
  <c r="SM78" i="41"/>
  <c r="SU78" i="41"/>
  <c r="TK78" i="41"/>
  <c r="TS78" i="41"/>
  <c r="PY79" i="41"/>
  <c r="QG79" i="41"/>
  <c r="QO79" i="41"/>
  <c r="RF79" i="41"/>
  <c r="RN79" i="41"/>
  <c r="RV79" i="41"/>
  <c r="SD79" i="41"/>
  <c r="SM79" i="41"/>
  <c r="SU79" i="41"/>
  <c r="TK79" i="41"/>
  <c r="TS79" i="41"/>
  <c r="PY80" i="41"/>
  <c r="QG80" i="41"/>
  <c r="QO80" i="41"/>
  <c r="RF80" i="41"/>
  <c r="RN80" i="41"/>
  <c r="RV80" i="41"/>
  <c r="SD80" i="41"/>
  <c r="SM80" i="41"/>
  <c r="SU80" i="41"/>
  <c r="TK80" i="41"/>
  <c r="TS80" i="41"/>
  <c r="PY81" i="41"/>
  <c r="QG81" i="41"/>
  <c r="QO81" i="41"/>
  <c r="RF81" i="41"/>
  <c r="RN81" i="41"/>
  <c r="RV81" i="41"/>
  <c r="SD81" i="41"/>
  <c r="SM81" i="41"/>
  <c r="SU81" i="41"/>
  <c r="TK81" i="41"/>
  <c r="TS81" i="41"/>
  <c r="TS3" i="41"/>
  <c r="TK3" i="41"/>
  <c r="TC3" i="41"/>
  <c r="SU3" i="41"/>
  <c r="SM3" i="41"/>
  <c r="SD3" i="41"/>
  <c r="RV3" i="41"/>
  <c r="RN3" i="41"/>
  <c r="RF3" i="41"/>
  <c r="QW3" i="41"/>
  <c r="QO3" i="41"/>
  <c r="QG3" i="41"/>
  <c r="PY3" i="41"/>
  <c r="MQ82" i="41"/>
  <c r="MR82" i="41"/>
  <c r="SE30" i="41" l="1"/>
  <c r="SE149" i="41"/>
  <c r="SE87" i="41"/>
  <c r="TT134" i="41"/>
  <c r="TT111" i="41"/>
  <c r="SE178" i="41"/>
  <c r="TT78" i="41"/>
  <c r="TT24" i="41"/>
  <c r="SU82" i="41"/>
  <c r="SE133" i="41"/>
  <c r="QX159" i="41"/>
  <c r="QX73" i="41"/>
  <c r="SE144" i="41"/>
  <c r="TT13" i="41"/>
  <c r="SE163" i="41"/>
  <c r="TT32" i="41"/>
  <c r="QX89" i="41"/>
  <c r="TT189" i="41"/>
  <c r="QX139" i="41"/>
  <c r="QX86" i="41"/>
  <c r="TT153" i="41"/>
  <c r="SE12" i="41"/>
  <c r="TT67" i="41"/>
  <c r="TT49" i="41"/>
  <c r="SE106" i="41"/>
  <c r="QX92" i="41"/>
  <c r="QX158" i="41"/>
  <c r="TT144" i="41"/>
  <c r="SE125" i="41"/>
  <c r="SE56" i="41"/>
  <c r="QX53" i="41"/>
  <c r="SE93" i="41"/>
  <c r="QX21" i="41"/>
  <c r="QX60" i="41"/>
  <c r="SE189" i="41"/>
  <c r="SE171" i="41"/>
  <c r="TT150" i="41"/>
  <c r="QX109" i="41"/>
  <c r="QX108" i="41"/>
  <c r="QX105" i="41"/>
  <c r="TT126" i="41"/>
  <c r="TT190" i="41"/>
  <c r="TT14" i="41"/>
  <c r="TT50" i="41"/>
  <c r="QX34" i="41"/>
  <c r="SE46" i="41"/>
  <c r="SE111" i="41"/>
  <c r="SE168" i="41"/>
  <c r="QX130" i="41"/>
  <c r="QX71" i="41"/>
  <c r="SE50" i="41"/>
  <c r="QX39" i="41"/>
  <c r="TT37" i="41"/>
  <c r="QX114" i="41"/>
  <c r="SE190" i="41"/>
  <c r="SE179" i="41"/>
  <c r="TT51" i="41"/>
  <c r="SE40" i="41"/>
  <c r="SE18" i="41"/>
  <c r="TT77" i="41"/>
  <c r="TT70" i="41"/>
  <c r="QX43" i="41"/>
  <c r="SE22" i="41"/>
  <c r="TT19" i="41"/>
  <c r="SE11" i="41"/>
  <c r="TT188" i="41"/>
  <c r="QX165" i="41"/>
  <c r="SE54" i="41"/>
  <c r="QX78" i="41"/>
  <c r="SE187" i="41"/>
  <c r="QX70" i="41"/>
  <c r="SE64" i="41"/>
  <c r="QX30" i="41"/>
  <c r="QX19" i="41"/>
  <c r="TT94" i="41"/>
  <c r="QX113" i="41"/>
  <c r="QX7" i="41"/>
  <c r="SE130" i="41"/>
  <c r="TT181" i="41"/>
  <c r="SE77" i="41"/>
  <c r="TT4" i="41"/>
  <c r="QX91" i="41"/>
  <c r="QX183" i="41"/>
  <c r="SE104" i="41"/>
  <c r="SE65" i="41"/>
  <c r="QX42" i="41"/>
  <c r="SE88" i="41"/>
  <c r="SE169" i="41"/>
  <c r="SE161" i="41"/>
  <c r="QX149" i="41"/>
  <c r="TT8" i="41"/>
  <c r="SE36" i="41"/>
  <c r="TT89" i="41"/>
  <c r="QX175" i="41"/>
  <c r="TT162" i="41"/>
  <c r="SE150" i="41"/>
  <c r="QX48" i="41"/>
  <c r="QX72" i="41"/>
  <c r="QX29" i="41"/>
  <c r="QX64" i="41"/>
  <c r="SE55" i="41"/>
  <c r="SE75" i="41"/>
  <c r="TT152" i="41"/>
  <c r="SE132" i="41"/>
  <c r="QX166" i="41"/>
  <c r="TT52" i="41"/>
  <c r="TT105" i="41"/>
  <c r="TT95" i="41"/>
  <c r="SE126" i="41"/>
  <c r="QX188" i="41"/>
  <c r="SE143" i="41"/>
  <c r="SE97" i="41"/>
  <c r="SE115" i="41"/>
  <c r="QX133" i="41"/>
  <c r="TT76" i="41"/>
  <c r="TT80" i="41"/>
  <c r="QX142" i="41"/>
  <c r="TT58" i="41"/>
  <c r="QX38" i="41"/>
  <c r="TT6" i="41"/>
  <c r="QX177" i="41"/>
  <c r="TT62" i="41"/>
  <c r="QX27" i="41"/>
  <c r="TT22" i="41"/>
  <c r="SE105" i="41"/>
  <c r="SE134" i="41"/>
  <c r="SE177" i="41"/>
  <c r="TT57" i="41"/>
  <c r="SE41" i="41"/>
  <c r="TT116" i="41"/>
  <c r="TT113" i="41"/>
  <c r="SE92" i="41"/>
  <c r="TT132" i="41"/>
  <c r="TT43" i="41"/>
  <c r="TT107" i="41"/>
  <c r="SE94" i="41"/>
  <c r="TT79" i="41"/>
  <c r="TT68" i="41"/>
  <c r="TT42" i="41"/>
  <c r="TT106" i="41"/>
  <c r="TT93" i="41"/>
  <c r="SE135" i="41"/>
  <c r="TT174" i="41"/>
  <c r="SE162" i="41"/>
  <c r="SE151" i="41"/>
  <c r="SE57" i="41"/>
  <c r="SE67" i="41"/>
  <c r="TT61" i="41"/>
  <c r="SE23" i="41"/>
  <c r="QX11" i="41"/>
  <c r="TT96" i="41"/>
  <c r="QX187" i="41"/>
  <c r="TT136" i="41"/>
  <c r="QX65" i="41"/>
  <c r="QX63" i="41"/>
  <c r="QX18" i="41"/>
  <c r="QX47" i="41"/>
  <c r="QX10" i="41"/>
  <c r="QX12" i="41"/>
  <c r="QX164" i="41"/>
  <c r="QX167" i="41"/>
  <c r="SE49" i="41"/>
  <c r="QX54" i="41"/>
  <c r="QX55" i="41"/>
  <c r="QX103" i="41"/>
  <c r="TT100" i="41"/>
  <c r="TT99" i="41"/>
  <c r="QX99" i="41"/>
  <c r="SE102" i="41"/>
  <c r="SE100" i="41"/>
  <c r="SE74" i="41"/>
  <c r="SE58" i="41"/>
  <c r="QX52" i="41"/>
  <c r="TT46" i="41"/>
  <c r="QX28" i="41"/>
  <c r="QX25" i="41"/>
  <c r="TT15" i="41"/>
  <c r="SE10" i="41"/>
  <c r="TT117" i="41"/>
  <c r="TT108" i="41"/>
  <c r="QX98" i="41"/>
  <c r="TC121" i="41"/>
  <c r="QX148" i="41"/>
  <c r="TT145" i="41"/>
  <c r="SE140" i="41"/>
  <c r="QX131" i="41"/>
  <c r="TT125" i="41"/>
  <c r="QX81" i="41"/>
  <c r="QG121" i="41"/>
  <c r="SE91" i="41"/>
  <c r="SE180" i="41"/>
  <c r="TT173" i="41"/>
  <c r="QX57" i="41"/>
  <c r="QX41" i="41"/>
  <c r="QX37" i="41"/>
  <c r="TT31" i="41"/>
  <c r="QX17" i="41"/>
  <c r="SE14" i="41"/>
  <c r="SE113" i="41"/>
  <c r="TT109" i="41"/>
  <c r="TT170" i="41"/>
  <c r="TT166" i="41"/>
  <c r="QX160" i="41"/>
  <c r="TT151" i="41"/>
  <c r="QX128" i="41"/>
  <c r="QX61" i="41"/>
  <c r="SM82" i="41"/>
  <c r="SE59" i="41"/>
  <c r="SE38" i="41"/>
  <c r="SE117" i="41"/>
  <c r="TT114" i="41"/>
  <c r="TT155" i="41"/>
  <c r="TT34" i="41"/>
  <c r="SE26" i="41"/>
  <c r="TT60" i="41"/>
  <c r="TT56" i="41"/>
  <c r="TT39" i="41"/>
  <c r="SE7" i="41"/>
  <c r="QX6" i="41"/>
  <c r="QX112" i="41"/>
  <c r="QX104" i="41"/>
  <c r="SE181" i="41"/>
  <c r="QX176" i="41"/>
  <c r="QX161" i="41"/>
  <c r="TT147" i="41"/>
  <c r="QX26" i="41"/>
  <c r="SE19" i="41"/>
  <c r="TT16" i="41"/>
  <c r="TT163" i="41"/>
  <c r="TT28" i="41"/>
  <c r="QX169" i="41"/>
  <c r="TT142" i="41"/>
  <c r="QX129" i="41"/>
  <c r="TT127" i="41"/>
  <c r="QX79" i="41"/>
  <c r="SE72" i="41"/>
  <c r="QX59" i="41"/>
  <c r="QX46" i="41"/>
  <c r="TT44" i="41"/>
  <c r="TT115" i="41"/>
  <c r="SE185" i="41"/>
  <c r="QX173" i="41"/>
  <c r="SE155" i="41"/>
  <c r="SE141" i="41"/>
  <c r="TT135" i="41"/>
  <c r="TT179" i="41"/>
  <c r="TT175" i="41"/>
  <c r="SE159" i="41"/>
  <c r="TT156" i="41"/>
  <c r="TT40" i="41"/>
  <c r="SE114" i="41"/>
  <c r="QX75" i="41"/>
  <c r="SE28" i="41"/>
  <c r="TT25" i="41"/>
  <c r="TT86" i="41"/>
  <c r="QX185" i="41"/>
  <c r="TT183" i="41"/>
  <c r="QX170" i="41"/>
  <c r="TT164" i="41"/>
  <c r="QX141" i="41"/>
  <c r="SE32" i="41"/>
  <c r="SE20" i="41"/>
  <c r="SE186" i="41"/>
  <c r="QX151" i="41"/>
  <c r="TT21" i="41"/>
  <c r="QX16" i="41"/>
  <c r="SE152" i="41"/>
  <c r="QX24" i="41"/>
  <c r="TT10" i="41"/>
  <c r="TT180" i="41"/>
  <c r="SE167" i="41"/>
  <c r="SE160" i="41"/>
  <c r="TT157" i="41"/>
  <c r="SE172" i="41"/>
  <c r="SE81" i="41"/>
  <c r="SE48" i="41"/>
  <c r="SE29" i="41"/>
  <c r="QX118" i="41"/>
  <c r="TT161" i="41"/>
  <c r="SE70" i="41"/>
  <c r="QX69" i="41"/>
  <c r="SE66" i="41"/>
  <c r="SE37" i="41"/>
  <c r="QX36" i="41"/>
  <c r="TT26" i="41"/>
  <c r="SE13" i="41"/>
  <c r="SE5" i="41"/>
  <c r="SE112" i="41"/>
  <c r="QX111" i="41"/>
  <c r="SE107" i="41"/>
  <c r="QX94" i="41"/>
  <c r="TT169" i="41"/>
  <c r="SE96" i="41"/>
  <c r="QX152" i="41"/>
  <c r="TT98" i="41"/>
  <c r="QO121" i="41"/>
  <c r="QX186" i="41"/>
  <c r="QX182" i="41"/>
  <c r="SE173" i="41"/>
  <c r="QX172" i="41"/>
  <c r="SE153" i="41"/>
  <c r="QW82" i="41"/>
  <c r="TT75" i="41"/>
  <c r="TT66" i="41"/>
  <c r="TT41" i="41"/>
  <c r="QX9" i="41"/>
  <c r="QX102" i="41"/>
  <c r="TT184" i="41"/>
  <c r="SE158" i="41"/>
  <c r="SE154" i="41"/>
  <c r="QX153" i="41"/>
  <c r="TT140" i="41"/>
  <c r="SE139" i="41"/>
  <c r="QX138" i="41"/>
  <c r="SE61" i="41"/>
  <c r="SE45" i="41"/>
  <c r="TT33" i="41"/>
  <c r="TT23" i="41"/>
  <c r="RF121" i="41"/>
  <c r="SE116" i="41"/>
  <c r="TT112" i="41"/>
  <c r="QX97" i="41"/>
  <c r="TT185" i="41"/>
  <c r="QX154" i="41"/>
  <c r="TC82" i="41"/>
  <c r="QX74" i="41"/>
  <c r="SE27" i="41"/>
  <c r="TT118" i="41"/>
  <c r="QX88" i="41"/>
  <c r="QX178" i="41"/>
  <c r="SE170" i="41"/>
  <c r="SE131" i="41"/>
  <c r="SE99" i="41"/>
  <c r="TT90" i="41"/>
  <c r="QX179" i="41"/>
  <c r="QX174" i="41"/>
  <c r="TT171" i="41"/>
  <c r="TT133" i="41"/>
  <c r="QX125" i="41"/>
  <c r="TT7" i="41"/>
  <c r="TT104" i="41"/>
  <c r="RN82" i="41"/>
  <c r="QX119" i="41"/>
  <c r="TS82" i="41"/>
  <c r="QX35" i="41"/>
  <c r="RN121" i="41"/>
  <c r="QG82" i="41"/>
  <c r="SE76" i="41"/>
  <c r="QX45" i="41"/>
  <c r="TT186" i="41"/>
  <c r="TT172" i="41"/>
  <c r="TT167" i="41"/>
  <c r="TT137" i="41"/>
  <c r="TT128" i="41"/>
  <c r="SE73" i="41"/>
  <c r="RF82" i="41"/>
  <c r="SE188" i="41"/>
  <c r="TT71" i="41"/>
  <c r="QX80" i="41"/>
  <c r="SE47" i="41"/>
  <c r="TT20" i="41"/>
  <c r="SE4" i="41"/>
  <c r="TT119" i="41"/>
  <c r="QX117" i="41"/>
  <c r="TT91" i="41"/>
  <c r="SE90" i="41"/>
  <c r="TT182" i="41"/>
  <c r="QX155" i="41"/>
  <c r="TT148" i="41"/>
  <c r="QX140" i="41"/>
  <c r="SE137" i="41"/>
  <c r="QX136" i="41"/>
  <c r="TT129" i="41"/>
  <c r="SE128" i="41"/>
  <c r="QX137" i="41"/>
  <c r="QX44" i="41"/>
  <c r="SE21" i="41"/>
  <c r="QX157" i="41"/>
  <c r="SE31" i="41"/>
  <c r="PY121" i="41"/>
  <c r="QO82" i="41"/>
  <c r="TT73" i="41"/>
  <c r="SE43" i="41"/>
  <c r="TT30" i="41"/>
  <c r="TT5" i="41"/>
  <c r="SE95" i="41"/>
  <c r="QX93" i="41"/>
  <c r="QX184" i="41"/>
  <c r="SE176" i="41"/>
  <c r="QX145" i="41"/>
  <c r="TT138" i="41"/>
  <c r="QX127" i="41"/>
  <c r="SE39" i="41"/>
  <c r="TK121" i="41"/>
  <c r="QX76" i="41"/>
  <c r="SE68" i="41"/>
  <c r="QX66" i="41"/>
  <c r="TT59" i="41"/>
  <c r="SE34" i="41"/>
  <c r="QX33" i="41"/>
  <c r="QX8" i="41"/>
  <c r="SE86" i="41"/>
  <c r="QX190" i="41"/>
  <c r="TT178" i="41"/>
  <c r="TT168" i="41"/>
  <c r="TT149" i="41"/>
  <c r="SE142" i="41"/>
  <c r="QX132" i="41"/>
  <c r="RV82" i="41"/>
  <c r="QX62" i="41"/>
  <c r="TT55" i="41"/>
  <c r="TT35" i="41"/>
  <c r="SE119" i="41"/>
  <c r="TT103" i="41"/>
  <c r="QX90" i="41"/>
  <c r="TT87" i="41"/>
  <c r="QX171" i="41"/>
  <c r="TT158" i="41"/>
  <c r="TT143" i="41"/>
  <c r="SE129" i="41"/>
  <c r="TT74" i="41"/>
  <c r="TT69" i="41"/>
  <c r="SE63" i="41"/>
  <c r="SE25" i="41"/>
  <c r="SE9" i="41"/>
  <c r="TT97" i="41"/>
  <c r="TS121" i="41"/>
  <c r="QX181" i="41"/>
  <c r="QX156" i="41"/>
  <c r="TT154" i="41"/>
  <c r="QX147" i="41"/>
  <c r="TT139" i="41"/>
  <c r="SE165" i="41"/>
  <c r="TT81" i="41"/>
  <c r="QX67" i="41"/>
  <c r="TT18" i="41"/>
  <c r="TT54" i="41"/>
  <c r="SE42" i="41"/>
  <c r="SE6" i="41"/>
  <c r="QX5" i="41"/>
  <c r="SE80" i="41"/>
  <c r="SM121" i="41"/>
  <c r="SE166" i="41"/>
  <c r="QX22" i="41"/>
  <c r="SE71" i="41"/>
  <c r="SD82" i="41"/>
  <c r="SE60" i="41"/>
  <c r="TT36" i="41"/>
  <c r="SE184" i="41"/>
  <c r="QX4" i="41"/>
  <c r="QX189" i="41"/>
  <c r="SE136" i="41"/>
  <c r="SE53" i="41"/>
  <c r="SE17" i="41"/>
  <c r="TT88" i="41"/>
  <c r="QX96" i="41"/>
  <c r="TT45" i="41"/>
  <c r="TT85" i="41"/>
  <c r="SE98" i="41"/>
  <c r="TT130" i="41"/>
  <c r="SD121" i="41"/>
  <c r="SE118" i="41"/>
  <c r="SE156" i="41"/>
  <c r="SU121" i="41"/>
  <c r="QX23" i="41"/>
  <c r="SE89" i="41"/>
  <c r="TT131" i="41"/>
  <c r="QX124" i="41"/>
  <c r="QX134" i="41"/>
  <c r="TT63" i="41"/>
  <c r="TK82" i="41"/>
  <c r="QX40" i="41"/>
  <c r="SE78" i="41"/>
  <c r="SE62" i="41"/>
  <c r="TT53" i="41"/>
  <c r="SE52" i="41"/>
  <c r="TT48" i="41"/>
  <c r="TT38" i="41"/>
  <c r="TT27" i="41"/>
  <c r="TT17" i="41"/>
  <c r="SE16" i="41"/>
  <c r="QX14" i="41"/>
  <c r="TT12" i="41"/>
  <c r="QX100" i="41"/>
  <c r="QX95" i="41"/>
  <c r="TT92" i="41"/>
  <c r="SE174" i="41"/>
  <c r="QX168" i="41"/>
  <c r="TT165" i="41"/>
  <c r="QX163" i="41"/>
  <c r="TT160" i="41"/>
  <c r="SE148" i="41"/>
  <c r="RV121" i="41"/>
  <c r="PY82" i="41"/>
  <c r="QX126" i="41"/>
  <c r="QW121" i="41"/>
  <c r="QX116" i="41"/>
  <c r="QX3" i="41"/>
  <c r="QX58" i="41"/>
  <c r="TT9" i="41"/>
  <c r="TT72" i="41"/>
  <c r="SE44" i="41"/>
  <c r="SE8" i="41"/>
  <c r="SE183" i="41"/>
  <c r="TT102" i="41"/>
  <c r="SE3" i="41"/>
  <c r="SE35" i="41"/>
  <c r="SE24" i="41"/>
  <c r="SE147" i="41"/>
  <c r="TT3" i="41"/>
  <c r="SE79" i="41"/>
  <c r="QX77" i="41"/>
  <c r="TT64" i="41"/>
  <c r="QX56" i="41"/>
  <c r="QX51" i="41"/>
  <c r="QX20" i="41"/>
  <c r="QX15" i="41"/>
  <c r="QX85" i="41"/>
  <c r="SE124" i="41"/>
  <c r="SE103" i="41"/>
  <c r="TT187" i="41"/>
  <c r="TT176" i="41"/>
  <c r="QX135" i="41"/>
  <c r="QX106" i="41"/>
  <c r="SE138" i="41"/>
  <c r="QX180" i="41"/>
  <c r="TT177" i="41"/>
  <c r="SE175" i="41"/>
  <c r="QX162" i="41"/>
  <c r="TT159" i="41"/>
  <c r="SE157" i="41"/>
  <c r="QX150" i="41"/>
  <c r="QX49" i="41"/>
  <c r="QX31" i="41"/>
  <c r="QX13" i="41"/>
  <c r="SE85" i="41"/>
  <c r="TT124" i="41"/>
  <c r="QX107" i="41"/>
  <c r="QX68" i="41"/>
  <c r="TT65" i="41"/>
  <c r="QX50" i="41"/>
  <c r="TT47" i="41"/>
  <c r="QX32" i="41"/>
  <c r="TT29" i="41"/>
  <c r="TT11" i="41"/>
  <c r="QX115" i="41"/>
  <c r="SE109" i="41"/>
  <c r="SE108" i="41"/>
  <c r="SE145" i="41"/>
  <c r="QX143" i="41"/>
  <c r="SE127" i="41"/>
  <c r="SE69" i="41"/>
  <c r="SE51" i="41"/>
  <c r="SE33" i="41"/>
  <c r="SE15" i="41"/>
  <c r="QX87" i="41"/>
  <c r="SE182" i="41"/>
  <c r="SE164" i="41"/>
  <c r="QX144" i="41"/>
  <c r="TT141" i="41"/>
  <c r="JO83" i="41"/>
  <c r="SE121" i="41" l="1"/>
  <c r="TT121" i="41"/>
  <c r="TT82" i="41"/>
  <c r="QX121" i="41"/>
  <c r="QX82" i="41"/>
  <c r="SE82" i="41"/>
  <c r="JJ82" i="41"/>
  <c r="JK82" i="41"/>
  <c r="JL82" i="41"/>
  <c r="JM82" i="41"/>
  <c r="JN82" i="41"/>
  <c r="JO82" i="41"/>
  <c r="JQ82" i="41"/>
  <c r="JR82" i="41"/>
  <c r="JS82" i="41"/>
  <c r="JT82" i="41"/>
  <c r="JU82" i="41"/>
  <c r="JV82" i="41"/>
  <c r="JW82" i="41"/>
  <c r="JZ82" i="41"/>
  <c r="KA82" i="41"/>
  <c r="KB82" i="41"/>
  <c r="KC82" i="41"/>
  <c r="KD82" i="41"/>
  <c r="KE82" i="41"/>
  <c r="KF82" i="41"/>
  <c r="KH82" i="41"/>
  <c r="KI82" i="41"/>
  <c r="KJ82" i="41"/>
  <c r="KK82" i="41"/>
  <c r="KL82" i="41"/>
  <c r="KM82" i="41"/>
  <c r="KN82" i="41"/>
  <c r="KP82" i="41"/>
  <c r="KQ82" i="41"/>
  <c r="KR82" i="41"/>
  <c r="KS82" i="41"/>
  <c r="KT82" i="41"/>
  <c r="KU82" i="41"/>
  <c r="KV82" i="41"/>
  <c r="KX82" i="41"/>
  <c r="KY82" i="41"/>
  <c r="KZ82" i="41"/>
  <c r="LA82" i="41"/>
  <c r="LB82" i="41"/>
  <c r="LC82" i="41"/>
  <c r="LD82" i="41"/>
  <c r="LF82" i="41"/>
  <c r="LG82" i="41"/>
  <c r="LH82" i="41"/>
  <c r="LI82" i="41"/>
  <c r="LJ82" i="41"/>
  <c r="LK82" i="41"/>
  <c r="LL82" i="41"/>
  <c r="LO82" i="41"/>
  <c r="LP82" i="41"/>
  <c r="LQ82" i="41"/>
  <c r="LR82" i="41"/>
  <c r="LS82" i="41"/>
  <c r="LT82" i="41"/>
  <c r="LU82" i="41"/>
  <c r="LW82" i="41"/>
  <c r="LX82" i="41"/>
  <c r="LY82" i="41"/>
  <c r="LZ82" i="41"/>
  <c r="MA82" i="41"/>
  <c r="MB82" i="41"/>
  <c r="MC82" i="41"/>
  <c r="ME82" i="41"/>
  <c r="MF82" i="41"/>
  <c r="MG82" i="41"/>
  <c r="MH82" i="41"/>
  <c r="MI82" i="41"/>
  <c r="MJ82" i="41"/>
  <c r="MK82" i="41"/>
  <c r="MM82" i="41"/>
  <c r="MN82" i="41"/>
  <c r="MO82" i="41"/>
  <c r="MP82" i="41"/>
  <c r="MS82" i="41"/>
  <c r="MV82" i="41"/>
  <c r="MW82" i="41"/>
  <c r="MX82" i="41"/>
  <c r="MY82" i="41"/>
  <c r="MZ82" i="41"/>
  <c r="NA82" i="41"/>
  <c r="NB82" i="41"/>
  <c r="ND82" i="41"/>
  <c r="NE82" i="41"/>
  <c r="NF82" i="41"/>
  <c r="NG82" i="41"/>
  <c r="NH82" i="41"/>
  <c r="NI82" i="41"/>
  <c r="NJ82" i="41"/>
  <c r="NL82" i="41"/>
  <c r="NM82" i="41"/>
  <c r="NN82" i="41"/>
  <c r="NO82" i="41"/>
  <c r="NP82" i="41"/>
  <c r="NQ82" i="41"/>
  <c r="NR82" i="41"/>
  <c r="NT82" i="41"/>
  <c r="NU82" i="41"/>
  <c r="NV82" i="41"/>
  <c r="NW82" i="41"/>
  <c r="NX82" i="41"/>
  <c r="NY82" i="41"/>
  <c r="NZ82" i="41"/>
  <c r="OD82" i="41"/>
  <c r="OE82" i="41"/>
  <c r="OF82" i="41"/>
  <c r="OG82" i="41"/>
  <c r="OH82" i="41"/>
  <c r="OI82" i="41"/>
  <c r="OK82" i="41"/>
  <c r="OL82" i="41"/>
  <c r="OM82" i="41"/>
  <c r="ON82" i="41"/>
  <c r="OO82" i="41"/>
  <c r="OP82" i="41"/>
  <c r="OQ82" i="41"/>
  <c r="OS82" i="41"/>
  <c r="OT82" i="41"/>
  <c r="OU82" i="41"/>
  <c r="OV82" i="41"/>
  <c r="OW82" i="41"/>
  <c r="OX82" i="41"/>
  <c r="OY82" i="41"/>
  <c r="PA82" i="41"/>
  <c r="PB82" i="41"/>
  <c r="PC82" i="41"/>
  <c r="PD82" i="41"/>
  <c r="PE82" i="41"/>
  <c r="PF82" i="41"/>
  <c r="PG82" i="41"/>
  <c r="PI82" i="41"/>
  <c r="PJ82" i="41"/>
  <c r="PK82" i="41"/>
  <c r="PL82" i="41"/>
  <c r="PM82" i="41"/>
  <c r="PN82" i="41"/>
  <c r="PO82" i="41"/>
  <c r="JI82" i="41"/>
  <c r="JP111" i="41" l="1"/>
  <c r="JP112" i="41"/>
  <c r="JP113" i="41"/>
  <c r="JP114" i="41"/>
  <c r="JP115" i="41"/>
  <c r="JP116" i="41"/>
  <c r="JP117" i="41"/>
  <c r="JP118" i="41"/>
  <c r="JP119" i="41"/>
  <c r="JP109" i="41"/>
  <c r="JY109" i="41" s="1"/>
  <c r="PP145" i="41" l="1"/>
  <c r="PH145" i="41"/>
  <c r="OZ145" i="41"/>
  <c r="OR145" i="41"/>
  <c r="OJ145" i="41"/>
  <c r="OA145" i="41"/>
  <c r="NS145" i="41"/>
  <c r="NK145" i="41"/>
  <c r="NC145" i="41"/>
  <c r="MT145" i="41"/>
  <c r="ML145" i="41"/>
  <c r="MD145" i="41"/>
  <c r="LV145" i="41"/>
  <c r="LM145" i="41"/>
  <c r="LE145" i="41"/>
  <c r="KW145" i="41"/>
  <c r="KO145" i="41"/>
  <c r="KG145" i="41"/>
  <c r="JX145" i="41"/>
  <c r="JP145" i="41"/>
  <c r="JH145" i="41"/>
  <c r="IZ145" i="41"/>
  <c r="PP176" i="41"/>
  <c r="PH176" i="41"/>
  <c r="OZ176" i="41"/>
  <c r="OR176" i="41"/>
  <c r="OJ176" i="41"/>
  <c r="OA176" i="41"/>
  <c r="NS176" i="41"/>
  <c r="NK176" i="41"/>
  <c r="NC176" i="41"/>
  <c r="MT176" i="41"/>
  <c r="ML176" i="41"/>
  <c r="MD176" i="41"/>
  <c r="LV176" i="41"/>
  <c r="MU176" i="41" s="1"/>
  <c r="LM176" i="41"/>
  <c r="LE176" i="41"/>
  <c r="KW176" i="41"/>
  <c r="KO176" i="41"/>
  <c r="KG176" i="41"/>
  <c r="JX176" i="41"/>
  <c r="JP176" i="41"/>
  <c r="JH176" i="41"/>
  <c r="IZ176" i="41"/>
  <c r="PP38" i="41"/>
  <c r="PH38" i="41"/>
  <c r="OZ38" i="41"/>
  <c r="OR38" i="41"/>
  <c r="NS38" i="41"/>
  <c r="OA38" i="41"/>
  <c r="NK38" i="41"/>
  <c r="NC38" i="41"/>
  <c r="MT38" i="41"/>
  <c r="ML38" i="41"/>
  <c r="MD38" i="41"/>
  <c r="LV38" i="41"/>
  <c r="LM38" i="41"/>
  <c r="LE38" i="41"/>
  <c r="KW38" i="41"/>
  <c r="KO38" i="41"/>
  <c r="KG38" i="41"/>
  <c r="JX38" i="41"/>
  <c r="JP38" i="41"/>
  <c r="JH38" i="41"/>
  <c r="IZ38" i="41"/>
  <c r="II38" i="41"/>
  <c r="IR38" i="41" s="1"/>
  <c r="IQ38" i="41"/>
  <c r="MT120" i="41"/>
  <c r="ML120" i="41"/>
  <c r="MD120" i="41"/>
  <c r="LV120" i="41"/>
  <c r="LM120" i="41"/>
  <c r="LE120" i="41"/>
  <c r="KW120" i="41"/>
  <c r="KO120" i="41"/>
  <c r="KG120" i="41"/>
  <c r="JX120" i="41"/>
  <c r="JP120" i="41"/>
  <c r="JH120" i="41"/>
  <c r="IZ120" i="41"/>
  <c r="IQ120" i="41"/>
  <c r="II120" i="41"/>
  <c r="IA120" i="41"/>
  <c r="HS120" i="41"/>
  <c r="HJ120" i="41"/>
  <c r="HB120" i="41"/>
  <c r="GT120" i="41"/>
  <c r="GL120" i="41"/>
  <c r="GD120" i="41"/>
  <c r="FU120" i="41"/>
  <c r="FM120" i="41"/>
  <c r="FE120" i="41"/>
  <c r="EW120" i="41"/>
  <c r="EN120" i="41"/>
  <c r="EF120" i="41"/>
  <c r="DX120" i="41"/>
  <c r="DP120" i="41"/>
  <c r="DG120" i="41"/>
  <c r="CY120" i="41"/>
  <c r="CQ120" i="41"/>
  <c r="CI120" i="41"/>
  <c r="CA120" i="41"/>
  <c r="BR120" i="41"/>
  <c r="BJ120" i="41"/>
  <c r="BB120" i="41"/>
  <c r="AT120" i="41"/>
  <c r="AL120" i="41"/>
  <c r="AK120" i="41"/>
  <c r="AC120" i="41"/>
  <c r="U120" i="41"/>
  <c r="M120" i="41"/>
  <c r="MT118" i="41"/>
  <c r="ML118" i="41"/>
  <c r="MD118" i="41"/>
  <c r="LV118" i="41"/>
  <c r="LM118" i="41"/>
  <c r="LE118" i="41"/>
  <c r="KW118" i="41"/>
  <c r="KO118" i="41"/>
  <c r="KG118" i="41"/>
  <c r="JX118" i="41"/>
  <c r="JH118" i="41"/>
  <c r="IZ118" i="41"/>
  <c r="IQ118" i="41"/>
  <c r="II118" i="41"/>
  <c r="IA118" i="41"/>
  <c r="HS118" i="41"/>
  <c r="HJ118" i="41"/>
  <c r="HB118" i="41"/>
  <c r="GT118" i="41"/>
  <c r="GL118" i="41"/>
  <c r="GD118" i="41"/>
  <c r="FU118" i="41"/>
  <c r="FM118" i="41"/>
  <c r="FE118" i="41"/>
  <c r="EW118" i="41"/>
  <c r="EN118" i="41"/>
  <c r="EF118" i="41"/>
  <c r="DX118" i="41"/>
  <c r="DP118" i="41"/>
  <c r="DG118" i="41"/>
  <c r="CY118" i="41"/>
  <c r="CQ118" i="41"/>
  <c r="CI118" i="41"/>
  <c r="CA118" i="41"/>
  <c r="BR118" i="41"/>
  <c r="BJ118" i="41"/>
  <c r="BB118" i="41"/>
  <c r="AT118" i="41"/>
  <c r="AL118" i="41"/>
  <c r="AK118" i="41"/>
  <c r="AC118" i="41"/>
  <c r="U118" i="41"/>
  <c r="M118" i="41"/>
  <c r="MT115" i="41"/>
  <c r="ML115" i="41"/>
  <c r="MD115" i="41"/>
  <c r="LV115" i="41"/>
  <c r="LM115" i="41"/>
  <c r="LE115" i="41"/>
  <c r="KW115" i="41"/>
  <c r="KO115" i="41"/>
  <c r="KG115" i="41"/>
  <c r="JX115" i="41"/>
  <c r="JH115" i="41"/>
  <c r="IZ115" i="41"/>
  <c r="IQ115" i="41"/>
  <c r="II115" i="41"/>
  <c r="IA115" i="41"/>
  <c r="HS115" i="41"/>
  <c r="HJ115" i="41"/>
  <c r="HB115" i="41"/>
  <c r="GT115" i="41"/>
  <c r="GL115" i="41"/>
  <c r="GD115" i="41"/>
  <c r="FU115" i="41"/>
  <c r="FM115" i="41"/>
  <c r="FE115" i="41"/>
  <c r="EW115" i="41"/>
  <c r="EN115" i="41"/>
  <c r="EF115" i="41"/>
  <c r="DX115" i="41"/>
  <c r="DP115" i="41"/>
  <c r="DG115" i="41"/>
  <c r="CY115" i="41"/>
  <c r="CQ115" i="41"/>
  <c r="CI115" i="41"/>
  <c r="CA115" i="41"/>
  <c r="BR115" i="41"/>
  <c r="BJ115" i="41"/>
  <c r="BB115" i="41"/>
  <c r="AT115" i="41"/>
  <c r="AL115" i="41"/>
  <c r="AK115" i="41"/>
  <c r="AC115" i="41"/>
  <c r="U115" i="41"/>
  <c r="M115" i="41"/>
  <c r="MT113" i="41"/>
  <c r="ML113" i="41"/>
  <c r="MD113" i="41"/>
  <c r="LV113" i="41"/>
  <c r="LM113" i="41"/>
  <c r="LE113" i="41"/>
  <c r="KW113" i="41"/>
  <c r="KO113" i="41"/>
  <c r="KG113" i="41"/>
  <c r="JX113" i="41"/>
  <c r="JH113" i="41"/>
  <c r="IZ113" i="41"/>
  <c r="IQ113" i="41"/>
  <c r="II113" i="41"/>
  <c r="IA113" i="41"/>
  <c r="HS113" i="41"/>
  <c r="HJ113" i="41"/>
  <c r="HB113" i="41"/>
  <c r="GT113" i="41"/>
  <c r="GL113" i="41"/>
  <c r="GD113" i="41"/>
  <c r="FU113" i="41"/>
  <c r="FM113" i="41"/>
  <c r="FE113" i="41"/>
  <c r="EW113" i="41"/>
  <c r="EN113" i="41"/>
  <c r="EF113" i="41"/>
  <c r="DX113" i="41"/>
  <c r="DP113" i="41"/>
  <c r="DG113" i="41"/>
  <c r="CY113" i="41"/>
  <c r="CQ113" i="41"/>
  <c r="CI113" i="41"/>
  <c r="CA113" i="41"/>
  <c r="BR113" i="41"/>
  <c r="BJ113" i="41"/>
  <c r="BB113" i="41"/>
  <c r="AT113" i="41"/>
  <c r="AL113" i="41"/>
  <c r="AK113" i="41"/>
  <c r="AC113" i="41"/>
  <c r="U113" i="41"/>
  <c r="M113" i="41"/>
  <c r="MT107" i="41"/>
  <c r="ML107" i="41"/>
  <c r="MD107" i="41"/>
  <c r="LV107" i="41"/>
  <c r="LM107" i="41"/>
  <c r="LE107" i="41"/>
  <c r="KW107" i="41"/>
  <c r="KO107" i="41"/>
  <c r="KG107" i="41"/>
  <c r="JX107" i="41"/>
  <c r="JP107" i="41"/>
  <c r="JH107" i="41"/>
  <c r="IZ107" i="41"/>
  <c r="IQ107" i="41"/>
  <c r="II107" i="41"/>
  <c r="IA107" i="41"/>
  <c r="HS107" i="41"/>
  <c r="HJ107" i="41"/>
  <c r="HB107" i="41"/>
  <c r="GT107" i="41"/>
  <c r="GL107" i="41"/>
  <c r="GD107" i="41"/>
  <c r="FU107" i="41"/>
  <c r="FM107" i="41"/>
  <c r="FE107" i="41"/>
  <c r="EW107" i="41"/>
  <c r="EN107" i="41"/>
  <c r="EF107" i="41"/>
  <c r="DX107" i="41"/>
  <c r="DP107" i="41"/>
  <c r="DG107" i="41"/>
  <c r="CY107" i="41"/>
  <c r="CQ107" i="41"/>
  <c r="CI107" i="41"/>
  <c r="CA107" i="41"/>
  <c r="BR107" i="41"/>
  <c r="BJ107" i="41"/>
  <c r="BB107" i="41"/>
  <c r="AT107" i="41"/>
  <c r="AL107" i="41"/>
  <c r="AK107" i="41"/>
  <c r="AC107" i="41"/>
  <c r="U107" i="41"/>
  <c r="M107" i="41"/>
  <c r="MT105" i="41"/>
  <c r="ML105" i="41"/>
  <c r="MD105" i="41"/>
  <c r="LV105" i="41"/>
  <c r="LM105" i="41"/>
  <c r="LE105" i="41"/>
  <c r="KW105" i="41"/>
  <c r="KO105" i="41"/>
  <c r="KG105" i="41"/>
  <c r="JX105" i="41"/>
  <c r="JP105" i="41"/>
  <c r="JH105" i="41"/>
  <c r="IZ105" i="41"/>
  <c r="IQ105" i="41"/>
  <c r="II105" i="41"/>
  <c r="IA105" i="41"/>
  <c r="HS105" i="41"/>
  <c r="HJ105" i="41"/>
  <c r="HB105" i="41"/>
  <c r="GT105" i="41"/>
  <c r="GL105" i="41"/>
  <c r="GD105" i="41"/>
  <c r="FU105" i="41"/>
  <c r="FM105" i="41"/>
  <c r="FE105" i="41"/>
  <c r="EW105" i="41"/>
  <c r="EN105" i="41"/>
  <c r="EF105" i="41"/>
  <c r="DX105" i="41"/>
  <c r="DP105" i="41"/>
  <c r="DG105" i="41"/>
  <c r="CY105" i="41"/>
  <c r="CQ105" i="41"/>
  <c r="CI105" i="41"/>
  <c r="CA105" i="41"/>
  <c r="BR105" i="41"/>
  <c r="BJ105" i="41"/>
  <c r="BB105" i="41"/>
  <c r="AT105" i="41"/>
  <c r="AL105" i="41"/>
  <c r="AK105" i="41"/>
  <c r="AC105" i="41"/>
  <c r="U105" i="41"/>
  <c r="M105" i="41"/>
  <c r="MT103" i="41"/>
  <c r="ML103" i="41"/>
  <c r="MD103" i="41"/>
  <c r="LV103" i="41"/>
  <c r="LM103" i="41"/>
  <c r="LE103" i="41"/>
  <c r="KW103" i="41"/>
  <c r="KO103" i="41"/>
  <c r="KG103" i="41"/>
  <c r="JX103" i="41"/>
  <c r="JP103" i="41"/>
  <c r="JH103" i="41"/>
  <c r="IZ103" i="41"/>
  <c r="IQ103" i="41"/>
  <c r="II103" i="41"/>
  <c r="IA103" i="41"/>
  <c r="HS103" i="41"/>
  <c r="HJ103" i="41"/>
  <c r="HB103" i="41"/>
  <c r="GT103" i="41"/>
  <c r="GL103" i="41"/>
  <c r="GD103" i="41"/>
  <c r="FU103" i="41"/>
  <c r="FM103" i="41"/>
  <c r="FE103" i="41"/>
  <c r="EW103" i="41"/>
  <c r="EN103" i="41"/>
  <c r="EF103" i="41"/>
  <c r="DX103" i="41"/>
  <c r="DP103" i="41"/>
  <c r="DG103" i="41"/>
  <c r="CY103" i="41"/>
  <c r="CQ103" i="41"/>
  <c r="CI103" i="41"/>
  <c r="CA103" i="41"/>
  <c r="BR103" i="41"/>
  <c r="BJ103" i="41"/>
  <c r="BB103" i="41"/>
  <c r="AT103" i="41"/>
  <c r="AL103" i="41"/>
  <c r="AK103" i="41"/>
  <c r="AC103" i="41"/>
  <c r="U103" i="41"/>
  <c r="M103" i="41"/>
  <c r="MT100" i="41"/>
  <c r="ML100" i="41"/>
  <c r="MD100" i="41"/>
  <c r="LV100" i="41"/>
  <c r="LM100" i="41"/>
  <c r="LE100" i="41"/>
  <c r="KW100" i="41"/>
  <c r="KO100" i="41"/>
  <c r="KG100" i="41"/>
  <c r="JX100" i="41"/>
  <c r="JP100" i="41"/>
  <c r="JH100" i="41"/>
  <c r="IZ100" i="41"/>
  <c r="IQ100" i="41"/>
  <c r="II100" i="41"/>
  <c r="IA100" i="41"/>
  <c r="HS100" i="41"/>
  <c r="HJ100" i="41"/>
  <c r="HB100" i="41"/>
  <c r="GT100" i="41"/>
  <c r="GL100" i="41"/>
  <c r="GD100" i="41"/>
  <c r="FU100" i="41"/>
  <c r="FM100" i="41"/>
  <c r="FE100" i="41"/>
  <c r="EW100" i="41"/>
  <c r="EN100" i="41"/>
  <c r="EF100" i="41"/>
  <c r="DX100" i="41"/>
  <c r="DP100" i="41"/>
  <c r="DG100" i="41"/>
  <c r="CY100" i="41"/>
  <c r="CQ100" i="41"/>
  <c r="CI100" i="41"/>
  <c r="CA100" i="41"/>
  <c r="BR100" i="41"/>
  <c r="BJ100" i="41"/>
  <c r="BB100" i="41"/>
  <c r="AT100" i="41"/>
  <c r="AL100" i="41"/>
  <c r="AK100" i="41"/>
  <c r="AC100" i="41"/>
  <c r="U100" i="41"/>
  <c r="M100" i="41"/>
  <c r="MT98" i="41"/>
  <c r="ML98" i="41"/>
  <c r="MD98" i="41"/>
  <c r="LV98" i="41"/>
  <c r="LM98" i="41"/>
  <c r="LE98" i="41"/>
  <c r="KW98" i="41"/>
  <c r="KO98" i="41"/>
  <c r="KG98" i="41"/>
  <c r="JX98" i="41"/>
  <c r="JP98" i="41"/>
  <c r="JH98" i="41"/>
  <c r="IZ98" i="41"/>
  <c r="IQ98" i="41"/>
  <c r="II98" i="41"/>
  <c r="IA98" i="41"/>
  <c r="HS98" i="41"/>
  <c r="HJ98" i="41"/>
  <c r="HB98" i="41"/>
  <c r="GT98" i="41"/>
  <c r="GL98" i="41"/>
  <c r="GD98" i="41"/>
  <c r="FU98" i="41"/>
  <c r="FM98" i="41"/>
  <c r="FE98" i="41"/>
  <c r="EW98" i="41"/>
  <c r="EN98" i="41"/>
  <c r="EF98" i="41"/>
  <c r="DX98" i="41"/>
  <c r="DP98" i="41"/>
  <c r="DG98" i="41"/>
  <c r="CY98" i="41"/>
  <c r="CQ98" i="41"/>
  <c r="CI98" i="41"/>
  <c r="CA98" i="41"/>
  <c r="BR98" i="41"/>
  <c r="BJ98" i="41"/>
  <c r="BB98" i="41"/>
  <c r="AT98" i="41"/>
  <c r="AL98" i="41"/>
  <c r="AK98" i="41"/>
  <c r="AC98" i="41"/>
  <c r="U98" i="41"/>
  <c r="M98" i="41"/>
  <c r="MT96" i="41"/>
  <c r="ML96" i="41"/>
  <c r="MD96" i="41"/>
  <c r="LV96" i="41"/>
  <c r="LM96" i="41"/>
  <c r="LE96" i="41"/>
  <c r="KW96" i="41"/>
  <c r="KO96" i="41"/>
  <c r="KG96" i="41"/>
  <c r="JX96" i="41"/>
  <c r="JP96" i="41"/>
  <c r="JH96" i="41"/>
  <c r="IZ96" i="41"/>
  <c r="IQ96" i="41"/>
  <c r="II96" i="41"/>
  <c r="IA96" i="41"/>
  <c r="HS96" i="41"/>
  <c r="HJ96" i="41"/>
  <c r="HB96" i="41"/>
  <c r="GT96" i="41"/>
  <c r="GL96" i="41"/>
  <c r="GD96" i="41"/>
  <c r="FU96" i="41"/>
  <c r="FM96" i="41"/>
  <c r="FE96" i="41"/>
  <c r="EW96" i="41"/>
  <c r="EN96" i="41"/>
  <c r="EF96" i="41"/>
  <c r="DX96" i="41"/>
  <c r="DP96" i="41"/>
  <c r="DG96" i="41"/>
  <c r="CY96" i="41"/>
  <c r="CQ96" i="41"/>
  <c r="CI96" i="41"/>
  <c r="CA96" i="41"/>
  <c r="BR96" i="41"/>
  <c r="BJ96" i="41"/>
  <c r="BB96" i="41"/>
  <c r="AT96" i="41"/>
  <c r="AL96" i="41"/>
  <c r="AK96" i="41"/>
  <c r="AC96" i="41"/>
  <c r="U96" i="41"/>
  <c r="M96" i="41"/>
  <c r="MT94" i="41"/>
  <c r="ML94" i="41"/>
  <c r="MD94" i="41"/>
  <c r="LV94" i="41"/>
  <c r="LM94" i="41"/>
  <c r="LE94" i="41"/>
  <c r="KW94" i="41"/>
  <c r="KO94" i="41"/>
  <c r="KG94" i="41"/>
  <c r="JX94" i="41"/>
  <c r="JP94" i="41"/>
  <c r="JH94" i="41"/>
  <c r="IZ94" i="41"/>
  <c r="IQ94" i="41"/>
  <c r="II94" i="41"/>
  <c r="IA94" i="41"/>
  <c r="HS94" i="41"/>
  <c r="HJ94" i="41"/>
  <c r="HB94" i="41"/>
  <c r="GT94" i="41"/>
  <c r="GL94" i="41"/>
  <c r="GD94" i="41"/>
  <c r="FU94" i="41"/>
  <c r="FM94" i="41"/>
  <c r="FE94" i="41"/>
  <c r="EW94" i="41"/>
  <c r="EN94" i="41"/>
  <c r="EF94" i="41"/>
  <c r="DX94" i="41"/>
  <c r="DP94" i="41"/>
  <c r="DG94" i="41"/>
  <c r="CY94" i="41"/>
  <c r="CQ94" i="41"/>
  <c r="CI94" i="41"/>
  <c r="CA94" i="41"/>
  <c r="BR94" i="41"/>
  <c r="BJ94" i="41"/>
  <c r="BB94" i="41"/>
  <c r="AT94" i="41"/>
  <c r="AL94" i="41"/>
  <c r="AK94" i="41"/>
  <c r="AC94" i="41"/>
  <c r="U94" i="41"/>
  <c r="M94" i="41"/>
  <c r="MT92" i="41"/>
  <c r="ML92" i="41"/>
  <c r="MD92" i="41"/>
  <c r="LV92" i="41"/>
  <c r="LM92" i="41"/>
  <c r="LE92" i="41"/>
  <c r="KW92" i="41"/>
  <c r="KO92" i="41"/>
  <c r="KG92" i="41"/>
  <c r="JX92" i="41"/>
  <c r="JP92" i="41"/>
  <c r="JH92" i="41"/>
  <c r="IZ92" i="41"/>
  <c r="IQ92" i="41"/>
  <c r="II92" i="41"/>
  <c r="IA92" i="41"/>
  <c r="HS92" i="41"/>
  <c r="HJ92" i="41"/>
  <c r="HB92" i="41"/>
  <c r="GT92" i="41"/>
  <c r="GL92" i="41"/>
  <c r="GD92" i="41"/>
  <c r="FU92" i="41"/>
  <c r="FM92" i="41"/>
  <c r="FE92" i="41"/>
  <c r="EW92" i="41"/>
  <c r="EN92" i="41"/>
  <c r="EF92" i="41"/>
  <c r="DX92" i="41"/>
  <c r="DP92" i="41"/>
  <c r="DG92" i="41"/>
  <c r="CY92" i="41"/>
  <c r="CQ92" i="41"/>
  <c r="CI92" i="41"/>
  <c r="CA92" i="41"/>
  <c r="BR92" i="41"/>
  <c r="BJ92" i="41"/>
  <c r="BB92" i="41"/>
  <c r="AT92" i="41"/>
  <c r="AL92" i="41"/>
  <c r="AK92" i="41"/>
  <c r="AC92" i="41"/>
  <c r="U92" i="41"/>
  <c r="M92" i="41"/>
  <c r="MT90" i="41"/>
  <c r="ML90" i="41"/>
  <c r="MD90" i="41"/>
  <c r="LV90" i="41"/>
  <c r="LM90" i="41"/>
  <c r="LE90" i="41"/>
  <c r="KW90" i="41"/>
  <c r="KO90" i="41"/>
  <c r="KG90" i="41"/>
  <c r="JX90" i="41"/>
  <c r="JP90" i="41"/>
  <c r="JH90" i="41"/>
  <c r="IZ90" i="41"/>
  <c r="IQ90" i="41"/>
  <c r="II90" i="41"/>
  <c r="IA90" i="41"/>
  <c r="HS90" i="41"/>
  <c r="HJ90" i="41"/>
  <c r="HB90" i="41"/>
  <c r="GT90" i="41"/>
  <c r="GL90" i="41"/>
  <c r="GD90" i="41"/>
  <c r="FU90" i="41"/>
  <c r="FM90" i="41"/>
  <c r="FE90" i="41"/>
  <c r="EW90" i="41"/>
  <c r="EN90" i="41"/>
  <c r="EF90" i="41"/>
  <c r="DX90" i="41"/>
  <c r="DP90" i="41"/>
  <c r="DG90" i="41"/>
  <c r="CY90" i="41"/>
  <c r="CQ90" i="41"/>
  <c r="CI90" i="41"/>
  <c r="CA90" i="41"/>
  <c r="BR90" i="41"/>
  <c r="BJ90" i="41"/>
  <c r="BB90" i="41"/>
  <c r="AT90" i="41"/>
  <c r="AL90" i="41"/>
  <c r="AK90" i="41"/>
  <c r="AC90" i="41"/>
  <c r="U90" i="41"/>
  <c r="M90" i="41"/>
  <c r="MT88" i="41"/>
  <c r="ML88" i="41"/>
  <c r="MD88" i="41"/>
  <c r="LV88" i="41"/>
  <c r="LM88" i="41"/>
  <c r="LE88" i="41"/>
  <c r="KW88" i="41"/>
  <c r="KO88" i="41"/>
  <c r="KG88" i="41"/>
  <c r="JX88" i="41"/>
  <c r="JP88" i="41"/>
  <c r="JH88" i="41"/>
  <c r="IZ88" i="41"/>
  <c r="IQ88" i="41"/>
  <c r="II88" i="41"/>
  <c r="IA88" i="41"/>
  <c r="HS88" i="41"/>
  <c r="HJ88" i="41"/>
  <c r="HB88" i="41"/>
  <c r="GT88" i="41"/>
  <c r="GL88" i="41"/>
  <c r="GD88" i="41"/>
  <c r="FU88" i="41"/>
  <c r="FM88" i="41"/>
  <c r="FE88" i="41"/>
  <c r="EW88" i="41"/>
  <c r="EN88" i="41"/>
  <c r="EF88" i="41"/>
  <c r="DX88" i="41"/>
  <c r="DP88" i="41"/>
  <c r="DG88" i="41"/>
  <c r="CY88" i="41"/>
  <c r="CQ88" i="41"/>
  <c r="CI88" i="41"/>
  <c r="CA88" i="41"/>
  <c r="BR88" i="41"/>
  <c r="BJ88" i="41"/>
  <c r="BB88" i="41"/>
  <c r="AT88" i="41"/>
  <c r="AL88" i="41"/>
  <c r="AK88" i="41"/>
  <c r="AC88" i="41"/>
  <c r="U88" i="41"/>
  <c r="M88" i="41"/>
  <c r="MT86" i="41"/>
  <c r="ML86" i="41"/>
  <c r="MD86" i="41"/>
  <c r="LV86" i="41"/>
  <c r="LM86" i="41"/>
  <c r="LE86" i="41"/>
  <c r="KW86" i="41"/>
  <c r="KO86" i="41"/>
  <c r="KG86" i="41"/>
  <c r="JX86" i="41"/>
  <c r="JP86" i="41"/>
  <c r="JH86" i="41"/>
  <c r="IZ86" i="41"/>
  <c r="IQ86" i="41"/>
  <c r="II86" i="41"/>
  <c r="IA86" i="41"/>
  <c r="HS86" i="41"/>
  <c r="HJ86" i="41"/>
  <c r="HB86" i="41"/>
  <c r="GT86" i="41"/>
  <c r="GL86" i="41"/>
  <c r="GD86" i="41"/>
  <c r="FU86" i="41"/>
  <c r="FM86" i="41"/>
  <c r="FE86" i="41"/>
  <c r="EW86" i="41"/>
  <c r="EN86" i="41"/>
  <c r="EF86" i="41"/>
  <c r="DX86" i="41"/>
  <c r="DP86" i="41"/>
  <c r="DG86" i="41"/>
  <c r="CY86" i="41"/>
  <c r="CQ86" i="41"/>
  <c r="CI86" i="41"/>
  <c r="CA86" i="41"/>
  <c r="BR86" i="41"/>
  <c r="BJ86" i="41"/>
  <c r="BB86" i="41"/>
  <c r="AT86" i="41"/>
  <c r="AL86" i="41"/>
  <c r="AK86" i="41"/>
  <c r="AC86" i="41"/>
  <c r="U86" i="41"/>
  <c r="M86" i="41"/>
  <c r="LN145" i="41" l="1"/>
  <c r="OB176" i="41"/>
  <c r="MU145" i="41"/>
  <c r="PQ176" i="41"/>
  <c r="JY176" i="41"/>
  <c r="JY38" i="41"/>
  <c r="OB145" i="41"/>
  <c r="JY113" i="41"/>
  <c r="PQ145" i="41"/>
  <c r="JY145" i="41"/>
  <c r="LN176" i="41"/>
  <c r="IR96" i="41"/>
  <c r="BS107" i="41"/>
  <c r="HK92" i="41"/>
  <c r="MU38" i="41"/>
  <c r="LN38" i="41"/>
  <c r="PQ38" i="41"/>
  <c r="OB38" i="41"/>
  <c r="MU94" i="41"/>
  <c r="MU90" i="41"/>
  <c r="MU113" i="41"/>
  <c r="BS105" i="41"/>
  <c r="BS98" i="41"/>
  <c r="IR86" i="41"/>
  <c r="FV96" i="41"/>
  <c r="MU88" i="41"/>
  <c r="IR105" i="41"/>
  <c r="IR88" i="41"/>
  <c r="DH103" i="41"/>
  <c r="JY92" i="41"/>
  <c r="FV92" i="41"/>
  <c r="DH94" i="41"/>
  <c r="LN96" i="41"/>
  <c r="FV88" i="41"/>
  <c r="EO94" i="41"/>
  <c r="FV103" i="41"/>
  <c r="IR100" i="41"/>
  <c r="HK115" i="41"/>
  <c r="DH92" i="41"/>
  <c r="EO98" i="41"/>
  <c r="BS103" i="41"/>
  <c r="EO118" i="41"/>
  <c r="EO88" i="41"/>
  <c r="BS92" i="41"/>
  <c r="EO92" i="41"/>
  <c r="MU98" i="41"/>
  <c r="HK103" i="41"/>
  <c r="DH113" i="41"/>
  <c r="BS115" i="41"/>
  <c r="FV115" i="41"/>
  <c r="DH118" i="41"/>
  <c r="BS120" i="41"/>
  <c r="FV86" i="41"/>
  <c r="LN88" i="41"/>
  <c r="IR92" i="41"/>
  <c r="DH105" i="41"/>
  <c r="EO86" i="41"/>
  <c r="BS100" i="41"/>
  <c r="HK107" i="41"/>
  <c r="EO120" i="41"/>
  <c r="FV98" i="41"/>
  <c r="DH98" i="41"/>
  <c r="HK100" i="41"/>
  <c r="JY103" i="41"/>
  <c r="BS113" i="41"/>
  <c r="IR113" i="41"/>
  <c r="MU120" i="41"/>
  <c r="MU86" i="41"/>
  <c r="BS90" i="41"/>
  <c r="IR94" i="41"/>
  <c r="IR98" i="41"/>
  <c r="MU100" i="41"/>
  <c r="DH107" i="41"/>
  <c r="JY107" i="41"/>
  <c r="MU107" i="41"/>
  <c r="EO113" i="41"/>
  <c r="BS118" i="41"/>
  <c r="HK86" i="41"/>
  <c r="HK88" i="41"/>
  <c r="DH90" i="41"/>
  <c r="MU96" i="41"/>
  <c r="JY98" i="41"/>
  <c r="EO103" i="41"/>
  <c r="MU105" i="41"/>
  <c r="IR107" i="41"/>
  <c r="EO115" i="41"/>
  <c r="LN115" i="41"/>
  <c r="FV118" i="41"/>
  <c r="JY118" i="41"/>
  <c r="MU118" i="41"/>
  <c r="FV120" i="41"/>
  <c r="JY90" i="41"/>
  <c r="LN120" i="41"/>
  <c r="DH86" i="41"/>
  <c r="FV90" i="41"/>
  <c r="LN92" i="41"/>
  <c r="HK94" i="41"/>
  <c r="JY96" i="41"/>
  <c r="EO100" i="41"/>
  <c r="LN100" i="41"/>
  <c r="JY105" i="41"/>
  <c r="FV107" i="41"/>
  <c r="HK113" i="41"/>
  <c r="LN113" i="41"/>
  <c r="MU115" i="41"/>
  <c r="HK120" i="41"/>
  <c r="DH88" i="41"/>
  <c r="JY88" i="41"/>
  <c r="LN90" i="41"/>
  <c r="LN98" i="41"/>
  <c r="EO107" i="41"/>
  <c r="LN107" i="41"/>
  <c r="IR118" i="41"/>
  <c r="JY86" i="41"/>
  <c r="IR90" i="41"/>
  <c r="FV94" i="41"/>
  <c r="DH96" i="41"/>
  <c r="MU103" i="41"/>
  <c r="DH115" i="41"/>
  <c r="JY115" i="41"/>
  <c r="HK118" i="41"/>
  <c r="LN118" i="41"/>
  <c r="HK96" i="41"/>
  <c r="LN103" i="41"/>
  <c r="BS88" i="41"/>
  <c r="EO90" i="41"/>
  <c r="HK90" i="41"/>
  <c r="MU92" i="41"/>
  <c r="JY94" i="41"/>
  <c r="BS96" i="41"/>
  <c r="HK98" i="41"/>
  <c r="FV105" i="41"/>
  <c r="FV113" i="41"/>
  <c r="DH120" i="41"/>
  <c r="JY120" i="41"/>
  <c r="LN94" i="41"/>
  <c r="FV100" i="41"/>
  <c r="BS86" i="41"/>
  <c r="LN86" i="41"/>
  <c r="BS94" i="41"/>
  <c r="EO96" i="41"/>
  <c r="DH100" i="41"/>
  <c r="JY100" i="41"/>
  <c r="IR103" i="41"/>
  <c r="EO105" i="41"/>
  <c r="HK105" i="41"/>
  <c r="LN105" i="41"/>
  <c r="IR115" i="41"/>
  <c r="IR120" i="41"/>
  <c r="PP81" i="41" l="1"/>
  <c r="PH81" i="41"/>
  <c r="OZ81" i="41"/>
  <c r="OR81" i="41"/>
  <c r="OJ81" i="41"/>
  <c r="OA81" i="41"/>
  <c r="NS81" i="41"/>
  <c r="NK81" i="41"/>
  <c r="NC81" i="41"/>
  <c r="MT81" i="41"/>
  <c r="ML81" i="41"/>
  <c r="MD81" i="41"/>
  <c r="LV81" i="41"/>
  <c r="LM81" i="41"/>
  <c r="LE81" i="41"/>
  <c r="KW81" i="41"/>
  <c r="KO81" i="41"/>
  <c r="KG81" i="41"/>
  <c r="JX81" i="41"/>
  <c r="JP81" i="41"/>
  <c r="JH81" i="41"/>
  <c r="IZ81" i="41"/>
  <c r="IQ81" i="41"/>
  <c r="II81" i="41"/>
  <c r="IA81" i="41"/>
  <c r="HS81" i="41"/>
  <c r="HJ81" i="41"/>
  <c r="HB81" i="41"/>
  <c r="GT81" i="41"/>
  <c r="GL81" i="41"/>
  <c r="GD81" i="41"/>
  <c r="FU81" i="41"/>
  <c r="FM81" i="41"/>
  <c r="FE81" i="41"/>
  <c r="EW81" i="41"/>
  <c r="EN81" i="41"/>
  <c r="EF81" i="41"/>
  <c r="DX81" i="41"/>
  <c r="DP81" i="41"/>
  <c r="DG81" i="41"/>
  <c r="CY81" i="41"/>
  <c r="CQ81" i="41"/>
  <c r="CI81" i="41"/>
  <c r="CA81" i="41"/>
  <c r="BR81" i="41"/>
  <c r="BJ81" i="41"/>
  <c r="BB81" i="41"/>
  <c r="AT81" i="41"/>
  <c r="AL81" i="41"/>
  <c r="AK81" i="41"/>
  <c r="AC81" i="41"/>
  <c r="U81" i="41"/>
  <c r="M81" i="41"/>
  <c r="PP80" i="41"/>
  <c r="PH80" i="41"/>
  <c r="OZ80" i="41"/>
  <c r="OR80" i="41"/>
  <c r="OJ80" i="41"/>
  <c r="OA80" i="41"/>
  <c r="NS80" i="41"/>
  <c r="NK80" i="41"/>
  <c r="NC80" i="41"/>
  <c r="MT80" i="41"/>
  <c r="ML80" i="41"/>
  <c r="MD80" i="41"/>
  <c r="LV80" i="41"/>
  <c r="LM80" i="41"/>
  <c r="LE80" i="41"/>
  <c r="KW80" i="41"/>
  <c r="KO80" i="41"/>
  <c r="KG80" i="41"/>
  <c r="JX80" i="41"/>
  <c r="JP80" i="41"/>
  <c r="JH80" i="41"/>
  <c r="IZ80" i="41"/>
  <c r="IQ80" i="41"/>
  <c r="II80" i="41"/>
  <c r="IA80" i="41"/>
  <c r="HS80" i="41"/>
  <c r="HJ80" i="41"/>
  <c r="HB80" i="41"/>
  <c r="GT80" i="41"/>
  <c r="GL80" i="41"/>
  <c r="GD80" i="41"/>
  <c r="FU80" i="41"/>
  <c r="FM80" i="41"/>
  <c r="FE80" i="41"/>
  <c r="EW80" i="41"/>
  <c r="EN80" i="41"/>
  <c r="EF80" i="41"/>
  <c r="DX80" i="41"/>
  <c r="DP80" i="41"/>
  <c r="DG80" i="41"/>
  <c r="CY80" i="41"/>
  <c r="CQ80" i="41"/>
  <c r="CI80" i="41"/>
  <c r="CA80" i="41"/>
  <c r="BR80" i="41"/>
  <c r="BJ80" i="41"/>
  <c r="BB80" i="41"/>
  <c r="AT80" i="41"/>
  <c r="AL80" i="41"/>
  <c r="AK80" i="41"/>
  <c r="AC80" i="41"/>
  <c r="U80" i="41"/>
  <c r="M80" i="41"/>
  <c r="PP78" i="41"/>
  <c r="PH78" i="41"/>
  <c r="OZ78" i="41"/>
  <c r="OR78" i="41"/>
  <c r="OJ78" i="41"/>
  <c r="OA78" i="41"/>
  <c r="NS78" i="41"/>
  <c r="NK78" i="41"/>
  <c r="NC78" i="41"/>
  <c r="MT78" i="41"/>
  <c r="ML78" i="41"/>
  <c r="MD78" i="41"/>
  <c r="LV78" i="41"/>
  <c r="LM78" i="41"/>
  <c r="LE78" i="41"/>
  <c r="KW78" i="41"/>
  <c r="KO78" i="41"/>
  <c r="KG78" i="41"/>
  <c r="JX78" i="41"/>
  <c r="JP78" i="41"/>
  <c r="JH78" i="41"/>
  <c r="IZ78" i="41"/>
  <c r="IQ78" i="41"/>
  <c r="II78" i="41"/>
  <c r="IA78" i="41"/>
  <c r="HS78" i="41"/>
  <c r="HJ78" i="41"/>
  <c r="HB78" i="41"/>
  <c r="GT78" i="41"/>
  <c r="GL78" i="41"/>
  <c r="GD78" i="41"/>
  <c r="FU78" i="41"/>
  <c r="FM78" i="41"/>
  <c r="FE78" i="41"/>
  <c r="EW78" i="41"/>
  <c r="EN78" i="41"/>
  <c r="EF78" i="41"/>
  <c r="DX78" i="41"/>
  <c r="DP78" i="41"/>
  <c r="DG78" i="41"/>
  <c r="CY78" i="41"/>
  <c r="CQ78" i="41"/>
  <c r="CI78" i="41"/>
  <c r="CA78" i="41"/>
  <c r="BR78" i="41"/>
  <c r="BJ78" i="41"/>
  <c r="BB78" i="41"/>
  <c r="AT78" i="41"/>
  <c r="AL78" i="41"/>
  <c r="AK78" i="41"/>
  <c r="AC78" i="41"/>
  <c r="U78" i="41"/>
  <c r="M78" i="41"/>
  <c r="PP77" i="41"/>
  <c r="PH77" i="41"/>
  <c r="OZ77" i="41"/>
  <c r="OR77" i="41"/>
  <c r="OJ77" i="41"/>
  <c r="OA77" i="41"/>
  <c r="NS77" i="41"/>
  <c r="NK77" i="41"/>
  <c r="NC77" i="41"/>
  <c r="MT77" i="41"/>
  <c r="ML77" i="41"/>
  <c r="MD77" i="41"/>
  <c r="LV77" i="41"/>
  <c r="LM77" i="41"/>
  <c r="LE77" i="41"/>
  <c r="KW77" i="41"/>
  <c r="KO77" i="41"/>
  <c r="KG77" i="41"/>
  <c r="JX77" i="41"/>
  <c r="JP77" i="41"/>
  <c r="JH77" i="41"/>
  <c r="IZ77" i="41"/>
  <c r="IQ77" i="41"/>
  <c r="II77" i="41"/>
  <c r="IA77" i="41"/>
  <c r="HS77" i="41"/>
  <c r="HJ77" i="41"/>
  <c r="HB77" i="41"/>
  <c r="GT77" i="41"/>
  <c r="GL77" i="41"/>
  <c r="GD77" i="41"/>
  <c r="FU77" i="41"/>
  <c r="FM77" i="41"/>
  <c r="FE77" i="41"/>
  <c r="EW77" i="41"/>
  <c r="EN77" i="41"/>
  <c r="EF77" i="41"/>
  <c r="DX77" i="41"/>
  <c r="DP77" i="41"/>
  <c r="DG77" i="41"/>
  <c r="CY77" i="41"/>
  <c r="CQ77" i="41"/>
  <c r="CI77" i="41"/>
  <c r="CA77" i="41"/>
  <c r="BR77" i="41"/>
  <c r="BJ77" i="41"/>
  <c r="BB77" i="41"/>
  <c r="AT77" i="41"/>
  <c r="AL77" i="41"/>
  <c r="AK77" i="41"/>
  <c r="AC77" i="41"/>
  <c r="U77" i="41"/>
  <c r="M77" i="41"/>
  <c r="PP75" i="41"/>
  <c r="PH75" i="41"/>
  <c r="OZ75" i="41"/>
  <c r="OR75" i="41"/>
  <c r="OJ75" i="41"/>
  <c r="OA75" i="41"/>
  <c r="NS75" i="41"/>
  <c r="NK75" i="41"/>
  <c r="NC75" i="41"/>
  <c r="MT75" i="41"/>
  <c r="ML75" i="41"/>
  <c r="MD75" i="41"/>
  <c r="LV75" i="41"/>
  <c r="LM75" i="41"/>
  <c r="LE75" i="41"/>
  <c r="KW75" i="41"/>
  <c r="KO75" i="41"/>
  <c r="KG75" i="41"/>
  <c r="JX75" i="41"/>
  <c r="JP75" i="41"/>
  <c r="JH75" i="41"/>
  <c r="IZ75" i="41"/>
  <c r="IQ75" i="41"/>
  <c r="II75" i="41"/>
  <c r="IA75" i="41"/>
  <c r="HS75" i="41"/>
  <c r="HJ75" i="41"/>
  <c r="HB75" i="41"/>
  <c r="GT75" i="41"/>
  <c r="GL75" i="41"/>
  <c r="GD75" i="41"/>
  <c r="FU75" i="41"/>
  <c r="FM75" i="41"/>
  <c r="FE75" i="41"/>
  <c r="EW75" i="41"/>
  <c r="EN75" i="41"/>
  <c r="EF75" i="41"/>
  <c r="DX75" i="41"/>
  <c r="DP75" i="41"/>
  <c r="DG75" i="41"/>
  <c r="CY75" i="41"/>
  <c r="CQ75" i="41"/>
  <c r="CI75" i="41"/>
  <c r="CA75" i="41"/>
  <c r="BR75" i="41"/>
  <c r="BJ75" i="41"/>
  <c r="BB75" i="41"/>
  <c r="AT75" i="41"/>
  <c r="AL75" i="41"/>
  <c r="AK75" i="41"/>
  <c r="AC75" i="41"/>
  <c r="U75" i="41"/>
  <c r="M75" i="41"/>
  <c r="PP74" i="41"/>
  <c r="PH74" i="41"/>
  <c r="OZ74" i="41"/>
  <c r="OR74" i="41"/>
  <c r="OJ74" i="41"/>
  <c r="OA74" i="41"/>
  <c r="NS74" i="41"/>
  <c r="NK74" i="41"/>
  <c r="NC74" i="41"/>
  <c r="MT74" i="41"/>
  <c r="ML74" i="41"/>
  <c r="MD74" i="41"/>
  <c r="LV74" i="41"/>
  <c r="LM74" i="41"/>
  <c r="LE74" i="41"/>
  <c r="KW74" i="41"/>
  <c r="KO74" i="41"/>
  <c r="KG74" i="41"/>
  <c r="JX74" i="41"/>
  <c r="JP74" i="41"/>
  <c r="JH74" i="41"/>
  <c r="IZ74" i="41"/>
  <c r="IQ74" i="41"/>
  <c r="II74" i="41"/>
  <c r="IA74" i="41"/>
  <c r="HS74" i="41"/>
  <c r="HJ74" i="41"/>
  <c r="HB74" i="41"/>
  <c r="GT74" i="41"/>
  <c r="GL74" i="41"/>
  <c r="GD74" i="41"/>
  <c r="FU74" i="41"/>
  <c r="FM74" i="41"/>
  <c r="FE74" i="41"/>
  <c r="EW74" i="41"/>
  <c r="EN74" i="41"/>
  <c r="EF74" i="41"/>
  <c r="DX74" i="41"/>
  <c r="DP74" i="41"/>
  <c r="DG74" i="41"/>
  <c r="CY74" i="41"/>
  <c r="CQ74" i="41"/>
  <c r="CI74" i="41"/>
  <c r="CA74" i="41"/>
  <c r="BR74" i="41"/>
  <c r="BJ74" i="41"/>
  <c r="BB74" i="41"/>
  <c r="AT74" i="41"/>
  <c r="AL74" i="41"/>
  <c r="AK74" i="41"/>
  <c r="AC74" i="41"/>
  <c r="U74" i="41"/>
  <c r="M74" i="41"/>
  <c r="PP72" i="41"/>
  <c r="PH72" i="41"/>
  <c r="OZ72" i="41"/>
  <c r="OR72" i="41"/>
  <c r="OJ72" i="41"/>
  <c r="OA72" i="41"/>
  <c r="NS72" i="41"/>
  <c r="NK72" i="41"/>
  <c r="NC72" i="41"/>
  <c r="MT72" i="41"/>
  <c r="ML72" i="41"/>
  <c r="MD72" i="41"/>
  <c r="LV72" i="41"/>
  <c r="LM72" i="41"/>
  <c r="LE72" i="41"/>
  <c r="KW72" i="41"/>
  <c r="KO72" i="41"/>
  <c r="KG72" i="41"/>
  <c r="JX72" i="41"/>
  <c r="JP72" i="41"/>
  <c r="JH72" i="41"/>
  <c r="IZ72" i="41"/>
  <c r="IQ72" i="41"/>
  <c r="II72" i="41"/>
  <c r="IA72" i="41"/>
  <c r="HS72" i="41"/>
  <c r="HJ72" i="41"/>
  <c r="HB72" i="41"/>
  <c r="GT72" i="41"/>
  <c r="GL72" i="41"/>
  <c r="GD72" i="41"/>
  <c r="FU72" i="41"/>
  <c r="FM72" i="41"/>
  <c r="FE72" i="41"/>
  <c r="EW72" i="41"/>
  <c r="EN72" i="41"/>
  <c r="EF72" i="41"/>
  <c r="DX72" i="41"/>
  <c r="DP72" i="41"/>
  <c r="DG72" i="41"/>
  <c r="CY72" i="41"/>
  <c r="CQ72" i="41"/>
  <c r="CI72" i="41"/>
  <c r="CA72" i="41"/>
  <c r="BR72" i="41"/>
  <c r="BJ72" i="41"/>
  <c r="BB72" i="41"/>
  <c r="AT72" i="41"/>
  <c r="AL72" i="41"/>
  <c r="AK72" i="41"/>
  <c r="AC72" i="41"/>
  <c r="U72" i="41"/>
  <c r="M72" i="41"/>
  <c r="PP71" i="41"/>
  <c r="PH71" i="41"/>
  <c r="OZ71" i="41"/>
  <c r="OR71" i="41"/>
  <c r="OJ71" i="41"/>
  <c r="OA71" i="41"/>
  <c r="NS71" i="41"/>
  <c r="NK71" i="41"/>
  <c r="NC71" i="41"/>
  <c r="MT71" i="41"/>
  <c r="ML71" i="41"/>
  <c r="MD71" i="41"/>
  <c r="LV71" i="41"/>
  <c r="LM71" i="41"/>
  <c r="LE71" i="41"/>
  <c r="KW71" i="41"/>
  <c r="KO71" i="41"/>
  <c r="KG71" i="41"/>
  <c r="JX71" i="41"/>
  <c r="JP71" i="41"/>
  <c r="JH71" i="41"/>
  <c r="IZ71" i="41"/>
  <c r="IQ71" i="41"/>
  <c r="II71" i="41"/>
  <c r="IA71" i="41"/>
  <c r="HS71" i="41"/>
  <c r="HJ71" i="41"/>
  <c r="HB71" i="41"/>
  <c r="GT71" i="41"/>
  <c r="GL71" i="41"/>
  <c r="GD71" i="41"/>
  <c r="FU71" i="41"/>
  <c r="FM71" i="41"/>
  <c r="FE71" i="41"/>
  <c r="EW71" i="41"/>
  <c r="EN71" i="41"/>
  <c r="EF71" i="41"/>
  <c r="DX71" i="41"/>
  <c r="DP71" i="41"/>
  <c r="DG71" i="41"/>
  <c r="CY71" i="41"/>
  <c r="CQ71" i="41"/>
  <c r="CI71" i="41"/>
  <c r="CA71" i="41"/>
  <c r="BR71" i="41"/>
  <c r="BJ71" i="41"/>
  <c r="BB71" i="41"/>
  <c r="AT71" i="41"/>
  <c r="AL71" i="41"/>
  <c r="AK71" i="41"/>
  <c r="AC71" i="41"/>
  <c r="U71" i="41"/>
  <c r="M71" i="41"/>
  <c r="PP69" i="41"/>
  <c r="PH69" i="41"/>
  <c r="OZ69" i="41"/>
  <c r="OR69" i="41"/>
  <c r="OJ69" i="41"/>
  <c r="OA69" i="41"/>
  <c r="NS69" i="41"/>
  <c r="NK69" i="41"/>
  <c r="NC69" i="41"/>
  <c r="MT69" i="41"/>
  <c r="ML69" i="41"/>
  <c r="MD69" i="41"/>
  <c r="LV69" i="41"/>
  <c r="LM69" i="41"/>
  <c r="LE69" i="41"/>
  <c r="KW69" i="41"/>
  <c r="KO69" i="41"/>
  <c r="KG69" i="41"/>
  <c r="JX69" i="41"/>
  <c r="JP69" i="41"/>
  <c r="JH69" i="41"/>
  <c r="IZ69" i="41"/>
  <c r="IQ69" i="41"/>
  <c r="II69" i="41"/>
  <c r="IA69" i="41"/>
  <c r="HS69" i="41"/>
  <c r="HJ69" i="41"/>
  <c r="HB69" i="41"/>
  <c r="GT69" i="41"/>
  <c r="GL69" i="41"/>
  <c r="GD69" i="41"/>
  <c r="FU69" i="41"/>
  <c r="FM69" i="41"/>
  <c r="FE69" i="41"/>
  <c r="EW69" i="41"/>
  <c r="EN69" i="41"/>
  <c r="EF69" i="41"/>
  <c r="DX69" i="41"/>
  <c r="DP69" i="41"/>
  <c r="DG69" i="41"/>
  <c r="CY69" i="41"/>
  <c r="CQ69" i="41"/>
  <c r="CI69" i="41"/>
  <c r="CA69" i="41"/>
  <c r="BR69" i="41"/>
  <c r="BJ69" i="41"/>
  <c r="BB69" i="41"/>
  <c r="AT69" i="41"/>
  <c r="AL69" i="41"/>
  <c r="AK69" i="41"/>
  <c r="AC69" i="41"/>
  <c r="U69" i="41"/>
  <c r="M69" i="41"/>
  <c r="PP68" i="41"/>
  <c r="PH68" i="41"/>
  <c r="OZ68" i="41"/>
  <c r="OR68" i="41"/>
  <c r="OJ68" i="41"/>
  <c r="OA68" i="41"/>
  <c r="NS68" i="41"/>
  <c r="NK68" i="41"/>
  <c r="NC68" i="41"/>
  <c r="MT68" i="41"/>
  <c r="ML68" i="41"/>
  <c r="MD68" i="41"/>
  <c r="LV68" i="41"/>
  <c r="LM68" i="41"/>
  <c r="LE68" i="41"/>
  <c r="KW68" i="41"/>
  <c r="KO68" i="41"/>
  <c r="KG68" i="41"/>
  <c r="JX68" i="41"/>
  <c r="JP68" i="41"/>
  <c r="JH68" i="41"/>
  <c r="IZ68" i="41"/>
  <c r="IQ68" i="41"/>
  <c r="II68" i="41"/>
  <c r="IA68" i="41"/>
  <c r="HS68" i="41"/>
  <c r="HJ68" i="41"/>
  <c r="HB68" i="41"/>
  <c r="GT68" i="41"/>
  <c r="GL68" i="41"/>
  <c r="GD68" i="41"/>
  <c r="FU68" i="41"/>
  <c r="FM68" i="41"/>
  <c r="FE68" i="41"/>
  <c r="EW68" i="41"/>
  <c r="EN68" i="41"/>
  <c r="EF68" i="41"/>
  <c r="DX68" i="41"/>
  <c r="DP68" i="41"/>
  <c r="DG68" i="41"/>
  <c r="CY68" i="41"/>
  <c r="CQ68" i="41"/>
  <c r="CI68" i="41"/>
  <c r="CA68" i="41"/>
  <c r="BR68" i="41"/>
  <c r="BJ68" i="41"/>
  <c r="BB68" i="41"/>
  <c r="AT68" i="41"/>
  <c r="AL68" i="41"/>
  <c r="AK68" i="41"/>
  <c r="AC68" i="41"/>
  <c r="U68" i="41"/>
  <c r="M68" i="41"/>
  <c r="PP66" i="41"/>
  <c r="PH66" i="41"/>
  <c r="OZ66" i="41"/>
  <c r="OR66" i="41"/>
  <c r="OJ66" i="41"/>
  <c r="OA66" i="41"/>
  <c r="NS66" i="41"/>
  <c r="NK66" i="41"/>
  <c r="NC66" i="41"/>
  <c r="MT66" i="41"/>
  <c r="ML66" i="41"/>
  <c r="MD66" i="41"/>
  <c r="LV66" i="41"/>
  <c r="LM66" i="41"/>
  <c r="LE66" i="41"/>
  <c r="KW66" i="41"/>
  <c r="KO66" i="41"/>
  <c r="KG66" i="41"/>
  <c r="JX66" i="41"/>
  <c r="JP66" i="41"/>
  <c r="JH66" i="41"/>
  <c r="IZ66" i="41"/>
  <c r="IQ66" i="41"/>
  <c r="II66" i="41"/>
  <c r="IA66" i="41"/>
  <c r="HS66" i="41"/>
  <c r="HJ66" i="41"/>
  <c r="HB66" i="41"/>
  <c r="GT66" i="41"/>
  <c r="GL66" i="41"/>
  <c r="GD66" i="41"/>
  <c r="FU66" i="41"/>
  <c r="FM66" i="41"/>
  <c r="FE66" i="41"/>
  <c r="EW66" i="41"/>
  <c r="EN66" i="41"/>
  <c r="EF66" i="41"/>
  <c r="DX66" i="41"/>
  <c r="DP66" i="41"/>
  <c r="DG66" i="41"/>
  <c r="CY66" i="41"/>
  <c r="CQ66" i="41"/>
  <c r="CI66" i="41"/>
  <c r="CA66" i="41"/>
  <c r="BR66" i="41"/>
  <c r="BJ66" i="41"/>
  <c r="BB66" i="41"/>
  <c r="AT66" i="41"/>
  <c r="AL66" i="41"/>
  <c r="AK66" i="41"/>
  <c r="AC66" i="41"/>
  <c r="U66" i="41"/>
  <c r="M66" i="41"/>
  <c r="PP65" i="41"/>
  <c r="PH65" i="41"/>
  <c r="OZ65" i="41"/>
  <c r="OR65" i="41"/>
  <c r="OJ65" i="41"/>
  <c r="OA65" i="41"/>
  <c r="NS65" i="41"/>
  <c r="NK65" i="41"/>
  <c r="NC65" i="41"/>
  <c r="MT65" i="41"/>
  <c r="ML65" i="41"/>
  <c r="MD65" i="41"/>
  <c r="LV65" i="41"/>
  <c r="LM65" i="41"/>
  <c r="LE65" i="41"/>
  <c r="KW65" i="41"/>
  <c r="KO65" i="41"/>
  <c r="KG65" i="41"/>
  <c r="JX65" i="41"/>
  <c r="JP65" i="41"/>
  <c r="JH65" i="41"/>
  <c r="IZ65" i="41"/>
  <c r="IQ65" i="41"/>
  <c r="II65" i="41"/>
  <c r="IA65" i="41"/>
  <c r="HS65" i="41"/>
  <c r="HJ65" i="41"/>
  <c r="HB65" i="41"/>
  <c r="GT65" i="41"/>
  <c r="GL65" i="41"/>
  <c r="GD65" i="41"/>
  <c r="FU65" i="41"/>
  <c r="FM65" i="41"/>
  <c r="FE65" i="41"/>
  <c r="EW65" i="41"/>
  <c r="EN65" i="41"/>
  <c r="EF65" i="41"/>
  <c r="DX65" i="41"/>
  <c r="DP65" i="41"/>
  <c r="DG65" i="41"/>
  <c r="CY65" i="41"/>
  <c r="CQ65" i="41"/>
  <c r="CI65" i="41"/>
  <c r="CA65" i="41"/>
  <c r="BR65" i="41"/>
  <c r="BJ65" i="41"/>
  <c r="BB65" i="41"/>
  <c r="AT65" i="41"/>
  <c r="AL65" i="41"/>
  <c r="AK65" i="41"/>
  <c r="AC65" i="41"/>
  <c r="U65" i="41"/>
  <c r="M65" i="41"/>
  <c r="PP63" i="41"/>
  <c r="PH63" i="41"/>
  <c r="OZ63" i="41"/>
  <c r="OR63" i="41"/>
  <c r="OJ63" i="41"/>
  <c r="OA63" i="41"/>
  <c r="NS63" i="41"/>
  <c r="NK63" i="41"/>
  <c r="NC63" i="41"/>
  <c r="MT63" i="41"/>
  <c r="ML63" i="41"/>
  <c r="MD63" i="41"/>
  <c r="LV63" i="41"/>
  <c r="LM63" i="41"/>
  <c r="LE63" i="41"/>
  <c r="KW63" i="41"/>
  <c r="KO63" i="41"/>
  <c r="KG63" i="41"/>
  <c r="JX63" i="41"/>
  <c r="JP63" i="41"/>
  <c r="JH63" i="41"/>
  <c r="IZ63" i="41"/>
  <c r="IQ63" i="41"/>
  <c r="II63" i="41"/>
  <c r="IA63" i="41"/>
  <c r="HS63" i="41"/>
  <c r="HJ63" i="41"/>
  <c r="HB63" i="41"/>
  <c r="GT63" i="41"/>
  <c r="GL63" i="41"/>
  <c r="GD63" i="41"/>
  <c r="FU63" i="41"/>
  <c r="FM63" i="41"/>
  <c r="FE63" i="41"/>
  <c r="EW63" i="41"/>
  <c r="EN63" i="41"/>
  <c r="EF63" i="41"/>
  <c r="DX63" i="41"/>
  <c r="DP63" i="41"/>
  <c r="DG63" i="41"/>
  <c r="CY63" i="41"/>
  <c r="CQ63" i="41"/>
  <c r="CI63" i="41"/>
  <c r="CA63" i="41"/>
  <c r="BR63" i="41"/>
  <c r="BJ63" i="41"/>
  <c r="BB63" i="41"/>
  <c r="AT63" i="41"/>
  <c r="AL63" i="41"/>
  <c r="AK63" i="41"/>
  <c r="AC63" i="41"/>
  <c r="U63" i="41"/>
  <c r="M63" i="41"/>
  <c r="PP62" i="41"/>
  <c r="PH62" i="41"/>
  <c r="OZ62" i="41"/>
  <c r="OR62" i="41"/>
  <c r="OJ62" i="41"/>
  <c r="OA62" i="41"/>
  <c r="NS62" i="41"/>
  <c r="NK62" i="41"/>
  <c r="NC62" i="41"/>
  <c r="MT62" i="41"/>
  <c r="ML62" i="41"/>
  <c r="MD62" i="41"/>
  <c r="LV62" i="41"/>
  <c r="LM62" i="41"/>
  <c r="LE62" i="41"/>
  <c r="KW62" i="41"/>
  <c r="KO62" i="41"/>
  <c r="KG62" i="41"/>
  <c r="JX62" i="41"/>
  <c r="JP62" i="41"/>
  <c r="JH62" i="41"/>
  <c r="IZ62" i="41"/>
  <c r="IQ62" i="41"/>
  <c r="II62" i="41"/>
  <c r="IA62" i="41"/>
  <c r="HS62" i="41"/>
  <c r="HJ62" i="41"/>
  <c r="HB62" i="41"/>
  <c r="GT62" i="41"/>
  <c r="GL62" i="41"/>
  <c r="GD62" i="41"/>
  <c r="FU62" i="41"/>
  <c r="FM62" i="41"/>
  <c r="FE62" i="41"/>
  <c r="EW62" i="41"/>
  <c r="EN62" i="41"/>
  <c r="EF62" i="41"/>
  <c r="DX62" i="41"/>
  <c r="DP62" i="41"/>
  <c r="DG62" i="41"/>
  <c r="CY62" i="41"/>
  <c r="CQ62" i="41"/>
  <c r="CI62" i="41"/>
  <c r="CA62" i="41"/>
  <c r="BR62" i="41"/>
  <c r="BJ62" i="41"/>
  <c r="BB62" i="41"/>
  <c r="AT62" i="41"/>
  <c r="AL62" i="41"/>
  <c r="AK62" i="41"/>
  <c r="AC62" i="41"/>
  <c r="U62" i="41"/>
  <c r="M62" i="41"/>
  <c r="PP60" i="41"/>
  <c r="PH60" i="41"/>
  <c r="OZ60" i="41"/>
  <c r="OR60" i="41"/>
  <c r="OJ60" i="41"/>
  <c r="OA60" i="41"/>
  <c r="NS60" i="41"/>
  <c r="NK60" i="41"/>
  <c r="NC60" i="41"/>
  <c r="MT60" i="41"/>
  <c r="ML60" i="41"/>
  <c r="MD60" i="41"/>
  <c r="LV60" i="41"/>
  <c r="LM60" i="41"/>
  <c r="LE60" i="41"/>
  <c r="KW60" i="41"/>
  <c r="KO60" i="41"/>
  <c r="KG60" i="41"/>
  <c r="JX60" i="41"/>
  <c r="JP60" i="41"/>
  <c r="JH60" i="41"/>
  <c r="IZ60" i="41"/>
  <c r="IQ60" i="41"/>
  <c r="II60" i="41"/>
  <c r="IA60" i="41"/>
  <c r="HS60" i="41"/>
  <c r="HJ60" i="41"/>
  <c r="HB60" i="41"/>
  <c r="GT60" i="41"/>
  <c r="GL60" i="41"/>
  <c r="GD60" i="41"/>
  <c r="FU60" i="41"/>
  <c r="FM60" i="41"/>
  <c r="FE60" i="41"/>
  <c r="EW60" i="41"/>
  <c r="EN60" i="41"/>
  <c r="EF60" i="41"/>
  <c r="DX60" i="41"/>
  <c r="DP60" i="41"/>
  <c r="DG60" i="41"/>
  <c r="CY60" i="41"/>
  <c r="CQ60" i="41"/>
  <c r="CI60" i="41"/>
  <c r="CA60" i="41"/>
  <c r="BR60" i="41"/>
  <c r="BJ60" i="41"/>
  <c r="BB60" i="41"/>
  <c r="AT60" i="41"/>
  <c r="AL60" i="41"/>
  <c r="AK60" i="41"/>
  <c r="AC60" i="41"/>
  <c r="U60" i="41"/>
  <c r="M60" i="41"/>
  <c r="PP59" i="41"/>
  <c r="PH59" i="41"/>
  <c r="OZ59" i="41"/>
  <c r="OR59" i="41"/>
  <c r="OJ59" i="41"/>
  <c r="OA59" i="41"/>
  <c r="NS59" i="41"/>
  <c r="NK59" i="41"/>
  <c r="NC59" i="41"/>
  <c r="MT59" i="41"/>
  <c r="ML59" i="41"/>
  <c r="MD59" i="41"/>
  <c r="LV59" i="41"/>
  <c r="LM59" i="41"/>
  <c r="LE59" i="41"/>
  <c r="KW59" i="41"/>
  <c r="KO59" i="41"/>
  <c r="KG59" i="41"/>
  <c r="JX59" i="41"/>
  <c r="JP59" i="41"/>
  <c r="JH59" i="41"/>
  <c r="IZ59" i="41"/>
  <c r="IQ59" i="41"/>
  <c r="II59" i="41"/>
  <c r="IA59" i="41"/>
  <c r="HS59" i="41"/>
  <c r="HJ59" i="41"/>
  <c r="HB59" i="41"/>
  <c r="GT59" i="41"/>
  <c r="GL59" i="41"/>
  <c r="GD59" i="41"/>
  <c r="FU59" i="41"/>
  <c r="FM59" i="41"/>
  <c r="FE59" i="41"/>
  <c r="EW59" i="41"/>
  <c r="EN59" i="41"/>
  <c r="EF59" i="41"/>
  <c r="DX59" i="41"/>
  <c r="DP59" i="41"/>
  <c r="DG59" i="41"/>
  <c r="CY59" i="41"/>
  <c r="CQ59" i="41"/>
  <c r="CI59" i="41"/>
  <c r="CA59" i="41"/>
  <c r="BR59" i="41"/>
  <c r="BJ59" i="41"/>
  <c r="BB59" i="41"/>
  <c r="AT59" i="41"/>
  <c r="AL59" i="41"/>
  <c r="AK59" i="41"/>
  <c r="AC59" i="41"/>
  <c r="U59" i="41"/>
  <c r="M59" i="41"/>
  <c r="PP57" i="41"/>
  <c r="PH57" i="41"/>
  <c r="OZ57" i="41"/>
  <c r="OR57" i="41"/>
  <c r="OJ57" i="41"/>
  <c r="OA57" i="41"/>
  <c r="NS57" i="41"/>
  <c r="NK57" i="41"/>
  <c r="NC57" i="41"/>
  <c r="MT57" i="41"/>
  <c r="ML57" i="41"/>
  <c r="MD57" i="41"/>
  <c r="LV57" i="41"/>
  <c r="LM57" i="41"/>
  <c r="LE57" i="41"/>
  <c r="KW57" i="41"/>
  <c r="KO57" i="41"/>
  <c r="KG57" i="41"/>
  <c r="JX57" i="41"/>
  <c r="JP57" i="41"/>
  <c r="JH57" i="41"/>
  <c r="IZ57" i="41"/>
  <c r="IQ57" i="41"/>
  <c r="II57" i="41"/>
  <c r="IA57" i="41"/>
  <c r="HS57" i="41"/>
  <c r="HJ57" i="41"/>
  <c r="HB57" i="41"/>
  <c r="GT57" i="41"/>
  <c r="GL57" i="41"/>
  <c r="GD57" i="41"/>
  <c r="FU57" i="41"/>
  <c r="FM57" i="41"/>
  <c r="FE57" i="41"/>
  <c r="EW57" i="41"/>
  <c r="EN57" i="41"/>
  <c r="EF57" i="41"/>
  <c r="DX57" i="41"/>
  <c r="DP57" i="41"/>
  <c r="DG57" i="41"/>
  <c r="CY57" i="41"/>
  <c r="CQ57" i="41"/>
  <c r="CI57" i="41"/>
  <c r="CA57" i="41"/>
  <c r="BR57" i="41"/>
  <c r="BJ57" i="41"/>
  <c r="BB57" i="41"/>
  <c r="AT57" i="41"/>
  <c r="AL57" i="41"/>
  <c r="AK57" i="41"/>
  <c r="AC57" i="41"/>
  <c r="U57" i="41"/>
  <c r="M57" i="41"/>
  <c r="PP56" i="41"/>
  <c r="PH56" i="41"/>
  <c r="OZ56" i="41"/>
  <c r="OR56" i="41"/>
  <c r="OJ56" i="41"/>
  <c r="OA56" i="41"/>
  <c r="NS56" i="41"/>
  <c r="NK56" i="41"/>
  <c r="NC56" i="41"/>
  <c r="MT56" i="41"/>
  <c r="ML56" i="41"/>
  <c r="MD56" i="41"/>
  <c r="LV56" i="41"/>
  <c r="LM56" i="41"/>
  <c r="LE56" i="41"/>
  <c r="KW56" i="41"/>
  <c r="KO56" i="41"/>
  <c r="KG56" i="41"/>
  <c r="JX56" i="41"/>
  <c r="JP56" i="41"/>
  <c r="JH56" i="41"/>
  <c r="IZ56" i="41"/>
  <c r="IQ56" i="41"/>
  <c r="II56" i="41"/>
  <c r="IA56" i="41"/>
  <c r="HS56" i="41"/>
  <c r="HJ56" i="41"/>
  <c r="HB56" i="41"/>
  <c r="GT56" i="41"/>
  <c r="GL56" i="41"/>
  <c r="GD56" i="41"/>
  <c r="FU56" i="41"/>
  <c r="FM56" i="41"/>
  <c r="FE56" i="41"/>
  <c r="EW56" i="41"/>
  <c r="EN56" i="41"/>
  <c r="EF56" i="41"/>
  <c r="DX56" i="41"/>
  <c r="DP56" i="41"/>
  <c r="DG56" i="41"/>
  <c r="CY56" i="41"/>
  <c r="CQ56" i="41"/>
  <c r="CI56" i="41"/>
  <c r="CA56" i="41"/>
  <c r="BR56" i="41"/>
  <c r="BJ56" i="41"/>
  <c r="BB56" i="41"/>
  <c r="AT56" i="41"/>
  <c r="AL56" i="41"/>
  <c r="AK56" i="41"/>
  <c r="AC56" i="41"/>
  <c r="U56" i="41"/>
  <c r="M56" i="41"/>
  <c r="PP54" i="41"/>
  <c r="PH54" i="41"/>
  <c r="OZ54" i="41"/>
  <c r="OR54" i="41"/>
  <c r="OJ54" i="41"/>
  <c r="OA54" i="41"/>
  <c r="NS54" i="41"/>
  <c r="NK54" i="41"/>
  <c r="NC54" i="41"/>
  <c r="MT54" i="41"/>
  <c r="ML54" i="41"/>
  <c r="MD54" i="41"/>
  <c r="LV54" i="41"/>
  <c r="LM54" i="41"/>
  <c r="LE54" i="41"/>
  <c r="KW54" i="41"/>
  <c r="KO54" i="41"/>
  <c r="KG54" i="41"/>
  <c r="JX54" i="41"/>
  <c r="JP54" i="41"/>
  <c r="JH54" i="41"/>
  <c r="IZ54" i="41"/>
  <c r="IQ54" i="41"/>
  <c r="II54" i="41"/>
  <c r="IA54" i="41"/>
  <c r="HS54" i="41"/>
  <c r="HJ54" i="41"/>
  <c r="HB54" i="41"/>
  <c r="GT54" i="41"/>
  <c r="GL54" i="41"/>
  <c r="GD54" i="41"/>
  <c r="FU54" i="41"/>
  <c r="FM54" i="41"/>
  <c r="FE54" i="41"/>
  <c r="EW54" i="41"/>
  <c r="EN54" i="41"/>
  <c r="EF54" i="41"/>
  <c r="DX54" i="41"/>
  <c r="DP54" i="41"/>
  <c r="DG54" i="41"/>
  <c r="CY54" i="41"/>
  <c r="CQ54" i="41"/>
  <c r="CI54" i="41"/>
  <c r="CA54" i="41"/>
  <c r="BR54" i="41"/>
  <c r="BJ54" i="41"/>
  <c r="BB54" i="41"/>
  <c r="AT54" i="41"/>
  <c r="AL54" i="41"/>
  <c r="AK54" i="41"/>
  <c r="AC54" i="41"/>
  <c r="U54" i="41"/>
  <c r="M54" i="41"/>
  <c r="PP53" i="41"/>
  <c r="PH53" i="41"/>
  <c r="OZ53" i="41"/>
  <c r="OR53" i="41"/>
  <c r="OJ53" i="41"/>
  <c r="OA53" i="41"/>
  <c r="NS53" i="41"/>
  <c r="NK53" i="41"/>
  <c r="NC53" i="41"/>
  <c r="MT53" i="41"/>
  <c r="ML53" i="41"/>
  <c r="MD53" i="41"/>
  <c r="LV53" i="41"/>
  <c r="LM53" i="41"/>
  <c r="LE53" i="41"/>
  <c r="KW53" i="41"/>
  <c r="KO53" i="41"/>
  <c r="KG53" i="41"/>
  <c r="JX53" i="41"/>
  <c r="JP53" i="41"/>
  <c r="JH53" i="41"/>
  <c r="IZ53" i="41"/>
  <c r="IQ53" i="41"/>
  <c r="II53" i="41"/>
  <c r="IA53" i="41"/>
  <c r="HS53" i="41"/>
  <c r="HJ53" i="41"/>
  <c r="HB53" i="41"/>
  <c r="GT53" i="41"/>
  <c r="GL53" i="41"/>
  <c r="GD53" i="41"/>
  <c r="FU53" i="41"/>
  <c r="FM53" i="41"/>
  <c r="FE53" i="41"/>
  <c r="EW53" i="41"/>
  <c r="EN53" i="41"/>
  <c r="EF53" i="41"/>
  <c r="DX53" i="41"/>
  <c r="DP53" i="41"/>
  <c r="DG53" i="41"/>
  <c r="CY53" i="41"/>
  <c r="CQ53" i="41"/>
  <c r="CI53" i="41"/>
  <c r="CA53" i="41"/>
  <c r="BR53" i="41"/>
  <c r="BJ53" i="41"/>
  <c r="BB53" i="41"/>
  <c r="AT53" i="41"/>
  <c r="AL53" i="41"/>
  <c r="AK53" i="41"/>
  <c r="AC53" i="41"/>
  <c r="U53" i="41"/>
  <c r="M53" i="41"/>
  <c r="JY53" i="41" l="1"/>
  <c r="JY80" i="41"/>
  <c r="JY54" i="41"/>
  <c r="JY78" i="41"/>
  <c r="JY62" i="41"/>
  <c r="JY72" i="41"/>
  <c r="JY77" i="41"/>
  <c r="JY75" i="41"/>
  <c r="JY74" i="41"/>
  <c r="JY69" i="41"/>
  <c r="JY66" i="41"/>
  <c r="JY65" i="41"/>
  <c r="JY68" i="41"/>
  <c r="JY63" i="41"/>
  <c r="JY71" i="41"/>
  <c r="JY60" i="41"/>
  <c r="JY57" i="41"/>
  <c r="JY56" i="41"/>
  <c r="JY59" i="41"/>
  <c r="JY81" i="41"/>
  <c r="EO68" i="41"/>
  <c r="BS75" i="41"/>
  <c r="MU60" i="41"/>
  <c r="IR62" i="41"/>
  <c r="EO63" i="41"/>
  <c r="BS80" i="41"/>
  <c r="FV74" i="41"/>
  <c r="EO53" i="41"/>
  <c r="DH78" i="41"/>
  <c r="IR60" i="41"/>
  <c r="IR77" i="41"/>
  <c r="EO78" i="41"/>
  <c r="HK68" i="41"/>
  <c r="PQ60" i="41"/>
  <c r="HK63" i="41"/>
  <c r="EO59" i="41"/>
  <c r="BS66" i="41"/>
  <c r="EO71" i="41"/>
  <c r="BS65" i="41"/>
  <c r="IR72" i="41"/>
  <c r="BS77" i="41"/>
  <c r="EO77" i="41"/>
  <c r="MU54" i="41"/>
  <c r="LN63" i="41"/>
  <c r="DH66" i="41"/>
  <c r="BS68" i="41"/>
  <c r="LN71" i="41"/>
  <c r="MU77" i="41"/>
  <c r="PQ53" i="41"/>
  <c r="MU72" i="41"/>
  <c r="LN60" i="41"/>
  <c r="HK59" i="41"/>
  <c r="DH60" i="41"/>
  <c r="OB74" i="41"/>
  <c r="LN78" i="41"/>
  <c r="IR53" i="41"/>
  <c r="EO54" i="41"/>
  <c r="OB57" i="41"/>
  <c r="MU63" i="41"/>
  <c r="BS74" i="41"/>
  <c r="MU75" i="41"/>
  <c r="MU62" i="41"/>
  <c r="MU74" i="41"/>
  <c r="DH80" i="41"/>
  <c r="FV80" i="41"/>
  <c r="BS81" i="41"/>
  <c r="MU53" i="41"/>
  <c r="HK57" i="41"/>
  <c r="FV59" i="41"/>
  <c r="DH62" i="41"/>
  <c r="PQ62" i="41"/>
  <c r="IR68" i="41"/>
  <c r="LN68" i="41"/>
  <c r="MU69" i="41"/>
  <c r="PQ69" i="41"/>
  <c r="BS72" i="41"/>
  <c r="EO72" i="41"/>
  <c r="IR75" i="41"/>
  <c r="MU78" i="41"/>
  <c r="IR80" i="41"/>
  <c r="EO81" i="41"/>
  <c r="HK60" i="41"/>
  <c r="IR54" i="41"/>
  <c r="LN59" i="41"/>
  <c r="FV53" i="41"/>
  <c r="HK56" i="41"/>
  <c r="DH57" i="41"/>
  <c r="BS59" i="41"/>
  <c r="FV62" i="41"/>
  <c r="BS63" i="41"/>
  <c r="BS71" i="41"/>
  <c r="IR74" i="41"/>
  <c r="EO75" i="41"/>
  <c r="DH77" i="41"/>
  <c r="PQ81" i="41"/>
  <c r="LN75" i="41"/>
  <c r="FV56" i="41"/>
  <c r="BS57" i="41"/>
  <c r="LN62" i="41"/>
  <c r="PQ63" i="41"/>
  <c r="DH68" i="41"/>
  <c r="FV69" i="41"/>
  <c r="OB69" i="41"/>
  <c r="HK71" i="41"/>
  <c r="DH81" i="41"/>
  <c r="LN54" i="41"/>
  <c r="OB71" i="41"/>
  <c r="LN53" i="41"/>
  <c r="EO57" i="41"/>
  <c r="HK62" i="41"/>
  <c r="DH63" i="41"/>
  <c r="OB66" i="41"/>
  <c r="BS78" i="41"/>
  <c r="IR78" i="41"/>
  <c r="IR71" i="41"/>
  <c r="PQ54" i="41"/>
  <c r="DH59" i="41"/>
  <c r="PQ59" i="41"/>
  <c r="FV65" i="41"/>
  <c r="LN65" i="41"/>
  <c r="MU71" i="41"/>
  <c r="OB72" i="41"/>
  <c r="EO74" i="41"/>
  <c r="FV75" i="41"/>
  <c r="LN77" i="41"/>
  <c r="PQ74" i="41"/>
  <c r="PQ75" i="41"/>
  <c r="FV77" i="41"/>
  <c r="PQ77" i="41"/>
  <c r="FV78" i="41"/>
  <c r="PQ78" i="41"/>
  <c r="LN80" i="41"/>
  <c r="OB80" i="41"/>
  <c r="HK81" i="41"/>
  <c r="FV72" i="41"/>
  <c r="LN72" i="41"/>
  <c r="MU81" i="41"/>
  <c r="PQ71" i="41"/>
  <c r="LN74" i="41"/>
  <c r="EO80" i="41"/>
  <c r="HK72" i="41"/>
  <c r="HK74" i="41"/>
  <c r="HK75" i="41"/>
  <c r="OB75" i="41"/>
  <c r="OB78" i="41"/>
  <c r="HK80" i="41"/>
  <c r="FV81" i="41"/>
  <c r="PQ72" i="41"/>
  <c r="HK77" i="41"/>
  <c r="OB77" i="41"/>
  <c r="HK78" i="41"/>
  <c r="MU80" i="41"/>
  <c r="IR81" i="41"/>
  <c r="FV71" i="41"/>
  <c r="DH71" i="41"/>
  <c r="DH72" i="41"/>
  <c r="DH74" i="41"/>
  <c r="DH75" i="41"/>
  <c r="PQ80" i="41"/>
  <c r="LN81" i="41"/>
  <c r="OB81" i="41"/>
  <c r="OB68" i="41"/>
  <c r="DH69" i="41"/>
  <c r="PQ65" i="41"/>
  <c r="BS62" i="41"/>
  <c r="EO62" i="41"/>
  <c r="FV63" i="41"/>
  <c r="DH65" i="41"/>
  <c r="IR65" i="41"/>
  <c r="FV66" i="41"/>
  <c r="LN66" i="41"/>
  <c r="IR66" i="41"/>
  <c r="IR63" i="41"/>
  <c r="EO66" i="41"/>
  <c r="MU68" i="41"/>
  <c r="PQ68" i="41"/>
  <c r="LN69" i="41"/>
  <c r="OB62" i="41"/>
  <c r="EO65" i="41"/>
  <c r="HK66" i="41"/>
  <c r="MU66" i="41"/>
  <c r="IR69" i="41"/>
  <c r="OB63" i="41"/>
  <c r="OB65" i="41"/>
  <c r="HK69" i="41"/>
  <c r="EO69" i="41"/>
  <c r="HK65" i="41"/>
  <c r="MU65" i="41"/>
  <c r="PQ66" i="41"/>
  <c r="FV68" i="41"/>
  <c r="BS69" i="41"/>
  <c r="DH53" i="41"/>
  <c r="DH54" i="41"/>
  <c r="IR57" i="41"/>
  <c r="BS60" i="41"/>
  <c r="EO60" i="41"/>
  <c r="FV54" i="41"/>
  <c r="PQ56" i="41"/>
  <c r="LN57" i="41"/>
  <c r="OB59" i="41"/>
  <c r="DH56" i="41"/>
  <c r="OB56" i="41"/>
  <c r="OB60" i="41"/>
  <c r="BS54" i="41"/>
  <c r="BS56" i="41"/>
  <c r="IR56" i="41"/>
  <c r="MU57" i="41"/>
  <c r="MU59" i="41"/>
  <c r="BS53" i="41"/>
  <c r="EO56" i="41"/>
  <c r="LN56" i="41"/>
  <c r="OB53" i="41"/>
  <c r="OB54" i="41"/>
  <c r="FV57" i="41"/>
  <c r="IR59" i="41"/>
  <c r="HK53" i="41"/>
  <c r="HK54" i="41"/>
  <c r="MU56" i="41"/>
  <c r="PQ57" i="41"/>
  <c r="FV60" i="41"/>
  <c r="PP50" i="41" l="1"/>
  <c r="PH50" i="41"/>
  <c r="OZ50" i="41"/>
  <c r="OR50" i="41"/>
  <c r="OJ50" i="41"/>
  <c r="OA50" i="41"/>
  <c r="NS50" i="41"/>
  <c r="NK50" i="41"/>
  <c r="NC50" i="41"/>
  <c r="MT50" i="41"/>
  <c r="ML50" i="41"/>
  <c r="MD50" i="41"/>
  <c r="LV50" i="41"/>
  <c r="LM50" i="41"/>
  <c r="LE50" i="41"/>
  <c r="KW50" i="41"/>
  <c r="KO50" i="41"/>
  <c r="KG50" i="41"/>
  <c r="JX50" i="41"/>
  <c r="JP50" i="41"/>
  <c r="JH50" i="41"/>
  <c r="IZ50" i="41"/>
  <c r="IQ50" i="41"/>
  <c r="II50" i="41"/>
  <c r="IA50" i="41"/>
  <c r="HS50" i="41"/>
  <c r="HJ50" i="41"/>
  <c r="HB50" i="41"/>
  <c r="GT50" i="41"/>
  <c r="GL50" i="41"/>
  <c r="GD50" i="41"/>
  <c r="FU50" i="41"/>
  <c r="FM50" i="41"/>
  <c r="FE50" i="41"/>
  <c r="EW50" i="41"/>
  <c r="EN50" i="41"/>
  <c r="EF50" i="41"/>
  <c r="DX50" i="41"/>
  <c r="DP50" i="41"/>
  <c r="DG50" i="41"/>
  <c r="CY50" i="41"/>
  <c r="CQ50" i="41"/>
  <c r="CI50" i="41"/>
  <c r="CA50" i="41"/>
  <c r="BR50" i="41"/>
  <c r="BJ50" i="41"/>
  <c r="BB50" i="41"/>
  <c r="AT50" i="41"/>
  <c r="AL50" i="41"/>
  <c r="AK50" i="41"/>
  <c r="AC50" i="41"/>
  <c r="U50" i="41"/>
  <c r="M50" i="41"/>
  <c r="PP51" i="41"/>
  <c r="PH51" i="41"/>
  <c r="OZ51" i="41"/>
  <c r="OR51" i="41"/>
  <c r="OJ51" i="41"/>
  <c r="OA51" i="41"/>
  <c r="NS51" i="41"/>
  <c r="NK51" i="41"/>
  <c r="NC51" i="41"/>
  <c r="MT51" i="41"/>
  <c r="ML51" i="41"/>
  <c r="MD51" i="41"/>
  <c r="LV51" i="41"/>
  <c r="LM51" i="41"/>
  <c r="LE51" i="41"/>
  <c r="KW51" i="41"/>
  <c r="KO51" i="41"/>
  <c r="KG51" i="41"/>
  <c r="JX51" i="41"/>
  <c r="JP51" i="41"/>
  <c r="JH51" i="41"/>
  <c r="IZ51" i="41"/>
  <c r="IQ51" i="41"/>
  <c r="II51" i="41"/>
  <c r="IA51" i="41"/>
  <c r="HS51" i="41"/>
  <c r="HJ51" i="41"/>
  <c r="HB51" i="41"/>
  <c r="GT51" i="41"/>
  <c r="GL51" i="41"/>
  <c r="GD51" i="41"/>
  <c r="FU51" i="41"/>
  <c r="FM51" i="41"/>
  <c r="FE51" i="41"/>
  <c r="EW51" i="41"/>
  <c r="EN51" i="41"/>
  <c r="EF51" i="41"/>
  <c r="DX51" i="41"/>
  <c r="DP51" i="41"/>
  <c r="DG51" i="41"/>
  <c r="CY51" i="41"/>
  <c r="CQ51" i="41"/>
  <c r="CI51" i="41"/>
  <c r="CA51" i="41"/>
  <c r="BR51" i="41"/>
  <c r="BJ51" i="41"/>
  <c r="BB51" i="41"/>
  <c r="AT51" i="41"/>
  <c r="AL51" i="41"/>
  <c r="AK51" i="41"/>
  <c r="AC51" i="41"/>
  <c r="U51" i="41"/>
  <c r="M51" i="41"/>
  <c r="PP48" i="41"/>
  <c r="PH48" i="41"/>
  <c r="OZ48" i="41"/>
  <c r="OR48" i="41"/>
  <c r="OJ48" i="41"/>
  <c r="OA48" i="41"/>
  <c r="NS48" i="41"/>
  <c r="NK48" i="41"/>
  <c r="NC48" i="41"/>
  <c r="MT48" i="41"/>
  <c r="ML48" i="41"/>
  <c r="MD48" i="41"/>
  <c r="LV48" i="41"/>
  <c r="LM48" i="41"/>
  <c r="LE48" i="41"/>
  <c r="KW48" i="41"/>
  <c r="KO48" i="41"/>
  <c r="KG48" i="41"/>
  <c r="JX48" i="41"/>
  <c r="JP48" i="41"/>
  <c r="JH48" i="41"/>
  <c r="IZ48" i="41"/>
  <c r="IQ48" i="41"/>
  <c r="II48" i="41"/>
  <c r="IA48" i="41"/>
  <c r="HS48" i="41"/>
  <c r="HJ48" i="41"/>
  <c r="HB48" i="41"/>
  <c r="GT48" i="41"/>
  <c r="GL48" i="41"/>
  <c r="GD48" i="41"/>
  <c r="FU48" i="41"/>
  <c r="FM48" i="41"/>
  <c r="FE48" i="41"/>
  <c r="EW48" i="41"/>
  <c r="EN48" i="41"/>
  <c r="EF48" i="41"/>
  <c r="DX48" i="41"/>
  <c r="DP48" i="41"/>
  <c r="DG48" i="41"/>
  <c r="CY48" i="41"/>
  <c r="CQ48" i="41"/>
  <c r="CI48" i="41"/>
  <c r="CA48" i="41"/>
  <c r="BR48" i="41"/>
  <c r="BJ48" i="41"/>
  <c r="BB48" i="41"/>
  <c r="AT48" i="41"/>
  <c r="AL48" i="41"/>
  <c r="AK48" i="41"/>
  <c r="AC48" i="41"/>
  <c r="U48" i="41"/>
  <c r="M48" i="41"/>
  <c r="PP47" i="41"/>
  <c r="PH47" i="41"/>
  <c r="OZ47" i="41"/>
  <c r="OR47" i="41"/>
  <c r="OJ47" i="41"/>
  <c r="OA47" i="41"/>
  <c r="NS47" i="41"/>
  <c r="NK47" i="41"/>
  <c r="NC47" i="41"/>
  <c r="MT47" i="41"/>
  <c r="ML47" i="41"/>
  <c r="MD47" i="41"/>
  <c r="LV47" i="41"/>
  <c r="LM47" i="41"/>
  <c r="LE47" i="41"/>
  <c r="KW47" i="41"/>
  <c r="KO47" i="41"/>
  <c r="KG47" i="41"/>
  <c r="JX47" i="41"/>
  <c r="JP47" i="41"/>
  <c r="JH47" i="41"/>
  <c r="IZ47" i="41"/>
  <c r="IQ47" i="41"/>
  <c r="II47" i="41"/>
  <c r="IA47" i="41"/>
  <c r="HS47" i="41"/>
  <c r="HJ47" i="41"/>
  <c r="HB47" i="41"/>
  <c r="GT47" i="41"/>
  <c r="GL47" i="41"/>
  <c r="GD47" i="41"/>
  <c r="FU47" i="41"/>
  <c r="FM47" i="41"/>
  <c r="FE47" i="41"/>
  <c r="EW47" i="41"/>
  <c r="EN47" i="41"/>
  <c r="EF47" i="41"/>
  <c r="DX47" i="41"/>
  <c r="DP47" i="41"/>
  <c r="DG47" i="41"/>
  <c r="CY47" i="41"/>
  <c r="CQ47" i="41"/>
  <c r="CI47" i="41"/>
  <c r="CA47" i="41"/>
  <c r="BR47" i="41"/>
  <c r="BJ47" i="41"/>
  <c r="BB47" i="41"/>
  <c r="AT47" i="41"/>
  <c r="AL47" i="41"/>
  <c r="AK47" i="41"/>
  <c r="AC47" i="41"/>
  <c r="U47" i="41"/>
  <c r="M47" i="41"/>
  <c r="DF191" i="41"/>
  <c r="DE191" i="41"/>
  <c r="DD191" i="41"/>
  <c r="DC191" i="41"/>
  <c r="DB191" i="41"/>
  <c r="DA191" i="41"/>
  <c r="CZ191" i="41"/>
  <c r="CX191" i="41"/>
  <c r="CW191" i="41"/>
  <c r="CV191" i="41"/>
  <c r="CU191" i="41"/>
  <c r="CT191" i="41"/>
  <c r="CS191" i="41"/>
  <c r="CR191" i="41"/>
  <c r="CP191" i="41"/>
  <c r="CO191" i="41"/>
  <c r="CN191" i="41"/>
  <c r="CM191" i="41"/>
  <c r="CL191" i="41"/>
  <c r="CK191" i="41"/>
  <c r="CJ191" i="41"/>
  <c r="CH191" i="41"/>
  <c r="CG191" i="41"/>
  <c r="CF191" i="41"/>
  <c r="CE191" i="41"/>
  <c r="CD191" i="41"/>
  <c r="CC191" i="41"/>
  <c r="CB191" i="41"/>
  <c r="BZ191" i="41"/>
  <c r="BY191" i="41"/>
  <c r="BX191" i="41"/>
  <c r="BW191" i="41"/>
  <c r="BV191" i="41"/>
  <c r="BU191" i="41"/>
  <c r="BT191" i="41"/>
  <c r="BQ191" i="41"/>
  <c r="BP191" i="41"/>
  <c r="BO191" i="41"/>
  <c r="BN191" i="41"/>
  <c r="BM191" i="41"/>
  <c r="BL191" i="41"/>
  <c r="BK191" i="41"/>
  <c r="BI191" i="41"/>
  <c r="BH191" i="41"/>
  <c r="BG191" i="41"/>
  <c r="BF191" i="41"/>
  <c r="BE191" i="41"/>
  <c r="BD191" i="41"/>
  <c r="BC191" i="41"/>
  <c r="BA191" i="41"/>
  <c r="AZ191" i="41"/>
  <c r="AY191" i="41"/>
  <c r="AX191" i="41"/>
  <c r="AW191" i="41"/>
  <c r="AV191" i="41"/>
  <c r="AU191" i="41"/>
  <c r="AS191" i="41"/>
  <c r="AR191" i="41"/>
  <c r="AQ191" i="41"/>
  <c r="AP191" i="41"/>
  <c r="AO191" i="41"/>
  <c r="AN191" i="41"/>
  <c r="AM191" i="41"/>
  <c r="AJ191" i="41"/>
  <c r="AI191" i="41"/>
  <c r="AH191" i="41"/>
  <c r="AG191" i="41"/>
  <c r="AF191" i="41"/>
  <c r="AE191" i="41"/>
  <c r="AD191" i="41"/>
  <c r="AB191" i="41"/>
  <c r="AA191" i="41"/>
  <c r="Z191" i="41"/>
  <c r="Y191" i="41"/>
  <c r="X191" i="41"/>
  <c r="W191" i="41"/>
  <c r="V191" i="41"/>
  <c r="T191" i="41"/>
  <c r="S191" i="41"/>
  <c r="R191" i="41"/>
  <c r="Q191" i="41"/>
  <c r="P191" i="41"/>
  <c r="O191" i="41"/>
  <c r="N191" i="41"/>
  <c r="L191" i="41"/>
  <c r="K191" i="41"/>
  <c r="J191" i="41"/>
  <c r="I191" i="41"/>
  <c r="H191" i="41"/>
  <c r="G191" i="41"/>
  <c r="F191" i="41"/>
  <c r="PP190" i="41"/>
  <c r="PH190" i="41"/>
  <c r="OZ190" i="41"/>
  <c r="OR190" i="41"/>
  <c r="OJ190" i="41"/>
  <c r="OA190" i="41"/>
  <c r="NS190" i="41"/>
  <c r="NK190" i="41"/>
  <c r="NC190" i="41"/>
  <c r="MT190" i="41"/>
  <c r="ML190" i="41"/>
  <c r="MD190" i="41"/>
  <c r="LV190" i="41"/>
  <c r="LM190" i="41"/>
  <c r="LE190" i="41"/>
  <c r="KW190" i="41"/>
  <c r="KO190" i="41"/>
  <c r="KG190" i="41"/>
  <c r="JX190" i="41"/>
  <c r="JP190" i="41"/>
  <c r="JH190" i="41"/>
  <c r="IZ190" i="41"/>
  <c r="IQ190" i="41"/>
  <c r="II190" i="41"/>
  <c r="IA190" i="41"/>
  <c r="HS190" i="41"/>
  <c r="HJ190" i="41"/>
  <c r="HB190" i="41"/>
  <c r="GT190" i="41"/>
  <c r="GL190" i="41"/>
  <c r="GD190" i="41"/>
  <c r="FU190" i="41"/>
  <c r="FM190" i="41"/>
  <c r="FE190" i="41"/>
  <c r="EW190" i="41"/>
  <c r="EN190" i="41"/>
  <c r="EF190" i="41"/>
  <c r="DX190" i="41"/>
  <c r="DP190" i="41"/>
  <c r="DG190" i="41"/>
  <c r="CY190" i="41"/>
  <c r="CQ190" i="41"/>
  <c r="CI190" i="41"/>
  <c r="CA190" i="41"/>
  <c r="BR190" i="41"/>
  <c r="BJ190" i="41"/>
  <c r="BB190" i="41"/>
  <c r="AT190" i="41"/>
  <c r="AL190" i="41"/>
  <c r="AK190" i="41"/>
  <c r="AC190" i="41"/>
  <c r="U190" i="41"/>
  <c r="M190" i="41"/>
  <c r="PP189" i="41"/>
  <c r="PH189" i="41"/>
  <c r="OZ189" i="41"/>
  <c r="OR189" i="41"/>
  <c r="OJ189" i="41"/>
  <c r="OA189" i="41"/>
  <c r="NS189" i="41"/>
  <c r="NK189" i="41"/>
  <c r="NC189" i="41"/>
  <c r="MT189" i="41"/>
  <c r="ML189" i="41"/>
  <c r="MD189" i="41"/>
  <c r="LV189" i="41"/>
  <c r="LM189" i="41"/>
  <c r="LE189" i="41"/>
  <c r="KW189" i="41"/>
  <c r="KO189" i="41"/>
  <c r="KG189" i="41"/>
  <c r="JX189" i="41"/>
  <c r="JP189" i="41"/>
  <c r="JH189" i="41"/>
  <c r="IZ189" i="41"/>
  <c r="IQ189" i="41"/>
  <c r="II189" i="41"/>
  <c r="IA189" i="41"/>
  <c r="HS189" i="41"/>
  <c r="HJ189" i="41"/>
  <c r="HB189" i="41"/>
  <c r="GT189" i="41"/>
  <c r="GL189" i="41"/>
  <c r="GD189" i="41"/>
  <c r="FU189" i="41"/>
  <c r="FM189" i="41"/>
  <c r="FE189" i="41"/>
  <c r="EW189" i="41"/>
  <c r="EN189" i="41"/>
  <c r="EF189" i="41"/>
  <c r="DX189" i="41"/>
  <c r="DP189" i="41"/>
  <c r="DG189" i="41"/>
  <c r="CY189" i="41"/>
  <c r="CQ189" i="41"/>
  <c r="CI189" i="41"/>
  <c r="CA189" i="41"/>
  <c r="BR189" i="41"/>
  <c r="BJ189" i="41"/>
  <c r="BB189" i="41"/>
  <c r="AT189" i="41"/>
  <c r="AL189" i="41"/>
  <c r="AK189" i="41"/>
  <c r="AC189" i="41"/>
  <c r="U189" i="41"/>
  <c r="M189" i="41"/>
  <c r="PP188" i="41"/>
  <c r="PH188" i="41"/>
  <c r="OZ188" i="41"/>
  <c r="OR188" i="41"/>
  <c r="OJ188" i="41"/>
  <c r="OA188" i="41"/>
  <c r="NS188" i="41"/>
  <c r="NK188" i="41"/>
  <c r="NC188" i="41"/>
  <c r="MT188" i="41"/>
  <c r="ML188" i="41"/>
  <c r="MD188" i="41"/>
  <c r="LV188" i="41"/>
  <c r="LM188" i="41"/>
  <c r="LE188" i="41"/>
  <c r="KW188" i="41"/>
  <c r="KO188" i="41"/>
  <c r="KG188" i="41"/>
  <c r="JX188" i="41"/>
  <c r="JP188" i="41"/>
  <c r="JH188" i="41"/>
  <c r="IZ188" i="41"/>
  <c r="IQ188" i="41"/>
  <c r="II188" i="41"/>
  <c r="IA188" i="41"/>
  <c r="HS188" i="41"/>
  <c r="HJ188" i="41"/>
  <c r="HB188" i="41"/>
  <c r="GT188" i="41"/>
  <c r="GL188" i="41"/>
  <c r="GD188" i="41"/>
  <c r="FU188" i="41"/>
  <c r="FM188" i="41"/>
  <c r="FE188" i="41"/>
  <c r="EW188" i="41"/>
  <c r="EN188" i="41"/>
  <c r="EF188" i="41"/>
  <c r="DX188" i="41"/>
  <c r="DP188" i="41"/>
  <c r="DG188" i="41"/>
  <c r="CY188" i="41"/>
  <c r="CQ188" i="41"/>
  <c r="CI188" i="41"/>
  <c r="CA188" i="41"/>
  <c r="BR188" i="41"/>
  <c r="BJ188" i="41"/>
  <c r="BB188" i="41"/>
  <c r="AT188" i="41"/>
  <c r="AL188" i="41"/>
  <c r="AK188" i="41"/>
  <c r="AC188" i="41"/>
  <c r="U188" i="41"/>
  <c r="M188" i="41"/>
  <c r="PP187" i="41"/>
  <c r="PH187" i="41"/>
  <c r="OZ187" i="41"/>
  <c r="OR187" i="41"/>
  <c r="OJ187" i="41"/>
  <c r="OA187" i="41"/>
  <c r="NS187" i="41"/>
  <c r="NK187" i="41"/>
  <c r="NC187" i="41"/>
  <c r="MT187" i="41"/>
  <c r="ML187" i="41"/>
  <c r="MD187" i="41"/>
  <c r="LV187" i="41"/>
  <c r="LM187" i="41"/>
  <c r="LE187" i="41"/>
  <c r="KW187" i="41"/>
  <c r="KO187" i="41"/>
  <c r="KG187" i="41"/>
  <c r="JX187" i="41"/>
  <c r="JP187" i="41"/>
  <c r="JH187" i="41"/>
  <c r="IZ187" i="41"/>
  <c r="IQ187" i="41"/>
  <c r="II187" i="41"/>
  <c r="IA187" i="41"/>
  <c r="HS187" i="41"/>
  <c r="HJ187" i="41"/>
  <c r="HB187" i="41"/>
  <c r="GT187" i="41"/>
  <c r="GL187" i="41"/>
  <c r="GD187" i="41"/>
  <c r="FU187" i="41"/>
  <c r="FM187" i="41"/>
  <c r="FE187" i="41"/>
  <c r="EW187" i="41"/>
  <c r="EN187" i="41"/>
  <c r="EF187" i="41"/>
  <c r="DX187" i="41"/>
  <c r="DP187" i="41"/>
  <c r="DG187" i="41"/>
  <c r="CY187" i="41"/>
  <c r="CQ187" i="41"/>
  <c r="CI187" i="41"/>
  <c r="CA187" i="41"/>
  <c r="BR187" i="41"/>
  <c r="BJ187" i="41"/>
  <c r="BB187" i="41"/>
  <c r="AT187" i="41"/>
  <c r="AL187" i="41"/>
  <c r="AK187" i="41"/>
  <c r="AC187" i="41"/>
  <c r="U187" i="41"/>
  <c r="M187" i="41"/>
  <c r="PP186" i="41"/>
  <c r="PH186" i="41"/>
  <c r="OZ186" i="41"/>
  <c r="OR186" i="41"/>
  <c r="OJ186" i="41"/>
  <c r="OA186" i="41"/>
  <c r="NS186" i="41"/>
  <c r="NK186" i="41"/>
  <c r="NC186" i="41"/>
  <c r="MT186" i="41"/>
  <c r="ML186" i="41"/>
  <c r="MD186" i="41"/>
  <c r="LV186" i="41"/>
  <c r="LM186" i="41"/>
  <c r="LE186" i="41"/>
  <c r="KW186" i="41"/>
  <c r="KO186" i="41"/>
  <c r="KG186" i="41"/>
  <c r="JX186" i="41"/>
  <c r="JP186" i="41"/>
  <c r="JH186" i="41"/>
  <c r="IZ186" i="41"/>
  <c r="IQ186" i="41"/>
  <c r="II186" i="41"/>
  <c r="IA186" i="41"/>
  <c r="HS186" i="41"/>
  <c r="HJ186" i="41"/>
  <c r="HB186" i="41"/>
  <c r="GT186" i="41"/>
  <c r="GL186" i="41"/>
  <c r="GD186" i="41"/>
  <c r="FU186" i="41"/>
  <c r="FM186" i="41"/>
  <c r="FE186" i="41"/>
  <c r="EW186" i="41"/>
  <c r="EN186" i="41"/>
  <c r="EF186" i="41"/>
  <c r="DX186" i="41"/>
  <c r="DP186" i="41"/>
  <c r="DG186" i="41"/>
  <c r="CY186" i="41"/>
  <c r="CQ186" i="41"/>
  <c r="CI186" i="41"/>
  <c r="CA186" i="41"/>
  <c r="BR186" i="41"/>
  <c r="BJ186" i="41"/>
  <c r="BB186" i="41"/>
  <c r="AT186" i="41"/>
  <c r="AL186" i="41"/>
  <c r="AK186" i="41"/>
  <c r="AC186" i="41"/>
  <c r="U186" i="41"/>
  <c r="M186" i="41"/>
  <c r="PP185" i="41"/>
  <c r="PH185" i="41"/>
  <c r="OZ185" i="41"/>
  <c r="OR185" i="41"/>
  <c r="OJ185" i="41"/>
  <c r="OA185" i="41"/>
  <c r="NS185" i="41"/>
  <c r="NK185" i="41"/>
  <c r="NC185" i="41"/>
  <c r="MT185" i="41"/>
  <c r="ML185" i="41"/>
  <c r="MD185" i="41"/>
  <c r="LV185" i="41"/>
  <c r="LM185" i="41"/>
  <c r="LE185" i="41"/>
  <c r="KW185" i="41"/>
  <c r="KO185" i="41"/>
  <c r="KG185" i="41"/>
  <c r="JX185" i="41"/>
  <c r="JP185" i="41"/>
  <c r="JH185" i="41"/>
  <c r="IZ185" i="41"/>
  <c r="IQ185" i="41"/>
  <c r="II185" i="41"/>
  <c r="IA185" i="41"/>
  <c r="HS185" i="41"/>
  <c r="HJ185" i="41"/>
  <c r="HB185" i="41"/>
  <c r="GT185" i="41"/>
  <c r="GL185" i="41"/>
  <c r="GD185" i="41"/>
  <c r="FU185" i="41"/>
  <c r="FM185" i="41"/>
  <c r="FE185" i="41"/>
  <c r="EW185" i="41"/>
  <c r="EN185" i="41"/>
  <c r="EF185" i="41"/>
  <c r="DX185" i="41"/>
  <c r="DP185" i="41"/>
  <c r="DG185" i="41"/>
  <c r="CY185" i="41"/>
  <c r="CQ185" i="41"/>
  <c r="CI185" i="41"/>
  <c r="CA185" i="41"/>
  <c r="BR185" i="41"/>
  <c r="BJ185" i="41"/>
  <c r="BB185" i="41"/>
  <c r="AT185" i="41"/>
  <c r="AL185" i="41"/>
  <c r="AK185" i="41"/>
  <c r="AC185" i="41"/>
  <c r="U185" i="41"/>
  <c r="M185" i="41"/>
  <c r="PP184" i="41"/>
  <c r="PH184" i="41"/>
  <c r="OZ184" i="41"/>
  <c r="OR184" i="41"/>
  <c r="OJ184" i="41"/>
  <c r="OA184" i="41"/>
  <c r="NS184" i="41"/>
  <c r="NK184" i="41"/>
  <c r="NC184" i="41"/>
  <c r="MT184" i="41"/>
  <c r="ML184" i="41"/>
  <c r="MD184" i="41"/>
  <c r="LV184" i="41"/>
  <c r="LM184" i="41"/>
  <c r="LE184" i="41"/>
  <c r="KW184" i="41"/>
  <c r="KO184" i="41"/>
  <c r="KG184" i="41"/>
  <c r="JX184" i="41"/>
  <c r="JP184" i="41"/>
  <c r="JH184" i="41"/>
  <c r="IZ184" i="41"/>
  <c r="IQ184" i="41"/>
  <c r="II184" i="41"/>
  <c r="IA184" i="41"/>
  <c r="HS184" i="41"/>
  <c r="HJ184" i="41"/>
  <c r="HB184" i="41"/>
  <c r="GT184" i="41"/>
  <c r="GL184" i="41"/>
  <c r="GD184" i="41"/>
  <c r="FU184" i="41"/>
  <c r="FM184" i="41"/>
  <c r="FE184" i="41"/>
  <c r="EW184" i="41"/>
  <c r="EN184" i="41"/>
  <c r="EF184" i="41"/>
  <c r="DX184" i="41"/>
  <c r="DP184" i="41"/>
  <c r="DG184" i="41"/>
  <c r="CY184" i="41"/>
  <c r="CQ184" i="41"/>
  <c r="CI184" i="41"/>
  <c r="CA184" i="41"/>
  <c r="BR184" i="41"/>
  <c r="BJ184" i="41"/>
  <c r="BB184" i="41"/>
  <c r="AT184" i="41"/>
  <c r="AL184" i="41"/>
  <c r="AK184" i="41"/>
  <c r="AC184" i="41"/>
  <c r="U184" i="41"/>
  <c r="M184" i="41"/>
  <c r="PP183" i="41"/>
  <c r="PH183" i="41"/>
  <c r="OZ183" i="41"/>
  <c r="OR183" i="41"/>
  <c r="OJ183" i="41"/>
  <c r="OA183" i="41"/>
  <c r="NS183" i="41"/>
  <c r="NK183" i="41"/>
  <c r="NC183" i="41"/>
  <c r="MT183" i="41"/>
  <c r="ML183" i="41"/>
  <c r="MD183" i="41"/>
  <c r="LV183" i="41"/>
  <c r="LM183" i="41"/>
  <c r="LE183" i="41"/>
  <c r="KW183" i="41"/>
  <c r="KO183" i="41"/>
  <c r="KG183" i="41"/>
  <c r="JX183" i="41"/>
  <c r="JP183" i="41"/>
  <c r="JH183" i="41"/>
  <c r="IZ183" i="41"/>
  <c r="IQ183" i="41"/>
  <c r="II183" i="41"/>
  <c r="IA183" i="41"/>
  <c r="HS183" i="41"/>
  <c r="HJ183" i="41"/>
  <c r="HB183" i="41"/>
  <c r="GT183" i="41"/>
  <c r="GL183" i="41"/>
  <c r="GD183" i="41"/>
  <c r="FU183" i="41"/>
  <c r="FM183" i="41"/>
  <c r="FE183" i="41"/>
  <c r="EW183" i="41"/>
  <c r="EN183" i="41"/>
  <c r="EF183" i="41"/>
  <c r="DX183" i="41"/>
  <c r="DP183" i="41"/>
  <c r="DG183" i="41"/>
  <c r="CY183" i="41"/>
  <c r="CQ183" i="41"/>
  <c r="CI183" i="41"/>
  <c r="CA183" i="41"/>
  <c r="BR183" i="41"/>
  <c r="BJ183" i="41"/>
  <c r="BB183" i="41"/>
  <c r="AT183" i="41"/>
  <c r="AL183" i="41"/>
  <c r="AK183" i="41"/>
  <c r="AC183" i="41"/>
  <c r="U183" i="41"/>
  <c r="M183" i="41"/>
  <c r="PP182" i="41"/>
  <c r="PH182" i="41"/>
  <c r="OZ182" i="41"/>
  <c r="OR182" i="41"/>
  <c r="OJ182" i="41"/>
  <c r="OA182" i="41"/>
  <c r="NS182" i="41"/>
  <c r="NK182" i="41"/>
  <c r="NC182" i="41"/>
  <c r="MT182" i="41"/>
  <c r="ML182" i="41"/>
  <c r="MD182" i="41"/>
  <c r="LV182" i="41"/>
  <c r="LM182" i="41"/>
  <c r="LE182" i="41"/>
  <c r="KW182" i="41"/>
  <c r="KO182" i="41"/>
  <c r="KG182" i="41"/>
  <c r="JX182" i="41"/>
  <c r="JP182" i="41"/>
  <c r="JH182" i="41"/>
  <c r="IZ182" i="41"/>
  <c r="IQ182" i="41"/>
  <c r="II182" i="41"/>
  <c r="IA182" i="41"/>
  <c r="HS182" i="41"/>
  <c r="HJ182" i="41"/>
  <c r="HB182" i="41"/>
  <c r="GT182" i="41"/>
  <c r="GL182" i="41"/>
  <c r="GD182" i="41"/>
  <c r="FU182" i="41"/>
  <c r="FM182" i="41"/>
  <c r="FE182" i="41"/>
  <c r="EW182" i="41"/>
  <c r="EN182" i="41"/>
  <c r="EF182" i="41"/>
  <c r="DX182" i="41"/>
  <c r="DP182" i="41"/>
  <c r="DG182" i="41"/>
  <c r="CY182" i="41"/>
  <c r="CQ182" i="41"/>
  <c r="CI182" i="41"/>
  <c r="CA182" i="41"/>
  <c r="BR182" i="41"/>
  <c r="BJ182" i="41"/>
  <c r="BB182" i="41"/>
  <c r="AT182" i="41"/>
  <c r="AL182" i="41"/>
  <c r="AK182" i="41"/>
  <c r="AC182" i="41"/>
  <c r="U182" i="41"/>
  <c r="M182" i="41"/>
  <c r="PP181" i="41"/>
  <c r="PH181" i="41"/>
  <c r="OZ181" i="41"/>
  <c r="OR181" i="41"/>
  <c r="OJ181" i="41"/>
  <c r="OA181" i="41"/>
  <c r="NS181" i="41"/>
  <c r="NK181" i="41"/>
  <c r="NC181" i="41"/>
  <c r="MT181" i="41"/>
  <c r="ML181" i="41"/>
  <c r="MD181" i="41"/>
  <c r="LV181" i="41"/>
  <c r="LM181" i="41"/>
  <c r="LE181" i="41"/>
  <c r="KW181" i="41"/>
  <c r="KO181" i="41"/>
  <c r="KG181" i="41"/>
  <c r="JX181" i="41"/>
  <c r="JP181" i="41"/>
  <c r="JH181" i="41"/>
  <c r="IZ181" i="41"/>
  <c r="IQ181" i="41"/>
  <c r="II181" i="41"/>
  <c r="IA181" i="41"/>
  <c r="HS181" i="41"/>
  <c r="HJ181" i="41"/>
  <c r="HB181" i="41"/>
  <c r="GT181" i="41"/>
  <c r="GL181" i="41"/>
  <c r="GD181" i="41"/>
  <c r="FU181" i="41"/>
  <c r="FM181" i="41"/>
  <c r="FE181" i="41"/>
  <c r="EW181" i="41"/>
  <c r="EN181" i="41"/>
  <c r="EF181" i="41"/>
  <c r="DX181" i="41"/>
  <c r="DP181" i="41"/>
  <c r="DG181" i="41"/>
  <c r="CY181" i="41"/>
  <c r="CQ181" i="41"/>
  <c r="CI181" i="41"/>
  <c r="CA181" i="41"/>
  <c r="BR181" i="41"/>
  <c r="BJ181" i="41"/>
  <c r="BB181" i="41"/>
  <c r="AT181" i="41"/>
  <c r="AL181" i="41"/>
  <c r="AK181" i="41"/>
  <c r="AC181" i="41"/>
  <c r="U181" i="41"/>
  <c r="M181" i="41"/>
  <c r="PP180" i="41"/>
  <c r="PH180" i="41"/>
  <c r="OZ180" i="41"/>
  <c r="OR180" i="41"/>
  <c r="OJ180" i="41"/>
  <c r="OA180" i="41"/>
  <c r="NS180" i="41"/>
  <c r="NK180" i="41"/>
  <c r="NC180" i="41"/>
  <c r="MT180" i="41"/>
  <c r="ML180" i="41"/>
  <c r="MD180" i="41"/>
  <c r="LV180" i="41"/>
  <c r="LM180" i="41"/>
  <c r="LE180" i="41"/>
  <c r="KW180" i="41"/>
  <c r="KO180" i="41"/>
  <c r="KG180" i="41"/>
  <c r="JX180" i="41"/>
  <c r="JP180" i="41"/>
  <c r="JH180" i="41"/>
  <c r="IZ180" i="41"/>
  <c r="IQ180" i="41"/>
  <c r="II180" i="41"/>
  <c r="IA180" i="41"/>
  <c r="HS180" i="41"/>
  <c r="HJ180" i="41"/>
  <c r="HB180" i="41"/>
  <c r="GT180" i="41"/>
  <c r="GL180" i="41"/>
  <c r="GD180" i="41"/>
  <c r="FU180" i="41"/>
  <c r="FM180" i="41"/>
  <c r="FE180" i="41"/>
  <c r="EW180" i="41"/>
  <c r="EN180" i="41"/>
  <c r="EF180" i="41"/>
  <c r="DX180" i="41"/>
  <c r="DP180" i="41"/>
  <c r="DG180" i="41"/>
  <c r="CY180" i="41"/>
  <c r="CQ180" i="41"/>
  <c r="CI180" i="41"/>
  <c r="CA180" i="41"/>
  <c r="BR180" i="41"/>
  <c r="BJ180" i="41"/>
  <c r="BB180" i="41"/>
  <c r="AT180" i="41"/>
  <c r="AL180" i="41"/>
  <c r="AK180" i="41"/>
  <c r="AC180" i="41"/>
  <c r="U180" i="41"/>
  <c r="M180" i="41"/>
  <c r="PP179" i="41"/>
  <c r="PH179" i="41"/>
  <c r="OZ179" i="41"/>
  <c r="OR179" i="41"/>
  <c r="OJ179" i="41"/>
  <c r="OA179" i="41"/>
  <c r="NS179" i="41"/>
  <c r="NK179" i="41"/>
  <c r="NC179" i="41"/>
  <c r="MT179" i="41"/>
  <c r="ML179" i="41"/>
  <c r="MD179" i="41"/>
  <c r="LV179" i="41"/>
  <c r="LM179" i="41"/>
  <c r="LE179" i="41"/>
  <c r="KW179" i="41"/>
  <c r="KO179" i="41"/>
  <c r="KG179" i="41"/>
  <c r="JX179" i="41"/>
  <c r="JP179" i="41"/>
  <c r="JH179" i="41"/>
  <c r="IZ179" i="41"/>
  <c r="IQ179" i="41"/>
  <c r="II179" i="41"/>
  <c r="IA179" i="41"/>
  <c r="HS179" i="41"/>
  <c r="HJ179" i="41"/>
  <c r="HB179" i="41"/>
  <c r="GT179" i="41"/>
  <c r="GL179" i="41"/>
  <c r="GD179" i="41"/>
  <c r="FU179" i="41"/>
  <c r="FM179" i="41"/>
  <c r="FE179" i="41"/>
  <c r="EW179" i="41"/>
  <c r="EN179" i="41"/>
  <c r="EF179" i="41"/>
  <c r="DX179" i="41"/>
  <c r="DP179" i="41"/>
  <c r="DG179" i="41"/>
  <c r="CY179" i="41"/>
  <c r="CQ179" i="41"/>
  <c r="CI179" i="41"/>
  <c r="CA179" i="41"/>
  <c r="BR179" i="41"/>
  <c r="BJ179" i="41"/>
  <c r="BB179" i="41"/>
  <c r="AT179" i="41"/>
  <c r="AL179" i="41"/>
  <c r="AK179" i="41"/>
  <c r="AC179" i="41"/>
  <c r="U179" i="41"/>
  <c r="M179" i="41"/>
  <c r="PP178" i="41"/>
  <c r="PH178" i="41"/>
  <c r="OZ178" i="41"/>
  <c r="OR178" i="41"/>
  <c r="OJ178" i="41"/>
  <c r="OA178" i="41"/>
  <c r="NS178" i="41"/>
  <c r="NK178" i="41"/>
  <c r="NC178" i="41"/>
  <c r="MT178" i="41"/>
  <c r="ML178" i="41"/>
  <c r="MD178" i="41"/>
  <c r="LV178" i="41"/>
  <c r="LM178" i="41"/>
  <c r="LE178" i="41"/>
  <c r="KW178" i="41"/>
  <c r="KO178" i="41"/>
  <c r="KG178" i="41"/>
  <c r="JX178" i="41"/>
  <c r="JP178" i="41"/>
  <c r="JH178" i="41"/>
  <c r="IZ178" i="41"/>
  <c r="IQ178" i="41"/>
  <c r="II178" i="41"/>
  <c r="IA178" i="41"/>
  <c r="HS178" i="41"/>
  <c r="HJ178" i="41"/>
  <c r="HB178" i="41"/>
  <c r="GT178" i="41"/>
  <c r="GL178" i="41"/>
  <c r="GD178" i="41"/>
  <c r="FU178" i="41"/>
  <c r="FM178" i="41"/>
  <c r="FE178" i="41"/>
  <c r="EW178" i="41"/>
  <c r="EN178" i="41"/>
  <c r="EF178" i="41"/>
  <c r="DX178" i="41"/>
  <c r="DP178" i="41"/>
  <c r="DG178" i="41"/>
  <c r="CY178" i="41"/>
  <c r="CQ178" i="41"/>
  <c r="CI178" i="41"/>
  <c r="CA178" i="41"/>
  <c r="BR178" i="41"/>
  <c r="BJ178" i="41"/>
  <c r="BB178" i="41"/>
  <c r="AT178" i="41"/>
  <c r="AL178" i="41"/>
  <c r="AK178" i="41"/>
  <c r="AC178" i="41"/>
  <c r="U178" i="41"/>
  <c r="M178" i="41"/>
  <c r="PP177" i="41"/>
  <c r="PH177" i="41"/>
  <c r="OZ177" i="41"/>
  <c r="OR177" i="41"/>
  <c r="OJ177" i="41"/>
  <c r="OA177" i="41"/>
  <c r="NS177" i="41"/>
  <c r="NK177" i="41"/>
  <c r="NC177" i="41"/>
  <c r="MT177" i="41"/>
  <c r="ML177" i="41"/>
  <c r="MD177" i="41"/>
  <c r="LV177" i="41"/>
  <c r="LM177" i="41"/>
  <c r="LE177" i="41"/>
  <c r="KW177" i="41"/>
  <c r="KO177" i="41"/>
  <c r="KG177" i="41"/>
  <c r="JX177" i="41"/>
  <c r="JP177" i="41"/>
  <c r="JH177" i="41"/>
  <c r="IZ177" i="41"/>
  <c r="IQ177" i="41"/>
  <c r="II177" i="41"/>
  <c r="IA177" i="41"/>
  <c r="HS177" i="41"/>
  <c r="HJ177" i="41"/>
  <c r="HB177" i="41"/>
  <c r="GT177" i="41"/>
  <c r="GL177" i="41"/>
  <c r="GD177" i="41"/>
  <c r="FU177" i="41"/>
  <c r="FM177" i="41"/>
  <c r="FE177" i="41"/>
  <c r="EW177" i="41"/>
  <c r="EN177" i="41"/>
  <c r="EF177" i="41"/>
  <c r="DX177" i="41"/>
  <c r="DP177" i="41"/>
  <c r="DG177" i="41"/>
  <c r="CY177" i="41"/>
  <c r="CQ177" i="41"/>
  <c r="CI177" i="41"/>
  <c r="CA177" i="41"/>
  <c r="BR177" i="41"/>
  <c r="BJ177" i="41"/>
  <c r="BB177" i="41"/>
  <c r="AT177" i="41"/>
  <c r="AL177" i="41"/>
  <c r="AK177" i="41"/>
  <c r="AC177" i="41"/>
  <c r="U177" i="41"/>
  <c r="M177" i="41"/>
  <c r="PP175" i="41"/>
  <c r="PH175" i="41"/>
  <c r="OZ175" i="41"/>
  <c r="OR175" i="41"/>
  <c r="OJ175" i="41"/>
  <c r="OA175" i="41"/>
  <c r="NS175" i="41"/>
  <c r="NK175" i="41"/>
  <c r="NC175" i="41"/>
  <c r="MT175" i="41"/>
  <c r="ML175" i="41"/>
  <c r="MD175" i="41"/>
  <c r="LV175" i="41"/>
  <c r="LM175" i="41"/>
  <c r="LE175" i="41"/>
  <c r="KW175" i="41"/>
  <c r="KO175" i="41"/>
  <c r="KG175" i="41"/>
  <c r="JX175" i="41"/>
  <c r="JP175" i="41"/>
  <c r="JH175" i="41"/>
  <c r="IZ175" i="41"/>
  <c r="IQ175" i="41"/>
  <c r="II175" i="41"/>
  <c r="IA175" i="41"/>
  <c r="HS175" i="41"/>
  <c r="HJ175" i="41"/>
  <c r="HB175" i="41"/>
  <c r="GT175" i="41"/>
  <c r="GL175" i="41"/>
  <c r="GD175" i="41"/>
  <c r="FU175" i="41"/>
  <c r="FM175" i="41"/>
  <c r="FE175" i="41"/>
  <c r="EW175" i="41"/>
  <c r="EN175" i="41"/>
  <c r="EF175" i="41"/>
  <c r="DX175" i="41"/>
  <c r="DP175" i="41"/>
  <c r="DG175" i="41"/>
  <c r="CY175" i="41"/>
  <c r="CQ175" i="41"/>
  <c r="CI175" i="41"/>
  <c r="CA175" i="41"/>
  <c r="BR175" i="41"/>
  <c r="BJ175" i="41"/>
  <c r="BB175" i="41"/>
  <c r="AT175" i="41"/>
  <c r="AL175" i="41"/>
  <c r="AK175" i="41"/>
  <c r="AC175" i="41"/>
  <c r="U175" i="41"/>
  <c r="M175" i="41"/>
  <c r="PP174" i="41"/>
  <c r="PH174" i="41"/>
  <c r="OZ174" i="41"/>
  <c r="OR174" i="41"/>
  <c r="OJ174" i="41"/>
  <c r="OA174" i="41"/>
  <c r="NS174" i="41"/>
  <c r="NK174" i="41"/>
  <c r="NC174" i="41"/>
  <c r="MT174" i="41"/>
  <c r="ML174" i="41"/>
  <c r="MD174" i="41"/>
  <c r="LV174" i="41"/>
  <c r="LM174" i="41"/>
  <c r="LE174" i="41"/>
  <c r="KW174" i="41"/>
  <c r="KO174" i="41"/>
  <c r="KG174" i="41"/>
  <c r="JX174" i="41"/>
  <c r="JP174" i="41"/>
  <c r="JH174" i="41"/>
  <c r="IZ174" i="41"/>
  <c r="IQ174" i="41"/>
  <c r="II174" i="41"/>
  <c r="IA174" i="41"/>
  <c r="HS174" i="41"/>
  <c r="HJ174" i="41"/>
  <c r="HB174" i="41"/>
  <c r="GT174" i="41"/>
  <c r="GL174" i="41"/>
  <c r="GD174" i="41"/>
  <c r="FU174" i="41"/>
  <c r="FM174" i="41"/>
  <c r="FE174" i="41"/>
  <c r="EW174" i="41"/>
  <c r="EN174" i="41"/>
  <c r="EF174" i="41"/>
  <c r="DX174" i="41"/>
  <c r="DP174" i="41"/>
  <c r="DG174" i="41"/>
  <c r="CY174" i="41"/>
  <c r="CQ174" i="41"/>
  <c r="CI174" i="41"/>
  <c r="CA174" i="41"/>
  <c r="BR174" i="41"/>
  <c r="BJ174" i="41"/>
  <c r="BB174" i="41"/>
  <c r="AT174" i="41"/>
  <c r="AL174" i="41"/>
  <c r="AK174" i="41"/>
  <c r="AC174" i="41"/>
  <c r="U174" i="41"/>
  <c r="M174" i="41"/>
  <c r="PP173" i="41"/>
  <c r="PH173" i="41"/>
  <c r="OZ173" i="41"/>
  <c r="OR173" i="41"/>
  <c r="OJ173" i="41"/>
  <c r="OA173" i="41"/>
  <c r="NS173" i="41"/>
  <c r="NK173" i="41"/>
  <c r="NC173" i="41"/>
  <c r="MT173" i="41"/>
  <c r="ML173" i="41"/>
  <c r="MD173" i="41"/>
  <c r="LV173" i="41"/>
  <c r="LM173" i="41"/>
  <c r="LE173" i="41"/>
  <c r="KW173" i="41"/>
  <c r="KO173" i="41"/>
  <c r="KG173" i="41"/>
  <c r="JX173" i="41"/>
  <c r="JP173" i="41"/>
  <c r="JH173" i="41"/>
  <c r="IZ173" i="41"/>
  <c r="IQ173" i="41"/>
  <c r="II173" i="41"/>
  <c r="IA173" i="41"/>
  <c r="HS173" i="41"/>
  <c r="HJ173" i="41"/>
  <c r="HB173" i="41"/>
  <c r="GT173" i="41"/>
  <c r="GL173" i="41"/>
  <c r="GD173" i="41"/>
  <c r="FU173" i="41"/>
  <c r="FM173" i="41"/>
  <c r="FE173" i="41"/>
  <c r="EW173" i="41"/>
  <c r="EN173" i="41"/>
  <c r="EF173" i="41"/>
  <c r="DX173" i="41"/>
  <c r="DP173" i="41"/>
  <c r="DG173" i="41"/>
  <c r="CY173" i="41"/>
  <c r="CQ173" i="41"/>
  <c r="CI173" i="41"/>
  <c r="CA173" i="41"/>
  <c r="BR173" i="41"/>
  <c r="BJ173" i="41"/>
  <c r="BB173" i="41"/>
  <c r="AT173" i="41"/>
  <c r="AL173" i="41"/>
  <c r="AK173" i="41"/>
  <c r="AC173" i="41"/>
  <c r="U173" i="41"/>
  <c r="M173" i="41"/>
  <c r="PP172" i="41"/>
  <c r="PH172" i="41"/>
  <c r="OZ172" i="41"/>
  <c r="OR172" i="41"/>
  <c r="OJ172" i="41"/>
  <c r="OA172" i="41"/>
  <c r="NS172" i="41"/>
  <c r="NK172" i="41"/>
  <c r="NC172" i="41"/>
  <c r="MT172" i="41"/>
  <c r="ML172" i="41"/>
  <c r="MD172" i="41"/>
  <c r="LV172" i="41"/>
  <c r="LM172" i="41"/>
  <c r="LE172" i="41"/>
  <c r="KW172" i="41"/>
  <c r="KO172" i="41"/>
  <c r="KG172" i="41"/>
  <c r="JX172" i="41"/>
  <c r="JP172" i="41"/>
  <c r="JH172" i="41"/>
  <c r="IZ172" i="41"/>
  <c r="IQ172" i="41"/>
  <c r="II172" i="41"/>
  <c r="IA172" i="41"/>
  <c r="HS172" i="41"/>
  <c r="HJ172" i="41"/>
  <c r="HB172" i="41"/>
  <c r="GT172" i="41"/>
  <c r="GL172" i="41"/>
  <c r="GD172" i="41"/>
  <c r="FU172" i="41"/>
  <c r="FM172" i="41"/>
  <c r="FE172" i="41"/>
  <c r="EW172" i="41"/>
  <c r="EN172" i="41"/>
  <c r="EF172" i="41"/>
  <c r="DX172" i="41"/>
  <c r="DP172" i="41"/>
  <c r="DG172" i="41"/>
  <c r="CY172" i="41"/>
  <c r="CQ172" i="41"/>
  <c r="CI172" i="41"/>
  <c r="CA172" i="41"/>
  <c r="BR172" i="41"/>
  <c r="BJ172" i="41"/>
  <c r="BB172" i="41"/>
  <c r="AT172" i="41"/>
  <c r="AL172" i="41"/>
  <c r="AK172" i="41"/>
  <c r="AC172" i="41"/>
  <c r="U172" i="41"/>
  <c r="M172" i="41"/>
  <c r="PP171" i="41"/>
  <c r="PH171" i="41"/>
  <c r="OZ171" i="41"/>
  <c r="OR171" i="41"/>
  <c r="OJ171" i="41"/>
  <c r="OA171" i="41"/>
  <c r="NS171" i="41"/>
  <c r="NK171" i="41"/>
  <c r="NC171" i="41"/>
  <c r="MT171" i="41"/>
  <c r="ML171" i="41"/>
  <c r="MD171" i="41"/>
  <c r="LV171" i="41"/>
  <c r="LM171" i="41"/>
  <c r="LE171" i="41"/>
  <c r="KW171" i="41"/>
  <c r="KO171" i="41"/>
  <c r="KG171" i="41"/>
  <c r="JX171" i="41"/>
  <c r="JP171" i="41"/>
  <c r="JH171" i="41"/>
  <c r="IZ171" i="41"/>
  <c r="IQ171" i="41"/>
  <c r="II171" i="41"/>
  <c r="IA171" i="41"/>
  <c r="HS171" i="41"/>
  <c r="HJ171" i="41"/>
  <c r="HB171" i="41"/>
  <c r="GT171" i="41"/>
  <c r="GL171" i="41"/>
  <c r="GD171" i="41"/>
  <c r="FU171" i="41"/>
  <c r="FM171" i="41"/>
  <c r="FE171" i="41"/>
  <c r="EW171" i="41"/>
  <c r="EN171" i="41"/>
  <c r="EF171" i="41"/>
  <c r="DX171" i="41"/>
  <c r="DP171" i="41"/>
  <c r="DG171" i="41"/>
  <c r="CY171" i="41"/>
  <c r="CQ171" i="41"/>
  <c r="CI171" i="41"/>
  <c r="CA171" i="41"/>
  <c r="BR171" i="41"/>
  <c r="BJ171" i="41"/>
  <c r="BB171" i="41"/>
  <c r="AT171" i="41"/>
  <c r="AL171" i="41"/>
  <c r="AK171" i="41"/>
  <c r="AC171" i="41"/>
  <c r="U171" i="41"/>
  <c r="M171" i="41"/>
  <c r="PP170" i="41"/>
  <c r="PH170" i="41"/>
  <c r="OZ170" i="41"/>
  <c r="OR170" i="41"/>
  <c r="OJ170" i="41"/>
  <c r="OA170" i="41"/>
  <c r="NS170" i="41"/>
  <c r="NK170" i="41"/>
  <c r="NC170" i="41"/>
  <c r="MT170" i="41"/>
  <c r="ML170" i="41"/>
  <c r="MD170" i="41"/>
  <c r="LV170" i="41"/>
  <c r="LM170" i="41"/>
  <c r="LE170" i="41"/>
  <c r="KW170" i="41"/>
  <c r="KO170" i="41"/>
  <c r="KG170" i="41"/>
  <c r="JX170" i="41"/>
  <c r="JP170" i="41"/>
  <c r="JH170" i="41"/>
  <c r="IZ170" i="41"/>
  <c r="IQ170" i="41"/>
  <c r="II170" i="41"/>
  <c r="IA170" i="41"/>
  <c r="HS170" i="41"/>
  <c r="HJ170" i="41"/>
  <c r="HB170" i="41"/>
  <c r="GT170" i="41"/>
  <c r="GL170" i="41"/>
  <c r="GD170" i="41"/>
  <c r="FU170" i="41"/>
  <c r="FM170" i="41"/>
  <c r="FE170" i="41"/>
  <c r="EW170" i="41"/>
  <c r="EN170" i="41"/>
  <c r="EF170" i="41"/>
  <c r="DX170" i="41"/>
  <c r="DP170" i="41"/>
  <c r="DG170" i="41"/>
  <c r="CY170" i="41"/>
  <c r="CQ170" i="41"/>
  <c r="CI170" i="41"/>
  <c r="CA170" i="41"/>
  <c r="BR170" i="41"/>
  <c r="BJ170" i="41"/>
  <c r="BB170" i="41"/>
  <c r="AT170" i="41"/>
  <c r="AL170" i="41"/>
  <c r="AK170" i="41"/>
  <c r="AC170" i="41"/>
  <c r="U170" i="41"/>
  <c r="M170" i="41"/>
  <c r="PP169" i="41"/>
  <c r="PH169" i="41"/>
  <c r="OZ169" i="41"/>
  <c r="OR169" i="41"/>
  <c r="OJ169" i="41"/>
  <c r="OA169" i="41"/>
  <c r="NS169" i="41"/>
  <c r="NK169" i="41"/>
  <c r="NC169" i="41"/>
  <c r="MT169" i="41"/>
  <c r="ML169" i="41"/>
  <c r="MD169" i="41"/>
  <c r="LV169" i="41"/>
  <c r="LM169" i="41"/>
  <c r="LE169" i="41"/>
  <c r="KW169" i="41"/>
  <c r="KO169" i="41"/>
  <c r="KG169" i="41"/>
  <c r="JX169" i="41"/>
  <c r="JP169" i="41"/>
  <c r="JH169" i="41"/>
  <c r="IZ169" i="41"/>
  <c r="IQ169" i="41"/>
  <c r="II169" i="41"/>
  <c r="IA169" i="41"/>
  <c r="HS169" i="41"/>
  <c r="HJ169" i="41"/>
  <c r="HB169" i="41"/>
  <c r="GT169" i="41"/>
  <c r="GL169" i="41"/>
  <c r="GD169" i="41"/>
  <c r="FU169" i="41"/>
  <c r="FM169" i="41"/>
  <c r="FE169" i="41"/>
  <c r="EW169" i="41"/>
  <c r="EN169" i="41"/>
  <c r="EF169" i="41"/>
  <c r="DX169" i="41"/>
  <c r="DP169" i="41"/>
  <c r="DG169" i="41"/>
  <c r="CY169" i="41"/>
  <c r="CQ169" i="41"/>
  <c r="CI169" i="41"/>
  <c r="CA169" i="41"/>
  <c r="BR169" i="41"/>
  <c r="BJ169" i="41"/>
  <c r="BB169" i="41"/>
  <c r="AT169" i="41"/>
  <c r="AL169" i="41"/>
  <c r="AK169" i="41"/>
  <c r="AC169" i="41"/>
  <c r="U169" i="41"/>
  <c r="M169" i="41"/>
  <c r="PP168" i="41"/>
  <c r="PH168" i="41"/>
  <c r="OZ168" i="41"/>
  <c r="OR168" i="41"/>
  <c r="OJ168" i="41"/>
  <c r="OA168" i="41"/>
  <c r="NS168" i="41"/>
  <c r="NK168" i="41"/>
  <c r="NC168" i="41"/>
  <c r="MT168" i="41"/>
  <c r="ML168" i="41"/>
  <c r="MD168" i="41"/>
  <c r="LV168" i="41"/>
  <c r="LM168" i="41"/>
  <c r="LE168" i="41"/>
  <c r="KW168" i="41"/>
  <c r="KO168" i="41"/>
  <c r="KG168" i="41"/>
  <c r="JX168" i="41"/>
  <c r="JP168" i="41"/>
  <c r="JH168" i="41"/>
  <c r="IZ168" i="41"/>
  <c r="IQ168" i="41"/>
  <c r="II168" i="41"/>
  <c r="IA168" i="41"/>
  <c r="HS168" i="41"/>
  <c r="HJ168" i="41"/>
  <c r="HB168" i="41"/>
  <c r="GT168" i="41"/>
  <c r="GL168" i="41"/>
  <c r="GD168" i="41"/>
  <c r="FU168" i="41"/>
  <c r="FM168" i="41"/>
  <c r="FE168" i="41"/>
  <c r="EW168" i="41"/>
  <c r="EN168" i="41"/>
  <c r="EF168" i="41"/>
  <c r="DX168" i="41"/>
  <c r="DP168" i="41"/>
  <c r="DG168" i="41"/>
  <c r="CY168" i="41"/>
  <c r="CQ168" i="41"/>
  <c r="CI168" i="41"/>
  <c r="CA168" i="41"/>
  <c r="BR168" i="41"/>
  <c r="BJ168" i="41"/>
  <c r="BB168" i="41"/>
  <c r="AT168" i="41"/>
  <c r="AL168" i="41"/>
  <c r="AK168" i="41"/>
  <c r="AC168" i="41"/>
  <c r="U168" i="41"/>
  <c r="M168" i="41"/>
  <c r="PP167" i="41"/>
  <c r="PH167" i="41"/>
  <c r="OZ167" i="41"/>
  <c r="OR167" i="41"/>
  <c r="OJ167" i="41"/>
  <c r="OA167" i="41"/>
  <c r="NS167" i="41"/>
  <c r="NK167" i="41"/>
  <c r="NC167" i="41"/>
  <c r="MT167" i="41"/>
  <c r="ML167" i="41"/>
  <c r="MD167" i="41"/>
  <c r="LV167" i="41"/>
  <c r="LM167" i="41"/>
  <c r="LE167" i="41"/>
  <c r="KW167" i="41"/>
  <c r="KO167" i="41"/>
  <c r="KG167" i="41"/>
  <c r="JX167" i="41"/>
  <c r="JP167" i="41"/>
  <c r="JH167" i="41"/>
  <c r="IZ167" i="41"/>
  <c r="IQ167" i="41"/>
  <c r="II167" i="41"/>
  <c r="IA167" i="41"/>
  <c r="HS167" i="41"/>
  <c r="HJ167" i="41"/>
  <c r="HB167" i="41"/>
  <c r="GT167" i="41"/>
  <c r="GL167" i="41"/>
  <c r="GD167" i="41"/>
  <c r="FU167" i="41"/>
  <c r="FM167" i="41"/>
  <c r="FE167" i="41"/>
  <c r="EW167" i="41"/>
  <c r="EN167" i="41"/>
  <c r="EF167" i="41"/>
  <c r="DX167" i="41"/>
  <c r="DP167" i="41"/>
  <c r="DG167" i="41"/>
  <c r="CY167" i="41"/>
  <c r="CQ167" i="41"/>
  <c r="CI167" i="41"/>
  <c r="CA167" i="41"/>
  <c r="BR167" i="41"/>
  <c r="BJ167" i="41"/>
  <c r="BB167" i="41"/>
  <c r="AT167" i="41"/>
  <c r="AL167" i="41"/>
  <c r="AK167" i="41"/>
  <c r="AC167" i="41"/>
  <c r="U167" i="41"/>
  <c r="M167" i="41"/>
  <c r="PP166" i="41"/>
  <c r="PH166" i="41"/>
  <c r="OZ166" i="41"/>
  <c r="OR166" i="41"/>
  <c r="OJ166" i="41"/>
  <c r="OA166" i="41"/>
  <c r="NS166" i="41"/>
  <c r="NK166" i="41"/>
  <c r="NC166" i="41"/>
  <c r="MT166" i="41"/>
  <c r="ML166" i="41"/>
  <c r="MD166" i="41"/>
  <c r="LV166" i="41"/>
  <c r="LM166" i="41"/>
  <c r="LE166" i="41"/>
  <c r="KW166" i="41"/>
  <c r="KO166" i="41"/>
  <c r="KG166" i="41"/>
  <c r="JX166" i="41"/>
  <c r="JP166" i="41"/>
  <c r="JH166" i="41"/>
  <c r="IZ166" i="41"/>
  <c r="IQ166" i="41"/>
  <c r="II166" i="41"/>
  <c r="IA166" i="41"/>
  <c r="HS166" i="41"/>
  <c r="HJ166" i="41"/>
  <c r="HB166" i="41"/>
  <c r="GT166" i="41"/>
  <c r="GL166" i="41"/>
  <c r="GD166" i="41"/>
  <c r="FU166" i="41"/>
  <c r="FM166" i="41"/>
  <c r="FE166" i="41"/>
  <c r="EW166" i="41"/>
  <c r="EN166" i="41"/>
  <c r="EF166" i="41"/>
  <c r="DX166" i="41"/>
  <c r="DP166" i="41"/>
  <c r="DG166" i="41"/>
  <c r="CY166" i="41"/>
  <c r="CQ166" i="41"/>
  <c r="CI166" i="41"/>
  <c r="CA166" i="41"/>
  <c r="BR166" i="41"/>
  <c r="BJ166" i="41"/>
  <c r="BB166" i="41"/>
  <c r="AT166" i="41"/>
  <c r="AL166" i="41"/>
  <c r="AK166" i="41"/>
  <c r="AC166" i="41"/>
  <c r="U166" i="41"/>
  <c r="M166" i="41"/>
  <c r="PP165" i="41"/>
  <c r="PH165" i="41"/>
  <c r="OZ165" i="41"/>
  <c r="OR165" i="41"/>
  <c r="OJ165" i="41"/>
  <c r="OA165" i="41"/>
  <c r="NS165" i="41"/>
  <c r="NK165" i="41"/>
  <c r="NC165" i="41"/>
  <c r="MT165" i="41"/>
  <c r="ML165" i="41"/>
  <c r="MD165" i="41"/>
  <c r="LV165" i="41"/>
  <c r="LM165" i="41"/>
  <c r="LE165" i="41"/>
  <c r="KW165" i="41"/>
  <c r="KO165" i="41"/>
  <c r="KG165" i="41"/>
  <c r="JX165" i="41"/>
  <c r="JP165" i="41"/>
  <c r="JH165" i="41"/>
  <c r="IZ165" i="41"/>
  <c r="IQ165" i="41"/>
  <c r="II165" i="41"/>
  <c r="IA165" i="41"/>
  <c r="HS165" i="41"/>
  <c r="HJ165" i="41"/>
  <c r="HB165" i="41"/>
  <c r="GT165" i="41"/>
  <c r="GL165" i="41"/>
  <c r="GD165" i="41"/>
  <c r="FU165" i="41"/>
  <c r="FM165" i="41"/>
  <c r="FE165" i="41"/>
  <c r="EW165" i="41"/>
  <c r="EN165" i="41"/>
  <c r="EF165" i="41"/>
  <c r="DX165" i="41"/>
  <c r="DP165" i="41"/>
  <c r="DG165" i="41"/>
  <c r="CY165" i="41"/>
  <c r="CQ165" i="41"/>
  <c r="CI165" i="41"/>
  <c r="CA165" i="41"/>
  <c r="BR165" i="41"/>
  <c r="BJ165" i="41"/>
  <c r="BB165" i="41"/>
  <c r="AT165" i="41"/>
  <c r="AL165" i="41"/>
  <c r="AK165" i="41"/>
  <c r="AC165" i="41"/>
  <c r="U165" i="41"/>
  <c r="M165" i="41"/>
  <c r="PP164" i="41"/>
  <c r="PH164" i="41"/>
  <c r="OZ164" i="41"/>
  <c r="OR164" i="41"/>
  <c r="OJ164" i="41"/>
  <c r="OA164" i="41"/>
  <c r="NS164" i="41"/>
  <c r="NK164" i="41"/>
  <c r="NC164" i="41"/>
  <c r="MT164" i="41"/>
  <c r="ML164" i="41"/>
  <c r="MD164" i="41"/>
  <c r="LV164" i="41"/>
  <c r="LM164" i="41"/>
  <c r="LE164" i="41"/>
  <c r="KW164" i="41"/>
  <c r="KO164" i="41"/>
  <c r="KG164" i="41"/>
  <c r="JX164" i="41"/>
  <c r="JP164" i="41"/>
  <c r="JH164" i="41"/>
  <c r="IZ164" i="41"/>
  <c r="IQ164" i="41"/>
  <c r="II164" i="41"/>
  <c r="IA164" i="41"/>
  <c r="HS164" i="41"/>
  <c r="HJ164" i="41"/>
  <c r="HB164" i="41"/>
  <c r="GT164" i="41"/>
  <c r="GL164" i="41"/>
  <c r="GD164" i="41"/>
  <c r="FU164" i="41"/>
  <c r="FM164" i="41"/>
  <c r="FE164" i="41"/>
  <c r="EW164" i="41"/>
  <c r="EN164" i="41"/>
  <c r="EF164" i="41"/>
  <c r="DX164" i="41"/>
  <c r="DP164" i="41"/>
  <c r="DG164" i="41"/>
  <c r="CY164" i="41"/>
  <c r="CQ164" i="41"/>
  <c r="CI164" i="41"/>
  <c r="CA164" i="41"/>
  <c r="BR164" i="41"/>
  <c r="BJ164" i="41"/>
  <c r="BB164" i="41"/>
  <c r="AT164" i="41"/>
  <c r="AL164" i="41"/>
  <c r="AK164" i="41"/>
  <c r="AC164" i="41"/>
  <c r="U164" i="41"/>
  <c r="M164" i="41"/>
  <c r="PP163" i="41"/>
  <c r="PH163" i="41"/>
  <c r="OZ163" i="41"/>
  <c r="OR163" i="41"/>
  <c r="OJ163" i="41"/>
  <c r="OA163" i="41"/>
  <c r="NS163" i="41"/>
  <c r="NK163" i="41"/>
  <c r="NC163" i="41"/>
  <c r="MT163" i="41"/>
  <c r="ML163" i="41"/>
  <c r="MD163" i="41"/>
  <c r="LV163" i="41"/>
  <c r="LM163" i="41"/>
  <c r="LE163" i="41"/>
  <c r="KW163" i="41"/>
  <c r="KO163" i="41"/>
  <c r="KG163" i="41"/>
  <c r="JX163" i="41"/>
  <c r="JP163" i="41"/>
  <c r="JH163" i="41"/>
  <c r="IZ163" i="41"/>
  <c r="IQ163" i="41"/>
  <c r="II163" i="41"/>
  <c r="IA163" i="41"/>
  <c r="HS163" i="41"/>
  <c r="HJ163" i="41"/>
  <c r="HB163" i="41"/>
  <c r="GT163" i="41"/>
  <c r="GL163" i="41"/>
  <c r="GD163" i="41"/>
  <c r="FU163" i="41"/>
  <c r="FM163" i="41"/>
  <c r="FE163" i="41"/>
  <c r="EW163" i="41"/>
  <c r="EN163" i="41"/>
  <c r="EF163" i="41"/>
  <c r="DX163" i="41"/>
  <c r="DP163" i="41"/>
  <c r="DG163" i="41"/>
  <c r="CY163" i="41"/>
  <c r="CQ163" i="41"/>
  <c r="CI163" i="41"/>
  <c r="CA163" i="41"/>
  <c r="BR163" i="41"/>
  <c r="BJ163" i="41"/>
  <c r="BB163" i="41"/>
  <c r="AT163" i="41"/>
  <c r="AL163" i="41"/>
  <c r="AK163" i="41"/>
  <c r="AC163" i="41"/>
  <c r="U163" i="41"/>
  <c r="M163" i="41"/>
  <c r="PP162" i="41"/>
  <c r="PH162" i="41"/>
  <c r="OZ162" i="41"/>
  <c r="OR162" i="41"/>
  <c r="OJ162" i="41"/>
  <c r="OA162" i="41"/>
  <c r="NS162" i="41"/>
  <c r="NK162" i="41"/>
  <c r="NC162" i="41"/>
  <c r="MT162" i="41"/>
  <c r="ML162" i="41"/>
  <c r="MD162" i="41"/>
  <c r="LV162" i="41"/>
  <c r="LM162" i="41"/>
  <c r="LE162" i="41"/>
  <c r="KW162" i="41"/>
  <c r="KO162" i="41"/>
  <c r="KG162" i="41"/>
  <c r="JX162" i="41"/>
  <c r="JP162" i="41"/>
  <c r="JH162" i="41"/>
  <c r="IZ162" i="41"/>
  <c r="IQ162" i="41"/>
  <c r="II162" i="41"/>
  <c r="IA162" i="41"/>
  <c r="HS162" i="41"/>
  <c r="HJ162" i="41"/>
  <c r="HB162" i="41"/>
  <c r="GT162" i="41"/>
  <c r="GL162" i="41"/>
  <c r="GD162" i="41"/>
  <c r="FU162" i="41"/>
  <c r="FM162" i="41"/>
  <c r="FE162" i="41"/>
  <c r="EW162" i="41"/>
  <c r="EN162" i="41"/>
  <c r="EF162" i="41"/>
  <c r="DX162" i="41"/>
  <c r="DP162" i="41"/>
  <c r="DG162" i="41"/>
  <c r="CY162" i="41"/>
  <c r="CQ162" i="41"/>
  <c r="CI162" i="41"/>
  <c r="CA162" i="41"/>
  <c r="BR162" i="41"/>
  <c r="BJ162" i="41"/>
  <c r="BB162" i="41"/>
  <c r="AT162" i="41"/>
  <c r="AL162" i="41"/>
  <c r="AK162" i="41"/>
  <c r="AC162" i="41"/>
  <c r="U162" i="41"/>
  <c r="M162" i="41"/>
  <c r="PP161" i="41"/>
  <c r="PH161" i="41"/>
  <c r="OZ161" i="41"/>
  <c r="OR161" i="41"/>
  <c r="OJ161" i="41"/>
  <c r="OA161" i="41"/>
  <c r="NS161" i="41"/>
  <c r="NK161" i="41"/>
  <c r="NC161" i="41"/>
  <c r="MT161" i="41"/>
  <c r="ML161" i="41"/>
  <c r="MD161" i="41"/>
  <c r="LV161" i="41"/>
  <c r="LM161" i="41"/>
  <c r="LE161" i="41"/>
  <c r="KW161" i="41"/>
  <c r="KO161" i="41"/>
  <c r="KG161" i="41"/>
  <c r="JX161" i="41"/>
  <c r="JP161" i="41"/>
  <c r="JH161" i="41"/>
  <c r="IZ161" i="41"/>
  <c r="IQ161" i="41"/>
  <c r="II161" i="41"/>
  <c r="IA161" i="41"/>
  <c r="HS161" i="41"/>
  <c r="HJ161" i="41"/>
  <c r="HB161" i="41"/>
  <c r="GT161" i="41"/>
  <c r="GL161" i="41"/>
  <c r="GD161" i="41"/>
  <c r="FU161" i="41"/>
  <c r="FM161" i="41"/>
  <c r="FE161" i="41"/>
  <c r="EW161" i="41"/>
  <c r="EN161" i="41"/>
  <c r="EF161" i="41"/>
  <c r="DX161" i="41"/>
  <c r="DP161" i="41"/>
  <c r="DG161" i="41"/>
  <c r="CY161" i="41"/>
  <c r="CQ161" i="41"/>
  <c r="CI161" i="41"/>
  <c r="CA161" i="41"/>
  <c r="BR161" i="41"/>
  <c r="BJ161" i="41"/>
  <c r="BB161" i="41"/>
  <c r="AT161" i="41"/>
  <c r="AL161" i="41"/>
  <c r="AK161" i="41"/>
  <c r="AC161" i="41"/>
  <c r="U161" i="41"/>
  <c r="M161" i="41"/>
  <c r="PP160" i="41"/>
  <c r="PH160" i="41"/>
  <c r="OZ160" i="41"/>
  <c r="OR160" i="41"/>
  <c r="OJ160" i="41"/>
  <c r="OA160" i="41"/>
  <c r="NS160" i="41"/>
  <c r="NK160" i="41"/>
  <c r="NC160" i="41"/>
  <c r="MT160" i="41"/>
  <c r="ML160" i="41"/>
  <c r="MD160" i="41"/>
  <c r="LV160" i="41"/>
  <c r="LM160" i="41"/>
  <c r="LE160" i="41"/>
  <c r="KW160" i="41"/>
  <c r="KO160" i="41"/>
  <c r="KG160" i="41"/>
  <c r="JX160" i="41"/>
  <c r="JP160" i="41"/>
  <c r="JH160" i="41"/>
  <c r="IZ160" i="41"/>
  <c r="IQ160" i="41"/>
  <c r="II160" i="41"/>
  <c r="IA160" i="41"/>
  <c r="HS160" i="41"/>
  <c r="HJ160" i="41"/>
  <c r="HB160" i="41"/>
  <c r="GT160" i="41"/>
  <c r="GL160" i="41"/>
  <c r="GD160" i="41"/>
  <c r="FU160" i="41"/>
  <c r="FM160" i="41"/>
  <c r="FE160" i="41"/>
  <c r="EW160" i="41"/>
  <c r="EN160" i="41"/>
  <c r="EF160" i="41"/>
  <c r="DX160" i="41"/>
  <c r="DP160" i="41"/>
  <c r="DG160" i="41"/>
  <c r="CY160" i="41"/>
  <c r="CQ160" i="41"/>
  <c r="CI160" i="41"/>
  <c r="CA160" i="41"/>
  <c r="BR160" i="41"/>
  <c r="BJ160" i="41"/>
  <c r="BB160" i="41"/>
  <c r="AT160" i="41"/>
  <c r="AL160" i="41"/>
  <c r="AK160" i="41"/>
  <c r="AC160" i="41"/>
  <c r="U160" i="41"/>
  <c r="M160" i="41"/>
  <c r="PP159" i="41"/>
  <c r="PH159" i="41"/>
  <c r="OZ159" i="41"/>
  <c r="OR159" i="41"/>
  <c r="OJ159" i="41"/>
  <c r="OA159" i="41"/>
  <c r="NS159" i="41"/>
  <c r="NK159" i="41"/>
  <c r="NC159" i="41"/>
  <c r="MT159" i="41"/>
  <c r="ML159" i="41"/>
  <c r="MD159" i="41"/>
  <c r="LV159" i="41"/>
  <c r="LM159" i="41"/>
  <c r="LE159" i="41"/>
  <c r="KW159" i="41"/>
  <c r="KO159" i="41"/>
  <c r="KG159" i="41"/>
  <c r="JX159" i="41"/>
  <c r="JP159" i="41"/>
  <c r="JH159" i="41"/>
  <c r="IZ159" i="41"/>
  <c r="IQ159" i="41"/>
  <c r="II159" i="41"/>
  <c r="IA159" i="41"/>
  <c r="HS159" i="41"/>
  <c r="HJ159" i="41"/>
  <c r="HB159" i="41"/>
  <c r="GT159" i="41"/>
  <c r="GL159" i="41"/>
  <c r="GD159" i="41"/>
  <c r="FU159" i="41"/>
  <c r="FM159" i="41"/>
  <c r="FE159" i="41"/>
  <c r="EW159" i="41"/>
  <c r="EN159" i="41"/>
  <c r="EF159" i="41"/>
  <c r="DX159" i="41"/>
  <c r="DP159" i="41"/>
  <c r="DG159" i="41"/>
  <c r="CY159" i="41"/>
  <c r="CQ159" i="41"/>
  <c r="CI159" i="41"/>
  <c r="CA159" i="41"/>
  <c r="BR159" i="41"/>
  <c r="BJ159" i="41"/>
  <c r="BB159" i="41"/>
  <c r="AT159" i="41"/>
  <c r="AL159" i="41"/>
  <c r="AK159" i="41"/>
  <c r="AC159" i="41"/>
  <c r="U159" i="41"/>
  <c r="M159" i="41"/>
  <c r="PP158" i="41"/>
  <c r="PH158" i="41"/>
  <c r="OZ158" i="41"/>
  <c r="OR158" i="41"/>
  <c r="OJ158" i="41"/>
  <c r="OA158" i="41"/>
  <c r="NS158" i="41"/>
  <c r="NK158" i="41"/>
  <c r="NC158" i="41"/>
  <c r="MT158" i="41"/>
  <c r="ML158" i="41"/>
  <c r="MD158" i="41"/>
  <c r="LV158" i="41"/>
  <c r="LM158" i="41"/>
  <c r="LE158" i="41"/>
  <c r="KW158" i="41"/>
  <c r="KO158" i="41"/>
  <c r="KG158" i="41"/>
  <c r="JX158" i="41"/>
  <c r="JP158" i="41"/>
  <c r="JH158" i="41"/>
  <c r="IZ158" i="41"/>
  <c r="IQ158" i="41"/>
  <c r="II158" i="41"/>
  <c r="IA158" i="41"/>
  <c r="HS158" i="41"/>
  <c r="HJ158" i="41"/>
  <c r="HB158" i="41"/>
  <c r="GT158" i="41"/>
  <c r="GL158" i="41"/>
  <c r="GD158" i="41"/>
  <c r="FU158" i="41"/>
  <c r="FM158" i="41"/>
  <c r="FE158" i="41"/>
  <c r="EW158" i="41"/>
  <c r="EN158" i="41"/>
  <c r="EF158" i="41"/>
  <c r="DX158" i="41"/>
  <c r="DP158" i="41"/>
  <c r="DG158" i="41"/>
  <c r="CY158" i="41"/>
  <c r="CQ158" i="41"/>
  <c r="CI158" i="41"/>
  <c r="CA158" i="41"/>
  <c r="BR158" i="41"/>
  <c r="BJ158" i="41"/>
  <c r="BB158" i="41"/>
  <c r="AT158" i="41"/>
  <c r="AL158" i="41"/>
  <c r="AK158" i="41"/>
  <c r="AC158" i="41"/>
  <c r="U158" i="41"/>
  <c r="M158" i="41"/>
  <c r="PP157" i="41"/>
  <c r="PH157" i="41"/>
  <c r="OZ157" i="41"/>
  <c r="OR157" i="41"/>
  <c r="OJ157" i="41"/>
  <c r="OA157" i="41"/>
  <c r="NS157" i="41"/>
  <c r="NK157" i="41"/>
  <c r="NC157" i="41"/>
  <c r="MT157" i="41"/>
  <c r="ML157" i="41"/>
  <c r="MD157" i="41"/>
  <c r="LV157" i="41"/>
  <c r="LM157" i="41"/>
  <c r="LE157" i="41"/>
  <c r="KW157" i="41"/>
  <c r="KO157" i="41"/>
  <c r="KG157" i="41"/>
  <c r="JX157" i="41"/>
  <c r="JP157" i="41"/>
  <c r="JH157" i="41"/>
  <c r="IZ157" i="41"/>
  <c r="IQ157" i="41"/>
  <c r="II157" i="41"/>
  <c r="IA157" i="41"/>
  <c r="HS157" i="41"/>
  <c r="HJ157" i="41"/>
  <c r="HB157" i="41"/>
  <c r="GT157" i="41"/>
  <c r="GL157" i="41"/>
  <c r="GD157" i="41"/>
  <c r="FU157" i="41"/>
  <c r="FM157" i="41"/>
  <c r="FE157" i="41"/>
  <c r="EW157" i="41"/>
  <c r="EN157" i="41"/>
  <c r="EF157" i="41"/>
  <c r="DX157" i="41"/>
  <c r="DP157" i="41"/>
  <c r="DG157" i="41"/>
  <c r="CY157" i="41"/>
  <c r="CQ157" i="41"/>
  <c r="CI157" i="41"/>
  <c r="CA157" i="41"/>
  <c r="BR157" i="41"/>
  <c r="BJ157" i="41"/>
  <c r="BB157" i="41"/>
  <c r="AT157" i="41"/>
  <c r="AL157" i="41"/>
  <c r="AK157" i="41"/>
  <c r="AC157" i="41"/>
  <c r="U157" i="41"/>
  <c r="M157" i="41"/>
  <c r="PP156" i="41"/>
  <c r="PH156" i="41"/>
  <c r="OZ156" i="41"/>
  <c r="OR156" i="41"/>
  <c r="OJ156" i="41"/>
  <c r="OA156" i="41"/>
  <c r="NS156" i="41"/>
  <c r="NK156" i="41"/>
  <c r="NC156" i="41"/>
  <c r="MT156" i="41"/>
  <c r="ML156" i="41"/>
  <c r="MD156" i="41"/>
  <c r="LV156" i="41"/>
  <c r="LM156" i="41"/>
  <c r="LE156" i="41"/>
  <c r="KW156" i="41"/>
  <c r="KO156" i="41"/>
  <c r="KG156" i="41"/>
  <c r="JX156" i="41"/>
  <c r="JP156" i="41"/>
  <c r="JH156" i="41"/>
  <c r="IZ156" i="41"/>
  <c r="IQ156" i="41"/>
  <c r="II156" i="41"/>
  <c r="IA156" i="41"/>
  <c r="HS156" i="41"/>
  <c r="HJ156" i="41"/>
  <c r="HB156" i="41"/>
  <c r="GT156" i="41"/>
  <c r="GL156" i="41"/>
  <c r="GD156" i="41"/>
  <c r="FU156" i="41"/>
  <c r="FM156" i="41"/>
  <c r="FE156" i="41"/>
  <c r="EW156" i="41"/>
  <c r="EN156" i="41"/>
  <c r="EF156" i="41"/>
  <c r="DX156" i="41"/>
  <c r="DP156" i="41"/>
  <c r="DG156" i="41"/>
  <c r="CY156" i="41"/>
  <c r="CQ156" i="41"/>
  <c r="CI156" i="41"/>
  <c r="CA156" i="41"/>
  <c r="BR156" i="41"/>
  <c r="BJ156" i="41"/>
  <c r="BB156" i="41"/>
  <c r="AT156" i="41"/>
  <c r="AL156" i="41"/>
  <c r="AK156" i="41"/>
  <c r="AC156" i="41"/>
  <c r="U156" i="41"/>
  <c r="M156" i="41"/>
  <c r="PP155" i="41"/>
  <c r="PH155" i="41"/>
  <c r="OZ155" i="41"/>
  <c r="OR155" i="41"/>
  <c r="OJ155" i="41"/>
  <c r="OA155" i="41"/>
  <c r="NS155" i="41"/>
  <c r="NK155" i="41"/>
  <c r="NC155" i="41"/>
  <c r="MT155" i="41"/>
  <c r="ML155" i="41"/>
  <c r="MD155" i="41"/>
  <c r="LV155" i="41"/>
  <c r="LM155" i="41"/>
  <c r="LE155" i="41"/>
  <c r="KW155" i="41"/>
  <c r="KO155" i="41"/>
  <c r="KG155" i="41"/>
  <c r="JX155" i="41"/>
  <c r="JP155" i="41"/>
  <c r="JH155" i="41"/>
  <c r="IZ155" i="41"/>
  <c r="IQ155" i="41"/>
  <c r="II155" i="41"/>
  <c r="IA155" i="41"/>
  <c r="HS155" i="41"/>
  <c r="HJ155" i="41"/>
  <c r="HB155" i="41"/>
  <c r="GT155" i="41"/>
  <c r="GL155" i="41"/>
  <c r="GD155" i="41"/>
  <c r="FU155" i="41"/>
  <c r="FM155" i="41"/>
  <c r="FE155" i="41"/>
  <c r="EW155" i="41"/>
  <c r="EN155" i="41"/>
  <c r="EF155" i="41"/>
  <c r="DX155" i="41"/>
  <c r="DP155" i="41"/>
  <c r="DG155" i="41"/>
  <c r="CY155" i="41"/>
  <c r="CQ155" i="41"/>
  <c r="CI155" i="41"/>
  <c r="CA155" i="41"/>
  <c r="BR155" i="41"/>
  <c r="BJ155" i="41"/>
  <c r="BB155" i="41"/>
  <c r="AT155" i="41"/>
  <c r="AL155" i="41"/>
  <c r="AK155" i="41"/>
  <c r="AC155" i="41"/>
  <c r="U155" i="41"/>
  <c r="M155" i="41"/>
  <c r="PP154" i="41"/>
  <c r="PH154" i="41"/>
  <c r="OZ154" i="41"/>
  <c r="OR154" i="41"/>
  <c r="OJ154" i="41"/>
  <c r="OA154" i="41"/>
  <c r="NS154" i="41"/>
  <c r="NK154" i="41"/>
  <c r="NC154" i="41"/>
  <c r="MT154" i="41"/>
  <c r="ML154" i="41"/>
  <c r="MD154" i="41"/>
  <c r="LV154" i="41"/>
  <c r="LM154" i="41"/>
  <c r="LE154" i="41"/>
  <c r="KW154" i="41"/>
  <c r="KO154" i="41"/>
  <c r="KG154" i="41"/>
  <c r="JX154" i="41"/>
  <c r="JP154" i="41"/>
  <c r="JH154" i="41"/>
  <c r="IZ154" i="41"/>
  <c r="IQ154" i="41"/>
  <c r="II154" i="41"/>
  <c r="IA154" i="41"/>
  <c r="HS154" i="41"/>
  <c r="HJ154" i="41"/>
  <c r="HB154" i="41"/>
  <c r="GT154" i="41"/>
  <c r="GL154" i="41"/>
  <c r="GD154" i="41"/>
  <c r="FU154" i="41"/>
  <c r="FM154" i="41"/>
  <c r="FE154" i="41"/>
  <c r="EW154" i="41"/>
  <c r="EN154" i="41"/>
  <c r="EF154" i="41"/>
  <c r="DX154" i="41"/>
  <c r="DP154" i="41"/>
  <c r="DG154" i="41"/>
  <c r="CY154" i="41"/>
  <c r="CQ154" i="41"/>
  <c r="CI154" i="41"/>
  <c r="CA154" i="41"/>
  <c r="BR154" i="41"/>
  <c r="BJ154" i="41"/>
  <c r="BB154" i="41"/>
  <c r="AT154" i="41"/>
  <c r="AL154" i="41"/>
  <c r="AK154" i="41"/>
  <c r="AC154" i="41"/>
  <c r="U154" i="41"/>
  <c r="M154" i="41"/>
  <c r="PP153" i="41"/>
  <c r="PH153" i="41"/>
  <c r="OZ153" i="41"/>
  <c r="OR153" i="41"/>
  <c r="OJ153" i="41"/>
  <c r="OA153" i="41"/>
  <c r="NS153" i="41"/>
  <c r="NK153" i="41"/>
  <c r="NC153" i="41"/>
  <c r="MT153" i="41"/>
  <c r="ML153" i="41"/>
  <c r="MD153" i="41"/>
  <c r="LV153" i="41"/>
  <c r="LM153" i="41"/>
  <c r="LE153" i="41"/>
  <c r="KW153" i="41"/>
  <c r="KO153" i="41"/>
  <c r="KG153" i="41"/>
  <c r="JX153" i="41"/>
  <c r="JP153" i="41"/>
  <c r="JH153" i="41"/>
  <c r="IZ153" i="41"/>
  <c r="IQ153" i="41"/>
  <c r="II153" i="41"/>
  <c r="IA153" i="41"/>
  <c r="HS153" i="41"/>
  <c r="HJ153" i="41"/>
  <c r="HB153" i="41"/>
  <c r="GT153" i="41"/>
  <c r="GL153" i="41"/>
  <c r="GD153" i="41"/>
  <c r="FU153" i="41"/>
  <c r="FM153" i="41"/>
  <c r="FE153" i="41"/>
  <c r="EW153" i="41"/>
  <c r="EN153" i="41"/>
  <c r="EF153" i="41"/>
  <c r="DX153" i="41"/>
  <c r="DP153" i="41"/>
  <c r="DG153" i="41"/>
  <c r="CY153" i="41"/>
  <c r="CQ153" i="41"/>
  <c r="CI153" i="41"/>
  <c r="CA153" i="41"/>
  <c r="BR153" i="41"/>
  <c r="BJ153" i="41"/>
  <c r="BB153" i="41"/>
  <c r="AT153" i="41"/>
  <c r="AL153" i="41"/>
  <c r="AK153" i="41"/>
  <c r="AC153" i="41"/>
  <c r="U153" i="41"/>
  <c r="M153" i="41"/>
  <c r="PP152" i="41"/>
  <c r="PH152" i="41"/>
  <c r="OZ152" i="41"/>
  <c r="OR152" i="41"/>
  <c r="OJ152" i="41"/>
  <c r="OA152" i="41"/>
  <c r="NS152" i="41"/>
  <c r="NK152" i="41"/>
  <c r="NC152" i="41"/>
  <c r="MT152" i="41"/>
  <c r="ML152" i="41"/>
  <c r="MD152" i="41"/>
  <c r="LV152" i="41"/>
  <c r="LM152" i="41"/>
  <c r="LE152" i="41"/>
  <c r="KW152" i="41"/>
  <c r="KO152" i="41"/>
  <c r="KG152" i="41"/>
  <c r="JX152" i="41"/>
  <c r="JP152" i="41"/>
  <c r="JH152" i="41"/>
  <c r="IZ152" i="41"/>
  <c r="IQ152" i="41"/>
  <c r="II152" i="41"/>
  <c r="IA152" i="41"/>
  <c r="HS152" i="41"/>
  <c r="HJ152" i="41"/>
  <c r="HB152" i="41"/>
  <c r="GT152" i="41"/>
  <c r="GL152" i="41"/>
  <c r="GD152" i="41"/>
  <c r="FU152" i="41"/>
  <c r="FM152" i="41"/>
  <c r="FE152" i="41"/>
  <c r="EW152" i="41"/>
  <c r="EN152" i="41"/>
  <c r="EF152" i="41"/>
  <c r="DX152" i="41"/>
  <c r="DP152" i="41"/>
  <c r="DG152" i="41"/>
  <c r="CY152" i="41"/>
  <c r="CQ152" i="41"/>
  <c r="CI152" i="41"/>
  <c r="CA152" i="41"/>
  <c r="BR152" i="41"/>
  <c r="BJ152" i="41"/>
  <c r="BB152" i="41"/>
  <c r="AT152" i="41"/>
  <c r="AL152" i="41"/>
  <c r="AK152" i="41"/>
  <c r="AC152" i="41"/>
  <c r="U152" i="41"/>
  <c r="M152" i="41"/>
  <c r="PP151" i="41"/>
  <c r="PH151" i="41"/>
  <c r="OZ151" i="41"/>
  <c r="OR151" i="41"/>
  <c r="OJ151" i="41"/>
  <c r="OA151" i="41"/>
  <c r="NS151" i="41"/>
  <c r="NK151" i="41"/>
  <c r="NC151" i="41"/>
  <c r="MT151" i="41"/>
  <c r="ML151" i="41"/>
  <c r="MD151" i="41"/>
  <c r="LV151" i="41"/>
  <c r="LM151" i="41"/>
  <c r="LE151" i="41"/>
  <c r="KW151" i="41"/>
  <c r="KO151" i="41"/>
  <c r="KG151" i="41"/>
  <c r="JX151" i="41"/>
  <c r="JP151" i="41"/>
  <c r="JH151" i="41"/>
  <c r="IZ151" i="41"/>
  <c r="IQ151" i="41"/>
  <c r="II151" i="41"/>
  <c r="IA151" i="41"/>
  <c r="HS151" i="41"/>
  <c r="HJ151" i="41"/>
  <c r="HB151" i="41"/>
  <c r="GT151" i="41"/>
  <c r="GL151" i="41"/>
  <c r="GD151" i="41"/>
  <c r="FU151" i="41"/>
  <c r="FM151" i="41"/>
  <c r="FE151" i="41"/>
  <c r="EW151" i="41"/>
  <c r="EN151" i="41"/>
  <c r="EF151" i="41"/>
  <c r="DX151" i="41"/>
  <c r="DP151" i="41"/>
  <c r="DG151" i="41"/>
  <c r="CY151" i="41"/>
  <c r="CQ151" i="41"/>
  <c r="CI151" i="41"/>
  <c r="CA151" i="41"/>
  <c r="BR151" i="41"/>
  <c r="BJ151" i="41"/>
  <c r="BB151" i="41"/>
  <c r="AT151" i="41"/>
  <c r="AL151" i="41"/>
  <c r="AK151" i="41"/>
  <c r="AC151" i="41"/>
  <c r="U151" i="41"/>
  <c r="M151" i="41"/>
  <c r="PP150" i="41"/>
  <c r="PH150" i="41"/>
  <c r="OZ150" i="41"/>
  <c r="OR150" i="41"/>
  <c r="OJ150" i="41"/>
  <c r="OA150" i="41"/>
  <c r="NS150" i="41"/>
  <c r="NK150" i="41"/>
  <c r="NC150" i="41"/>
  <c r="MT150" i="41"/>
  <c r="ML150" i="41"/>
  <c r="MD150" i="41"/>
  <c r="LV150" i="41"/>
  <c r="LM150" i="41"/>
  <c r="LE150" i="41"/>
  <c r="KW150" i="41"/>
  <c r="KO150" i="41"/>
  <c r="KG150" i="41"/>
  <c r="JX150" i="41"/>
  <c r="JP150" i="41"/>
  <c r="JH150" i="41"/>
  <c r="IZ150" i="41"/>
  <c r="IQ150" i="41"/>
  <c r="II150" i="41"/>
  <c r="IA150" i="41"/>
  <c r="HS150" i="41"/>
  <c r="HJ150" i="41"/>
  <c r="HB150" i="41"/>
  <c r="GT150" i="41"/>
  <c r="GL150" i="41"/>
  <c r="GD150" i="41"/>
  <c r="FU150" i="41"/>
  <c r="FM150" i="41"/>
  <c r="FE150" i="41"/>
  <c r="EW150" i="41"/>
  <c r="EN150" i="41"/>
  <c r="EF150" i="41"/>
  <c r="DX150" i="41"/>
  <c r="DP150" i="41"/>
  <c r="DG150" i="41"/>
  <c r="CY150" i="41"/>
  <c r="CQ150" i="41"/>
  <c r="CI150" i="41"/>
  <c r="CA150" i="41"/>
  <c r="BR150" i="41"/>
  <c r="BJ150" i="41"/>
  <c r="BB150" i="41"/>
  <c r="AT150" i="41"/>
  <c r="AL150" i="41"/>
  <c r="AK150" i="41"/>
  <c r="AC150" i="41"/>
  <c r="U150" i="41"/>
  <c r="M150" i="41"/>
  <c r="PP149" i="41"/>
  <c r="PH149" i="41"/>
  <c r="OZ149" i="41"/>
  <c r="OR149" i="41"/>
  <c r="OJ149" i="41"/>
  <c r="OA149" i="41"/>
  <c r="NS149" i="41"/>
  <c r="NK149" i="41"/>
  <c r="NC149" i="41"/>
  <c r="MT149" i="41"/>
  <c r="ML149" i="41"/>
  <c r="MD149" i="41"/>
  <c r="LV149" i="41"/>
  <c r="LM149" i="41"/>
  <c r="LE149" i="41"/>
  <c r="KW149" i="41"/>
  <c r="KO149" i="41"/>
  <c r="KG149" i="41"/>
  <c r="JX149" i="41"/>
  <c r="JP149" i="41"/>
  <c r="JH149" i="41"/>
  <c r="IZ149" i="41"/>
  <c r="IQ149" i="41"/>
  <c r="II149" i="41"/>
  <c r="IA149" i="41"/>
  <c r="HS149" i="41"/>
  <c r="HJ149" i="41"/>
  <c r="HB149" i="41"/>
  <c r="GT149" i="41"/>
  <c r="GL149" i="41"/>
  <c r="GD149" i="41"/>
  <c r="FU149" i="41"/>
  <c r="FM149" i="41"/>
  <c r="FE149" i="41"/>
  <c r="EW149" i="41"/>
  <c r="EN149" i="41"/>
  <c r="EF149" i="41"/>
  <c r="DX149" i="41"/>
  <c r="DP149" i="41"/>
  <c r="DG149" i="41"/>
  <c r="CY149" i="41"/>
  <c r="CQ149" i="41"/>
  <c r="CI149" i="41"/>
  <c r="CA149" i="41"/>
  <c r="BR149" i="41"/>
  <c r="BJ149" i="41"/>
  <c r="BB149" i="41"/>
  <c r="AT149" i="41"/>
  <c r="AL149" i="41"/>
  <c r="AK149" i="41"/>
  <c r="AC149" i="41"/>
  <c r="U149" i="41"/>
  <c r="M149" i="41"/>
  <c r="PP148" i="41"/>
  <c r="PH148" i="41"/>
  <c r="OZ148" i="41"/>
  <c r="OR148" i="41"/>
  <c r="OJ148" i="41"/>
  <c r="OA148" i="41"/>
  <c r="NS148" i="41"/>
  <c r="NK148" i="41"/>
  <c r="NC148" i="41"/>
  <c r="MT148" i="41"/>
  <c r="ML148" i="41"/>
  <c r="MD148" i="41"/>
  <c r="LV148" i="41"/>
  <c r="LM148" i="41"/>
  <c r="LE148" i="41"/>
  <c r="KW148" i="41"/>
  <c r="KO148" i="41"/>
  <c r="KG148" i="41"/>
  <c r="JX148" i="41"/>
  <c r="JP148" i="41"/>
  <c r="JH148" i="41"/>
  <c r="IZ148" i="41"/>
  <c r="IQ148" i="41"/>
  <c r="II148" i="41"/>
  <c r="IA148" i="41"/>
  <c r="HS148" i="41"/>
  <c r="HJ148" i="41"/>
  <c r="HB148" i="41"/>
  <c r="GT148" i="41"/>
  <c r="GL148" i="41"/>
  <c r="GD148" i="41"/>
  <c r="FU148" i="41"/>
  <c r="FM148" i="41"/>
  <c r="FE148" i="41"/>
  <c r="EW148" i="41"/>
  <c r="EN148" i="41"/>
  <c r="EF148" i="41"/>
  <c r="DX148" i="41"/>
  <c r="DP148" i="41"/>
  <c r="DG148" i="41"/>
  <c r="CY148" i="41"/>
  <c r="CQ148" i="41"/>
  <c r="CI148" i="41"/>
  <c r="CA148" i="41"/>
  <c r="BR148" i="41"/>
  <c r="BJ148" i="41"/>
  <c r="BB148" i="41"/>
  <c r="AT148" i="41"/>
  <c r="AL148" i="41"/>
  <c r="AK148" i="41"/>
  <c r="AC148" i="41"/>
  <c r="U148" i="41"/>
  <c r="M148" i="41"/>
  <c r="PP147" i="41"/>
  <c r="PH147" i="41"/>
  <c r="OZ147" i="41"/>
  <c r="OR147" i="41"/>
  <c r="OJ147" i="41"/>
  <c r="OA147" i="41"/>
  <c r="NS147" i="41"/>
  <c r="NK147" i="41"/>
  <c r="NC147" i="41"/>
  <c r="MT147" i="41"/>
  <c r="ML147" i="41"/>
  <c r="MD147" i="41"/>
  <c r="LV147" i="41"/>
  <c r="LM147" i="41"/>
  <c r="LE147" i="41"/>
  <c r="KW147" i="41"/>
  <c r="KO147" i="41"/>
  <c r="KG147" i="41"/>
  <c r="JX147" i="41"/>
  <c r="JP147" i="41"/>
  <c r="JH147" i="41"/>
  <c r="IZ147" i="41"/>
  <c r="IQ147" i="41"/>
  <c r="II147" i="41"/>
  <c r="IA147" i="41"/>
  <c r="HS147" i="41"/>
  <c r="HJ147" i="41"/>
  <c r="HB147" i="41"/>
  <c r="GT147" i="41"/>
  <c r="GL147" i="41"/>
  <c r="GD147" i="41"/>
  <c r="FU147" i="41"/>
  <c r="FM147" i="41"/>
  <c r="FE147" i="41"/>
  <c r="EW147" i="41"/>
  <c r="EN147" i="41"/>
  <c r="EF147" i="41"/>
  <c r="DX147" i="41"/>
  <c r="DP147" i="41"/>
  <c r="DG147" i="41"/>
  <c r="CY147" i="41"/>
  <c r="CQ147" i="41"/>
  <c r="CI147" i="41"/>
  <c r="CA147" i="41"/>
  <c r="BR147" i="41"/>
  <c r="BJ147" i="41"/>
  <c r="BB147" i="41"/>
  <c r="AT147" i="41"/>
  <c r="AL147" i="41"/>
  <c r="AK147" i="41"/>
  <c r="AC147" i="41"/>
  <c r="U147" i="41"/>
  <c r="M147" i="41"/>
  <c r="PP144" i="41"/>
  <c r="PH144" i="41"/>
  <c r="OZ144" i="41"/>
  <c r="OR144" i="41"/>
  <c r="OJ144" i="41"/>
  <c r="OA144" i="41"/>
  <c r="NS144" i="41"/>
  <c r="NK144" i="41"/>
  <c r="NC144" i="41"/>
  <c r="MT144" i="41"/>
  <c r="ML144" i="41"/>
  <c r="MD144" i="41"/>
  <c r="LV144" i="41"/>
  <c r="LM144" i="41"/>
  <c r="LE144" i="41"/>
  <c r="KW144" i="41"/>
  <c r="KO144" i="41"/>
  <c r="KG144" i="41"/>
  <c r="JX144" i="41"/>
  <c r="JP144" i="41"/>
  <c r="JH144" i="41"/>
  <c r="IZ144" i="41"/>
  <c r="IQ144" i="41"/>
  <c r="II144" i="41"/>
  <c r="IA144" i="41"/>
  <c r="HS144" i="41"/>
  <c r="HJ144" i="41"/>
  <c r="HB144" i="41"/>
  <c r="GT144" i="41"/>
  <c r="GL144" i="41"/>
  <c r="GD144" i="41"/>
  <c r="FU144" i="41"/>
  <c r="FM144" i="41"/>
  <c r="FE144" i="41"/>
  <c r="EW144" i="41"/>
  <c r="EN144" i="41"/>
  <c r="EF144" i="41"/>
  <c r="DX144" i="41"/>
  <c r="DP144" i="41"/>
  <c r="DG144" i="41"/>
  <c r="CY144" i="41"/>
  <c r="CQ144" i="41"/>
  <c r="CI144" i="41"/>
  <c r="CA144" i="41"/>
  <c r="BR144" i="41"/>
  <c r="BJ144" i="41"/>
  <c r="BB144" i="41"/>
  <c r="AT144" i="41"/>
  <c r="AL144" i="41"/>
  <c r="AK144" i="41"/>
  <c r="AC144" i="41"/>
  <c r="U144" i="41"/>
  <c r="M144" i="41"/>
  <c r="PP143" i="41"/>
  <c r="PH143" i="41"/>
  <c r="OZ143" i="41"/>
  <c r="OR143" i="41"/>
  <c r="OJ143" i="41"/>
  <c r="OA143" i="41"/>
  <c r="NS143" i="41"/>
  <c r="NK143" i="41"/>
  <c r="NC143" i="41"/>
  <c r="MT143" i="41"/>
  <c r="ML143" i="41"/>
  <c r="MD143" i="41"/>
  <c r="LV143" i="41"/>
  <c r="LM143" i="41"/>
  <c r="LE143" i="41"/>
  <c r="KW143" i="41"/>
  <c r="KO143" i="41"/>
  <c r="KG143" i="41"/>
  <c r="JX143" i="41"/>
  <c r="JP143" i="41"/>
  <c r="JH143" i="41"/>
  <c r="IZ143" i="41"/>
  <c r="IQ143" i="41"/>
  <c r="II143" i="41"/>
  <c r="IA143" i="41"/>
  <c r="HS143" i="41"/>
  <c r="HJ143" i="41"/>
  <c r="HB143" i="41"/>
  <c r="GT143" i="41"/>
  <c r="GL143" i="41"/>
  <c r="GD143" i="41"/>
  <c r="FU143" i="41"/>
  <c r="FM143" i="41"/>
  <c r="FE143" i="41"/>
  <c r="EW143" i="41"/>
  <c r="EN143" i="41"/>
  <c r="EF143" i="41"/>
  <c r="DX143" i="41"/>
  <c r="DP143" i="41"/>
  <c r="DG143" i="41"/>
  <c r="CY143" i="41"/>
  <c r="CQ143" i="41"/>
  <c r="CI143" i="41"/>
  <c r="CA143" i="41"/>
  <c r="BR143" i="41"/>
  <c r="BJ143" i="41"/>
  <c r="BB143" i="41"/>
  <c r="AT143" i="41"/>
  <c r="AL143" i="41"/>
  <c r="AK143" i="41"/>
  <c r="AC143" i="41"/>
  <c r="U143" i="41"/>
  <c r="M143" i="41"/>
  <c r="PP142" i="41"/>
  <c r="PH142" i="41"/>
  <c r="OZ142" i="41"/>
  <c r="OR142" i="41"/>
  <c r="OJ142" i="41"/>
  <c r="OA142" i="41"/>
  <c r="NS142" i="41"/>
  <c r="NK142" i="41"/>
  <c r="NC142" i="41"/>
  <c r="MT142" i="41"/>
  <c r="ML142" i="41"/>
  <c r="MD142" i="41"/>
  <c r="LV142" i="41"/>
  <c r="LM142" i="41"/>
  <c r="LE142" i="41"/>
  <c r="KW142" i="41"/>
  <c r="KO142" i="41"/>
  <c r="KG142" i="41"/>
  <c r="JX142" i="41"/>
  <c r="JP142" i="41"/>
  <c r="JH142" i="41"/>
  <c r="IZ142" i="41"/>
  <c r="IQ142" i="41"/>
  <c r="II142" i="41"/>
  <c r="IA142" i="41"/>
  <c r="HS142" i="41"/>
  <c r="HJ142" i="41"/>
  <c r="HB142" i="41"/>
  <c r="GT142" i="41"/>
  <c r="GL142" i="41"/>
  <c r="GD142" i="41"/>
  <c r="FU142" i="41"/>
  <c r="FM142" i="41"/>
  <c r="FE142" i="41"/>
  <c r="EW142" i="41"/>
  <c r="EN142" i="41"/>
  <c r="EF142" i="41"/>
  <c r="DX142" i="41"/>
  <c r="DP142" i="41"/>
  <c r="DG142" i="41"/>
  <c r="CY142" i="41"/>
  <c r="CQ142" i="41"/>
  <c r="CI142" i="41"/>
  <c r="CA142" i="41"/>
  <c r="BR142" i="41"/>
  <c r="BJ142" i="41"/>
  <c r="BB142" i="41"/>
  <c r="AT142" i="41"/>
  <c r="AL142" i="41"/>
  <c r="AK142" i="41"/>
  <c r="AC142" i="41"/>
  <c r="U142" i="41"/>
  <c r="M142" i="41"/>
  <c r="PP141" i="41"/>
  <c r="PH141" i="41"/>
  <c r="OZ141" i="41"/>
  <c r="OR141" i="41"/>
  <c r="OJ141" i="41"/>
  <c r="OA141" i="41"/>
  <c r="NS141" i="41"/>
  <c r="NK141" i="41"/>
  <c r="NC141" i="41"/>
  <c r="MT141" i="41"/>
  <c r="ML141" i="41"/>
  <c r="MD141" i="41"/>
  <c r="LV141" i="41"/>
  <c r="LM141" i="41"/>
  <c r="LE141" i="41"/>
  <c r="KW141" i="41"/>
  <c r="KO141" i="41"/>
  <c r="KG141" i="41"/>
  <c r="JX141" i="41"/>
  <c r="JP141" i="41"/>
  <c r="JH141" i="41"/>
  <c r="IZ141" i="41"/>
  <c r="IQ141" i="41"/>
  <c r="II141" i="41"/>
  <c r="IA141" i="41"/>
  <c r="HS141" i="41"/>
  <c r="HJ141" i="41"/>
  <c r="HB141" i="41"/>
  <c r="GT141" i="41"/>
  <c r="GL141" i="41"/>
  <c r="GD141" i="41"/>
  <c r="FU141" i="41"/>
  <c r="FM141" i="41"/>
  <c r="FE141" i="41"/>
  <c r="EW141" i="41"/>
  <c r="EN141" i="41"/>
  <c r="EF141" i="41"/>
  <c r="DX141" i="41"/>
  <c r="DP141" i="41"/>
  <c r="DG141" i="41"/>
  <c r="CY141" i="41"/>
  <c r="CQ141" i="41"/>
  <c r="CI141" i="41"/>
  <c r="CA141" i="41"/>
  <c r="BR141" i="41"/>
  <c r="BJ141" i="41"/>
  <c r="BB141" i="41"/>
  <c r="AT141" i="41"/>
  <c r="AL141" i="41"/>
  <c r="AK141" i="41"/>
  <c r="AC141" i="41"/>
  <c r="U141" i="41"/>
  <c r="M141" i="41"/>
  <c r="PP140" i="41"/>
  <c r="PH140" i="41"/>
  <c r="OZ140" i="41"/>
  <c r="OR140" i="41"/>
  <c r="OJ140" i="41"/>
  <c r="OA140" i="41"/>
  <c r="NS140" i="41"/>
  <c r="NK140" i="41"/>
  <c r="NC140" i="41"/>
  <c r="MT140" i="41"/>
  <c r="ML140" i="41"/>
  <c r="MD140" i="41"/>
  <c r="LV140" i="41"/>
  <c r="LM140" i="41"/>
  <c r="LE140" i="41"/>
  <c r="KW140" i="41"/>
  <c r="KO140" i="41"/>
  <c r="KG140" i="41"/>
  <c r="JX140" i="41"/>
  <c r="JP140" i="41"/>
  <c r="JH140" i="41"/>
  <c r="IZ140" i="41"/>
  <c r="IQ140" i="41"/>
  <c r="II140" i="41"/>
  <c r="IA140" i="41"/>
  <c r="HS140" i="41"/>
  <c r="HJ140" i="41"/>
  <c r="HB140" i="41"/>
  <c r="GT140" i="41"/>
  <c r="GL140" i="41"/>
  <c r="GD140" i="41"/>
  <c r="FU140" i="41"/>
  <c r="FM140" i="41"/>
  <c r="FE140" i="41"/>
  <c r="EW140" i="41"/>
  <c r="EN140" i="41"/>
  <c r="EF140" i="41"/>
  <c r="DX140" i="41"/>
  <c r="DP140" i="41"/>
  <c r="DG140" i="41"/>
  <c r="CY140" i="41"/>
  <c r="CQ140" i="41"/>
  <c r="CI140" i="41"/>
  <c r="CA140" i="41"/>
  <c r="BR140" i="41"/>
  <c r="BJ140" i="41"/>
  <c r="BB140" i="41"/>
  <c r="AT140" i="41"/>
  <c r="AL140" i="41"/>
  <c r="AK140" i="41"/>
  <c r="AC140" i="41"/>
  <c r="U140" i="41"/>
  <c r="M140" i="41"/>
  <c r="PP139" i="41"/>
  <c r="PH139" i="41"/>
  <c r="OZ139" i="41"/>
  <c r="OR139" i="41"/>
  <c r="OJ139" i="41"/>
  <c r="OA139" i="41"/>
  <c r="NS139" i="41"/>
  <c r="NK139" i="41"/>
  <c r="NC139" i="41"/>
  <c r="MT139" i="41"/>
  <c r="ML139" i="41"/>
  <c r="MD139" i="41"/>
  <c r="LV139" i="41"/>
  <c r="LM139" i="41"/>
  <c r="LE139" i="41"/>
  <c r="KW139" i="41"/>
  <c r="KO139" i="41"/>
  <c r="KG139" i="41"/>
  <c r="JX139" i="41"/>
  <c r="JP139" i="41"/>
  <c r="JH139" i="41"/>
  <c r="IZ139" i="41"/>
  <c r="IQ139" i="41"/>
  <c r="II139" i="41"/>
  <c r="IA139" i="41"/>
  <c r="HS139" i="41"/>
  <c r="HJ139" i="41"/>
  <c r="HB139" i="41"/>
  <c r="GT139" i="41"/>
  <c r="GL139" i="41"/>
  <c r="GD139" i="41"/>
  <c r="FU139" i="41"/>
  <c r="FM139" i="41"/>
  <c r="FE139" i="41"/>
  <c r="EW139" i="41"/>
  <c r="EN139" i="41"/>
  <c r="EF139" i="41"/>
  <c r="DX139" i="41"/>
  <c r="DP139" i="41"/>
  <c r="DG139" i="41"/>
  <c r="CY139" i="41"/>
  <c r="CQ139" i="41"/>
  <c r="CI139" i="41"/>
  <c r="CA139" i="41"/>
  <c r="BR139" i="41"/>
  <c r="BJ139" i="41"/>
  <c r="BB139" i="41"/>
  <c r="AT139" i="41"/>
  <c r="AL139" i="41"/>
  <c r="AK139" i="41"/>
  <c r="AC139" i="41"/>
  <c r="U139" i="41"/>
  <c r="M139" i="41"/>
  <c r="PP138" i="41"/>
  <c r="PH138" i="41"/>
  <c r="OZ138" i="41"/>
  <c r="OR138" i="41"/>
  <c r="OJ138" i="41"/>
  <c r="OA138" i="41"/>
  <c r="NS138" i="41"/>
  <c r="NK138" i="41"/>
  <c r="NC138" i="41"/>
  <c r="MT138" i="41"/>
  <c r="ML138" i="41"/>
  <c r="MD138" i="41"/>
  <c r="LV138" i="41"/>
  <c r="LM138" i="41"/>
  <c r="LE138" i="41"/>
  <c r="KW138" i="41"/>
  <c r="KO138" i="41"/>
  <c r="KG138" i="41"/>
  <c r="JX138" i="41"/>
  <c r="JP138" i="41"/>
  <c r="JH138" i="41"/>
  <c r="IZ138" i="41"/>
  <c r="IQ138" i="41"/>
  <c r="II138" i="41"/>
  <c r="IA138" i="41"/>
  <c r="HS138" i="41"/>
  <c r="HJ138" i="41"/>
  <c r="HB138" i="41"/>
  <c r="GT138" i="41"/>
  <c r="GL138" i="41"/>
  <c r="GD138" i="41"/>
  <c r="FU138" i="41"/>
  <c r="FM138" i="41"/>
  <c r="FE138" i="41"/>
  <c r="EW138" i="41"/>
  <c r="EN138" i="41"/>
  <c r="EF138" i="41"/>
  <c r="DX138" i="41"/>
  <c r="DP138" i="41"/>
  <c r="DG138" i="41"/>
  <c r="CY138" i="41"/>
  <c r="CQ138" i="41"/>
  <c r="CI138" i="41"/>
  <c r="CA138" i="41"/>
  <c r="BR138" i="41"/>
  <c r="BJ138" i="41"/>
  <c r="BB138" i="41"/>
  <c r="AT138" i="41"/>
  <c r="AL138" i="41"/>
  <c r="AK138" i="41"/>
  <c r="AC138" i="41"/>
  <c r="U138" i="41"/>
  <c r="M138" i="41"/>
  <c r="PP137" i="41"/>
  <c r="PH137" i="41"/>
  <c r="OZ137" i="41"/>
  <c r="OR137" i="41"/>
  <c r="OJ137" i="41"/>
  <c r="OA137" i="41"/>
  <c r="NS137" i="41"/>
  <c r="NK137" i="41"/>
  <c r="NC137" i="41"/>
  <c r="MT137" i="41"/>
  <c r="ML137" i="41"/>
  <c r="MD137" i="41"/>
  <c r="LV137" i="41"/>
  <c r="LM137" i="41"/>
  <c r="LE137" i="41"/>
  <c r="KW137" i="41"/>
  <c r="KO137" i="41"/>
  <c r="KG137" i="41"/>
  <c r="JX137" i="41"/>
  <c r="JP137" i="41"/>
  <c r="JH137" i="41"/>
  <c r="IZ137" i="41"/>
  <c r="IQ137" i="41"/>
  <c r="II137" i="41"/>
  <c r="IA137" i="41"/>
  <c r="HS137" i="41"/>
  <c r="HJ137" i="41"/>
  <c r="HB137" i="41"/>
  <c r="GT137" i="41"/>
  <c r="GL137" i="41"/>
  <c r="GD137" i="41"/>
  <c r="FU137" i="41"/>
  <c r="FM137" i="41"/>
  <c r="FE137" i="41"/>
  <c r="EW137" i="41"/>
  <c r="EN137" i="41"/>
  <c r="EF137" i="41"/>
  <c r="DX137" i="41"/>
  <c r="DP137" i="41"/>
  <c r="DG137" i="41"/>
  <c r="CY137" i="41"/>
  <c r="CQ137" i="41"/>
  <c r="CI137" i="41"/>
  <c r="CA137" i="41"/>
  <c r="BR137" i="41"/>
  <c r="BJ137" i="41"/>
  <c r="BB137" i="41"/>
  <c r="AT137" i="41"/>
  <c r="AL137" i="41"/>
  <c r="AK137" i="41"/>
  <c r="AC137" i="41"/>
  <c r="U137" i="41"/>
  <c r="M137" i="41"/>
  <c r="PP136" i="41"/>
  <c r="PH136" i="41"/>
  <c r="OZ136" i="41"/>
  <c r="OR136" i="41"/>
  <c r="OJ136" i="41"/>
  <c r="OA136" i="41"/>
  <c r="NS136" i="41"/>
  <c r="NK136" i="41"/>
  <c r="NC136" i="41"/>
  <c r="MT136" i="41"/>
  <c r="ML136" i="41"/>
  <c r="MD136" i="41"/>
  <c r="LV136" i="41"/>
  <c r="LM136" i="41"/>
  <c r="LE136" i="41"/>
  <c r="KW136" i="41"/>
  <c r="KO136" i="41"/>
  <c r="KG136" i="41"/>
  <c r="JX136" i="41"/>
  <c r="JP136" i="41"/>
  <c r="JH136" i="41"/>
  <c r="IZ136" i="41"/>
  <c r="IQ136" i="41"/>
  <c r="II136" i="41"/>
  <c r="IA136" i="41"/>
  <c r="HS136" i="41"/>
  <c r="HJ136" i="41"/>
  <c r="HB136" i="41"/>
  <c r="GT136" i="41"/>
  <c r="GL136" i="41"/>
  <c r="GD136" i="41"/>
  <c r="FU136" i="41"/>
  <c r="FM136" i="41"/>
  <c r="FE136" i="41"/>
  <c r="EW136" i="41"/>
  <c r="EN136" i="41"/>
  <c r="EF136" i="41"/>
  <c r="DX136" i="41"/>
  <c r="DP136" i="41"/>
  <c r="DG136" i="41"/>
  <c r="CY136" i="41"/>
  <c r="CQ136" i="41"/>
  <c r="CI136" i="41"/>
  <c r="CA136" i="41"/>
  <c r="BR136" i="41"/>
  <c r="BJ136" i="41"/>
  <c r="BB136" i="41"/>
  <c r="AT136" i="41"/>
  <c r="AL136" i="41"/>
  <c r="AK136" i="41"/>
  <c r="AC136" i="41"/>
  <c r="U136" i="41"/>
  <c r="M136" i="41"/>
  <c r="PP135" i="41"/>
  <c r="PH135" i="41"/>
  <c r="OZ135" i="41"/>
  <c r="OR135" i="41"/>
  <c r="OJ135" i="41"/>
  <c r="OA135" i="41"/>
  <c r="NS135" i="41"/>
  <c r="NK135" i="41"/>
  <c r="NC135" i="41"/>
  <c r="MT135" i="41"/>
  <c r="ML135" i="41"/>
  <c r="MD135" i="41"/>
  <c r="LV135" i="41"/>
  <c r="LM135" i="41"/>
  <c r="LE135" i="41"/>
  <c r="KW135" i="41"/>
  <c r="KO135" i="41"/>
  <c r="KG135" i="41"/>
  <c r="JX135" i="41"/>
  <c r="JP135" i="41"/>
  <c r="JH135" i="41"/>
  <c r="IZ135" i="41"/>
  <c r="IQ135" i="41"/>
  <c r="II135" i="41"/>
  <c r="IA135" i="41"/>
  <c r="HS135" i="41"/>
  <c r="HJ135" i="41"/>
  <c r="HB135" i="41"/>
  <c r="GT135" i="41"/>
  <c r="GL135" i="41"/>
  <c r="GD135" i="41"/>
  <c r="FU135" i="41"/>
  <c r="FM135" i="41"/>
  <c r="FE135" i="41"/>
  <c r="EW135" i="41"/>
  <c r="EN135" i="41"/>
  <c r="EF135" i="41"/>
  <c r="DX135" i="41"/>
  <c r="DP135" i="41"/>
  <c r="DG135" i="41"/>
  <c r="CY135" i="41"/>
  <c r="CQ135" i="41"/>
  <c r="CI135" i="41"/>
  <c r="CA135" i="41"/>
  <c r="BR135" i="41"/>
  <c r="BJ135" i="41"/>
  <c r="BB135" i="41"/>
  <c r="AT135" i="41"/>
  <c r="AL135" i="41"/>
  <c r="AK135" i="41"/>
  <c r="AC135" i="41"/>
  <c r="U135" i="41"/>
  <c r="M135" i="41"/>
  <c r="PP134" i="41"/>
  <c r="PH134" i="41"/>
  <c r="OZ134" i="41"/>
  <c r="OR134" i="41"/>
  <c r="OJ134" i="41"/>
  <c r="OA134" i="41"/>
  <c r="NS134" i="41"/>
  <c r="NK134" i="41"/>
  <c r="NC134" i="41"/>
  <c r="MT134" i="41"/>
  <c r="ML134" i="41"/>
  <c r="MD134" i="41"/>
  <c r="LV134" i="41"/>
  <c r="LM134" i="41"/>
  <c r="LE134" i="41"/>
  <c r="KW134" i="41"/>
  <c r="KO134" i="41"/>
  <c r="KG134" i="41"/>
  <c r="JX134" i="41"/>
  <c r="JP134" i="41"/>
  <c r="JH134" i="41"/>
  <c r="IZ134" i="41"/>
  <c r="IQ134" i="41"/>
  <c r="II134" i="41"/>
  <c r="IA134" i="41"/>
  <c r="HS134" i="41"/>
  <c r="HJ134" i="41"/>
  <c r="HB134" i="41"/>
  <c r="GT134" i="41"/>
  <c r="GL134" i="41"/>
  <c r="GD134" i="41"/>
  <c r="FU134" i="41"/>
  <c r="FM134" i="41"/>
  <c r="FE134" i="41"/>
  <c r="EW134" i="41"/>
  <c r="EN134" i="41"/>
  <c r="EF134" i="41"/>
  <c r="DX134" i="41"/>
  <c r="DP134" i="41"/>
  <c r="DG134" i="41"/>
  <c r="CY134" i="41"/>
  <c r="CQ134" i="41"/>
  <c r="CI134" i="41"/>
  <c r="CA134" i="41"/>
  <c r="BR134" i="41"/>
  <c r="BJ134" i="41"/>
  <c r="BB134" i="41"/>
  <c r="AT134" i="41"/>
  <c r="AL134" i="41"/>
  <c r="AK134" i="41"/>
  <c r="AC134" i="41"/>
  <c r="U134" i="41"/>
  <c r="M134" i="41"/>
  <c r="PP133" i="41"/>
  <c r="PH133" i="41"/>
  <c r="OZ133" i="41"/>
  <c r="OR133" i="41"/>
  <c r="OJ133" i="41"/>
  <c r="OA133" i="41"/>
  <c r="NS133" i="41"/>
  <c r="NK133" i="41"/>
  <c r="NC133" i="41"/>
  <c r="MT133" i="41"/>
  <c r="ML133" i="41"/>
  <c r="MD133" i="41"/>
  <c r="LV133" i="41"/>
  <c r="LM133" i="41"/>
  <c r="LE133" i="41"/>
  <c r="KW133" i="41"/>
  <c r="KO133" i="41"/>
  <c r="KG133" i="41"/>
  <c r="JX133" i="41"/>
  <c r="JP133" i="41"/>
  <c r="JH133" i="41"/>
  <c r="IZ133" i="41"/>
  <c r="IQ133" i="41"/>
  <c r="II133" i="41"/>
  <c r="IA133" i="41"/>
  <c r="HS133" i="41"/>
  <c r="HJ133" i="41"/>
  <c r="HB133" i="41"/>
  <c r="GT133" i="41"/>
  <c r="GL133" i="41"/>
  <c r="GD133" i="41"/>
  <c r="FU133" i="41"/>
  <c r="FM133" i="41"/>
  <c r="FE133" i="41"/>
  <c r="EW133" i="41"/>
  <c r="EN133" i="41"/>
  <c r="EF133" i="41"/>
  <c r="DX133" i="41"/>
  <c r="DP133" i="41"/>
  <c r="DG133" i="41"/>
  <c r="CY133" i="41"/>
  <c r="CQ133" i="41"/>
  <c r="CI133" i="41"/>
  <c r="CA133" i="41"/>
  <c r="BR133" i="41"/>
  <c r="BJ133" i="41"/>
  <c r="BB133" i="41"/>
  <c r="AT133" i="41"/>
  <c r="AL133" i="41"/>
  <c r="AK133" i="41"/>
  <c r="AC133" i="41"/>
  <c r="U133" i="41"/>
  <c r="M133" i="41"/>
  <c r="PP132" i="41"/>
  <c r="PH132" i="41"/>
  <c r="OZ132" i="41"/>
  <c r="OR132" i="41"/>
  <c r="OJ132" i="41"/>
  <c r="OA132" i="41"/>
  <c r="NS132" i="41"/>
  <c r="NK132" i="41"/>
  <c r="NC132" i="41"/>
  <c r="MT132" i="41"/>
  <c r="ML132" i="41"/>
  <c r="MD132" i="41"/>
  <c r="LV132" i="41"/>
  <c r="LM132" i="41"/>
  <c r="LE132" i="41"/>
  <c r="KW132" i="41"/>
  <c r="KO132" i="41"/>
  <c r="KG132" i="41"/>
  <c r="JX132" i="41"/>
  <c r="JP132" i="41"/>
  <c r="JH132" i="41"/>
  <c r="IZ132" i="41"/>
  <c r="IQ132" i="41"/>
  <c r="II132" i="41"/>
  <c r="IA132" i="41"/>
  <c r="HS132" i="41"/>
  <c r="HJ132" i="41"/>
  <c r="HB132" i="41"/>
  <c r="GT132" i="41"/>
  <c r="GL132" i="41"/>
  <c r="GD132" i="41"/>
  <c r="FU132" i="41"/>
  <c r="FM132" i="41"/>
  <c r="FE132" i="41"/>
  <c r="EW132" i="41"/>
  <c r="EN132" i="41"/>
  <c r="EF132" i="41"/>
  <c r="DX132" i="41"/>
  <c r="DP132" i="41"/>
  <c r="DG132" i="41"/>
  <c r="CY132" i="41"/>
  <c r="CQ132" i="41"/>
  <c r="CI132" i="41"/>
  <c r="CA132" i="41"/>
  <c r="BR132" i="41"/>
  <c r="BJ132" i="41"/>
  <c r="BB132" i="41"/>
  <c r="AT132" i="41"/>
  <c r="AL132" i="41"/>
  <c r="AK132" i="41"/>
  <c r="AC132" i="41"/>
  <c r="U132" i="41"/>
  <c r="M132" i="41"/>
  <c r="PP131" i="41"/>
  <c r="PH131" i="41"/>
  <c r="OZ131" i="41"/>
  <c r="OR131" i="41"/>
  <c r="OJ131" i="41"/>
  <c r="OA131" i="41"/>
  <c r="NS131" i="41"/>
  <c r="NK131" i="41"/>
  <c r="NC131" i="41"/>
  <c r="MT131" i="41"/>
  <c r="ML131" i="41"/>
  <c r="MD131" i="41"/>
  <c r="LV131" i="41"/>
  <c r="LM131" i="41"/>
  <c r="LE131" i="41"/>
  <c r="KW131" i="41"/>
  <c r="KO131" i="41"/>
  <c r="KG131" i="41"/>
  <c r="JX131" i="41"/>
  <c r="JP131" i="41"/>
  <c r="JH131" i="41"/>
  <c r="IZ131" i="41"/>
  <c r="IQ131" i="41"/>
  <c r="II131" i="41"/>
  <c r="IA131" i="41"/>
  <c r="HS131" i="41"/>
  <c r="HJ131" i="41"/>
  <c r="HB131" i="41"/>
  <c r="GT131" i="41"/>
  <c r="GL131" i="41"/>
  <c r="GD131" i="41"/>
  <c r="FU131" i="41"/>
  <c r="FM131" i="41"/>
  <c r="FE131" i="41"/>
  <c r="EW131" i="41"/>
  <c r="EN131" i="41"/>
  <c r="EF131" i="41"/>
  <c r="DX131" i="41"/>
  <c r="DP131" i="41"/>
  <c r="DG131" i="41"/>
  <c r="CY131" i="41"/>
  <c r="CQ131" i="41"/>
  <c r="CI131" i="41"/>
  <c r="CA131" i="41"/>
  <c r="BR131" i="41"/>
  <c r="BJ131" i="41"/>
  <c r="BB131" i="41"/>
  <c r="AT131" i="41"/>
  <c r="AL131" i="41"/>
  <c r="AK131" i="41"/>
  <c r="AC131" i="41"/>
  <c r="U131" i="41"/>
  <c r="M131" i="41"/>
  <c r="PP130" i="41"/>
  <c r="PH130" i="41"/>
  <c r="OZ130" i="41"/>
  <c r="OR130" i="41"/>
  <c r="OJ130" i="41"/>
  <c r="OA130" i="41"/>
  <c r="NS130" i="41"/>
  <c r="NK130" i="41"/>
  <c r="NC130" i="41"/>
  <c r="MT130" i="41"/>
  <c r="ML130" i="41"/>
  <c r="MD130" i="41"/>
  <c r="LV130" i="41"/>
  <c r="LM130" i="41"/>
  <c r="LE130" i="41"/>
  <c r="KW130" i="41"/>
  <c r="KO130" i="41"/>
  <c r="KG130" i="41"/>
  <c r="JX130" i="41"/>
  <c r="JP130" i="41"/>
  <c r="JH130" i="41"/>
  <c r="IZ130" i="41"/>
  <c r="IQ130" i="41"/>
  <c r="II130" i="41"/>
  <c r="IA130" i="41"/>
  <c r="HS130" i="41"/>
  <c r="HJ130" i="41"/>
  <c r="HB130" i="41"/>
  <c r="GT130" i="41"/>
  <c r="GL130" i="41"/>
  <c r="GD130" i="41"/>
  <c r="FU130" i="41"/>
  <c r="FM130" i="41"/>
  <c r="FE130" i="41"/>
  <c r="EW130" i="41"/>
  <c r="EN130" i="41"/>
  <c r="EF130" i="41"/>
  <c r="DX130" i="41"/>
  <c r="DP130" i="41"/>
  <c r="DG130" i="41"/>
  <c r="CY130" i="41"/>
  <c r="CQ130" i="41"/>
  <c r="CI130" i="41"/>
  <c r="CA130" i="41"/>
  <c r="BR130" i="41"/>
  <c r="BJ130" i="41"/>
  <c r="BB130" i="41"/>
  <c r="AT130" i="41"/>
  <c r="AL130" i="41"/>
  <c r="AK130" i="41"/>
  <c r="AC130" i="41"/>
  <c r="U130" i="41"/>
  <c r="M130" i="41"/>
  <c r="PP129" i="41"/>
  <c r="PH129" i="41"/>
  <c r="OZ129" i="41"/>
  <c r="OR129" i="41"/>
  <c r="OJ129" i="41"/>
  <c r="OA129" i="41"/>
  <c r="NS129" i="41"/>
  <c r="NK129" i="41"/>
  <c r="NC129" i="41"/>
  <c r="MT129" i="41"/>
  <c r="ML129" i="41"/>
  <c r="MD129" i="41"/>
  <c r="LV129" i="41"/>
  <c r="LM129" i="41"/>
  <c r="LE129" i="41"/>
  <c r="KW129" i="41"/>
  <c r="KO129" i="41"/>
  <c r="KG129" i="41"/>
  <c r="JX129" i="41"/>
  <c r="JP129" i="41"/>
  <c r="JH129" i="41"/>
  <c r="IZ129" i="41"/>
  <c r="IQ129" i="41"/>
  <c r="II129" i="41"/>
  <c r="IA129" i="41"/>
  <c r="HS129" i="41"/>
  <c r="HJ129" i="41"/>
  <c r="HB129" i="41"/>
  <c r="GT129" i="41"/>
  <c r="GL129" i="41"/>
  <c r="GD129" i="41"/>
  <c r="FU129" i="41"/>
  <c r="FM129" i="41"/>
  <c r="FE129" i="41"/>
  <c r="EW129" i="41"/>
  <c r="EN129" i="41"/>
  <c r="EF129" i="41"/>
  <c r="DX129" i="41"/>
  <c r="DP129" i="41"/>
  <c r="DG129" i="41"/>
  <c r="CY129" i="41"/>
  <c r="CQ129" i="41"/>
  <c r="CI129" i="41"/>
  <c r="CA129" i="41"/>
  <c r="BR129" i="41"/>
  <c r="BJ129" i="41"/>
  <c r="BB129" i="41"/>
  <c r="AT129" i="41"/>
  <c r="AL129" i="41"/>
  <c r="AK129" i="41"/>
  <c r="AC129" i="41"/>
  <c r="U129" i="41"/>
  <c r="M129" i="41"/>
  <c r="PP128" i="41"/>
  <c r="PH128" i="41"/>
  <c r="OZ128" i="41"/>
  <c r="OR128" i="41"/>
  <c r="OJ128" i="41"/>
  <c r="OA128" i="41"/>
  <c r="NS128" i="41"/>
  <c r="NK128" i="41"/>
  <c r="NC128" i="41"/>
  <c r="MT128" i="41"/>
  <c r="ML128" i="41"/>
  <c r="MD128" i="41"/>
  <c r="LV128" i="41"/>
  <c r="LM128" i="41"/>
  <c r="LE128" i="41"/>
  <c r="KW128" i="41"/>
  <c r="KO128" i="41"/>
  <c r="KG128" i="41"/>
  <c r="JX128" i="41"/>
  <c r="JP128" i="41"/>
  <c r="JH128" i="41"/>
  <c r="IZ128" i="41"/>
  <c r="IQ128" i="41"/>
  <c r="II128" i="41"/>
  <c r="IA128" i="41"/>
  <c r="HS128" i="41"/>
  <c r="HJ128" i="41"/>
  <c r="HB128" i="41"/>
  <c r="GT128" i="41"/>
  <c r="GL128" i="41"/>
  <c r="GD128" i="41"/>
  <c r="FU128" i="41"/>
  <c r="FM128" i="41"/>
  <c r="FE128" i="41"/>
  <c r="EW128" i="41"/>
  <c r="EN128" i="41"/>
  <c r="EF128" i="41"/>
  <c r="DX128" i="41"/>
  <c r="DP128" i="41"/>
  <c r="DG128" i="41"/>
  <c r="CY128" i="41"/>
  <c r="CQ128" i="41"/>
  <c r="CI128" i="41"/>
  <c r="CA128" i="41"/>
  <c r="BR128" i="41"/>
  <c r="BJ128" i="41"/>
  <c r="BB128" i="41"/>
  <c r="AT128" i="41"/>
  <c r="AL128" i="41"/>
  <c r="AK128" i="41"/>
  <c r="AC128" i="41"/>
  <c r="U128" i="41"/>
  <c r="M128" i="41"/>
  <c r="PP127" i="41"/>
  <c r="PH127" i="41"/>
  <c r="OZ127" i="41"/>
  <c r="OR127" i="41"/>
  <c r="OJ127" i="41"/>
  <c r="OA127" i="41"/>
  <c r="NS127" i="41"/>
  <c r="NK127" i="41"/>
  <c r="NC127" i="41"/>
  <c r="MT127" i="41"/>
  <c r="ML127" i="41"/>
  <c r="MD127" i="41"/>
  <c r="LV127" i="41"/>
  <c r="LM127" i="41"/>
  <c r="LE127" i="41"/>
  <c r="KW127" i="41"/>
  <c r="KO127" i="41"/>
  <c r="KG127" i="41"/>
  <c r="JX127" i="41"/>
  <c r="JP127" i="41"/>
  <c r="JH127" i="41"/>
  <c r="IZ127" i="41"/>
  <c r="IQ127" i="41"/>
  <c r="II127" i="41"/>
  <c r="IA127" i="41"/>
  <c r="HS127" i="41"/>
  <c r="HJ127" i="41"/>
  <c r="HB127" i="41"/>
  <c r="GT127" i="41"/>
  <c r="GL127" i="41"/>
  <c r="GD127" i="41"/>
  <c r="FU127" i="41"/>
  <c r="FM127" i="41"/>
  <c r="FE127" i="41"/>
  <c r="EW127" i="41"/>
  <c r="EN127" i="41"/>
  <c r="EF127" i="41"/>
  <c r="DX127" i="41"/>
  <c r="DP127" i="41"/>
  <c r="DG127" i="41"/>
  <c r="CY127" i="41"/>
  <c r="CQ127" i="41"/>
  <c r="CI127" i="41"/>
  <c r="CA127" i="41"/>
  <c r="BR127" i="41"/>
  <c r="BJ127" i="41"/>
  <c r="BB127" i="41"/>
  <c r="AT127" i="41"/>
  <c r="AL127" i="41"/>
  <c r="AK127" i="41"/>
  <c r="AC127" i="41"/>
  <c r="U127" i="41"/>
  <c r="M127" i="41"/>
  <c r="PP126" i="41"/>
  <c r="PH126" i="41"/>
  <c r="OZ126" i="41"/>
  <c r="OR126" i="41"/>
  <c r="OJ126" i="41"/>
  <c r="OA126" i="41"/>
  <c r="NS126" i="41"/>
  <c r="NK126" i="41"/>
  <c r="NC126" i="41"/>
  <c r="MT126" i="41"/>
  <c r="ML126" i="41"/>
  <c r="MD126" i="41"/>
  <c r="LV126" i="41"/>
  <c r="LM126" i="41"/>
  <c r="LE126" i="41"/>
  <c r="KW126" i="41"/>
  <c r="KO126" i="41"/>
  <c r="KG126" i="41"/>
  <c r="JX126" i="41"/>
  <c r="JP126" i="41"/>
  <c r="JH126" i="41"/>
  <c r="IZ126" i="41"/>
  <c r="IQ126" i="41"/>
  <c r="II126" i="41"/>
  <c r="IA126" i="41"/>
  <c r="HS126" i="41"/>
  <c r="HJ126" i="41"/>
  <c r="HB126" i="41"/>
  <c r="GT126" i="41"/>
  <c r="GL126" i="41"/>
  <c r="GD126" i="41"/>
  <c r="FU126" i="41"/>
  <c r="FM126" i="41"/>
  <c r="FE126" i="41"/>
  <c r="EW126" i="41"/>
  <c r="EN126" i="41"/>
  <c r="EF126" i="41"/>
  <c r="DX126" i="41"/>
  <c r="DP126" i="41"/>
  <c r="DG126" i="41"/>
  <c r="CY126" i="41"/>
  <c r="CQ126" i="41"/>
  <c r="CI126" i="41"/>
  <c r="CA126" i="41"/>
  <c r="BR126" i="41"/>
  <c r="BJ126" i="41"/>
  <c r="BB126" i="41"/>
  <c r="AT126" i="41"/>
  <c r="AL126" i="41"/>
  <c r="AK126" i="41"/>
  <c r="AC126" i="41"/>
  <c r="U126" i="41"/>
  <c r="M126" i="41"/>
  <c r="PP125" i="41"/>
  <c r="PH125" i="41"/>
  <c r="OZ125" i="41"/>
  <c r="OR125" i="41"/>
  <c r="OJ125" i="41"/>
  <c r="OA125" i="41"/>
  <c r="NS125" i="41"/>
  <c r="NK125" i="41"/>
  <c r="NC125" i="41"/>
  <c r="MT125" i="41"/>
  <c r="ML125" i="41"/>
  <c r="MD125" i="41"/>
  <c r="LV125" i="41"/>
  <c r="LM125" i="41"/>
  <c r="LE125" i="41"/>
  <c r="KW125" i="41"/>
  <c r="KO125" i="41"/>
  <c r="KG125" i="41"/>
  <c r="JX125" i="41"/>
  <c r="JP125" i="41"/>
  <c r="JH125" i="41"/>
  <c r="IZ125" i="41"/>
  <c r="IQ125" i="41"/>
  <c r="II125" i="41"/>
  <c r="IA125" i="41"/>
  <c r="HS125" i="41"/>
  <c r="HJ125" i="41"/>
  <c r="HB125" i="41"/>
  <c r="GT125" i="41"/>
  <c r="GL125" i="41"/>
  <c r="GD125" i="41"/>
  <c r="FU125" i="41"/>
  <c r="FM125" i="41"/>
  <c r="FE125" i="41"/>
  <c r="EW125" i="41"/>
  <c r="EN125" i="41"/>
  <c r="EF125" i="41"/>
  <c r="DX125" i="41"/>
  <c r="DP125" i="41"/>
  <c r="DG125" i="41"/>
  <c r="CY125" i="41"/>
  <c r="CQ125" i="41"/>
  <c r="CI125" i="41"/>
  <c r="CA125" i="41"/>
  <c r="BR125" i="41"/>
  <c r="BJ125" i="41"/>
  <c r="BB125" i="41"/>
  <c r="AT125" i="41"/>
  <c r="AL125" i="41"/>
  <c r="AK125" i="41"/>
  <c r="AC125" i="41"/>
  <c r="U125" i="41"/>
  <c r="M125" i="41"/>
  <c r="PP124" i="41"/>
  <c r="PH124" i="41"/>
  <c r="OZ124" i="41"/>
  <c r="OR124" i="41"/>
  <c r="OJ124" i="41"/>
  <c r="OA124" i="41"/>
  <c r="NS124" i="41"/>
  <c r="NK124" i="41"/>
  <c r="NC124" i="41"/>
  <c r="MT124" i="41"/>
  <c r="ML124" i="41"/>
  <c r="MD124" i="41"/>
  <c r="LV124" i="41"/>
  <c r="LM124" i="41"/>
  <c r="LE124" i="41"/>
  <c r="KW124" i="41"/>
  <c r="KO124" i="41"/>
  <c r="KG124" i="41"/>
  <c r="JX124" i="41"/>
  <c r="JP124" i="41"/>
  <c r="JH124" i="41"/>
  <c r="IZ124" i="41"/>
  <c r="IQ124" i="41"/>
  <c r="II124" i="41"/>
  <c r="IA124" i="41"/>
  <c r="HS124" i="41"/>
  <c r="HJ124" i="41"/>
  <c r="HB124" i="41"/>
  <c r="GT124" i="41"/>
  <c r="GL124" i="41"/>
  <c r="GD124" i="41"/>
  <c r="FU124" i="41"/>
  <c r="FM124" i="41"/>
  <c r="FE124" i="41"/>
  <c r="EW124" i="41"/>
  <c r="EN124" i="41"/>
  <c r="EF124" i="41"/>
  <c r="DX124" i="41"/>
  <c r="DP124" i="41"/>
  <c r="DG124" i="41"/>
  <c r="CY124" i="41"/>
  <c r="CQ124" i="41"/>
  <c r="CI124" i="41"/>
  <c r="CA124" i="41"/>
  <c r="BR124" i="41"/>
  <c r="BJ124" i="41"/>
  <c r="BB124" i="41"/>
  <c r="AT124" i="41"/>
  <c r="AL124" i="41"/>
  <c r="AL191" i="41" s="1"/>
  <c r="AK124" i="41"/>
  <c r="AC124" i="41"/>
  <c r="U124" i="41"/>
  <c r="M124" i="41"/>
  <c r="DH123" i="41"/>
  <c r="DG123" i="41"/>
  <c r="CY123" i="41"/>
  <c r="CQ123" i="41"/>
  <c r="CN123" i="41"/>
  <c r="CM123" i="41"/>
  <c r="CL123" i="41"/>
  <c r="CK123" i="41"/>
  <c r="CJ123" i="41"/>
  <c r="CI123" i="41"/>
  <c r="CA123" i="41"/>
  <c r="BS123" i="41"/>
  <c r="BR123" i="41"/>
  <c r="BJ123" i="41"/>
  <c r="BB123" i="41"/>
  <c r="AT123" i="41"/>
  <c r="AL123" i="41"/>
  <c r="AK123" i="41"/>
  <c r="AC123" i="41"/>
  <c r="U123" i="41"/>
  <c r="M123" i="41"/>
  <c r="J123" i="41"/>
  <c r="I123" i="41"/>
  <c r="H123" i="41"/>
  <c r="G123" i="41"/>
  <c r="F123" i="41"/>
  <c r="PO121" i="41"/>
  <c r="PN121" i="41"/>
  <c r="PM121" i="41"/>
  <c r="PL121" i="41"/>
  <c r="PK121" i="41"/>
  <c r="PJ121" i="41"/>
  <c r="PI121" i="41"/>
  <c r="PG121" i="41"/>
  <c r="PF121" i="41"/>
  <c r="PE121" i="41"/>
  <c r="PD121" i="41"/>
  <c r="PC121" i="41"/>
  <c r="PB121" i="41"/>
  <c r="PA121" i="41"/>
  <c r="OY121" i="41"/>
  <c r="OX121" i="41"/>
  <c r="OW121" i="41"/>
  <c r="OV121" i="41"/>
  <c r="OU121" i="41"/>
  <c r="OT121" i="41"/>
  <c r="OS121" i="41"/>
  <c r="OQ121" i="41"/>
  <c r="OP121" i="41"/>
  <c r="OO121" i="41"/>
  <c r="ON121" i="41"/>
  <c r="OM121" i="41"/>
  <c r="OL121" i="41"/>
  <c r="OK121" i="41"/>
  <c r="OI121" i="41"/>
  <c r="OH121" i="41"/>
  <c r="OG121" i="41"/>
  <c r="OF121" i="41"/>
  <c r="OE121" i="41"/>
  <c r="OD121" i="41"/>
  <c r="OC121" i="41"/>
  <c r="NZ121" i="41"/>
  <c r="NY121" i="41"/>
  <c r="NX121" i="41"/>
  <c r="NW121" i="41"/>
  <c r="NV121" i="41"/>
  <c r="NU121" i="41"/>
  <c r="NT121" i="41"/>
  <c r="NR121" i="41"/>
  <c r="NQ121" i="41"/>
  <c r="NP121" i="41"/>
  <c r="NO121" i="41"/>
  <c r="NN121" i="41"/>
  <c r="NM121" i="41"/>
  <c r="NL121" i="41"/>
  <c r="NJ121" i="41"/>
  <c r="NI121" i="41"/>
  <c r="NH121" i="41"/>
  <c r="NG121" i="41"/>
  <c r="NF121" i="41"/>
  <c r="NE121" i="41"/>
  <c r="ND121" i="41"/>
  <c r="NB121" i="41"/>
  <c r="NA121" i="41"/>
  <c r="MZ121" i="41"/>
  <c r="MY121" i="41"/>
  <c r="MX121" i="41"/>
  <c r="MW121" i="41"/>
  <c r="MV121" i="41"/>
  <c r="MS121" i="41"/>
  <c r="MR121" i="41"/>
  <c r="MQ121" i="41"/>
  <c r="MP121" i="41"/>
  <c r="MO121" i="41"/>
  <c r="MN121" i="41"/>
  <c r="MM121" i="41"/>
  <c r="MK121" i="41"/>
  <c r="MJ121" i="41"/>
  <c r="MI121" i="41"/>
  <c r="MH121" i="41"/>
  <c r="MG121" i="41"/>
  <c r="MF121" i="41"/>
  <c r="ME121" i="41"/>
  <c r="MC121" i="41"/>
  <c r="MB121" i="41"/>
  <c r="MA121" i="41"/>
  <c r="LZ121" i="41"/>
  <c r="LY121" i="41"/>
  <c r="LX121" i="41"/>
  <c r="LW121" i="41"/>
  <c r="LU121" i="41"/>
  <c r="LT121" i="41"/>
  <c r="LS121" i="41"/>
  <c r="LR121" i="41"/>
  <c r="LQ121" i="41"/>
  <c r="LP121" i="41"/>
  <c r="LO121" i="41"/>
  <c r="LL121" i="41"/>
  <c r="LK121" i="41"/>
  <c r="LJ121" i="41"/>
  <c r="LI121" i="41"/>
  <c r="LH121" i="41"/>
  <c r="LG121" i="41"/>
  <c r="LF121" i="41"/>
  <c r="LD121" i="41"/>
  <c r="LC121" i="41"/>
  <c r="LB121" i="41"/>
  <c r="LA121" i="41"/>
  <c r="KZ121" i="41"/>
  <c r="KY121" i="41"/>
  <c r="KX121" i="41"/>
  <c r="KV121" i="41"/>
  <c r="KU121" i="41"/>
  <c r="KT121" i="41"/>
  <c r="KS121" i="41"/>
  <c r="KR121" i="41"/>
  <c r="KQ121" i="41"/>
  <c r="KP121" i="41"/>
  <c r="KN121" i="41"/>
  <c r="KM121" i="41"/>
  <c r="KL121" i="41"/>
  <c r="KK121" i="41"/>
  <c r="KJ121" i="41"/>
  <c r="KI121" i="41"/>
  <c r="KH121" i="41"/>
  <c r="KF121" i="41"/>
  <c r="KE121" i="41"/>
  <c r="KD121" i="41"/>
  <c r="KC121" i="41"/>
  <c r="KB121" i="41"/>
  <c r="KA121" i="41"/>
  <c r="JZ121" i="41"/>
  <c r="JW121" i="41"/>
  <c r="JV121" i="41"/>
  <c r="JU121" i="41"/>
  <c r="JT121" i="41"/>
  <c r="JS121" i="41"/>
  <c r="JR121" i="41"/>
  <c r="JQ121" i="41"/>
  <c r="JO121" i="41"/>
  <c r="JN121" i="41"/>
  <c r="JM121" i="41"/>
  <c r="JL121" i="41"/>
  <c r="JK121" i="41"/>
  <c r="JJ121" i="41"/>
  <c r="JI121" i="41"/>
  <c r="JG121" i="41"/>
  <c r="JF121" i="41"/>
  <c r="JE121" i="41"/>
  <c r="JD121" i="41"/>
  <c r="JC121" i="41"/>
  <c r="JB121" i="41"/>
  <c r="JA121" i="41"/>
  <c r="IY121" i="41"/>
  <c r="IX121" i="41"/>
  <c r="IW121" i="41"/>
  <c r="IV121" i="41"/>
  <c r="IU121" i="41"/>
  <c r="IT121" i="41"/>
  <c r="IS121" i="41"/>
  <c r="IP121" i="41"/>
  <c r="IO121" i="41"/>
  <c r="IN121" i="41"/>
  <c r="IM121" i="41"/>
  <c r="IL121" i="41"/>
  <c r="IK121" i="41"/>
  <c r="IJ121" i="41"/>
  <c r="IH121" i="41"/>
  <c r="IG121" i="41"/>
  <c r="IF121" i="41"/>
  <c r="IE121" i="41"/>
  <c r="ID121" i="41"/>
  <c r="IC121" i="41"/>
  <c r="IB121" i="41"/>
  <c r="HZ121" i="41"/>
  <c r="HY121" i="41"/>
  <c r="HX121" i="41"/>
  <c r="HW121" i="41"/>
  <c r="HV121" i="41"/>
  <c r="HU121" i="41"/>
  <c r="HT121" i="41"/>
  <c r="HR121" i="41"/>
  <c r="HQ121" i="41"/>
  <c r="HP121" i="41"/>
  <c r="HO121" i="41"/>
  <c r="HN121" i="41"/>
  <c r="HM121" i="41"/>
  <c r="HL121" i="41"/>
  <c r="HI121" i="41"/>
  <c r="HH121" i="41"/>
  <c r="HG121" i="41"/>
  <c r="HF121" i="41"/>
  <c r="HE121" i="41"/>
  <c r="HD121" i="41"/>
  <c r="HC121" i="41"/>
  <c r="HA121" i="41"/>
  <c r="GZ121" i="41"/>
  <c r="GY121" i="41"/>
  <c r="GX121" i="41"/>
  <c r="GW121" i="41"/>
  <c r="GV121" i="41"/>
  <c r="GU121" i="41"/>
  <c r="GS121" i="41"/>
  <c r="GR121" i="41"/>
  <c r="GQ121" i="41"/>
  <c r="GP121" i="41"/>
  <c r="GO121" i="41"/>
  <c r="GN121" i="41"/>
  <c r="GM121" i="41"/>
  <c r="GK121" i="41"/>
  <c r="GJ121" i="41"/>
  <c r="GI121" i="41"/>
  <c r="GH121" i="41"/>
  <c r="GG121" i="41"/>
  <c r="GF121" i="41"/>
  <c r="GE121" i="41"/>
  <c r="GC121" i="41"/>
  <c r="GB121" i="41"/>
  <c r="GA121" i="41"/>
  <c r="FZ121" i="41"/>
  <c r="FY121" i="41"/>
  <c r="FX121" i="41"/>
  <c r="FW121" i="41"/>
  <c r="FT121" i="41"/>
  <c r="FS121" i="41"/>
  <c r="FR121" i="41"/>
  <c r="FQ121" i="41"/>
  <c r="FP121" i="41"/>
  <c r="FO121" i="41"/>
  <c r="FN121" i="41"/>
  <c r="FL121" i="41"/>
  <c r="FK121" i="41"/>
  <c r="FJ121" i="41"/>
  <c r="FI121" i="41"/>
  <c r="FH121" i="41"/>
  <c r="FG121" i="41"/>
  <c r="FF121" i="41"/>
  <c r="FD121" i="41"/>
  <c r="FC121" i="41"/>
  <c r="FB121" i="41"/>
  <c r="FA121" i="41"/>
  <c r="EZ121" i="41"/>
  <c r="EY121" i="41"/>
  <c r="EX121" i="41"/>
  <c r="EV121" i="41"/>
  <c r="EU121" i="41"/>
  <c r="ET121" i="41"/>
  <c r="ES121" i="41"/>
  <c r="ER121" i="41"/>
  <c r="EQ121" i="41"/>
  <c r="EP121" i="41"/>
  <c r="EM121" i="41"/>
  <c r="EL121" i="41"/>
  <c r="EK121" i="41"/>
  <c r="EJ121" i="41"/>
  <c r="EI121" i="41"/>
  <c r="EH121" i="41"/>
  <c r="EG121" i="41"/>
  <c r="EE121" i="41"/>
  <c r="ED121" i="41"/>
  <c r="EC121" i="41"/>
  <c r="EB121" i="41"/>
  <c r="EA121" i="41"/>
  <c r="DZ121" i="41"/>
  <c r="DY121" i="41"/>
  <c r="DW121" i="41"/>
  <c r="DV121" i="41"/>
  <c r="DU121" i="41"/>
  <c r="DT121" i="41"/>
  <c r="DS121" i="41"/>
  <c r="DR121" i="41"/>
  <c r="DQ121" i="41"/>
  <c r="DO121" i="41"/>
  <c r="DN121" i="41"/>
  <c r="DM121" i="41"/>
  <c r="DL121" i="41"/>
  <c r="DK121" i="41"/>
  <c r="DJ121" i="41"/>
  <c r="DI121" i="41"/>
  <c r="DF121" i="41"/>
  <c r="DE121" i="41"/>
  <c r="DD121" i="41"/>
  <c r="DC121" i="41"/>
  <c r="DB121" i="41"/>
  <c r="DA121" i="41"/>
  <c r="CZ121" i="41"/>
  <c r="CX121" i="41"/>
  <c r="CW121" i="41"/>
  <c r="CV121" i="41"/>
  <c r="CU121" i="41"/>
  <c r="CT121" i="41"/>
  <c r="CS121" i="41"/>
  <c r="CR121" i="41"/>
  <c r="CP121" i="41"/>
  <c r="CO121" i="41"/>
  <c r="CN121" i="41"/>
  <c r="CM121" i="41"/>
  <c r="CL121" i="41"/>
  <c r="CK121" i="41"/>
  <c r="CJ121" i="41"/>
  <c r="CH121" i="41"/>
  <c r="CG121" i="41"/>
  <c r="CF121" i="41"/>
  <c r="CE121" i="41"/>
  <c r="CD121" i="41"/>
  <c r="CC121" i="41"/>
  <c r="CB121" i="41"/>
  <c r="BZ121" i="41"/>
  <c r="BY121" i="41"/>
  <c r="BX121" i="41"/>
  <c r="BW121" i="41"/>
  <c r="BV121" i="41"/>
  <c r="BU121" i="41"/>
  <c r="BT121" i="41"/>
  <c r="BQ121" i="41"/>
  <c r="BP121" i="41"/>
  <c r="BO121" i="41"/>
  <c r="BN121" i="41"/>
  <c r="BM121" i="41"/>
  <c r="BL121" i="41"/>
  <c r="BK121" i="41"/>
  <c r="BI121" i="41"/>
  <c r="BH121" i="41"/>
  <c r="BG121" i="41"/>
  <c r="BF121" i="41"/>
  <c r="BE121" i="41"/>
  <c r="BD121" i="41"/>
  <c r="BC121" i="41"/>
  <c r="BA121" i="41"/>
  <c r="AZ121" i="41"/>
  <c r="AY121" i="41"/>
  <c r="AX121" i="41"/>
  <c r="AW121" i="41"/>
  <c r="AV121" i="41"/>
  <c r="AU121" i="41"/>
  <c r="AS121" i="41"/>
  <c r="AR121" i="41"/>
  <c r="AQ121" i="41"/>
  <c r="AP121" i="41"/>
  <c r="AO121" i="41"/>
  <c r="AN121" i="41"/>
  <c r="AM121" i="41"/>
  <c r="AJ121" i="41"/>
  <c r="AI121" i="41"/>
  <c r="AH121" i="41"/>
  <c r="AG121" i="41"/>
  <c r="AF121" i="41"/>
  <c r="AE121" i="41"/>
  <c r="AD121" i="41"/>
  <c r="AB121" i="41"/>
  <c r="AA121" i="41"/>
  <c r="Z121" i="41"/>
  <c r="Y121" i="41"/>
  <c r="X121" i="41"/>
  <c r="W121" i="41"/>
  <c r="V121" i="41"/>
  <c r="T121" i="41"/>
  <c r="S121" i="41"/>
  <c r="R121" i="41"/>
  <c r="Q121" i="41"/>
  <c r="P121" i="41"/>
  <c r="O121" i="41"/>
  <c r="N121" i="41"/>
  <c r="L121" i="41"/>
  <c r="K121" i="41"/>
  <c r="J121" i="41"/>
  <c r="I121" i="41"/>
  <c r="H121" i="41"/>
  <c r="G121" i="41"/>
  <c r="F121" i="41"/>
  <c r="MT119" i="41"/>
  <c r="ML119" i="41"/>
  <c r="MD119" i="41"/>
  <c r="LV119" i="41"/>
  <c r="LM119" i="41"/>
  <c r="LE119" i="41"/>
  <c r="KW119" i="41"/>
  <c r="KO119" i="41"/>
  <c r="KG119" i="41"/>
  <c r="JX119" i="41"/>
  <c r="JH119" i="41"/>
  <c r="IZ119" i="41"/>
  <c r="IQ119" i="41"/>
  <c r="II119" i="41"/>
  <c r="IA119" i="41"/>
  <c r="HS119" i="41"/>
  <c r="HJ119" i="41"/>
  <c r="HB119" i="41"/>
  <c r="GT119" i="41"/>
  <c r="GL119" i="41"/>
  <c r="GD119" i="41"/>
  <c r="FU119" i="41"/>
  <c r="FM119" i="41"/>
  <c r="FE119" i="41"/>
  <c r="EW119" i="41"/>
  <c r="EN119" i="41"/>
  <c r="EF119" i="41"/>
  <c r="DX119" i="41"/>
  <c r="DP119" i="41"/>
  <c r="DG119" i="41"/>
  <c r="CY119" i="41"/>
  <c r="CQ119" i="41"/>
  <c r="CI119" i="41"/>
  <c r="CA119" i="41"/>
  <c r="BR119" i="41"/>
  <c r="BJ119" i="41"/>
  <c r="BB119" i="41"/>
  <c r="AT119" i="41"/>
  <c r="AL119" i="41"/>
  <c r="AK119" i="41"/>
  <c r="AC119" i="41"/>
  <c r="U119" i="41"/>
  <c r="M119" i="41"/>
  <c r="MT117" i="41"/>
  <c r="ML117" i="41"/>
  <c r="MD117" i="41"/>
  <c r="LV117" i="41"/>
  <c r="LM117" i="41"/>
  <c r="LE117" i="41"/>
  <c r="KW117" i="41"/>
  <c r="KO117" i="41"/>
  <c r="KG117" i="41"/>
  <c r="JX117" i="41"/>
  <c r="JH117" i="41"/>
  <c r="IZ117" i="41"/>
  <c r="IQ117" i="41"/>
  <c r="II117" i="41"/>
  <c r="IA117" i="41"/>
  <c r="HS117" i="41"/>
  <c r="HJ117" i="41"/>
  <c r="HB117" i="41"/>
  <c r="GT117" i="41"/>
  <c r="GL117" i="41"/>
  <c r="GD117" i="41"/>
  <c r="FU117" i="41"/>
  <c r="FM117" i="41"/>
  <c r="FE117" i="41"/>
  <c r="EW117" i="41"/>
  <c r="EN117" i="41"/>
  <c r="EF117" i="41"/>
  <c r="DX117" i="41"/>
  <c r="DP117" i="41"/>
  <c r="DG117" i="41"/>
  <c r="CY117" i="41"/>
  <c r="CQ117" i="41"/>
  <c r="CI117" i="41"/>
  <c r="CA117" i="41"/>
  <c r="BR117" i="41"/>
  <c r="BJ117" i="41"/>
  <c r="BB117" i="41"/>
  <c r="AT117" i="41"/>
  <c r="AL117" i="41"/>
  <c r="AK117" i="41"/>
  <c r="AC117" i="41"/>
  <c r="U117" i="41"/>
  <c r="M117" i="41"/>
  <c r="MT116" i="41"/>
  <c r="ML116" i="41"/>
  <c r="MD116" i="41"/>
  <c r="LV116" i="41"/>
  <c r="LM116" i="41"/>
  <c r="LE116" i="41"/>
  <c r="KW116" i="41"/>
  <c r="KO116" i="41"/>
  <c r="KG116" i="41"/>
  <c r="JX116" i="41"/>
  <c r="JH116" i="41"/>
  <c r="IZ116" i="41"/>
  <c r="IQ116" i="41"/>
  <c r="II116" i="41"/>
  <c r="IA116" i="41"/>
  <c r="HS116" i="41"/>
  <c r="HJ116" i="41"/>
  <c r="HB116" i="41"/>
  <c r="GT116" i="41"/>
  <c r="GL116" i="41"/>
  <c r="GD116" i="41"/>
  <c r="FU116" i="41"/>
  <c r="FM116" i="41"/>
  <c r="FE116" i="41"/>
  <c r="EW116" i="41"/>
  <c r="EN116" i="41"/>
  <c r="EF116" i="41"/>
  <c r="DX116" i="41"/>
  <c r="DP116" i="41"/>
  <c r="DG116" i="41"/>
  <c r="CY116" i="41"/>
  <c r="CQ116" i="41"/>
  <c r="CI116" i="41"/>
  <c r="CA116" i="41"/>
  <c r="BR116" i="41"/>
  <c r="BJ116" i="41"/>
  <c r="BB116" i="41"/>
  <c r="AT116" i="41"/>
  <c r="AL116" i="41"/>
  <c r="AK116" i="41"/>
  <c r="AC116" i="41"/>
  <c r="U116" i="41"/>
  <c r="M116" i="41"/>
  <c r="MT114" i="41"/>
  <c r="ML114" i="41"/>
  <c r="MD114" i="41"/>
  <c r="LV114" i="41"/>
  <c r="LM114" i="41"/>
  <c r="LE114" i="41"/>
  <c r="KW114" i="41"/>
  <c r="KO114" i="41"/>
  <c r="KG114" i="41"/>
  <c r="JX114" i="41"/>
  <c r="JH114" i="41"/>
  <c r="IZ114" i="41"/>
  <c r="IQ114" i="41"/>
  <c r="II114" i="41"/>
  <c r="IA114" i="41"/>
  <c r="HS114" i="41"/>
  <c r="HJ114" i="41"/>
  <c r="HB114" i="41"/>
  <c r="GT114" i="41"/>
  <c r="GL114" i="41"/>
  <c r="GD114" i="41"/>
  <c r="FU114" i="41"/>
  <c r="FM114" i="41"/>
  <c r="FE114" i="41"/>
  <c r="EW114" i="41"/>
  <c r="EN114" i="41"/>
  <c r="EF114" i="41"/>
  <c r="DX114" i="41"/>
  <c r="DP114" i="41"/>
  <c r="DG114" i="41"/>
  <c r="CY114" i="41"/>
  <c r="CQ114" i="41"/>
  <c r="CI114" i="41"/>
  <c r="CA114" i="41"/>
  <c r="BR114" i="41"/>
  <c r="BJ114" i="41"/>
  <c r="BB114" i="41"/>
  <c r="AT114" i="41"/>
  <c r="AL114" i="41"/>
  <c r="AK114" i="41"/>
  <c r="AC114" i="41"/>
  <c r="U114" i="41"/>
  <c r="M114" i="41"/>
  <c r="MT112" i="41"/>
  <c r="ML112" i="41"/>
  <c r="MD112" i="41"/>
  <c r="LV112" i="41"/>
  <c r="LM112" i="41"/>
  <c r="LE112" i="41"/>
  <c r="KW112" i="41"/>
  <c r="KO112" i="41"/>
  <c r="KG112" i="41"/>
  <c r="JX112" i="41"/>
  <c r="JH112" i="41"/>
  <c r="IZ112" i="41"/>
  <c r="IQ112" i="41"/>
  <c r="II112" i="41"/>
  <c r="IA112" i="41"/>
  <c r="HS112" i="41"/>
  <c r="HJ112" i="41"/>
  <c r="HB112" i="41"/>
  <c r="GT112" i="41"/>
  <c r="GL112" i="41"/>
  <c r="GD112" i="41"/>
  <c r="FU112" i="41"/>
  <c r="FM112" i="41"/>
  <c r="FE112" i="41"/>
  <c r="EW112" i="41"/>
  <c r="EN112" i="41"/>
  <c r="EF112" i="41"/>
  <c r="DX112" i="41"/>
  <c r="DP112" i="41"/>
  <c r="DG112" i="41"/>
  <c r="CY112" i="41"/>
  <c r="CQ112" i="41"/>
  <c r="CI112" i="41"/>
  <c r="CA112" i="41"/>
  <c r="BR112" i="41"/>
  <c r="BJ112" i="41"/>
  <c r="BB112" i="41"/>
  <c r="AT112" i="41"/>
  <c r="AL112" i="41"/>
  <c r="AK112" i="41"/>
  <c r="AC112" i="41"/>
  <c r="U112" i="41"/>
  <c r="M112" i="41"/>
  <c r="MT111" i="41"/>
  <c r="ML111" i="41"/>
  <c r="MD111" i="41"/>
  <c r="LV111" i="41"/>
  <c r="LM111" i="41"/>
  <c r="LE111" i="41"/>
  <c r="KW111" i="41"/>
  <c r="KO111" i="41"/>
  <c r="KG111" i="41"/>
  <c r="JX111" i="41"/>
  <c r="JH111" i="41"/>
  <c r="IZ111" i="41"/>
  <c r="IQ111" i="41"/>
  <c r="II111" i="41"/>
  <c r="IA111" i="41"/>
  <c r="HS111" i="41"/>
  <c r="HJ111" i="41"/>
  <c r="HB111" i="41"/>
  <c r="GT111" i="41"/>
  <c r="GL111" i="41"/>
  <c r="GD111" i="41"/>
  <c r="FU111" i="41"/>
  <c r="FM111" i="41"/>
  <c r="FE111" i="41"/>
  <c r="EW111" i="41"/>
  <c r="EN111" i="41"/>
  <c r="EF111" i="41"/>
  <c r="DX111" i="41"/>
  <c r="DP111" i="41"/>
  <c r="DG111" i="41"/>
  <c r="CY111" i="41"/>
  <c r="CQ111" i="41"/>
  <c r="CI111" i="41"/>
  <c r="CA111" i="41"/>
  <c r="BR111" i="41"/>
  <c r="BJ111" i="41"/>
  <c r="BB111" i="41"/>
  <c r="AT111" i="41"/>
  <c r="AL111" i="41"/>
  <c r="AK111" i="41"/>
  <c r="AC111" i="41"/>
  <c r="U111" i="41"/>
  <c r="M111" i="41"/>
  <c r="MT108" i="41"/>
  <c r="ML108" i="41"/>
  <c r="MD108" i="41"/>
  <c r="LV108" i="41"/>
  <c r="LM108" i="41"/>
  <c r="LE108" i="41"/>
  <c r="KW108" i="41"/>
  <c r="KO108" i="41"/>
  <c r="KG108" i="41"/>
  <c r="JX108" i="41"/>
  <c r="JP108" i="41"/>
  <c r="JH108" i="41"/>
  <c r="IZ108" i="41"/>
  <c r="IQ108" i="41"/>
  <c r="II108" i="41"/>
  <c r="IA108" i="41"/>
  <c r="HS108" i="41"/>
  <c r="HJ108" i="41"/>
  <c r="HB108" i="41"/>
  <c r="GT108" i="41"/>
  <c r="GL108" i="41"/>
  <c r="GD108" i="41"/>
  <c r="FU108" i="41"/>
  <c r="FM108" i="41"/>
  <c r="FE108" i="41"/>
  <c r="EW108" i="41"/>
  <c r="EN108" i="41"/>
  <c r="EF108" i="41"/>
  <c r="DX108" i="41"/>
  <c r="DP108" i="41"/>
  <c r="DG108" i="41"/>
  <c r="CY108" i="41"/>
  <c r="CQ108" i="41"/>
  <c r="CI108" i="41"/>
  <c r="CA108" i="41"/>
  <c r="BR108" i="41"/>
  <c r="BJ108" i="41"/>
  <c r="BB108" i="41"/>
  <c r="AT108" i="41"/>
  <c r="AL108" i="41"/>
  <c r="AK108" i="41"/>
  <c r="AC108" i="41"/>
  <c r="U108" i="41"/>
  <c r="M108" i="41"/>
  <c r="MT106" i="41"/>
  <c r="ML106" i="41"/>
  <c r="MD106" i="41"/>
  <c r="LV106" i="41"/>
  <c r="LM106" i="41"/>
  <c r="LE106" i="41"/>
  <c r="KW106" i="41"/>
  <c r="KO106" i="41"/>
  <c r="KG106" i="41"/>
  <c r="JX106" i="41"/>
  <c r="JP106" i="41"/>
  <c r="JH106" i="41"/>
  <c r="IZ106" i="41"/>
  <c r="IQ106" i="41"/>
  <c r="II106" i="41"/>
  <c r="IA106" i="41"/>
  <c r="HS106" i="41"/>
  <c r="HJ106" i="41"/>
  <c r="HB106" i="41"/>
  <c r="GT106" i="41"/>
  <c r="GL106" i="41"/>
  <c r="GD106" i="41"/>
  <c r="FU106" i="41"/>
  <c r="FM106" i="41"/>
  <c r="FE106" i="41"/>
  <c r="EW106" i="41"/>
  <c r="EN106" i="41"/>
  <c r="EF106" i="41"/>
  <c r="DX106" i="41"/>
  <c r="DP106" i="41"/>
  <c r="DG106" i="41"/>
  <c r="CY106" i="41"/>
  <c r="CQ106" i="41"/>
  <c r="CI106" i="41"/>
  <c r="CA106" i="41"/>
  <c r="BR106" i="41"/>
  <c r="BJ106" i="41"/>
  <c r="BB106" i="41"/>
  <c r="AT106" i="41"/>
  <c r="AL106" i="41"/>
  <c r="AK106" i="41"/>
  <c r="AC106" i="41"/>
  <c r="U106" i="41"/>
  <c r="M106" i="41"/>
  <c r="MT104" i="41"/>
  <c r="ML104" i="41"/>
  <c r="MD104" i="41"/>
  <c r="LV104" i="41"/>
  <c r="LM104" i="41"/>
  <c r="LE104" i="41"/>
  <c r="KW104" i="41"/>
  <c r="KO104" i="41"/>
  <c r="KG104" i="41"/>
  <c r="JX104" i="41"/>
  <c r="JP104" i="41"/>
  <c r="JH104" i="41"/>
  <c r="IZ104" i="41"/>
  <c r="IQ104" i="41"/>
  <c r="II104" i="41"/>
  <c r="IA104" i="41"/>
  <c r="HS104" i="41"/>
  <c r="HJ104" i="41"/>
  <c r="HB104" i="41"/>
  <c r="GT104" i="41"/>
  <c r="GL104" i="41"/>
  <c r="GD104" i="41"/>
  <c r="FU104" i="41"/>
  <c r="FM104" i="41"/>
  <c r="FE104" i="41"/>
  <c r="EW104" i="41"/>
  <c r="EN104" i="41"/>
  <c r="EF104" i="41"/>
  <c r="DX104" i="41"/>
  <c r="DP104" i="41"/>
  <c r="DG104" i="41"/>
  <c r="CY104" i="41"/>
  <c r="CQ104" i="41"/>
  <c r="CI104" i="41"/>
  <c r="CA104" i="41"/>
  <c r="BR104" i="41"/>
  <c r="BJ104" i="41"/>
  <c r="BB104" i="41"/>
  <c r="AT104" i="41"/>
  <c r="AL104" i="41"/>
  <c r="AK104" i="41"/>
  <c r="AC104" i="41"/>
  <c r="U104" i="41"/>
  <c r="M104" i="41"/>
  <c r="MT102" i="41"/>
  <c r="ML102" i="41"/>
  <c r="MD102" i="41"/>
  <c r="LV102" i="41"/>
  <c r="LM102" i="41"/>
  <c r="LE102" i="41"/>
  <c r="KW102" i="41"/>
  <c r="KO102" i="41"/>
  <c r="KG102" i="41"/>
  <c r="JX102" i="41"/>
  <c r="JP102" i="41"/>
  <c r="JH102" i="41"/>
  <c r="IZ102" i="41"/>
  <c r="IQ102" i="41"/>
  <c r="II102" i="41"/>
  <c r="IA102" i="41"/>
  <c r="HS102" i="41"/>
  <c r="HJ102" i="41"/>
  <c r="HB102" i="41"/>
  <c r="GT102" i="41"/>
  <c r="GL102" i="41"/>
  <c r="GD102" i="41"/>
  <c r="FU102" i="41"/>
  <c r="FM102" i="41"/>
  <c r="FE102" i="41"/>
  <c r="EW102" i="41"/>
  <c r="EN102" i="41"/>
  <c r="EF102" i="41"/>
  <c r="DX102" i="41"/>
  <c r="DP102" i="41"/>
  <c r="DG102" i="41"/>
  <c r="CY102" i="41"/>
  <c r="CQ102" i="41"/>
  <c r="CI102" i="41"/>
  <c r="CA102" i="41"/>
  <c r="BR102" i="41"/>
  <c r="BJ102" i="41"/>
  <c r="BB102" i="41"/>
  <c r="AT102" i="41"/>
  <c r="AL102" i="41"/>
  <c r="AK102" i="41"/>
  <c r="AC102" i="41"/>
  <c r="U102" i="41"/>
  <c r="M102" i="41"/>
  <c r="MT99" i="41"/>
  <c r="ML99" i="41"/>
  <c r="MD99" i="41"/>
  <c r="LV99" i="41"/>
  <c r="LM99" i="41"/>
  <c r="LE99" i="41"/>
  <c r="KW99" i="41"/>
  <c r="KO99" i="41"/>
  <c r="KG99" i="41"/>
  <c r="JX99" i="41"/>
  <c r="JP99" i="41"/>
  <c r="JH99" i="41"/>
  <c r="IZ99" i="41"/>
  <c r="IQ99" i="41"/>
  <c r="II99" i="41"/>
  <c r="IA99" i="41"/>
  <c r="HS99" i="41"/>
  <c r="HJ99" i="41"/>
  <c r="HB99" i="41"/>
  <c r="GT99" i="41"/>
  <c r="GL99" i="41"/>
  <c r="GD99" i="41"/>
  <c r="FU99" i="41"/>
  <c r="FM99" i="41"/>
  <c r="FE99" i="41"/>
  <c r="EW99" i="41"/>
  <c r="EN99" i="41"/>
  <c r="EF99" i="41"/>
  <c r="DX99" i="41"/>
  <c r="DP99" i="41"/>
  <c r="DG99" i="41"/>
  <c r="CY99" i="41"/>
  <c r="CQ99" i="41"/>
  <c r="CI99" i="41"/>
  <c r="CA99" i="41"/>
  <c r="BR99" i="41"/>
  <c r="BJ99" i="41"/>
  <c r="BB99" i="41"/>
  <c r="AT99" i="41"/>
  <c r="AL99" i="41"/>
  <c r="AK99" i="41"/>
  <c r="AC99" i="41"/>
  <c r="U99" i="41"/>
  <c r="M99" i="41"/>
  <c r="MT97" i="41"/>
  <c r="ML97" i="41"/>
  <c r="MD97" i="41"/>
  <c r="LV97" i="41"/>
  <c r="LM97" i="41"/>
  <c r="LE97" i="41"/>
  <c r="KW97" i="41"/>
  <c r="KO97" i="41"/>
  <c r="KG97" i="41"/>
  <c r="JX97" i="41"/>
  <c r="JP97" i="41"/>
  <c r="JH97" i="41"/>
  <c r="IZ97" i="41"/>
  <c r="IQ97" i="41"/>
  <c r="II97" i="41"/>
  <c r="IA97" i="41"/>
  <c r="HS97" i="41"/>
  <c r="HJ97" i="41"/>
  <c r="HB97" i="41"/>
  <c r="GT97" i="41"/>
  <c r="GL97" i="41"/>
  <c r="GD97" i="41"/>
  <c r="FU97" i="41"/>
  <c r="FM97" i="41"/>
  <c r="FE97" i="41"/>
  <c r="EW97" i="41"/>
  <c r="EN97" i="41"/>
  <c r="EF97" i="41"/>
  <c r="DX97" i="41"/>
  <c r="DP97" i="41"/>
  <c r="DG97" i="41"/>
  <c r="CY97" i="41"/>
  <c r="CQ97" i="41"/>
  <c r="CI97" i="41"/>
  <c r="CA97" i="41"/>
  <c r="BR97" i="41"/>
  <c r="BJ97" i="41"/>
  <c r="BB97" i="41"/>
  <c r="AT97" i="41"/>
  <c r="AL97" i="41"/>
  <c r="AK97" i="41"/>
  <c r="AC97" i="41"/>
  <c r="U97" i="41"/>
  <c r="M97" i="41"/>
  <c r="MT95" i="41"/>
  <c r="ML95" i="41"/>
  <c r="MD95" i="41"/>
  <c r="LV95" i="41"/>
  <c r="LM95" i="41"/>
  <c r="LE95" i="41"/>
  <c r="KW95" i="41"/>
  <c r="KO95" i="41"/>
  <c r="KG95" i="41"/>
  <c r="JX95" i="41"/>
  <c r="JP95" i="41"/>
  <c r="JH95" i="41"/>
  <c r="IZ95" i="41"/>
  <c r="IQ95" i="41"/>
  <c r="II95" i="41"/>
  <c r="IA95" i="41"/>
  <c r="HS95" i="41"/>
  <c r="HJ95" i="41"/>
  <c r="HB95" i="41"/>
  <c r="GT95" i="41"/>
  <c r="GL95" i="41"/>
  <c r="GD95" i="41"/>
  <c r="FU95" i="41"/>
  <c r="FM95" i="41"/>
  <c r="FE95" i="41"/>
  <c r="EW95" i="41"/>
  <c r="EN95" i="41"/>
  <c r="EF95" i="41"/>
  <c r="DX95" i="41"/>
  <c r="DP95" i="41"/>
  <c r="DG95" i="41"/>
  <c r="CY95" i="41"/>
  <c r="CQ95" i="41"/>
  <c r="CI95" i="41"/>
  <c r="CA95" i="41"/>
  <c r="BR95" i="41"/>
  <c r="BJ95" i="41"/>
  <c r="BB95" i="41"/>
  <c r="AT95" i="41"/>
  <c r="AL95" i="41"/>
  <c r="AK95" i="41"/>
  <c r="AC95" i="41"/>
  <c r="U95" i="41"/>
  <c r="M95" i="41"/>
  <c r="MT93" i="41"/>
  <c r="ML93" i="41"/>
  <c r="MD93" i="41"/>
  <c r="LV93" i="41"/>
  <c r="LM93" i="41"/>
  <c r="LE93" i="41"/>
  <c r="KW93" i="41"/>
  <c r="KO93" i="41"/>
  <c r="KG93" i="41"/>
  <c r="JX93" i="41"/>
  <c r="JP93" i="41"/>
  <c r="JH93" i="41"/>
  <c r="IZ93" i="41"/>
  <c r="IQ93" i="41"/>
  <c r="II93" i="41"/>
  <c r="IA93" i="41"/>
  <c r="HS93" i="41"/>
  <c r="HJ93" i="41"/>
  <c r="HB93" i="41"/>
  <c r="GT93" i="41"/>
  <c r="GL93" i="41"/>
  <c r="GD93" i="41"/>
  <c r="FU93" i="41"/>
  <c r="FM93" i="41"/>
  <c r="FE93" i="41"/>
  <c r="EW93" i="41"/>
  <c r="EN93" i="41"/>
  <c r="EF93" i="41"/>
  <c r="DX93" i="41"/>
  <c r="DP93" i="41"/>
  <c r="DG93" i="41"/>
  <c r="CY93" i="41"/>
  <c r="CQ93" i="41"/>
  <c r="CI93" i="41"/>
  <c r="CA93" i="41"/>
  <c r="BR93" i="41"/>
  <c r="BJ93" i="41"/>
  <c r="BB93" i="41"/>
  <c r="AT93" i="41"/>
  <c r="AL93" i="41"/>
  <c r="AK93" i="41"/>
  <c r="AC93" i="41"/>
  <c r="U93" i="41"/>
  <c r="M93" i="41"/>
  <c r="MT91" i="41"/>
  <c r="ML91" i="41"/>
  <c r="MD91" i="41"/>
  <c r="LV91" i="41"/>
  <c r="LM91" i="41"/>
  <c r="LE91" i="41"/>
  <c r="KW91" i="41"/>
  <c r="KO91" i="41"/>
  <c r="KG91" i="41"/>
  <c r="JX91" i="41"/>
  <c r="JP91" i="41"/>
  <c r="JH91" i="41"/>
  <c r="IZ91" i="41"/>
  <c r="IQ91" i="41"/>
  <c r="II91" i="41"/>
  <c r="IA91" i="41"/>
  <c r="HS91" i="41"/>
  <c r="HJ91" i="41"/>
  <c r="HB91" i="41"/>
  <c r="GT91" i="41"/>
  <c r="GL91" i="41"/>
  <c r="GD91" i="41"/>
  <c r="FU91" i="41"/>
  <c r="FM91" i="41"/>
  <c r="FE91" i="41"/>
  <c r="EW91" i="41"/>
  <c r="EN91" i="41"/>
  <c r="EF91" i="41"/>
  <c r="DX91" i="41"/>
  <c r="DP91" i="41"/>
  <c r="DG91" i="41"/>
  <c r="CY91" i="41"/>
  <c r="CQ91" i="41"/>
  <c r="CI91" i="41"/>
  <c r="CA91" i="41"/>
  <c r="BR91" i="41"/>
  <c r="BJ91" i="41"/>
  <c r="BB91" i="41"/>
  <c r="AT91" i="41"/>
  <c r="AL91" i="41"/>
  <c r="AK91" i="41"/>
  <c r="AC91" i="41"/>
  <c r="U91" i="41"/>
  <c r="M91" i="41"/>
  <c r="MT89" i="41"/>
  <c r="ML89" i="41"/>
  <c r="MD89" i="41"/>
  <c r="LV89" i="41"/>
  <c r="LM89" i="41"/>
  <c r="LE89" i="41"/>
  <c r="KW89" i="41"/>
  <c r="KO89" i="41"/>
  <c r="KG89" i="41"/>
  <c r="JX89" i="41"/>
  <c r="JP89" i="41"/>
  <c r="JH89" i="41"/>
  <c r="IZ89" i="41"/>
  <c r="IQ89" i="41"/>
  <c r="II89" i="41"/>
  <c r="IA89" i="41"/>
  <c r="HS89" i="41"/>
  <c r="HJ89" i="41"/>
  <c r="HB89" i="41"/>
  <c r="GT89" i="41"/>
  <c r="GL89" i="41"/>
  <c r="GD89" i="41"/>
  <c r="FU89" i="41"/>
  <c r="FM89" i="41"/>
  <c r="FE89" i="41"/>
  <c r="EW89" i="41"/>
  <c r="EN89" i="41"/>
  <c r="EF89" i="41"/>
  <c r="DX89" i="41"/>
  <c r="DP89" i="41"/>
  <c r="DG89" i="41"/>
  <c r="CY89" i="41"/>
  <c r="CQ89" i="41"/>
  <c r="CI89" i="41"/>
  <c r="CA89" i="41"/>
  <c r="BR89" i="41"/>
  <c r="BJ89" i="41"/>
  <c r="BB89" i="41"/>
  <c r="AT89" i="41"/>
  <c r="AL89" i="41"/>
  <c r="AK89" i="41"/>
  <c r="AC89" i="41"/>
  <c r="U89" i="41"/>
  <c r="M89" i="41"/>
  <c r="MT87" i="41"/>
  <c r="ML87" i="41"/>
  <c r="MD87" i="41"/>
  <c r="LV87" i="41"/>
  <c r="LM87" i="41"/>
  <c r="LE87" i="41"/>
  <c r="KW87" i="41"/>
  <c r="KO87" i="41"/>
  <c r="KG87" i="41"/>
  <c r="JX87" i="41"/>
  <c r="JP87" i="41"/>
  <c r="JH87" i="41"/>
  <c r="IZ87" i="41"/>
  <c r="IQ87" i="41"/>
  <c r="II87" i="41"/>
  <c r="IA87" i="41"/>
  <c r="HS87" i="41"/>
  <c r="HJ87" i="41"/>
  <c r="HB87" i="41"/>
  <c r="GT87" i="41"/>
  <c r="GL87" i="41"/>
  <c r="GD87" i="41"/>
  <c r="FU87" i="41"/>
  <c r="FM87" i="41"/>
  <c r="FE87" i="41"/>
  <c r="EW87" i="41"/>
  <c r="EN87" i="41"/>
  <c r="EF87" i="41"/>
  <c r="DX87" i="41"/>
  <c r="DP87" i="41"/>
  <c r="DG87" i="41"/>
  <c r="CY87" i="41"/>
  <c r="CQ87" i="41"/>
  <c r="CI87" i="41"/>
  <c r="CA87" i="41"/>
  <c r="BR87" i="41"/>
  <c r="BJ87" i="41"/>
  <c r="BB87" i="41"/>
  <c r="AT87" i="41"/>
  <c r="AL87" i="41"/>
  <c r="AK87" i="41"/>
  <c r="AC87" i="41"/>
  <c r="U87" i="41"/>
  <c r="M87" i="41"/>
  <c r="PP85" i="41"/>
  <c r="PH85" i="41"/>
  <c r="OZ85" i="41"/>
  <c r="OR85" i="41"/>
  <c r="OJ85" i="41"/>
  <c r="OA85" i="41"/>
  <c r="NS85" i="41"/>
  <c r="NK85" i="41"/>
  <c r="NC85" i="41"/>
  <c r="MT85" i="41"/>
  <c r="ML85" i="41"/>
  <c r="MD85" i="41"/>
  <c r="LV85" i="41"/>
  <c r="LM85" i="41"/>
  <c r="LE85" i="41"/>
  <c r="KW85" i="41"/>
  <c r="KO85" i="41"/>
  <c r="KG85" i="41"/>
  <c r="JX85" i="41"/>
  <c r="JP85" i="41"/>
  <c r="JH85" i="41"/>
  <c r="IZ85" i="41"/>
  <c r="IQ85" i="41"/>
  <c r="II85" i="41"/>
  <c r="IA85" i="41"/>
  <c r="HS85" i="41"/>
  <c r="HJ85" i="41"/>
  <c r="HB85" i="41"/>
  <c r="GT85" i="41"/>
  <c r="GL85" i="41"/>
  <c r="GD85" i="41"/>
  <c r="FU85" i="41"/>
  <c r="FM85" i="41"/>
  <c r="FE85" i="41"/>
  <c r="EW85" i="41"/>
  <c r="EN85" i="41"/>
  <c r="EF85" i="41"/>
  <c r="DX85" i="41"/>
  <c r="DP85" i="41"/>
  <c r="DG85" i="41"/>
  <c r="CY85" i="41"/>
  <c r="CQ85" i="41"/>
  <c r="CI85" i="41"/>
  <c r="CA85" i="41"/>
  <c r="BR85" i="41"/>
  <c r="BJ85" i="41"/>
  <c r="BB85" i="41"/>
  <c r="AT85" i="41"/>
  <c r="AL85" i="41"/>
  <c r="AL121" i="41" s="1"/>
  <c r="AK85" i="41"/>
  <c r="AC85" i="41"/>
  <c r="U85" i="41"/>
  <c r="M85" i="41"/>
  <c r="DH84" i="41"/>
  <c r="DG84" i="41"/>
  <c r="CY84" i="41"/>
  <c r="CQ84" i="41"/>
  <c r="CN84" i="41"/>
  <c r="CM84" i="41"/>
  <c r="CL84" i="41"/>
  <c r="CK84" i="41"/>
  <c r="CJ84" i="41"/>
  <c r="CI84" i="41"/>
  <c r="CA84" i="41"/>
  <c r="BS84" i="41"/>
  <c r="BR84" i="41"/>
  <c r="BJ84" i="41"/>
  <c r="BB84" i="41"/>
  <c r="AT84" i="41"/>
  <c r="AL84" i="41"/>
  <c r="AK84" i="41"/>
  <c r="AC84" i="41"/>
  <c r="U84" i="41"/>
  <c r="M84" i="41"/>
  <c r="J84" i="41"/>
  <c r="I84" i="41"/>
  <c r="H84" i="41"/>
  <c r="G84" i="41"/>
  <c r="F84" i="41"/>
  <c r="JG82" i="41"/>
  <c r="JF82" i="41"/>
  <c r="JE82" i="41"/>
  <c r="JD82" i="41"/>
  <c r="JC82" i="41"/>
  <c r="JB82" i="41"/>
  <c r="JA82" i="41"/>
  <c r="IY82" i="41"/>
  <c r="IX82" i="41"/>
  <c r="IW82" i="41"/>
  <c r="IV82" i="41"/>
  <c r="IU82" i="41"/>
  <c r="IT82" i="41"/>
  <c r="IS82" i="41"/>
  <c r="IP82" i="41"/>
  <c r="IO82" i="41"/>
  <c r="IN82" i="41"/>
  <c r="IM82" i="41"/>
  <c r="IL82" i="41"/>
  <c r="IK82" i="41"/>
  <c r="IJ82" i="41"/>
  <c r="IH82" i="41"/>
  <c r="IG82" i="41"/>
  <c r="IF82" i="41"/>
  <c r="IE82" i="41"/>
  <c r="ID82" i="41"/>
  <c r="IC82" i="41"/>
  <c r="IB82" i="41"/>
  <c r="HZ82" i="41"/>
  <c r="HY82" i="41"/>
  <c r="HX82" i="41"/>
  <c r="HW82" i="41"/>
  <c r="HV82" i="41"/>
  <c r="HU82" i="41"/>
  <c r="HT82" i="41"/>
  <c r="HR82" i="41"/>
  <c r="HQ82" i="41"/>
  <c r="HP82" i="41"/>
  <c r="HO82" i="41"/>
  <c r="HN82" i="41"/>
  <c r="HM82" i="41"/>
  <c r="HL82" i="41"/>
  <c r="HI82" i="41"/>
  <c r="HH82" i="41"/>
  <c r="HG82" i="41"/>
  <c r="HF82" i="41"/>
  <c r="HE82" i="41"/>
  <c r="HD82" i="41"/>
  <c r="HC82" i="41"/>
  <c r="HA82" i="41"/>
  <c r="GZ82" i="41"/>
  <c r="GY82" i="41"/>
  <c r="GX82" i="41"/>
  <c r="GW82" i="41"/>
  <c r="GV82" i="41"/>
  <c r="GU82" i="41"/>
  <c r="GS82" i="41"/>
  <c r="GR82" i="41"/>
  <c r="GQ82" i="41"/>
  <c r="GP82" i="41"/>
  <c r="GO82" i="41"/>
  <c r="GN82" i="41"/>
  <c r="GM82" i="41"/>
  <c r="GK82" i="41"/>
  <c r="GJ82" i="41"/>
  <c r="GI82" i="41"/>
  <c r="GH82" i="41"/>
  <c r="GG82" i="41"/>
  <c r="GF82" i="41"/>
  <c r="GE82" i="41"/>
  <c r="GC82" i="41"/>
  <c r="GB82" i="41"/>
  <c r="GA82" i="41"/>
  <c r="FZ82" i="41"/>
  <c r="FY82" i="41"/>
  <c r="FX82" i="41"/>
  <c r="FW82" i="41"/>
  <c r="FT82" i="41"/>
  <c r="FS82" i="41"/>
  <c r="FR82" i="41"/>
  <c r="FQ82" i="41"/>
  <c r="FP82" i="41"/>
  <c r="FO82" i="41"/>
  <c r="FN82" i="41"/>
  <c r="FL82" i="41"/>
  <c r="FK82" i="41"/>
  <c r="FJ82" i="41"/>
  <c r="FI82" i="41"/>
  <c r="FH82" i="41"/>
  <c r="FG82" i="41"/>
  <c r="FF82" i="41"/>
  <c r="FD82" i="41"/>
  <c r="FC82" i="41"/>
  <c r="FB82" i="41"/>
  <c r="FA82" i="41"/>
  <c r="EZ82" i="41"/>
  <c r="EY82" i="41"/>
  <c r="EX82" i="41"/>
  <c r="EV82" i="41"/>
  <c r="EU82" i="41"/>
  <c r="ET82" i="41"/>
  <c r="ES82" i="41"/>
  <c r="ER82" i="41"/>
  <c r="EQ82" i="41"/>
  <c r="EP82" i="41"/>
  <c r="EM82" i="41"/>
  <c r="EL82" i="41"/>
  <c r="EK82" i="41"/>
  <c r="EJ82" i="41"/>
  <c r="EI82" i="41"/>
  <c r="EH82" i="41"/>
  <c r="EG82" i="41"/>
  <c r="EE82" i="41"/>
  <c r="ED82" i="41"/>
  <c r="EC82" i="41"/>
  <c r="EB82" i="41"/>
  <c r="EA82" i="41"/>
  <c r="DZ82" i="41"/>
  <c r="DY82" i="41"/>
  <c r="DW82" i="41"/>
  <c r="DV82" i="41"/>
  <c r="DU82" i="41"/>
  <c r="DT82" i="41"/>
  <c r="DS82" i="41"/>
  <c r="DR82" i="41"/>
  <c r="DQ82" i="41"/>
  <c r="DO82" i="41"/>
  <c r="DN82" i="41"/>
  <c r="DM82" i="41"/>
  <c r="DL82" i="41"/>
  <c r="DK82" i="41"/>
  <c r="DJ82" i="41"/>
  <c r="DI82" i="41"/>
  <c r="DF82" i="41"/>
  <c r="DE82" i="41"/>
  <c r="DD82" i="41"/>
  <c r="DC82" i="41"/>
  <c r="DB82" i="41"/>
  <c r="DA82" i="41"/>
  <c r="CZ82" i="41"/>
  <c r="CX82" i="41"/>
  <c r="CW82" i="41"/>
  <c r="CV82" i="41"/>
  <c r="CU82" i="41"/>
  <c r="CT82" i="41"/>
  <c r="CS82" i="41"/>
  <c r="CR82" i="41"/>
  <c r="CP82" i="41"/>
  <c r="CO82" i="41"/>
  <c r="CN82" i="41"/>
  <c r="CM82" i="41"/>
  <c r="CL82" i="41"/>
  <c r="CK82" i="41"/>
  <c r="CJ82" i="41"/>
  <c r="CH82" i="41"/>
  <c r="CG82" i="41"/>
  <c r="CF82" i="41"/>
  <c r="CE82" i="41"/>
  <c r="CD82" i="41"/>
  <c r="CC82" i="41"/>
  <c r="CB82" i="41"/>
  <c r="BZ82" i="41"/>
  <c r="BY82" i="41"/>
  <c r="BX82" i="41"/>
  <c r="BW82" i="41"/>
  <c r="BV82" i="41"/>
  <c r="BU82" i="41"/>
  <c r="BT82" i="41"/>
  <c r="BQ82" i="41"/>
  <c r="BP82" i="41"/>
  <c r="BO82" i="41"/>
  <c r="BN82" i="41"/>
  <c r="BM82" i="41"/>
  <c r="BL82" i="41"/>
  <c r="BK82" i="41"/>
  <c r="BI82" i="41"/>
  <c r="BH82" i="41"/>
  <c r="BG82" i="41"/>
  <c r="BF82" i="41"/>
  <c r="BE82" i="41"/>
  <c r="BD82" i="41"/>
  <c r="BC82" i="41"/>
  <c r="BA82" i="41"/>
  <c r="AZ82" i="41"/>
  <c r="AY82" i="41"/>
  <c r="AX82" i="41"/>
  <c r="AW82" i="41"/>
  <c r="AV82" i="41"/>
  <c r="AU82" i="41"/>
  <c r="AS82" i="41"/>
  <c r="AR82" i="41"/>
  <c r="AQ82" i="41"/>
  <c r="AP82" i="41"/>
  <c r="AO82" i="41"/>
  <c r="AN82" i="41"/>
  <c r="AM82" i="41"/>
  <c r="AJ82" i="41"/>
  <c r="AI82" i="41"/>
  <c r="AH82" i="41"/>
  <c r="AG82" i="41"/>
  <c r="AF82" i="41"/>
  <c r="AE82" i="41"/>
  <c r="AD82" i="41"/>
  <c r="AB82" i="41"/>
  <c r="AA82" i="41"/>
  <c r="Z82" i="41"/>
  <c r="Y82" i="41"/>
  <c r="X82" i="41"/>
  <c r="W82" i="41"/>
  <c r="V82" i="41"/>
  <c r="T82" i="41"/>
  <c r="S82" i="41"/>
  <c r="R82" i="41"/>
  <c r="Q82" i="41"/>
  <c r="P82" i="41"/>
  <c r="O82" i="41"/>
  <c r="N82" i="41"/>
  <c r="L82" i="41"/>
  <c r="K82" i="41"/>
  <c r="J82" i="41"/>
  <c r="I82" i="41"/>
  <c r="H82" i="41"/>
  <c r="G82" i="41"/>
  <c r="F82" i="41"/>
  <c r="PP79" i="41"/>
  <c r="PH79" i="41"/>
  <c r="OZ79" i="41"/>
  <c r="OR79" i="41"/>
  <c r="OJ79" i="41"/>
  <c r="OA79" i="41"/>
  <c r="NS79" i="41"/>
  <c r="NK79" i="41"/>
  <c r="NC79" i="41"/>
  <c r="MT79" i="41"/>
  <c r="ML79" i="41"/>
  <c r="MD79" i="41"/>
  <c r="LV79" i="41"/>
  <c r="LM79" i="41"/>
  <c r="LE79" i="41"/>
  <c r="KW79" i="41"/>
  <c r="KO79" i="41"/>
  <c r="KG79" i="41"/>
  <c r="JX79" i="41"/>
  <c r="JP79" i="41"/>
  <c r="JH79" i="41"/>
  <c r="IZ79" i="41"/>
  <c r="IQ79" i="41"/>
  <c r="II79" i="41"/>
  <c r="IA79" i="41"/>
  <c r="HS79" i="41"/>
  <c r="HJ79" i="41"/>
  <c r="HB79" i="41"/>
  <c r="GT79" i="41"/>
  <c r="GL79" i="41"/>
  <c r="GD79" i="41"/>
  <c r="FU79" i="41"/>
  <c r="FM79" i="41"/>
  <c r="FE79" i="41"/>
  <c r="EW79" i="41"/>
  <c r="EN79" i="41"/>
  <c r="EF79" i="41"/>
  <c r="DX79" i="41"/>
  <c r="DP79" i="41"/>
  <c r="DG79" i="41"/>
  <c r="CY79" i="41"/>
  <c r="CQ79" i="41"/>
  <c r="CI79" i="41"/>
  <c r="CA79" i="41"/>
  <c r="BR79" i="41"/>
  <c r="BJ79" i="41"/>
  <c r="BB79" i="41"/>
  <c r="AT79" i="41"/>
  <c r="AL79" i="41"/>
  <c r="AK79" i="41"/>
  <c r="AC79" i="41"/>
  <c r="U79" i="41"/>
  <c r="M79" i="41"/>
  <c r="PP76" i="41"/>
  <c r="PH76" i="41"/>
  <c r="OZ76" i="41"/>
  <c r="OR76" i="41"/>
  <c r="OJ76" i="41"/>
  <c r="OA76" i="41"/>
  <c r="NS76" i="41"/>
  <c r="NK76" i="41"/>
  <c r="NC76" i="41"/>
  <c r="MT76" i="41"/>
  <c r="ML76" i="41"/>
  <c r="MD76" i="41"/>
  <c r="LV76" i="41"/>
  <c r="LM76" i="41"/>
  <c r="LE76" i="41"/>
  <c r="KW76" i="41"/>
  <c r="KO76" i="41"/>
  <c r="KG76" i="41"/>
  <c r="JX76" i="41"/>
  <c r="JP76" i="41"/>
  <c r="JH76" i="41"/>
  <c r="IZ76" i="41"/>
  <c r="IQ76" i="41"/>
  <c r="II76" i="41"/>
  <c r="IA76" i="41"/>
  <c r="HS76" i="41"/>
  <c r="HJ76" i="41"/>
  <c r="HB76" i="41"/>
  <c r="GT76" i="41"/>
  <c r="GL76" i="41"/>
  <c r="GD76" i="41"/>
  <c r="FU76" i="41"/>
  <c r="FM76" i="41"/>
  <c r="FE76" i="41"/>
  <c r="EW76" i="41"/>
  <c r="EN76" i="41"/>
  <c r="EF76" i="41"/>
  <c r="DX76" i="41"/>
  <c r="DP76" i="41"/>
  <c r="DG76" i="41"/>
  <c r="CY76" i="41"/>
  <c r="CQ76" i="41"/>
  <c r="CI76" i="41"/>
  <c r="CA76" i="41"/>
  <c r="BR76" i="41"/>
  <c r="BJ76" i="41"/>
  <c r="BB76" i="41"/>
  <c r="AT76" i="41"/>
  <c r="AL76" i="41"/>
  <c r="AK76" i="41"/>
  <c r="AC76" i="41"/>
  <c r="U76" i="41"/>
  <c r="M76" i="41"/>
  <c r="PP73" i="41"/>
  <c r="PH73" i="41"/>
  <c r="OZ73" i="41"/>
  <c r="OR73" i="41"/>
  <c r="OJ73" i="41"/>
  <c r="OA73" i="41"/>
  <c r="NS73" i="41"/>
  <c r="NK73" i="41"/>
  <c r="NC73" i="41"/>
  <c r="MT73" i="41"/>
  <c r="ML73" i="41"/>
  <c r="MD73" i="41"/>
  <c r="LV73" i="41"/>
  <c r="LM73" i="41"/>
  <c r="LE73" i="41"/>
  <c r="KW73" i="41"/>
  <c r="KO73" i="41"/>
  <c r="KG73" i="41"/>
  <c r="JX73" i="41"/>
  <c r="JP73" i="41"/>
  <c r="JH73" i="41"/>
  <c r="IZ73" i="41"/>
  <c r="IQ73" i="41"/>
  <c r="II73" i="41"/>
  <c r="IA73" i="41"/>
  <c r="HS73" i="41"/>
  <c r="HJ73" i="41"/>
  <c r="HB73" i="41"/>
  <c r="GT73" i="41"/>
  <c r="GL73" i="41"/>
  <c r="GD73" i="41"/>
  <c r="FU73" i="41"/>
  <c r="FM73" i="41"/>
  <c r="FE73" i="41"/>
  <c r="EW73" i="41"/>
  <c r="EN73" i="41"/>
  <c r="EF73" i="41"/>
  <c r="DX73" i="41"/>
  <c r="DP73" i="41"/>
  <c r="DG73" i="41"/>
  <c r="CY73" i="41"/>
  <c r="CQ73" i="41"/>
  <c r="CI73" i="41"/>
  <c r="CA73" i="41"/>
  <c r="BR73" i="41"/>
  <c r="BJ73" i="41"/>
  <c r="BB73" i="41"/>
  <c r="AT73" i="41"/>
  <c r="AL73" i="41"/>
  <c r="AK73" i="41"/>
  <c r="AC73" i="41"/>
  <c r="U73" i="41"/>
  <c r="M73" i="41"/>
  <c r="PP70" i="41"/>
  <c r="PH70" i="41"/>
  <c r="OZ70" i="41"/>
  <c r="OR70" i="41"/>
  <c r="OJ70" i="41"/>
  <c r="OA70" i="41"/>
  <c r="NS70" i="41"/>
  <c r="NK70" i="41"/>
  <c r="NC70" i="41"/>
  <c r="MT70" i="41"/>
  <c r="ML70" i="41"/>
  <c r="MD70" i="41"/>
  <c r="LV70" i="41"/>
  <c r="LM70" i="41"/>
  <c r="LE70" i="41"/>
  <c r="KW70" i="41"/>
  <c r="KO70" i="41"/>
  <c r="KG70" i="41"/>
  <c r="JX70" i="41"/>
  <c r="JP70" i="41"/>
  <c r="JH70" i="41"/>
  <c r="IZ70" i="41"/>
  <c r="IQ70" i="41"/>
  <c r="II70" i="41"/>
  <c r="IA70" i="41"/>
  <c r="HS70" i="41"/>
  <c r="HJ70" i="41"/>
  <c r="HB70" i="41"/>
  <c r="GT70" i="41"/>
  <c r="GL70" i="41"/>
  <c r="GD70" i="41"/>
  <c r="FU70" i="41"/>
  <c r="FM70" i="41"/>
  <c r="FE70" i="41"/>
  <c r="EW70" i="41"/>
  <c r="EN70" i="41"/>
  <c r="EF70" i="41"/>
  <c r="DX70" i="41"/>
  <c r="DP70" i="41"/>
  <c r="DG70" i="41"/>
  <c r="CY70" i="41"/>
  <c r="CQ70" i="41"/>
  <c r="CI70" i="41"/>
  <c r="CA70" i="41"/>
  <c r="BR70" i="41"/>
  <c r="BJ70" i="41"/>
  <c r="BB70" i="41"/>
  <c r="AT70" i="41"/>
  <c r="AL70" i="41"/>
  <c r="AK70" i="41"/>
  <c r="AC70" i="41"/>
  <c r="U70" i="41"/>
  <c r="M70" i="41"/>
  <c r="PP67" i="41"/>
  <c r="PH67" i="41"/>
  <c r="OZ67" i="41"/>
  <c r="OR67" i="41"/>
  <c r="OJ67" i="41"/>
  <c r="OA67" i="41"/>
  <c r="NS67" i="41"/>
  <c r="NK67" i="41"/>
  <c r="NC67" i="41"/>
  <c r="MT67" i="41"/>
  <c r="ML67" i="41"/>
  <c r="MD67" i="41"/>
  <c r="LV67" i="41"/>
  <c r="LM67" i="41"/>
  <c r="LE67" i="41"/>
  <c r="KW67" i="41"/>
  <c r="KO67" i="41"/>
  <c r="KG67" i="41"/>
  <c r="JX67" i="41"/>
  <c r="JP67" i="41"/>
  <c r="JH67" i="41"/>
  <c r="IZ67" i="41"/>
  <c r="IQ67" i="41"/>
  <c r="II67" i="41"/>
  <c r="IA67" i="41"/>
  <c r="HS67" i="41"/>
  <c r="HJ67" i="41"/>
  <c r="HB67" i="41"/>
  <c r="GT67" i="41"/>
  <c r="GL67" i="41"/>
  <c r="GD67" i="41"/>
  <c r="FU67" i="41"/>
  <c r="FM67" i="41"/>
  <c r="FE67" i="41"/>
  <c r="EW67" i="41"/>
  <c r="EN67" i="41"/>
  <c r="EF67" i="41"/>
  <c r="DX67" i="41"/>
  <c r="DP67" i="41"/>
  <c r="DG67" i="41"/>
  <c r="CY67" i="41"/>
  <c r="CQ67" i="41"/>
  <c r="CI67" i="41"/>
  <c r="CA67" i="41"/>
  <c r="BR67" i="41"/>
  <c r="BJ67" i="41"/>
  <c r="BB67" i="41"/>
  <c r="AT67" i="41"/>
  <c r="AL67" i="41"/>
  <c r="AK67" i="41"/>
  <c r="AC67" i="41"/>
  <c r="U67" i="41"/>
  <c r="M67" i="41"/>
  <c r="PP64" i="41"/>
  <c r="PH64" i="41"/>
  <c r="OZ64" i="41"/>
  <c r="OR64" i="41"/>
  <c r="OJ64" i="41"/>
  <c r="OA64" i="41"/>
  <c r="NS64" i="41"/>
  <c r="NK64" i="41"/>
  <c r="NC64" i="41"/>
  <c r="MT64" i="41"/>
  <c r="ML64" i="41"/>
  <c r="MD64" i="41"/>
  <c r="LV64" i="41"/>
  <c r="LM64" i="41"/>
  <c r="LE64" i="41"/>
  <c r="KW64" i="41"/>
  <c r="KO64" i="41"/>
  <c r="KG64" i="41"/>
  <c r="JX64" i="41"/>
  <c r="JP64" i="41"/>
  <c r="JH64" i="41"/>
  <c r="IZ64" i="41"/>
  <c r="IQ64" i="41"/>
  <c r="II64" i="41"/>
  <c r="IA64" i="41"/>
  <c r="HS64" i="41"/>
  <c r="HJ64" i="41"/>
  <c r="HB64" i="41"/>
  <c r="GT64" i="41"/>
  <c r="GL64" i="41"/>
  <c r="GD64" i="41"/>
  <c r="FU64" i="41"/>
  <c r="FM64" i="41"/>
  <c r="FE64" i="41"/>
  <c r="EW64" i="41"/>
  <c r="EN64" i="41"/>
  <c r="EF64" i="41"/>
  <c r="DX64" i="41"/>
  <c r="DP64" i="41"/>
  <c r="DG64" i="41"/>
  <c r="CY64" i="41"/>
  <c r="CQ64" i="41"/>
  <c r="CI64" i="41"/>
  <c r="CA64" i="41"/>
  <c r="BR64" i="41"/>
  <c r="BJ64" i="41"/>
  <c r="BB64" i="41"/>
  <c r="AT64" i="41"/>
  <c r="AL64" i="41"/>
  <c r="AK64" i="41"/>
  <c r="AC64" i="41"/>
  <c r="U64" i="41"/>
  <c r="M64" i="41"/>
  <c r="PP61" i="41"/>
  <c r="PH61" i="41"/>
  <c r="OZ61" i="41"/>
  <c r="OR61" i="41"/>
  <c r="OJ61" i="41"/>
  <c r="OA61" i="41"/>
  <c r="NS61" i="41"/>
  <c r="NK61" i="41"/>
  <c r="NC61" i="41"/>
  <c r="MT61" i="41"/>
  <c r="ML61" i="41"/>
  <c r="MD61" i="41"/>
  <c r="LV61" i="41"/>
  <c r="LM61" i="41"/>
  <c r="LE61" i="41"/>
  <c r="KW61" i="41"/>
  <c r="KO61" i="41"/>
  <c r="KG61" i="41"/>
  <c r="JX61" i="41"/>
  <c r="JP61" i="41"/>
  <c r="JH61" i="41"/>
  <c r="IZ61" i="41"/>
  <c r="IQ61" i="41"/>
  <c r="II61" i="41"/>
  <c r="IA61" i="41"/>
  <c r="HS61" i="41"/>
  <c r="HJ61" i="41"/>
  <c r="HB61" i="41"/>
  <c r="GT61" i="41"/>
  <c r="GL61" i="41"/>
  <c r="GD61" i="41"/>
  <c r="FU61" i="41"/>
  <c r="FM61" i="41"/>
  <c r="FE61" i="41"/>
  <c r="EW61" i="41"/>
  <c r="EN61" i="41"/>
  <c r="EF61" i="41"/>
  <c r="DX61" i="41"/>
  <c r="DP61" i="41"/>
  <c r="DG61" i="41"/>
  <c r="CY61" i="41"/>
  <c r="CQ61" i="41"/>
  <c r="CI61" i="41"/>
  <c r="CA61" i="41"/>
  <c r="BR61" i="41"/>
  <c r="BJ61" i="41"/>
  <c r="BB61" i="41"/>
  <c r="AT61" i="41"/>
  <c r="AL61" i="41"/>
  <c r="AK61" i="41"/>
  <c r="AC61" i="41"/>
  <c r="U61" i="41"/>
  <c r="M61" i="41"/>
  <c r="PP58" i="41"/>
  <c r="PH58" i="41"/>
  <c r="OZ58" i="41"/>
  <c r="OR58" i="41"/>
  <c r="OJ58" i="41"/>
  <c r="OA58" i="41"/>
  <c r="NS58" i="41"/>
  <c r="NK58" i="41"/>
  <c r="NC58" i="41"/>
  <c r="MT58" i="41"/>
  <c r="ML58" i="41"/>
  <c r="MD58" i="41"/>
  <c r="LV58" i="41"/>
  <c r="LM58" i="41"/>
  <c r="LE58" i="41"/>
  <c r="KW58" i="41"/>
  <c r="KO58" i="41"/>
  <c r="KG58" i="41"/>
  <c r="JX58" i="41"/>
  <c r="JP58" i="41"/>
  <c r="JH58" i="41"/>
  <c r="IZ58" i="41"/>
  <c r="IQ58" i="41"/>
  <c r="II58" i="41"/>
  <c r="IA58" i="41"/>
  <c r="HS58" i="41"/>
  <c r="HJ58" i="41"/>
  <c r="HB58" i="41"/>
  <c r="GT58" i="41"/>
  <c r="GL58" i="41"/>
  <c r="GD58" i="41"/>
  <c r="FU58" i="41"/>
  <c r="FM58" i="41"/>
  <c r="FE58" i="41"/>
  <c r="EW58" i="41"/>
  <c r="EN58" i="41"/>
  <c r="EF58" i="41"/>
  <c r="DX58" i="41"/>
  <c r="DP58" i="41"/>
  <c r="DG58" i="41"/>
  <c r="CY58" i="41"/>
  <c r="CQ58" i="41"/>
  <c r="CI58" i="41"/>
  <c r="CA58" i="41"/>
  <c r="BR58" i="41"/>
  <c r="BJ58" i="41"/>
  <c r="BB58" i="41"/>
  <c r="AT58" i="41"/>
  <c r="AL58" i="41"/>
  <c r="AK58" i="41"/>
  <c r="AC58" i="41"/>
  <c r="U58" i="41"/>
  <c r="M58" i="41"/>
  <c r="PP55" i="41"/>
  <c r="PH55" i="41"/>
  <c r="OZ55" i="41"/>
  <c r="OR55" i="41"/>
  <c r="OJ55" i="41"/>
  <c r="OA55" i="41"/>
  <c r="NS55" i="41"/>
  <c r="NK55" i="41"/>
  <c r="NC55" i="41"/>
  <c r="MT55" i="41"/>
  <c r="ML55" i="41"/>
  <c r="MD55" i="41"/>
  <c r="LV55" i="41"/>
  <c r="LM55" i="41"/>
  <c r="LE55" i="41"/>
  <c r="KW55" i="41"/>
  <c r="KO55" i="41"/>
  <c r="KG55" i="41"/>
  <c r="JX55" i="41"/>
  <c r="JP55" i="41"/>
  <c r="JH55" i="41"/>
  <c r="IZ55" i="41"/>
  <c r="IQ55" i="41"/>
  <c r="II55" i="41"/>
  <c r="IA55" i="41"/>
  <c r="HS55" i="41"/>
  <c r="HJ55" i="41"/>
  <c r="HB55" i="41"/>
  <c r="GT55" i="41"/>
  <c r="GL55" i="41"/>
  <c r="GD55" i="41"/>
  <c r="FU55" i="41"/>
  <c r="FM55" i="41"/>
  <c r="FE55" i="41"/>
  <c r="EW55" i="41"/>
  <c r="EN55" i="41"/>
  <c r="EF55" i="41"/>
  <c r="DX55" i="41"/>
  <c r="DP55" i="41"/>
  <c r="DG55" i="41"/>
  <c r="CY55" i="41"/>
  <c r="CQ55" i="41"/>
  <c r="CI55" i="41"/>
  <c r="CA55" i="41"/>
  <c r="BR55" i="41"/>
  <c r="BJ55" i="41"/>
  <c r="BB55" i="41"/>
  <c r="AT55" i="41"/>
  <c r="AL55" i="41"/>
  <c r="AK55" i="41"/>
  <c r="AC55" i="41"/>
  <c r="U55" i="41"/>
  <c r="M55" i="41"/>
  <c r="PP52" i="41"/>
  <c r="PH52" i="41"/>
  <c r="OZ52" i="41"/>
  <c r="OR52" i="41"/>
  <c r="OJ52" i="41"/>
  <c r="OA52" i="41"/>
  <c r="NS52" i="41"/>
  <c r="NK52" i="41"/>
  <c r="NC52" i="41"/>
  <c r="MT52" i="41"/>
  <c r="ML52" i="41"/>
  <c r="MD52" i="41"/>
  <c r="LV52" i="41"/>
  <c r="LM52" i="41"/>
  <c r="LE52" i="41"/>
  <c r="KW52" i="41"/>
  <c r="KO52" i="41"/>
  <c r="KG52" i="41"/>
  <c r="JX52" i="41"/>
  <c r="JP52" i="41"/>
  <c r="JH52" i="41"/>
  <c r="IZ52" i="41"/>
  <c r="IQ52" i="41"/>
  <c r="II52" i="41"/>
  <c r="IA52" i="41"/>
  <c r="HS52" i="41"/>
  <c r="HJ52" i="41"/>
  <c r="HB52" i="41"/>
  <c r="GT52" i="41"/>
  <c r="GL52" i="41"/>
  <c r="GD52" i="41"/>
  <c r="FU52" i="41"/>
  <c r="FM52" i="41"/>
  <c r="FE52" i="41"/>
  <c r="EW52" i="41"/>
  <c r="EN52" i="41"/>
  <c r="EF52" i="41"/>
  <c r="DX52" i="41"/>
  <c r="DP52" i="41"/>
  <c r="DG52" i="41"/>
  <c r="CY52" i="41"/>
  <c r="CQ52" i="41"/>
  <c r="CI52" i="41"/>
  <c r="CA52" i="41"/>
  <c r="BR52" i="41"/>
  <c r="BJ52" i="41"/>
  <c r="BB52" i="41"/>
  <c r="AT52" i="41"/>
  <c r="AL52" i="41"/>
  <c r="AK52" i="41"/>
  <c r="AC52" i="41"/>
  <c r="U52" i="41"/>
  <c r="M52" i="41"/>
  <c r="PP49" i="41"/>
  <c r="PH49" i="41"/>
  <c r="OZ49" i="41"/>
  <c r="OR49" i="41"/>
  <c r="OJ49" i="41"/>
  <c r="OA49" i="41"/>
  <c r="NS49" i="41"/>
  <c r="NK49" i="41"/>
  <c r="NC49" i="41"/>
  <c r="MT49" i="41"/>
  <c r="ML49" i="41"/>
  <c r="MD49" i="41"/>
  <c r="LV49" i="41"/>
  <c r="LM49" i="41"/>
  <c r="LE49" i="41"/>
  <c r="KW49" i="41"/>
  <c r="KO49" i="41"/>
  <c r="KG49" i="41"/>
  <c r="JX49" i="41"/>
  <c r="JP49" i="41"/>
  <c r="JH49" i="41"/>
  <c r="IZ49" i="41"/>
  <c r="IQ49" i="41"/>
  <c r="II49" i="41"/>
  <c r="IA49" i="41"/>
  <c r="HS49" i="41"/>
  <c r="HJ49" i="41"/>
  <c r="HB49" i="41"/>
  <c r="GT49" i="41"/>
  <c r="GL49" i="41"/>
  <c r="GD49" i="41"/>
  <c r="FU49" i="41"/>
  <c r="FM49" i="41"/>
  <c r="FE49" i="41"/>
  <c r="EW49" i="41"/>
  <c r="EN49" i="41"/>
  <c r="EF49" i="41"/>
  <c r="DX49" i="41"/>
  <c r="DP49" i="41"/>
  <c r="DG49" i="41"/>
  <c r="CY49" i="41"/>
  <c r="CQ49" i="41"/>
  <c r="CI49" i="41"/>
  <c r="CA49" i="41"/>
  <c r="BR49" i="41"/>
  <c r="BJ49" i="41"/>
  <c r="BB49" i="41"/>
  <c r="AT49" i="41"/>
  <c r="AL49" i="41"/>
  <c r="AK49" i="41"/>
  <c r="AC49" i="41"/>
  <c r="U49" i="41"/>
  <c r="M49" i="41"/>
  <c r="PP46" i="41"/>
  <c r="PH46" i="41"/>
  <c r="OZ46" i="41"/>
  <c r="OR46" i="41"/>
  <c r="OJ46" i="41"/>
  <c r="OA46" i="41"/>
  <c r="NS46" i="41"/>
  <c r="NK46" i="41"/>
  <c r="NC46" i="41"/>
  <c r="MT46" i="41"/>
  <c r="ML46" i="41"/>
  <c r="MD46" i="41"/>
  <c r="LV46" i="41"/>
  <c r="LM46" i="41"/>
  <c r="LE46" i="41"/>
  <c r="KW46" i="41"/>
  <c r="KO46" i="41"/>
  <c r="KG46" i="41"/>
  <c r="JX46" i="41"/>
  <c r="JP46" i="41"/>
  <c r="JH46" i="41"/>
  <c r="IZ46" i="41"/>
  <c r="IQ46" i="41"/>
  <c r="II46" i="41"/>
  <c r="IA46" i="41"/>
  <c r="HS46" i="41"/>
  <c r="HJ46" i="41"/>
  <c r="HB46" i="41"/>
  <c r="GT46" i="41"/>
  <c r="GL46" i="41"/>
  <c r="GD46" i="41"/>
  <c r="FU46" i="41"/>
  <c r="FM46" i="41"/>
  <c r="FE46" i="41"/>
  <c r="EW46" i="41"/>
  <c r="EN46" i="41"/>
  <c r="EF46" i="41"/>
  <c r="DX46" i="41"/>
  <c r="DP46" i="41"/>
  <c r="DG46" i="41"/>
  <c r="CY46" i="41"/>
  <c r="CQ46" i="41"/>
  <c r="CI46" i="41"/>
  <c r="CA46" i="41"/>
  <c r="BR46" i="41"/>
  <c r="BJ46" i="41"/>
  <c r="BB46" i="41"/>
  <c r="AT46" i="41"/>
  <c r="AL46" i="41"/>
  <c r="AK46" i="41"/>
  <c r="AC46" i="41"/>
  <c r="U46" i="41"/>
  <c r="M46" i="41"/>
  <c r="PP45" i="41"/>
  <c r="PH45" i="41"/>
  <c r="OZ45" i="41"/>
  <c r="OR45" i="41"/>
  <c r="OJ45" i="41"/>
  <c r="OA45" i="41"/>
  <c r="NS45" i="41"/>
  <c r="NK45" i="41"/>
  <c r="NC45" i="41"/>
  <c r="MT45" i="41"/>
  <c r="ML45" i="41"/>
  <c r="MD45" i="41"/>
  <c r="LV45" i="41"/>
  <c r="LM45" i="41"/>
  <c r="LE45" i="41"/>
  <c r="KW45" i="41"/>
  <c r="KO45" i="41"/>
  <c r="KG45" i="41"/>
  <c r="JX45" i="41"/>
  <c r="JP45" i="41"/>
  <c r="JH45" i="41"/>
  <c r="IZ45" i="41"/>
  <c r="IQ45" i="41"/>
  <c r="II45" i="41"/>
  <c r="IA45" i="41"/>
  <c r="HS45" i="41"/>
  <c r="HJ45" i="41"/>
  <c r="HB45" i="41"/>
  <c r="GT45" i="41"/>
  <c r="GL45" i="41"/>
  <c r="GD45" i="41"/>
  <c r="FU45" i="41"/>
  <c r="FM45" i="41"/>
  <c r="FE45" i="41"/>
  <c r="EW45" i="41"/>
  <c r="EN45" i="41"/>
  <c r="EF45" i="41"/>
  <c r="DX45" i="41"/>
  <c r="DP45" i="41"/>
  <c r="DG45" i="41"/>
  <c r="CY45" i="41"/>
  <c r="CQ45" i="41"/>
  <c r="CI45" i="41"/>
  <c r="CA45" i="41"/>
  <c r="BR45" i="41"/>
  <c r="BJ45" i="41"/>
  <c r="BB45" i="41"/>
  <c r="AT45" i="41"/>
  <c r="AL45" i="41"/>
  <c r="AK45" i="41"/>
  <c r="AC45" i="41"/>
  <c r="U45" i="41"/>
  <c r="M45" i="41"/>
  <c r="PP44" i="41"/>
  <c r="PH44" i="41"/>
  <c r="OZ44" i="41"/>
  <c r="OR44" i="41"/>
  <c r="OJ44" i="41"/>
  <c r="OA44" i="41"/>
  <c r="NS44" i="41"/>
  <c r="NK44" i="41"/>
  <c r="NC44" i="41"/>
  <c r="MT44" i="41"/>
  <c r="ML44" i="41"/>
  <c r="MD44" i="41"/>
  <c r="LV44" i="41"/>
  <c r="LM44" i="41"/>
  <c r="LE44" i="41"/>
  <c r="KW44" i="41"/>
  <c r="KO44" i="41"/>
  <c r="KG44" i="41"/>
  <c r="JX44" i="41"/>
  <c r="JP44" i="41"/>
  <c r="JH44" i="41"/>
  <c r="IZ44" i="41"/>
  <c r="IQ44" i="41"/>
  <c r="II44" i="41"/>
  <c r="IA44" i="41"/>
  <c r="HS44" i="41"/>
  <c r="HJ44" i="41"/>
  <c r="HB44" i="41"/>
  <c r="GT44" i="41"/>
  <c r="GL44" i="41"/>
  <c r="GD44" i="41"/>
  <c r="FU44" i="41"/>
  <c r="FM44" i="41"/>
  <c r="FE44" i="41"/>
  <c r="EW44" i="41"/>
  <c r="EN44" i="41"/>
  <c r="EF44" i="41"/>
  <c r="DX44" i="41"/>
  <c r="DP44" i="41"/>
  <c r="DG44" i="41"/>
  <c r="CY44" i="41"/>
  <c r="CQ44" i="41"/>
  <c r="CI44" i="41"/>
  <c r="CA44" i="41"/>
  <c r="BR44" i="41"/>
  <c r="BJ44" i="41"/>
  <c r="BB44" i="41"/>
  <c r="AT44" i="41"/>
  <c r="AL44" i="41"/>
  <c r="AK44" i="41"/>
  <c r="AC44" i="41"/>
  <c r="U44" i="41"/>
  <c r="M44" i="41"/>
  <c r="PP43" i="41"/>
  <c r="PH43" i="41"/>
  <c r="OZ43" i="41"/>
  <c r="OR43" i="41"/>
  <c r="OJ43" i="41"/>
  <c r="OA43" i="41"/>
  <c r="NS43" i="41"/>
  <c r="NK43" i="41"/>
  <c r="NC43" i="41"/>
  <c r="MT43" i="41"/>
  <c r="ML43" i="41"/>
  <c r="MD43" i="41"/>
  <c r="LV43" i="41"/>
  <c r="LM43" i="41"/>
  <c r="LE43" i="41"/>
  <c r="KW43" i="41"/>
  <c r="KO43" i="41"/>
  <c r="KG43" i="41"/>
  <c r="JX43" i="41"/>
  <c r="JP43" i="41"/>
  <c r="JH43" i="41"/>
  <c r="IZ43" i="41"/>
  <c r="IQ43" i="41"/>
  <c r="II43" i="41"/>
  <c r="IA43" i="41"/>
  <c r="HS43" i="41"/>
  <c r="HJ43" i="41"/>
  <c r="HB43" i="41"/>
  <c r="GT43" i="41"/>
  <c r="GL43" i="41"/>
  <c r="GD43" i="41"/>
  <c r="FU43" i="41"/>
  <c r="FM43" i="41"/>
  <c r="FE43" i="41"/>
  <c r="EW43" i="41"/>
  <c r="EN43" i="41"/>
  <c r="EF43" i="41"/>
  <c r="DX43" i="41"/>
  <c r="DP43" i="41"/>
  <c r="DG43" i="41"/>
  <c r="CY43" i="41"/>
  <c r="CQ43" i="41"/>
  <c r="CI43" i="41"/>
  <c r="CA43" i="41"/>
  <c r="BR43" i="41"/>
  <c r="BJ43" i="41"/>
  <c r="BB43" i="41"/>
  <c r="AT43" i="41"/>
  <c r="AL43" i="41"/>
  <c r="AK43" i="41"/>
  <c r="AC43" i="41"/>
  <c r="U43" i="41"/>
  <c r="M43" i="41"/>
  <c r="PP42" i="41"/>
  <c r="PH42" i="41"/>
  <c r="OZ42" i="41"/>
  <c r="OR42" i="41"/>
  <c r="OJ42" i="41"/>
  <c r="OA42" i="41"/>
  <c r="NS42" i="41"/>
  <c r="NK42" i="41"/>
  <c r="NC42" i="41"/>
  <c r="MT42" i="41"/>
  <c r="ML42" i="41"/>
  <c r="MD42" i="41"/>
  <c r="LV42" i="41"/>
  <c r="LM42" i="41"/>
  <c r="LE42" i="41"/>
  <c r="KW42" i="41"/>
  <c r="KO42" i="41"/>
  <c r="KG42" i="41"/>
  <c r="JX42" i="41"/>
  <c r="JP42" i="41"/>
  <c r="JH42" i="41"/>
  <c r="IZ42" i="41"/>
  <c r="IQ42" i="41"/>
  <c r="II42" i="41"/>
  <c r="IA42" i="41"/>
  <c r="HS42" i="41"/>
  <c r="HJ42" i="41"/>
  <c r="HB42" i="41"/>
  <c r="GT42" i="41"/>
  <c r="GL42" i="41"/>
  <c r="GD42" i="41"/>
  <c r="FU42" i="41"/>
  <c r="FM42" i="41"/>
  <c r="FE42" i="41"/>
  <c r="EW42" i="41"/>
  <c r="EN42" i="41"/>
  <c r="EF42" i="41"/>
  <c r="DX42" i="41"/>
  <c r="DP42" i="41"/>
  <c r="DG42" i="41"/>
  <c r="CY42" i="41"/>
  <c r="CQ42" i="41"/>
  <c r="CI42" i="41"/>
  <c r="CA42" i="41"/>
  <c r="BR42" i="41"/>
  <c r="BJ42" i="41"/>
  <c r="BB42" i="41"/>
  <c r="AT42" i="41"/>
  <c r="AL42" i="41"/>
  <c r="AK42" i="41"/>
  <c r="AC42" i="41"/>
  <c r="U42" i="41"/>
  <c r="M42" i="41"/>
  <c r="PP41" i="41"/>
  <c r="PH41" i="41"/>
  <c r="OZ41" i="41"/>
  <c r="OR41" i="41"/>
  <c r="OJ41" i="41"/>
  <c r="OA41" i="41"/>
  <c r="NS41" i="41"/>
  <c r="NK41" i="41"/>
  <c r="NC41" i="41"/>
  <c r="MT41" i="41"/>
  <c r="ML41" i="41"/>
  <c r="MD41" i="41"/>
  <c r="LV41" i="41"/>
  <c r="LM41" i="41"/>
  <c r="LE41" i="41"/>
  <c r="KW41" i="41"/>
  <c r="KO41" i="41"/>
  <c r="KG41" i="41"/>
  <c r="JX41" i="41"/>
  <c r="JP41" i="41"/>
  <c r="JH41" i="41"/>
  <c r="IZ41" i="41"/>
  <c r="IQ41" i="41"/>
  <c r="II41" i="41"/>
  <c r="IA41" i="41"/>
  <c r="HS41" i="41"/>
  <c r="HJ41" i="41"/>
  <c r="HB41" i="41"/>
  <c r="GT41" i="41"/>
  <c r="GL41" i="41"/>
  <c r="GD41" i="41"/>
  <c r="FU41" i="41"/>
  <c r="FM41" i="41"/>
  <c r="FE41" i="41"/>
  <c r="EW41" i="41"/>
  <c r="EN41" i="41"/>
  <c r="EF41" i="41"/>
  <c r="DX41" i="41"/>
  <c r="DP41" i="41"/>
  <c r="DG41" i="41"/>
  <c r="CY41" i="41"/>
  <c r="CQ41" i="41"/>
  <c r="CI41" i="41"/>
  <c r="CA41" i="41"/>
  <c r="BR41" i="41"/>
  <c r="BJ41" i="41"/>
  <c r="BB41" i="41"/>
  <c r="AT41" i="41"/>
  <c r="AL41" i="41"/>
  <c r="AK41" i="41"/>
  <c r="AC41" i="41"/>
  <c r="U41" i="41"/>
  <c r="M41" i="41"/>
  <c r="PP40" i="41"/>
  <c r="PH40" i="41"/>
  <c r="OZ40" i="41"/>
  <c r="OR40" i="41"/>
  <c r="OJ40" i="41"/>
  <c r="OA40" i="41"/>
  <c r="NS40" i="41"/>
  <c r="NK40" i="41"/>
  <c r="NC40" i="41"/>
  <c r="MT40" i="41"/>
  <c r="ML40" i="41"/>
  <c r="MD40" i="41"/>
  <c r="LV40" i="41"/>
  <c r="LM40" i="41"/>
  <c r="LE40" i="41"/>
  <c r="KW40" i="41"/>
  <c r="KO40" i="41"/>
  <c r="KG40" i="41"/>
  <c r="JX40" i="41"/>
  <c r="JP40" i="41"/>
  <c r="JH40" i="41"/>
  <c r="IZ40" i="41"/>
  <c r="IQ40" i="41"/>
  <c r="II40" i="41"/>
  <c r="IA40" i="41"/>
  <c r="HS40" i="41"/>
  <c r="HJ40" i="41"/>
  <c r="HB40" i="41"/>
  <c r="GT40" i="41"/>
  <c r="GL40" i="41"/>
  <c r="GD40" i="41"/>
  <c r="FU40" i="41"/>
  <c r="FM40" i="41"/>
  <c r="FE40" i="41"/>
  <c r="EW40" i="41"/>
  <c r="EN40" i="41"/>
  <c r="EF40" i="41"/>
  <c r="DX40" i="41"/>
  <c r="DP40" i="41"/>
  <c r="DG40" i="41"/>
  <c r="CY40" i="41"/>
  <c r="CQ40" i="41"/>
  <c r="CI40" i="41"/>
  <c r="CA40" i="41"/>
  <c r="BR40" i="41"/>
  <c r="BJ40" i="41"/>
  <c r="BB40" i="41"/>
  <c r="AT40" i="41"/>
  <c r="AL40" i="41"/>
  <c r="AK40" i="41"/>
  <c r="AC40" i="41"/>
  <c r="U40" i="41"/>
  <c r="M40" i="41"/>
  <c r="PP39" i="41"/>
  <c r="PH39" i="41"/>
  <c r="OZ39" i="41"/>
  <c r="OR39" i="41"/>
  <c r="OJ39" i="41"/>
  <c r="OA39" i="41"/>
  <c r="NS39" i="41"/>
  <c r="NK39" i="41"/>
  <c r="NC39" i="41"/>
  <c r="MT39" i="41"/>
  <c r="ML39" i="41"/>
  <c r="MD39" i="41"/>
  <c r="LV39" i="41"/>
  <c r="LM39" i="41"/>
  <c r="LE39" i="41"/>
  <c r="KW39" i="41"/>
  <c r="KO39" i="41"/>
  <c r="KG39" i="41"/>
  <c r="JX39" i="41"/>
  <c r="JP39" i="41"/>
  <c r="JH39" i="41"/>
  <c r="IZ39" i="41"/>
  <c r="IQ39" i="41"/>
  <c r="II39" i="41"/>
  <c r="IA39" i="41"/>
  <c r="HS39" i="41"/>
  <c r="HJ39" i="41"/>
  <c r="HB39" i="41"/>
  <c r="GT39" i="41"/>
  <c r="GL39" i="41"/>
  <c r="GD39" i="41"/>
  <c r="FU39" i="41"/>
  <c r="FM39" i="41"/>
  <c r="FE39" i="41"/>
  <c r="EW39" i="41"/>
  <c r="EN39" i="41"/>
  <c r="EF39" i="41"/>
  <c r="DX39" i="41"/>
  <c r="DP39" i="41"/>
  <c r="DG39" i="41"/>
  <c r="CY39" i="41"/>
  <c r="CQ39" i="41"/>
  <c r="CI39" i="41"/>
  <c r="CA39" i="41"/>
  <c r="BR39" i="41"/>
  <c r="BJ39" i="41"/>
  <c r="BB39" i="41"/>
  <c r="AT39" i="41"/>
  <c r="AL39" i="41"/>
  <c r="AK39" i="41"/>
  <c r="AC39" i="41"/>
  <c r="U39" i="41"/>
  <c r="M39" i="41"/>
  <c r="PP37" i="41"/>
  <c r="PH37" i="41"/>
  <c r="OZ37" i="41"/>
  <c r="OR37" i="41"/>
  <c r="OJ37" i="41"/>
  <c r="OA37" i="41"/>
  <c r="NS37" i="41"/>
  <c r="NK37" i="41"/>
  <c r="NC37" i="41"/>
  <c r="MT37" i="41"/>
  <c r="ML37" i="41"/>
  <c r="MD37" i="41"/>
  <c r="LV37" i="41"/>
  <c r="LM37" i="41"/>
  <c r="LE37" i="41"/>
  <c r="KW37" i="41"/>
  <c r="KO37" i="41"/>
  <c r="KG37" i="41"/>
  <c r="JX37" i="41"/>
  <c r="JP37" i="41"/>
  <c r="JH37" i="41"/>
  <c r="IZ37" i="41"/>
  <c r="IQ37" i="41"/>
  <c r="II37" i="41"/>
  <c r="IA37" i="41"/>
  <c r="HS37" i="41"/>
  <c r="HJ37" i="41"/>
  <c r="HB37" i="41"/>
  <c r="GT37" i="41"/>
  <c r="GL37" i="41"/>
  <c r="GD37" i="41"/>
  <c r="FU37" i="41"/>
  <c r="FM37" i="41"/>
  <c r="FE37" i="41"/>
  <c r="EW37" i="41"/>
  <c r="EN37" i="41"/>
  <c r="EF37" i="41"/>
  <c r="DX37" i="41"/>
  <c r="DP37" i="41"/>
  <c r="DG37" i="41"/>
  <c r="CY37" i="41"/>
  <c r="CQ37" i="41"/>
  <c r="CI37" i="41"/>
  <c r="CA37" i="41"/>
  <c r="BR37" i="41"/>
  <c r="BJ37" i="41"/>
  <c r="BB37" i="41"/>
  <c r="AT37" i="41"/>
  <c r="AL37" i="41"/>
  <c r="AK37" i="41"/>
  <c r="AC37" i="41"/>
  <c r="U37" i="41"/>
  <c r="M37" i="41"/>
  <c r="PP36" i="41"/>
  <c r="PH36" i="41"/>
  <c r="OZ36" i="41"/>
  <c r="OR36" i="41"/>
  <c r="OJ36" i="41"/>
  <c r="OA36" i="41"/>
  <c r="NS36" i="41"/>
  <c r="NK36" i="41"/>
  <c r="NC36" i="41"/>
  <c r="MT36" i="41"/>
  <c r="ML36" i="41"/>
  <c r="MD36" i="41"/>
  <c r="LV36" i="41"/>
  <c r="LM36" i="41"/>
  <c r="LE36" i="41"/>
  <c r="KW36" i="41"/>
  <c r="KO36" i="41"/>
  <c r="KG36" i="41"/>
  <c r="JX36" i="41"/>
  <c r="JP36" i="41"/>
  <c r="JH36" i="41"/>
  <c r="IZ36" i="41"/>
  <c r="IQ36" i="41"/>
  <c r="II36" i="41"/>
  <c r="IA36" i="41"/>
  <c r="HS36" i="41"/>
  <c r="HJ36" i="41"/>
  <c r="HB36" i="41"/>
  <c r="GT36" i="41"/>
  <c r="GL36" i="41"/>
  <c r="GD36" i="41"/>
  <c r="FU36" i="41"/>
  <c r="FM36" i="41"/>
  <c r="FE36" i="41"/>
  <c r="EW36" i="41"/>
  <c r="EN36" i="41"/>
  <c r="EF36" i="41"/>
  <c r="DX36" i="41"/>
  <c r="DP36" i="41"/>
  <c r="DG36" i="41"/>
  <c r="CY36" i="41"/>
  <c r="CQ36" i="41"/>
  <c r="CI36" i="41"/>
  <c r="CA36" i="41"/>
  <c r="BR36" i="41"/>
  <c r="BJ36" i="41"/>
  <c r="BB36" i="41"/>
  <c r="AT36" i="41"/>
  <c r="AL36" i="41"/>
  <c r="AK36" i="41"/>
  <c r="AC36" i="41"/>
  <c r="U36" i="41"/>
  <c r="M36" i="41"/>
  <c r="PP35" i="41"/>
  <c r="PH35" i="41"/>
  <c r="OZ35" i="41"/>
  <c r="OR35" i="41"/>
  <c r="OJ35" i="41"/>
  <c r="OA35" i="41"/>
  <c r="NS35" i="41"/>
  <c r="NK35" i="41"/>
  <c r="NC35" i="41"/>
  <c r="MT35" i="41"/>
  <c r="ML35" i="41"/>
  <c r="MD35" i="41"/>
  <c r="LV35" i="41"/>
  <c r="LM35" i="41"/>
  <c r="LE35" i="41"/>
  <c r="KW35" i="41"/>
  <c r="KO35" i="41"/>
  <c r="KG35" i="41"/>
  <c r="JX35" i="41"/>
  <c r="JP35" i="41"/>
  <c r="JH35" i="41"/>
  <c r="IZ35" i="41"/>
  <c r="IQ35" i="41"/>
  <c r="II35" i="41"/>
  <c r="IA35" i="41"/>
  <c r="HS35" i="41"/>
  <c r="HJ35" i="41"/>
  <c r="HB35" i="41"/>
  <c r="GT35" i="41"/>
  <c r="GL35" i="41"/>
  <c r="GD35" i="41"/>
  <c r="FU35" i="41"/>
  <c r="FM35" i="41"/>
  <c r="FE35" i="41"/>
  <c r="EW35" i="41"/>
  <c r="EN35" i="41"/>
  <c r="EF35" i="41"/>
  <c r="DX35" i="41"/>
  <c r="DP35" i="41"/>
  <c r="DG35" i="41"/>
  <c r="CY35" i="41"/>
  <c r="CQ35" i="41"/>
  <c r="CI35" i="41"/>
  <c r="CA35" i="41"/>
  <c r="BR35" i="41"/>
  <c r="BJ35" i="41"/>
  <c r="BB35" i="41"/>
  <c r="AT35" i="41"/>
  <c r="AL35" i="41"/>
  <c r="AK35" i="41"/>
  <c r="AC35" i="41"/>
  <c r="U35" i="41"/>
  <c r="M35" i="41"/>
  <c r="PP34" i="41"/>
  <c r="PH34" i="41"/>
  <c r="OZ34" i="41"/>
  <c r="OR34" i="41"/>
  <c r="OJ34" i="41"/>
  <c r="OA34" i="41"/>
  <c r="NS34" i="41"/>
  <c r="NK34" i="41"/>
  <c r="NC34" i="41"/>
  <c r="MT34" i="41"/>
  <c r="ML34" i="41"/>
  <c r="MD34" i="41"/>
  <c r="LV34" i="41"/>
  <c r="LM34" i="41"/>
  <c r="LE34" i="41"/>
  <c r="KW34" i="41"/>
  <c r="KO34" i="41"/>
  <c r="KG34" i="41"/>
  <c r="JX34" i="41"/>
  <c r="JP34" i="41"/>
  <c r="JH34" i="41"/>
  <c r="IZ34" i="41"/>
  <c r="IQ34" i="41"/>
  <c r="II34" i="41"/>
  <c r="IA34" i="41"/>
  <c r="HS34" i="41"/>
  <c r="HJ34" i="41"/>
  <c r="HB34" i="41"/>
  <c r="GT34" i="41"/>
  <c r="GL34" i="41"/>
  <c r="GD34" i="41"/>
  <c r="FU34" i="41"/>
  <c r="FM34" i="41"/>
  <c r="FE34" i="41"/>
  <c r="EW34" i="41"/>
  <c r="EN34" i="41"/>
  <c r="EF34" i="41"/>
  <c r="DX34" i="41"/>
  <c r="DP34" i="41"/>
  <c r="DG34" i="41"/>
  <c r="CY34" i="41"/>
  <c r="CQ34" i="41"/>
  <c r="CI34" i="41"/>
  <c r="CA34" i="41"/>
  <c r="BR34" i="41"/>
  <c r="BJ34" i="41"/>
  <c r="BB34" i="41"/>
  <c r="AT34" i="41"/>
  <c r="AL34" i="41"/>
  <c r="AK34" i="41"/>
  <c r="AC34" i="41"/>
  <c r="U34" i="41"/>
  <c r="M34" i="41"/>
  <c r="PP33" i="41"/>
  <c r="PH33" i="41"/>
  <c r="OZ33" i="41"/>
  <c r="OR33" i="41"/>
  <c r="OJ33" i="41"/>
  <c r="OA33" i="41"/>
  <c r="NS33" i="41"/>
  <c r="NK33" i="41"/>
  <c r="NC33" i="41"/>
  <c r="MT33" i="41"/>
  <c r="ML33" i="41"/>
  <c r="MD33" i="41"/>
  <c r="LV33" i="41"/>
  <c r="LM33" i="41"/>
  <c r="LE33" i="41"/>
  <c r="KW33" i="41"/>
  <c r="KO33" i="41"/>
  <c r="KG33" i="41"/>
  <c r="JX33" i="41"/>
  <c r="JP33" i="41"/>
  <c r="JH33" i="41"/>
  <c r="IZ33" i="41"/>
  <c r="IQ33" i="41"/>
  <c r="II33" i="41"/>
  <c r="IA33" i="41"/>
  <c r="HS33" i="41"/>
  <c r="HJ33" i="41"/>
  <c r="HB33" i="41"/>
  <c r="GT33" i="41"/>
  <c r="GL33" i="41"/>
  <c r="GD33" i="41"/>
  <c r="FU33" i="41"/>
  <c r="FM33" i="41"/>
  <c r="FE33" i="41"/>
  <c r="EW33" i="41"/>
  <c r="EN33" i="41"/>
  <c r="EF33" i="41"/>
  <c r="DX33" i="41"/>
  <c r="DP33" i="41"/>
  <c r="DG33" i="41"/>
  <c r="CY33" i="41"/>
  <c r="CQ33" i="41"/>
  <c r="CI33" i="41"/>
  <c r="CA33" i="41"/>
  <c r="BR33" i="41"/>
  <c r="BJ33" i="41"/>
  <c r="BB33" i="41"/>
  <c r="AT33" i="41"/>
  <c r="AL33" i="41"/>
  <c r="AK33" i="41"/>
  <c r="AC33" i="41"/>
  <c r="U33" i="41"/>
  <c r="M33" i="41"/>
  <c r="PP32" i="41"/>
  <c r="PH32" i="41"/>
  <c r="OZ32" i="41"/>
  <c r="OR32" i="41"/>
  <c r="OJ32" i="41"/>
  <c r="OA32" i="41"/>
  <c r="NS32" i="41"/>
  <c r="NK32" i="41"/>
  <c r="NC32" i="41"/>
  <c r="MT32" i="41"/>
  <c r="ML32" i="41"/>
  <c r="MD32" i="41"/>
  <c r="LV32" i="41"/>
  <c r="LM32" i="41"/>
  <c r="LE32" i="41"/>
  <c r="KW32" i="41"/>
  <c r="KO32" i="41"/>
  <c r="KG32" i="41"/>
  <c r="JX32" i="41"/>
  <c r="JP32" i="41"/>
  <c r="JH32" i="41"/>
  <c r="IZ32" i="41"/>
  <c r="IQ32" i="41"/>
  <c r="II32" i="41"/>
  <c r="IA32" i="41"/>
  <c r="HS32" i="41"/>
  <c r="HJ32" i="41"/>
  <c r="HB32" i="41"/>
  <c r="GT32" i="41"/>
  <c r="GL32" i="41"/>
  <c r="GD32" i="41"/>
  <c r="FU32" i="41"/>
  <c r="FM32" i="41"/>
  <c r="FE32" i="41"/>
  <c r="EW32" i="41"/>
  <c r="EN32" i="41"/>
  <c r="EF32" i="41"/>
  <c r="DX32" i="41"/>
  <c r="DP32" i="41"/>
  <c r="DG32" i="41"/>
  <c r="CY32" i="41"/>
  <c r="CQ32" i="41"/>
  <c r="CI32" i="41"/>
  <c r="CA32" i="41"/>
  <c r="BR32" i="41"/>
  <c r="BJ32" i="41"/>
  <c r="BB32" i="41"/>
  <c r="AT32" i="41"/>
  <c r="AL32" i="41"/>
  <c r="AK32" i="41"/>
  <c r="AC32" i="41"/>
  <c r="U32" i="41"/>
  <c r="M32" i="41"/>
  <c r="PP31" i="41"/>
  <c r="PH31" i="41"/>
  <c r="OZ31" i="41"/>
  <c r="OR31" i="41"/>
  <c r="OJ31" i="41"/>
  <c r="OA31" i="41"/>
  <c r="NS31" i="41"/>
  <c r="NK31" i="41"/>
  <c r="NC31" i="41"/>
  <c r="MT31" i="41"/>
  <c r="ML31" i="41"/>
  <c r="MD31" i="41"/>
  <c r="LV31" i="41"/>
  <c r="LM31" i="41"/>
  <c r="LE31" i="41"/>
  <c r="KW31" i="41"/>
  <c r="KO31" i="41"/>
  <c r="KG31" i="41"/>
  <c r="JX31" i="41"/>
  <c r="JP31" i="41"/>
  <c r="JH31" i="41"/>
  <c r="IZ31" i="41"/>
  <c r="IQ31" i="41"/>
  <c r="II31" i="41"/>
  <c r="IA31" i="41"/>
  <c r="HS31" i="41"/>
  <c r="HJ31" i="41"/>
  <c r="HB31" i="41"/>
  <c r="GT31" i="41"/>
  <c r="GL31" i="41"/>
  <c r="GD31" i="41"/>
  <c r="FU31" i="41"/>
  <c r="FM31" i="41"/>
  <c r="FE31" i="41"/>
  <c r="EW31" i="41"/>
  <c r="EN31" i="41"/>
  <c r="EF31" i="41"/>
  <c r="DX31" i="41"/>
  <c r="DP31" i="41"/>
  <c r="DG31" i="41"/>
  <c r="CY31" i="41"/>
  <c r="CQ31" i="41"/>
  <c r="CI31" i="41"/>
  <c r="CA31" i="41"/>
  <c r="BR31" i="41"/>
  <c r="BJ31" i="41"/>
  <c r="BB31" i="41"/>
  <c r="AT31" i="41"/>
  <c r="AL31" i="41"/>
  <c r="AK31" i="41"/>
  <c r="AC31" i="41"/>
  <c r="U31" i="41"/>
  <c r="M31" i="41"/>
  <c r="PP30" i="41"/>
  <c r="PH30" i="41"/>
  <c r="OZ30" i="41"/>
  <c r="OR30" i="41"/>
  <c r="OJ30" i="41"/>
  <c r="OA30" i="41"/>
  <c r="NS30" i="41"/>
  <c r="NK30" i="41"/>
  <c r="NC30" i="41"/>
  <c r="MT30" i="41"/>
  <c r="ML30" i="41"/>
  <c r="MD30" i="41"/>
  <c r="LV30" i="41"/>
  <c r="LM30" i="41"/>
  <c r="LE30" i="41"/>
  <c r="KW30" i="41"/>
  <c r="KO30" i="41"/>
  <c r="KG30" i="41"/>
  <c r="JX30" i="41"/>
  <c r="JP30" i="41"/>
  <c r="JH30" i="41"/>
  <c r="IZ30" i="41"/>
  <c r="IQ30" i="41"/>
  <c r="II30" i="41"/>
  <c r="IA30" i="41"/>
  <c r="HS30" i="41"/>
  <c r="HJ30" i="41"/>
  <c r="HB30" i="41"/>
  <c r="GT30" i="41"/>
  <c r="GL30" i="41"/>
  <c r="GD30" i="41"/>
  <c r="FU30" i="41"/>
  <c r="FM30" i="41"/>
  <c r="FE30" i="41"/>
  <c r="EW30" i="41"/>
  <c r="EN30" i="41"/>
  <c r="EF30" i="41"/>
  <c r="DX30" i="41"/>
  <c r="DP30" i="41"/>
  <c r="DG30" i="41"/>
  <c r="CY30" i="41"/>
  <c r="CQ30" i="41"/>
  <c r="CI30" i="41"/>
  <c r="CA30" i="41"/>
  <c r="BR30" i="41"/>
  <c r="BJ30" i="41"/>
  <c r="BB30" i="41"/>
  <c r="AT30" i="41"/>
  <c r="AL30" i="41"/>
  <c r="AK30" i="41"/>
  <c r="AC30" i="41"/>
  <c r="U30" i="41"/>
  <c r="M30" i="41"/>
  <c r="PP29" i="41"/>
  <c r="PH29" i="41"/>
  <c r="OZ29" i="41"/>
  <c r="OR29" i="41"/>
  <c r="OJ29" i="41"/>
  <c r="OA29" i="41"/>
  <c r="NS29" i="41"/>
  <c r="NK29" i="41"/>
  <c r="NC29" i="41"/>
  <c r="MT29" i="41"/>
  <c r="ML29" i="41"/>
  <c r="MD29" i="41"/>
  <c r="LV29" i="41"/>
  <c r="LM29" i="41"/>
  <c r="LE29" i="41"/>
  <c r="KW29" i="41"/>
  <c r="KO29" i="41"/>
  <c r="KG29" i="41"/>
  <c r="JX29" i="41"/>
  <c r="JP29" i="41"/>
  <c r="JH29" i="41"/>
  <c r="IZ29" i="41"/>
  <c r="IQ29" i="41"/>
  <c r="II29" i="41"/>
  <c r="IA29" i="41"/>
  <c r="HS29" i="41"/>
  <c r="HJ29" i="41"/>
  <c r="HB29" i="41"/>
  <c r="GT29" i="41"/>
  <c r="GL29" i="41"/>
  <c r="GD29" i="41"/>
  <c r="FU29" i="41"/>
  <c r="FM29" i="41"/>
  <c r="FE29" i="41"/>
  <c r="EW29" i="41"/>
  <c r="EN29" i="41"/>
  <c r="EF29" i="41"/>
  <c r="DX29" i="41"/>
  <c r="DP29" i="41"/>
  <c r="DG29" i="41"/>
  <c r="CY29" i="41"/>
  <c r="CQ29" i="41"/>
  <c r="CI29" i="41"/>
  <c r="CA29" i="41"/>
  <c r="BR29" i="41"/>
  <c r="BJ29" i="41"/>
  <c r="BB29" i="41"/>
  <c r="AT29" i="41"/>
  <c r="AL29" i="41"/>
  <c r="AK29" i="41"/>
  <c r="AC29" i="41"/>
  <c r="U29" i="41"/>
  <c r="M29" i="41"/>
  <c r="PP28" i="41"/>
  <c r="PH28" i="41"/>
  <c r="OZ28" i="41"/>
  <c r="OR28" i="41"/>
  <c r="OJ28" i="41"/>
  <c r="OA28" i="41"/>
  <c r="NS28" i="41"/>
  <c r="NK28" i="41"/>
  <c r="NC28" i="41"/>
  <c r="MT28" i="41"/>
  <c r="ML28" i="41"/>
  <c r="MD28" i="41"/>
  <c r="LV28" i="41"/>
  <c r="LM28" i="41"/>
  <c r="LE28" i="41"/>
  <c r="KW28" i="41"/>
  <c r="KO28" i="41"/>
  <c r="KG28" i="41"/>
  <c r="JX28" i="41"/>
  <c r="JP28" i="41"/>
  <c r="JH28" i="41"/>
  <c r="IZ28" i="41"/>
  <c r="IQ28" i="41"/>
  <c r="II28" i="41"/>
  <c r="IA28" i="41"/>
  <c r="HS28" i="41"/>
  <c r="HJ28" i="41"/>
  <c r="HB28" i="41"/>
  <c r="GT28" i="41"/>
  <c r="GL28" i="41"/>
  <c r="GD28" i="41"/>
  <c r="FU28" i="41"/>
  <c r="FM28" i="41"/>
  <c r="FE28" i="41"/>
  <c r="EW28" i="41"/>
  <c r="EN28" i="41"/>
  <c r="EF28" i="41"/>
  <c r="DX28" i="41"/>
  <c r="DP28" i="41"/>
  <c r="DG28" i="41"/>
  <c r="CY28" i="41"/>
  <c r="CQ28" i="41"/>
  <c r="CI28" i="41"/>
  <c r="CA28" i="41"/>
  <c r="BR28" i="41"/>
  <c r="BJ28" i="41"/>
  <c r="BB28" i="41"/>
  <c r="AT28" i="41"/>
  <c r="AL28" i="41"/>
  <c r="AK28" i="41"/>
  <c r="AC28" i="41"/>
  <c r="U28" i="41"/>
  <c r="M28" i="41"/>
  <c r="PP27" i="41"/>
  <c r="PH27" i="41"/>
  <c r="OZ27" i="41"/>
  <c r="OR27" i="41"/>
  <c r="OJ27" i="41"/>
  <c r="OA27" i="41"/>
  <c r="NS27" i="41"/>
  <c r="NK27" i="41"/>
  <c r="NC27" i="41"/>
  <c r="MT27" i="41"/>
  <c r="ML27" i="41"/>
  <c r="MD27" i="41"/>
  <c r="LV27" i="41"/>
  <c r="LM27" i="41"/>
  <c r="LE27" i="41"/>
  <c r="KW27" i="41"/>
  <c r="KO27" i="41"/>
  <c r="KG27" i="41"/>
  <c r="JX27" i="41"/>
  <c r="JP27" i="41"/>
  <c r="JH27" i="41"/>
  <c r="IZ27" i="41"/>
  <c r="IQ27" i="41"/>
  <c r="II27" i="41"/>
  <c r="IA27" i="41"/>
  <c r="HS27" i="41"/>
  <c r="HJ27" i="41"/>
  <c r="HB27" i="41"/>
  <c r="GT27" i="41"/>
  <c r="GL27" i="41"/>
  <c r="GD27" i="41"/>
  <c r="FU27" i="41"/>
  <c r="FM27" i="41"/>
  <c r="FE27" i="41"/>
  <c r="EW27" i="41"/>
  <c r="EN27" i="41"/>
  <c r="EF27" i="41"/>
  <c r="DX27" i="41"/>
  <c r="DP27" i="41"/>
  <c r="DG27" i="41"/>
  <c r="CY27" i="41"/>
  <c r="CQ27" i="41"/>
  <c r="CI27" i="41"/>
  <c r="CA27" i="41"/>
  <c r="BR27" i="41"/>
  <c r="BJ27" i="41"/>
  <c r="BB27" i="41"/>
  <c r="AT27" i="41"/>
  <c r="AL27" i="41"/>
  <c r="AK27" i="41"/>
  <c r="AC27" i="41"/>
  <c r="U27" i="41"/>
  <c r="M27" i="41"/>
  <c r="PP26" i="41"/>
  <c r="PH26" i="41"/>
  <c r="OZ26" i="41"/>
  <c r="OR26" i="41"/>
  <c r="OJ26" i="41"/>
  <c r="OA26" i="41"/>
  <c r="NS26" i="41"/>
  <c r="NK26" i="41"/>
  <c r="NC26" i="41"/>
  <c r="MT26" i="41"/>
  <c r="ML26" i="41"/>
  <c r="MD26" i="41"/>
  <c r="LV26" i="41"/>
  <c r="LM26" i="41"/>
  <c r="LE26" i="41"/>
  <c r="KW26" i="41"/>
  <c r="KO26" i="41"/>
  <c r="KG26" i="41"/>
  <c r="JX26" i="41"/>
  <c r="JP26" i="41"/>
  <c r="JH26" i="41"/>
  <c r="IZ26" i="41"/>
  <c r="IQ26" i="41"/>
  <c r="II26" i="41"/>
  <c r="IA26" i="41"/>
  <c r="HS26" i="41"/>
  <c r="HJ26" i="41"/>
  <c r="HB26" i="41"/>
  <c r="GT26" i="41"/>
  <c r="GL26" i="41"/>
  <c r="GD26" i="41"/>
  <c r="FU26" i="41"/>
  <c r="FM26" i="41"/>
  <c r="FE26" i="41"/>
  <c r="EW26" i="41"/>
  <c r="EN26" i="41"/>
  <c r="EF26" i="41"/>
  <c r="DX26" i="41"/>
  <c r="DP26" i="41"/>
  <c r="DG26" i="41"/>
  <c r="CY26" i="41"/>
  <c r="CQ26" i="41"/>
  <c r="CI26" i="41"/>
  <c r="CA26" i="41"/>
  <c r="BR26" i="41"/>
  <c r="BJ26" i="41"/>
  <c r="BB26" i="41"/>
  <c r="AT26" i="41"/>
  <c r="AL26" i="41"/>
  <c r="AK26" i="41"/>
  <c r="AC26" i="41"/>
  <c r="U26" i="41"/>
  <c r="M26" i="41"/>
  <c r="PP25" i="41"/>
  <c r="PH25" i="41"/>
  <c r="OZ25" i="41"/>
  <c r="OR25" i="41"/>
  <c r="OJ25" i="41"/>
  <c r="OA25" i="41"/>
  <c r="NS25" i="41"/>
  <c r="NK25" i="41"/>
  <c r="NC25" i="41"/>
  <c r="MT25" i="41"/>
  <c r="ML25" i="41"/>
  <c r="MD25" i="41"/>
  <c r="LV25" i="41"/>
  <c r="LM25" i="41"/>
  <c r="LE25" i="41"/>
  <c r="KW25" i="41"/>
  <c r="KO25" i="41"/>
  <c r="KG25" i="41"/>
  <c r="JX25" i="41"/>
  <c r="JP25" i="41"/>
  <c r="JH25" i="41"/>
  <c r="IZ25" i="41"/>
  <c r="IQ25" i="41"/>
  <c r="II25" i="41"/>
  <c r="IA25" i="41"/>
  <c r="HS25" i="41"/>
  <c r="HJ25" i="41"/>
  <c r="HB25" i="41"/>
  <c r="GT25" i="41"/>
  <c r="GL25" i="41"/>
  <c r="GD25" i="41"/>
  <c r="FU25" i="41"/>
  <c r="FM25" i="41"/>
  <c r="FE25" i="41"/>
  <c r="EW25" i="41"/>
  <c r="EN25" i="41"/>
  <c r="EF25" i="41"/>
  <c r="DX25" i="41"/>
  <c r="DP25" i="41"/>
  <c r="DG25" i="41"/>
  <c r="CY25" i="41"/>
  <c r="CQ25" i="41"/>
  <c r="CI25" i="41"/>
  <c r="CA25" i="41"/>
  <c r="BR25" i="41"/>
  <c r="BJ25" i="41"/>
  <c r="BB25" i="41"/>
  <c r="AT25" i="41"/>
  <c r="AL25" i="41"/>
  <c r="AK25" i="41"/>
  <c r="AC25" i="41"/>
  <c r="U25" i="41"/>
  <c r="M25" i="41"/>
  <c r="PP24" i="41"/>
  <c r="PH24" i="41"/>
  <c r="OZ24" i="41"/>
  <c r="OR24" i="41"/>
  <c r="OJ24" i="41"/>
  <c r="OA24" i="41"/>
  <c r="NS24" i="41"/>
  <c r="NK24" i="41"/>
  <c r="NC24" i="41"/>
  <c r="MT24" i="41"/>
  <c r="ML24" i="41"/>
  <c r="MD24" i="41"/>
  <c r="LV24" i="41"/>
  <c r="LM24" i="41"/>
  <c r="LE24" i="41"/>
  <c r="KW24" i="41"/>
  <c r="KO24" i="41"/>
  <c r="KG24" i="41"/>
  <c r="JX24" i="41"/>
  <c r="JP24" i="41"/>
  <c r="JH24" i="41"/>
  <c r="IZ24" i="41"/>
  <c r="IQ24" i="41"/>
  <c r="II24" i="41"/>
  <c r="IA24" i="41"/>
  <c r="HS24" i="41"/>
  <c r="HJ24" i="41"/>
  <c r="HB24" i="41"/>
  <c r="GT24" i="41"/>
  <c r="GL24" i="41"/>
  <c r="GD24" i="41"/>
  <c r="FU24" i="41"/>
  <c r="FM24" i="41"/>
  <c r="FE24" i="41"/>
  <c r="EW24" i="41"/>
  <c r="EN24" i="41"/>
  <c r="EF24" i="41"/>
  <c r="DX24" i="41"/>
  <c r="DP24" i="41"/>
  <c r="DG24" i="41"/>
  <c r="CY24" i="41"/>
  <c r="CQ24" i="41"/>
  <c r="CI24" i="41"/>
  <c r="CA24" i="41"/>
  <c r="BR24" i="41"/>
  <c r="BJ24" i="41"/>
  <c r="BB24" i="41"/>
  <c r="AT24" i="41"/>
  <c r="AL24" i="41"/>
  <c r="AK24" i="41"/>
  <c r="AC24" i="41"/>
  <c r="U24" i="41"/>
  <c r="M24" i="41"/>
  <c r="PP23" i="41"/>
  <c r="PH23" i="41"/>
  <c r="OZ23" i="41"/>
  <c r="OR23" i="41"/>
  <c r="OJ23" i="41"/>
  <c r="OA23" i="41"/>
  <c r="NS23" i="41"/>
  <c r="NK23" i="41"/>
  <c r="NC23" i="41"/>
  <c r="MT23" i="41"/>
  <c r="ML23" i="41"/>
  <c r="MD23" i="41"/>
  <c r="LV23" i="41"/>
  <c r="LM23" i="41"/>
  <c r="LE23" i="41"/>
  <c r="KW23" i="41"/>
  <c r="KO23" i="41"/>
  <c r="KG23" i="41"/>
  <c r="JX23" i="41"/>
  <c r="JP23" i="41"/>
  <c r="JH23" i="41"/>
  <c r="IZ23" i="41"/>
  <c r="IQ23" i="41"/>
  <c r="II23" i="41"/>
  <c r="IA23" i="41"/>
  <c r="HS23" i="41"/>
  <c r="HJ23" i="41"/>
  <c r="HB23" i="41"/>
  <c r="GT23" i="41"/>
  <c r="GL23" i="41"/>
  <c r="GD23" i="41"/>
  <c r="FU23" i="41"/>
  <c r="FM23" i="41"/>
  <c r="FE23" i="41"/>
  <c r="EW23" i="41"/>
  <c r="EN23" i="41"/>
  <c r="EF23" i="41"/>
  <c r="DX23" i="41"/>
  <c r="DP23" i="41"/>
  <c r="DG23" i="41"/>
  <c r="CY23" i="41"/>
  <c r="CQ23" i="41"/>
  <c r="CI23" i="41"/>
  <c r="CA23" i="41"/>
  <c r="BR23" i="41"/>
  <c r="BJ23" i="41"/>
  <c r="BB23" i="41"/>
  <c r="AT23" i="41"/>
  <c r="AL23" i="41"/>
  <c r="AK23" i="41"/>
  <c r="AC23" i="41"/>
  <c r="U23" i="41"/>
  <c r="M23" i="41"/>
  <c r="PP22" i="41"/>
  <c r="PH22" i="41"/>
  <c r="OZ22" i="41"/>
  <c r="OR22" i="41"/>
  <c r="OJ22" i="41"/>
  <c r="OA22" i="41"/>
  <c r="NS22" i="41"/>
  <c r="NK22" i="41"/>
  <c r="NC22" i="41"/>
  <c r="MT22" i="41"/>
  <c r="ML22" i="41"/>
  <c r="MD22" i="41"/>
  <c r="LV22" i="41"/>
  <c r="LM22" i="41"/>
  <c r="LE22" i="41"/>
  <c r="KW22" i="41"/>
  <c r="KO22" i="41"/>
  <c r="KG22" i="41"/>
  <c r="JX22" i="41"/>
  <c r="JP22" i="41"/>
  <c r="JH22" i="41"/>
  <c r="IZ22" i="41"/>
  <c r="IQ22" i="41"/>
  <c r="II22" i="41"/>
  <c r="IA22" i="41"/>
  <c r="HS22" i="41"/>
  <c r="HJ22" i="41"/>
  <c r="HB22" i="41"/>
  <c r="GT22" i="41"/>
  <c r="GL22" i="41"/>
  <c r="GD22" i="41"/>
  <c r="FU22" i="41"/>
  <c r="FM22" i="41"/>
  <c r="FE22" i="41"/>
  <c r="EW22" i="41"/>
  <c r="EN22" i="41"/>
  <c r="EF22" i="41"/>
  <c r="DX22" i="41"/>
  <c r="DP22" i="41"/>
  <c r="DG22" i="41"/>
  <c r="CY22" i="41"/>
  <c r="CQ22" i="41"/>
  <c r="CI22" i="41"/>
  <c r="CA22" i="41"/>
  <c r="BR22" i="41"/>
  <c r="BJ22" i="41"/>
  <c r="BB22" i="41"/>
  <c r="AT22" i="41"/>
  <c r="AL22" i="41"/>
  <c r="AK22" i="41"/>
  <c r="AC22" i="41"/>
  <c r="U22" i="41"/>
  <c r="M22" i="41"/>
  <c r="PP21" i="41"/>
  <c r="PH21" i="41"/>
  <c r="OZ21" i="41"/>
  <c r="OR21" i="41"/>
  <c r="OJ21" i="41"/>
  <c r="OA21" i="41"/>
  <c r="NS21" i="41"/>
  <c r="NK21" i="41"/>
  <c r="NC21" i="41"/>
  <c r="MT21" i="41"/>
  <c r="ML21" i="41"/>
  <c r="MD21" i="41"/>
  <c r="LV21" i="41"/>
  <c r="LM21" i="41"/>
  <c r="LE21" i="41"/>
  <c r="KW21" i="41"/>
  <c r="KO21" i="41"/>
  <c r="KG21" i="41"/>
  <c r="JX21" i="41"/>
  <c r="JP21" i="41"/>
  <c r="JH21" i="41"/>
  <c r="IZ21" i="41"/>
  <c r="IQ21" i="41"/>
  <c r="II21" i="41"/>
  <c r="IA21" i="41"/>
  <c r="HS21" i="41"/>
  <c r="HJ21" i="41"/>
  <c r="HB21" i="41"/>
  <c r="GT21" i="41"/>
  <c r="GL21" i="41"/>
  <c r="GD21" i="41"/>
  <c r="FU21" i="41"/>
  <c r="FM21" i="41"/>
  <c r="FE21" i="41"/>
  <c r="EW21" i="41"/>
  <c r="EN21" i="41"/>
  <c r="EF21" i="41"/>
  <c r="DX21" i="41"/>
  <c r="DP21" i="41"/>
  <c r="DG21" i="41"/>
  <c r="CY21" i="41"/>
  <c r="CQ21" i="41"/>
  <c r="CI21" i="41"/>
  <c r="CA21" i="41"/>
  <c r="BR21" i="41"/>
  <c r="BJ21" i="41"/>
  <c r="BB21" i="41"/>
  <c r="AT21" i="41"/>
  <c r="AL21" i="41"/>
  <c r="AK21" i="41"/>
  <c r="AC21" i="41"/>
  <c r="U21" i="41"/>
  <c r="M21" i="41"/>
  <c r="PP20" i="41"/>
  <c r="PH20" i="41"/>
  <c r="OZ20" i="41"/>
  <c r="OR20" i="41"/>
  <c r="OJ20" i="41"/>
  <c r="OA20" i="41"/>
  <c r="NS20" i="41"/>
  <c r="NK20" i="41"/>
  <c r="NC20" i="41"/>
  <c r="MT20" i="41"/>
  <c r="ML20" i="41"/>
  <c r="MD20" i="41"/>
  <c r="LV20" i="41"/>
  <c r="LM20" i="41"/>
  <c r="LE20" i="41"/>
  <c r="KW20" i="41"/>
  <c r="KO20" i="41"/>
  <c r="KG20" i="41"/>
  <c r="JX20" i="41"/>
  <c r="JP20" i="41"/>
  <c r="JH20" i="41"/>
  <c r="IZ20" i="41"/>
  <c r="IQ20" i="41"/>
  <c r="II20" i="41"/>
  <c r="IA20" i="41"/>
  <c r="HS20" i="41"/>
  <c r="HJ20" i="41"/>
  <c r="HB20" i="41"/>
  <c r="GT20" i="41"/>
  <c r="GL20" i="41"/>
  <c r="GD20" i="41"/>
  <c r="FU20" i="41"/>
  <c r="FM20" i="41"/>
  <c r="FE20" i="41"/>
  <c r="EW20" i="41"/>
  <c r="EN20" i="41"/>
  <c r="EF20" i="41"/>
  <c r="DX20" i="41"/>
  <c r="DP20" i="41"/>
  <c r="DG20" i="41"/>
  <c r="CY20" i="41"/>
  <c r="CQ20" i="41"/>
  <c r="CI20" i="41"/>
  <c r="CA20" i="41"/>
  <c r="BR20" i="41"/>
  <c r="BJ20" i="41"/>
  <c r="BB20" i="41"/>
  <c r="AT20" i="41"/>
  <c r="AL20" i="41"/>
  <c r="AK20" i="41"/>
  <c r="AC20" i="41"/>
  <c r="U20" i="41"/>
  <c r="M20" i="41"/>
  <c r="PP19" i="41"/>
  <c r="PH19" i="41"/>
  <c r="OZ19" i="41"/>
  <c r="OR19" i="41"/>
  <c r="OJ19" i="41"/>
  <c r="OA19" i="41"/>
  <c r="NS19" i="41"/>
  <c r="NK19" i="41"/>
  <c r="NC19" i="41"/>
  <c r="MT19" i="41"/>
  <c r="ML19" i="41"/>
  <c r="MD19" i="41"/>
  <c r="LV19" i="41"/>
  <c r="LM19" i="41"/>
  <c r="LE19" i="41"/>
  <c r="KW19" i="41"/>
  <c r="KO19" i="41"/>
  <c r="KG19" i="41"/>
  <c r="JX19" i="41"/>
  <c r="JP19" i="41"/>
  <c r="JH19" i="41"/>
  <c r="IZ19" i="41"/>
  <c r="IQ19" i="41"/>
  <c r="II19" i="41"/>
  <c r="IA19" i="41"/>
  <c r="HS19" i="41"/>
  <c r="HJ19" i="41"/>
  <c r="HB19" i="41"/>
  <c r="GT19" i="41"/>
  <c r="GL19" i="41"/>
  <c r="GD19" i="41"/>
  <c r="FU19" i="41"/>
  <c r="FM19" i="41"/>
  <c r="FE19" i="41"/>
  <c r="EW19" i="41"/>
  <c r="EN19" i="41"/>
  <c r="EF19" i="41"/>
  <c r="DX19" i="41"/>
  <c r="DP19" i="41"/>
  <c r="DG19" i="41"/>
  <c r="CY19" i="41"/>
  <c r="CQ19" i="41"/>
  <c r="CI19" i="41"/>
  <c r="CA19" i="41"/>
  <c r="BR19" i="41"/>
  <c r="BJ19" i="41"/>
  <c r="BB19" i="41"/>
  <c r="AT19" i="41"/>
  <c r="AL19" i="41"/>
  <c r="AK19" i="41"/>
  <c r="AC19" i="41"/>
  <c r="U19" i="41"/>
  <c r="M19" i="41"/>
  <c r="PP18" i="41"/>
  <c r="PH18" i="41"/>
  <c r="OZ18" i="41"/>
  <c r="OR18" i="41"/>
  <c r="OJ18" i="41"/>
  <c r="OA18" i="41"/>
  <c r="NS18" i="41"/>
  <c r="NK18" i="41"/>
  <c r="NC18" i="41"/>
  <c r="MT18" i="41"/>
  <c r="ML18" i="41"/>
  <c r="MD18" i="41"/>
  <c r="LV18" i="41"/>
  <c r="LM18" i="41"/>
  <c r="LE18" i="41"/>
  <c r="KW18" i="41"/>
  <c r="KO18" i="41"/>
  <c r="KG18" i="41"/>
  <c r="JX18" i="41"/>
  <c r="JP18" i="41"/>
  <c r="JH18" i="41"/>
  <c r="IZ18" i="41"/>
  <c r="IQ18" i="41"/>
  <c r="II18" i="41"/>
  <c r="IA18" i="41"/>
  <c r="HS18" i="41"/>
  <c r="HJ18" i="41"/>
  <c r="HB18" i="41"/>
  <c r="GT18" i="41"/>
  <c r="GL18" i="41"/>
  <c r="GD18" i="41"/>
  <c r="FU18" i="41"/>
  <c r="FM18" i="41"/>
  <c r="FE18" i="41"/>
  <c r="EW18" i="41"/>
  <c r="EN18" i="41"/>
  <c r="EF18" i="41"/>
  <c r="DX18" i="41"/>
  <c r="DP18" i="41"/>
  <c r="DG18" i="41"/>
  <c r="CY18" i="41"/>
  <c r="CQ18" i="41"/>
  <c r="CI18" i="41"/>
  <c r="CA18" i="41"/>
  <c r="BR18" i="41"/>
  <c r="BJ18" i="41"/>
  <c r="BB18" i="41"/>
  <c r="AT18" i="41"/>
  <c r="AL18" i="41"/>
  <c r="AK18" i="41"/>
  <c r="AC18" i="41"/>
  <c r="U18" i="41"/>
  <c r="M18" i="41"/>
  <c r="PP17" i="41"/>
  <c r="PH17" i="41"/>
  <c r="OZ17" i="41"/>
  <c r="OR17" i="41"/>
  <c r="OJ17" i="41"/>
  <c r="OA17" i="41"/>
  <c r="NS17" i="41"/>
  <c r="NK17" i="41"/>
  <c r="NC17" i="41"/>
  <c r="MT17" i="41"/>
  <c r="ML17" i="41"/>
  <c r="MD17" i="41"/>
  <c r="LV17" i="41"/>
  <c r="LM17" i="41"/>
  <c r="LE17" i="41"/>
  <c r="KW17" i="41"/>
  <c r="KO17" i="41"/>
  <c r="KG17" i="41"/>
  <c r="JX17" i="41"/>
  <c r="JP17" i="41"/>
  <c r="JH17" i="41"/>
  <c r="IZ17" i="41"/>
  <c r="IQ17" i="41"/>
  <c r="II17" i="41"/>
  <c r="IA17" i="41"/>
  <c r="HS17" i="41"/>
  <c r="HJ17" i="41"/>
  <c r="HB17" i="41"/>
  <c r="GT17" i="41"/>
  <c r="GL17" i="41"/>
  <c r="GD17" i="41"/>
  <c r="FU17" i="41"/>
  <c r="FM17" i="41"/>
  <c r="FE17" i="41"/>
  <c r="EW17" i="41"/>
  <c r="EN17" i="41"/>
  <c r="EF17" i="41"/>
  <c r="DX17" i="41"/>
  <c r="DP17" i="41"/>
  <c r="DG17" i="41"/>
  <c r="CY17" i="41"/>
  <c r="CQ17" i="41"/>
  <c r="CI17" i="41"/>
  <c r="CA17" i="41"/>
  <c r="BR17" i="41"/>
  <c r="BJ17" i="41"/>
  <c r="BB17" i="41"/>
  <c r="AT17" i="41"/>
  <c r="AL17" i="41"/>
  <c r="AK17" i="41"/>
  <c r="AC17" i="41"/>
  <c r="U17" i="41"/>
  <c r="M17" i="41"/>
  <c r="PP16" i="41"/>
  <c r="PH16" i="41"/>
  <c r="OZ16" i="41"/>
  <c r="OR16" i="41"/>
  <c r="OJ16" i="41"/>
  <c r="OA16" i="41"/>
  <c r="NS16" i="41"/>
  <c r="NK16" i="41"/>
  <c r="NC16" i="41"/>
  <c r="MT16" i="41"/>
  <c r="ML16" i="41"/>
  <c r="MD16" i="41"/>
  <c r="LV16" i="41"/>
  <c r="LM16" i="41"/>
  <c r="LE16" i="41"/>
  <c r="KW16" i="41"/>
  <c r="KO16" i="41"/>
  <c r="KG16" i="41"/>
  <c r="JX16" i="41"/>
  <c r="JP16" i="41"/>
  <c r="JH16" i="41"/>
  <c r="IZ16" i="41"/>
  <c r="IQ16" i="41"/>
  <c r="II16" i="41"/>
  <c r="IA16" i="41"/>
  <c r="HS16" i="41"/>
  <c r="HJ16" i="41"/>
  <c r="HB16" i="41"/>
  <c r="GT16" i="41"/>
  <c r="GL16" i="41"/>
  <c r="GD16" i="41"/>
  <c r="FU16" i="41"/>
  <c r="FM16" i="41"/>
  <c r="FE16" i="41"/>
  <c r="EW16" i="41"/>
  <c r="EN16" i="41"/>
  <c r="EF16" i="41"/>
  <c r="DX16" i="41"/>
  <c r="DP16" i="41"/>
  <c r="DG16" i="41"/>
  <c r="CY16" i="41"/>
  <c r="CQ16" i="41"/>
  <c r="CI16" i="41"/>
  <c r="CA16" i="41"/>
  <c r="BR16" i="41"/>
  <c r="BJ16" i="41"/>
  <c r="BB16" i="41"/>
  <c r="AT16" i="41"/>
  <c r="AL16" i="41"/>
  <c r="AK16" i="41"/>
  <c r="AC16" i="41"/>
  <c r="U16" i="41"/>
  <c r="M16" i="41"/>
  <c r="PP15" i="41"/>
  <c r="PH15" i="41"/>
  <c r="OZ15" i="41"/>
  <c r="OR15" i="41"/>
  <c r="OJ15" i="41"/>
  <c r="OA15" i="41"/>
  <c r="NS15" i="41"/>
  <c r="NK15" i="41"/>
  <c r="NC15" i="41"/>
  <c r="MT15" i="41"/>
  <c r="ML15" i="41"/>
  <c r="MD15" i="41"/>
  <c r="LV15" i="41"/>
  <c r="LM15" i="41"/>
  <c r="LE15" i="41"/>
  <c r="KW15" i="41"/>
  <c r="KO15" i="41"/>
  <c r="KG15" i="41"/>
  <c r="JX15" i="41"/>
  <c r="JP15" i="41"/>
  <c r="JH15" i="41"/>
  <c r="IZ15" i="41"/>
  <c r="IQ15" i="41"/>
  <c r="II15" i="41"/>
  <c r="IA15" i="41"/>
  <c r="HS15" i="41"/>
  <c r="HJ15" i="41"/>
  <c r="HB15" i="41"/>
  <c r="GT15" i="41"/>
  <c r="GL15" i="41"/>
  <c r="GD15" i="41"/>
  <c r="FU15" i="41"/>
  <c r="FM15" i="41"/>
  <c r="FE15" i="41"/>
  <c r="EW15" i="41"/>
  <c r="EN15" i="41"/>
  <c r="EF15" i="41"/>
  <c r="DX15" i="41"/>
  <c r="DP15" i="41"/>
  <c r="DG15" i="41"/>
  <c r="CY15" i="41"/>
  <c r="CQ15" i="41"/>
  <c r="CI15" i="41"/>
  <c r="CA15" i="41"/>
  <c r="BR15" i="41"/>
  <c r="BJ15" i="41"/>
  <c r="BB15" i="41"/>
  <c r="AT15" i="41"/>
  <c r="AL15" i="41"/>
  <c r="AK15" i="41"/>
  <c r="AC15" i="41"/>
  <c r="U15" i="41"/>
  <c r="M15" i="41"/>
  <c r="PP14" i="41"/>
  <c r="PH14" i="41"/>
  <c r="OZ14" i="41"/>
  <c r="OR14" i="41"/>
  <c r="OJ14" i="41"/>
  <c r="OA14" i="41"/>
  <c r="NS14" i="41"/>
  <c r="NK14" i="41"/>
  <c r="NC14" i="41"/>
  <c r="MT14" i="41"/>
  <c r="ML14" i="41"/>
  <c r="MD14" i="41"/>
  <c r="LV14" i="41"/>
  <c r="LM14" i="41"/>
  <c r="LE14" i="41"/>
  <c r="KW14" i="41"/>
  <c r="KO14" i="41"/>
  <c r="KG14" i="41"/>
  <c r="JX14" i="41"/>
  <c r="JP14" i="41"/>
  <c r="JH14" i="41"/>
  <c r="IZ14" i="41"/>
  <c r="IQ14" i="41"/>
  <c r="II14" i="41"/>
  <c r="IA14" i="41"/>
  <c r="HS14" i="41"/>
  <c r="HJ14" i="41"/>
  <c r="HB14" i="41"/>
  <c r="GT14" i="41"/>
  <c r="GL14" i="41"/>
  <c r="GD14" i="41"/>
  <c r="FU14" i="41"/>
  <c r="FM14" i="41"/>
  <c r="FE14" i="41"/>
  <c r="EW14" i="41"/>
  <c r="EN14" i="41"/>
  <c r="EF14" i="41"/>
  <c r="DX14" i="41"/>
  <c r="DP14" i="41"/>
  <c r="DG14" i="41"/>
  <c r="CY14" i="41"/>
  <c r="CQ14" i="41"/>
  <c r="CI14" i="41"/>
  <c r="CA14" i="41"/>
  <c r="BR14" i="41"/>
  <c r="BJ14" i="41"/>
  <c r="BB14" i="41"/>
  <c r="AT14" i="41"/>
  <c r="AL14" i="41"/>
  <c r="AK14" i="41"/>
  <c r="AC14" i="41"/>
  <c r="U14" i="41"/>
  <c r="M14" i="41"/>
  <c r="PP13" i="41"/>
  <c r="PH13" i="41"/>
  <c r="OZ13" i="41"/>
  <c r="OR13" i="41"/>
  <c r="OJ13" i="41"/>
  <c r="OA13" i="41"/>
  <c r="NS13" i="41"/>
  <c r="NK13" i="41"/>
  <c r="NC13" i="41"/>
  <c r="MT13" i="41"/>
  <c r="ML13" i="41"/>
  <c r="MD13" i="41"/>
  <c r="LV13" i="41"/>
  <c r="LM13" i="41"/>
  <c r="LE13" i="41"/>
  <c r="KW13" i="41"/>
  <c r="KO13" i="41"/>
  <c r="KG13" i="41"/>
  <c r="JX13" i="41"/>
  <c r="JP13" i="41"/>
  <c r="JH13" i="41"/>
  <c r="IZ13" i="41"/>
  <c r="IQ13" i="41"/>
  <c r="II13" i="41"/>
  <c r="IA13" i="41"/>
  <c r="HS13" i="41"/>
  <c r="HJ13" i="41"/>
  <c r="HB13" i="41"/>
  <c r="GT13" i="41"/>
  <c r="GL13" i="41"/>
  <c r="GD13" i="41"/>
  <c r="FU13" i="41"/>
  <c r="FM13" i="41"/>
  <c r="FE13" i="41"/>
  <c r="EW13" i="41"/>
  <c r="EN13" i="41"/>
  <c r="EF13" i="41"/>
  <c r="DX13" i="41"/>
  <c r="DP13" i="41"/>
  <c r="DG13" i="41"/>
  <c r="CY13" i="41"/>
  <c r="CQ13" i="41"/>
  <c r="CI13" i="41"/>
  <c r="CA13" i="41"/>
  <c r="BR13" i="41"/>
  <c r="BJ13" i="41"/>
  <c r="BB13" i="41"/>
  <c r="AT13" i="41"/>
  <c r="AL13" i="41"/>
  <c r="AK13" i="41"/>
  <c r="AC13" i="41"/>
  <c r="U13" i="41"/>
  <c r="M13" i="41"/>
  <c r="PP12" i="41"/>
  <c r="PH12" i="41"/>
  <c r="OZ12" i="41"/>
  <c r="OR12" i="41"/>
  <c r="OJ12" i="41"/>
  <c r="OA12" i="41"/>
  <c r="NS12" i="41"/>
  <c r="NK12" i="41"/>
  <c r="NC12" i="41"/>
  <c r="MT12" i="41"/>
  <c r="ML12" i="41"/>
  <c r="MD12" i="41"/>
  <c r="LV12" i="41"/>
  <c r="LM12" i="41"/>
  <c r="LE12" i="41"/>
  <c r="KW12" i="41"/>
  <c r="KO12" i="41"/>
  <c r="KG12" i="41"/>
  <c r="JX12" i="41"/>
  <c r="JP12" i="41"/>
  <c r="JH12" i="41"/>
  <c r="IZ12" i="41"/>
  <c r="IQ12" i="41"/>
  <c r="II12" i="41"/>
  <c r="IA12" i="41"/>
  <c r="HS12" i="41"/>
  <c r="HJ12" i="41"/>
  <c r="HB12" i="41"/>
  <c r="GT12" i="41"/>
  <c r="GL12" i="41"/>
  <c r="GD12" i="41"/>
  <c r="FU12" i="41"/>
  <c r="FM12" i="41"/>
  <c r="FE12" i="41"/>
  <c r="EW12" i="41"/>
  <c r="EN12" i="41"/>
  <c r="EF12" i="41"/>
  <c r="DX12" i="41"/>
  <c r="DP12" i="41"/>
  <c r="DG12" i="41"/>
  <c r="CY12" i="41"/>
  <c r="CQ12" i="41"/>
  <c r="CI12" i="41"/>
  <c r="CA12" i="41"/>
  <c r="BR12" i="41"/>
  <c r="BJ12" i="41"/>
  <c r="BB12" i="41"/>
  <c r="AT12" i="41"/>
  <c r="AL12" i="41"/>
  <c r="AK12" i="41"/>
  <c r="AC12" i="41"/>
  <c r="U12" i="41"/>
  <c r="M12" i="41"/>
  <c r="PP11" i="41"/>
  <c r="PH11" i="41"/>
  <c r="OZ11" i="41"/>
  <c r="OR11" i="41"/>
  <c r="OJ11" i="41"/>
  <c r="OA11" i="41"/>
  <c r="NS11" i="41"/>
  <c r="NK11" i="41"/>
  <c r="NC11" i="41"/>
  <c r="MT11" i="41"/>
  <c r="ML11" i="41"/>
  <c r="MD11" i="41"/>
  <c r="LV11" i="41"/>
  <c r="LM11" i="41"/>
  <c r="LE11" i="41"/>
  <c r="KW11" i="41"/>
  <c r="KO11" i="41"/>
  <c r="KG11" i="41"/>
  <c r="JX11" i="41"/>
  <c r="JP11" i="41"/>
  <c r="JH11" i="41"/>
  <c r="IZ11" i="41"/>
  <c r="IQ11" i="41"/>
  <c r="II11" i="41"/>
  <c r="IA11" i="41"/>
  <c r="HS11" i="41"/>
  <c r="HJ11" i="41"/>
  <c r="HB11" i="41"/>
  <c r="GT11" i="41"/>
  <c r="GL11" i="41"/>
  <c r="GD11" i="41"/>
  <c r="FU11" i="41"/>
  <c r="FM11" i="41"/>
  <c r="FE11" i="41"/>
  <c r="EW11" i="41"/>
  <c r="EN11" i="41"/>
  <c r="EF11" i="41"/>
  <c r="DX11" i="41"/>
  <c r="DP11" i="41"/>
  <c r="DG11" i="41"/>
  <c r="CY11" i="41"/>
  <c r="CQ11" i="41"/>
  <c r="CI11" i="41"/>
  <c r="CA11" i="41"/>
  <c r="BR11" i="41"/>
  <c r="BJ11" i="41"/>
  <c r="BB11" i="41"/>
  <c r="AT11" i="41"/>
  <c r="AL11" i="41"/>
  <c r="AK11" i="41"/>
  <c r="AC11" i="41"/>
  <c r="U11" i="41"/>
  <c r="M11" i="41"/>
  <c r="PP10" i="41"/>
  <c r="PH10" i="41"/>
  <c r="OZ10" i="41"/>
  <c r="OR10" i="41"/>
  <c r="OJ10" i="41"/>
  <c r="OA10" i="41"/>
  <c r="NS10" i="41"/>
  <c r="NK10" i="41"/>
  <c r="NC10" i="41"/>
  <c r="MT10" i="41"/>
  <c r="ML10" i="41"/>
  <c r="MD10" i="41"/>
  <c r="LV10" i="41"/>
  <c r="LM10" i="41"/>
  <c r="LE10" i="41"/>
  <c r="KW10" i="41"/>
  <c r="KO10" i="41"/>
  <c r="KG10" i="41"/>
  <c r="JX10" i="41"/>
  <c r="JP10" i="41"/>
  <c r="JH10" i="41"/>
  <c r="IZ10" i="41"/>
  <c r="IQ10" i="41"/>
  <c r="II10" i="41"/>
  <c r="IA10" i="41"/>
  <c r="HS10" i="41"/>
  <c r="HJ10" i="41"/>
  <c r="HB10" i="41"/>
  <c r="GT10" i="41"/>
  <c r="GL10" i="41"/>
  <c r="GD10" i="41"/>
  <c r="FU10" i="41"/>
  <c r="FM10" i="41"/>
  <c r="FE10" i="41"/>
  <c r="EW10" i="41"/>
  <c r="EN10" i="41"/>
  <c r="EF10" i="41"/>
  <c r="DX10" i="41"/>
  <c r="DP10" i="41"/>
  <c r="DG10" i="41"/>
  <c r="CY10" i="41"/>
  <c r="CQ10" i="41"/>
  <c r="CI10" i="41"/>
  <c r="CA10" i="41"/>
  <c r="BR10" i="41"/>
  <c r="BJ10" i="41"/>
  <c r="BB10" i="41"/>
  <c r="AT10" i="41"/>
  <c r="AL10" i="41"/>
  <c r="AK10" i="41"/>
  <c r="AC10" i="41"/>
  <c r="U10" i="41"/>
  <c r="M10" i="41"/>
  <c r="PP9" i="41"/>
  <c r="PH9" i="41"/>
  <c r="OZ9" i="41"/>
  <c r="OR9" i="41"/>
  <c r="OJ9" i="41"/>
  <c r="OA9" i="41"/>
  <c r="NS9" i="41"/>
  <c r="NK9" i="41"/>
  <c r="NC9" i="41"/>
  <c r="MT9" i="41"/>
  <c r="ML9" i="41"/>
  <c r="MD9" i="41"/>
  <c r="LV9" i="41"/>
  <c r="LM9" i="41"/>
  <c r="LE9" i="41"/>
  <c r="KW9" i="41"/>
  <c r="KO9" i="41"/>
  <c r="KG9" i="41"/>
  <c r="JX9" i="41"/>
  <c r="JP9" i="41"/>
  <c r="JH9" i="41"/>
  <c r="IZ9" i="41"/>
  <c r="IQ9" i="41"/>
  <c r="II9" i="41"/>
  <c r="IA9" i="41"/>
  <c r="HS9" i="41"/>
  <c r="HJ9" i="41"/>
  <c r="HB9" i="41"/>
  <c r="GT9" i="41"/>
  <c r="GL9" i="41"/>
  <c r="GD9" i="41"/>
  <c r="FU9" i="41"/>
  <c r="FM9" i="41"/>
  <c r="FE9" i="41"/>
  <c r="EW9" i="41"/>
  <c r="EN9" i="41"/>
  <c r="EF9" i="41"/>
  <c r="DX9" i="41"/>
  <c r="DP9" i="41"/>
  <c r="DG9" i="41"/>
  <c r="CY9" i="41"/>
  <c r="CQ9" i="41"/>
  <c r="CI9" i="41"/>
  <c r="CA9" i="41"/>
  <c r="BR9" i="41"/>
  <c r="BJ9" i="41"/>
  <c r="BB9" i="41"/>
  <c r="AT9" i="41"/>
  <c r="AL9" i="41"/>
  <c r="AK9" i="41"/>
  <c r="AC9" i="41"/>
  <c r="U9" i="41"/>
  <c r="M9" i="41"/>
  <c r="PP8" i="41"/>
  <c r="PH8" i="41"/>
  <c r="OZ8" i="41"/>
  <c r="OR8" i="41"/>
  <c r="OJ8" i="41"/>
  <c r="OA8" i="41"/>
  <c r="NS8" i="41"/>
  <c r="NK8" i="41"/>
  <c r="NC8" i="41"/>
  <c r="MT8" i="41"/>
  <c r="ML8" i="41"/>
  <c r="MD8" i="41"/>
  <c r="LV8" i="41"/>
  <c r="LM8" i="41"/>
  <c r="LE8" i="41"/>
  <c r="KW8" i="41"/>
  <c r="KO8" i="41"/>
  <c r="KG8" i="41"/>
  <c r="JX8" i="41"/>
  <c r="JP8" i="41"/>
  <c r="JH8" i="41"/>
  <c r="IZ8" i="41"/>
  <c r="IQ8" i="41"/>
  <c r="II8" i="41"/>
  <c r="IA8" i="41"/>
  <c r="HS8" i="41"/>
  <c r="HJ8" i="41"/>
  <c r="HB8" i="41"/>
  <c r="GT8" i="41"/>
  <c r="GL8" i="41"/>
  <c r="GD8" i="41"/>
  <c r="FU8" i="41"/>
  <c r="FM8" i="41"/>
  <c r="FE8" i="41"/>
  <c r="EW8" i="41"/>
  <c r="EN8" i="41"/>
  <c r="EF8" i="41"/>
  <c r="DX8" i="41"/>
  <c r="DP8" i="41"/>
  <c r="DG8" i="41"/>
  <c r="CY8" i="41"/>
  <c r="CQ8" i="41"/>
  <c r="CI8" i="41"/>
  <c r="CA8" i="41"/>
  <c r="BR8" i="41"/>
  <c r="BJ8" i="41"/>
  <c r="BB8" i="41"/>
  <c r="AT8" i="41"/>
  <c r="AL8" i="41"/>
  <c r="AK8" i="41"/>
  <c r="AC8" i="41"/>
  <c r="U8" i="41"/>
  <c r="M8" i="41"/>
  <c r="PP7" i="41"/>
  <c r="PH7" i="41"/>
  <c r="OZ7" i="41"/>
  <c r="OR7" i="41"/>
  <c r="OJ7" i="41"/>
  <c r="OA7" i="41"/>
  <c r="NS7" i="41"/>
  <c r="NK7" i="41"/>
  <c r="NC7" i="41"/>
  <c r="MT7" i="41"/>
  <c r="ML7" i="41"/>
  <c r="MD7" i="41"/>
  <c r="LV7" i="41"/>
  <c r="LM7" i="41"/>
  <c r="LE7" i="41"/>
  <c r="KW7" i="41"/>
  <c r="KO7" i="41"/>
  <c r="KG7" i="41"/>
  <c r="JX7" i="41"/>
  <c r="JP7" i="41"/>
  <c r="JH7" i="41"/>
  <c r="IZ7" i="41"/>
  <c r="IQ7" i="41"/>
  <c r="II7" i="41"/>
  <c r="IA7" i="41"/>
  <c r="HS7" i="41"/>
  <c r="HJ7" i="41"/>
  <c r="HB7" i="41"/>
  <c r="GT7" i="41"/>
  <c r="GL7" i="41"/>
  <c r="GD7" i="41"/>
  <c r="FU7" i="41"/>
  <c r="FM7" i="41"/>
  <c r="FE7" i="41"/>
  <c r="EW7" i="41"/>
  <c r="EN7" i="41"/>
  <c r="EF7" i="41"/>
  <c r="DX7" i="41"/>
  <c r="DP7" i="41"/>
  <c r="DG7" i="41"/>
  <c r="CY7" i="41"/>
  <c r="CQ7" i="41"/>
  <c r="CI7" i="41"/>
  <c r="CA7" i="41"/>
  <c r="BR7" i="41"/>
  <c r="BJ7" i="41"/>
  <c r="BB7" i="41"/>
  <c r="AT7" i="41"/>
  <c r="AL7" i="41"/>
  <c r="AK7" i="41"/>
  <c r="AC7" i="41"/>
  <c r="U7" i="41"/>
  <c r="M7" i="41"/>
  <c r="PP6" i="41"/>
  <c r="PH6" i="41"/>
  <c r="OZ6" i="41"/>
  <c r="OR6" i="41"/>
  <c r="OJ6" i="41"/>
  <c r="OA6" i="41"/>
  <c r="NS6" i="41"/>
  <c r="NK6" i="41"/>
  <c r="NC6" i="41"/>
  <c r="MT6" i="41"/>
  <c r="ML6" i="41"/>
  <c r="MD6" i="41"/>
  <c r="LV6" i="41"/>
  <c r="LM6" i="41"/>
  <c r="LE6" i="41"/>
  <c r="KW6" i="41"/>
  <c r="KO6" i="41"/>
  <c r="KG6" i="41"/>
  <c r="JX6" i="41"/>
  <c r="JP6" i="41"/>
  <c r="JH6" i="41"/>
  <c r="IZ6" i="41"/>
  <c r="IQ6" i="41"/>
  <c r="II6" i="41"/>
  <c r="IA6" i="41"/>
  <c r="HS6" i="41"/>
  <c r="HJ6" i="41"/>
  <c r="HB6" i="41"/>
  <c r="GT6" i="41"/>
  <c r="GL6" i="41"/>
  <c r="GD6" i="41"/>
  <c r="FU6" i="41"/>
  <c r="FM6" i="41"/>
  <c r="FE6" i="41"/>
  <c r="EW6" i="41"/>
  <c r="EN6" i="41"/>
  <c r="EF6" i="41"/>
  <c r="DX6" i="41"/>
  <c r="DP6" i="41"/>
  <c r="DG6" i="41"/>
  <c r="CY6" i="41"/>
  <c r="CQ6" i="41"/>
  <c r="CI6" i="41"/>
  <c r="CA6" i="41"/>
  <c r="BR6" i="41"/>
  <c r="BJ6" i="41"/>
  <c r="BB6" i="41"/>
  <c r="AT6" i="41"/>
  <c r="AL6" i="41"/>
  <c r="AK6" i="41"/>
  <c r="AC6" i="41"/>
  <c r="U6" i="41"/>
  <c r="M6" i="41"/>
  <c r="PP5" i="41"/>
  <c r="PH5" i="41"/>
  <c r="OZ5" i="41"/>
  <c r="OR5" i="41"/>
  <c r="OJ5" i="41"/>
  <c r="OA5" i="41"/>
  <c r="NS5" i="41"/>
  <c r="NK5" i="41"/>
  <c r="NC5" i="41"/>
  <c r="MT5" i="41"/>
  <c r="ML5" i="41"/>
  <c r="MD5" i="41"/>
  <c r="LV5" i="41"/>
  <c r="LM5" i="41"/>
  <c r="LE5" i="41"/>
  <c r="KW5" i="41"/>
  <c r="KO5" i="41"/>
  <c r="KG5" i="41"/>
  <c r="JX5" i="41"/>
  <c r="JP5" i="41"/>
  <c r="JH5" i="41"/>
  <c r="IZ5" i="41"/>
  <c r="IQ5" i="41"/>
  <c r="II5" i="41"/>
  <c r="IA5" i="41"/>
  <c r="HS5" i="41"/>
  <c r="HJ5" i="41"/>
  <c r="HB5" i="41"/>
  <c r="GT5" i="41"/>
  <c r="GL5" i="41"/>
  <c r="GD5" i="41"/>
  <c r="FU5" i="41"/>
  <c r="FM5" i="41"/>
  <c r="FE5" i="41"/>
  <c r="EW5" i="41"/>
  <c r="EN5" i="41"/>
  <c r="EF5" i="41"/>
  <c r="DX5" i="41"/>
  <c r="DP5" i="41"/>
  <c r="DG5" i="41"/>
  <c r="CY5" i="41"/>
  <c r="CQ5" i="41"/>
  <c r="CI5" i="41"/>
  <c r="CA5" i="41"/>
  <c r="BR5" i="41"/>
  <c r="BJ5" i="41"/>
  <c r="BB5" i="41"/>
  <c r="AT5" i="41"/>
  <c r="AL5" i="41"/>
  <c r="AK5" i="41"/>
  <c r="AC5" i="41"/>
  <c r="U5" i="41"/>
  <c r="M5" i="41"/>
  <c r="PP4" i="41"/>
  <c r="PH4" i="41"/>
  <c r="OZ4" i="41"/>
  <c r="OR4" i="41"/>
  <c r="OJ4" i="41"/>
  <c r="OA4" i="41"/>
  <c r="NS4" i="41"/>
  <c r="NK4" i="41"/>
  <c r="NC4" i="41"/>
  <c r="MT4" i="41"/>
  <c r="ML4" i="41"/>
  <c r="MD4" i="41"/>
  <c r="LV4" i="41"/>
  <c r="LM4" i="41"/>
  <c r="LE4" i="41"/>
  <c r="KW4" i="41"/>
  <c r="KO4" i="41"/>
  <c r="KG4" i="41"/>
  <c r="JX4" i="41"/>
  <c r="JP4" i="41"/>
  <c r="JH4" i="41"/>
  <c r="IZ4" i="41"/>
  <c r="IQ4" i="41"/>
  <c r="II4" i="41"/>
  <c r="IA4" i="41"/>
  <c r="HS4" i="41"/>
  <c r="HJ4" i="41"/>
  <c r="HB4" i="41"/>
  <c r="GT4" i="41"/>
  <c r="GL4" i="41"/>
  <c r="GD4" i="41"/>
  <c r="FU4" i="41"/>
  <c r="FM4" i="41"/>
  <c r="FE4" i="41"/>
  <c r="EW4" i="41"/>
  <c r="EN4" i="41"/>
  <c r="EF4" i="41"/>
  <c r="DX4" i="41"/>
  <c r="DP4" i="41"/>
  <c r="DG4" i="41"/>
  <c r="CY4" i="41"/>
  <c r="CQ4" i="41"/>
  <c r="CI4" i="41"/>
  <c r="CA4" i="41"/>
  <c r="BR4" i="41"/>
  <c r="BJ4" i="41"/>
  <c r="BB4" i="41"/>
  <c r="AT4" i="41"/>
  <c r="AL4" i="41"/>
  <c r="AK4" i="41"/>
  <c r="AC4" i="41"/>
  <c r="U4" i="41"/>
  <c r="M4" i="41"/>
  <c r="PP3" i="41"/>
  <c r="PH3" i="41"/>
  <c r="OZ3" i="41"/>
  <c r="OR3" i="41"/>
  <c r="OJ3" i="41"/>
  <c r="OA3" i="41"/>
  <c r="NS3" i="41"/>
  <c r="NK3" i="41"/>
  <c r="NC3" i="41"/>
  <c r="MT3" i="41"/>
  <c r="ML3" i="41"/>
  <c r="MD3" i="41"/>
  <c r="LV3" i="41"/>
  <c r="LM3" i="41"/>
  <c r="LE3" i="41"/>
  <c r="KW3" i="41"/>
  <c r="KO3" i="41"/>
  <c r="KG3" i="41"/>
  <c r="JX3" i="41"/>
  <c r="JP3" i="41"/>
  <c r="JH3" i="41"/>
  <c r="IZ3" i="41"/>
  <c r="IQ3" i="41"/>
  <c r="II3" i="41"/>
  <c r="IA3" i="41"/>
  <c r="HS3" i="41"/>
  <c r="HJ3" i="41"/>
  <c r="HB3" i="41"/>
  <c r="GT3" i="41"/>
  <c r="GL3" i="41"/>
  <c r="GD3" i="41"/>
  <c r="FU3" i="41"/>
  <c r="FM3" i="41"/>
  <c r="FE3" i="41"/>
  <c r="EW3" i="41"/>
  <c r="EN3" i="41"/>
  <c r="EF3" i="41"/>
  <c r="DX3" i="41"/>
  <c r="DP3" i="41"/>
  <c r="DG3" i="41"/>
  <c r="CY3" i="41"/>
  <c r="CQ3" i="41"/>
  <c r="CI3" i="41"/>
  <c r="CA3" i="41"/>
  <c r="BR3" i="41"/>
  <c r="BJ3" i="41"/>
  <c r="BB3" i="41"/>
  <c r="AT3" i="41"/>
  <c r="AL3" i="41"/>
  <c r="AL82" i="41" s="1"/>
  <c r="AK3" i="41"/>
  <c r="AC3" i="41"/>
  <c r="U3" i="41"/>
  <c r="M3" i="41"/>
  <c r="EU2" i="41"/>
  <c r="EV2" i="41" s="1"/>
  <c r="EX2" i="41" s="1"/>
  <c r="EY2" i="41" s="1"/>
  <c r="EZ2" i="41" s="1"/>
  <c r="FA2" i="41" s="1"/>
  <c r="FB2" i="41" s="1"/>
  <c r="FC2" i="41" s="1"/>
  <c r="FD2" i="41" s="1"/>
  <c r="FF2" i="41" s="1"/>
  <c r="FG2" i="41" s="1"/>
  <c r="FH2" i="41" s="1"/>
  <c r="FI2" i="41" s="1"/>
  <c r="FJ2" i="41" s="1"/>
  <c r="FK2" i="41" s="1"/>
  <c r="FL2" i="41" s="1"/>
  <c r="FN2" i="41" s="1"/>
  <c r="FO2" i="41" s="1"/>
  <c r="FP2" i="41" s="1"/>
  <c r="FQ2" i="41" s="1"/>
  <c r="FR2" i="41" s="1"/>
  <c r="FS2" i="41" s="1"/>
  <c r="FT2" i="41" s="1"/>
  <c r="FW2" i="41" s="1"/>
  <c r="FX2" i="41" s="1"/>
  <c r="FY2" i="41" s="1"/>
  <c r="FZ2" i="41" s="1"/>
  <c r="GA2" i="41" s="1"/>
  <c r="GB2" i="41" s="1"/>
  <c r="GC2" i="41" s="1"/>
  <c r="GE2" i="41" s="1"/>
  <c r="GF2" i="41" s="1"/>
  <c r="GG2" i="41" s="1"/>
  <c r="GH2" i="41" s="1"/>
  <c r="GI2" i="41" s="1"/>
  <c r="GJ2" i="41" s="1"/>
  <c r="GK2" i="41" s="1"/>
  <c r="GM2" i="41" s="1"/>
  <c r="GN2" i="41" s="1"/>
  <c r="GO2" i="41" s="1"/>
  <c r="GP2" i="41" s="1"/>
  <c r="GQ2" i="41" s="1"/>
  <c r="GR2" i="41" s="1"/>
  <c r="GS2" i="41" s="1"/>
  <c r="GU2" i="41" s="1"/>
  <c r="GV2" i="41" s="1"/>
  <c r="GW2" i="41" s="1"/>
  <c r="GX2" i="41" s="1"/>
  <c r="GY2" i="41" s="1"/>
  <c r="GZ2" i="41" s="1"/>
  <c r="HA2" i="41" s="1"/>
  <c r="HC2" i="41" s="1"/>
  <c r="HD2" i="41" s="1"/>
  <c r="HE2" i="41" s="1"/>
  <c r="HF2" i="41" s="1"/>
  <c r="HG2" i="41" s="1"/>
  <c r="HH2" i="41" s="1"/>
  <c r="HI2" i="41" s="1"/>
  <c r="HL2" i="41" s="1"/>
  <c r="HM2" i="41" s="1"/>
  <c r="HN2" i="41" s="1"/>
  <c r="HO2" i="41" s="1"/>
  <c r="HP2" i="41" s="1"/>
  <c r="HQ2" i="41" s="1"/>
  <c r="HR2" i="41" s="1"/>
  <c r="HT2" i="41" s="1"/>
  <c r="HU2" i="41" s="1"/>
  <c r="HV2" i="41" s="1"/>
  <c r="HW2" i="41" s="1"/>
  <c r="HX2" i="41" s="1"/>
  <c r="HY2" i="41" s="1"/>
  <c r="HZ2" i="41" s="1"/>
  <c r="IB2" i="41" s="1"/>
  <c r="IC2" i="41" s="1"/>
  <c r="ID2" i="41" s="1"/>
  <c r="IE2" i="41" s="1"/>
  <c r="IF2" i="41" s="1"/>
  <c r="IG2" i="41" s="1"/>
  <c r="IH2" i="41" s="1"/>
  <c r="IJ2" i="41" s="1"/>
  <c r="IK2" i="41" s="1"/>
  <c r="IL2" i="41" s="1"/>
  <c r="IM2" i="41" s="1"/>
  <c r="IN2" i="41" s="1"/>
  <c r="IO2" i="41" s="1"/>
  <c r="IP2" i="41" s="1"/>
  <c r="IS2" i="41" s="1"/>
  <c r="IT2" i="41" s="1"/>
  <c r="IU2" i="41" s="1"/>
  <c r="IV2" i="41" s="1"/>
  <c r="IW2" i="41" s="1"/>
  <c r="IX2" i="41" s="1"/>
  <c r="IY2" i="41" s="1"/>
  <c r="JA2" i="41" s="1"/>
  <c r="JB2" i="41" s="1"/>
  <c r="JC2" i="41" s="1"/>
  <c r="JD2" i="41" s="1"/>
  <c r="JE2" i="41" s="1"/>
  <c r="JF2" i="41" s="1"/>
  <c r="JG2" i="41" s="1"/>
  <c r="JI2" i="41" s="1"/>
  <c r="JJ2" i="41" s="1"/>
  <c r="JK2" i="41" s="1"/>
  <c r="JL2" i="41" s="1"/>
  <c r="JM2" i="41" s="1"/>
  <c r="JN2" i="41" s="1"/>
  <c r="JO2" i="41" s="1"/>
  <c r="JQ2" i="41" s="1"/>
  <c r="JR2" i="41" s="1"/>
  <c r="JS2" i="41" s="1"/>
  <c r="JT2" i="41" s="1"/>
  <c r="JU2" i="41" s="1"/>
  <c r="JV2" i="41" s="1"/>
  <c r="JW2" i="41" s="1"/>
  <c r="JZ2" i="41" s="1"/>
  <c r="KA2" i="41" s="1"/>
  <c r="KB2" i="41" s="1"/>
  <c r="KC2" i="41" s="1"/>
  <c r="KD2" i="41" s="1"/>
  <c r="KE2" i="41" s="1"/>
  <c r="KF2" i="41" s="1"/>
  <c r="KH2" i="41" s="1"/>
  <c r="KI2" i="41" s="1"/>
  <c r="KJ2" i="41" s="1"/>
  <c r="KK2" i="41" s="1"/>
  <c r="KL2" i="41" s="1"/>
  <c r="KM2" i="41" s="1"/>
  <c r="KN2" i="41" s="1"/>
  <c r="KU2" i="41" s="1"/>
  <c r="KV2" i="41" s="1"/>
  <c r="KX2" i="41" s="1"/>
  <c r="KY2" i="41" s="1"/>
  <c r="KZ2" i="41" s="1"/>
  <c r="LA2" i="41" s="1"/>
  <c r="LB2" i="41" s="1"/>
  <c r="LC2" i="41" s="1"/>
  <c r="LD2" i="41" s="1"/>
  <c r="LF2" i="41" s="1"/>
  <c r="LG2" i="41" s="1"/>
  <c r="LH2" i="41" s="1"/>
  <c r="LI2" i="41" s="1"/>
  <c r="LJ2" i="41" s="1"/>
  <c r="LK2" i="41" s="1"/>
  <c r="LL2" i="41" s="1"/>
  <c r="LO2" i="41" s="1"/>
  <c r="LP2" i="41" s="1"/>
  <c r="LQ2" i="41" s="1"/>
  <c r="LR2" i="41" s="1"/>
  <c r="LS2" i="41" s="1"/>
  <c r="LT2" i="41" s="1"/>
  <c r="LU2" i="41" s="1"/>
  <c r="LX2" i="41" s="1"/>
  <c r="LY2" i="41" s="1"/>
  <c r="LZ2" i="41" s="1"/>
  <c r="MA2" i="41" s="1"/>
  <c r="MB2" i="41" s="1"/>
  <c r="MC2" i="41" s="1"/>
  <c r="ME2" i="41" s="1"/>
  <c r="MF2" i="41" s="1"/>
  <c r="MG2" i="41" s="1"/>
  <c r="CO2" i="41"/>
  <c r="K2" i="41"/>
  <c r="L2" i="41" s="1"/>
  <c r="MH2" i="41" l="1"/>
  <c r="MI2" i="41" s="1"/>
  <c r="MJ2" i="41" s="1"/>
  <c r="MK2" i="41" s="1"/>
  <c r="MM2" i="41" s="1"/>
  <c r="MN2" i="41" s="1"/>
  <c r="MO2" i="41" s="1"/>
  <c r="MP2" i="41" s="1"/>
  <c r="MQ2" i="41" s="1"/>
  <c r="MR2" i="41" s="1"/>
  <c r="MS2" i="41" s="1"/>
  <c r="MV2" i="41" s="1"/>
  <c r="MW2" i="41" s="1"/>
  <c r="MX2" i="41" s="1"/>
  <c r="MY2" i="41" s="1"/>
  <c r="MZ2" i="41" s="1"/>
  <c r="NA2" i="41" s="1"/>
  <c r="NB2" i="41" s="1"/>
  <c r="ND2" i="41" s="1"/>
  <c r="NE2" i="41" s="1"/>
  <c r="NF2" i="41" s="1"/>
  <c r="NG2" i="41" s="1"/>
  <c r="NH2" i="41" s="1"/>
  <c r="NI2" i="41" s="1"/>
  <c r="NJ2" i="41" s="1"/>
  <c r="NL2" i="41" s="1"/>
  <c r="NM2" i="41" s="1"/>
  <c r="NN2" i="41" s="1"/>
  <c r="NO2" i="41" s="1"/>
  <c r="NP2" i="41" s="1"/>
  <c r="NQ2" i="41" s="1"/>
  <c r="NR2" i="41" s="1"/>
  <c r="NT2" i="41" s="1"/>
  <c r="NU2" i="41" s="1"/>
  <c r="NV2" i="41" s="1"/>
  <c r="NW2" i="41" s="1"/>
  <c r="NX2" i="41" s="1"/>
  <c r="NY2" i="41" s="1"/>
  <c r="NZ2" i="41" s="1"/>
  <c r="OC2" i="41" s="1"/>
  <c r="OD2" i="41" s="1"/>
  <c r="OE2" i="41" s="1"/>
  <c r="OF2" i="41" s="1"/>
  <c r="OG2" i="41" s="1"/>
  <c r="OH2" i="41" s="1"/>
  <c r="OI2" i="41" s="1"/>
  <c r="OK2" i="41" s="1"/>
  <c r="OL2" i="41" s="1"/>
  <c r="OM2" i="41" s="1"/>
  <c r="ON2" i="41" s="1"/>
  <c r="OO2" i="41" s="1"/>
  <c r="OP2" i="41" s="1"/>
  <c r="OQ2" i="41" s="1"/>
  <c r="OS2" i="41" s="1"/>
  <c r="OT2" i="41" s="1"/>
  <c r="OU2" i="41" s="1"/>
  <c r="OV2" i="41" s="1"/>
  <c r="OW2" i="41" s="1"/>
  <c r="OX2" i="41" s="1"/>
  <c r="OY2" i="41" s="1"/>
  <c r="PA2" i="41" s="1"/>
  <c r="PB2" i="41" s="1"/>
  <c r="PC2" i="41" s="1"/>
  <c r="PD2" i="41" s="1"/>
  <c r="PE2" i="41" s="1"/>
  <c r="PF2" i="41" s="1"/>
  <c r="PG2" i="41" s="1"/>
  <c r="PI2" i="41" s="1"/>
  <c r="PJ2" i="41" s="1"/>
  <c r="PK2" i="41" s="1"/>
  <c r="PL2" i="41" s="1"/>
  <c r="PM2" i="41" s="1"/>
  <c r="PN2" i="41" s="1"/>
  <c r="PO2" i="41" s="1"/>
  <c r="PW2" i="41" s="1"/>
  <c r="PX2" i="41" s="1"/>
  <c r="PZ2" i="41" s="1"/>
  <c r="QA2" i="41" s="1"/>
  <c r="QB2" i="41" s="1"/>
  <c r="QC2" i="41" s="1"/>
  <c r="QD2" i="41" s="1"/>
  <c r="QE2" i="41" s="1"/>
  <c r="QF2" i="41" s="1"/>
  <c r="QH2" i="41" s="1"/>
  <c r="QI2" i="41" s="1"/>
  <c r="QJ2" i="41" s="1"/>
  <c r="QK2" i="41" s="1"/>
  <c r="QL2" i="41" s="1"/>
  <c r="QM2" i="41" s="1"/>
  <c r="QN2" i="41" s="1"/>
  <c r="QP2" i="41" s="1"/>
  <c r="QQ2" i="41" s="1"/>
  <c r="QR2" i="41" s="1"/>
  <c r="QS2" i="41" s="1"/>
  <c r="QT2" i="41" s="1"/>
  <c r="QU2" i="41" s="1"/>
  <c r="QV2" i="41" s="1"/>
  <c r="QY2" i="41" s="1"/>
  <c r="QZ2" i="41" s="1"/>
  <c r="RA2" i="41" s="1"/>
  <c r="RB2" i="41" s="1"/>
  <c r="RC2" i="41" s="1"/>
  <c r="RD2" i="41" s="1"/>
  <c r="RE2" i="41" s="1"/>
  <c r="RG2" i="41" s="1"/>
  <c r="RH2" i="41" s="1"/>
  <c r="RI2" i="41" s="1"/>
  <c r="RJ2" i="41" s="1"/>
  <c r="RK2" i="41" s="1"/>
  <c r="RL2" i="41" s="1"/>
  <c r="RM2" i="41" s="1"/>
  <c r="RO2" i="41" s="1"/>
  <c r="RP2" i="41" s="1"/>
  <c r="RQ2" i="41" s="1"/>
  <c r="RR2" i="41" s="1"/>
  <c r="RS2" i="41" s="1"/>
  <c r="RT2" i="41" s="1"/>
  <c r="RU2" i="41" s="1"/>
  <c r="RW2" i="41" s="1"/>
  <c r="RX2" i="41" s="1"/>
  <c r="RY2" i="41" s="1"/>
  <c r="RZ2" i="41" s="1"/>
  <c r="SA2" i="41" s="1"/>
  <c r="SB2" i="41" s="1"/>
  <c r="SC2" i="41" s="1"/>
  <c r="SF2" i="41" s="1"/>
  <c r="SG2" i="41" s="1"/>
  <c r="SH2" i="41" s="1"/>
  <c r="SI2" i="41" s="1"/>
  <c r="SJ2" i="41" s="1"/>
  <c r="SK2" i="41" s="1"/>
  <c r="SL2" i="41" s="1"/>
  <c r="SN2" i="41" s="1"/>
  <c r="SO2" i="41" s="1"/>
  <c r="SP2" i="41" s="1"/>
  <c r="SQ2" i="41" s="1"/>
  <c r="SR2" i="41" s="1"/>
  <c r="SS2" i="41" s="1"/>
  <c r="ST2" i="41" s="1"/>
  <c r="SV2" i="41" s="1"/>
  <c r="SW2" i="41" s="1"/>
  <c r="SX2" i="41" s="1"/>
  <c r="SY2" i="41" s="1"/>
  <c r="SZ2" i="41" s="1"/>
  <c r="TA2" i="41" s="1"/>
  <c r="TB2" i="41" s="1"/>
  <c r="TD2" i="41" s="1"/>
  <c r="TE2" i="41" s="1"/>
  <c r="TF2" i="41" s="1"/>
  <c r="TG2" i="41" s="1"/>
  <c r="TH2" i="41" s="1"/>
  <c r="TI2" i="41" s="1"/>
  <c r="TJ2" i="41" s="1"/>
  <c r="TL2" i="41" s="1"/>
  <c r="TM2" i="41" s="1"/>
  <c r="TN2" i="41" s="1"/>
  <c r="TO2" i="41" s="1"/>
  <c r="TP2" i="41" s="1"/>
  <c r="TQ2" i="41" s="1"/>
  <c r="TR2" i="41" s="1"/>
  <c r="TV2" i="41" s="1"/>
  <c r="TW2" i="41" s="1"/>
  <c r="TX2" i="41" s="1"/>
  <c r="TY2" i="41" s="1"/>
  <c r="TZ2" i="41" s="1"/>
  <c r="UA2" i="41" s="1"/>
  <c r="UC2" i="41" s="1"/>
  <c r="UD2" i="41" s="1"/>
  <c r="UE2" i="41" s="1"/>
  <c r="UF2" i="41" s="1"/>
  <c r="UG2" i="41" s="1"/>
  <c r="UH2" i="41" s="1"/>
  <c r="UI2" i="41" s="1"/>
  <c r="UK2" i="41" s="1"/>
  <c r="UL2" i="41" s="1"/>
  <c r="UM2" i="41" s="1"/>
  <c r="UN2" i="41" s="1"/>
  <c r="UO2" i="41" s="1"/>
  <c r="UP2" i="41" s="1"/>
  <c r="UQ2" i="41" s="1"/>
  <c r="US2" i="41" s="1"/>
  <c r="UT2" i="41" s="1"/>
  <c r="UU2" i="41" s="1"/>
  <c r="UV2" i="41" s="1"/>
  <c r="UW2" i="41" s="1"/>
  <c r="UX2" i="41" s="1"/>
  <c r="UY2" i="41" s="1"/>
  <c r="VB2" i="41" s="1"/>
  <c r="VC2" i="41" s="1"/>
  <c r="VD2" i="41" s="1"/>
  <c r="VE2" i="41" s="1"/>
  <c r="VF2" i="41" s="1"/>
  <c r="VG2" i="41" s="1"/>
  <c r="VH2" i="41" s="1"/>
  <c r="VJ2" i="41" s="1"/>
  <c r="VK2" i="41" s="1"/>
  <c r="VL2" i="41" s="1"/>
  <c r="VM2" i="41" s="1"/>
  <c r="VN2" i="41" s="1"/>
  <c r="VO2" i="41" s="1"/>
  <c r="VP2" i="41" s="1"/>
  <c r="VR2" i="41" s="1"/>
  <c r="VS2" i="41" s="1"/>
  <c r="VT2" i="41" s="1"/>
  <c r="VU2" i="41" s="1"/>
  <c r="VV2" i="41" s="1"/>
  <c r="VW2" i="41" s="1"/>
  <c r="VX2" i="41" s="1"/>
  <c r="VZ2" i="41" s="1"/>
  <c r="WA2" i="41" s="1"/>
  <c r="WB2" i="41" s="1"/>
  <c r="WC2" i="41" s="1"/>
  <c r="WD2" i="41" s="1"/>
  <c r="WE2" i="41" s="1"/>
  <c r="WF2" i="41" s="1"/>
  <c r="WI2" i="41" s="1"/>
  <c r="WJ2" i="41" s="1"/>
  <c r="WK2" i="41" s="1"/>
  <c r="WL2" i="41" s="1"/>
  <c r="WM2" i="41" s="1"/>
  <c r="WN2" i="41" s="1"/>
  <c r="WO2" i="41" s="1"/>
  <c r="WQ2" i="41" s="1"/>
  <c r="WR2" i="41" s="1"/>
  <c r="WS2" i="41" s="1"/>
  <c r="WT2" i="41" s="1"/>
  <c r="WU2" i="41" s="1"/>
  <c r="WV2" i="41" s="1"/>
  <c r="WW2" i="41" s="1"/>
  <c r="WY2" i="41" s="1"/>
  <c r="WZ2" i="41" s="1"/>
  <c r="XA2" i="41" s="1"/>
  <c r="XB2" i="41" s="1"/>
  <c r="XC2" i="41" s="1"/>
  <c r="XD2" i="41" s="1"/>
  <c r="XE2" i="41" s="1"/>
  <c r="XG2" i="41" s="1"/>
  <c r="XH2" i="41" s="1"/>
  <c r="XI2" i="41" s="1"/>
  <c r="XJ2" i="41" s="1"/>
  <c r="XK2" i="41" s="1"/>
  <c r="XL2" i="41" s="1"/>
  <c r="XM2" i="41" s="1"/>
  <c r="XO2" i="41" s="1"/>
  <c r="XP2" i="41" s="1"/>
  <c r="XQ2" i="41" s="1"/>
  <c r="XR2" i="41" s="1"/>
  <c r="XS2" i="41" s="1"/>
  <c r="XT2" i="41" s="1"/>
  <c r="XU2" i="41" s="1"/>
  <c r="XX2" i="41" s="1"/>
  <c r="XY2" i="41" s="1"/>
  <c r="XZ2" i="41" s="1"/>
  <c r="YA2" i="41" s="1"/>
  <c r="YB2" i="41" s="1"/>
  <c r="YC2" i="41" s="1"/>
  <c r="YD2" i="41" s="1"/>
  <c r="YF2" i="41" s="1"/>
  <c r="YG2" i="41" s="1"/>
  <c r="YH2" i="41" s="1"/>
  <c r="YI2" i="41" s="1"/>
  <c r="YJ2" i="41" s="1"/>
  <c r="YK2" i="41" s="1"/>
  <c r="YL2" i="41" s="1"/>
  <c r="YN2" i="41" s="1"/>
  <c r="YO2" i="41" s="1"/>
  <c r="YP2" i="41" s="1"/>
  <c r="YQ2" i="41" s="1"/>
  <c r="YR2" i="41" s="1"/>
  <c r="YS2" i="41" s="1"/>
  <c r="YT2" i="41" s="1"/>
  <c r="YV2" i="41" s="1"/>
  <c r="YW2" i="41" s="1"/>
  <c r="YX2" i="41" s="1"/>
  <c r="YY2" i="41" s="1"/>
  <c r="YZ2" i="41" s="1"/>
  <c r="ZA2" i="41" s="1"/>
  <c r="ZB2" i="41" s="1"/>
  <c r="ZE2" i="41" s="1"/>
  <c r="ZF2" i="41" s="1"/>
  <c r="ZG2" i="41" s="1"/>
  <c r="ZH2" i="41" s="1"/>
  <c r="ZI2" i="41" s="1"/>
  <c r="ZJ2" i="41" s="1"/>
  <c r="ZK2" i="41" s="1"/>
  <c r="ZM2" i="41" s="1"/>
  <c r="ZN2" i="41" s="1"/>
  <c r="ZO2" i="41" s="1"/>
  <c r="ZP2" i="41" s="1"/>
  <c r="ZQ2" i="41" s="1"/>
  <c r="ZR2" i="41" s="1"/>
  <c r="ZS2" i="41" s="1"/>
  <c r="ZU2" i="41" s="1"/>
  <c r="ZV2" i="41" s="1"/>
  <c r="ZW2" i="41" s="1"/>
  <c r="ZX2" i="41" s="1"/>
  <c r="ZY2" i="41" s="1"/>
  <c r="ZZ2" i="41" s="1"/>
  <c r="AAA2" i="41" s="1"/>
  <c r="AAC2" i="41" s="1"/>
  <c r="AAD2" i="41" s="1"/>
  <c r="AAE2" i="41" s="1"/>
  <c r="AAF2" i="41" s="1"/>
  <c r="AAG2" i="41" s="1"/>
  <c r="AAH2" i="41" s="1"/>
  <c r="AAI2" i="41" s="1"/>
  <c r="AAK2" i="41" s="1"/>
  <c r="AAL2" i="41" s="1"/>
  <c r="AAM2" i="41" s="1"/>
  <c r="AAN2" i="41" s="1"/>
  <c r="AAO2" i="41" s="1"/>
  <c r="AAP2" i="41" s="1"/>
  <c r="AAQ2" i="41" s="1"/>
  <c r="NS82" i="41"/>
  <c r="JY48" i="41"/>
  <c r="JY12" i="41"/>
  <c r="JY30" i="41"/>
  <c r="LE82" i="41"/>
  <c r="JX82" i="41"/>
  <c r="OZ82" i="41"/>
  <c r="JP82" i="41"/>
  <c r="LV82" i="41"/>
  <c r="OA82" i="41"/>
  <c r="LM82" i="41"/>
  <c r="MD82" i="41"/>
  <c r="KO82" i="41"/>
  <c r="ML82" i="41"/>
  <c r="OJ82" i="41"/>
  <c r="OR82" i="41"/>
  <c r="KG82" i="41"/>
  <c r="MT82" i="41"/>
  <c r="PH82" i="41"/>
  <c r="PP82" i="41"/>
  <c r="NC82" i="41"/>
  <c r="KW82" i="41"/>
  <c r="NK82" i="41"/>
  <c r="JY37" i="41"/>
  <c r="JY76" i="41"/>
  <c r="JY50" i="41"/>
  <c r="JY27" i="41"/>
  <c r="JY46" i="41"/>
  <c r="JY43" i="41"/>
  <c r="JY11" i="41"/>
  <c r="JY10" i="41"/>
  <c r="JY6" i="41"/>
  <c r="JY111" i="41"/>
  <c r="JY21" i="41"/>
  <c r="JY40" i="41"/>
  <c r="JY20" i="41"/>
  <c r="JY39" i="41"/>
  <c r="JY79" i="41"/>
  <c r="JY52" i="41"/>
  <c r="JY25" i="41"/>
  <c r="JY45" i="41"/>
  <c r="JY29" i="41"/>
  <c r="JY28" i="41"/>
  <c r="JY17" i="41"/>
  <c r="JY35" i="41"/>
  <c r="JY70" i="41"/>
  <c r="JY114" i="41"/>
  <c r="JY49" i="41"/>
  <c r="JY8" i="41"/>
  <c r="JY26" i="41"/>
  <c r="JY44" i="41"/>
  <c r="JY22" i="41"/>
  <c r="JY19" i="41"/>
  <c r="JY36" i="41"/>
  <c r="JY34" i="41"/>
  <c r="JY33" i="41"/>
  <c r="JY64" i="41"/>
  <c r="JY7" i="41"/>
  <c r="JY42" i="41"/>
  <c r="JY67" i="41"/>
  <c r="JY14" i="41"/>
  <c r="JY47" i="41"/>
  <c r="JY24" i="41"/>
  <c r="JY5" i="41"/>
  <c r="JY23" i="41"/>
  <c r="JY112" i="41"/>
  <c r="JY4" i="41"/>
  <c r="JY41" i="41"/>
  <c r="JY18" i="41"/>
  <c r="JY73" i="41"/>
  <c r="JY16" i="41"/>
  <c r="JY15" i="41"/>
  <c r="JY32" i="41"/>
  <c r="JY61" i="41"/>
  <c r="JY13" i="41"/>
  <c r="JY31" i="41"/>
  <c r="JY58" i="41"/>
  <c r="JY51" i="41"/>
  <c r="JY9" i="41"/>
  <c r="JY55" i="41"/>
  <c r="LN156" i="41"/>
  <c r="MU50" i="41"/>
  <c r="LN50" i="41"/>
  <c r="IR50" i="41"/>
  <c r="MU142" i="41"/>
  <c r="DH51" i="41"/>
  <c r="FV5" i="41"/>
  <c r="FV29" i="41"/>
  <c r="BS51" i="41"/>
  <c r="BS5" i="41"/>
  <c r="BS3" i="41"/>
  <c r="OB8" i="41"/>
  <c r="BS19" i="41"/>
  <c r="MU28" i="41"/>
  <c r="BS73" i="41"/>
  <c r="MU136" i="41"/>
  <c r="FV28" i="41"/>
  <c r="BS32" i="41"/>
  <c r="LN51" i="41"/>
  <c r="DH114" i="41"/>
  <c r="IR174" i="41"/>
  <c r="IR183" i="41"/>
  <c r="PQ47" i="41"/>
  <c r="IR48" i="41"/>
  <c r="HK51" i="41"/>
  <c r="BS45" i="41"/>
  <c r="BS9" i="41"/>
  <c r="BS20" i="41"/>
  <c r="BS33" i="41"/>
  <c r="EO50" i="41"/>
  <c r="EO51" i="41"/>
  <c r="IR51" i="41"/>
  <c r="OB51" i="41"/>
  <c r="MU138" i="41"/>
  <c r="HK50" i="41"/>
  <c r="IR4" i="41"/>
  <c r="EO24" i="41"/>
  <c r="MU140" i="41"/>
  <c r="FV50" i="41"/>
  <c r="PQ33" i="41"/>
  <c r="LN44" i="41"/>
  <c r="FV46" i="41"/>
  <c r="LN99" i="41"/>
  <c r="PQ48" i="41"/>
  <c r="MU51" i="41"/>
  <c r="PQ51" i="41"/>
  <c r="PQ50" i="41"/>
  <c r="MU180" i="41"/>
  <c r="FV51" i="41"/>
  <c r="DH50" i="41"/>
  <c r="OB50" i="41"/>
  <c r="BS43" i="41"/>
  <c r="MU44" i="41"/>
  <c r="EO55" i="41"/>
  <c r="EO93" i="41"/>
  <c r="HK93" i="41"/>
  <c r="MU128" i="41"/>
  <c r="BS50" i="41"/>
  <c r="EO30" i="41"/>
  <c r="FV8" i="41"/>
  <c r="BS12" i="41"/>
  <c r="FV22" i="41"/>
  <c r="FV49" i="41"/>
  <c r="PQ85" i="41"/>
  <c r="HK106" i="41"/>
  <c r="DH108" i="41"/>
  <c r="FV114" i="41"/>
  <c r="FV117" i="41"/>
  <c r="MU124" i="41"/>
  <c r="PQ130" i="41"/>
  <c r="MU132" i="41"/>
  <c r="MU126" i="41"/>
  <c r="PQ134" i="41"/>
  <c r="EO136" i="41"/>
  <c r="MU137" i="41"/>
  <c r="PQ137" i="41"/>
  <c r="EO139" i="41"/>
  <c r="OB47" i="41"/>
  <c r="EO125" i="41"/>
  <c r="EO133" i="41"/>
  <c r="BS170" i="41"/>
  <c r="FV30" i="41"/>
  <c r="OB43" i="41"/>
  <c r="FV45" i="41"/>
  <c r="JY173" i="41"/>
  <c r="IR25" i="41"/>
  <c r="MU23" i="41"/>
  <c r="PQ23" i="41"/>
  <c r="LN24" i="41"/>
  <c r="EO25" i="41"/>
  <c r="HK25" i="41"/>
  <c r="DH26" i="41"/>
  <c r="EO46" i="41"/>
  <c r="LN97" i="41"/>
  <c r="MU125" i="41"/>
  <c r="OB154" i="41"/>
  <c r="BS164" i="41"/>
  <c r="JY170" i="41"/>
  <c r="BS172" i="41"/>
  <c r="BS23" i="41"/>
  <c r="BS16" i="41"/>
  <c r="FV12" i="41"/>
  <c r="HK91" i="41"/>
  <c r="OB167" i="41"/>
  <c r="BS169" i="41"/>
  <c r="MU170" i="41"/>
  <c r="BS10" i="41"/>
  <c r="BS18" i="41"/>
  <c r="FV20" i="41"/>
  <c r="BS36" i="41"/>
  <c r="DH87" i="41"/>
  <c r="MU141" i="41"/>
  <c r="EO143" i="41"/>
  <c r="BS150" i="41"/>
  <c r="BS174" i="41"/>
  <c r="EO126" i="41"/>
  <c r="EO129" i="41"/>
  <c r="FV150" i="41"/>
  <c r="BS156" i="41"/>
  <c r="BS48" i="41"/>
  <c r="FV21" i="41"/>
  <c r="IR22" i="41"/>
  <c r="OB31" i="41"/>
  <c r="BS44" i="41"/>
  <c r="IR137" i="41"/>
  <c r="MU139" i="41"/>
  <c r="PQ142" i="41"/>
  <c r="BS148" i="41"/>
  <c r="DH149" i="41"/>
  <c r="FV152" i="41"/>
  <c r="IR170" i="41"/>
  <c r="LN173" i="41"/>
  <c r="EO174" i="41"/>
  <c r="MU181" i="41"/>
  <c r="IR182" i="41"/>
  <c r="IR185" i="41"/>
  <c r="DH47" i="41"/>
  <c r="FV47" i="41"/>
  <c r="IR47" i="41"/>
  <c r="HK48" i="41"/>
  <c r="MU106" i="41"/>
  <c r="JY162" i="41"/>
  <c r="OB164" i="41"/>
  <c r="IR172" i="41"/>
  <c r="LN47" i="41"/>
  <c r="EO48" i="41"/>
  <c r="BS7" i="41"/>
  <c r="DH5" i="41"/>
  <c r="OB18" i="41"/>
  <c r="GD82" i="41"/>
  <c r="IQ82" i="41"/>
  <c r="OB17" i="41"/>
  <c r="IR30" i="41"/>
  <c r="EO31" i="41"/>
  <c r="OB36" i="41"/>
  <c r="OB42" i="41"/>
  <c r="FV70" i="41"/>
  <c r="IR70" i="41"/>
  <c r="OB73" i="41"/>
  <c r="IR95" i="41"/>
  <c r="PQ138" i="41"/>
  <c r="BS142" i="41"/>
  <c r="BS158" i="41"/>
  <c r="BS163" i="41"/>
  <c r="EO170" i="41"/>
  <c r="MU173" i="41"/>
  <c r="MU183" i="41"/>
  <c r="BS47" i="41"/>
  <c r="EO47" i="41"/>
  <c r="DH48" i="41"/>
  <c r="HK7" i="41"/>
  <c r="OB14" i="41"/>
  <c r="DH16" i="41"/>
  <c r="OB39" i="41"/>
  <c r="OB45" i="41"/>
  <c r="LN70" i="41"/>
  <c r="HK95" i="41"/>
  <c r="LN95" i="41"/>
  <c r="HK133" i="41"/>
  <c r="MU134" i="41"/>
  <c r="LN157" i="41"/>
  <c r="FV48" i="41"/>
  <c r="MU48" i="41"/>
  <c r="BS4" i="41"/>
  <c r="BS22" i="41"/>
  <c r="MU32" i="41"/>
  <c r="FV4" i="41"/>
  <c r="FV13" i="41"/>
  <c r="BS14" i="41"/>
  <c r="FV16" i="41"/>
  <c r="BS11" i="41"/>
  <c r="FV41" i="41"/>
  <c r="OB70" i="41"/>
  <c r="DH73" i="41"/>
  <c r="BS93" i="41"/>
  <c r="DH104" i="41"/>
  <c r="JY104" i="41"/>
  <c r="DH106" i="41"/>
  <c r="IR116" i="41"/>
  <c r="JY143" i="41"/>
  <c r="BS149" i="41"/>
  <c r="LN154" i="41"/>
  <c r="PQ166" i="41"/>
  <c r="BS168" i="41"/>
  <c r="EO179" i="41"/>
  <c r="IR181" i="41"/>
  <c r="DH185" i="41"/>
  <c r="HK47" i="41"/>
  <c r="MU47" i="41"/>
  <c r="LN48" i="41"/>
  <c r="PQ12" i="41"/>
  <c r="FV31" i="41"/>
  <c r="BS35" i="41"/>
  <c r="BS39" i="41"/>
  <c r="BS49" i="41"/>
  <c r="BS58" i="41"/>
  <c r="OB58" i="41"/>
  <c r="BS67" i="41"/>
  <c r="MU70" i="41"/>
  <c r="BS76" i="41"/>
  <c r="HK87" i="41"/>
  <c r="DH89" i="41"/>
  <c r="PQ125" i="41"/>
  <c r="MU130" i="41"/>
  <c r="EO132" i="41"/>
  <c r="EO135" i="41"/>
  <c r="OB156" i="41"/>
  <c r="FV158" i="41"/>
  <c r="EO162" i="41"/>
  <c r="HK162" i="41"/>
  <c r="JY166" i="41"/>
  <c r="MU169" i="41"/>
  <c r="EO175" i="41"/>
  <c r="FV185" i="41"/>
  <c r="MU187" i="41"/>
  <c r="OB48" i="41"/>
  <c r="EO3" i="41"/>
  <c r="MU4" i="41"/>
  <c r="FV55" i="41"/>
  <c r="LN87" i="41"/>
  <c r="JY155" i="41"/>
  <c r="LN159" i="41"/>
  <c r="OB159" i="41"/>
  <c r="FV164" i="41"/>
  <c r="BS165" i="41"/>
  <c r="IR168" i="41"/>
  <c r="FV171" i="41"/>
  <c r="EO187" i="41"/>
  <c r="M82" i="41"/>
  <c r="OB21" i="41"/>
  <c r="EO6" i="41"/>
  <c r="PQ7" i="41"/>
  <c r="IR13" i="41"/>
  <c r="EO14" i="41"/>
  <c r="EO17" i="41"/>
  <c r="BS21" i="41"/>
  <c r="MU29" i="41"/>
  <c r="BS31" i="41"/>
  <c r="FV33" i="41"/>
  <c r="BS34" i="41"/>
  <c r="OB35" i="41"/>
  <c r="FV44" i="41"/>
  <c r="BS46" i="41"/>
  <c r="OB55" i="41"/>
  <c r="EO67" i="41"/>
  <c r="DH91" i="41"/>
  <c r="DH97" i="41"/>
  <c r="LN111" i="41"/>
  <c r="PQ128" i="41"/>
  <c r="HK129" i="41"/>
  <c r="MU133" i="41"/>
  <c r="JY144" i="41"/>
  <c r="OB148" i="41"/>
  <c r="PQ154" i="41"/>
  <c r="OB171" i="41"/>
  <c r="MU174" i="41"/>
  <c r="FV178" i="41"/>
  <c r="EO184" i="41"/>
  <c r="JY184" i="41"/>
  <c r="MU184" i="41"/>
  <c r="MU190" i="41"/>
  <c r="BR82" i="41"/>
  <c r="IR46" i="41"/>
  <c r="EN82" i="41"/>
  <c r="DH7" i="41"/>
  <c r="PQ18" i="41"/>
  <c r="OB20" i="41"/>
  <c r="HK24" i="41"/>
  <c r="IR26" i="41"/>
  <c r="FV36" i="41"/>
  <c r="PQ43" i="41"/>
  <c r="GL121" i="41"/>
  <c r="IZ121" i="41"/>
  <c r="LM121" i="41"/>
  <c r="FV97" i="41"/>
  <c r="IR102" i="41"/>
  <c r="JY106" i="41"/>
  <c r="IR117" i="41"/>
  <c r="BS125" i="41"/>
  <c r="LN128" i="41"/>
  <c r="HK135" i="41"/>
  <c r="EO138" i="41"/>
  <c r="EO142" i="41"/>
  <c r="MU143" i="41"/>
  <c r="JY148" i="41"/>
  <c r="MU148" i="41"/>
  <c r="JY154" i="41"/>
  <c r="JY157" i="41"/>
  <c r="JY160" i="41"/>
  <c r="FV163" i="41"/>
  <c r="FV166" i="41"/>
  <c r="LN167" i="41"/>
  <c r="OB168" i="41"/>
  <c r="DH169" i="41"/>
  <c r="BS175" i="41"/>
  <c r="IR175" i="41"/>
  <c r="MU177" i="41"/>
  <c r="IR178" i="41"/>
  <c r="OB182" i="41"/>
  <c r="DH184" i="41"/>
  <c r="BS188" i="41"/>
  <c r="PQ189" i="41"/>
  <c r="OB10" i="41"/>
  <c r="IR21" i="41"/>
  <c r="OB61" i="41"/>
  <c r="CA82" i="41"/>
  <c r="OB5" i="41"/>
  <c r="FV7" i="41"/>
  <c r="BS13" i="41"/>
  <c r="HK21" i="41"/>
  <c r="PQ22" i="41"/>
  <c r="LN23" i="41"/>
  <c r="DH25" i="41"/>
  <c r="FV37" i="41"/>
  <c r="HK39" i="41"/>
  <c r="FV52" i="41"/>
  <c r="PQ10" i="41"/>
  <c r="OB12" i="41"/>
  <c r="HK13" i="41"/>
  <c r="PQ14" i="41"/>
  <c r="FV15" i="41"/>
  <c r="OB16" i="41"/>
  <c r="FV18" i="41"/>
  <c r="BS30" i="41"/>
  <c r="EO34" i="41"/>
  <c r="OB34" i="41"/>
  <c r="MU35" i="41"/>
  <c r="BS37" i="41"/>
  <c r="BS52" i="41"/>
  <c r="BS64" i="41"/>
  <c r="IR73" i="41"/>
  <c r="JY87" i="41"/>
  <c r="JY95" i="41"/>
  <c r="HK102" i="41"/>
  <c r="LN102" i="41"/>
  <c r="EO104" i="41"/>
  <c r="HK111" i="41"/>
  <c r="PQ127" i="41"/>
  <c r="EO128" i="41"/>
  <c r="MU129" i="41"/>
  <c r="DH148" i="41"/>
  <c r="PQ153" i="41"/>
  <c r="JY156" i="41"/>
  <c r="MU156" i="41"/>
  <c r="BS161" i="41"/>
  <c r="DH165" i="41"/>
  <c r="BS167" i="41"/>
  <c r="LN171" i="41"/>
  <c r="JY172" i="41"/>
  <c r="HK182" i="41"/>
  <c r="HK22" i="41"/>
  <c r="EO5" i="41"/>
  <c r="EO8" i="41"/>
  <c r="FV10" i="41"/>
  <c r="DH14" i="41"/>
  <c r="FV14" i="41"/>
  <c r="HK16" i="41"/>
  <c r="FV17" i="41"/>
  <c r="EO20" i="41"/>
  <c r="PQ21" i="41"/>
  <c r="OB29" i="41"/>
  <c r="PQ34" i="41"/>
  <c r="FV35" i="41"/>
  <c r="IR36" i="41"/>
  <c r="LN37" i="41"/>
  <c r="BS41" i="41"/>
  <c r="MU42" i="41"/>
  <c r="FV43" i="41"/>
  <c r="IR44" i="41"/>
  <c r="BS89" i="41"/>
  <c r="EO124" i="41"/>
  <c r="EO131" i="41"/>
  <c r="HK131" i="41"/>
  <c r="PQ132" i="41"/>
  <c r="EO134" i="41"/>
  <c r="MU135" i="41"/>
  <c r="PQ135" i="41"/>
  <c r="BS141" i="41"/>
  <c r="EO141" i="41"/>
  <c r="BS144" i="41"/>
  <c r="LN144" i="41"/>
  <c r="OB144" i="41"/>
  <c r="HK152" i="41"/>
  <c r="HK158" i="41"/>
  <c r="DH159" i="41"/>
  <c r="OB160" i="41"/>
  <c r="BS166" i="41"/>
  <c r="OB166" i="41"/>
  <c r="EO167" i="41"/>
  <c r="DH168" i="41"/>
  <c r="FV169" i="41"/>
  <c r="OB170" i="41"/>
  <c r="EO171" i="41"/>
  <c r="JY171" i="41"/>
  <c r="MU172" i="41"/>
  <c r="FV173" i="41"/>
  <c r="FV177" i="41"/>
  <c r="MU179" i="41"/>
  <c r="BS181" i="41"/>
  <c r="OB181" i="41"/>
  <c r="MU186" i="41"/>
  <c r="IR187" i="41"/>
  <c r="EO12" i="41"/>
  <c r="MU13" i="41"/>
  <c r="OB19" i="41"/>
  <c r="EO23" i="41"/>
  <c r="HK23" i="41"/>
  <c r="DH24" i="41"/>
  <c r="EO28" i="41"/>
  <c r="IR32" i="41"/>
  <c r="OB33" i="41"/>
  <c r="MU34" i="41"/>
  <c r="FV40" i="41"/>
  <c r="EO41" i="41"/>
  <c r="OB44" i="41"/>
  <c r="MU45" i="41"/>
  <c r="OB49" i="41"/>
  <c r="EO137" i="41"/>
  <c r="HK137" i="41"/>
  <c r="EO144" i="41"/>
  <c r="FV148" i="41"/>
  <c r="JY152" i="41"/>
  <c r="BS154" i="41"/>
  <c r="FV156" i="41"/>
  <c r="OB157" i="41"/>
  <c r="JY158" i="41"/>
  <c r="HK163" i="41"/>
  <c r="MU164" i="41"/>
  <c r="FV168" i="41"/>
  <c r="MU175" i="41"/>
  <c r="HK181" i="41"/>
  <c r="FV186" i="41"/>
  <c r="HK4" i="41"/>
  <c r="PQ5" i="41"/>
  <c r="FV6" i="41"/>
  <c r="OB7" i="41"/>
  <c r="FV9" i="41"/>
  <c r="OB11" i="41"/>
  <c r="EO15" i="41"/>
  <c r="PQ16" i="41"/>
  <c r="PQ20" i="41"/>
  <c r="OB22" i="41"/>
  <c r="OB28" i="41"/>
  <c r="EO29" i="41"/>
  <c r="EO33" i="41"/>
  <c r="FV34" i="41"/>
  <c r="DH45" i="41"/>
  <c r="BS61" i="41"/>
  <c r="EO79" i="41"/>
  <c r="HK89" i="41"/>
  <c r="DH93" i="41"/>
  <c r="DH102" i="41"/>
  <c r="MU102" i="41"/>
  <c r="BS106" i="41"/>
  <c r="IR106" i="41"/>
  <c r="JY108" i="41"/>
  <c r="BS112" i="41"/>
  <c r="HK116" i="41"/>
  <c r="LN116" i="41"/>
  <c r="DH117" i="41"/>
  <c r="JY117" i="41"/>
  <c r="EO127" i="41"/>
  <c r="PQ129" i="41"/>
  <c r="BS130" i="41"/>
  <c r="EO130" i="41"/>
  <c r="MU131" i="41"/>
  <c r="PQ131" i="41"/>
  <c r="IR133" i="41"/>
  <c r="LN136" i="41"/>
  <c r="BS140" i="41"/>
  <c r="EO140" i="41"/>
  <c r="JY150" i="41"/>
  <c r="HK157" i="41"/>
  <c r="BS160" i="41"/>
  <c r="OB162" i="41"/>
  <c r="DH164" i="41"/>
  <c r="PQ167" i="41"/>
  <c r="MU171" i="41"/>
  <c r="DH175" i="41"/>
  <c r="IR177" i="41"/>
  <c r="BS180" i="41"/>
  <c r="MU182" i="41"/>
  <c r="BS184" i="41"/>
  <c r="IR184" i="41"/>
  <c r="IR186" i="41"/>
  <c r="EF82" i="41"/>
  <c r="GL82" i="41"/>
  <c r="IZ82" i="41"/>
  <c r="EO4" i="41"/>
  <c r="HK5" i="41"/>
  <c r="HK9" i="41"/>
  <c r="OB9" i="41"/>
  <c r="HK10" i="41"/>
  <c r="EO11" i="41"/>
  <c r="HK11" i="41"/>
  <c r="HK12" i="41"/>
  <c r="EO13" i="41"/>
  <c r="HK14" i="41"/>
  <c r="HK18" i="41"/>
  <c r="EO19" i="41"/>
  <c r="HK19" i="41"/>
  <c r="HK20" i="41"/>
  <c r="EO21" i="41"/>
  <c r="EO22" i="41"/>
  <c r="OB25" i="41"/>
  <c r="MU26" i="41"/>
  <c r="PQ26" i="41"/>
  <c r="FV27" i="41"/>
  <c r="LN27" i="41"/>
  <c r="BS28" i="41"/>
  <c r="DH35" i="41"/>
  <c r="DH36" i="41"/>
  <c r="LN45" i="41"/>
  <c r="HK46" i="41"/>
  <c r="BS55" i="41"/>
  <c r="FV67" i="41"/>
  <c r="IR67" i="41"/>
  <c r="DG121" i="41"/>
  <c r="FU121" i="41"/>
  <c r="KW121" i="41"/>
  <c r="NK121" i="41"/>
  <c r="HK97" i="41"/>
  <c r="IR27" i="41"/>
  <c r="AK82" i="41"/>
  <c r="EW82" i="41"/>
  <c r="DH17" i="41"/>
  <c r="MU19" i="41"/>
  <c r="DH23" i="41"/>
  <c r="JH82" i="41"/>
  <c r="CI82" i="41"/>
  <c r="HB82" i="41"/>
  <c r="OB3" i="41"/>
  <c r="DH8" i="41"/>
  <c r="MU8" i="41"/>
  <c r="DH9" i="41"/>
  <c r="DH10" i="41"/>
  <c r="MU11" i="41"/>
  <c r="DH12" i="41"/>
  <c r="MU17" i="41"/>
  <c r="DH18" i="41"/>
  <c r="DH20" i="41"/>
  <c r="IR24" i="41"/>
  <c r="MU33" i="41"/>
  <c r="MU6" i="41"/>
  <c r="PQ6" i="41"/>
  <c r="MU7" i="41"/>
  <c r="PQ8" i="41"/>
  <c r="MU9" i="41"/>
  <c r="PQ9" i="41"/>
  <c r="MU10" i="41"/>
  <c r="DH11" i="41"/>
  <c r="FV11" i="41"/>
  <c r="MU15" i="41"/>
  <c r="PQ15" i="41"/>
  <c r="MU16" i="41"/>
  <c r="PQ17" i="41"/>
  <c r="MU18" i="41"/>
  <c r="DH19" i="41"/>
  <c r="FV19" i="41"/>
  <c r="MU30" i="41"/>
  <c r="PQ30" i="41"/>
  <c r="HK37" i="41"/>
  <c r="BS42" i="41"/>
  <c r="MU58" i="41"/>
  <c r="FV61" i="41"/>
  <c r="LN91" i="41"/>
  <c r="AT82" i="41"/>
  <c r="FM82" i="41"/>
  <c r="FE82" i="41"/>
  <c r="FV23" i="41"/>
  <c r="BS25" i="41"/>
  <c r="CY82" i="41"/>
  <c r="HS82" i="41"/>
  <c r="JY3" i="41"/>
  <c r="BS24" i="41"/>
  <c r="PQ29" i="41"/>
  <c r="FU82" i="41"/>
  <c r="BS6" i="41"/>
  <c r="BS8" i="41"/>
  <c r="BS15" i="41"/>
  <c r="BS17" i="41"/>
  <c r="FV32" i="41"/>
  <c r="BS40" i="41"/>
  <c r="IR41" i="41"/>
  <c r="OB41" i="41"/>
  <c r="BS79" i="41"/>
  <c r="FV79" i="41"/>
  <c r="IR79" i="41"/>
  <c r="AC82" i="41"/>
  <c r="FV24" i="41"/>
  <c r="IR55" i="41"/>
  <c r="BJ82" i="41"/>
  <c r="DP82" i="41"/>
  <c r="FV3" i="41"/>
  <c r="II82" i="41"/>
  <c r="LN4" i="41"/>
  <c r="OB4" i="41"/>
  <c r="IR5" i="41"/>
  <c r="LN5" i="41"/>
  <c r="IR6" i="41"/>
  <c r="LN6" i="41"/>
  <c r="OB6" i="41"/>
  <c r="IR7" i="41"/>
  <c r="LN7" i="41"/>
  <c r="IR9" i="41"/>
  <c r="LN9" i="41"/>
  <c r="IR10" i="41"/>
  <c r="LN10" i="41"/>
  <c r="IR12" i="41"/>
  <c r="LN12" i="41"/>
  <c r="LN13" i="41"/>
  <c r="OB13" i="41"/>
  <c r="IR14" i="41"/>
  <c r="LN14" i="41"/>
  <c r="IR15" i="41"/>
  <c r="LN15" i="41"/>
  <c r="OB15" i="41"/>
  <c r="IR16" i="41"/>
  <c r="LN16" i="41"/>
  <c r="IR18" i="41"/>
  <c r="LN18" i="41"/>
  <c r="IR20" i="41"/>
  <c r="LN20" i="41"/>
  <c r="LN21" i="41"/>
  <c r="LN22" i="41"/>
  <c r="OB23" i="41"/>
  <c r="MU24" i="41"/>
  <c r="PQ24" i="41"/>
  <c r="FV25" i="41"/>
  <c r="LN25" i="41"/>
  <c r="BS26" i="41"/>
  <c r="EO26" i="41"/>
  <c r="HK26" i="41"/>
  <c r="DH27" i="41"/>
  <c r="IR28" i="41"/>
  <c r="BS29" i="41"/>
  <c r="FV39" i="41"/>
  <c r="EO40" i="41"/>
  <c r="IR40" i="41"/>
  <c r="OB40" i="41"/>
  <c r="HK49" i="41"/>
  <c r="BS70" i="41"/>
  <c r="EO70" i="41"/>
  <c r="HK70" i="41"/>
  <c r="MU73" i="41"/>
  <c r="PQ73" i="41"/>
  <c r="JY97" i="41"/>
  <c r="IR104" i="41"/>
  <c r="DH112" i="41"/>
  <c r="BS114" i="41"/>
  <c r="EO116" i="41"/>
  <c r="IR119" i="41"/>
  <c r="LN119" i="41"/>
  <c r="CQ82" i="41"/>
  <c r="HJ82" i="41"/>
  <c r="MU3" i="41"/>
  <c r="DH4" i="41"/>
  <c r="HK6" i="41"/>
  <c r="EO7" i="41"/>
  <c r="IR8" i="41"/>
  <c r="LN8" i="41"/>
  <c r="PQ11" i="41"/>
  <c r="MU12" i="41"/>
  <c r="DH13" i="41"/>
  <c r="HK15" i="41"/>
  <c r="EO16" i="41"/>
  <c r="IR17" i="41"/>
  <c r="LN17" i="41"/>
  <c r="PQ19" i="41"/>
  <c r="MU20" i="41"/>
  <c r="DH21" i="41"/>
  <c r="MU21" i="41"/>
  <c r="DH22" i="41"/>
  <c r="MU22" i="41"/>
  <c r="OB24" i="41"/>
  <c r="MU25" i="41"/>
  <c r="PQ25" i="41"/>
  <c r="FV26" i="41"/>
  <c r="LN26" i="41"/>
  <c r="BS27" i="41"/>
  <c r="EO27" i="41"/>
  <c r="HK27" i="41"/>
  <c r="DH28" i="41"/>
  <c r="LN29" i="41"/>
  <c r="OB30" i="41"/>
  <c r="IR31" i="41"/>
  <c r="IR33" i="41"/>
  <c r="OB37" i="41"/>
  <c r="EO39" i="41"/>
  <c r="IR39" i="41"/>
  <c r="MU43" i="41"/>
  <c r="DH44" i="41"/>
  <c r="EO52" i="41"/>
  <c r="IR52" i="41"/>
  <c r="OB52" i="41"/>
  <c r="MU61" i="41"/>
  <c r="PQ61" i="41"/>
  <c r="LN93" i="41"/>
  <c r="DH95" i="41"/>
  <c r="HK104" i="41"/>
  <c r="LN104" i="41"/>
  <c r="BB82" i="41"/>
  <c r="DG82" i="41"/>
  <c r="PQ4" i="41"/>
  <c r="MU5" i="41"/>
  <c r="DH6" i="41"/>
  <c r="HK8" i="41"/>
  <c r="EO9" i="41"/>
  <c r="EO10" i="41"/>
  <c r="IR11" i="41"/>
  <c r="LN11" i="41"/>
  <c r="PQ13" i="41"/>
  <c r="MU14" i="41"/>
  <c r="DH15" i="41"/>
  <c r="HK17" i="41"/>
  <c r="EO18" i="41"/>
  <c r="IR19" i="41"/>
  <c r="LN19" i="41"/>
  <c r="IR23" i="41"/>
  <c r="OB26" i="41"/>
  <c r="PQ28" i="41"/>
  <c r="OB32" i="41"/>
  <c r="EO36" i="41"/>
  <c r="MU40" i="41"/>
  <c r="FV42" i="41"/>
  <c r="PQ42" i="41"/>
  <c r="OB46" i="41"/>
  <c r="EO49" i="41"/>
  <c r="IR49" i="41"/>
  <c r="FV58" i="41"/>
  <c r="PQ58" i="41"/>
  <c r="IR89" i="41"/>
  <c r="LN89" i="41"/>
  <c r="MU95" i="41"/>
  <c r="HK99" i="41"/>
  <c r="EO102" i="41"/>
  <c r="DH111" i="41"/>
  <c r="OB85" i="41"/>
  <c r="PP121" i="41"/>
  <c r="IR87" i="41"/>
  <c r="FV93" i="41"/>
  <c r="JY93" i="41"/>
  <c r="MU93" i="41"/>
  <c r="EO99" i="41"/>
  <c r="LN106" i="41"/>
  <c r="HK108" i="41"/>
  <c r="BB121" i="41"/>
  <c r="DP121" i="41"/>
  <c r="IQ121" i="41"/>
  <c r="LE121" i="41"/>
  <c r="LN85" i="41"/>
  <c r="EO87" i="41"/>
  <c r="MU91" i="41"/>
  <c r="DH99" i="41"/>
  <c r="IR127" i="41"/>
  <c r="LN130" i="41"/>
  <c r="PQ139" i="41"/>
  <c r="IR140" i="41"/>
  <c r="OB152" i="41"/>
  <c r="LN158" i="41"/>
  <c r="OB158" i="41"/>
  <c r="PQ159" i="41"/>
  <c r="FV160" i="41"/>
  <c r="MU166" i="41"/>
  <c r="OB172" i="41"/>
  <c r="EO173" i="41"/>
  <c r="MU178" i="41"/>
  <c r="IR179" i="41"/>
  <c r="JY147" i="41"/>
  <c r="OB27" i="41"/>
  <c r="IR29" i="41"/>
  <c r="EO32" i="41"/>
  <c r="LN32" i="41"/>
  <c r="IR34" i="41"/>
  <c r="MU37" i="41"/>
  <c r="LN41" i="41"/>
  <c r="EO42" i="41"/>
  <c r="IR42" i="41"/>
  <c r="MU46" i="41"/>
  <c r="LN52" i="41"/>
  <c r="EO58" i="41"/>
  <c r="IR58" i="41"/>
  <c r="FV64" i="41"/>
  <c r="IR64" i="41"/>
  <c r="OB67" i="41"/>
  <c r="FV76" i="41"/>
  <c r="IR76" i="41"/>
  <c r="OB79" i="41"/>
  <c r="M121" i="41"/>
  <c r="BR121" i="41"/>
  <c r="EF121" i="41"/>
  <c r="GT121" i="41"/>
  <c r="OA121" i="41"/>
  <c r="EO89" i="41"/>
  <c r="IR91" i="41"/>
  <c r="BS95" i="41"/>
  <c r="MU97" i="41"/>
  <c r="FV99" i="41"/>
  <c r="JY99" i="41"/>
  <c r="EO106" i="41"/>
  <c r="FV108" i="41"/>
  <c r="FV111" i="41"/>
  <c r="MU111" i="41"/>
  <c r="FV112" i="41"/>
  <c r="LN112" i="41"/>
  <c r="LN114" i="41"/>
  <c r="IR126" i="41"/>
  <c r="IR139" i="41"/>
  <c r="IR143" i="41"/>
  <c r="IR188" i="41"/>
  <c r="EO189" i="41"/>
  <c r="JY189" i="41"/>
  <c r="HK33" i="41"/>
  <c r="LN33" i="41"/>
  <c r="IR35" i="41"/>
  <c r="PQ37" i="41"/>
  <c r="MU39" i="41"/>
  <c r="DH40" i="41"/>
  <c r="HK42" i="41"/>
  <c r="LN42" i="41"/>
  <c r="EO43" i="41"/>
  <c r="IR43" i="41"/>
  <c r="PQ46" i="41"/>
  <c r="MU49" i="41"/>
  <c r="DH52" i="41"/>
  <c r="LN55" i="41"/>
  <c r="HK58" i="41"/>
  <c r="EO61" i="41"/>
  <c r="IR61" i="41"/>
  <c r="EO64" i="41"/>
  <c r="HK64" i="41"/>
  <c r="LN64" i="41"/>
  <c r="MU67" i="41"/>
  <c r="PQ67" i="41"/>
  <c r="EO76" i="41"/>
  <c r="HK76" i="41"/>
  <c r="LN76" i="41"/>
  <c r="MU79" i="41"/>
  <c r="PQ79" i="41"/>
  <c r="U121" i="41"/>
  <c r="CA121" i="41"/>
  <c r="EN121" i="41"/>
  <c r="HB121" i="41"/>
  <c r="LV121" i="41"/>
  <c r="EO91" i="41"/>
  <c r="IR93" i="41"/>
  <c r="BS97" i="41"/>
  <c r="MU99" i="41"/>
  <c r="FV102" i="41"/>
  <c r="JY102" i="41"/>
  <c r="BS111" i="41"/>
  <c r="DH116" i="41"/>
  <c r="MU116" i="41"/>
  <c r="LN117" i="41"/>
  <c r="EO119" i="41"/>
  <c r="HK119" i="41"/>
  <c r="BS126" i="41"/>
  <c r="IR129" i="41"/>
  <c r="LN132" i="41"/>
  <c r="BS139" i="41"/>
  <c r="BS143" i="41"/>
  <c r="LN151" i="41"/>
  <c r="OB151" i="41"/>
  <c r="BS157" i="41"/>
  <c r="JY164" i="41"/>
  <c r="JY165" i="41"/>
  <c r="JY168" i="41"/>
  <c r="JY169" i="41"/>
  <c r="EO172" i="41"/>
  <c r="DH177" i="41"/>
  <c r="EO183" i="41"/>
  <c r="EO44" i="41"/>
  <c r="MU52" i="41"/>
  <c r="OB64" i="41"/>
  <c r="FV73" i="41"/>
  <c r="OB76" i="41"/>
  <c r="AC121" i="41"/>
  <c r="CI121" i="41"/>
  <c r="JX121" i="41"/>
  <c r="PQ124" i="41"/>
  <c r="IR125" i="41"/>
  <c r="PQ133" i="41"/>
  <c r="IR135" i="41"/>
  <c r="IR138" i="41"/>
  <c r="PQ141" i="41"/>
  <c r="IR142" i="41"/>
  <c r="MU27" i="41"/>
  <c r="PQ27" i="41"/>
  <c r="MU31" i="41"/>
  <c r="PQ31" i="41"/>
  <c r="DH33" i="41"/>
  <c r="EO35" i="41"/>
  <c r="HK35" i="41"/>
  <c r="LN35" i="41"/>
  <c r="PQ40" i="41"/>
  <c r="MU41" i="41"/>
  <c r="DH42" i="41"/>
  <c r="HK44" i="41"/>
  <c r="EO45" i="41"/>
  <c r="IR45" i="41"/>
  <c r="PQ52" i="41"/>
  <c r="MU55" i="41"/>
  <c r="DH58" i="41"/>
  <c r="LN61" i="41"/>
  <c r="MU64" i="41"/>
  <c r="PQ64" i="41"/>
  <c r="EO73" i="41"/>
  <c r="HK73" i="41"/>
  <c r="LN73" i="41"/>
  <c r="MU76" i="41"/>
  <c r="PQ76" i="41"/>
  <c r="CQ121" i="41"/>
  <c r="HS121" i="41"/>
  <c r="OZ121" i="41"/>
  <c r="MU87" i="41"/>
  <c r="JY89" i="41"/>
  <c r="EO95" i="41"/>
  <c r="IR97" i="41"/>
  <c r="BS108" i="41"/>
  <c r="IR111" i="41"/>
  <c r="HK112" i="41"/>
  <c r="HK114" i="41"/>
  <c r="HK117" i="41"/>
  <c r="PQ136" i="41"/>
  <c r="JY149" i="41"/>
  <c r="LN162" i="41"/>
  <c r="MU167" i="41"/>
  <c r="OB169" i="41"/>
  <c r="OB173" i="41"/>
  <c r="MU89" i="41"/>
  <c r="JY91" i="41"/>
  <c r="EO97" i="41"/>
  <c r="IR99" i="41"/>
  <c r="FV106" i="41"/>
  <c r="LN108" i="41"/>
  <c r="DH119" i="41"/>
  <c r="AT191" i="41"/>
  <c r="DG191" i="41"/>
  <c r="IR124" i="41"/>
  <c r="PQ126" i="41"/>
  <c r="BS128" i="41"/>
  <c r="IR131" i="41"/>
  <c r="LN134" i="41"/>
  <c r="PQ140" i="41"/>
  <c r="IR141" i="41"/>
  <c r="DH154" i="41"/>
  <c r="FV155" i="41"/>
  <c r="PQ160" i="41"/>
  <c r="FV161" i="41"/>
  <c r="BS162" i="41"/>
  <c r="FV167" i="41"/>
  <c r="JY167" i="41"/>
  <c r="IR180" i="41"/>
  <c r="JY185" i="41"/>
  <c r="MU185" i="41"/>
  <c r="AK191" i="41"/>
  <c r="DH124" i="41"/>
  <c r="DH125" i="41"/>
  <c r="DH126" i="41"/>
  <c r="DH128" i="41"/>
  <c r="JY128" i="41"/>
  <c r="DH129" i="41"/>
  <c r="DH130" i="41"/>
  <c r="JY130" i="41"/>
  <c r="DH131" i="41"/>
  <c r="DH132" i="41"/>
  <c r="JY132" i="41"/>
  <c r="DH133" i="41"/>
  <c r="DH134" i="41"/>
  <c r="JY134" i="41"/>
  <c r="DH135" i="41"/>
  <c r="DH136" i="41"/>
  <c r="JY136" i="41"/>
  <c r="DH137" i="41"/>
  <c r="DH138" i="41"/>
  <c r="DH139" i="41"/>
  <c r="DH140" i="41"/>
  <c r="DH141" i="41"/>
  <c r="DH142" i="41"/>
  <c r="DH143" i="41"/>
  <c r="FV144" i="41"/>
  <c r="MU144" i="41"/>
  <c r="IR147" i="41"/>
  <c r="EO148" i="41"/>
  <c r="IR148" i="41"/>
  <c r="LN148" i="41"/>
  <c r="DH150" i="41"/>
  <c r="JY151" i="41"/>
  <c r="OB153" i="41"/>
  <c r="PQ155" i="41"/>
  <c r="PQ156" i="41"/>
  <c r="FV157" i="41"/>
  <c r="BS159" i="41"/>
  <c r="HK159" i="41"/>
  <c r="DH160" i="41"/>
  <c r="DH161" i="41"/>
  <c r="FV162" i="41"/>
  <c r="EO164" i="41"/>
  <c r="IR164" i="41"/>
  <c r="LN164" i="41"/>
  <c r="DH166" i="41"/>
  <c r="EO168" i="41"/>
  <c r="HK168" i="41"/>
  <c r="LN168" i="41"/>
  <c r="IR169" i="41"/>
  <c r="BS171" i="41"/>
  <c r="BS173" i="41"/>
  <c r="HK175" i="41"/>
  <c r="OB175" i="41"/>
  <c r="EO178" i="41"/>
  <c r="DH179" i="41"/>
  <c r="FV180" i="41"/>
  <c r="BS183" i="41"/>
  <c r="HK184" i="41"/>
  <c r="OB184" i="41"/>
  <c r="EO186" i="41"/>
  <c r="DH187" i="41"/>
  <c r="JY187" i="41"/>
  <c r="FV188" i="41"/>
  <c r="MU188" i="41"/>
  <c r="BS189" i="41"/>
  <c r="IR189" i="41"/>
  <c r="EO190" i="41"/>
  <c r="JY190" i="41"/>
  <c r="PQ190" i="41"/>
  <c r="CY191" i="41"/>
  <c r="FV124" i="41"/>
  <c r="FV125" i="41"/>
  <c r="FV126" i="41"/>
  <c r="DH127" i="41"/>
  <c r="IR128" i="41"/>
  <c r="IR130" i="41"/>
  <c r="IR132" i="41"/>
  <c r="IR134" i="41"/>
  <c r="IR136" i="41"/>
  <c r="FV138" i="41"/>
  <c r="JY138" i="41"/>
  <c r="FV139" i="41"/>
  <c r="JY139" i="41"/>
  <c r="FV140" i="41"/>
  <c r="JY140" i="41"/>
  <c r="FV141" i="41"/>
  <c r="JY141" i="41"/>
  <c r="FV142" i="41"/>
  <c r="JY142" i="41"/>
  <c r="FV143" i="41"/>
  <c r="IR144" i="41"/>
  <c r="BS147" i="41"/>
  <c r="EO147" i="41"/>
  <c r="OB147" i="41"/>
  <c r="HK148" i="41"/>
  <c r="PQ149" i="41"/>
  <c r="PQ150" i="41"/>
  <c r="FV151" i="41"/>
  <c r="BS152" i="41"/>
  <c r="EO152" i="41"/>
  <c r="IR152" i="41"/>
  <c r="BS153" i="41"/>
  <c r="HK153" i="41"/>
  <c r="DH155" i="41"/>
  <c r="EO158" i="41"/>
  <c r="MU160" i="41"/>
  <c r="JY161" i="41"/>
  <c r="LN163" i="41"/>
  <c r="OB163" i="41"/>
  <c r="HK164" i="41"/>
  <c r="PQ165" i="41"/>
  <c r="DH167" i="41"/>
  <c r="EO169" i="41"/>
  <c r="HK169" i="41"/>
  <c r="LN169" i="41"/>
  <c r="HK170" i="41"/>
  <c r="IR171" i="41"/>
  <c r="HK172" i="41"/>
  <c r="IR173" i="41"/>
  <c r="HK174" i="41"/>
  <c r="OB174" i="41"/>
  <c r="EO177" i="41"/>
  <c r="DH178" i="41"/>
  <c r="FV179" i="41"/>
  <c r="BS182" i="41"/>
  <c r="HK183" i="41"/>
  <c r="OB183" i="41"/>
  <c r="EO185" i="41"/>
  <c r="DH186" i="41"/>
  <c r="JY186" i="41"/>
  <c r="FV187" i="41"/>
  <c r="PQ187" i="41"/>
  <c r="HK189" i="41"/>
  <c r="DH190" i="41"/>
  <c r="LN124" i="41"/>
  <c r="LN125" i="41"/>
  <c r="LN126" i="41"/>
  <c r="LN127" i="41"/>
  <c r="OB127" i="41"/>
  <c r="OB128" i="41"/>
  <c r="LN129" i="41"/>
  <c r="OB129" i="41"/>
  <c r="OB130" i="41"/>
  <c r="LN131" i="41"/>
  <c r="OB131" i="41"/>
  <c r="OB132" i="41"/>
  <c r="LN133" i="41"/>
  <c r="OB133" i="41"/>
  <c r="OB134" i="41"/>
  <c r="LN135" i="41"/>
  <c r="OB135" i="41"/>
  <c r="OB136" i="41"/>
  <c r="LN137" i="41"/>
  <c r="OB137" i="41"/>
  <c r="LN138" i="41"/>
  <c r="LN139" i="41"/>
  <c r="LN140" i="41"/>
  <c r="LN141" i="41"/>
  <c r="LN142" i="41"/>
  <c r="OB143" i="41"/>
  <c r="MU147" i="41"/>
  <c r="PQ147" i="41"/>
  <c r="PQ148" i="41"/>
  <c r="FV149" i="41"/>
  <c r="BS151" i="41"/>
  <c r="HK151" i="41"/>
  <c r="DH152" i="41"/>
  <c r="DH153" i="41"/>
  <c r="FV154" i="41"/>
  <c r="EO156" i="41"/>
  <c r="IR156" i="41"/>
  <c r="DH158" i="41"/>
  <c r="JY159" i="41"/>
  <c r="LN161" i="41"/>
  <c r="OB161" i="41"/>
  <c r="PQ163" i="41"/>
  <c r="PQ164" i="41"/>
  <c r="FV165" i="41"/>
  <c r="MU168" i="41"/>
  <c r="PQ168" i="41"/>
  <c r="DH170" i="41"/>
  <c r="DH172" i="41"/>
  <c r="DH174" i="41"/>
  <c r="FV175" i="41"/>
  <c r="BS179" i="41"/>
  <c r="HK180" i="41"/>
  <c r="OB180" i="41"/>
  <c r="EO182" i="41"/>
  <c r="DH183" i="41"/>
  <c r="JY183" i="41"/>
  <c r="FV184" i="41"/>
  <c r="BS187" i="41"/>
  <c r="M191" i="41"/>
  <c r="BR191" i="41"/>
  <c r="OB124" i="41"/>
  <c r="OB125" i="41"/>
  <c r="OB126" i="41"/>
  <c r="OB138" i="41"/>
  <c r="OB139" i="41"/>
  <c r="OB140" i="41"/>
  <c r="OB141" i="41"/>
  <c r="OB142" i="41"/>
  <c r="MU152" i="41"/>
  <c r="JY153" i="41"/>
  <c r="LN155" i="41"/>
  <c r="OB155" i="41"/>
  <c r="HK156" i="41"/>
  <c r="PQ157" i="41"/>
  <c r="MU158" i="41"/>
  <c r="PQ158" i="41"/>
  <c r="FV159" i="41"/>
  <c r="EO160" i="41"/>
  <c r="IR160" i="41"/>
  <c r="HK161" i="41"/>
  <c r="DH163" i="41"/>
  <c r="EO166" i="41"/>
  <c r="PQ169" i="41"/>
  <c r="FV170" i="41"/>
  <c r="PQ171" i="41"/>
  <c r="FV172" i="41"/>
  <c r="PQ173" i="41"/>
  <c r="FV174" i="41"/>
  <c r="BS178" i="41"/>
  <c r="HK179" i="41"/>
  <c r="OB179" i="41"/>
  <c r="EO181" i="41"/>
  <c r="DH182" i="41"/>
  <c r="JY182" i="41"/>
  <c r="FV183" i="41"/>
  <c r="BS186" i="41"/>
  <c r="HK187" i="41"/>
  <c r="OB187" i="41"/>
  <c r="FV189" i="41"/>
  <c r="MU189" i="41"/>
  <c r="BS190" i="41"/>
  <c r="IR190" i="41"/>
  <c r="U191" i="41"/>
  <c r="CA191" i="41"/>
  <c r="HK124" i="41"/>
  <c r="HK125" i="41"/>
  <c r="HK126" i="41"/>
  <c r="HK127" i="41"/>
  <c r="HK128" i="41"/>
  <c r="HK130" i="41"/>
  <c r="HK132" i="41"/>
  <c r="HK134" i="41"/>
  <c r="HK136" i="41"/>
  <c r="HK138" i="41"/>
  <c r="HK139" i="41"/>
  <c r="HK140" i="41"/>
  <c r="HK141" i="41"/>
  <c r="HK142" i="41"/>
  <c r="DH144" i="41"/>
  <c r="PQ144" i="41"/>
  <c r="FV147" i="41"/>
  <c r="OB149" i="41"/>
  <c r="HK150" i="41"/>
  <c r="LN150" i="41"/>
  <c r="OB150" i="41"/>
  <c r="PQ151" i="41"/>
  <c r="PQ152" i="41"/>
  <c r="FV153" i="41"/>
  <c r="BS155" i="41"/>
  <c r="HK155" i="41"/>
  <c r="DH157" i="41"/>
  <c r="HK160" i="41"/>
  <c r="LN160" i="41"/>
  <c r="DH162" i="41"/>
  <c r="MU162" i="41"/>
  <c r="JY163" i="41"/>
  <c r="LN165" i="41"/>
  <c r="OB165" i="41"/>
  <c r="HK166" i="41"/>
  <c r="LN166" i="41"/>
  <c r="BS177" i="41"/>
  <c r="HK178" i="41"/>
  <c r="OB178" i="41"/>
  <c r="EO180" i="41"/>
  <c r="DH181" i="41"/>
  <c r="FV182" i="41"/>
  <c r="BS185" i="41"/>
  <c r="HK186" i="41"/>
  <c r="OB186" i="41"/>
  <c r="EO188" i="41"/>
  <c r="JY188" i="41"/>
  <c r="PQ188" i="41"/>
  <c r="HK190" i="41"/>
  <c r="AC191" i="41"/>
  <c r="CI191" i="41"/>
  <c r="JY124" i="41"/>
  <c r="JY125" i="41"/>
  <c r="JY126" i="41"/>
  <c r="MU127" i="41"/>
  <c r="PQ143" i="41"/>
  <c r="HK149" i="41"/>
  <c r="DH151" i="41"/>
  <c r="HK154" i="41"/>
  <c r="DH156" i="41"/>
  <c r="PQ161" i="41"/>
  <c r="PQ162" i="41"/>
  <c r="HK165" i="41"/>
  <c r="HK167" i="41"/>
  <c r="HK177" i="41"/>
  <c r="OB177" i="41"/>
  <c r="DH180" i="41"/>
  <c r="FV181" i="41"/>
  <c r="HK185" i="41"/>
  <c r="OB185" i="41"/>
  <c r="DH188" i="41"/>
  <c r="OB189" i="41"/>
  <c r="L123" i="41"/>
  <c r="L84" i="41"/>
  <c r="N2" i="41"/>
  <c r="GT82" i="41"/>
  <c r="IR3" i="41"/>
  <c r="LN39" i="41"/>
  <c r="LN46" i="41"/>
  <c r="CO123" i="41"/>
  <c r="CO84" i="41"/>
  <c r="CP2" i="41"/>
  <c r="HK29" i="41"/>
  <c r="HK31" i="41"/>
  <c r="LN31" i="41"/>
  <c r="PQ35" i="41"/>
  <c r="MU36" i="41"/>
  <c r="DH37" i="41"/>
  <c r="HK40" i="41"/>
  <c r="LN40" i="41"/>
  <c r="PQ44" i="41"/>
  <c r="DH46" i="41"/>
  <c r="LN49" i="41"/>
  <c r="HK52" i="41"/>
  <c r="HK67" i="41"/>
  <c r="LN67" i="41"/>
  <c r="PQ70" i="41"/>
  <c r="HK79" i="41"/>
  <c r="LN79" i="41"/>
  <c r="DH29" i="41"/>
  <c r="DH31" i="41"/>
  <c r="HK32" i="41"/>
  <c r="PQ36" i="41"/>
  <c r="DH39" i="41"/>
  <c r="HK41" i="41"/>
  <c r="PQ45" i="41"/>
  <c r="DH49" i="41"/>
  <c r="HK55" i="41"/>
  <c r="DH70" i="41"/>
  <c r="LN3" i="41"/>
  <c r="PQ3" i="41"/>
  <c r="DH3" i="41"/>
  <c r="HK3" i="41"/>
  <c r="DH32" i="41"/>
  <c r="HK34" i="41"/>
  <c r="LN34" i="41"/>
  <c r="PQ39" i="41"/>
  <c r="DH41" i="41"/>
  <c r="HK43" i="41"/>
  <c r="LN43" i="41"/>
  <c r="PQ49" i="41"/>
  <c r="DH55" i="41"/>
  <c r="LN58" i="41"/>
  <c r="HK61" i="41"/>
  <c r="DH67" i="41"/>
  <c r="DH79" i="41"/>
  <c r="K123" i="41"/>
  <c r="K84" i="41"/>
  <c r="U82" i="41"/>
  <c r="DX82" i="41"/>
  <c r="IA82" i="41"/>
  <c r="HK30" i="41"/>
  <c r="HK28" i="41"/>
  <c r="LN28" i="41"/>
  <c r="DH30" i="41"/>
  <c r="LN30" i="41"/>
  <c r="PQ32" i="41"/>
  <c r="DH34" i="41"/>
  <c r="HK36" i="41"/>
  <c r="LN36" i="41"/>
  <c r="EO37" i="41"/>
  <c r="IR37" i="41"/>
  <c r="PQ41" i="41"/>
  <c r="DH43" i="41"/>
  <c r="HK45" i="41"/>
  <c r="PQ55" i="41"/>
  <c r="DH61" i="41"/>
  <c r="DH64" i="41"/>
  <c r="DH76" i="41"/>
  <c r="AK121" i="41"/>
  <c r="EW121" i="41"/>
  <c r="FV85" i="41"/>
  <c r="JP121" i="41"/>
  <c r="JY85" i="41"/>
  <c r="CY121" i="41"/>
  <c r="FE121" i="41"/>
  <c r="HK85" i="41"/>
  <c r="FV87" i="41"/>
  <c r="BS99" i="41"/>
  <c r="FV104" i="41"/>
  <c r="AT121" i="41"/>
  <c r="BS85" i="41"/>
  <c r="FM121" i="41"/>
  <c r="KG121" i="41"/>
  <c r="FV89" i="41"/>
  <c r="BS102" i="41"/>
  <c r="DH85" i="41"/>
  <c r="KO121" i="41"/>
  <c r="BS87" i="41"/>
  <c r="FV91" i="41"/>
  <c r="BS104" i="41"/>
  <c r="BJ121" i="41"/>
  <c r="BS91" i="41"/>
  <c r="FV95" i="41"/>
  <c r="NS121" i="41"/>
  <c r="MU104" i="41"/>
  <c r="EO114" i="41"/>
  <c r="IR114" i="41"/>
  <c r="BS116" i="41"/>
  <c r="MU117" i="41"/>
  <c r="FV119" i="41"/>
  <c r="JY119" i="41"/>
  <c r="DX121" i="41"/>
  <c r="IA121" i="41"/>
  <c r="MD121" i="41"/>
  <c r="EO111" i="41"/>
  <c r="BS117" i="41"/>
  <c r="MU119" i="41"/>
  <c r="GD121" i="41"/>
  <c r="II121" i="41"/>
  <c r="ML121" i="41"/>
  <c r="OJ121" i="41"/>
  <c r="MU108" i="41"/>
  <c r="BS119" i="41"/>
  <c r="BB191" i="41"/>
  <c r="BS124" i="41"/>
  <c r="MT121" i="41"/>
  <c r="OR121" i="41"/>
  <c r="EO85" i="41"/>
  <c r="IR85" i="41"/>
  <c r="MU85" i="41"/>
  <c r="EO108" i="41"/>
  <c r="IR108" i="41"/>
  <c r="MU112" i="41"/>
  <c r="EO117" i="41"/>
  <c r="NC121" i="41"/>
  <c r="PH121" i="41"/>
  <c r="HJ121" i="41"/>
  <c r="JH121" i="41"/>
  <c r="EO112" i="41"/>
  <c r="IR112" i="41"/>
  <c r="MU114" i="41"/>
  <c r="FV116" i="41"/>
  <c r="JY116" i="41"/>
  <c r="BJ191" i="41"/>
  <c r="FV128" i="41"/>
  <c r="FV130" i="41"/>
  <c r="FV132" i="41"/>
  <c r="FV134" i="41"/>
  <c r="FV136" i="41"/>
  <c r="BS132" i="41"/>
  <c r="BS134" i="41"/>
  <c r="BS136" i="41"/>
  <c r="BS138" i="41"/>
  <c r="CQ191" i="41"/>
  <c r="FV127" i="41"/>
  <c r="FV129" i="41"/>
  <c r="FV131" i="41"/>
  <c r="FV133" i="41"/>
  <c r="FV135" i="41"/>
  <c r="FV137" i="41"/>
  <c r="BS127" i="41"/>
  <c r="JY127" i="41"/>
  <c r="BS129" i="41"/>
  <c r="JY129" i="41"/>
  <c r="BS131" i="41"/>
  <c r="JY131" i="41"/>
  <c r="BS133" i="41"/>
  <c r="JY133" i="41"/>
  <c r="BS135" i="41"/>
  <c r="JY135" i="41"/>
  <c r="BS137" i="41"/>
  <c r="JY137" i="41"/>
  <c r="MU149" i="41"/>
  <c r="LN152" i="41"/>
  <c r="EO153" i="41"/>
  <c r="IR153" i="41"/>
  <c r="MU157" i="41"/>
  <c r="EO161" i="41"/>
  <c r="IR161" i="41"/>
  <c r="MU165" i="41"/>
  <c r="HK143" i="41"/>
  <c r="HK147" i="41"/>
  <c r="MU150" i="41"/>
  <c r="LN153" i="41"/>
  <c r="EO154" i="41"/>
  <c r="IR154" i="41"/>
  <c r="IR162" i="41"/>
  <c r="LN143" i="41"/>
  <c r="DH147" i="41"/>
  <c r="LN147" i="41"/>
  <c r="MU151" i="41"/>
  <c r="EO155" i="41"/>
  <c r="IR155" i="41"/>
  <c r="MU159" i="41"/>
  <c r="EO163" i="41"/>
  <c r="IR163" i="41"/>
  <c r="EO149" i="41"/>
  <c r="IR149" i="41"/>
  <c r="MU153" i="41"/>
  <c r="EO157" i="41"/>
  <c r="IR157" i="41"/>
  <c r="MU161" i="41"/>
  <c r="EO165" i="41"/>
  <c r="IR165" i="41"/>
  <c r="HK144" i="41"/>
  <c r="LN149" i="41"/>
  <c r="EO150" i="41"/>
  <c r="IR150" i="41"/>
  <c r="MU154" i="41"/>
  <c r="IR158" i="41"/>
  <c r="IR166" i="41"/>
  <c r="EO151" i="41"/>
  <c r="IR151" i="41"/>
  <c r="MU155" i="41"/>
  <c r="EO159" i="41"/>
  <c r="IR159" i="41"/>
  <c r="MU163" i="41"/>
  <c r="IR167" i="41"/>
  <c r="JY174" i="41"/>
  <c r="JY175" i="41"/>
  <c r="JY177" i="41"/>
  <c r="JY178" i="41"/>
  <c r="JY179" i="41"/>
  <c r="JY180" i="41"/>
  <c r="JY181" i="41"/>
  <c r="HK171" i="41"/>
  <c r="HK173" i="41"/>
  <c r="PQ174" i="41"/>
  <c r="PQ175" i="41"/>
  <c r="PQ177" i="41"/>
  <c r="PQ178" i="41"/>
  <c r="PQ179" i="41"/>
  <c r="PQ180" i="41"/>
  <c r="PQ181" i="41"/>
  <c r="PQ182" i="41"/>
  <c r="PQ183" i="41"/>
  <c r="PQ184" i="41"/>
  <c r="PQ185" i="41"/>
  <c r="PQ186" i="41"/>
  <c r="LN189" i="41"/>
  <c r="DH171" i="41"/>
  <c r="DH173" i="41"/>
  <c r="OB188" i="41"/>
  <c r="FV190" i="41"/>
  <c r="PQ170" i="41"/>
  <c r="PQ172" i="41"/>
  <c r="HK188" i="41"/>
  <c r="LN188" i="41"/>
  <c r="DH189" i="41"/>
  <c r="OB190" i="41"/>
  <c r="LN174" i="41"/>
  <c r="LN175" i="41"/>
  <c r="LN177" i="41"/>
  <c r="LN178" i="41"/>
  <c r="LN179" i="41"/>
  <c r="LN180" i="41"/>
  <c r="LN181" i="41"/>
  <c r="LN182" i="41"/>
  <c r="LN183" i="41"/>
  <c r="LN184" i="41"/>
  <c r="LN185" i="41"/>
  <c r="LN186" i="41"/>
  <c r="LN187" i="41"/>
  <c r="LN190" i="41"/>
  <c r="LN170" i="41"/>
  <c r="LN172" i="41"/>
  <c r="PQ82" i="41" l="1"/>
  <c r="OB82" i="41"/>
  <c r="MU82" i="41"/>
  <c r="JY82" i="41"/>
  <c r="LN82" i="41"/>
  <c r="PQ121" i="41"/>
  <c r="FV82" i="41"/>
  <c r="IR82" i="41"/>
  <c r="BS82" i="41"/>
  <c r="DH191" i="41"/>
  <c r="BS191" i="41"/>
  <c r="LN121" i="41"/>
  <c r="EO82" i="41"/>
  <c r="HK121" i="41"/>
  <c r="OB121" i="41"/>
  <c r="DH121" i="41"/>
  <c r="JY121" i="41"/>
  <c r="FV121" i="41"/>
  <c r="MU121" i="41"/>
  <c r="CP123" i="41"/>
  <c r="CP84" i="41"/>
  <c r="CR2" i="41"/>
  <c r="BS121" i="41"/>
  <c r="HK82" i="41"/>
  <c r="N123" i="41"/>
  <c r="N84" i="41"/>
  <c r="O2" i="41"/>
  <c r="IR121" i="41"/>
  <c r="EO121" i="41"/>
  <c r="DH82" i="41"/>
  <c r="O123" i="41" l="1"/>
  <c r="O84" i="41"/>
  <c r="P2" i="41"/>
  <c r="CR123" i="41"/>
  <c r="CR84" i="41"/>
  <c r="CS2" i="41"/>
  <c r="CS123" i="41" l="1"/>
  <c r="CS84" i="41"/>
  <c r="CT2" i="41"/>
  <c r="P123" i="41"/>
  <c r="P84" i="41"/>
  <c r="Q2" i="41"/>
  <c r="Q123" i="41" l="1"/>
  <c r="Q84" i="41"/>
  <c r="R2" i="41"/>
  <c r="CT123" i="41"/>
  <c r="CT84" i="41"/>
  <c r="CU2" i="41"/>
  <c r="R123" i="41" l="1"/>
  <c r="R84" i="41"/>
  <c r="S2" i="41"/>
  <c r="CU123" i="41"/>
  <c r="CU84" i="41"/>
  <c r="CV2" i="41"/>
  <c r="S123" i="41" l="1"/>
  <c r="S84" i="41"/>
  <c r="T2" i="41"/>
  <c r="CV123" i="41"/>
  <c r="CV84" i="41"/>
  <c r="CW2" i="41"/>
  <c r="T123" i="41" l="1"/>
  <c r="T84" i="41"/>
  <c r="V2" i="41"/>
  <c r="CW123" i="41"/>
  <c r="CW84" i="41"/>
  <c r="CX2" i="41"/>
  <c r="CX123" i="41" l="1"/>
  <c r="CX84" i="41"/>
  <c r="CZ2" i="41"/>
  <c r="V123" i="41"/>
  <c r="V84" i="41"/>
  <c r="W2" i="41"/>
  <c r="CZ84" i="41" l="1"/>
  <c r="CZ123" i="41"/>
  <c r="DA2" i="41"/>
  <c r="W123" i="41"/>
  <c r="W84" i="41"/>
  <c r="X2" i="41"/>
  <c r="DA123" i="41" l="1"/>
  <c r="DB2" i="41"/>
  <c r="DA84" i="41"/>
  <c r="X123" i="41"/>
  <c r="X84" i="41"/>
  <c r="Y2" i="41"/>
  <c r="DB123" i="41" l="1"/>
  <c r="DB84" i="41"/>
  <c r="DC2" i="41"/>
  <c r="Y123" i="41"/>
  <c r="Y84" i="41"/>
  <c r="Z2" i="41"/>
  <c r="DC123" i="41" l="1"/>
  <c r="DC84" i="41"/>
  <c r="DD2" i="41"/>
  <c r="Z123" i="41"/>
  <c r="Z84" i="41"/>
  <c r="AA2" i="41"/>
  <c r="AA123" i="41" l="1"/>
  <c r="AA84" i="41"/>
  <c r="AB2" i="41"/>
  <c r="DD123" i="41"/>
  <c r="DD84" i="41"/>
  <c r="DE2" i="41"/>
  <c r="DE123" i="41" l="1"/>
  <c r="DE84" i="41"/>
  <c r="DF2" i="41"/>
  <c r="AB123" i="41"/>
  <c r="AB84" i="41"/>
  <c r="AD2" i="41"/>
  <c r="AD123" i="41" l="1"/>
  <c r="AD84" i="41"/>
  <c r="AE2" i="41"/>
  <c r="DF123" i="41"/>
  <c r="DI123" i="41" s="1"/>
  <c r="DJ123" i="41" s="1"/>
  <c r="DK123" i="41" s="1"/>
  <c r="DL123" i="41" s="1"/>
  <c r="DM123" i="41" s="1"/>
  <c r="DN123" i="41" s="1"/>
  <c r="DO123" i="41" s="1"/>
  <c r="DQ123" i="41" s="1"/>
  <c r="DR123" i="41" s="1"/>
  <c r="DS123" i="41" s="1"/>
  <c r="DT123" i="41" s="1"/>
  <c r="DU123" i="41" s="1"/>
  <c r="DV123" i="41" s="1"/>
  <c r="DW123" i="41" s="1"/>
  <c r="DY123" i="41" s="1"/>
  <c r="DZ123" i="41" s="1"/>
  <c r="EA123" i="41" s="1"/>
  <c r="EB123" i="41" s="1"/>
  <c r="EC123" i="41" s="1"/>
  <c r="ED123" i="41" s="1"/>
  <c r="EE123" i="41" s="1"/>
  <c r="EG123" i="41" s="1"/>
  <c r="EH123" i="41" s="1"/>
  <c r="EI123" i="41" s="1"/>
  <c r="EJ123" i="41" s="1"/>
  <c r="EK123" i="41" s="1"/>
  <c r="EL123" i="41" s="1"/>
  <c r="EM123" i="41" s="1"/>
  <c r="EP123" i="41" s="1"/>
  <c r="EQ123" i="41" s="1"/>
  <c r="ER123" i="41" s="1"/>
  <c r="ES123" i="41" s="1"/>
  <c r="ET123" i="41" s="1"/>
  <c r="EU123" i="41" s="1"/>
  <c r="EV123" i="41" s="1"/>
  <c r="EX123" i="41" s="1"/>
  <c r="EY123" i="41" s="1"/>
  <c r="EZ123" i="41" s="1"/>
  <c r="FA123" i="41" s="1"/>
  <c r="FB123" i="41" s="1"/>
  <c r="FC123" i="41" s="1"/>
  <c r="FD123" i="41" s="1"/>
  <c r="FF123" i="41" s="1"/>
  <c r="FG123" i="41" s="1"/>
  <c r="FH123" i="41" s="1"/>
  <c r="FI123" i="41" s="1"/>
  <c r="FJ123" i="41" s="1"/>
  <c r="FK123" i="41" s="1"/>
  <c r="FL123" i="41" s="1"/>
  <c r="FN123" i="41" s="1"/>
  <c r="FO123" i="41" s="1"/>
  <c r="FP123" i="41" s="1"/>
  <c r="FQ123" i="41" s="1"/>
  <c r="FR123" i="41" s="1"/>
  <c r="FS123" i="41" s="1"/>
  <c r="FT123" i="41" s="1"/>
  <c r="FW123" i="41" s="1"/>
  <c r="FX123" i="41" s="1"/>
  <c r="FY123" i="41" s="1"/>
  <c r="FZ123" i="41" s="1"/>
  <c r="GA123" i="41" s="1"/>
  <c r="GB123" i="41" s="1"/>
  <c r="GC123" i="41" s="1"/>
  <c r="GE123" i="41" s="1"/>
  <c r="GF123" i="41" s="1"/>
  <c r="GG123" i="41" s="1"/>
  <c r="GH123" i="41" s="1"/>
  <c r="GI123" i="41" s="1"/>
  <c r="GJ123" i="41" s="1"/>
  <c r="GK123" i="41" s="1"/>
  <c r="GM123" i="41" s="1"/>
  <c r="GN123" i="41" s="1"/>
  <c r="GO123" i="41" s="1"/>
  <c r="GP123" i="41" s="1"/>
  <c r="GQ123" i="41" s="1"/>
  <c r="GR123" i="41" s="1"/>
  <c r="GS123" i="41" s="1"/>
  <c r="GU123" i="41" s="1"/>
  <c r="GV123" i="41" s="1"/>
  <c r="GW123" i="41" s="1"/>
  <c r="GX123" i="41" s="1"/>
  <c r="GY123" i="41" s="1"/>
  <c r="GZ123" i="41" s="1"/>
  <c r="HA123" i="41" s="1"/>
  <c r="HC123" i="41" s="1"/>
  <c r="HD123" i="41" s="1"/>
  <c r="HE123" i="41" s="1"/>
  <c r="HF123" i="41" s="1"/>
  <c r="HG123" i="41" s="1"/>
  <c r="HH123" i="41" s="1"/>
  <c r="HI123" i="41" s="1"/>
  <c r="HL123" i="41" s="1"/>
  <c r="HM123" i="41" s="1"/>
  <c r="HN123" i="41" s="1"/>
  <c r="HO123" i="41" s="1"/>
  <c r="HP123" i="41" s="1"/>
  <c r="HQ123" i="41" s="1"/>
  <c r="HR123" i="41" s="1"/>
  <c r="HT123" i="41" s="1"/>
  <c r="HU123" i="41" s="1"/>
  <c r="HV123" i="41" s="1"/>
  <c r="HW123" i="41" s="1"/>
  <c r="HX123" i="41" s="1"/>
  <c r="HY123" i="41" s="1"/>
  <c r="HZ123" i="41" s="1"/>
  <c r="IB123" i="41" s="1"/>
  <c r="IC123" i="41" s="1"/>
  <c r="ID123" i="41" s="1"/>
  <c r="IE123" i="41" s="1"/>
  <c r="IF123" i="41" s="1"/>
  <c r="IG123" i="41" s="1"/>
  <c r="IH123" i="41" s="1"/>
  <c r="IJ123" i="41" s="1"/>
  <c r="IK123" i="41" s="1"/>
  <c r="IL123" i="41" s="1"/>
  <c r="IM123" i="41" s="1"/>
  <c r="IN123" i="41" s="1"/>
  <c r="IO123" i="41" s="1"/>
  <c r="IP123" i="41" s="1"/>
  <c r="IS123" i="41" s="1"/>
  <c r="IT123" i="41" s="1"/>
  <c r="IU123" i="41" s="1"/>
  <c r="IV123" i="41" s="1"/>
  <c r="IW123" i="41" s="1"/>
  <c r="IX123" i="41" s="1"/>
  <c r="IY123" i="41" s="1"/>
  <c r="JA123" i="41" s="1"/>
  <c r="JB123" i="41" s="1"/>
  <c r="JC123" i="41" s="1"/>
  <c r="JD123" i="41" s="1"/>
  <c r="JE123" i="41" s="1"/>
  <c r="JF123" i="41" s="1"/>
  <c r="JG123" i="41" s="1"/>
  <c r="JI123" i="41" s="1"/>
  <c r="JJ123" i="41" s="1"/>
  <c r="JK123" i="41" s="1"/>
  <c r="JL123" i="41" s="1"/>
  <c r="JM123" i="41" s="1"/>
  <c r="JN123" i="41" s="1"/>
  <c r="JO123" i="41" s="1"/>
  <c r="JQ123" i="41" s="1"/>
  <c r="JR123" i="41" s="1"/>
  <c r="JS123" i="41" s="1"/>
  <c r="JT123" i="41" s="1"/>
  <c r="JU123" i="41" s="1"/>
  <c r="JV123" i="41" s="1"/>
  <c r="JW123" i="41" s="1"/>
  <c r="JZ123" i="41" s="1"/>
  <c r="KA123" i="41" s="1"/>
  <c r="KB123" i="41" s="1"/>
  <c r="KC123" i="41" s="1"/>
  <c r="KD123" i="41" s="1"/>
  <c r="KE123" i="41" s="1"/>
  <c r="KF123" i="41" s="1"/>
  <c r="KH123" i="41" s="1"/>
  <c r="KI123" i="41" s="1"/>
  <c r="KJ123" i="41" s="1"/>
  <c r="KK123" i="41" s="1"/>
  <c r="KL123" i="41" s="1"/>
  <c r="KM123" i="41" s="1"/>
  <c r="KN123" i="41" s="1"/>
  <c r="KP123" i="41" s="1"/>
  <c r="KQ123" i="41" s="1"/>
  <c r="KR123" i="41" s="1"/>
  <c r="KS123" i="41" s="1"/>
  <c r="KT123" i="41" s="1"/>
  <c r="KU123" i="41" s="1"/>
  <c r="KV123" i="41" s="1"/>
  <c r="KX123" i="41" s="1"/>
  <c r="KY123" i="41" s="1"/>
  <c r="KZ123" i="41" s="1"/>
  <c r="LA123" i="41" s="1"/>
  <c r="LB123" i="41" s="1"/>
  <c r="LC123" i="41" s="1"/>
  <c r="LD123" i="41" s="1"/>
  <c r="LF123" i="41" s="1"/>
  <c r="LG123" i="41" s="1"/>
  <c r="LH123" i="41" s="1"/>
  <c r="LI123" i="41" s="1"/>
  <c r="LJ123" i="41" s="1"/>
  <c r="LK123" i="41" s="1"/>
  <c r="LL123" i="41" s="1"/>
  <c r="LO123" i="41" s="1"/>
  <c r="LP123" i="41" s="1"/>
  <c r="LQ123" i="41" s="1"/>
  <c r="LR123" i="41" s="1"/>
  <c r="LS123" i="41" s="1"/>
  <c r="LT123" i="41" s="1"/>
  <c r="LU123" i="41" s="1"/>
  <c r="LW123" i="41" s="1"/>
  <c r="LX123" i="41" s="1"/>
  <c r="LY123" i="41" s="1"/>
  <c r="LZ123" i="41" s="1"/>
  <c r="MA123" i="41" s="1"/>
  <c r="MB123" i="41" s="1"/>
  <c r="MC123" i="41" s="1"/>
  <c r="ME123" i="41" s="1"/>
  <c r="MF123" i="41" s="1"/>
  <c r="MG123" i="41" s="1"/>
  <c r="MH123" i="41" s="1"/>
  <c r="MI123" i="41" s="1"/>
  <c r="MJ123" i="41" s="1"/>
  <c r="MK123" i="41" s="1"/>
  <c r="MM123" i="41" s="1"/>
  <c r="MN123" i="41" s="1"/>
  <c r="MO123" i="41" s="1"/>
  <c r="MP123" i="41" s="1"/>
  <c r="MQ123" i="41" s="1"/>
  <c r="MR123" i="41" s="1"/>
  <c r="MS123" i="41" s="1"/>
  <c r="MV123" i="41" s="1"/>
  <c r="MW123" i="41" s="1"/>
  <c r="MX123" i="41" s="1"/>
  <c r="MY123" i="41" s="1"/>
  <c r="MZ123" i="41" s="1"/>
  <c r="NA123" i="41" s="1"/>
  <c r="NB123" i="41" s="1"/>
  <c r="ND123" i="41" s="1"/>
  <c r="NE123" i="41" s="1"/>
  <c r="NF123" i="41" s="1"/>
  <c r="NG123" i="41" s="1"/>
  <c r="NH123" i="41" s="1"/>
  <c r="NI123" i="41" s="1"/>
  <c r="NJ123" i="41" s="1"/>
  <c r="NL123" i="41" s="1"/>
  <c r="NM123" i="41" s="1"/>
  <c r="NN123" i="41" s="1"/>
  <c r="NO123" i="41" s="1"/>
  <c r="NP123" i="41" s="1"/>
  <c r="NQ123" i="41" s="1"/>
  <c r="NR123" i="41" s="1"/>
  <c r="NT123" i="41" s="1"/>
  <c r="NU123" i="41" s="1"/>
  <c r="NV123" i="41" s="1"/>
  <c r="NW123" i="41" s="1"/>
  <c r="NX123" i="41" s="1"/>
  <c r="NY123" i="41" s="1"/>
  <c r="NZ123" i="41" s="1"/>
  <c r="OC123" i="41" s="1"/>
  <c r="OD123" i="41" s="1"/>
  <c r="OE123" i="41" s="1"/>
  <c r="OF123" i="41" s="1"/>
  <c r="OG123" i="41" s="1"/>
  <c r="OH123" i="41" s="1"/>
  <c r="OI123" i="41" s="1"/>
  <c r="OK123" i="41" s="1"/>
  <c r="OL123" i="41" s="1"/>
  <c r="OM123" i="41" s="1"/>
  <c r="ON123" i="41" s="1"/>
  <c r="OO123" i="41" s="1"/>
  <c r="OP123" i="41" s="1"/>
  <c r="OQ123" i="41" s="1"/>
  <c r="OS123" i="41" s="1"/>
  <c r="OT123" i="41" s="1"/>
  <c r="OU123" i="41" s="1"/>
  <c r="OV123" i="41" s="1"/>
  <c r="OW123" i="41" s="1"/>
  <c r="OX123" i="41" s="1"/>
  <c r="OY123" i="41" s="1"/>
  <c r="PA123" i="41" s="1"/>
  <c r="PB123" i="41" s="1"/>
  <c r="PC123" i="41" s="1"/>
  <c r="PD123" i="41" s="1"/>
  <c r="PE123" i="41" s="1"/>
  <c r="PF123" i="41" s="1"/>
  <c r="PG123" i="41" s="1"/>
  <c r="PI123" i="41" s="1"/>
  <c r="PJ123" i="41" s="1"/>
  <c r="PK123" i="41" s="1"/>
  <c r="PL123" i="41" s="1"/>
  <c r="PM123" i="41" s="1"/>
  <c r="PN123" i="41" s="1"/>
  <c r="PO123" i="41" s="1"/>
  <c r="PS123" i="41" s="1"/>
  <c r="PT123" i="41" s="1"/>
  <c r="PU123" i="41" s="1"/>
  <c r="PV123" i="41" s="1"/>
  <c r="PW123" i="41" s="1"/>
  <c r="PX123" i="41" s="1"/>
  <c r="PZ123" i="41" s="1"/>
  <c r="QA123" i="41" s="1"/>
  <c r="QB123" i="41" s="1"/>
  <c r="QC123" i="41" s="1"/>
  <c r="QD123" i="41" s="1"/>
  <c r="QE123" i="41" s="1"/>
  <c r="QF123" i="41" s="1"/>
  <c r="QH123" i="41" s="1"/>
  <c r="QI123" i="41" s="1"/>
  <c r="QJ123" i="41" s="1"/>
  <c r="QK123" i="41" s="1"/>
  <c r="QL123" i="41" s="1"/>
  <c r="QM123" i="41" s="1"/>
  <c r="QN123" i="41" s="1"/>
  <c r="QP123" i="41" s="1"/>
  <c r="QQ123" i="41" s="1"/>
  <c r="QR123" i="41" s="1"/>
  <c r="QS123" i="41" s="1"/>
  <c r="QT123" i="41" s="1"/>
  <c r="QU123" i="41" s="1"/>
  <c r="QV123" i="41" s="1"/>
  <c r="QY123" i="41" s="1"/>
  <c r="QZ123" i="41" s="1"/>
  <c r="RA123" i="41" s="1"/>
  <c r="RB123" i="41" s="1"/>
  <c r="RC123" i="41" s="1"/>
  <c r="RD123" i="41" s="1"/>
  <c r="RE123" i="41" s="1"/>
  <c r="RG123" i="41" s="1"/>
  <c r="RH123" i="41" s="1"/>
  <c r="RI123" i="41" s="1"/>
  <c r="RJ123" i="41" s="1"/>
  <c r="RK123" i="41" s="1"/>
  <c r="RL123" i="41" s="1"/>
  <c r="RM123" i="41" s="1"/>
  <c r="RO123" i="41" s="1"/>
  <c r="RP123" i="41" s="1"/>
  <c r="RQ123" i="41" s="1"/>
  <c r="RR123" i="41" s="1"/>
  <c r="RS123" i="41" s="1"/>
  <c r="RT123" i="41" s="1"/>
  <c r="RU123" i="41" s="1"/>
  <c r="RW123" i="41" s="1"/>
  <c r="RX123" i="41" s="1"/>
  <c r="RY123" i="41" s="1"/>
  <c r="RZ123" i="41" s="1"/>
  <c r="SA123" i="41" s="1"/>
  <c r="SB123" i="41" s="1"/>
  <c r="SC123" i="41" s="1"/>
  <c r="SF123" i="41" s="1"/>
  <c r="SG123" i="41" s="1"/>
  <c r="SH123" i="41" s="1"/>
  <c r="SI123" i="41" s="1"/>
  <c r="SJ123" i="41" s="1"/>
  <c r="SK123" i="41" s="1"/>
  <c r="SL123" i="41" s="1"/>
  <c r="SN123" i="41" s="1"/>
  <c r="SO123" i="41" s="1"/>
  <c r="SP123" i="41" s="1"/>
  <c r="SQ123" i="41" s="1"/>
  <c r="SR123" i="41" s="1"/>
  <c r="SS123" i="41" s="1"/>
  <c r="ST123" i="41" s="1"/>
  <c r="SV123" i="41" s="1"/>
  <c r="SW123" i="41" s="1"/>
  <c r="SX123" i="41" s="1"/>
  <c r="SY123" i="41" s="1"/>
  <c r="SZ123" i="41" s="1"/>
  <c r="TA123" i="41" s="1"/>
  <c r="TB123" i="41" s="1"/>
  <c r="TD123" i="41" s="1"/>
  <c r="TE123" i="41" s="1"/>
  <c r="TF123" i="41" s="1"/>
  <c r="TG123" i="41" s="1"/>
  <c r="TH123" i="41" s="1"/>
  <c r="TI123" i="41" s="1"/>
  <c r="TJ123" i="41" s="1"/>
  <c r="TL123" i="41" s="1"/>
  <c r="TM123" i="41" s="1"/>
  <c r="TN123" i="41" s="1"/>
  <c r="TO123" i="41" s="1"/>
  <c r="TP123" i="41" s="1"/>
  <c r="TQ123" i="41" s="1"/>
  <c r="TR123" i="41" s="1"/>
  <c r="DF84" i="41"/>
  <c r="DI84" i="41" s="1"/>
  <c r="DJ84" i="41" s="1"/>
  <c r="DK84" i="41" s="1"/>
  <c r="DL84" i="41" s="1"/>
  <c r="DM84" i="41" s="1"/>
  <c r="DN84" i="41" s="1"/>
  <c r="DO84" i="41" s="1"/>
  <c r="DQ84" i="41" s="1"/>
  <c r="DR84" i="41" s="1"/>
  <c r="DS84" i="41" s="1"/>
  <c r="DT84" i="41" s="1"/>
  <c r="DU84" i="41" s="1"/>
  <c r="DV84" i="41" s="1"/>
  <c r="DW84" i="41" s="1"/>
  <c r="DY84" i="41" s="1"/>
  <c r="DZ84" i="41" s="1"/>
  <c r="EA84" i="41" s="1"/>
  <c r="EB84" i="41" s="1"/>
  <c r="EC84" i="41" s="1"/>
  <c r="ED84" i="41" s="1"/>
  <c r="EE84" i="41" s="1"/>
  <c r="EG84" i="41" s="1"/>
  <c r="EH84" i="41" s="1"/>
  <c r="EI84" i="41" s="1"/>
  <c r="EJ84" i="41" s="1"/>
  <c r="EK84" i="41" s="1"/>
  <c r="EL84" i="41" s="1"/>
  <c r="EM84" i="41" s="1"/>
  <c r="EP84" i="41" s="1"/>
  <c r="EQ84" i="41" s="1"/>
  <c r="ER84" i="41" s="1"/>
  <c r="ES84" i="41" s="1"/>
  <c r="ET84" i="41" s="1"/>
  <c r="EU84" i="41" s="1"/>
  <c r="EV84" i="41" s="1"/>
  <c r="EX84" i="41" s="1"/>
  <c r="EY84" i="41" s="1"/>
  <c r="EZ84" i="41" s="1"/>
  <c r="FA84" i="41" s="1"/>
  <c r="FB84" i="41" s="1"/>
  <c r="FC84" i="41" s="1"/>
  <c r="FD84" i="41" s="1"/>
  <c r="FF84" i="41" s="1"/>
  <c r="FG84" i="41" s="1"/>
  <c r="FH84" i="41" s="1"/>
  <c r="FI84" i="41" s="1"/>
  <c r="FJ84" i="41" s="1"/>
  <c r="FK84" i="41" s="1"/>
  <c r="FL84" i="41" s="1"/>
  <c r="FN84" i="41" s="1"/>
  <c r="FO84" i="41" s="1"/>
  <c r="FP84" i="41" s="1"/>
  <c r="FQ84" i="41" s="1"/>
  <c r="FR84" i="41" s="1"/>
  <c r="FS84" i="41" s="1"/>
  <c r="FT84" i="41" s="1"/>
  <c r="FW84" i="41" s="1"/>
  <c r="FX84" i="41" s="1"/>
  <c r="FY84" i="41" s="1"/>
  <c r="FZ84" i="41" s="1"/>
  <c r="GA84" i="41" s="1"/>
  <c r="GB84" i="41" s="1"/>
  <c r="GC84" i="41" s="1"/>
  <c r="GE84" i="41" s="1"/>
  <c r="GF84" i="41" s="1"/>
  <c r="GG84" i="41" s="1"/>
  <c r="GH84" i="41" s="1"/>
  <c r="GI84" i="41" s="1"/>
  <c r="GJ84" i="41" s="1"/>
  <c r="GK84" i="41" s="1"/>
  <c r="GM84" i="41" s="1"/>
  <c r="GN84" i="41" s="1"/>
  <c r="GO84" i="41" s="1"/>
  <c r="GP84" i="41" s="1"/>
  <c r="GQ84" i="41" s="1"/>
  <c r="GR84" i="41" s="1"/>
  <c r="GS84" i="41" s="1"/>
  <c r="GU84" i="41" s="1"/>
  <c r="GV84" i="41" s="1"/>
  <c r="GW84" i="41" s="1"/>
  <c r="GX84" i="41" s="1"/>
  <c r="GY84" i="41" s="1"/>
  <c r="GZ84" i="41" s="1"/>
  <c r="HA84" i="41" s="1"/>
  <c r="HC84" i="41" s="1"/>
  <c r="HD84" i="41" s="1"/>
  <c r="HE84" i="41" s="1"/>
  <c r="HF84" i="41" s="1"/>
  <c r="HG84" i="41" s="1"/>
  <c r="HH84" i="41" s="1"/>
  <c r="HI84" i="41" s="1"/>
  <c r="HL84" i="41" s="1"/>
  <c r="HM84" i="41" s="1"/>
  <c r="HN84" i="41" s="1"/>
  <c r="HO84" i="41" s="1"/>
  <c r="HP84" i="41" s="1"/>
  <c r="HQ84" i="41" s="1"/>
  <c r="HR84" i="41" s="1"/>
  <c r="HT84" i="41" s="1"/>
  <c r="HU84" i="41" s="1"/>
  <c r="HV84" i="41" s="1"/>
  <c r="HW84" i="41" s="1"/>
  <c r="HX84" i="41" s="1"/>
  <c r="HY84" i="41" s="1"/>
  <c r="HZ84" i="41" s="1"/>
  <c r="IB84" i="41" s="1"/>
  <c r="IC84" i="41" s="1"/>
  <c r="ID84" i="41" s="1"/>
  <c r="IE84" i="41" s="1"/>
  <c r="IF84" i="41" s="1"/>
  <c r="IG84" i="41" s="1"/>
  <c r="IH84" i="41" s="1"/>
  <c r="IJ84" i="41" s="1"/>
  <c r="IK84" i="41" s="1"/>
  <c r="IL84" i="41" s="1"/>
  <c r="IM84" i="41" s="1"/>
  <c r="IN84" i="41" s="1"/>
  <c r="IO84" i="41" s="1"/>
  <c r="IP84" i="41" s="1"/>
  <c r="IS84" i="41" s="1"/>
  <c r="IT84" i="41" s="1"/>
  <c r="IU84" i="41" s="1"/>
  <c r="IV84" i="41" s="1"/>
  <c r="IW84" i="41" s="1"/>
  <c r="IX84" i="41" s="1"/>
  <c r="IY84" i="41" s="1"/>
  <c r="JA84" i="41" s="1"/>
  <c r="JB84" i="41" s="1"/>
  <c r="JC84" i="41" s="1"/>
  <c r="JD84" i="41" s="1"/>
  <c r="JE84" i="41" s="1"/>
  <c r="JF84" i="41" s="1"/>
  <c r="JG84" i="41" s="1"/>
  <c r="JI84" i="41" s="1"/>
  <c r="JJ84" i="41" s="1"/>
  <c r="JK84" i="41" s="1"/>
  <c r="JL84" i="41" s="1"/>
  <c r="JM84" i="41" s="1"/>
  <c r="JN84" i="41" s="1"/>
  <c r="JO84" i="41" s="1"/>
  <c r="JQ84" i="41" s="1"/>
  <c r="JR84" i="41" s="1"/>
  <c r="JS84" i="41" s="1"/>
  <c r="JT84" i="41" s="1"/>
  <c r="JU84" i="41" s="1"/>
  <c r="JV84" i="41" s="1"/>
  <c r="JW84" i="41" s="1"/>
  <c r="JZ84" i="41" s="1"/>
  <c r="KA84" i="41" s="1"/>
  <c r="KB84" i="41" s="1"/>
  <c r="KC84" i="41" s="1"/>
  <c r="KD84" i="41" s="1"/>
  <c r="KE84" i="41" s="1"/>
  <c r="KF84" i="41" s="1"/>
  <c r="KH84" i="41" s="1"/>
  <c r="KI84" i="41" s="1"/>
  <c r="KJ84" i="41" s="1"/>
  <c r="KK84" i="41" s="1"/>
  <c r="KL84" i="41" s="1"/>
  <c r="KM84" i="41" s="1"/>
  <c r="KN84" i="41" s="1"/>
  <c r="KP84" i="41" s="1"/>
  <c r="KQ84" i="41" s="1"/>
  <c r="KR84" i="41" s="1"/>
  <c r="KS84" i="41" s="1"/>
  <c r="KT84" i="41" s="1"/>
  <c r="KU84" i="41" s="1"/>
  <c r="KV84" i="41" s="1"/>
  <c r="DI2" i="41"/>
  <c r="DJ2" i="41" s="1"/>
  <c r="DK2" i="41" s="1"/>
  <c r="DL2" i="41" s="1"/>
  <c r="DM2" i="41" s="1"/>
  <c r="DN2" i="41" s="1"/>
  <c r="DO2" i="41" s="1"/>
  <c r="DQ2" i="41" s="1"/>
  <c r="DR2" i="41" s="1"/>
  <c r="DS2" i="41" s="1"/>
  <c r="DT2" i="41" s="1"/>
  <c r="DU2" i="41" s="1"/>
  <c r="DV2" i="41" s="1"/>
  <c r="DW2" i="41" s="1"/>
  <c r="DY2" i="41" s="1"/>
  <c r="DZ2" i="41" s="1"/>
  <c r="EA2" i="41" s="1"/>
  <c r="EB2" i="41" s="1"/>
  <c r="EC2" i="41" s="1"/>
  <c r="ED2" i="41" s="1"/>
  <c r="EE2" i="41" s="1"/>
  <c r="EG2" i="41" s="1"/>
  <c r="EH2" i="41" s="1"/>
  <c r="EI2" i="41" s="1"/>
  <c r="EJ2" i="41" s="1"/>
  <c r="EK2" i="41" s="1"/>
  <c r="EL2" i="41" s="1"/>
  <c r="EM2" i="41" s="1"/>
  <c r="KX84" i="41" l="1"/>
  <c r="KY84" i="41" s="1"/>
  <c r="KZ84" i="41" s="1"/>
  <c r="LA84" i="41" s="1"/>
  <c r="LB84" i="41" s="1"/>
  <c r="LC84" i="41" s="1"/>
  <c r="LD84" i="41" s="1"/>
  <c r="LF84" i="41" s="1"/>
  <c r="LG84" i="41" s="1"/>
  <c r="LH84" i="41" s="1"/>
  <c r="LI84" i="41" s="1"/>
  <c r="LJ84" i="41" s="1"/>
  <c r="LK84" i="41" s="1"/>
  <c r="LL84" i="41" s="1"/>
  <c r="LO84" i="41" s="1"/>
  <c r="LP84" i="41" s="1"/>
  <c r="LQ84" i="41" s="1"/>
  <c r="LR84" i="41" s="1"/>
  <c r="LS84" i="41" s="1"/>
  <c r="LT84" i="41" s="1"/>
  <c r="LU84" i="41" s="1"/>
  <c r="LW84" i="41" s="1"/>
  <c r="LX84" i="41" s="1"/>
  <c r="LY84" i="41" s="1"/>
  <c r="LZ84" i="41" s="1"/>
  <c r="MA84" i="41" s="1"/>
  <c r="MB84" i="41" s="1"/>
  <c r="MC84" i="41" s="1"/>
  <c r="ME84" i="41" s="1"/>
  <c r="MF84" i="41" s="1"/>
  <c r="MG84" i="41" s="1"/>
  <c r="MH84" i="41" s="1"/>
  <c r="MI84" i="41" s="1"/>
  <c r="MJ84" i="41" s="1"/>
  <c r="MK84" i="41" s="1"/>
  <c r="MM84" i="41" s="1"/>
  <c r="MN84" i="41" s="1"/>
  <c r="MO84" i="41" s="1"/>
  <c r="MP84" i="41" s="1"/>
  <c r="MQ84" i="41" s="1"/>
  <c r="MR84" i="41" s="1"/>
  <c r="MS84" i="41" s="1"/>
  <c r="MV84" i="41" s="1"/>
  <c r="MW84" i="41" s="1"/>
  <c r="MX84" i="41" s="1"/>
  <c r="MY84" i="41" s="1"/>
  <c r="MZ84" i="41" s="1"/>
  <c r="NA84" i="41" s="1"/>
  <c r="NB84" i="41" s="1"/>
  <c r="ND84" i="41" s="1"/>
  <c r="NE84" i="41" s="1"/>
  <c r="NF84" i="41" s="1"/>
  <c r="NG84" i="41" s="1"/>
  <c r="NH84" i="41" s="1"/>
  <c r="NI84" i="41" s="1"/>
  <c r="NJ84" i="41" s="1"/>
  <c r="NL84" i="41" s="1"/>
  <c r="NM84" i="41" s="1"/>
  <c r="NN84" i="41" s="1"/>
  <c r="NO84" i="41" s="1"/>
  <c r="NP84" i="41" s="1"/>
  <c r="NQ84" i="41" s="1"/>
  <c r="NR84" i="41" s="1"/>
  <c r="NT84" i="41" s="1"/>
  <c r="NU84" i="41" s="1"/>
  <c r="NV84" i="41" s="1"/>
  <c r="NW84" i="41" s="1"/>
  <c r="NX84" i="41" s="1"/>
  <c r="NY84" i="41" s="1"/>
  <c r="NZ84" i="41" s="1"/>
  <c r="OC84" i="41" s="1"/>
  <c r="OD84" i="41" s="1"/>
  <c r="OE84" i="41" s="1"/>
  <c r="OF84" i="41" s="1"/>
  <c r="OG84" i="41" s="1"/>
  <c r="OH84" i="41" s="1"/>
  <c r="OI84" i="41" s="1"/>
  <c r="OK84" i="41" s="1"/>
  <c r="OL84" i="41" s="1"/>
  <c r="OM84" i="41" s="1"/>
  <c r="ON84" i="41" s="1"/>
  <c r="OO84" i="41" s="1"/>
  <c r="OP84" i="41" s="1"/>
  <c r="OQ84" i="41" s="1"/>
  <c r="OS84" i="41" s="1"/>
  <c r="OT84" i="41" s="1"/>
  <c r="OU84" i="41" s="1"/>
  <c r="OV84" i="41" s="1"/>
  <c r="OW84" i="41" s="1"/>
  <c r="OX84" i="41" s="1"/>
  <c r="OY84" i="41" s="1"/>
  <c r="PA84" i="41" s="1"/>
  <c r="PB84" i="41" s="1"/>
  <c r="PC84" i="41" s="1"/>
  <c r="PD84" i="41" s="1"/>
  <c r="PE84" i="41" s="1"/>
  <c r="PF84" i="41" s="1"/>
  <c r="PG84" i="41" s="1"/>
  <c r="PI84" i="41" s="1"/>
  <c r="PJ84" i="41" s="1"/>
  <c r="PK84" i="41" s="1"/>
  <c r="PL84" i="41" s="1"/>
  <c r="PM84" i="41" s="1"/>
  <c r="PN84" i="41" s="1"/>
  <c r="PO84" i="41" s="1"/>
  <c r="PS84" i="41" s="1"/>
  <c r="PT84" i="41" s="1"/>
  <c r="PU84" i="41" s="1"/>
  <c r="PV84" i="41" s="1"/>
  <c r="PW84" i="41" s="1"/>
  <c r="PX84" i="41" s="1"/>
  <c r="PZ84" i="41" s="1"/>
  <c r="QA84" i="41" s="1"/>
  <c r="QB84" i="41" s="1"/>
  <c r="QC84" i="41" s="1"/>
  <c r="QD84" i="41" s="1"/>
  <c r="QE84" i="41" s="1"/>
  <c r="QF84" i="41" s="1"/>
  <c r="QH84" i="41" s="1"/>
  <c r="QI84" i="41" s="1"/>
  <c r="QJ84" i="41" s="1"/>
  <c r="QK84" i="41" s="1"/>
  <c r="QL84" i="41" s="1"/>
  <c r="QM84" i="41" s="1"/>
  <c r="QN84" i="41" s="1"/>
  <c r="QP84" i="41" s="1"/>
  <c r="QQ84" i="41" s="1"/>
  <c r="QR84" i="41" s="1"/>
  <c r="QS84" i="41" s="1"/>
  <c r="QT84" i="41" s="1"/>
  <c r="QU84" i="41" s="1"/>
  <c r="QV84" i="41" s="1"/>
  <c r="QY84" i="41" s="1"/>
  <c r="QZ84" i="41" s="1"/>
  <c r="RA84" i="41" s="1"/>
  <c r="RB84" i="41" s="1"/>
  <c r="RC84" i="41" s="1"/>
  <c r="RD84" i="41" s="1"/>
  <c r="RE84" i="41" s="1"/>
  <c r="RG84" i="41" s="1"/>
  <c r="RH84" i="41" s="1"/>
  <c r="RI84" i="41" s="1"/>
  <c r="RJ84" i="41" s="1"/>
  <c r="RK84" i="41" s="1"/>
  <c r="RL84" i="41" s="1"/>
  <c r="RM84" i="41" s="1"/>
  <c r="RO84" i="41" s="1"/>
  <c r="RP84" i="41" s="1"/>
  <c r="RQ84" i="41" s="1"/>
  <c r="RR84" i="41" s="1"/>
  <c r="RS84" i="41" s="1"/>
  <c r="RT84" i="41" s="1"/>
  <c r="RU84" i="41" s="1"/>
  <c r="RW84" i="41" s="1"/>
  <c r="RX84" i="41" s="1"/>
  <c r="RY84" i="41" s="1"/>
  <c r="RZ84" i="41" s="1"/>
  <c r="SA84" i="41" s="1"/>
  <c r="SB84" i="41" s="1"/>
  <c r="SC84" i="41" s="1"/>
  <c r="SF84" i="41" s="1"/>
  <c r="SG84" i="41" s="1"/>
  <c r="SH84" i="41" s="1"/>
  <c r="SI84" i="41" s="1"/>
  <c r="SJ84" i="41" s="1"/>
  <c r="SK84" i="41" s="1"/>
  <c r="SL84" i="41" s="1"/>
  <c r="SN84" i="41" s="1"/>
  <c r="SO84" i="41" s="1"/>
  <c r="SP84" i="41" s="1"/>
  <c r="SQ84" i="41" s="1"/>
  <c r="SR84" i="41" s="1"/>
  <c r="SS84" i="41" s="1"/>
  <c r="ST84" i="41" s="1"/>
  <c r="SV84" i="41" s="1"/>
  <c r="SW84" i="41" s="1"/>
  <c r="SX84" i="41" s="1"/>
  <c r="SY84" i="41" s="1"/>
  <c r="SZ84" i="41" s="1"/>
  <c r="TA84" i="41" s="1"/>
  <c r="TB84" i="41" s="1"/>
  <c r="TD84" i="41" s="1"/>
  <c r="TE84" i="41" s="1"/>
  <c r="TF84" i="41" s="1"/>
  <c r="TG84" i="41" s="1"/>
  <c r="TH84" i="41" s="1"/>
  <c r="TI84" i="41" s="1"/>
  <c r="TJ84" i="41" s="1"/>
  <c r="TL84" i="41" s="1"/>
  <c r="TM84" i="41" s="1"/>
  <c r="TN84" i="41" s="1"/>
  <c r="TO84" i="41" s="1"/>
  <c r="TP84" i="41" s="1"/>
  <c r="TQ84" i="41" s="1"/>
  <c r="TR84" i="41" s="1"/>
  <c r="AE123" i="41"/>
  <c r="AE84" i="41"/>
  <c r="AF2" i="41"/>
  <c r="AF123" i="41" l="1"/>
  <c r="AF84" i="41"/>
  <c r="AG2" i="41"/>
  <c r="AG123" i="41" l="1"/>
  <c r="AG84" i="41"/>
  <c r="AH2" i="41"/>
  <c r="AH123" i="41" l="1"/>
  <c r="AH84" i="41"/>
  <c r="AI2" i="41"/>
  <c r="AI123" i="41" l="1"/>
  <c r="AI84" i="41"/>
  <c r="AJ2" i="41"/>
  <c r="AJ123" i="41" l="1"/>
  <c r="AJ84" i="41"/>
  <c r="AM2" i="41"/>
  <c r="AM123" i="41" l="1"/>
  <c r="AM84" i="41"/>
  <c r="AN2" i="41"/>
  <c r="AN123" i="41" l="1"/>
  <c r="AN84" i="41"/>
  <c r="AO2" i="41"/>
  <c r="AO123" i="41" l="1"/>
  <c r="AO84" i="41"/>
  <c r="AP2" i="41"/>
  <c r="AP123" i="41" l="1"/>
  <c r="AP84" i="41"/>
  <c r="AQ2" i="41"/>
  <c r="AQ123" i="41" l="1"/>
  <c r="AQ84" i="41"/>
  <c r="AR2" i="41"/>
  <c r="AR123" i="41" l="1"/>
  <c r="AR84" i="41"/>
  <c r="AS2" i="41"/>
  <c r="AS123" i="41" l="1"/>
  <c r="AU2" i="41"/>
  <c r="AS84" i="41"/>
  <c r="AU123" i="41" l="1"/>
  <c r="AU84" i="41"/>
  <c r="AV2" i="41"/>
  <c r="AV123" i="41" l="1"/>
  <c r="AV84" i="41"/>
  <c r="AW2" i="41"/>
  <c r="AW123" i="41" l="1"/>
  <c r="AW84" i="41"/>
  <c r="AX2" i="41"/>
  <c r="AX123" i="41" l="1"/>
  <c r="AX84" i="41"/>
  <c r="AY2" i="41"/>
  <c r="AY123" i="41" l="1"/>
  <c r="AY84" i="41"/>
  <c r="AZ2" i="41"/>
  <c r="AZ123" i="41" l="1"/>
  <c r="AZ84" i="41"/>
  <c r="BA2" i="41"/>
  <c r="BA123" i="41" l="1"/>
  <c r="BA84" i="41"/>
  <c r="BC2" i="41"/>
  <c r="BC123" i="41" l="1"/>
  <c r="BC84" i="41"/>
  <c r="BD2" i="41"/>
  <c r="BD123" i="41" l="1"/>
  <c r="BD84" i="41"/>
  <c r="BE2" i="41"/>
  <c r="BE123" i="41" l="1"/>
  <c r="BE84" i="41"/>
  <c r="BF2" i="41"/>
  <c r="BF123" i="41" l="1"/>
  <c r="BF84" i="41"/>
  <c r="BG2" i="41"/>
  <c r="BG123" i="41" l="1"/>
  <c r="BG84" i="41"/>
  <c r="BH2" i="41"/>
  <c r="BH123" i="41" l="1"/>
  <c r="BH84" i="41"/>
  <c r="BI2" i="41"/>
  <c r="BI123" i="41" l="1"/>
  <c r="BK2" i="41"/>
  <c r="BI84" i="41"/>
  <c r="BK123" i="41" l="1"/>
  <c r="BK84" i="41"/>
  <c r="BL2" i="41"/>
  <c r="BL123" i="41" l="1"/>
  <c r="BL84" i="41"/>
  <c r="BM2" i="41"/>
  <c r="BM123" i="41" l="1"/>
  <c r="BM84" i="41"/>
  <c r="BN2" i="41"/>
  <c r="BN123" i="41" l="1"/>
  <c r="BN84" i="41"/>
  <c r="BO2" i="41"/>
  <c r="BO123" i="41" l="1"/>
  <c r="BO84" i="41"/>
  <c r="BP2" i="41"/>
  <c r="BP123" i="41" l="1"/>
  <c r="BP84" i="41"/>
  <c r="BQ2" i="41"/>
  <c r="BQ123" i="41" l="1"/>
  <c r="BQ84" i="41"/>
  <c r="BT2" i="41"/>
  <c r="BT123" i="41" l="1"/>
  <c r="BT84" i="41"/>
  <c r="BU2" i="41"/>
  <c r="BU123" i="41" l="1"/>
  <c r="BU84" i="41"/>
  <c r="BV2" i="41"/>
  <c r="BV123" i="41" l="1"/>
  <c r="BV84" i="41"/>
  <c r="BW2" i="41"/>
  <c r="BW123" i="41" l="1"/>
  <c r="BW84" i="41"/>
  <c r="BX2" i="41"/>
  <c r="BX123" i="41" l="1"/>
  <c r="BX84" i="41"/>
  <c r="BY2" i="41"/>
  <c r="BY123" i="41" l="1"/>
  <c r="BY84" i="41"/>
  <c r="BZ2" i="41"/>
  <c r="BZ123" i="41" l="1"/>
  <c r="BZ84" i="41"/>
  <c r="CB2" i="41"/>
  <c r="CB123" i="41" l="1"/>
  <c r="CB84" i="41"/>
  <c r="CC2" i="41"/>
  <c r="CC123" i="41" l="1"/>
  <c r="CC84" i="41"/>
  <c r="CD2" i="41"/>
  <c r="CD123" i="41" l="1"/>
  <c r="CD84" i="41"/>
  <c r="CE2" i="41"/>
  <c r="CE123" i="41" l="1"/>
  <c r="CE84" i="41"/>
  <c r="CF2" i="41"/>
  <c r="CF123" i="41" l="1"/>
  <c r="CF84" i="41"/>
  <c r="CG2" i="41"/>
  <c r="CG123" i="41" l="1"/>
  <c r="CG84" i="41"/>
  <c r="CH2" i="41"/>
  <c r="CH123" i="41" l="1"/>
  <c r="CH84" i="41"/>
  <c r="AE93" i="40" l="1"/>
  <c r="AD93" i="40"/>
  <c r="AC93" i="40"/>
  <c r="AB93" i="40"/>
  <c r="AA93" i="40"/>
  <c r="Z93" i="40"/>
  <c r="Y93" i="40"/>
  <c r="X93" i="40"/>
  <c r="W93" i="40"/>
  <c r="V93" i="40"/>
  <c r="U93" i="40"/>
  <c r="T93" i="40"/>
  <c r="AE50" i="40"/>
  <c r="AD50" i="40"/>
  <c r="AC50" i="40"/>
  <c r="AB50" i="40"/>
  <c r="AA50" i="40"/>
  <c r="Z50" i="40"/>
  <c r="Y50" i="40"/>
  <c r="X50" i="40"/>
  <c r="W50" i="40"/>
  <c r="V50" i="40"/>
  <c r="U50" i="40"/>
  <c r="T50" i="40"/>
  <c r="V125" i="33" l="1"/>
  <c r="V126" i="33"/>
  <c r="V127" i="33"/>
  <c r="V128" i="33"/>
  <c r="V129" i="33"/>
  <c r="V130" i="33"/>
  <c r="V131" i="33"/>
  <c r="V132" i="33"/>
  <c r="V133" i="33"/>
  <c r="V134" i="33"/>
  <c r="V135" i="33"/>
  <c r="V136" i="33"/>
  <c r="V137" i="33"/>
  <c r="V138" i="33"/>
  <c r="V139" i="33"/>
  <c r="V140" i="33"/>
  <c r="V141" i="33"/>
  <c r="V142" i="33"/>
  <c r="V143" i="33"/>
  <c r="V144" i="33"/>
  <c r="V145" i="33"/>
  <c r="V146" i="33"/>
  <c r="V147" i="33"/>
  <c r="V148" i="33"/>
  <c r="V149" i="33"/>
  <c r="V150" i="33"/>
  <c r="V151" i="33"/>
  <c r="V152" i="33"/>
  <c r="V153" i="33"/>
  <c r="V154" i="33"/>
  <c r="V155" i="33"/>
  <c r="V156" i="33"/>
  <c r="V157" i="33"/>
  <c r="V158" i="33"/>
  <c r="V159" i="33"/>
  <c r="V160" i="33"/>
  <c r="V161" i="33"/>
  <c r="V162" i="33"/>
  <c r="V163" i="33"/>
  <c r="V164" i="33"/>
  <c r="V165" i="33"/>
  <c r="V166" i="33"/>
  <c r="V167" i="33"/>
  <c r="V168" i="33"/>
  <c r="V169" i="33"/>
  <c r="V170" i="33"/>
  <c r="V171" i="33"/>
  <c r="V172" i="33"/>
  <c r="V173" i="33"/>
  <c r="V174" i="33"/>
  <c r="V175" i="33"/>
  <c r="V176" i="33"/>
  <c r="V177" i="33"/>
  <c r="V178" i="33"/>
  <c r="V179" i="33"/>
  <c r="V180" i="33"/>
  <c r="V181" i="33"/>
  <c r="V182" i="33"/>
  <c r="V183" i="33"/>
  <c r="V184" i="33"/>
  <c r="V185" i="33"/>
  <c r="V186" i="33"/>
  <c r="V187" i="33"/>
  <c r="V188" i="33"/>
  <c r="V189" i="33"/>
  <c r="V190" i="33"/>
  <c r="V191" i="33"/>
  <c r="V192" i="33"/>
  <c r="V124" i="33"/>
  <c r="V93" i="33"/>
  <c r="V94" i="33"/>
  <c r="V95" i="33"/>
  <c r="V96" i="33"/>
  <c r="V97" i="33"/>
  <c r="V98" i="33"/>
  <c r="V99" i="33"/>
  <c r="V100" i="33"/>
  <c r="V101" i="33"/>
  <c r="V102" i="33"/>
  <c r="V103" i="33"/>
  <c r="V104" i="33"/>
  <c r="V105" i="33"/>
  <c r="V106" i="33"/>
  <c r="V107" i="33"/>
  <c r="V108" i="33"/>
  <c r="V109" i="33"/>
  <c r="V110" i="33"/>
  <c r="V111" i="33"/>
  <c r="V112" i="33"/>
  <c r="V113" i="33"/>
  <c r="V114" i="33"/>
  <c r="V115" i="33"/>
  <c r="V116" i="33"/>
  <c r="V117" i="33"/>
  <c r="V118" i="33"/>
  <c r="V119" i="33"/>
  <c r="V120" i="33"/>
  <c r="V92" i="33"/>
  <c r="V9" i="33"/>
  <c r="V10" i="33"/>
  <c r="V11" i="33"/>
  <c r="V12" i="33"/>
  <c r="V13" i="33"/>
  <c r="V14" i="33"/>
  <c r="V15" i="33"/>
  <c r="V16" i="33"/>
  <c r="V17" i="33"/>
  <c r="V18" i="33"/>
  <c r="V19" i="33"/>
  <c r="V20" i="33"/>
  <c r="V21" i="33"/>
  <c r="V22" i="33"/>
  <c r="V23" i="33"/>
  <c r="V24" i="33"/>
  <c r="V25" i="33"/>
  <c r="V26" i="33"/>
  <c r="V27" i="33"/>
  <c r="V28" i="33"/>
  <c r="V29" i="33"/>
  <c r="V30" i="33"/>
  <c r="V31" i="33"/>
  <c r="V32" i="33"/>
  <c r="V33" i="33"/>
  <c r="V34" i="33"/>
  <c r="V35" i="33"/>
  <c r="V36" i="33"/>
  <c r="V37" i="33"/>
  <c r="V38" i="33"/>
  <c r="V39" i="33"/>
  <c r="V40" i="33"/>
  <c r="V41" i="33"/>
  <c r="V42" i="33"/>
  <c r="V43" i="33"/>
  <c r="V44" i="33"/>
  <c r="V45" i="33"/>
  <c r="V46" i="33"/>
  <c r="V47" i="33"/>
  <c r="V48" i="33"/>
  <c r="V49" i="33"/>
  <c r="V50" i="33"/>
  <c r="V51" i="33"/>
  <c r="V52" i="33"/>
  <c r="V53" i="33"/>
  <c r="V54" i="33"/>
  <c r="V55" i="33"/>
  <c r="V56" i="33"/>
  <c r="V57" i="33"/>
  <c r="V58" i="33"/>
  <c r="V59" i="33"/>
  <c r="V60" i="33"/>
  <c r="V61" i="33"/>
  <c r="V62" i="33"/>
  <c r="V63" i="33"/>
  <c r="V64" i="33"/>
  <c r="V65" i="33"/>
  <c r="V66" i="33"/>
  <c r="V67" i="33"/>
  <c r="V68" i="33"/>
  <c r="V69" i="33"/>
  <c r="V70" i="33"/>
  <c r="V71" i="33"/>
  <c r="V72" i="33"/>
  <c r="V73" i="33"/>
  <c r="V74" i="33"/>
  <c r="V75" i="33"/>
  <c r="V76" i="33"/>
  <c r="V77" i="33"/>
  <c r="V78" i="33"/>
  <c r="V79" i="33"/>
  <c r="V80" i="33"/>
  <c r="V81" i="33"/>
  <c r="V82" i="33"/>
  <c r="V83" i="33"/>
  <c r="V84" i="33"/>
  <c r="V85" i="33"/>
  <c r="V86" i="33"/>
  <c r="V8" i="33"/>
  <c r="V87" i="33" l="1"/>
  <c r="V121" i="33"/>
  <c r="L42" i="32" l="1"/>
  <c r="L41" i="32"/>
  <c r="L40" i="32"/>
  <c r="L39" i="32"/>
  <c r="L38" i="32"/>
  <c r="L37" i="32"/>
  <c r="L36" i="32"/>
  <c r="L35" i="32"/>
  <c r="L34" i="32"/>
  <c r="L33" i="32"/>
  <c r="L32" i="32"/>
  <c r="L31" i="32"/>
  <c r="L30" i="32"/>
  <c r="L29" i="32"/>
  <c r="L28" i="32"/>
  <c r="L27" i="32"/>
  <c r="L26" i="32"/>
  <c r="L25" i="32"/>
  <c r="L24" i="32"/>
  <c r="L23" i="32"/>
  <c r="L22" i="32"/>
  <c r="L21" i="32"/>
  <c r="L20" i="32"/>
  <c r="L19" i="32"/>
  <c r="L18" i="32"/>
  <c r="L17" i="32"/>
  <c r="L16" i="32"/>
  <c r="L15" i="32"/>
  <c r="L14" i="32"/>
  <c r="L13" i="32"/>
  <c r="L12" i="32"/>
  <c r="L11" i="32"/>
  <c r="L10" i="32"/>
  <c r="L9" i="32"/>
  <c r="L8" i="32"/>
  <c r="L7" i="32"/>
  <c r="L6" i="32"/>
  <c r="L5" i="32"/>
  <c r="L4" i="32"/>
  <c r="L3" i="32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L26" i="23"/>
  <c r="L25" i="23"/>
  <c r="L24" i="23"/>
  <c r="L23" i="23"/>
  <c r="L22" i="23"/>
  <c r="L21" i="23"/>
  <c r="L20" i="23"/>
  <c r="L19" i="23"/>
  <c r="L18" i="23"/>
  <c r="L17" i="23"/>
  <c r="L16" i="23"/>
  <c r="L15" i="23"/>
  <c r="L14" i="23"/>
  <c r="L13" i="23"/>
  <c r="L12" i="23"/>
  <c r="L11" i="23"/>
  <c r="L10" i="23"/>
  <c r="L9" i="23"/>
  <c r="L8" i="23"/>
  <c r="L7" i="23"/>
  <c r="L6" i="23"/>
  <c r="L5" i="23"/>
  <c r="L4" i="23"/>
  <c r="L3" i="23"/>
  <c r="D7" i="19"/>
  <c r="F7" i="19" s="1"/>
  <c r="D6" i="19"/>
  <c r="F6" i="19" s="1"/>
  <c r="D5" i="19"/>
  <c r="F5" i="19" s="1"/>
  <c r="D4" i="19"/>
  <c r="F4" i="19" s="1"/>
  <c r="D3" i="19"/>
  <c r="F3" i="19" s="1"/>
  <c r="VI244" i="41" l="1"/>
  <c r="WH208" i="41"/>
  <c r="WH198" i="41"/>
  <c r="WH203" i="41"/>
  <c r="WH244" i="41" l="1"/>
  <c r="VA208" i="41"/>
  <c r="VA203" i="41"/>
  <c r="VA226" i="41"/>
  <c r="VA198" i="41"/>
  <c r="VA244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Kuang</author>
    <author>Tom Kuang (匡宗桓)</author>
    <author>Lynn YR Wu</author>
    <author>Bonnie PL Chang</author>
  </authors>
  <commentList>
    <comment ref="EE2" authorId="0" shapeId="0" xr:uid="{22B00AF1-1957-45B7-95A7-71BE4182F714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庫房加班包裝</t>
        </r>
      </text>
    </comment>
    <comment ref="GN2" authorId="0" shapeId="0" xr:uid="{222E7D2E-8BEB-49C6-AA96-B9804DB07F0E}">
      <text>
        <r>
          <rPr>
            <b/>
            <sz val="30"/>
            <color indexed="81"/>
            <rFont val="細明體"/>
            <family val="3"/>
            <charset val="136"/>
          </rPr>
          <t>準備心臟病盤</t>
        </r>
        <r>
          <rPr>
            <b/>
            <sz val="30"/>
            <color indexed="81"/>
            <rFont val="Tahoma"/>
            <family val="2"/>
          </rPr>
          <t>Beads</t>
        </r>
      </text>
    </comment>
    <comment ref="MA2" authorId="1" shapeId="0" xr:uid="{327D10C8-2674-4701-80B5-3A56F35C84F6}">
      <text>
        <r>
          <rPr>
            <b/>
            <sz val="26"/>
            <color indexed="81"/>
            <rFont val="Tahoma"/>
            <family val="2"/>
          </rPr>
          <t xml:space="preserve">5UL </t>
        </r>
        <r>
          <rPr>
            <b/>
            <sz val="26"/>
            <color indexed="81"/>
            <rFont val="細明體"/>
            <family val="3"/>
            <charset val="136"/>
          </rPr>
          <t>採血針要到</t>
        </r>
      </text>
    </comment>
    <comment ref="MZ2" authorId="1" shapeId="0" xr:uid="{41483977-A50F-4557-9176-69837434D28B}">
      <text>
        <r>
          <rPr>
            <b/>
            <sz val="9"/>
            <color indexed="81"/>
            <rFont val="Tahoma"/>
            <family val="2"/>
          </rPr>
          <t>Tom Kuang (</t>
        </r>
        <r>
          <rPr>
            <b/>
            <sz val="9"/>
            <color indexed="81"/>
            <rFont val="細明體"/>
            <family val="3"/>
            <charset val="136"/>
          </rPr>
          <t>匡宗桓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2" shapeId="0" xr:uid="{DC1212A9-CA91-45F5-9AF8-51BE6D2C1D26}">
      <text>
        <r>
          <rPr>
            <b/>
            <sz val="26"/>
            <color indexed="81"/>
            <rFont val="微軟正黑體"/>
            <family val="2"/>
            <charset val="136"/>
          </rPr>
          <t>最少入庫1240，停止入庫</t>
        </r>
      </text>
    </comment>
    <comment ref="BD3" authorId="2" shapeId="0" xr:uid="{5B26D36D-C9B5-41F5-87B2-E5C527E8BBE4}">
      <text>
        <r>
          <rPr>
            <b/>
            <sz val="26"/>
            <color indexed="81"/>
            <rFont val="微軟正黑體"/>
            <family val="2"/>
            <charset val="136"/>
          </rPr>
          <t>最少入庫2060 ，停止入庫</t>
        </r>
      </text>
    </comment>
    <comment ref="BM3" authorId="2" shapeId="0" xr:uid="{89D877DD-B462-4BB1-9921-8A4EE754AE5B}">
      <text>
        <r>
          <rPr>
            <b/>
            <sz val="26"/>
            <color indexed="81"/>
            <rFont val="微軟正黑體"/>
            <family val="2"/>
            <charset val="136"/>
          </rPr>
          <t>入庫數200，停止入庫</t>
        </r>
      </text>
    </comment>
    <comment ref="BU3" authorId="1" shapeId="0" xr:uid="{69AED7E5-EF02-42EF-97DB-9971E5A6DC1C}">
      <text>
        <r>
          <rPr>
            <b/>
            <sz val="20"/>
            <color indexed="81"/>
            <rFont val="細明體"/>
            <family val="3"/>
            <charset val="136"/>
          </rPr>
          <t>入庫540；把藥做完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F3" authorId="0" shapeId="0" xr:uid="{DF630291-83F5-4C71-A997-0DA87F8598B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最少入庫1020，停止生產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3" authorId="1" shapeId="0" xr:uid="{DD478C56-3E3B-4631-B943-ED5F25CDDA15}">
      <text>
        <r>
          <rPr>
            <b/>
            <sz val="28"/>
            <color indexed="81"/>
            <rFont val="細明體"/>
            <family val="3"/>
            <charset val="136"/>
          </rPr>
          <t>入庫1000；把藥投完</t>
        </r>
      </text>
    </comment>
    <comment ref="DQ3" authorId="1" shapeId="0" xr:uid="{0E255263-68B7-44AE-B925-6CFFA28ADA4B}">
      <text>
        <r>
          <rPr>
            <b/>
            <sz val="28"/>
            <color indexed="81"/>
            <rFont val="細明體"/>
            <family val="3"/>
            <charset val="136"/>
          </rPr>
          <t>入庫480；停止生產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EQ3" authorId="1" shapeId="0" xr:uid="{E7F16F27-2B2B-4DCE-9FB6-E1C41A77D845}">
      <text>
        <r>
          <rPr>
            <b/>
            <sz val="22"/>
            <color indexed="81"/>
            <rFont val="細明體"/>
            <family val="3"/>
            <charset val="136"/>
          </rPr>
          <t>入庫240；停止生產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G3" authorId="1" shapeId="0" xr:uid="{455B628B-D096-4182-81C5-353E9B3BE2CF}">
      <text>
        <r>
          <rPr>
            <b/>
            <sz val="20"/>
            <color indexed="81"/>
            <rFont val="細明體"/>
            <family val="3"/>
            <charset val="136"/>
          </rPr>
          <t>入庫320，停止生產</t>
        </r>
      </text>
    </comment>
    <comment ref="HO3" authorId="1" shapeId="0" xr:uid="{656DD6EB-457F-42C7-A5B7-8572A4253392}">
      <text>
        <r>
          <rPr>
            <b/>
            <sz val="28"/>
            <color indexed="81"/>
            <rFont val="細明體"/>
            <family val="3"/>
            <charset val="136"/>
          </rPr>
          <t>入庫1300  把藥投完</t>
        </r>
      </text>
    </comment>
    <comment ref="IL3" authorId="1" shapeId="0" xr:uid="{0C0226FB-9614-41FD-95CE-1E992E2D27E9}">
      <text>
        <r>
          <rPr>
            <b/>
            <sz val="28"/>
            <color indexed="81"/>
            <rFont val="細明體"/>
            <family val="3"/>
            <charset val="136"/>
          </rPr>
          <t>入庫1540 停止生產</t>
        </r>
      </text>
    </comment>
    <comment ref="KK3" authorId="1" shapeId="0" xr:uid="{53CE8BAF-3BE6-46CB-9581-DC10F2C77A52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入庫409 停止生產
EN :LM3498
生產時取20片無光清洗卡匣與首件卡匣一起交給QC。
</t>
        </r>
      </text>
    </comment>
    <comment ref="LF3" authorId="0" shapeId="0" xr:uid="{14685691-E481-4DD3-8C8B-A32C6257FE51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Y3" authorId="1" shapeId="0" xr:uid="{4FBEA0FF-693D-40E7-8159-653C295AAC00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H3" authorId="1" shapeId="0" xr:uid="{29879D61-1AD2-4FAD-BE58-64ACAB0B6BBA}">
      <text>
        <r>
          <rPr>
            <b/>
            <sz val="28"/>
            <color indexed="81"/>
            <rFont val="細明體"/>
            <family val="3"/>
            <charset val="136"/>
          </rPr>
          <t>入庫680 把藥投完
一批到底</t>
        </r>
      </text>
    </comment>
    <comment ref="MX3" authorId="1" shapeId="0" xr:uid="{9B0E2E97-DB5F-4D2A-8FA7-F40A714680F0}">
      <text>
        <r>
          <rPr>
            <b/>
            <sz val="28"/>
            <color indexed="81"/>
            <rFont val="細明體"/>
            <family val="3"/>
            <charset val="136"/>
          </rPr>
          <t>入庫 1760 停止生產
一批到底</t>
        </r>
      </text>
    </comment>
    <comment ref="NT3" authorId="1" shapeId="0" xr:uid="{76937D5C-D712-4327-87D0-728D4B23C0DE}">
      <text>
        <r>
          <rPr>
            <b/>
            <sz val="28"/>
            <color indexed="81"/>
            <rFont val="細明體"/>
            <family val="3"/>
            <charset val="136"/>
          </rPr>
          <t>入庫 780 停止生產</t>
        </r>
      </text>
    </comment>
    <comment ref="PR3" authorId="1" shapeId="0" xr:uid="{22ED2CC5-4EA1-4010-A2C0-A02533A91E98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QQ3" authorId="1" shapeId="0" xr:uid="{CCDFEE24-5026-4923-8639-269B01E3369F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SG3" authorId="1" shapeId="0" xr:uid="{01F59AA4-6E7C-4E4E-9866-0DE6EE4EF6DA}">
      <text>
        <r>
          <rPr>
            <b/>
            <sz val="28"/>
            <color indexed="81"/>
            <rFont val="細明體"/>
            <family val="3"/>
            <charset val="136"/>
          </rPr>
          <t>入庫 1500 停止生產</t>
        </r>
      </text>
    </comment>
    <comment ref="TM3" authorId="1" shapeId="0" xr:uid="{076F7DD9-A4B5-4697-A98B-8369A53B2826}">
      <text>
        <r>
          <rPr>
            <b/>
            <sz val="28"/>
            <color indexed="81"/>
            <rFont val="細明體"/>
            <family val="3"/>
            <charset val="136"/>
          </rPr>
          <t>入庫 300 停止生產</t>
        </r>
      </text>
    </comment>
    <comment ref="UM3" authorId="1" shapeId="0" xr:uid="{9DCFC374-3ABB-49C6-971A-1F456E18205C}">
      <text>
        <r>
          <rPr>
            <b/>
            <sz val="28"/>
            <color indexed="81"/>
            <rFont val="細明體"/>
            <family val="3"/>
            <charset val="136"/>
          </rPr>
          <t>入庫 1240 停止生產</t>
        </r>
      </text>
    </comment>
    <comment ref="WI3" authorId="1" shapeId="0" xr:uid="{678E2287-ACEE-47F1-8DDE-E5892D450D32}">
      <text>
        <r>
          <rPr>
            <b/>
            <sz val="28"/>
            <color indexed="81"/>
            <rFont val="細明體"/>
            <family val="3"/>
            <charset val="136"/>
          </rPr>
          <t>入庫 620 停止生產</t>
        </r>
      </text>
    </comment>
    <comment ref="F4" authorId="2" shapeId="0" xr:uid="{B3C3DD24-1CDC-4F98-A605-20A2D0A9E578}">
      <text>
        <r>
          <rPr>
            <b/>
            <sz val="26"/>
            <color indexed="81"/>
            <rFont val="微軟正黑體"/>
            <family val="2"/>
            <charset val="136"/>
          </rPr>
          <t>最少入庫1760，停止入庫</t>
        </r>
      </text>
    </comment>
    <comment ref="H4" authorId="1" shapeId="0" xr:uid="{B22F5BCE-7656-471A-AE01-A2B2C3AEBEA6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2800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BD4" authorId="2" shapeId="0" xr:uid="{130B580C-51D7-41B8-9BFB-FF4351EE6CA7}">
      <text>
        <r>
          <rPr>
            <b/>
            <sz val="26"/>
            <color indexed="81"/>
            <rFont val="微軟正黑體"/>
            <family val="2"/>
            <charset val="136"/>
          </rPr>
          <t>最少入庫2800，停止入庫</t>
        </r>
      </text>
    </comment>
    <comment ref="BM4" authorId="1" shapeId="0" xr:uid="{14D2CE2E-AEE9-4A7B-8F71-B724C9C077D4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6000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F4" authorId="0" shapeId="0" xr:uid="{27316A00-4441-474D-A384-EE5F2B31AAB7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最少入庫4600，停止生產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Q4" authorId="1" shapeId="0" xr:uid="{7FE67AC0-1B01-488E-9F73-A81C603FF397}">
      <text>
        <r>
          <rPr>
            <b/>
            <sz val="22"/>
            <color indexed="81"/>
            <rFont val="細明體"/>
            <family val="3"/>
            <charset val="136"/>
          </rPr>
          <t>入庫5000；停止生產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O4" authorId="1" shapeId="0" xr:uid="{E1B4BAB2-2729-4F19-81D0-2625D5C9DFA0}">
      <text>
        <r>
          <rPr>
            <b/>
            <sz val="28"/>
            <color indexed="81"/>
            <rFont val="細明體"/>
            <family val="3"/>
            <charset val="136"/>
          </rPr>
          <t>入庫5000 停止生產</t>
        </r>
      </text>
    </comment>
    <comment ref="KK4" authorId="1" shapeId="0" xr:uid="{3FB02F9A-BE50-4088-A546-3BB2DAEABEE8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入庫3200 停止生產
EN :LM3498
生產時取20片無光清洗卡匣與首件卡匣一起交給QC。
</t>
        </r>
      </text>
    </comment>
    <comment ref="PR4" authorId="1" shapeId="0" xr:uid="{4F65FE1A-188C-4523-9A3A-D080593E096E}">
      <text>
        <r>
          <rPr>
            <b/>
            <sz val="28"/>
            <color indexed="81"/>
            <rFont val="細明體"/>
            <family val="3"/>
            <charset val="136"/>
          </rPr>
          <t>入庫 4800 停止生產</t>
        </r>
      </text>
    </comment>
    <comment ref="SG4" authorId="1" shapeId="0" xr:uid="{45AE3D98-2D19-47D9-903F-5819425ED862}">
      <text>
        <r>
          <rPr>
            <b/>
            <sz val="28"/>
            <color indexed="81"/>
            <rFont val="細明體"/>
            <family val="3"/>
            <charset val="136"/>
          </rPr>
          <t>入庫 8000 停止生產</t>
        </r>
      </text>
    </comment>
    <comment ref="UM4" authorId="1" shapeId="0" xr:uid="{5F6FEE12-3DE0-46B7-A556-A70CF3316DD1}">
      <text>
        <r>
          <rPr>
            <b/>
            <sz val="28"/>
            <color indexed="81"/>
            <rFont val="細明體"/>
            <family val="3"/>
            <charset val="136"/>
          </rPr>
          <t>入庫 4000 停止生產</t>
        </r>
      </text>
    </comment>
    <comment ref="F5" authorId="0" shapeId="0" xr:uid="{56D6E0D8-2A5A-4F1F-A4A4-F80CF13F4A81}">
      <text>
        <r>
          <rPr>
            <sz val="22"/>
            <color indexed="81"/>
            <rFont val="細明體"/>
            <family val="3"/>
            <charset val="136"/>
          </rPr>
          <t xml:space="preserve">最少入庫932；停止生產
</t>
        </r>
      </text>
    </comment>
    <comment ref="I5" authorId="1" shapeId="0" xr:uid="{73826F50-5226-49E5-BD4F-B86C87BB665F}">
      <text>
        <r>
          <rPr>
            <sz val="30"/>
            <color indexed="81"/>
            <rFont val="細明體"/>
            <family val="3"/>
            <charset val="136"/>
          </rPr>
          <t>使用國內標籤出貨；庫房有標籤。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300 </t>
        </r>
        <r>
          <rPr>
            <sz val="30"/>
            <color indexed="81"/>
            <rFont val="細明體"/>
            <family val="3"/>
            <charset val="136"/>
          </rPr>
          <t>停止生產。工單用</t>
        </r>
        <r>
          <rPr>
            <sz val="30"/>
            <color indexed="81"/>
            <rFont val="Tahoma"/>
            <family val="2"/>
          </rPr>
          <t xml:space="preserve">3620101106 </t>
        </r>
        <r>
          <rPr>
            <sz val="30"/>
            <color indexed="81"/>
            <rFont val="細明體"/>
            <family val="3"/>
            <charset val="136"/>
          </rPr>
          <t>開立。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BD5" authorId="2" shapeId="0" xr:uid="{DEBA4EDD-B8C0-4D77-90F3-335F971D5E8D}">
      <text>
        <r>
          <rPr>
            <b/>
            <sz val="26"/>
            <color indexed="81"/>
            <rFont val="微軟正黑體"/>
            <family val="2"/>
            <charset val="136"/>
          </rPr>
          <t>最少入庫200，把藥投完</t>
        </r>
      </text>
    </comment>
    <comment ref="BE5" authorId="1" shapeId="0" xr:uid="{5D157143-C6F3-46DB-9AC3-224C53640526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500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5" authorId="2" shapeId="0" xr:uid="{67E2096D-C2AC-4E99-9B99-2BB7E8BBC4EB}">
      <text>
        <r>
          <rPr>
            <b/>
            <sz val="26"/>
            <color indexed="81"/>
            <rFont val="微軟正黑體"/>
            <family val="2"/>
            <charset val="136"/>
          </rPr>
          <t>入庫數732，停止入庫
DQE*12</t>
        </r>
      </text>
    </comment>
    <comment ref="BT5" authorId="1" shapeId="0" xr:uid="{32BA3FD8-776F-4E81-A7A6-FB43457ADDB9}">
      <text>
        <r>
          <rPr>
            <b/>
            <sz val="20"/>
            <color indexed="81"/>
            <rFont val="細明體"/>
            <family val="3"/>
            <charset val="136"/>
          </rPr>
          <t>入庫655，停止生產</t>
        </r>
        <r>
          <rPr>
            <b/>
            <sz val="20"/>
            <color indexed="81"/>
            <rFont val="Tahoma"/>
            <family val="2"/>
          </rPr>
          <t xml:space="preserve">
</t>
        </r>
        <r>
          <rPr>
            <b/>
            <sz val="20"/>
            <color indexed="81"/>
            <rFont val="細明體"/>
            <family val="3"/>
            <charset val="136"/>
          </rPr>
          <t>出貨640
RD 15</t>
        </r>
      </text>
    </comment>
    <comment ref="DQ5" authorId="1" shapeId="0" xr:uid="{9DA176FE-8076-4161-88AA-B76AE58B4551}">
      <text>
        <r>
          <rPr>
            <b/>
            <sz val="28"/>
            <color indexed="81"/>
            <rFont val="細明體"/>
            <family val="3"/>
            <charset val="136"/>
          </rPr>
          <t>入庫240；停止生產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EQ5" authorId="1" shapeId="0" xr:uid="{B3CDB0B3-008C-4960-9F8D-D98035010C9C}">
      <text>
        <r>
          <rPr>
            <b/>
            <sz val="22"/>
            <color indexed="81"/>
            <rFont val="細明體"/>
            <family val="3"/>
            <charset val="136"/>
          </rPr>
          <t>入庫2980；停止生產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H5" authorId="1" shapeId="0" xr:uid="{18497363-22BA-434D-B57B-7093B6BD08D9}">
      <text>
        <r>
          <rPr>
            <b/>
            <sz val="22"/>
            <color indexed="81"/>
            <rFont val="細明體"/>
            <family val="3"/>
            <charset val="136"/>
          </rPr>
          <t>入庫340；停止生產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C5" authorId="1" shapeId="0" xr:uid="{7DBE1883-205A-4FFA-840C-8FE4A8B30FDC}">
      <text>
        <r>
          <rPr>
            <b/>
            <sz val="28"/>
            <color indexed="81"/>
            <rFont val="細明體"/>
            <family val="3"/>
            <charset val="136"/>
          </rPr>
          <t>入庫220 停止生產</t>
        </r>
      </text>
    </comment>
    <comment ref="KM5" authorId="1" shapeId="0" xr:uid="{02F00736-5329-4E80-B673-CAFBEF2D600C}">
      <text>
        <r>
          <rPr>
            <b/>
            <sz val="28"/>
            <color indexed="81"/>
            <rFont val="細明體"/>
            <family val="3"/>
            <charset val="136"/>
          </rPr>
          <t>入庫5229 停止生產</t>
        </r>
      </text>
    </comment>
    <comment ref="SG5" authorId="1" shapeId="0" xr:uid="{1F9BE4CD-41F6-4D5B-B038-4D98ACC43E16}">
      <text>
        <r>
          <rPr>
            <b/>
            <sz val="28"/>
            <color indexed="81"/>
            <rFont val="細明體"/>
            <family val="3"/>
            <charset val="136"/>
          </rPr>
          <t>入庫 480 停止生產</t>
        </r>
      </text>
    </comment>
    <comment ref="UL5" authorId="1" shapeId="0" xr:uid="{0DDEEF12-4524-4F66-B38B-FD32683565B8}">
      <text>
        <r>
          <rPr>
            <b/>
            <sz val="28"/>
            <color indexed="81"/>
            <rFont val="細明體"/>
            <family val="3"/>
            <charset val="136"/>
          </rPr>
          <t>入庫 2560 停止生產</t>
        </r>
      </text>
    </comment>
    <comment ref="WA5" authorId="1" shapeId="0" xr:uid="{C39A9BA9-6A32-4117-A026-3B3F4191F34B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BE6" authorId="1" shapeId="0" xr:uid="{4CA5707C-1CCA-47F2-BA39-316C08859682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400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L6" authorId="0" shapeId="0" xr:uid="{C0431988-96A2-49A0-9881-86028351B413}">
      <text>
        <r>
          <rPr>
            <b/>
            <sz val="26"/>
            <color indexed="81"/>
            <rFont val="微軟正黑體"/>
            <family val="2"/>
            <charset val="136"/>
          </rPr>
          <t>最少入庫341，停止生產</t>
        </r>
      </text>
    </comment>
    <comment ref="HT6" authorId="1" shapeId="0" xr:uid="{8DB891A4-7B0B-4218-895F-CF4407D158AE}">
      <text>
        <r>
          <rPr>
            <b/>
            <sz val="28"/>
            <color indexed="81"/>
            <rFont val="細明體"/>
            <family val="3"/>
            <charset val="136"/>
          </rPr>
          <t>入庫320 停止生產
EN:LM3370  184卡匣 
1.移除光清洗製程確效 
2. 安排生產"不進行"光清洗製程之卡匣至DB組裝完成，*20 PCS
3. 依當日生產之panel進行填盤，卡匣需與該panel使用之卡匣相同種類、相同批次。
4. 同QC首件之卡匣一同送驗。</t>
        </r>
      </text>
    </comment>
    <comment ref="KM6" authorId="1" shapeId="0" xr:uid="{F6D333EC-6269-4892-B747-FABCEB783F29}">
      <text>
        <r>
          <rPr>
            <b/>
            <sz val="28"/>
            <color indexed="81"/>
            <rFont val="細明體"/>
            <family val="3"/>
            <charset val="136"/>
          </rPr>
          <t>入庫800 停止生產</t>
        </r>
      </text>
    </comment>
    <comment ref="MF6" authorId="1" shapeId="0" xr:uid="{E665282E-A0B7-4A27-BB0F-C251FE80E419}">
      <text>
        <r>
          <rPr>
            <b/>
            <sz val="28"/>
            <color indexed="81"/>
            <rFont val="細明體"/>
            <family val="3"/>
            <charset val="136"/>
          </rPr>
          <t>入庫 300 停止生產</t>
        </r>
      </text>
    </comment>
    <comment ref="PR6" authorId="1" shapeId="0" xr:uid="{DAB067DC-3B41-4BAE-B1B3-2ACA771F6509}">
      <text>
        <r>
          <rPr>
            <b/>
            <sz val="28"/>
            <color indexed="81"/>
            <rFont val="細明體"/>
            <family val="3"/>
            <charset val="136"/>
          </rPr>
          <t>入庫 818 停止生產</t>
        </r>
      </text>
    </comment>
    <comment ref="UL6" authorId="1" shapeId="0" xr:uid="{1ABAA721-3225-41D4-BB5B-7BE3BB9E88F7}">
      <text>
        <r>
          <rPr>
            <b/>
            <sz val="28"/>
            <color indexed="81"/>
            <rFont val="細明體"/>
            <family val="3"/>
            <charset val="136"/>
          </rPr>
          <t>入庫 1400 停止生產</t>
        </r>
      </text>
    </comment>
    <comment ref="F7" authorId="0" shapeId="0" xr:uid="{6E3C9FDF-1678-4196-975E-2D80EA412A51}">
      <text>
        <r>
          <rPr>
            <sz val="22"/>
            <color indexed="81"/>
            <rFont val="細明體"/>
            <family val="3"/>
            <charset val="136"/>
          </rPr>
          <t xml:space="preserve">最少入庫320；停止生產
</t>
        </r>
      </text>
    </comment>
    <comment ref="H8" authorId="1" shapeId="0" xr:uid="{D8033800-AF2E-4DEC-B42F-5593DCA24F68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1180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O8" authorId="2" shapeId="0" xr:uid="{FD006AE9-E8D2-4F56-A07C-6D008BD6952C}">
      <text>
        <r>
          <rPr>
            <b/>
            <sz val="26"/>
            <color indexed="81"/>
            <rFont val="微軟正黑體"/>
            <family val="2"/>
            <charset val="136"/>
          </rPr>
          <t>最少入庫169，停止入庫</t>
        </r>
      </text>
    </comment>
    <comment ref="BD8" authorId="2" shapeId="0" xr:uid="{FDD20ED5-6E09-44C2-AC70-8E2CC28FD86A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最少入庫360，停止入庫</t>
        </r>
      </text>
    </comment>
    <comment ref="BF8" authorId="1" shapeId="0" xr:uid="{CF18F3BD-93CB-464E-9FD8-BA689B99EBE9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2500</t>
        </r>
        <r>
          <rPr>
            <b/>
            <sz val="20"/>
            <color indexed="81"/>
            <rFont val="細明體"/>
            <family val="3"/>
            <charset val="136"/>
          </rPr>
          <t>，把藥做完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8" authorId="1" shapeId="0" xr:uid="{D28E217E-A185-46D3-8064-B0E0E7E1605F}">
      <text>
        <r>
          <rPr>
            <b/>
            <sz val="20"/>
            <color indexed="81"/>
            <rFont val="細明體"/>
            <family val="3"/>
            <charset val="136"/>
          </rPr>
          <t>入庫220，停止生產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EP8" authorId="1" shapeId="0" xr:uid="{402FB15D-3AFF-4AEE-96FD-B9A8948DDDCD}">
      <text>
        <r>
          <rPr>
            <b/>
            <sz val="22"/>
            <color indexed="81"/>
            <rFont val="細明體"/>
            <family val="3"/>
            <charset val="136"/>
          </rPr>
          <t>入庫100；停止生產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Q8" authorId="0" shapeId="0" xr:uid="{8455A6C1-C06A-4B0B-8A35-A1075AD5210F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 620，停止生產
</t>
        </r>
      </text>
    </comment>
    <comment ref="HN8" authorId="1" shapeId="0" xr:uid="{DF350279-CE40-434C-AFCE-CEEF9E9DBE08}">
      <text>
        <r>
          <rPr>
            <b/>
            <sz val="28"/>
            <color indexed="81"/>
            <rFont val="細明體"/>
            <family val="3"/>
            <charset val="136"/>
          </rPr>
          <t>入庫1260  停止生產</t>
        </r>
      </text>
    </comment>
    <comment ref="IS8" authorId="1" shapeId="0" xr:uid="{AB219FCD-DC9C-4A01-8520-612D315D3E1D}">
      <text>
        <r>
          <rPr>
            <b/>
            <sz val="28"/>
            <color indexed="81"/>
            <rFont val="細明體"/>
            <family val="3"/>
            <charset val="136"/>
          </rPr>
          <t>入庫1500 停止生產</t>
        </r>
      </text>
    </comment>
    <comment ref="KP8" authorId="1" shapeId="0" xr:uid="{1A3A2117-F99C-4D6E-B19D-5958A8D51422}">
      <text>
        <r>
          <rPr>
            <b/>
            <sz val="28"/>
            <color indexed="81"/>
            <rFont val="細明體"/>
            <family val="3"/>
            <charset val="136"/>
          </rPr>
          <t>入庫9900 停止生產</t>
        </r>
      </text>
    </comment>
    <comment ref="MG8" authorId="1" shapeId="0" xr:uid="{9A4D6146-8ED2-4FF6-8EDE-110D2101D617}">
      <text>
        <r>
          <rPr>
            <b/>
            <sz val="28"/>
            <color indexed="81"/>
            <rFont val="細明體"/>
            <family val="3"/>
            <charset val="136"/>
          </rPr>
          <t>入庫2140，把藥投完 
一批到底</t>
        </r>
      </text>
    </comment>
    <comment ref="MM8" authorId="1" shapeId="0" xr:uid="{C7BE83FA-5289-4E0B-B3B1-1ADE3755540D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入庫1700 停止生產
</t>
        </r>
      </text>
    </comment>
    <comment ref="QH8" authorId="1" shapeId="0" xr:uid="{58EA02A4-6CB9-485C-8CAC-71943EBF4EF8}">
      <text>
        <r>
          <rPr>
            <b/>
            <sz val="28"/>
            <color indexed="81"/>
            <rFont val="細明體"/>
            <family val="3"/>
            <charset val="136"/>
          </rPr>
          <t>入庫 20 停止生產</t>
        </r>
      </text>
    </comment>
    <comment ref="QQ8" authorId="1" shapeId="0" xr:uid="{F672B578-8B46-4C35-A297-316E4B51D180}">
      <text>
        <r>
          <rPr>
            <b/>
            <sz val="28"/>
            <color indexed="81"/>
            <rFont val="細明體"/>
            <family val="3"/>
            <charset val="136"/>
          </rPr>
          <t>入庫 1280 停止生產</t>
        </r>
      </text>
    </comment>
    <comment ref="SH8" authorId="1" shapeId="0" xr:uid="{8920CDCE-B793-4F58-9FA2-5DCC435B1615}">
      <text>
        <r>
          <rPr>
            <b/>
            <sz val="28"/>
            <color indexed="81"/>
            <rFont val="細明體"/>
            <family val="3"/>
            <charset val="136"/>
          </rPr>
          <t>第一批生產
入庫 1600 停止生產</t>
        </r>
      </text>
    </comment>
    <comment ref="TM8" authorId="1" shapeId="0" xr:uid="{E2E6D66C-3085-427E-8E60-F7C523B8C59D}">
      <text>
        <r>
          <rPr>
            <b/>
            <sz val="28"/>
            <color indexed="81"/>
            <rFont val="細明體"/>
            <family val="3"/>
            <charset val="136"/>
          </rPr>
          <t>入庫 172 停止生產</t>
        </r>
      </text>
    </comment>
    <comment ref="UT8" authorId="1" shapeId="0" xr:uid="{5364651D-65F1-4389-BBC0-A51F144D2C3A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J8" authorId="1" shapeId="0" xr:uid="{81BEB4A5-FE0F-416E-9CF7-122C96402966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S8" authorId="1" shapeId="0" xr:uid="{D64B1DA3-51A0-444D-BEAF-7867966E255D}">
      <text>
        <r>
          <rPr>
            <b/>
            <sz val="28"/>
            <color indexed="81"/>
            <rFont val="細明體"/>
            <family val="3"/>
            <charset val="136"/>
          </rPr>
          <t>入庫 2720 停止生產
把藥投完。</t>
        </r>
      </text>
    </comment>
    <comment ref="WA8" authorId="1" shapeId="0" xr:uid="{A6E3C440-F78D-45FA-833B-483D83F9046E}">
      <text>
        <r>
          <rPr>
            <b/>
            <sz val="28"/>
            <color indexed="81"/>
            <rFont val="細明體"/>
            <family val="3"/>
            <charset val="136"/>
          </rPr>
          <t>入庫 1800 停止生產
確認生產數， 5/19 有多做</t>
        </r>
      </text>
    </comment>
    <comment ref="BF9" authorId="0" shapeId="0" xr:uid="{E49FC6D1-481C-4B76-89A5-7FFC504AECAB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最少入庫2880，停止生產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9" authorId="0" shapeId="0" xr:uid="{049AD39A-E300-4753-AC79-6EEB5538070C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最少入庫4500，停止生產
</t>
        </r>
      </text>
    </comment>
    <comment ref="EP9" authorId="1" shapeId="0" xr:uid="{4CF9E5EB-4282-42FE-A10D-4506AF02151D}">
      <text>
        <r>
          <rPr>
            <b/>
            <sz val="22"/>
            <color indexed="81"/>
            <rFont val="細明體"/>
            <family val="3"/>
            <charset val="136"/>
          </rPr>
          <t>入庫4320；停止生產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Q9" authorId="0" shapeId="0" xr:uid="{AE6168E0-70EA-49FF-BD6A-E44E540FD52A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最少入庫3060，停止生產
</t>
        </r>
      </text>
    </comment>
    <comment ref="IS9" authorId="1" shapeId="0" xr:uid="{D974A82C-1A29-4AF3-BD4B-1787BE27D791}">
      <text>
        <r>
          <rPr>
            <b/>
            <sz val="28"/>
            <color indexed="81"/>
            <rFont val="細明體"/>
            <family val="3"/>
            <charset val="136"/>
          </rPr>
          <t>入庫3080 停止生產</t>
        </r>
      </text>
    </comment>
    <comment ref="MM9" authorId="1" shapeId="0" xr:uid="{B4A7B546-32CB-4AE9-BE78-A91371328A87}">
      <text>
        <r>
          <rPr>
            <b/>
            <sz val="28"/>
            <color indexed="81"/>
            <rFont val="細明體"/>
            <family val="3"/>
            <charset val="136"/>
          </rPr>
          <t>入庫3240 停止生產</t>
        </r>
      </text>
    </comment>
    <comment ref="PI9" authorId="1" shapeId="0" xr:uid="{417290DA-ED0F-4F19-BD0C-0F73EFCF86AD}">
      <text>
        <r>
          <rPr>
            <b/>
            <sz val="28"/>
            <color indexed="81"/>
            <rFont val="細明體"/>
            <family val="3"/>
            <charset val="136"/>
          </rPr>
          <t>入庫2700 停止生產</t>
        </r>
      </text>
    </comment>
    <comment ref="SH9" authorId="1" shapeId="0" xr:uid="{BC801DF7-99CB-47B3-ACF0-FCFF8E180081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 1980 </t>
        </r>
        <r>
          <rPr>
            <b/>
            <sz val="22"/>
            <color indexed="81"/>
            <rFont val="細明體"/>
            <family val="3"/>
            <charset val="136"/>
          </rPr>
          <t>停止生產</t>
        </r>
      </text>
    </comment>
    <comment ref="TM9" authorId="1" shapeId="0" xr:uid="{9519D009-A911-48BA-8BE3-740A9AB962BF}">
      <text>
        <r>
          <rPr>
            <b/>
            <sz val="28"/>
            <color indexed="81"/>
            <rFont val="細明體"/>
            <family val="3"/>
            <charset val="136"/>
          </rPr>
          <t>入庫 1980 停止生產</t>
        </r>
      </text>
    </comment>
    <comment ref="WA9" authorId="1" shapeId="0" xr:uid="{3ADCFFF3-18D3-413A-BE51-0CF45D743D6D}">
      <text>
        <r>
          <rPr>
            <b/>
            <sz val="28"/>
            <color indexed="81"/>
            <rFont val="細明體"/>
            <family val="3"/>
            <charset val="136"/>
          </rPr>
          <t>入庫 2880 停止生產</t>
        </r>
      </text>
    </comment>
    <comment ref="YN9" authorId="1" shapeId="0" xr:uid="{E04B75BD-6805-4CF1-84A7-75BD35956A82}">
      <text>
        <r>
          <rPr>
            <b/>
            <sz val="28"/>
            <color indexed="81"/>
            <rFont val="細明體"/>
            <family val="3"/>
            <charset val="136"/>
          </rPr>
          <t>入庫 2340 停止生產</t>
        </r>
      </text>
    </comment>
    <comment ref="YO9" authorId="1" shapeId="0" xr:uid="{0F43D8AF-1613-44B3-B1CA-8918EE32F409}">
      <text>
        <r>
          <rPr>
            <b/>
            <sz val="28"/>
            <color indexed="81"/>
            <rFont val="細明體"/>
            <family val="3"/>
            <charset val="136"/>
          </rPr>
          <t>入庫 2340 停止生產</t>
        </r>
      </text>
    </comment>
    <comment ref="AU10" authorId="2" shapeId="0" xr:uid="{04060810-EBC8-4A80-9089-5DDEB8BC8C2F}">
      <text>
        <r>
          <rPr>
            <b/>
            <sz val="26"/>
            <color indexed="81"/>
            <rFont val="微軟正黑體"/>
            <family val="2"/>
            <charset val="136"/>
          </rPr>
          <t>最少入庫800，停止入庫；
其餘skyla</t>
        </r>
      </text>
    </comment>
    <comment ref="CK10" authorId="0" shapeId="0" xr:uid="{9CD2B269-625A-4C66-9615-A8A58C01F8F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最少入庫366，停止生產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N10" authorId="1" shapeId="0" xr:uid="{6D1D700F-0560-4145-BB54-5B1D3CD4F485}">
      <text>
        <r>
          <rPr>
            <b/>
            <sz val="28"/>
            <color indexed="81"/>
            <rFont val="細明體"/>
            <family val="3"/>
            <charset val="136"/>
          </rPr>
          <t>入庫1200 停止生產</t>
        </r>
      </text>
    </comment>
    <comment ref="KP10" authorId="1" shapeId="0" xr:uid="{324E94A0-ED48-4AAE-B1C7-F3F46EDD6F92}">
      <text>
        <r>
          <rPr>
            <b/>
            <sz val="28"/>
            <color indexed="81"/>
            <rFont val="細明體"/>
            <family val="3"/>
            <charset val="136"/>
          </rPr>
          <t>入庫1800 停止生產</t>
        </r>
      </text>
    </comment>
    <comment ref="PI10" authorId="1" shapeId="0" xr:uid="{B9F66BE5-5622-4E5B-84B5-0B0AE6291BE9}">
      <text>
        <r>
          <rPr>
            <b/>
            <sz val="28"/>
            <color indexed="81"/>
            <rFont val="細明體"/>
            <family val="3"/>
            <charset val="136"/>
          </rPr>
          <t>入庫 2900 停止生產</t>
        </r>
      </text>
    </comment>
    <comment ref="QH10" authorId="1" shapeId="0" xr:uid="{244E30D9-078B-48B3-909F-27AE3A92BE87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SH10" authorId="1" shapeId="0" xr:uid="{F682E073-71B0-4985-A061-B573E5179DF1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 2700 </t>
        </r>
        <r>
          <rPr>
            <b/>
            <sz val="22"/>
            <color indexed="81"/>
            <rFont val="細明體"/>
            <family val="3"/>
            <charset val="136"/>
          </rPr>
          <t>停止生產</t>
        </r>
      </text>
    </comment>
    <comment ref="UL10" authorId="1" shapeId="0" xr:uid="{0F861FD7-003E-4281-97E8-4349F4288D0F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KK11" authorId="1" shapeId="0" xr:uid="{A732313F-4160-4909-8789-5504EF00AD26}">
      <text>
        <r>
          <rPr>
            <b/>
            <sz val="28"/>
            <color indexed="81"/>
            <rFont val="細明體"/>
            <family val="3"/>
            <charset val="136"/>
          </rPr>
          <t>入庫10140 停止生產</t>
        </r>
      </text>
    </comment>
    <comment ref="KM11" authorId="1" shapeId="0" xr:uid="{F9A3D321-31BC-4630-8BB5-694E9CD5F90B}">
      <text>
        <r>
          <rPr>
            <b/>
            <sz val="28"/>
            <color indexed="81"/>
            <rFont val="細明體"/>
            <family val="3"/>
            <charset val="136"/>
          </rPr>
          <t>入庫10140 停止生產</t>
        </r>
      </text>
    </comment>
    <comment ref="QP11" authorId="1" shapeId="0" xr:uid="{93F2D4AD-0F3E-4577-BB20-FD4C81477C66}">
      <text>
        <r>
          <rPr>
            <b/>
            <sz val="28"/>
            <color indexed="81"/>
            <rFont val="細明體"/>
            <family val="3"/>
            <charset val="136"/>
          </rPr>
          <t>入庫 340 停止生產</t>
        </r>
      </text>
    </comment>
    <comment ref="UM11" authorId="1" shapeId="0" xr:uid="{C6ECB68A-0543-4AC6-981C-7A0976660D44}">
      <text>
        <r>
          <rPr>
            <b/>
            <sz val="28"/>
            <color indexed="81"/>
            <rFont val="細明體"/>
            <family val="3"/>
            <charset val="136"/>
          </rPr>
          <t>入庫 1300 停止生產</t>
        </r>
      </text>
    </comment>
    <comment ref="BE12" authorId="0" shapeId="0" xr:uid="{AD6E2266-453A-4454-A505-B7EEFD8ACA07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最少入庫1080，停止生產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D12" authorId="0" shapeId="0" xr:uid="{8A045927-6E21-4A1B-98ED-8D44D9A7BA9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最少入庫1080，停止生產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12" authorId="1" shapeId="0" xr:uid="{F4C66819-7FA9-4F62-A593-ACFD15C82ED2}">
      <text>
        <r>
          <rPr>
            <b/>
            <sz val="22"/>
            <color indexed="81"/>
            <rFont val="細明體"/>
            <family val="3"/>
            <charset val="136"/>
          </rPr>
          <t>入庫1080；停止生產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T12" authorId="1" shapeId="0" xr:uid="{4FE6155E-E932-4879-8432-D30394A86AFB}">
      <text>
        <r>
          <rPr>
            <b/>
            <sz val="28"/>
            <color indexed="81"/>
            <rFont val="細明體"/>
            <family val="3"/>
            <charset val="136"/>
          </rPr>
          <t>入庫1080 停止生產</t>
        </r>
      </text>
    </comment>
    <comment ref="MM12" authorId="1" shapeId="0" xr:uid="{AB9BDF54-4BD1-4B15-8938-B188614CDE9E}">
      <text>
        <r>
          <rPr>
            <b/>
            <sz val="28"/>
            <color indexed="81"/>
            <rFont val="細明體"/>
            <family val="3"/>
            <charset val="136"/>
          </rPr>
          <t>入庫1080 停止生產</t>
        </r>
      </text>
    </comment>
    <comment ref="PI12" authorId="1" shapeId="0" xr:uid="{AD48B607-6C3B-43C7-9A07-D27FF75C5C5A}">
      <text>
        <r>
          <rPr>
            <b/>
            <sz val="28"/>
            <color indexed="81"/>
            <rFont val="細明體"/>
            <family val="3"/>
            <charset val="136"/>
          </rPr>
          <t>入庫540 停止生產</t>
        </r>
      </text>
    </comment>
    <comment ref="SH12" authorId="1" shapeId="0" xr:uid="{1F4F2D08-6388-40CF-9EED-D2B9C4D2443D}">
      <text>
        <r>
          <rPr>
            <b/>
            <sz val="28"/>
            <color indexed="81"/>
            <rFont val="細明體"/>
            <family val="3"/>
            <charset val="136"/>
          </rPr>
          <t>入庫 720 停止生產</t>
        </r>
      </text>
    </comment>
    <comment ref="TM12" authorId="1" shapeId="0" xr:uid="{D6E5EDDD-DC83-4547-B3DB-B18E27C7B9CB}">
      <text>
        <r>
          <rPr>
            <b/>
            <sz val="28"/>
            <color indexed="81"/>
            <rFont val="細明體"/>
            <family val="3"/>
            <charset val="136"/>
          </rPr>
          <t>入庫 800 停止生產</t>
        </r>
      </text>
    </comment>
    <comment ref="WA12" authorId="1" shapeId="0" xr:uid="{CA482319-3B83-40F9-9DFE-1E7E18725053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YN12" authorId="1" shapeId="0" xr:uid="{9A9C4DAB-1E57-42F9-BE6B-402EC2021ADF}">
      <text>
        <r>
          <rPr>
            <b/>
            <sz val="28"/>
            <color indexed="81"/>
            <rFont val="細明體"/>
            <family val="3"/>
            <charset val="136"/>
          </rPr>
          <t>入庫 720 停止生產</t>
        </r>
      </text>
    </comment>
    <comment ref="HT13" authorId="1" shapeId="0" xr:uid="{F45877CC-EA2A-419B-BAF0-1BDC057C8C81}">
      <text>
        <r>
          <rPr>
            <b/>
            <sz val="28"/>
            <color indexed="81"/>
            <rFont val="細明體"/>
            <family val="3"/>
            <charset val="136"/>
          </rPr>
          <t>入庫200 停止生產</t>
        </r>
      </text>
    </comment>
    <comment ref="F14" authorId="2" shapeId="0" xr:uid="{E4E112CE-BA86-4EC3-8DDF-DD11930B55C1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最少入庫1120，停止入庫
</t>
        </r>
      </text>
    </comment>
    <comment ref="AM14" authorId="2" shapeId="0" xr:uid="{97A9B206-1942-47F2-8145-3379E7749E5B}">
      <text>
        <r>
          <rPr>
            <b/>
            <sz val="26"/>
            <color indexed="81"/>
            <rFont val="微軟正黑體"/>
            <family val="2"/>
            <charset val="136"/>
          </rPr>
          <t>最少入庫680，停止入庫</t>
        </r>
      </text>
    </comment>
    <comment ref="BE14" authorId="1" shapeId="0" xr:uid="{00D00180-92E3-4300-A584-02D2EA08BEB6}">
      <text>
        <r>
          <rPr>
            <b/>
            <sz val="24"/>
            <color indexed="81"/>
            <rFont val="細明體"/>
            <family val="3"/>
            <charset val="136"/>
          </rPr>
          <t xml:space="preserve">入庫1200，把藥投完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BL14" authorId="2" shapeId="0" xr:uid="{28C304B7-9688-4D60-82E0-FA89F34E5583}">
      <text>
        <r>
          <rPr>
            <b/>
            <sz val="26"/>
            <color indexed="81"/>
            <rFont val="微軟正黑體"/>
            <family val="2"/>
            <charset val="136"/>
          </rPr>
          <t>最少入庫3021，停止入庫 
DQE *21</t>
        </r>
      </text>
    </comment>
    <comment ref="BT14" authorId="1" shapeId="0" xr:uid="{160CA32D-B1C4-45EA-8AD4-B789F932496A}">
      <text>
        <r>
          <rPr>
            <b/>
            <sz val="20"/>
            <color indexed="81"/>
            <rFont val="細明體"/>
            <family val="3"/>
            <charset val="136"/>
          </rPr>
          <t>入庫3580；把藥投完。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B14" authorId="0" shapeId="0" xr:uid="{4E398AD1-7578-4E11-BA81-97D8A0D4B413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最少入庫2700，停止生產
</t>
        </r>
      </text>
    </comment>
    <comment ref="CC14" authorId="1" shapeId="0" xr:uid="{22EC5303-B6D2-480A-B082-25A0DFEE6AA7}">
      <text>
        <r>
          <rPr>
            <b/>
            <sz val="20"/>
            <color indexed="81"/>
            <rFont val="細明體"/>
            <family val="3"/>
            <charset val="136"/>
          </rPr>
          <t>入庫400；停止生產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T14" authorId="1" shapeId="0" xr:uid="{01331CE7-93A7-4A0B-9A4E-F0E837B7A19D}">
      <text>
        <r>
          <rPr>
            <b/>
            <sz val="22"/>
            <color indexed="81"/>
            <rFont val="細明體"/>
            <family val="3"/>
            <charset val="136"/>
          </rPr>
          <t>入庫2880；停止生產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DQ14" authorId="1" shapeId="0" xr:uid="{E591FE57-9758-4FF3-B27D-C6939A4FB578}">
      <text>
        <r>
          <rPr>
            <b/>
            <sz val="22"/>
            <color indexed="81"/>
            <rFont val="細明體"/>
            <family val="3"/>
            <charset val="136"/>
          </rPr>
          <t>入庫580；停止生產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EQ14" authorId="1" shapeId="0" xr:uid="{86EDB22F-652C-4D06-88A3-D5FE2189A2FB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入庫440；停止生產
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F14" authorId="1" shapeId="0" xr:uid="{9F527064-D085-488E-8A3C-138C7FC7CEF2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入庫7560；停止生產
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O14" authorId="0" shapeId="0" xr:uid="{75386BD8-2E0A-4E7F-8FB7-372475282D46}">
      <text>
        <r>
          <rPr>
            <b/>
            <sz val="28"/>
            <color indexed="81"/>
            <rFont val="細明體"/>
            <family val="3"/>
            <charset val="136"/>
          </rPr>
          <t>入庫</t>
        </r>
        <r>
          <rPr>
            <b/>
            <sz val="28"/>
            <color indexed="81"/>
            <rFont val="Tahoma"/>
            <family val="2"/>
          </rPr>
          <t xml:space="preserve"> *4180  </t>
        </r>
        <r>
          <rPr>
            <b/>
            <sz val="28"/>
            <color indexed="81"/>
            <rFont val="細明體"/>
            <family val="3"/>
            <charset val="136"/>
          </rPr>
          <t>把藥投完
試填</t>
        </r>
        <r>
          <rPr>
            <b/>
            <sz val="28"/>
            <color indexed="81"/>
            <rFont val="Tahoma"/>
            <family val="2"/>
          </rPr>
          <t>2</t>
        </r>
        <r>
          <rPr>
            <b/>
            <sz val="28"/>
            <color indexed="81"/>
            <rFont val="細明體"/>
            <family val="3"/>
            <charset val="136"/>
          </rPr>
          <t xml:space="preserve">筆 共90 片
</t>
        </r>
        <r>
          <rPr>
            <b/>
            <sz val="28"/>
            <color indexed="81"/>
            <rFont val="Tahoma"/>
            <family val="2"/>
          </rPr>
          <t xml:space="preserve">LM3097  EN </t>
        </r>
        <r>
          <rPr>
            <b/>
            <sz val="28"/>
            <color indexed="81"/>
            <rFont val="細明體"/>
            <family val="3"/>
            <charset val="136"/>
          </rPr>
          <t>試作</t>
        </r>
        <r>
          <rPr>
            <b/>
            <sz val="28"/>
            <color indexed="81"/>
            <rFont val="Tahoma"/>
            <family val="2"/>
          </rPr>
          <t>AST&amp;BUN</t>
        </r>
        <r>
          <rPr>
            <b/>
            <sz val="28"/>
            <color indexed="81"/>
            <rFont val="細明體"/>
            <family val="3"/>
            <charset val="136"/>
          </rPr>
          <t>換位置改善汙染</t>
        </r>
        <r>
          <rPr>
            <b/>
            <sz val="28"/>
            <color indexed="81"/>
            <rFont val="Tahoma"/>
            <family val="2"/>
          </rPr>
          <t>40</t>
        </r>
        <r>
          <rPr>
            <b/>
            <sz val="28"/>
            <color indexed="81"/>
            <rFont val="細明體"/>
            <family val="3"/>
            <charset val="136"/>
          </rPr>
          <t xml:space="preserve">片
</t>
        </r>
        <r>
          <rPr>
            <b/>
            <sz val="28"/>
            <color indexed="81"/>
            <rFont val="Tahoma"/>
            <family val="2"/>
          </rPr>
          <t xml:space="preserve">LM3094 </t>
        </r>
        <r>
          <rPr>
            <b/>
            <sz val="28"/>
            <color indexed="81"/>
            <rFont val="細明體"/>
            <family val="3"/>
            <charset val="136"/>
          </rPr>
          <t>隨線試填</t>
        </r>
        <r>
          <rPr>
            <b/>
            <sz val="28"/>
            <color indexed="81"/>
            <rFont val="Tahoma"/>
            <family val="2"/>
          </rPr>
          <t xml:space="preserve">Merck 265265 </t>
        </r>
        <r>
          <rPr>
            <b/>
            <sz val="28"/>
            <color indexed="81"/>
            <rFont val="細明體"/>
            <family val="3"/>
            <charset val="136"/>
          </rPr>
          <t>替代料</t>
        </r>
        <r>
          <rPr>
            <b/>
            <sz val="28"/>
            <color indexed="81"/>
            <rFont val="Tahoma"/>
            <family val="2"/>
          </rPr>
          <t>beads_HB General   50</t>
        </r>
        <r>
          <rPr>
            <b/>
            <sz val="28"/>
            <color indexed="81"/>
            <rFont val="細明體"/>
            <family val="3"/>
            <charset val="136"/>
          </rPr>
          <t xml:space="preserve">片。
</t>
        </r>
      </text>
    </comment>
    <comment ref="GU14" authorId="1" shapeId="0" xr:uid="{8D8067B6-2501-409B-9489-FB465A7D7DBE}">
      <text>
        <r>
          <rPr>
            <b/>
            <sz val="28"/>
            <color indexed="81"/>
            <rFont val="細明體"/>
            <family val="3"/>
            <charset val="136"/>
          </rPr>
          <t>入庫10760 把藥投完</t>
        </r>
      </text>
    </comment>
    <comment ref="HN14" authorId="1" shapeId="0" xr:uid="{AA9C86EB-3640-413A-90F6-21BE81C60D04}">
      <text>
        <r>
          <rPr>
            <b/>
            <sz val="28"/>
            <color indexed="81"/>
            <rFont val="細明體"/>
            <family val="3"/>
            <charset val="136"/>
          </rPr>
          <t>入庫5320 停止生產</t>
        </r>
      </text>
    </comment>
    <comment ref="IL14" authorId="1" shapeId="0" xr:uid="{3D430078-0466-4BB8-B48C-8D34E65F3CFA}">
      <text>
        <r>
          <rPr>
            <b/>
            <sz val="28"/>
            <color indexed="81"/>
            <rFont val="細明體"/>
            <family val="3"/>
            <charset val="136"/>
          </rPr>
          <t>入庫1100 停止生產</t>
        </r>
      </text>
    </comment>
    <comment ref="KJ14" authorId="1" shapeId="0" xr:uid="{8B7A67A5-B5C3-4903-8A37-ED8A4EAEC4C1}">
      <text>
        <r>
          <rPr>
            <b/>
            <sz val="28"/>
            <color indexed="81"/>
            <rFont val="細明體"/>
            <family val="3"/>
            <charset val="136"/>
          </rPr>
          <t>入庫 4289 停止生產</t>
        </r>
      </text>
    </comment>
    <comment ref="KX14" authorId="1" shapeId="0" xr:uid="{D62F583D-A43D-4888-B470-BE65C15B2CD0}">
      <text>
        <r>
          <rPr>
            <b/>
            <sz val="28"/>
            <color indexed="81"/>
            <rFont val="細明體"/>
            <family val="3"/>
            <charset val="136"/>
          </rPr>
          <t>入庫 5300 停止生產</t>
        </r>
      </text>
    </comment>
    <comment ref="ME14" authorId="1" shapeId="0" xr:uid="{25A12076-C5EF-4055-AA89-55B244D4E6C9}">
      <text>
        <r>
          <rPr>
            <b/>
            <sz val="28"/>
            <color indexed="81"/>
            <rFont val="細明體"/>
            <family val="3"/>
            <charset val="136"/>
          </rPr>
          <t>入庫 1780 停止生產</t>
        </r>
      </text>
    </comment>
    <comment ref="MV14" authorId="1" shapeId="0" xr:uid="{7910DF5A-BA55-4D7D-9D86-7CAD58F532A7}">
      <text>
        <r>
          <rPr>
            <b/>
            <sz val="28"/>
            <color indexed="81"/>
            <rFont val="細明體"/>
            <family val="3"/>
            <charset val="136"/>
          </rPr>
          <t>入庫12480 停止生產</t>
        </r>
      </text>
    </comment>
    <comment ref="NT14" authorId="1" shapeId="0" xr:uid="{EFDACD43-CFEB-494B-BB45-0D34153B8760}">
      <text>
        <r>
          <rPr>
            <b/>
            <sz val="28"/>
            <color indexed="81"/>
            <rFont val="細明體"/>
            <family val="3"/>
            <charset val="136"/>
          </rPr>
          <t>入庫7200 停止生產</t>
        </r>
      </text>
    </comment>
    <comment ref="OC14" authorId="1" shapeId="0" xr:uid="{93EF137A-3869-4CC9-BCEE-DE54EA3973FF}">
      <text>
        <r>
          <rPr>
            <b/>
            <sz val="28"/>
            <color indexed="81"/>
            <rFont val="細明體"/>
            <family val="3"/>
            <charset val="136"/>
          </rPr>
          <t>入庫 7200 停止生產</t>
        </r>
      </text>
    </comment>
    <comment ref="PR14" authorId="1" shapeId="0" xr:uid="{DF74D558-7BB0-4BE5-868E-676284CF4735}">
      <text>
        <r>
          <rPr>
            <b/>
            <sz val="28"/>
            <color indexed="81"/>
            <rFont val="細明體"/>
            <family val="3"/>
            <charset val="136"/>
          </rPr>
          <t>入庫1938 停止生產</t>
        </r>
      </text>
    </comment>
    <comment ref="QH14" authorId="1" shapeId="0" xr:uid="{E7FE82C2-15AA-4BC8-9DCC-0E0AE262FBE8}">
      <text>
        <r>
          <rPr>
            <b/>
            <sz val="28"/>
            <color indexed="81"/>
            <rFont val="細明體"/>
            <family val="3"/>
            <charset val="136"/>
          </rPr>
          <t>把藥投完</t>
        </r>
      </text>
    </comment>
    <comment ref="QP14" authorId="1" shapeId="0" xr:uid="{1782B541-96DB-4597-BF0F-48F6E648B1F6}">
      <text>
        <r>
          <rPr>
            <b/>
            <sz val="28"/>
            <color indexed="81"/>
            <rFont val="細明體"/>
            <family val="3"/>
            <charset val="136"/>
          </rPr>
          <t>入庫 360 停止生產</t>
        </r>
      </text>
    </comment>
    <comment ref="SG14" authorId="1" shapeId="0" xr:uid="{DF93DEFE-E8DD-4125-983B-4204B6FC7C4B}">
      <text>
        <r>
          <rPr>
            <b/>
            <sz val="28"/>
            <color indexed="81"/>
            <rFont val="細明體"/>
            <family val="3"/>
            <charset val="136"/>
          </rPr>
          <t>入庫 820 停止生產</t>
        </r>
      </text>
    </comment>
    <comment ref="SY14" authorId="1" shapeId="0" xr:uid="{BFADB7B6-FCE0-41C3-8081-4B9E1D7D01C4}">
      <text>
        <r>
          <rPr>
            <b/>
            <sz val="28"/>
            <color indexed="81"/>
            <rFont val="細明體"/>
            <family val="3"/>
            <charset val="136"/>
          </rPr>
          <t>入庫 10812 停止生產</t>
        </r>
      </text>
    </comment>
    <comment ref="TM14" authorId="1" shapeId="0" xr:uid="{08075659-DE02-4CF0-B0A6-DE41A1CFA8DE}">
      <text>
        <r>
          <rPr>
            <b/>
            <sz val="28"/>
            <color indexed="81"/>
            <rFont val="細明體"/>
            <family val="3"/>
            <charset val="136"/>
          </rPr>
          <t>入庫 2112 停止生產</t>
        </r>
      </text>
    </comment>
    <comment ref="UE14" authorId="1" shapeId="0" xr:uid="{7A57BE31-0090-46D5-8A39-3F9318D244C4}">
      <text>
        <r>
          <rPr>
            <b/>
            <sz val="28"/>
            <color indexed="81"/>
            <rFont val="細明體"/>
            <family val="3"/>
            <charset val="136"/>
          </rPr>
          <t>入庫 2240 停止生產</t>
        </r>
      </text>
    </comment>
    <comment ref="UN14" authorId="1" shapeId="0" xr:uid="{DD172588-7F65-4AE3-97AC-8E4BD3EE799A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US14" authorId="1" shapeId="0" xr:uid="{C2F0FD46-1FC4-4285-ABD7-9553F352CE30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B14" authorId="1" shapeId="0" xr:uid="{6AA8D095-103D-4E58-AD7E-73E77036210F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C14" authorId="1" shapeId="0" xr:uid="{12E0C90E-C377-4DB3-9092-2ACB120862D1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D14" authorId="1" shapeId="0" xr:uid="{0E236E3D-D074-4BE2-8A19-B362DC8429A3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R14" authorId="1" shapeId="0" xr:uid="{9079A624-26CE-4C46-AE0A-83C1D84F4744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S14" authorId="1" shapeId="0" xr:uid="{29DC96D1-DD5F-4A60-9762-3E0F0D720184}">
      <text>
        <r>
          <rPr>
            <b/>
            <sz val="28"/>
            <color indexed="81"/>
            <rFont val="細明體"/>
            <family val="3"/>
            <charset val="136"/>
          </rPr>
          <t>5/18 5/19 總入庫數
入庫 15680 停止生產</t>
        </r>
      </text>
    </comment>
    <comment ref="WY14" authorId="1" shapeId="0" xr:uid="{EA2ACBAB-DFB3-4457-8C2A-D5C95E59AFC7}">
      <text>
        <r>
          <rPr>
            <b/>
            <sz val="28"/>
            <color indexed="81"/>
            <rFont val="細明體"/>
            <family val="3"/>
            <charset val="136"/>
          </rPr>
          <t>入庫 7200 停止生產</t>
        </r>
      </text>
    </comment>
    <comment ref="AM16" authorId="2" shapeId="0" xr:uid="{CC57CE98-BE70-45AA-A5BE-2464DC18FD5C}">
      <text>
        <r>
          <rPr>
            <b/>
            <sz val="26"/>
            <color indexed="81"/>
            <rFont val="微軟正黑體"/>
            <family val="2"/>
            <charset val="136"/>
          </rPr>
          <t>最少入庫1200，停止生產</t>
        </r>
      </text>
    </comment>
    <comment ref="CB16" authorId="2" shapeId="0" xr:uid="{B026347F-9548-42A2-A2CA-55D6AC0317E8}">
      <text>
        <r>
          <rPr>
            <b/>
            <sz val="26"/>
            <color indexed="81"/>
            <rFont val="微軟正黑體"/>
            <family val="2"/>
            <charset val="136"/>
          </rPr>
          <t>最少入庫1600，停止入庫</t>
        </r>
      </text>
    </comment>
    <comment ref="HN16" authorId="1" shapeId="0" xr:uid="{D68A455B-27D6-4698-9ED3-F13BDE17C5D4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KJ16" authorId="1" shapeId="0" xr:uid="{9477F6EC-80D5-4F8E-B489-D28AC53AAA64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PR16" authorId="1" shapeId="0" xr:uid="{722F2843-C7A5-47A1-ACFD-0C05E0666614}">
      <text>
        <r>
          <rPr>
            <b/>
            <sz val="28"/>
            <color indexed="81"/>
            <rFont val="細明體"/>
            <family val="3"/>
            <charset val="136"/>
          </rPr>
          <t>入庫 2000 停止生產</t>
        </r>
      </text>
    </comment>
    <comment ref="QH16" authorId="1" shapeId="0" xr:uid="{1371D7D1-AA3D-4238-9984-11C668CB1571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SG16" authorId="1" shapeId="0" xr:uid="{7A4BA72C-5C64-458D-BBCD-25BEB3492A91}">
      <text>
        <r>
          <rPr>
            <b/>
            <sz val="28"/>
            <color indexed="81"/>
            <rFont val="細明體"/>
            <family val="3"/>
            <charset val="136"/>
          </rPr>
          <t>入庫 1300 停止生產</t>
        </r>
      </text>
    </comment>
    <comment ref="UE16" authorId="1" shapeId="0" xr:uid="{0AC93BDA-5E1D-4ED2-A1D5-012FAC35D6C9}">
      <text>
        <r>
          <rPr>
            <b/>
            <sz val="28"/>
            <color indexed="81"/>
            <rFont val="細明體"/>
            <family val="3"/>
            <charset val="136"/>
          </rPr>
          <t>入庫 700 停止生產</t>
        </r>
      </text>
    </comment>
    <comment ref="O17" authorId="2" shapeId="0" xr:uid="{A43E2BD3-5CE4-41A7-8F09-F6A0E0519A35}">
      <text>
        <r>
          <rPr>
            <b/>
            <sz val="26"/>
            <color indexed="81"/>
            <rFont val="微軟正黑體"/>
            <family val="2"/>
            <charset val="136"/>
          </rPr>
          <t>最少入庫140，把藥投完</t>
        </r>
      </text>
    </comment>
    <comment ref="BE17" authorId="1" shapeId="0" xr:uid="{2C0DCDA7-BC89-4473-AC70-34D0E5857D7E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640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17" authorId="2" shapeId="0" xr:uid="{4F6AD3BF-A405-45BB-9B00-580AFF872838}">
      <text>
        <r>
          <rPr>
            <b/>
            <sz val="26"/>
            <color indexed="81"/>
            <rFont val="微軟正黑體"/>
            <family val="2"/>
            <charset val="136"/>
          </rPr>
          <t>最少入庫1229；停止生產
DQE *9</t>
        </r>
      </text>
    </comment>
    <comment ref="BT17" authorId="2" shapeId="0" xr:uid="{D27EA6D8-34ED-4F10-B353-0611D180F8B7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最少入庫309；停止生產
第一批
</t>
        </r>
      </text>
    </comment>
    <comment ref="CL17" authorId="2" shapeId="0" xr:uid="{B884583F-05B8-49AF-AE7C-730E9796C615}">
      <text>
        <r>
          <rPr>
            <b/>
            <sz val="26"/>
            <color indexed="81"/>
            <rFont val="微軟正黑體"/>
            <family val="2"/>
            <charset val="136"/>
          </rPr>
          <t>最少入庫181；停止生產</t>
        </r>
      </text>
    </comment>
    <comment ref="CZ17" authorId="1" shapeId="0" xr:uid="{E9B37163-9B34-4D47-A314-D3F66638F4F4}">
      <text>
        <r>
          <rPr>
            <b/>
            <sz val="22"/>
            <color indexed="81"/>
            <rFont val="細明體"/>
            <family val="3"/>
            <charset val="136"/>
          </rPr>
          <t>入庫280；停止生產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DQ17" authorId="1" shapeId="0" xr:uid="{B6398CCF-AB02-4D3E-83CA-51D2350A558E}">
      <text>
        <r>
          <rPr>
            <b/>
            <sz val="22"/>
            <color indexed="81"/>
            <rFont val="細明體"/>
            <family val="3"/>
            <charset val="136"/>
          </rPr>
          <t>入庫560；停止生產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F17" authorId="1" shapeId="0" xr:uid="{E7B580A6-7D91-44F4-88C7-40CC81F444B7}">
      <text>
        <r>
          <rPr>
            <b/>
            <sz val="22"/>
            <color indexed="81"/>
            <rFont val="細明體"/>
            <family val="3"/>
            <charset val="136"/>
          </rPr>
          <t>入庫540；停止生產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N17" authorId="1" shapeId="0" xr:uid="{854D36D6-79F7-4D2D-B44E-331EF4E43593}">
      <text>
        <r>
          <rPr>
            <b/>
            <sz val="28"/>
            <color indexed="81"/>
            <rFont val="細明體"/>
            <family val="3"/>
            <charset val="136"/>
          </rPr>
          <t>入庫620 停止生產
EEN:LM3370  184卡匣 
1.移除光清洗製程確效 
2. 安排生產"不進行"光清洗製程之卡匣至DB組裝完成，*20 PCS
3. 依當日生產之panel進行填盤，卡匣需與該panel使用之卡匣相同種類、相同批次。
4. 同QC首件之卡匣一同送驗。</t>
        </r>
      </text>
    </comment>
    <comment ref="IL17" authorId="1" shapeId="0" xr:uid="{3A7EC68E-1BED-4720-80B3-2667E4830A26}">
      <text>
        <r>
          <rPr>
            <b/>
            <sz val="28"/>
            <color indexed="81"/>
            <rFont val="細明體"/>
            <family val="3"/>
            <charset val="136"/>
          </rPr>
          <t>入庫500 停止生產</t>
        </r>
      </text>
    </comment>
    <comment ref="KI17" authorId="1" shapeId="0" xr:uid="{107E4923-8CA2-4D28-9092-E4479889A0EB}">
      <text>
        <r>
          <rPr>
            <b/>
            <sz val="28"/>
            <color indexed="81"/>
            <rFont val="細明體"/>
            <family val="3"/>
            <charset val="136"/>
          </rPr>
          <t>入庫 4549 停止生產</t>
        </r>
      </text>
    </comment>
    <comment ref="KM17" authorId="1" shapeId="0" xr:uid="{7DE68602-B161-433B-B9B8-FC2734EBFA9D}">
      <text>
        <r>
          <rPr>
            <b/>
            <sz val="28"/>
            <color indexed="81"/>
            <rFont val="細明體"/>
            <family val="3"/>
            <charset val="136"/>
          </rPr>
          <t>入庫 4540 停止生產</t>
        </r>
      </text>
    </comment>
    <comment ref="MF17" authorId="1" shapeId="0" xr:uid="{4ACF0745-2505-4F86-BEED-FF665A3B870C}">
      <text>
        <r>
          <rPr>
            <b/>
            <sz val="28"/>
            <color indexed="81"/>
            <rFont val="細明體"/>
            <family val="3"/>
            <charset val="136"/>
          </rPr>
          <t>入庫 180 停止生產</t>
        </r>
      </text>
    </comment>
    <comment ref="MY17" authorId="1" shapeId="0" xr:uid="{62427E31-D282-4214-B406-ECD90B807896}">
      <text>
        <r>
          <rPr>
            <b/>
            <sz val="28"/>
            <color indexed="81"/>
            <rFont val="細明體"/>
            <family val="3"/>
            <charset val="136"/>
          </rPr>
          <t>入庫 980 停止生產
一批到底</t>
        </r>
      </text>
    </comment>
    <comment ref="NL17" authorId="1" shapeId="0" xr:uid="{EA45C473-F665-4E5A-86AA-5B082ADCA100}">
      <text>
        <r>
          <rPr>
            <b/>
            <sz val="28"/>
            <color indexed="81"/>
            <rFont val="細明體"/>
            <family val="3"/>
            <charset val="136"/>
          </rPr>
          <t>入庫 400 停止生產
一批到底</t>
        </r>
      </text>
    </comment>
    <comment ref="PR17" authorId="1" shapeId="0" xr:uid="{C63DF41D-2E09-4F7A-BE45-769E7177081A}">
      <text>
        <r>
          <rPr>
            <b/>
            <sz val="28"/>
            <color indexed="81"/>
            <rFont val="細明體"/>
            <family val="3"/>
            <charset val="136"/>
          </rPr>
          <t>入庫 178 停止生產</t>
        </r>
      </text>
    </comment>
    <comment ref="QP17" authorId="1" shapeId="0" xr:uid="{CABC2E8D-E935-449A-864D-074125B1AAB8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RW17" authorId="1" shapeId="0" xr:uid="{C8869D5C-64CC-41BE-9108-2E4AE80FF6A8}">
      <text>
        <r>
          <rPr>
            <b/>
            <sz val="28"/>
            <color indexed="81"/>
            <rFont val="細明體"/>
            <family val="3"/>
            <charset val="136"/>
          </rPr>
          <t>入庫 1680 停止生產</t>
        </r>
      </text>
    </comment>
    <comment ref="TM17" authorId="1" shapeId="0" xr:uid="{076EE2B9-468C-4F7B-B9BD-E7870B77B6F5}">
      <text>
        <r>
          <rPr>
            <b/>
            <sz val="28"/>
            <color indexed="81"/>
            <rFont val="細明體"/>
            <family val="3"/>
            <charset val="136"/>
          </rPr>
          <t>入庫 300 停止生產</t>
        </r>
      </text>
    </comment>
    <comment ref="UE17" authorId="1" shapeId="0" xr:uid="{428E8D43-AE24-46EC-8438-9F451AD34681}">
      <text>
        <r>
          <rPr>
            <b/>
            <sz val="28"/>
            <color indexed="81"/>
            <rFont val="細明體"/>
            <family val="3"/>
            <charset val="136"/>
          </rPr>
          <t>入庫 860 停止生產</t>
        </r>
      </text>
    </comment>
    <comment ref="UU17" authorId="1" shapeId="0" xr:uid="{07FE3FDE-0A1A-4AD5-ADE8-947AC45693F1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K17" authorId="1" shapeId="0" xr:uid="{D322992D-6CCC-4B62-937B-2ECEE90FA1CC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N17" authorId="1" shapeId="0" xr:uid="{282A4968-D5F4-440D-BF6E-2574AE92F966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Z17" authorId="1" shapeId="0" xr:uid="{BB161E6A-1426-4C6D-9E9A-7C25E86E208F}">
      <text>
        <r>
          <rPr>
            <b/>
            <sz val="28"/>
            <color indexed="81"/>
            <rFont val="細明體"/>
            <family val="3"/>
            <charset val="136"/>
          </rPr>
          <t>入庫 12140 停止生產</t>
        </r>
      </text>
    </comment>
    <comment ref="H19" authorId="1" shapeId="0" xr:uid="{36612381-396F-4E97-A7C8-82FD5E43DD4D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140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BE19" authorId="1" shapeId="0" xr:uid="{BEA3E259-4BE4-4DCE-B4BB-8B26BC24B17F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19" authorId="2" shapeId="0" xr:uid="{DAAF1806-1A47-41C3-A260-92255966C8C6}">
      <text>
        <r>
          <rPr>
            <b/>
            <sz val="26"/>
            <color indexed="81"/>
            <rFont val="微軟正黑體"/>
            <family val="2"/>
            <charset val="136"/>
          </rPr>
          <t>最少入庫400；停止生產</t>
        </r>
      </text>
    </comment>
    <comment ref="BT19" authorId="2" shapeId="0" xr:uid="{C5AE491C-9985-4981-AE09-3BFD345691B8}">
      <text>
        <r>
          <rPr>
            <b/>
            <sz val="26"/>
            <color indexed="81"/>
            <rFont val="微軟正黑體"/>
            <family val="2"/>
            <charset val="136"/>
          </rPr>
          <t>最少入庫400；停止生產
第一批</t>
        </r>
      </text>
    </comment>
    <comment ref="CL19" authorId="2" shapeId="0" xr:uid="{AA93BB62-006B-452B-8447-826CDD481192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最少入庫600；停止生產
</t>
        </r>
      </text>
    </comment>
    <comment ref="HN19" authorId="1" shapeId="0" xr:uid="{CDB99B2D-BE96-47EA-BE06-2094C437949C}">
      <text>
        <r>
          <rPr>
            <b/>
            <sz val="28"/>
            <color indexed="81"/>
            <rFont val="細明體"/>
            <family val="3"/>
            <charset val="136"/>
          </rPr>
          <t>入庫240 停止生產</t>
        </r>
      </text>
    </comment>
    <comment ref="KI19" authorId="1" shapeId="0" xr:uid="{A1261138-1EB2-443C-B532-ED819327331D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KM19" authorId="1" shapeId="0" xr:uid="{E2700791-D74D-484D-A5B2-A345A772AF54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MF19" authorId="1" shapeId="0" xr:uid="{1D85DC85-CC82-46F9-890D-DB971DC71AD0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PR19" authorId="1" shapeId="0" xr:uid="{2D8D297C-B8E6-4297-89B0-890A15F66666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QH19" authorId="1" shapeId="0" xr:uid="{B456706E-8EA5-4FD1-A549-DD4F0B5F1FEB}">
      <text>
        <r>
          <rPr>
            <b/>
            <sz val="28"/>
            <color indexed="81"/>
            <rFont val="細明體"/>
            <family val="3"/>
            <charset val="136"/>
          </rPr>
          <t>入庫 480 停止生產</t>
        </r>
      </text>
    </comment>
    <comment ref="RW19" authorId="1" shapeId="0" xr:uid="{C9BDDE0E-B18C-4CA1-8F2C-E40E682071E8}">
      <text>
        <r>
          <rPr>
            <b/>
            <sz val="28"/>
            <color indexed="81"/>
            <rFont val="細明體"/>
            <family val="3"/>
            <charset val="136"/>
          </rPr>
          <t>入庫800 停止生產</t>
        </r>
      </text>
    </comment>
    <comment ref="UE19" authorId="1" shapeId="0" xr:uid="{1F5169E4-3009-4BD4-9AD1-5BFA8EE30848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H20" authorId="1" shapeId="0" xr:uid="{55F6AEA4-CA08-4D37-A240-53E4302B3AFE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1540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O20" authorId="2" shapeId="0" xr:uid="{D3575EA0-F5BB-4073-A6BC-111D8F9D312A}">
      <text>
        <r>
          <rPr>
            <b/>
            <sz val="26"/>
            <color indexed="81"/>
            <rFont val="微軟正黑體"/>
            <family val="2"/>
            <charset val="136"/>
          </rPr>
          <t>最少入庫980，停止入庫</t>
        </r>
      </text>
    </comment>
    <comment ref="BE20" authorId="1" shapeId="0" xr:uid="{91044C97-1D66-4D86-AA74-E071A4D630BA}">
      <text>
        <r>
          <rPr>
            <b/>
            <sz val="20"/>
            <color indexed="81"/>
            <rFont val="細明體"/>
            <family val="3"/>
            <charset val="136"/>
          </rPr>
          <t>入庫12</t>
        </r>
        <r>
          <rPr>
            <b/>
            <sz val="20"/>
            <color indexed="81"/>
            <rFont val="Tahoma"/>
            <family val="2"/>
          </rPr>
          <t>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20" authorId="2" shapeId="0" xr:uid="{CCB227B7-3E0C-4F36-9B7C-B265DCE9A4CE}">
      <text>
        <r>
          <rPr>
            <b/>
            <sz val="26"/>
            <color indexed="81"/>
            <rFont val="微軟正黑體"/>
            <family val="2"/>
            <charset val="136"/>
          </rPr>
          <t>最少入庫1160，停止入庫</t>
        </r>
      </text>
    </comment>
    <comment ref="CZ20" authorId="1" shapeId="0" xr:uid="{FB402196-65E2-4890-8AA1-61A45048C061}">
      <text>
        <r>
          <rPr>
            <b/>
            <sz val="20"/>
            <color indexed="81"/>
            <rFont val="細明體"/>
            <family val="3"/>
            <charset val="136"/>
          </rPr>
          <t>入庫 260，把藥投完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DQ20" authorId="1" shapeId="0" xr:uid="{D7683949-3277-49F1-8289-109EE07538C7}">
      <text>
        <r>
          <rPr>
            <b/>
            <sz val="20"/>
            <color indexed="81"/>
            <rFont val="細明體"/>
            <family val="3"/>
            <charset val="136"/>
          </rPr>
          <t>入庫900，停止生產。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EI20" authorId="0" shapeId="0" xr:uid="{FDA697D0-39EC-4996-8987-B489E7D6357A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最少入庫400，停止生產
</t>
        </r>
      </text>
    </comment>
    <comment ref="EQ20" authorId="1" shapeId="0" xr:uid="{C7EAFCBF-8264-4096-80E9-E88B2E607E1A}">
      <text>
        <r>
          <rPr>
            <b/>
            <sz val="22"/>
            <color indexed="81"/>
            <rFont val="細明體"/>
            <family val="3"/>
            <charset val="136"/>
          </rPr>
          <t>入庫440；停止生產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N20" authorId="1" shapeId="0" xr:uid="{C965A119-BEB2-42B0-97F2-B306CB04791C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入庫940；停止生產
</t>
        </r>
      </text>
    </comment>
    <comment ref="HO20" authorId="1" shapeId="0" xr:uid="{596D9EC7-6FCB-4FE1-93C0-BB856676A9FD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入庫260；把藥投完
</t>
        </r>
      </text>
    </comment>
    <comment ref="IL20" authorId="1" shapeId="0" xr:uid="{1ACB7009-392E-4E77-8060-CD969CDC5B67}">
      <text>
        <r>
          <rPr>
            <b/>
            <sz val="28"/>
            <color indexed="81"/>
            <rFont val="細明體"/>
            <family val="3"/>
            <charset val="136"/>
          </rPr>
          <t>入庫880 停止生產</t>
        </r>
      </text>
    </comment>
    <comment ref="KL20" authorId="1" shapeId="0" xr:uid="{59C57D35-DD68-41A9-99A3-682773758599}">
      <text>
        <r>
          <rPr>
            <b/>
            <sz val="28"/>
            <color indexed="81"/>
            <rFont val="細明體"/>
            <family val="3"/>
            <charset val="136"/>
          </rPr>
          <t>入庫4840 停止生產</t>
        </r>
      </text>
    </comment>
    <comment ref="MF20" authorId="1" shapeId="0" xr:uid="{A1C63FA7-E9E5-441D-8F9B-61C946A0D4F4}">
      <text>
        <r>
          <rPr>
            <b/>
            <sz val="28"/>
            <color indexed="81"/>
            <rFont val="細明體"/>
            <family val="3"/>
            <charset val="136"/>
          </rPr>
          <t>入庫200 停止生產</t>
        </r>
      </text>
    </comment>
    <comment ref="OL20" authorId="1" shapeId="0" xr:uid="{42CB8D98-E7DE-4144-A867-C0A78A8C3076}">
      <text>
        <r>
          <rPr>
            <b/>
            <sz val="28"/>
            <color indexed="81"/>
            <rFont val="細明體"/>
            <family val="3"/>
            <charset val="136"/>
          </rPr>
          <t>入庫 120 停止生產</t>
        </r>
      </text>
    </comment>
    <comment ref="QP20" authorId="1" shapeId="0" xr:uid="{B6392AAD-D298-4527-A055-75554074F68F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RW20" authorId="1" shapeId="0" xr:uid="{3673ED88-D97C-467F-908D-1E8A5A09ED87}">
      <text>
        <r>
          <rPr>
            <b/>
            <sz val="28"/>
            <color indexed="81"/>
            <rFont val="細明體"/>
            <family val="3"/>
            <charset val="136"/>
          </rPr>
          <t>入庫 1060 停止生產</t>
        </r>
      </text>
    </comment>
    <comment ref="UE20" authorId="1" shapeId="0" xr:uid="{3E1E5802-572F-42C6-87D4-57F94D6B49AE}">
      <text>
        <r>
          <rPr>
            <b/>
            <sz val="28"/>
            <color indexed="81"/>
            <rFont val="細明體"/>
            <family val="3"/>
            <charset val="136"/>
          </rPr>
          <t>入庫 4180 停止生產</t>
        </r>
      </text>
    </comment>
    <comment ref="WI20" authorId="1" shapeId="0" xr:uid="{386A54D8-680B-4355-AF8F-8F42E22C279E}">
      <text>
        <r>
          <rPr>
            <b/>
            <sz val="28"/>
            <color indexed="81"/>
            <rFont val="細明體"/>
            <family val="3"/>
            <charset val="136"/>
          </rPr>
          <t>入庫 760 停止生產</t>
        </r>
      </text>
    </comment>
    <comment ref="H21" authorId="1" shapeId="0" xr:uid="{6927FC99-D941-43F4-A349-EA1D50AFC3D0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320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CK21" authorId="2" shapeId="0" xr:uid="{B141DC25-EBBA-4A2B-9A4F-346764505AFC}">
      <text>
        <r>
          <rPr>
            <b/>
            <sz val="26"/>
            <color indexed="81"/>
            <rFont val="微軟正黑體"/>
            <family val="2"/>
            <charset val="136"/>
          </rPr>
          <t>最少入庫320，停止入庫</t>
        </r>
      </text>
    </comment>
    <comment ref="KL21" authorId="1" shapeId="0" xr:uid="{47909230-0717-4ADC-AA3B-497B22E9982B}">
      <text>
        <r>
          <rPr>
            <b/>
            <sz val="28"/>
            <color indexed="81"/>
            <rFont val="細明體"/>
            <family val="3"/>
            <charset val="136"/>
          </rPr>
          <t>入庫320 停止生產</t>
        </r>
      </text>
    </comment>
    <comment ref="UE21" authorId="1" shapeId="0" xr:uid="{90C87AA4-E95C-4818-840A-6A9D8DC2BAA1}">
      <text>
        <r>
          <rPr>
            <b/>
            <sz val="28"/>
            <color indexed="81"/>
            <rFont val="細明體"/>
            <family val="3"/>
            <charset val="136"/>
          </rPr>
          <t>入庫 320 停止生產</t>
        </r>
      </text>
    </comment>
    <comment ref="CK22" authorId="2" shapeId="0" xr:uid="{EA814355-A07A-4DED-81FD-68F90202BD7E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最少入庫360，停止入庫</t>
        </r>
      </text>
    </comment>
    <comment ref="H24" authorId="1" shapeId="0" xr:uid="{048403D4-CB95-4CAD-B839-7C047EFADAEE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720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N24" authorId="1" shapeId="0" xr:uid="{5280CDDB-9AA3-4472-B13C-5932B2E45636}">
      <text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200 </t>
        </r>
        <r>
          <rPr>
            <sz val="30"/>
            <color indexed="81"/>
            <rFont val="細明體"/>
            <family val="3"/>
            <charset val="136"/>
          </rPr>
          <t>停止生產</t>
        </r>
      </text>
    </comment>
    <comment ref="AU24" authorId="2" shapeId="0" xr:uid="{505AC6B3-AAFC-4C2E-85B4-787C8004A8BA}">
      <text>
        <r>
          <rPr>
            <b/>
            <sz val="26"/>
            <color indexed="81"/>
            <rFont val="微軟正黑體"/>
            <family val="2"/>
            <charset val="136"/>
          </rPr>
          <t>最少入庫2000，停止入庫</t>
        </r>
      </text>
    </comment>
    <comment ref="BU24" authorId="1" shapeId="0" xr:uid="{5B1C64BB-5049-4BF5-8466-4C7A16383777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1200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L24" authorId="2" shapeId="0" xr:uid="{2352AB38-D943-439E-A82B-01EE6FCE0EB8}">
      <text>
        <r>
          <rPr>
            <b/>
            <sz val="26"/>
            <color indexed="81"/>
            <rFont val="微軟正黑體"/>
            <family val="2"/>
            <charset val="136"/>
          </rPr>
          <t>最少入庫1580，停止入庫</t>
        </r>
      </text>
    </comment>
    <comment ref="EP24" authorId="1" shapeId="0" xr:uid="{BFBE9E56-3234-44F4-A306-57BBE991EAD6}">
      <text>
        <r>
          <rPr>
            <b/>
            <sz val="22"/>
            <color indexed="81"/>
            <rFont val="細明體"/>
            <family val="3"/>
            <charset val="136"/>
          </rPr>
          <t>入庫400；停止生產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O24" authorId="1" shapeId="0" xr:uid="{287C3087-889E-404B-AF43-ECCBCDC17BC7}">
      <text>
        <r>
          <rPr>
            <b/>
            <sz val="28"/>
            <color indexed="81"/>
            <rFont val="細明體"/>
            <family val="3"/>
            <charset val="136"/>
          </rPr>
          <t>入庫1900 停止生產</t>
        </r>
      </text>
    </comment>
    <comment ref="KJ24" authorId="1" shapeId="0" xr:uid="{1C08C990-67B3-4E18-A642-900FFDDC62AC}">
      <text>
        <r>
          <rPr>
            <b/>
            <sz val="28"/>
            <color indexed="81"/>
            <rFont val="細明體"/>
            <family val="3"/>
            <charset val="136"/>
          </rPr>
          <t>入庫1600 停止生產</t>
        </r>
      </text>
    </comment>
    <comment ref="MN24" authorId="1" shapeId="0" xr:uid="{F4D80642-7BB5-4A01-858F-921ACE219C89}">
      <text>
        <r>
          <rPr>
            <b/>
            <sz val="28"/>
            <color indexed="81"/>
            <rFont val="細明體"/>
            <family val="3"/>
            <charset val="136"/>
          </rPr>
          <t>入庫 3000 停止生產</t>
        </r>
      </text>
    </comment>
    <comment ref="PR24" authorId="1" shapeId="0" xr:uid="{1CD4E0ED-8A4E-4078-8680-BA2410615C55}">
      <text>
        <r>
          <rPr>
            <b/>
            <sz val="28"/>
            <color indexed="81"/>
            <rFont val="細明體"/>
            <family val="3"/>
            <charset val="136"/>
          </rPr>
          <t>入庫 2200 停止生產</t>
        </r>
      </text>
    </comment>
    <comment ref="QH24" authorId="1" shapeId="0" xr:uid="{469AC554-79A3-4576-97B9-BF4780299107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RY24" authorId="1" shapeId="0" xr:uid="{3D933A95-D17A-46B5-A31D-B5360E7A2F54}">
      <text>
        <r>
          <rPr>
            <b/>
            <sz val="28"/>
            <color indexed="81"/>
            <rFont val="細明體"/>
            <family val="3"/>
            <charset val="136"/>
          </rPr>
          <t>入庫 2900 停止生產。</t>
        </r>
      </text>
    </comment>
    <comment ref="SI24" authorId="1" shapeId="0" xr:uid="{457ED542-06E2-4BB3-8492-30DD0B7F1C8B}">
      <text>
        <r>
          <rPr>
            <b/>
            <sz val="28"/>
            <color indexed="81"/>
            <rFont val="細明體"/>
            <family val="3"/>
            <charset val="136"/>
          </rPr>
          <t>入庫 2900 停止生產</t>
        </r>
      </text>
    </comment>
    <comment ref="UL24" authorId="1" shapeId="0" xr:uid="{8C097A47-468C-485B-893E-CC353E95630C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W25" authorId="0" shapeId="0" xr:uid="{34E050AA-8E9F-4412-952B-AA4A1C63D067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最少入庫360，停止生產
CRP請產線另外分出來</t>
        </r>
      </text>
    </comment>
    <comment ref="AM25" authorId="2" shapeId="0" xr:uid="{CAB18DD9-0AF1-45A9-AB4D-DBB681FC4CE3}">
      <text>
        <r>
          <rPr>
            <b/>
            <sz val="36"/>
            <color indexed="81"/>
            <rFont val="微軟正黑體"/>
            <family val="2"/>
            <charset val="136"/>
          </rPr>
          <t xml:space="preserve">最少入庫440，把藥投完
</t>
        </r>
      </text>
    </comment>
    <comment ref="BU25" authorId="0" shapeId="0" xr:uid="{6AF93FDF-764D-47A9-B27C-A53872790C94}">
      <text>
        <r>
          <rPr>
            <b/>
            <sz val="26"/>
            <color indexed="81"/>
            <rFont val="微軟正黑體"/>
            <family val="2"/>
            <charset val="136"/>
          </rPr>
          <t>最少入庫420，把藥做完</t>
        </r>
      </text>
    </comment>
    <comment ref="CC25" authorId="0" shapeId="0" xr:uid="{94E11B4F-E1E8-49AE-8C4F-332375632016}">
      <text>
        <r>
          <rPr>
            <b/>
            <sz val="26"/>
            <color indexed="81"/>
            <rFont val="微軟正黑體"/>
            <family val="2"/>
            <charset val="136"/>
          </rPr>
          <t>最少入庫3800，停止生產</t>
        </r>
      </text>
    </comment>
    <comment ref="IB25" authorId="1" shapeId="0" xr:uid="{8CC3A630-24B6-42DB-A004-2216A07E0FAF}">
      <text>
        <r>
          <rPr>
            <b/>
            <sz val="20"/>
            <color indexed="81"/>
            <rFont val="細明體"/>
            <family val="3"/>
            <charset val="136"/>
          </rPr>
          <t>把藥投完</t>
        </r>
      </text>
    </comment>
    <comment ref="IS25" authorId="1" shapeId="0" xr:uid="{E1CFD007-FF5D-4FF8-A739-20BA99050C79}">
      <text>
        <r>
          <rPr>
            <b/>
            <sz val="20"/>
            <color indexed="81"/>
            <rFont val="細明體"/>
            <family val="3"/>
            <charset val="136"/>
          </rPr>
          <t>入庫1580，停止生產</t>
        </r>
      </text>
    </comment>
    <comment ref="KK25" authorId="1" shapeId="0" xr:uid="{3A730DCB-1309-4630-A1B8-E33C927E7F73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入庫360 停止生產
EN :LM3498
生產時取20片無光清洗卡匣與首件卡匣一起交給QC。
</t>
        </r>
      </text>
    </comment>
    <comment ref="ME25" authorId="1" shapeId="0" xr:uid="{45ECA5EA-70D1-4ABC-BBFC-E8F1F8A20057}">
      <text>
        <r>
          <rPr>
            <b/>
            <sz val="28"/>
            <color indexed="81"/>
            <rFont val="細明體"/>
            <family val="3"/>
            <charset val="136"/>
          </rPr>
          <t>入庫4180 停止生產</t>
        </r>
      </text>
    </comment>
    <comment ref="ND25" authorId="1" shapeId="0" xr:uid="{8AE9C304-56E3-4EC9-B784-F8D93790FC9C}">
      <text>
        <r>
          <rPr>
            <b/>
            <sz val="28"/>
            <color indexed="81"/>
            <rFont val="細明體"/>
            <family val="3"/>
            <charset val="136"/>
          </rPr>
          <t>入庫 460 停止生產
一批到底</t>
        </r>
      </text>
    </comment>
    <comment ref="NT25" authorId="1" shapeId="0" xr:uid="{9396252C-BE2B-407F-ADD4-0EC636FAF026}">
      <text>
        <r>
          <rPr>
            <b/>
            <sz val="28"/>
            <color indexed="81"/>
            <rFont val="細明體"/>
            <family val="3"/>
            <charset val="136"/>
          </rPr>
          <t>入庫 980 停止生產</t>
        </r>
      </text>
    </comment>
    <comment ref="PI25" authorId="1" shapeId="0" xr:uid="{B55FFF3F-DC06-474D-A7DF-AB8A155ABE9F}">
      <text>
        <r>
          <rPr>
            <b/>
            <sz val="28"/>
            <color indexed="81"/>
            <rFont val="細明體"/>
            <family val="3"/>
            <charset val="136"/>
          </rPr>
          <t>入庫240 停止生產</t>
        </r>
      </text>
    </comment>
    <comment ref="RW25" authorId="1" shapeId="0" xr:uid="{A8973132-52A7-4528-86FD-FC77775EEBEF}">
      <text>
        <r>
          <rPr>
            <b/>
            <sz val="28"/>
            <color indexed="81"/>
            <rFont val="細明體"/>
            <family val="3"/>
            <charset val="136"/>
          </rPr>
          <t>入庫 6040 停止生產</t>
        </r>
      </text>
    </comment>
    <comment ref="TD25" authorId="1" shapeId="0" xr:uid="{C56E9EE0-D408-4354-9104-D457339F2196}">
      <text>
        <r>
          <rPr>
            <b/>
            <sz val="28"/>
            <color indexed="81"/>
            <rFont val="細明體"/>
            <family val="3"/>
            <charset val="136"/>
          </rPr>
          <t>入庫 432 停止生產</t>
        </r>
      </text>
    </comment>
    <comment ref="WA25" authorId="1" shapeId="0" xr:uid="{AA3A9D6C-D9E7-4350-A77E-796FA75D194D}">
      <text>
        <r>
          <rPr>
            <b/>
            <sz val="28"/>
            <color indexed="81"/>
            <rFont val="細明體"/>
            <family val="3"/>
            <charset val="136"/>
          </rPr>
          <t>入庫 1880 停止生產</t>
        </r>
      </text>
    </comment>
    <comment ref="AM26" authorId="2" shapeId="0" xr:uid="{470AFC36-921D-4F23-B7E3-FFF94B5D43AD}">
      <text>
        <r>
          <rPr>
            <b/>
            <sz val="26"/>
            <color indexed="81"/>
            <rFont val="微軟正黑體"/>
            <family val="2"/>
            <charset val="136"/>
          </rPr>
          <t>最少入庫1200，停止入庫</t>
        </r>
      </text>
    </comment>
    <comment ref="BU26" authorId="1" shapeId="0" xr:uid="{D8510DED-3E9A-4BAF-985E-9A4AC5AA3B57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600</t>
        </r>
        <r>
          <rPr>
            <b/>
            <sz val="20"/>
            <color indexed="81"/>
            <rFont val="細明體"/>
            <family val="3"/>
            <charset val="136"/>
          </rPr>
          <t>；其餘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CC26" authorId="0" shapeId="0" xr:uid="{0A3990D2-371D-447A-B453-7221DD646B6B}">
      <text>
        <r>
          <rPr>
            <b/>
            <sz val="26"/>
            <color indexed="81"/>
            <rFont val="微軟正黑體"/>
            <family val="2"/>
            <charset val="136"/>
          </rPr>
          <t>最少入庫500，停止生產</t>
        </r>
      </text>
    </comment>
    <comment ref="CM26" authorId="2" shapeId="0" xr:uid="{85E736C2-7775-4200-B5AB-7F28BD00F0AD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最少入庫1600，停止入庫；把藥投完。
</t>
        </r>
      </text>
    </comment>
    <comment ref="ER26" authorId="1" shapeId="0" xr:uid="{163F1070-2870-4209-884F-1607A26FA9AB}">
      <text>
        <r>
          <rPr>
            <b/>
            <sz val="30"/>
            <color indexed="81"/>
            <rFont val="細明體"/>
            <family val="3"/>
            <charset val="136"/>
          </rPr>
          <t>入庫1200；停止生產</t>
        </r>
      </text>
    </comment>
    <comment ref="HO26" authorId="1" shapeId="0" xr:uid="{7F3BF52F-17B1-4E24-A6E1-7891BBC598FB}">
      <text>
        <r>
          <rPr>
            <b/>
            <sz val="28"/>
            <color indexed="81"/>
            <rFont val="細明體"/>
            <family val="3"/>
            <charset val="136"/>
          </rPr>
          <t>入庫1700 停止生產</t>
        </r>
      </text>
    </comment>
    <comment ref="KK26" authorId="1" shapeId="0" xr:uid="{7FF1CE9C-B551-40DD-9D07-56E231251901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入庫900 停止生產
EN :LM3498
生產時取20片無光清洗卡匣與首件卡匣一起交給QC。
</t>
        </r>
      </text>
    </comment>
    <comment ref="PI26" authorId="1" shapeId="0" xr:uid="{F313A023-E719-44DA-A40C-C73B13B7953C}">
      <text>
        <r>
          <rPr>
            <b/>
            <sz val="28"/>
            <color indexed="81"/>
            <rFont val="細明體"/>
            <family val="3"/>
            <charset val="136"/>
          </rPr>
          <t>入庫 500 停止生產</t>
        </r>
      </text>
    </comment>
    <comment ref="UL26" authorId="1" shapeId="0" xr:uid="{94C5719E-0818-4EA9-81B5-EA264B213B1A}">
      <text>
        <r>
          <rPr>
            <b/>
            <sz val="28"/>
            <color indexed="81"/>
            <rFont val="細明體"/>
            <family val="3"/>
            <charset val="136"/>
          </rPr>
          <t>入庫320 停止生產</t>
        </r>
      </text>
    </comment>
    <comment ref="WA26" authorId="1" shapeId="0" xr:uid="{A03D7053-96D0-4A2F-A73B-C038B9F38DD7}">
      <text>
        <r>
          <rPr>
            <b/>
            <sz val="28"/>
            <color indexed="81"/>
            <rFont val="細明體"/>
            <family val="3"/>
            <charset val="136"/>
          </rPr>
          <t>入庫 1800 停止生產</t>
        </r>
      </text>
    </comment>
    <comment ref="BD27" authorId="2" shapeId="0" xr:uid="{E6756369-0326-4C9B-A351-726B4677D9AE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最少入庫360，停止入庫</t>
        </r>
      </text>
    </comment>
    <comment ref="BU27" authorId="0" shapeId="0" xr:uid="{F0B8D561-6286-4B52-A88D-E8D3DF41DDDC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最少入庫1260，其餘SKYLA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R27" authorId="1" shapeId="0" xr:uid="{A0D70798-ADA2-4C34-9D5E-89DFB041716A}">
      <text>
        <r>
          <rPr>
            <b/>
            <sz val="30"/>
            <color indexed="81"/>
            <rFont val="細明體"/>
            <family val="3"/>
            <charset val="136"/>
          </rPr>
          <t>入庫1260；其餘Menarini</t>
        </r>
        <r>
          <rPr>
            <b/>
            <sz val="30"/>
            <color indexed="81"/>
            <rFont val="Tahoma"/>
            <family val="2"/>
          </rPr>
          <t xml:space="preserve">
</t>
        </r>
      </text>
    </comment>
    <comment ref="IS27" authorId="1" shapeId="0" xr:uid="{9E5D78B9-EAEF-4F20-B281-EE66C849E873}">
      <text>
        <r>
          <rPr>
            <b/>
            <sz val="28"/>
            <color indexed="81"/>
            <rFont val="細明體"/>
            <family val="3"/>
            <charset val="136"/>
          </rPr>
          <t>入庫1440 停止生產</t>
        </r>
      </text>
    </comment>
    <comment ref="MM27" authorId="1" shapeId="0" xr:uid="{6F20B46F-2256-453E-BD19-7E8648C8662C}">
      <text>
        <r>
          <rPr>
            <b/>
            <sz val="28"/>
            <color indexed="81"/>
            <rFont val="細明體"/>
            <family val="3"/>
            <charset val="136"/>
          </rPr>
          <t>入庫1260 停止生產</t>
        </r>
      </text>
    </comment>
    <comment ref="PI27" authorId="1" shapeId="0" xr:uid="{5F5B54B5-5A8D-481C-8FDA-C8C5D30C9C05}">
      <text>
        <r>
          <rPr>
            <b/>
            <sz val="28"/>
            <color indexed="81"/>
            <rFont val="細明體"/>
            <family val="3"/>
            <charset val="136"/>
          </rPr>
          <t>入庫720 停止生產</t>
        </r>
      </text>
    </comment>
    <comment ref="TM27" authorId="1" shapeId="0" xr:uid="{DE11F0A9-8A7E-4CB9-A1B4-AC67B9748820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WA27" authorId="1" shapeId="0" xr:uid="{C1EA8748-E973-498C-999F-7855267B23B2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YN27" authorId="1" shapeId="0" xr:uid="{2839757F-CA6D-4385-A473-8DB216664B08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AM28" authorId="2" shapeId="0" xr:uid="{927169EC-C172-407C-8C80-91AC308E5D94}">
      <text>
        <r>
          <rPr>
            <b/>
            <sz val="26"/>
            <color indexed="81"/>
            <rFont val="微軟正黑體"/>
            <family val="2"/>
            <charset val="136"/>
          </rPr>
          <t>最少入庫480，停止入庫</t>
        </r>
      </text>
    </comment>
    <comment ref="BT28" authorId="2" shapeId="0" xr:uid="{85566813-F4B2-4595-8050-1F548C95F21C}">
      <text>
        <r>
          <rPr>
            <sz val="26"/>
            <color indexed="81"/>
            <rFont val="細明體"/>
            <family val="3"/>
            <charset val="136"/>
          </rPr>
          <t>最少入庫</t>
        </r>
        <r>
          <rPr>
            <sz val="26"/>
            <color indexed="81"/>
            <rFont val="Tahoma"/>
            <family val="2"/>
          </rPr>
          <t>7020</t>
        </r>
        <r>
          <rPr>
            <sz val="26"/>
            <color indexed="81"/>
            <rFont val="細明體"/>
            <family val="3"/>
            <charset val="136"/>
          </rPr>
          <t>，停止生產；
每批入庫</t>
        </r>
        <r>
          <rPr>
            <sz val="26"/>
            <color indexed="81"/>
            <rFont val="Tahoma"/>
            <family val="2"/>
          </rPr>
          <t>1760</t>
        </r>
      </text>
    </comment>
    <comment ref="BV28" authorId="1" shapeId="0" xr:uid="{D0C20A88-7100-4797-912A-BAC107237A85}">
      <text>
        <r>
          <rPr>
            <b/>
            <sz val="20"/>
            <color indexed="81"/>
            <rFont val="細明體"/>
            <family val="3"/>
            <charset val="136"/>
          </rPr>
          <t>最少入庫1840；把藥做完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J28" authorId="1" shapeId="0" xr:uid="{4B659067-8065-41E3-B337-5E92F1060A49}">
      <text>
        <r>
          <rPr>
            <b/>
            <sz val="20"/>
            <color indexed="81"/>
            <rFont val="細明體"/>
            <family val="3"/>
            <charset val="136"/>
          </rPr>
          <t>入庫3600，停止生產。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DT28" authorId="1" shapeId="0" xr:uid="{F48D9768-E09A-4E92-917F-8378554A325F}">
      <text>
        <r>
          <rPr>
            <sz val="24"/>
            <color indexed="81"/>
            <rFont val="細明體"/>
            <family val="3"/>
            <charset val="136"/>
          </rPr>
          <t>入庫</t>
        </r>
        <r>
          <rPr>
            <sz val="24"/>
            <color indexed="81"/>
            <rFont val="Tahoma"/>
            <family val="2"/>
          </rPr>
          <t xml:space="preserve">2880 </t>
        </r>
        <r>
          <rPr>
            <sz val="24"/>
            <color indexed="81"/>
            <rFont val="細明體"/>
            <family val="3"/>
            <charset val="136"/>
          </rPr>
          <t>停止生產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B28" authorId="1" shapeId="0" xr:uid="{6692381D-4402-4971-B203-31AFEDFE7AFF}">
      <text>
        <r>
          <rPr>
            <b/>
            <sz val="28"/>
            <color indexed="81"/>
            <rFont val="細明體"/>
            <family val="3"/>
            <charset val="136"/>
          </rPr>
          <t xml:space="preserve">把藥投完
EN:LM3370 
1.移除光清洗製程確效 
2. 安排生產"不進行"光清洗製程之卡匣至DB組裝完成，*20 PCS
3. 依當日生產之panel進行填盤，卡匣需與該panel使用之卡匣相同種類、相同批次。
4. 同QC首件之卡匣一同送驗。
</t>
        </r>
      </text>
    </comment>
    <comment ref="JA28" authorId="1" shapeId="0" xr:uid="{912A5881-E45C-4711-95CE-9379F026140E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入庫5340 停止生產
</t>
        </r>
      </text>
    </comment>
    <comment ref="KI28" authorId="1" shapeId="0" xr:uid="{0754ABDF-C5EE-4591-96E2-4934E6793837}">
      <text>
        <r>
          <rPr>
            <b/>
            <sz val="28"/>
            <color indexed="81"/>
            <rFont val="細明體"/>
            <family val="3"/>
            <charset val="136"/>
          </rPr>
          <t>入庫360 停止生產</t>
        </r>
      </text>
    </comment>
    <comment ref="LY28" authorId="1" shapeId="0" xr:uid="{69A015C2-81D7-4BA1-8543-FCD2F141D5FE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*260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G28" authorId="1" shapeId="0" xr:uid="{6A55D653-F13B-48BA-9974-1C83BD93563A}">
      <text>
        <r>
          <rPr>
            <b/>
            <sz val="28"/>
            <color indexed="81"/>
            <rFont val="細明體"/>
            <family val="3"/>
            <charset val="136"/>
          </rPr>
          <t>入庫6000 停止生產</t>
        </r>
      </text>
    </comment>
    <comment ref="ND28" authorId="1" shapeId="0" xr:uid="{6F2E8FBD-5CAA-4A64-A7B8-CE6FE5E4E850}">
      <text>
        <r>
          <rPr>
            <b/>
            <sz val="28"/>
            <color indexed="81"/>
            <rFont val="細明體"/>
            <family val="3"/>
            <charset val="136"/>
          </rPr>
          <t>入庫260 停止生產
一批到底</t>
        </r>
      </text>
    </comment>
    <comment ref="RY28" authorId="1" shapeId="0" xr:uid="{3C94AC2C-5920-42CE-B8A0-A962F15138EF}">
      <text>
        <r>
          <rPr>
            <b/>
            <sz val="28"/>
            <color indexed="81"/>
            <rFont val="細明體"/>
            <family val="3"/>
            <charset val="136"/>
          </rPr>
          <t xml:space="preserve">依CRP 剩餘BEADS 安排工單數。
最少入庫 4,900 把藥投完
</t>
        </r>
      </text>
    </comment>
    <comment ref="TM28" authorId="1" shapeId="0" xr:uid="{22DE51BC-9438-4477-8C53-BE4B96CEC1CB}">
      <text>
        <r>
          <rPr>
            <b/>
            <sz val="28"/>
            <color indexed="81"/>
            <rFont val="細明體"/>
            <family val="3"/>
            <charset val="136"/>
          </rPr>
          <t>入庫 200 停止生產</t>
        </r>
      </text>
    </comment>
    <comment ref="WI28" authorId="1" shapeId="0" xr:uid="{94674E29-6BA4-4F6A-A595-F553BD1AD5A9}">
      <text>
        <r>
          <rPr>
            <b/>
            <sz val="28"/>
            <color indexed="81"/>
            <rFont val="細明體"/>
            <family val="3"/>
            <charset val="136"/>
          </rPr>
          <t>入庫 1880 停止生產</t>
        </r>
      </text>
    </comment>
    <comment ref="BE31" authorId="1" shapeId="0" xr:uid="{8392FF0D-9A7A-4490-9A37-C00BF6E4E991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240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EJ31" authorId="0" shapeId="0" xr:uid="{66B1931C-E92F-48E5-8578-42E86BBC49DD}">
      <text>
        <r>
          <rPr>
            <b/>
            <sz val="30"/>
            <color indexed="81"/>
            <rFont val="細明體"/>
            <family val="3"/>
            <charset val="136"/>
          </rPr>
          <t>入庫</t>
        </r>
        <r>
          <rPr>
            <b/>
            <sz val="30"/>
            <color indexed="81"/>
            <rFont val="Tahoma"/>
            <family val="2"/>
          </rPr>
          <t xml:space="preserve"> *240  </t>
        </r>
        <r>
          <rPr>
            <b/>
            <sz val="30"/>
            <color indexed="81"/>
            <rFont val="細明體"/>
            <family val="3"/>
            <charset val="136"/>
          </rPr>
          <t>停止生產。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KL31" authorId="1" shapeId="0" xr:uid="{3DD2E284-2337-4C17-8257-2DE1A0F04890}">
      <text>
        <r>
          <rPr>
            <b/>
            <sz val="28"/>
            <color indexed="81"/>
            <rFont val="細明體"/>
            <family val="3"/>
            <charset val="136"/>
          </rPr>
          <t>入庫 240 停止生產</t>
        </r>
      </text>
    </comment>
    <comment ref="B32" authorId="0" shapeId="0" xr:uid="{F68FB062-95D7-43A3-ACCA-A465F0B5D484}">
      <text>
        <r>
          <rPr>
            <sz val="18"/>
            <color indexed="81"/>
            <rFont val="細明體"/>
            <family val="3"/>
            <charset val="136"/>
          </rPr>
          <t>料號未更新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4" authorId="1" shapeId="0" xr:uid="{FB53FD84-152B-4D8A-8162-757704C71665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240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CK34" authorId="0" shapeId="0" xr:uid="{E485C648-546C-4755-941A-E7FCE3BA55C9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最少入庫240，停止生產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34" authorId="1" shapeId="0" xr:uid="{2865F554-EBFA-4250-AF51-8FD31438768F}">
      <text>
        <r>
          <rPr>
            <b/>
            <sz val="22"/>
            <color indexed="81"/>
            <rFont val="細明體"/>
            <family val="3"/>
            <charset val="136"/>
          </rPr>
          <t>入庫320；停止生產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BD35" authorId="2" shapeId="0" xr:uid="{7DBDEE55-7EC3-44C9-B9A7-1190EDD4F9D6}">
      <text>
        <r>
          <rPr>
            <b/>
            <sz val="26"/>
            <color indexed="81"/>
            <rFont val="微軟正黑體"/>
            <family val="2"/>
            <charset val="136"/>
          </rPr>
          <t>最少入庫500，停止入庫</t>
        </r>
      </text>
    </comment>
    <comment ref="JA35" authorId="1" shapeId="0" xr:uid="{FBFD7005-377C-4A60-8F10-2FF9636BA994}">
      <text>
        <r>
          <rPr>
            <b/>
            <sz val="28"/>
            <color indexed="81"/>
            <rFont val="細明體"/>
            <family val="3"/>
            <charset val="136"/>
          </rPr>
          <t>入庫720 停止生產</t>
        </r>
      </text>
    </comment>
    <comment ref="MM35" authorId="1" shapeId="0" xr:uid="{A79CA35E-3ACD-4E53-8CE5-D25E77751003}">
      <text>
        <r>
          <rPr>
            <b/>
            <sz val="28"/>
            <color indexed="81"/>
            <rFont val="細明體"/>
            <family val="3"/>
            <charset val="136"/>
          </rPr>
          <t>入庫560 停止生產</t>
        </r>
      </text>
    </comment>
    <comment ref="PR35" authorId="1" shapeId="0" xr:uid="{E40DDE33-421F-4446-A880-D0EEA3776DE2}">
      <text>
        <r>
          <rPr>
            <b/>
            <sz val="28"/>
            <color indexed="81"/>
            <rFont val="細明體"/>
            <family val="3"/>
            <charset val="136"/>
          </rPr>
          <t>入庫540 停止生產</t>
        </r>
      </text>
    </comment>
    <comment ref="SH35" authorId="1" shapeId="0" xr:uid="{9367D895-AE33-4058-BC4C-7E47898F79D8}">
      <text>
        <r>
          <rPr>
            <b/>
            <sz val="28"/>
            <color indexed="81"/>
            <rFont val="細明體"/>
            <family val="3"/>
            <charset val="136"/>
          </rPr>
          <t>入庫 360 停止生產</t>
        </r>
      </text>
    </comment>
    <comment ref="WA35" authorId="1" shapeId="0" xr:uid="{E7E00D99-6465-4EE4-AF93-303C04B2665D}">
      <text>
        <r>
          <rPr>
            <b/>
            <sz val="28"/>
            <color indexed="81"/>
            <rFont val="細明體"/>
            <family val="3"/>
            <charset val="136"/>
          </rPr>
          <t>入庫360 停止生產</t>
        </r>
      </text>
    </comment>
    <comment ref="YN35" authorId="1" shapeId="0" xr:uid="{E0DB4EBA-19EC-46C6-9092-F437FB859D17}">
      <text>
        <r>
          <rPr>
            <b/>
            <sz val="28"/>
            <color indexed="81"/>
            <rFont val="細明體"/>
            <family val="3"/>
            <charset val="136"/>
          </rPr>
          <t>入庫 360 停止生產</t>
        </r>
      </text>
    </comment>
    <comment ref="AE36" authorId="0" shapeId="0" xr:uid="{0C67E18D-0CF5-42F4-8048-C2ACFFF57AB3}">
      <text>
        <r>
          <rPr>
            <b/>
            <sz val="28"/>
            <color indexed="81"/>
            <rFont val="微軟正黑體"/>
            <family val="2"/>
            <charset val="136"/>
          </rPr>
          <t>入庫8640停止生產。
需要先試填</t>
        </r>
      </text>
    </comment>
    <comment ref="AQ36" authorId="1" shapeId="0" xr:uid="{D1A52CA6-701C-429B-A6E4-FC76FA021DDD}">
      <text>
        <r>
          <rPr>
            <b/>
            <sz val="30"/>
            <color indexed="81"/>
            <rFont val="細明體"/>
            <family val="3"/>
            <charset val="136"/>
          </rPr>
          <t xml:space="preserve">心臟病試填，生產結束後，管子更換結束後試填。 
</t>
        </r>
      </text>
    </comment>
    <comment ref="BC36" authorId="0" shapeId="0" xr:uid="{FC02FDFC-0601-4465-9082-876DBCA98D74}">
      <text>
        <r>
          <rPr>
            <b/>
            <sz val="28"/>
            <color indexed="81"/>
            <rFont val="微軟正黑體"/>
            <family val="2"/>
            <charset val="136"/>
          </rPr>
          <t>入庫8780停止生產。
02/03需先試填
1/13要開始準備BEADS</t>
        </r>
      </text>
    </comment>
    <comment ref="BD36" authorId="0" shapeId="0" xr:uid="{111CD55A-ECCA-4079-888B-910821FEAD28}">
      <text>
        <r>
          <rPr>
            <b/>
            <sz val="28"/>
            <color indexed="81"/>
            <rFont val="微軟正黑體"/>
            <family val="2"/>
            <charset val="136"/>
          </rPr>
          <t>入庫8640停止生產。
02/03需先試填
1/13要開始準備BEADS</t>
        </r>
      </text>
    </comment>
    <comment ref="FN36" authorId="1" shapeId="0" xr:uid="{749F99CF-24E7-4E9F-8C45-443B646D94F4}">
      <text>
        <r>
          <rPr>
            <b/>
            <sz val="26"/>
            <color indexed="81"/>
            <rFont val="細明體"/>
            <family val="3"/>
            <charset val="136"/>
          </rPr>
          <t>6/9 生產心臟病盤試填</t>
        </r>
      </text>
    </comment>
    <comment ref="GE36" authorId="1" shapeId="0" xr:uid="{C5D3D80F-BAA6-4291-8258-ABFC1BF4FBC7}">
      <text>
        <r>
          <rPr>
            <b/>
            <sz val="28"/>
            <color indexed="81"/>
            <rFont val="細明體"/>
            <family val="3"/>
            <charset val="136"/>
          </rPr>
          <t>入庫8920 停止生產
另外費用型工單試作:LM3377*180
共9100。</t>
        </r>
      </text>
    </comment>
    <comment ref="GU36" authorId="1" shapeId="0" xr:uid="{098769E1-0DF6-4B63-90FD-A591D941FEF4}">
      <text>
        <r>
          <rPr>
            <b/>
            <sz val="26"/>
            <color indexed="81"/>
            <rFont val="Tahoma"/>
            <family val="2"/>
          </rPr>
          <t xml:space="preserve">7/07 </t>
        </r>
        <r>
          <rPr>
            <b/>
            <sz val="26"/>
            <color indexed="81"/>
            <rFont val="細明體"/>
            <family val="3"/>
            <charset val="136"/>
          </rPr>
          <t>生產心臟病盤試填</t>
        </r>
      </text>
    </comment>
    <comment ref="HM36" authorId="1" shapeId="0" xr:uid="{AC186EDB-6C6E-4D68-B022-2B551A631248}">
      <text>
        <r>
          <rPr>
            <b/>
            <sz val="28"/>
            <color indexed="81"/>
            <rFont val="細明體"/>
            <family val="3"/>
            <charset val="136"/>
          </rPr>
          <t>入庫8640 停止生產</t>
        </r>
      </text>
    </comment>
    <comment ref="JQ36" authorId="1" shapeId="0" xr:uid="{94935E7E-E5E7-439C-9ABE-2802660DB637}">
      <text>
        <r>
          <rPr>
            <b/>
            <sz val="26"/>
            <color indexed="81"/>
            <rFont val="Tahoma"/>
            <family val="2"/>
          </rPr>
          <t xml:space="preserve">9/8 </t>
        </r>
        <r>
          <rPr>
            <b/>
            <sz val="26"/>
            <color indexed="81"/>
            <rFont val="細明體"/>
            <family val="3"/>
            <charset val="136"/>
          </rPr>
          <t>心臟病試填</t>
        </r>
      </text>
    </comment>
    <comment ref="KH36" authorId="1" shapeId="0" xr:uid="{2B273200-EE2C-4BA6-ABC2-15AAD1974F77}">
      <text>
        <r>
          <rPr>
            <sz val="20"/>
            <color indexed="81"/>
            <rFont val="細明體"/>
            <family val="3"/>
            <charset val="136"/>
          </rPr>
          <t>入庫 8649 停止生產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S36" authorId="1" shapeId="0" xr:uid="{85ADB391-7CC9-4A10-8829-0FD390B24C1F}">
      <text>
        <r>
          <rPr>
            <b/>
            <sz val="26"/>
            <color indexed="81"/>
            <rFont val="Tahoma"/>
            <family val="2"/>
          </rPr>
          <t xml:space="preserve">9/18 </t>
        </r>
        <r>
          <rPr>
            <b/>
            <sz val="26"/>
            <color indexed="81"/>
            <rFont val="細明體"/>
            <family val="3"/>
            <charset val="136"/>
          </rPr>
          <t>心臟病試填，填藥管線要更換</t>
        </r>
      </text>
    </comment>
    <comment ref="LG36" authorId="1" shapeId="0" xr:uid="{656ED8C6-FAAA-4BD6-85D8-6179DB456777}">
      <text>
        <r>
          <rPr>
            <sz val="30"/>
            <color indexed="81"/>
            <rFont val="細明體"/>
            <family val="3"/>
            <charset val="136"/>
          </rPr>
          <t>入庫 8640 停止生產。
TC TG 請保留，下次要投產小量。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LY36" authorId="1" shapeId="0" xr:uid="{61F32740-5F36-490F-A607-10EE07F4842A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F36" authorId="1" shapeId="0" xr:uid="{084643A4-20BA-430A-B9F7-D9925C7EC691}">
      <text>
        <r>
          <rPr>
            <sz val="26"/>
            <color indexed="81"/>
            <rFont val="細明體"/>
            <family val="3"/>
            <charset val="136"/>
          </rPr>
          <t>不需要試填
用之前心臟病使用過的</t>
        </r>
        <r>
          <rPr>
            <sz val="26"/>
            <color indexed="81"/>
            <rFont val="Tahoma"/>
            <family val="2"/>
          </rPr>
          <t xml:space="preserve"> TC &amp; TG
</t>
        </r>
        <r>
          <rPr>
            <sz val="26"/>
            <color indexed="81"/>
            <rFont val="細明體"/>
            <family val="3"/>
            <charset val="136"/>
          </rPr>
          <t>生產</t>
        </r>
        <r>
          <rPr>
            <sz val="26"/>
            <color indexed="81"/>
            <rFont val="Tahoma"/>
            <family val="2"/>
          </rPr>
          <t xml:space="preserve">180 </t>
        </r>
        <r>
          <rPr>
            <sz val="26"/>
            <color indexed="81"/>
            <rFont val="細明體"/>
            <family val="3"/>
            <charset val="136"/>
          </rPr>
          <t>片，停止生產。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NT36" authorId="1" shapeId="0" xr:uid="{ACEDD94F-91CC-4A24-9866-5CACAB68DF4C}">
      <text>
        <r>
          <rPr>
            <sz val="26"/>
            <color indexed="81"/>
            <rFont val="細明體"/>
            <family val="3"/>
            <charset val="136"/>
          </rPr>
          <t>不需要試填
用之前心臟病使用過的</t>
        </r>
        <r>
          <rPr>
            <sz val="26"/>
            <color indexed="81"/>
            <rFont val="Tahoma"/>
            <family val="2"/>
          </rPr>
          <t xml:space="preserve"> TC &amp; TG
</t>
        </r>
        <r>
          <rPr>
            <sz val="26"/>
            <color indexed="81"/>
            <rFont val="細明體"/>
            <family val="3"/>
            <charset val="136"/>
          </rPr>
          <t>生產</t>
        </r>
        <r>
          <rPr>
            <sz val="26"/>
            <color indexed="81"/>
            <rFont val="Tahoma"/>
            <family val="2"/>
          </rPr>
          <t xml:space="preserve">200 </t>
        </r>
        <r>
          <rPr>
            <sz val="26"/>
            <color indexed="81"/>
            <rFont val="細明體"/>
            <family val="3"/>
            <charset val="136"/>
          </rPr>
          <t>片，停止生產。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RG36" authorId="1" shapeId="0" xr:uid="{4A61251A-AC34-4813-B486-1AB0182D903A}">
      <text>
        <r>
          <rPr>
            <b/>
            <sz val="28"/>
            <color indexed="81"/>
            <rFont val="細明體"/>
            <family val="3"/>
            <charset val="136"/>
          </rPr>
          <t>入庫 300 停止生產
1/30 試填 1批</t>
        </r>
      </text>
    </comment>
    <comment ref="RK36" authorId="1" shapeId="0" xr:uid="{9C918851-3F64-4F6F-9E0F-DC488B545A9B}">
      <text>
        <r>
          <rPr>
            <sz val="26"/>
            <color indexed="81"/>
            <rFont val="細明體"/>
            <family val="3"/>
            <charset val="136"/>
          </rPr>
          <t>心臟病試填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W36" authorId="1" shapeId="0" xr:uid="{9014E7FB-351D-48D3-B593-9D54B951B911}">
      <text>
        <r>
          <rPr>
            <b/>
            <sz val="28"/>
            <color indexed="81"/>
            <rFont val="細明體"/>
            <family val="3"/>
            <charset val="136"/>
          </rPr>
          <t>入庫8640 停止生產</t>
        </r>
      </text>
    </comment>
    <comment ref="SF36" authorId="1" shapeId="0" xr:uid="{DF3A7E0F-4B8D-4394-8DE8-6D462F0974D4}">
      <text>
        <r>
          <rPr>
            <b/>
            <sz val="28"/>
            <color indexed="81"/>
            <rFont val="細明體"/>
            <family val="3"/>
            <charset val="136"/>
          </rPr>
          <t>入庫8640 停止生產</t>
        </r>
      </text>
    </comment>
    <comment ref="SS36" authorId="1" shapeId="0" xr:uid="{6FB0E4A6-6292-4EF8-923A-261AB20BAAB0}">
      <text>
        <r>
          <rPr>
            <b/>
            <sz val="28"/>
            <color indexed="81"/>
            <rFont val="Tahoma"/>
            <family val="2"/>
          </rPr>
          <t xml:space="preserve">HPZH26C21  
</t>
        </r>
        <r>
          <rPr>
            <b/>
            <sz val="28"/>
            <color indexed="81"/>
            <rFont val="細明體"/>
            <family val="3"/>
            <charset val="136"/>
          </rPr>
          <t xml:space="preserve">庫存重工，
換環，重新噴碼
更換鋁袋標籤。
</t>
        </r>
        <r>
          <rPr>
            <b/>
            <sz val="28"/>
            <color indexed="81"/>
            <rFont val="Tahoma"/>
            <family val="2"/>
          </rPr>
          <t xml:space="preserve">3/15  </t>
        </r>
        <r>
          <rPr>
            <b/>
            <sz val="28"/>
            <color indexed="81"/>
            <rFont val="細明體"/>
            <family val="3"/>
            <charset val="136"/>
          </rPr>
          <t xml:space="preserve">庫房包裝
</t>
        </r>
      </text>
    </comment>
    <comment ref="TL36" authorId="1" shapeId="0" xr:uid="{9845D748-EF38-405B-BE77-883343A40608}">
      <text>
        <r>
          <rPr>
            <b/>
            <sz val="22"/>
            <color indexed="81"/>
            <rFont val="細明體"/>
            <family val="3"/>
            <charset val="136"/>
          </rPr>
          <t>4/13 生產</t>
        </r>
      </text>
    </comment>
    <comment ref="UC36" authorId="1" shapeId="0" xr:uid="{75D26890-1187-4331-9229-2920F58D68BB}">
      <text>
        <r>
          <rPr>
            <b/>
            <sz val="28"/>
            <color indexed="81"/>
            <rFont val="細明體"/>
            <family val="3"/>
            <charset val="136"/>
          </rPr>
          <t>4/27 出貨
入庫8640 停止生產</t>
        </r>
      </text>
    </comment>
    <comment ref="UK36" authorId="1" shapeId="0" xr:uid="{8A4C94F1-AFC6-442A-87DF-A5D73BBA66CF}">
      <text>
        <r>
          <rPr>
            <b/>
            <sz val="28"/>
            <color indexed="81"/>
            <rFont val="細明體"/>
            <family val="3"/>
            <charset val="136"/>
          </rPr>
          <t>4/27 出貨
入庫8640 停止生產</t>
        </r>
      </text>
    </comment>
    <comment ref="VJ36" authorId="1" shapeId="0" xr:uid="{45391203-4B03-4622-BE22-1B3520F48FA5}">
      <text>
        <r>
          <rPr>
            <b/>
            <sz val="26"/>
            <color indexed="81"/>
            <rFont val="Tahoma"/>
            <family val="2"/>
          </rPr>
          <t xml:space="preserve">5/25 </t>
        </r>
        <r>
          <rPr>
            <b/>
            <sz val="26"/>
            <color indexed="81"/>
            <rFont val="細明體"/>
            <family val="3"/>
            <charset val="136"/>
          </rPr>
          <t>心臟病要試填。開始滴</t>
        </r>
        <r>
          <rPr>
            <b/>
            <sz val="26"/>
            <color indexed="81"/>
            <rFont val="Tahoma"/>
            <family val="2"/>
          </rPr>
          <t xml:space="preserve">BEADS </t>
        </r>
      </text>
    </comment>
    <comment ref="VZ36" authorId="1" shapeId="0" xr:uid="{731DC766-975D-47DE-A96F-C7D5873D2F1D}">
      <text>
        <r>
          <rPr>
            <b/>
            <sz val="22"/>
            <color indexed="81"/>
            <rFont val="Tahoma"/>
            <family val="2"/>
          </rPr>
          <t xml:space="preserve">6/8   </t>
        </r>
        <r>
          <rPr>
            <b/>
            <sz val="22"/>
            <color indexed="81"/>
            <rFont val="細明體"/>
            <family val="3"/>
            <charset val="136"/>
          </rPr>
          <t>心臟病生產試填</t>
        </r>
      </text>
    </comment>
    <comment ref="WQ36" authorId="1" shapeId="0" xr:uid="{734859FF-DF89-49DE-9CC0-120174815172}">
      <text>
        <r>
          <rPr>
            <b/>
            <sz val="28"/>
            <color indexed="81"/>
            <rFont val="細明體"/>
            <family val="3"/>
            <charset val="136"/>
          </rPr>
          <t>6/22 出貨
入庫8640 停止生產</t>
        </r>
      </text>
    </comment>
    <comment ref="KL38" authorId="1" shapeId="0" xr:uid="{180F31DB-01BB-44E7-A029-7C2038F16EEF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入庫540 停止生產， 出貨Menarini，
標籤換成skyla。白色防溢墊。
噴碼設定為Menarini專用。 
</t>
        </r>
      </text>
    </comment>
    <comment ref="F39" authorId="0" shapeId="0" xr:uid="{D6F24497-AC3B-4C9C-8A50-78EA57AF53E2}">
      <text>
        <r>
          <rPr>
            <b/>
            <sz val="28"/>
            <color indexed="81"/>
            <rFont val="微軟正黑體"/>
            <family val="2"/>
            <charset val="136"/>
          </rPr>
          <t>入庫180停止生產。
需要先試填</t>
        </r>
      </text>
    </comment>
    <comment ref="F40" authorId="0" shapeId="0" xr:uid="{38E218D1-9B34-4886-9174-5CC28BC3FE83}">
      <text>
        <r>
          <rPr>
            <b/>
            <sz val="28"/>
            <color indexed="81"/>
            <rFont val="微軟正黑體"/>
            <family val="2"/>
            <charset val="136"/>
          </rPr>
          <t>首件RD建線*10片，入庫720 停止生產。需要先試填。
Menarini*540
SKYLA*80
DQE&amp;RD*100
白天生產</t>
        </r>
      </text>
    </comment>
    <comment ref="KL40" authorId="1" shapeId="0" xr:uid="{E6B4774C-62D7-443C-BC18-8102D60D9AF1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入庫540 停止生產
RD*50
需求共590
EN :LM3498
生產時取20片無光清洗卡匣與首件卡匣一起交給QC。
</t>
        </r>
      </text>
    </comment>
    <comment ref="WI40" authorId="1" shapeId="0" xr:uid="{AB4F804E-3BB8-4301-B34B-7F1C3097B78C}">
      <text>
        <r>
          <rPr>
            <b/>
            <sz val="28"/>
            <color indexed="81"/>
            <rFont val="細明體"/>
            <family val="3"/>
            <charset val="136"/>
          </rPr>
          <t>入庫 540 停止生產
需要挑選 CREA CRP  BEADS</t>
        </r>
      </text>
    </comment>
    <comment ref="DR43" authorId="0" shapeId="0" xr:uid="{DBF449C8-9037-43F1-999A-D481E07CB0A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44" authorId="1" shapeId="0" xr:uid="{7DCC1C7E-A3BE-4E40-A4B1-766616A36B1C}">
      <text>
        <r>
          <rPr>
            <b/>
            <sz val="22"/>
            <color indexed="81"/>
            <rFont val="Tahoma"/>
            <family val="2"/>
          </rPr>
          <t xml:space="preserve">ALT &amp; AST </t>
        </r>
        <r>
          <rPr>
            <b/>
            <sz val="22"/>
            <color indexed="81"/>
            <rFont val="細明體"/>
            <family val="3"/>
            <charset val="136"/>
          </rPr>
          <t>使用舊料，生產日</t>
        </r>
        <r>
          <rPr>
            <b/>
            <sz val="22"/>
            <color indexed="81"/>
            <rFont val="Tahoma"/>
            <family val="2"/>
          </rPr>
          <t>1/31</t>
        </r>
        <r>
          <rPr>
            <b/>
            <sz val="22"/>
            <color indexed="81"/>
            <rFont val="細明體"/>
            <family val="3"/>
            <charset val="136"/>
          </rPr>
          <t>，生產挑線要注意</t>
        </r>
      </text>
    </comment>
    <comment ref="AQ44" authorId="0" shapeId="0" xr:uid="{5B250D83-2695-4C9E-B3CE-B4088A46D86D}">
      <text>
        <r>
          <rPr>
            <b/>
            <sz val="30"/>
            <color indexed="81"/>
            <rFont val="微軟正黑體"/>
            <family val="2"/>
            <charset val="136"/>
          </rPr>
          <t>優利特*360 噴碼設定(廠碼:0 區碼:5)F/W AES 27 ；噴碼前給DQE 確認
鋁袋LOT 不一樣EM
其餘SKYLA</t>
        </r>
      </text>
    </comment>
    <comment ref="BF44" authorId="1" shapeId="0" xr:uid="{C9E65BBF-AC04-4B0B-93B2-89FFD7473F0A}">
      <text>
        <r>
          <rPr>
            <sz val="28"/>
            <color indexed="81"/>
            <rFont val="細明體"/>
            <family val="3"/>
            <charset val="136"/>
          </rPr>
          <t>最後一批生產</t>
        </r>
        <r>
          <rPr>
            <sz val="28"/>
            <color indexed="81"/>
            <rFont val="Tahoma"/>
            <family val="2"/>
          </rPr>
          <t xml:space="preserve">
</t>
        </r>
      </text>
    </comment>
    <comment ref="CL44" authorId="1" shapeId="0" xr:uid="{5250CB15-05BE-45B0-8448-EB20354A94DD}">
      <text>
        <r>
          <rPr>
            <sz val="24"/>
            <color indexed="81"/>
            <rFont val="細明體"/>
            <family val="3"/>
            <charset val="136"/>
          </rPr>
          <t>出貨上海簡中標籤</t>
        </r>
        <r>
          <rPr>
            <sz val="24"/>
            <color indexed="81"/>
            <rFont val="Tahoma"/>
            <family val="2"/>
          </rPr>
          <t xml:space="preserve"> 1000 </t>
        </r>
        <r>
          <rPr>
            <sz val="24"/>
            <color indexed="81"/>
            <rFont val="細明體"/>
            <family val="3"/>
            <charset val="136"/>
          </rPr>
          <t>片，其餘</t>
        </r>
        <r>
          <rPr>
            <sz val="24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M44" authorId="1" shapeId="0" xr:uid="{488D30B3-EFF4-4EBE-9D5E-FDBC818A57C6}">
      <text>
        <r>
          <rPr>
            <b/>
            <sz val="24"/>
            <color indexed="81"/>
            <rFont val="Tahoma"/>
            <family val="2"/>
          </rPr>
          <t xml:space="preserve">CZP*200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一批到底
</t>
        </r>
        <r>
          <rPr>
            <b/>
            <sz val="24"/>
            <color indexed="81"/>
            <rFont val="Tahoma"/>
            <family val="2"/>
          </rPr>
          <t>EN:LM3370 
1.</t>
        </r>
        <r>
          <rPr>
            <b/>
            <sz val="24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4"/>
            <color indexed="81"/>
            <rFont val="Tahoma"/>
            <family val="2"/>
          </rPr>
          <t xml:space="preserve"> 
2. </t>
        </r>
        <r>
          <rPr>
            <b/>
            <sz val="24"/>
            <color indexed="81"/>
            <rFont val="細明體"/>
            <family val="3"/>
            <charset val="136"/>
          </rPr>
          <t>安排生產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不進行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4"/>
            <color indexed="81"/>
            <rFont val="Tahoma"/>
            <family val="2"/>
          </rPr>
          <t>DB</t>
        </r>
        <r>
          <rPr>
            <b/>
            <sz val="24"/>
            <color indexed="81"/>
            <rFont val="細明體"/>
            <family val="3"/>
            <charset val="136"/>
          </rPr>
          <t>組裝完成，</t>
        </r>
        <r>
          <rPr>
            <b/>
            <sz val="24"/>
            <color indexed="81"/>
            <rFont val="Tahoma"/>
            <family val="2"/>
          </rPr>
          <t xml:space="preserve">*20 PCS
3. </t>
        </r>
        <r>
          <rPr>
            <b/>
            <sz val="24"/>
            <color indexed="81"/>
            <rFont val="細明體"/>
            <family val="3"/>
            <charset val="136"/>
          </rPr>
          <t>依當日生產之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4"/>
            <color indexed="81"/>
            <rFont val="Tahoma"/>
            <family val="2"/>
          </rPr>
          <t xml:space="preserve">4. </t>
        </r>
        <r>
          <rPr>
            <b/>
            <sz val="24"/>
            <color indexed="81"/>
            <rFont val="細明體"/>
            <family val="3"/>
            <charset val="136"/>
          </rPr>
          <t>同</t>
        </r>
        <r>
          <rPr>
            <b/>
            <sz val="24"/>
            <color indexed="81"/>
            <rFont val="Tahoma"/>
            <family val="2"/>
          </rPr>
          <t>QC</t>
        </r>
        <r>
          <rPr>
            <b/>
            <sz val="24"/>
            <color indexed="81"/>
            <rFont val="細明體"/>
            <family val="3"/>
            <charset val="136"/>
          </rPr>
          <t>首件之卡匣一同送驗。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Y44" authorId="1" shapeId="0" xr:uid="{01942F20-A3E1-40B7-BEFD-9700CE4D801B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DR45" authorId="0" shapeId="0" xr:uid="{123D682D-5176-4CE5-928F-D9795DB00B1D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6" authorId="1" shapeId="0" xr:uid="{68FA3BB3-E856-4277-B988-50440479FAA4}">
      <text>
        <r>
          <rPr>
            <sz val="30"/>
            <color indexed="81"/>
            <rFont val="細明體"/>
            <family val="3"/>
            <charset val="136"/>
          </rPr>
          <t>優利特*50 其餘SKYLA
優利特LOT 不同。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I46" authorId="0" shapeId="0" xr:uid="{8BD8C59A-6A4B-4757-84D3-5ACEA3EF7F1B}">
      <text>
        <r>
          <rPr>
            <b/>
            <sz val="26"/>
            <color indexed="81"/>
            <rFont val="Tahoma"/>
            <family val="2"/>
          </rPr>
          <t xml:space="preserve">SCIL*1500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P46" authorId="0" shapeId="0" xr:uid="{08029774-D085-49AF-B0B2-7B105BAB8BB8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Q46" authorId="0" shapeId="0" xr:uid="{EC087FF7-E34F-4EBC-9711-B7D4A0D83085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Y46" authorId="0" shapeId="0" xr:uid="{AC0B09B6-4AB4-427C-B2AC-D2A572B91442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Z46" authorId="0" shapeId="0" xr:uid="{1C7CF006-B062-4288-8F39-59C3669E3CDE}">
      <text>
        <r>
          <rPr>
            <b/>
            <sz val="26"/>
            <color indexed="81"/>
            <rFont val="細明體"/>
            <family val="3"/>
            <charset val="136"/>
          </rPr>
          <t xml:space="preserve">SCIL*3000
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M46" authorId="0" shapeId="0" xr:uid="{077EDB37-0E70-4B3B-A890-EC2B5D7E5CD0}">
      <text>
        <r>
          <rPr>
            <b/>
            <sz val="20"/>
            <color indexed="81"/>
            <rFont val="Tahoma"/>
            <family val="2"/>
          </rPr>
          <t xml:space="preserve">Scil *600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N46" authorId="0" shapeId="0" xr:uid="{ABE3D2F6-B602-41DB-A0BC-94E95CA976BA}">
      <text>
        <r>
          <rPr>
            <b/>
            <sz val="30"/>
            <color indexed="81"/>
            <rFont val="微軟正黑體"/>
            <family val="2"/>
            <charset val="136"/>
          </rPr>
          <t>優利特*720 噴碼設定(廠碼:0 區碼:5)F/W AES 27 ；噴碼前給DQE 確認
鋁袋LOT 不一樣EM
其餘Skyla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46" authorId="2" shapeId="0" xr:uid="{1C9D0E45-B674-40E7-A8A6-9AA22FC7E43F}">
      <text>
        <r>
          <rPr>
            <b/>
            <sz val="36"/>
            <color indexed="81"/>
            <rFont val="微軟正黑體"/>
            <family val="2"/>
            <charset val="136"/>
          </rPr>
          <t>SCIL*2700
其餘skyla</t>
        </r>
      </text>
    </comment>
    <comment ref="AW46" authorId="1" shapeId="0" xr:uid="{0F34D1BB-885A-435A-8E2D-B3C5B0DFD0FE}">
      <text>
        <r>
          <rPr>
            <b/>
            <sz val="20"/>
            <color indexed="81"/>
            <rFont val="Tahoma"/>
            <family val="2"/>
          </rPr>
          <t xml:space="preserve">SCIL *4000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C46" authorId="1" shapeId="0" xr:uid="{A7549BCB-A981-4FFC-978A-75E0F6CF335F}">
      <text>
        <r>
          <rPr>
            <b/>
            <sz val="20"/>
            <color indexed="81"/>
            <rFont val="Tahoma"/>
            <family val="2"/>
          </rPr>
          <t xml:space="preserve">SCIL*2000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CM46" authorId="0" shapeId="0" xr:uid="{EDD208B0-3F5D-4FC0-8B67-B64D977F739C}">
      <text>
        <r>
          <rPr>
            <b/>
            <sz val="26"/>
            <color indexed="81"/>
            <rFont val="Tahoma"/>
            <family val="2"/>
          </rPr>
          <t>SCIL*5000</t>
        </r>
        <r>
          <rPr>
            <b/>
            <sz val="26"/>
            <color indexed="81"/>
            <rFont val="細明體"/>
            <family val="3"/>
            <charset val="136"/>
          </rPr>
          <t>；其餘SKYLA</t>
        </r>
      </text>
    </comment>
    <comment ref="CN46" authorId="1" shapeId="0" xr:uid="{71C8FB6C-9135-473F-B6C5-3681057CE061}">
      <text>
        <r>
          <rPr>
            <sz val="24"/>
            <color indexed="81"/>
            <rFont val="細明體"/>
            <family val="3"/>
            <charset val="136"/>
          </rPr>
          <t>出貨上海簡中標籤</t>
        </r>
        <r>
          <rPr>
            <sz val="24"/>
            <color indexed="81"/>
            <rFont val="Tahoma"/>
            <family val="2"/>
          </rPr>
          <t xml:space="preserve"> 5820 </t>
        </r>
        <r>
          <rPr>
            <sz val="24"/>
            <color indexed="81"/>
            <rFont val="細明體"/>
            <family val="3"/>
            <charset val="136"/>
          </rPr>
          <t>片，其餘</t>
        </r>
        <r>
          <rPr>
            <sz val="24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S46" authorId="1" shapeId="0" xr:uid="{20BF4EBF-D1F4-4DF4-849D-84E72E51F8B6}">
      <text>
        <r>
          <rPr>
            <b/>
            <sz val="20"/>
            <color indexed="81"/>
            <rFont val="Tahoma"/>
            <family val="2"/>
          </rPr>
          <t xml:space="preserve">SCIL *2000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U46" authorId="1" shapeId="0" xr:uid="{5C2F7BAC-9797-4310-94AA-50946BDAD201}">
      <text>
        <r>
          <rPr>
            <b/>
            <sz val="20"/>
            <color indexed="81"/>
            <rFont val="Tahoma"/>
            <family val="2"/>
          </rPr>
          <t xml:space="preserve">SCIL *2000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V46" authorId="1" shapeId="0" xr:uid="{6D22941B-B3BF-4887-9AF9-00EB9E36478D}">
      <text>
        <r>
          <rPr>
            <b/>
            <sz val="20"/>
            <color indexed="81"/>
            <rFont val="Tahoma"/>
            <family val="2"/>
          </rPr>
          <t xml:space="preserve">SCIL *3000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R46" authorId="1" shapeId="0" xr:uid="{579A4E33-7449-4CFF-B10C-FF133DA27856}">
      <text>
        <r>
          <rPr>
            <b/>
            <sz val="20"/>
            <color indexed="81"/>
            <rFont val="Tahoma"/>
            <family val="2"/>
          </rPr>
          <t xml:space="preserve">SCIL *7000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FI46" authorId="1" shapeId="0" xr:uid="{D4EA272A-5F1E-4D0B-A64C-C2205F59E2EF}">
      <text>
        <r>
          <rPr>
            <b/>
            <sz val="20"/>
            <color indexed="81"/>
            <rFont val="Tahoma"/>
            <family val="2"/>
          </rPr>
          <t xml:space="preserve">SCIL*6000
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FY46" authorId="1" shapeId="0" xr:uid="{DA873CB6-D49E-4A7A-AED3-E94C5CDDD91C}">
      <text>
        <r>
          <rPr>
            <b/>
            <sz val="20"/>
            <color indexed="81"/>
            <rFont val="Tahoma"/>
            <family val="2"/>
          </rPr>
          <t xml:space="preserve">SCIL*1000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
EN:LM3370 
1.</t>
        </r>
        <r>
          <rPr>
            <b/>
            <sz val="20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0"/>
            <color indexed="81"/>
            <rFont val="Tahoma"/>
            <family val="2"/>
          </rPr>
          <t xml:space="preserve"> 
2. </t>
        </r>
        <r>
          <rPr>
            <b/>
            <sz val="20"/>
            <color indexed="81"/>
            <rFont val="細明體"/>
            <family val="3"/>
            <charset val="136"/>
          </rPr>
          <t>安排生產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不進行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0"/>
            <color indexed="81"/>
            <rFont val="Tahoma"/>
            <family val="2"/>
          </rPr>
          <t>DB</t>
        </r>
        <r>
          <rPr>
            <b/>
            <sz val="20"/>
            <color indexed="81"/>
            <rFont val="細明體"/>
            <family val="3"/>
            <charset val="136"/>
          </rPr>
          <t>組裝完成，</t>
        </r>
        <r>
          <rPr>
            <b/>
            <sz val="20"/>
            <color indexed="81"/>
            <rFont val="Tahoma"/>
            <family val="2"/>
          </rPr>
          <t xml:space="preserve">*20 PCS
3. </t>
        </r>
        <r>
          <rPr>
            <b/>
            <sz val="20"/>
            <color indexed="81"/>
            <rFont val="細明體"/>
            <family val="3"/>
            <charset val="136"/>
          </rPr>
          <t>依當日生產之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0"/>
            <color indexed="81"/>
            <rFont val="Tahoma"/>
            <family val="2"/>
          </rPr>
          <t xml:space="preserve">4. </t>
        </r>
        <r>
          <rPr>
            <b/>
            <sz val="20"/>
            <color indexed="81"/>
            <rFont val="細明體"/>
            <family val="3"/>
            <charset val="136"/>
          </rPr>
          <t>同</t>
        </r>
        <r>
          <rPr>
            <b/>
            <sz val="20"/>
            <color indexed="81"/>
            <rFont val="Tahoma"/>
            <family val="2"/>
          </rPr>
          <t>QC</t>
        </r>
        <r>
          <rPr>
            <b/>
            <sz val="20"/>
            <color indexed="81"/>
            <rFont val="細明體"/>
            <family val="3"/>
            <charset val="136"/>
          </rPr>
          <t>首件之卡匣一同送驗。</t>
        </r>
      </text>
    </comment>
    <comment ref="GF46" authorId="1" shapeId="0" xr:uid="{236B49FE-6BB8-486C-AAFB-0669A3E19745}">
      <text>
        <r>
          <rPr>
            <b/>
            <sz val="28"/>
            <color indexed="81"/>
            <rFont val="細明體"/>
            <family val="3"/>
            <charset val="136"/>
          </rPr>
          <t>效期</t>
        </r>
        <r>
          <rPr>
            <b/>
            <sz val="28"/>
            <color indexed="81"/>
            <rFont val="Tahoma"/>
            <family val="2"/>
          </rPr>
          <t xml:space="preserve">18 </t>
        </r>
        <r>
          <rPr>
            <b/>
            <sz val="28"/>
            <color indexed="81"/>
            <rFont val="細明體"/>
            <family val="3"/>
            <charset val="136"/>
          </rPr>
          <t>月</t>
        </r>
      </text>
    </comment>
    <comment ref="GO46" authorId="1" shapeId="0" xr:uid="{37455F94-E1C1-47EB-A1EC-0307C5C4EEF4}">
      <text>
        <r>
          <rPr>
            <b/>
            <sz val="20"/>
            <color indexed="81"/>
            <rFont val="Tahoma"/>
            <family val="2"/>
          </rPr>
          <t xml:space="preserve">CZP*9500
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GX46" authorId="1" shapeId="0" xr:uid="{3399746F-2A03-4573-8A39-1597CEE7B2A9}">
      <text>
        <r>
          <rPr>
            <b/>
            <sz val="26"/>
            <color indexed="81"/>
            <rFont val="Tahoma"/>
            <family val="2"/>
          </rPr>
          <t xml:space="preserve">SCIL*3500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</text>
    </comment>
    <comment ref="HE46" authorId="1" shapeId="0" xr:uid="{D60A5325-EE0C-4AEA-A353-0EC8CA0EFF5B}">
      <text>
        <r>
          <rPr>
            <b/>
            <sz val="26"/>
            <color indexed="81"/>
            <rFont val="Tahoma"/>
            <family val="2"/>
          </rPr>
          <t xml:space="preserve">SCIL*4500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</text>
    </comment>
    <comment ref="IE46" authorId="1" shapeId="0" xr:uid="{2B7BF1FB-164C-4AFD-895B-D350B2A81757}">
      <text>
        <r>
          <rPr>
            <b/>
            <sz val="22"/>
            <color indexed="81"/>
            <rFont val="Tahoma"/>
            <family val="2"/>
          </rPr>
          <t xml:space="preserve">SCIL*3000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M46" authorId="1" shapeId="0" xr:uid="{3E74A6E1-5533-41BB-AFD5-7E14B31830BE}">
      <text>
        <r>
          <rPr>
            <b/>
            <sz val="22"/>
            <color indexed="81"/>
            <rFont val="Tahoma"/>
            <family val="2"/>
          </rPr>
          <t xml:space="preserve">SCIL*2000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46" authorId="1" shapeId="0" xr:uid="{96DE80E1-31BC-4D82-ACD1-5F3AF765CD87}">
      <text>
        <r>
          <rPr>
            <b/>
            <sz val="22"/>
            <color indexed="81"/>
            <rFont val="Tahoma"/>
            <family val="2"/>
          </rPr>
          <t xml:space="preserve">SCIL*7500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Z46" authorId="1" shapeId="0" xr:uid="{37145A2B-E720-4C5D-88D2-3587B40F7E1C}">
      <text>
        <r>
          <rPr>
            <b/>
            <sz val="26"/>
            <color indexed="81"/>
            <rFont val="Tahoma"/>
            <family val="2"/>
          </rPr>
          <t xml:space="preserve">EN :LM3498
</t>
        </r>
        <r>
          <rPr>
            <b/>
            <sz val="26"/>
            <color indexed="81"/>
            <rFont val="細明體"/>
            <family val="3"/>
            <charset val="136"/>
          </rPr>
          <t>生產時取</t>
        </r>
        <r>
          <rPr>
            <b/>
            <sz val="26"/>
            <color indexed="81"/>
            <rFont val="Tahoma"/>
            <family val="2"/>
          </rPr>
          <t>20</t>
        </r>
        <r>
          <rPr>
            <b/>
            <sz val="26"/>
            <color indexed="81"/>
            <rFont val="細明體"/>
            <family val="3"/>
            <charset val="136"/>
          </rPr>
          <t>片無光清洗卡匣與首件卡匣一起交給</t>
        </r>
        <r>
          <rPr>
            <b/>
            <sz val="26"/>
            <color indexed="81"/>
            <rFont val="Tahoma"/>
            <family val="2"/>
          </rPr>
          <t>QC</t>
        </r>
        <r>
          <rPr>
            <b/>
            <sz val="26"/>
            <color indexed="81"/>
            <rFont val="細明體"/>
            <family val="3"/>
            <charset val="136"/>
          </rPr>
          <t xml:space="preserve">。
</t>
        </r>
      </text>
    </comment>
    <comment ref="KQ46" authorId="1" shapeId="0" xr:uid="{921394A4-4359-4307-8F50-31CF858FDB7F}">
      <text>
        <r>
          <rPr>
            <b/>
            <sz val="18"/>
            <color indexed="81"/>
            <rFont val="Tahoma"/>
            <family val="2"/>
          </rPr>
          <t xml:space="preserve">EN :LM3498
</t>
        </r>
        <r>
          <rPr>
            <b/>
            <sz val="18"/>
            <color indexed="81"/>
            <rFont val="細明體"/>
            <family val="3"/>
            <charset val="136"/>
          </rPr>
          <t>生產時取</t>
        </r>
        <r>
          <rPr>
            <b/>
            <sz val="18"/>
            <color indexed="81"/>
            <rFont val="Tahoma"/>
            <family val="2"/>
          </rPr>
          <t>20</t>
        </r>
        <r>
          <rPr>
            <b/>
            <sz val="18"/>
            <color indexed="81"/>
            <rFont val="細明體"/>
            <family val="3"/>
            <charset val="136"/>
          </rPr>
          <t>片無光清洗卡匣與首件卡匣一起交給</t>
        </r>
        <r>
          <rPr>
            <b/>
            <sz val="18"/>
            <color indexed="81"/>
            <rFont val="Tahoma"/>
            <family val="2"/>
          </rPr>
          <t>QC</t>
        </r>
        <r>
          <rPr>
            <b/>
            <sz val="18"/>
            <color indexed="81"/>
            <rFont val="細明體"/>
            <family val="3"/>
            <charset val="136"/>
          </rPr>
          <t>。</t>
        </r>
      </text>
    </comment>
    <comment ref="LY46" authorId="1" shapeId="0" xr:uid="{FAFC9D8E-F1A6-41DA-BC72-EFFC2A61BCEF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TE46" authorId="1" shapeId="0" xr:uid="{0B026ACF-3A40-4A49-9C13-BF946782F876}">
      <text>
        <r>
          <rPr>
            <b/>
            <sz val="36"/>
            <color indexed="81"/>
            <rFont val="Tahoma"/>
            <family val="2"/>
          </rPr>
          <t xml:space="preserve">EN:3823
</t>
        </r>
        <r>
          <rPr>
            <b/>
            <sz val="36"/>
            <color indexed="81"/>
            <rFont val="細明體"/>
            <family val="3"/>
            <charset val="136"/>
          </rPr>
          <t>隨線</t>
        </r>
        <r>
          <rPr>
            <b/>
            <sz val="36"/>
            <color indexed="81"/>
            <rFont val="Tahoma"/>
            <family val="2"/>
          </rPr>
          <t xml:space="preserve">
</t>
        </r>
        <r>
          <rPr>
            <b/>
            <sz val="36"/>
            <color indexed="81"/>
            <rFont val="細明體"/>
            <family val="3"/>
            <charset val="136"/>
          </rPr>
          <t>設變後的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2 (3/24</t>
        </r>
        <r>
          <rPr>
            <b/>
            <sz val="36"/>
            <color indexed="81"/>
            <rFont val="細明體"/>
            <family val="3"/>
            <charset val="136"/>
          </rPr>
          <t>隨線生產</t>
        </r>
        <r>
          <rPr>
            <b/>
            <sz val="36"/>
            <color indexed="81"/>
            <rFont val="Tahoma"/>
            <family val="2"/>
          </rPr>
          <t>,</t>
        </r>
        <r>
          <rPr>
            <b/>
            <sz val="36"/>
            <color indexed="81"/>
            <rFont val="細明體"/>
            <family val="3"/>
            <charset val="136"/>
          </rPr>
          <t>正常包裝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1. 100pcs,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2. 100pcs
</t>
        </r>
        <r>
          <rPr>
            <b/>
            <sz val="36"/>
            <color indexed="81"/>
            <rFont val="細明體"/>
            <family val="3"/>
            <charset val="136"/>
          </rPr>
          <t>設變前的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2 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100pcs
DQA </t>
        </r>
        <r>
          <rPr>
            <b/>
            <sz val="36"/>
            <color indexed="81"/>
            <rFont val="細明體"/>
            <family val="3"/>
            <charset val="136"/>
          </rPr>
          <t>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新舊卡匣測值比對</t>
        </r>
        <r>
          <rPr>
            <b/>
            <sz val="36"/>
            <color indexed="81"/>
            <rFont val="Tahoma"/>
            <family val="2"/>
          </rPr>
          <t xml:space="preserve"> (CV.)
</t>
        </r>
        <r>
          <rPr>
            <b/>
            <sz val="36"/>
            <color indexed="81"/>
            <rFont val="細明體"/>
            <family val="3"/>
            <charset val="136"/>
          </rPr>
          <t>產線驗證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生產良率</t>
        </r>
        <r>
          <rPr>
            <b/>
            <sz val="36"/>
            <color indexed="81"/>
            <rFont val="Tahoma"/>
            <family val="2"/>
          </rPr>
          <t xml:space="preserve"> (</t>
        </r>
        <r>
          <rPr>
            <b/>
            <sz val="36"/>
            <color indexed="81"/>
            <rFont val="細明體"/>
            <family val="3"/>
            <charset val="136"/>
          </rPr>
          <t>請</t>
        </r>
        <r>
          <rPr>
            <b/>
            <sz val="36"/>
            <color indexed="81"/>
            <rFont val="Tahoma"/>
            <family val="2"/>
          </rPr>
          <t>PE</t>
        </r>
        <r>
          <rPr>
            <b/>
            <sz val="36"/>
            <color indexed="81"/>
            <rFont val="細明體"/>
            <family val="3"/>
            <charset val="136"/>
          </rPr>
          <t>提供生產良率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優先生產
費用型工單領成品</t>
        </r>
      </text>
    </comment>
    <comment ref="DR47" authorId="0" shapeId="0" xr:uid="{8D08F4D9-2730-4E77-9632-098E65990AA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48" authorId="0" shapeId="0" xr:uid="{2E4D8E3F-AE7F-4A71-A1CB-4475B1B705FB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49" authorId="0" shapeId="0" xr:uid="{E9E6654A-93C2-4A54-A4A6-558F96D105D9}">
      <text>
        <r>
          <rPr>
            <b/>
            <sz val="26"/>
            <color indexed="81"/>
            <rFont val="細明體"/>
            <family val="3"/>
            <charset val="136"/>
          </rPr>
          <t>SCIL*3500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W49" authorId="0" shapeId="0" xr:uid="{3D22E14B-9357-427D-ADA1-DA9C80F73862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X49" authorId="0" shapeId="0" xr:uid="{2616F71C-85B2-4F99-849C-E9499D27DD37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A49" authorId="0" shapeId="0" xr:uid="{65279C75-7804-49D9-9F2C-EEB8778E6CF2}">
      <text>
        <r>
          <rPr>
            <b/>
            <sz val="26"/>
            <color indexed="81"/>
            <rFont val="Tahoma"/>
            <family val="2"/>
          </rPr>
          <t>SCIL*5500</t>
        </r>
        <r>
          <rPr>
            <b/>
            <sz val="26"/>
            <color indexed="81"/>
            <rFont val="細明體"/>
            <family val="3"/>
            <charset val="136"/>
          </rPr>
          <t>；其餘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E49" authorId="0" shapeId="0" xr:uid="{B738FC2A-D9B8-42F5-94A3-653B1C9716C5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周一早上sorting(數量待定)
sorting完再打鋁袋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9" authorId="0" shapeId="0" xr:uid="{04E3A9D4-1E94-4D15-A572-DA013F6E74D2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SCIL*3520 
優利特*180 噴碼設定(廠碼:0 區碼:5)F/W AES 27 ；噴碼前給DQE 確認
鋁袋LOT 不一樣EM
其餘Skyla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49" authorId="0" shapeId="0" xr:uid="{B2FFE4EB-52FC-4CC6-9879-93B9ADFBE8A9}">
      <text>
        <r>
          <rPr>
            <b/>
            <sz val="20"/>
            <color indexed="81"/>
            <rFont val="Tahoma"/>
            <family val="2"/>
          </rPr>
          <t xml:space="preserve">Scil *6000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V49" authorId="0" shapeId="0" xr:uid="{A196D9FB-3B23-4516-9328-14F5DE3521D7}">
      <text>
        <r>
          <rPr>
            <b/>
            <sz val="26"/>
            <color indexed="81"/>
            <rFont val="細明體"/>
            <family val="3"/>
            <charset val="136"/>
          </rPr>
          <t xml:space="preserve">全數SCIL
scil *24000
</t>
        </r>
      </text>
    </comment>
    <comment ref="AW49" authorId="0" shapeId="0" xr:uid="{13BA9E36-C391-4001-AF31-002F4A90968C}">
      <text>
        <r>
          <rPr>
            <b/>
            <sz val="26"/>
            <color indexed="81"/>
            <rFont val="細明體"/>
            <family val="3"/>
            <charset val="136"/>
          </rPr>
          <t xml:space="preserve">全數SCIL
scil *24000
</t>
        </r>
      </text>
    </comment>
    <comment ref="AX49" authorId="0" shapeId="0" xr:uid="{CD0EDC0A-63C5-49B4-A39A-232EB255FD61}">
      <text>
        <r>
          <rPr>
            <b/>
            <sz val="26"/>
            <color indexed="81"/>
            <rFont val="細明體"/>
            <family val="3"/>
            <charset val="136"/>
          </rPr>
          <t xml:space="preserve">全數SCIL
scil *24000
</t>
        </r>
      </text>
    </comment>
    <comment ref="AY49" authorId="0" shapeId="0" xr:uid="{BA9F784E-1624-484B-A8DC-CFFA26BE5ADB}">
      <text>
        <r>
          <rPr>
            <b/>
            <sz val="26"/>
            <color indexed="81"/>
            <rFont val="細明體"/>
            <family val="3"/>
            <charset val="136"/>
          </rPr>
          <t>全數SCIL
scil *24000
其餘skyla</t>
        </r>
      </text>
    </comment>
    <comment ref="BW49" authorId="1" shapeId="0" xr:uid="{1A285079-CDDD-44F8-9365-87FBFF80BF5E}">
      <text>
        <r>
          <rPr>
            <b/>
            <sz val="20"/>
            <color indexed="81"/>
            <rFont val="Tahoma"/>
            <family val="2"/>
          </rPr>
          <t xml:space="preserve">SCIL*1000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CE49" authorId="1" shapeId="0" xr:uid="{16CA0983-6EE1-4235-B783-7B86243F8D21}">
      <text>
        <r>
          <rPr>
            <b/>
            <sz val="20"/>
            <color indexed="81"/>
            <rFont val="細明體"/>
            <family val="3"/>
            <charset val="136"/>
          </rPr>
          <t xml:space="preserve">全數 </t>
        </r>
        <r>
          <rPr>
            <b/>
            <sz val="20"/>
            <color indexed="81"/>
            <rFont val="Tahoma"/>
            <family val="2"/>
          </rPr>
          <t>SCIL</t>
        </r>
      </text>
    </comment>
    <comment ref="CF49" authorId="1" shapeId="0" xr:uid="{E4E496AB-9F59-4AF1-B507-02AFE1B0A5E4}">
      <text>
        <r>
          <rPr>
            <b/>
            <sz val="26"/>
            <color indexed="81"/>
            <rFont val="Tahoma"/>
            <family val="2"/>
          </rPr>
          <t xml:space="preserve">SCIL * 5500 </t>
        </r>
        <r>
          <rPr>
            <b/>
            <sz val="26"/>
            <color indexed="81"/>
            <rFont val="細明體"/>
            <family val="3"/>
            <charset val="136"/>
          </rPr>
          <t>；</t>
        </r>
        <r>
          <rPr>
            <b/>
            <sz val="26"/>
            <color indexed="81"/>
            <rFont val="Tahoma"/>
            <family val="2"/>
          </rPr>
          <t xml:space="preserve">SCIL </t>
        </r>
        <r>
          <rPr>
            <b/>
            <sz val="26"/>
            <color indexed="81"/>
            <rFont val="細明體"/>
            <family val="3"/>
            <charset val="136"/>
          </rPr>
          <t>共</t>
        </r>
        <r>
          <rPr>
            <b/>
            <sz val="26"/>
            <color indexed="81"/>
            <rFont val="Tahoma"/>
            <family val="2"/>
          </rPr>
          <t xml:space="preserve">11000
</t>
        </r>
        <r>
          <rPr>
            <b/>
            <sz val="26"/>
            <color indexed="81"/>
            <rFont val="細明體"/>
            <family val="3"/>
            <charset val="136"/>
          </rPr>
          <t>簡中*580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>skyla</t>
        </r>
      </text>
    </comment>
    <comment ref="CU49" authorId="0" shapeId="0" xr:uid="{C402C656-31AF-4312-B0A4-9D5C0599FC32}">
      <text>
        <r>
          <rPr>
            <b/>
            <sz val="20"/>
            <color indexed="81"/>
            <rFont val="細明體"/>
            <family val="3"/>
            <charset val="136"/>
          </rPr>
          <t>一批到底</t>
        </r>
      </text>
    </comment>
    <comment ref="CZ49" authorId="1" shapeId="0" xr:uid="{D6993407-A1DD-4982-AD97-FC7A1D9ECCE7}">
      <text>
        <r>
          <rPr>
            <b/>
            <sz val="20"/>
            <color indexed="81"/>
            <rFont val="Tahoma"/>
            <family val="2"/>
          </rPr>
          <t xml:space="preserve">SCIL*7000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DE49" authorId="0" shapeId="0" xr:uid="{EF672702-EF96-4D1D-82E6-D4167A849C42}">
      <text>
        <r>
          <rPr>
            <b/>
            <sz val="26"/>
            <color indexed="81"/>
            <rFont val="Tahoma"/>
            <family val="2"/>
          </rPr>
          <t xml:space="preserve">SCIL*7000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>一批到底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DJ49" authorId="1" shapeId="0" xr:uid="{FE3130B1-02D4-4262-B850-7A0533DF8980}">
      <text>
        <r>
          <rPr>
            <b/>
            <sz val="20"/>
            <color indexed="81"/>
            <rFont val="Tahoma"/>
            <family val="2"/>
          </rPr>
          <t xml:space="preserve">SCIL*8000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EB49" authorId="1" shapeId="0" xr:uid="{E582E319-CBE5-460F-A288-9C1DE363548F}">
      <text>
        <r>
          <rPr>
            <b/>
            <sz val="20"/>
            <color indexed="81"/>
            <rFont val="細明體"/>
            <family val="3"/>
            <charset val="136"/>
          </rPr>
          <t xml:space="preserve">全數 </t>
        </r>
        <r>
          <rPr>
            <b/>
            <sz val="20"/>
            <color indexed="81"/>
            <rFont val="Tahoma"/>
            <family val="2"/>
          </rPr>
          <t>SCIL</t>
        </r>
      </text>
    </comment>
    <comment ref="EC49" authorId="1" shapeId="0" xr:uid="{99FF8648-89E2-43DB-8F76-CE77BB7CEF07}">
      <text>
        <r>
          <rPr>
            <b/>
            <sz val="24"/>
            <color indexed="81"/>
            <rFont val="Tahoma"/>
            <family val="2"/>
          </rPr>
          <t xml:space="preserve">SCIL*3500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SCIL </t>
        </r>
        <r>
          <rPr>
            <b/>
            <sz val="24"/>
            <color indexed="81"/>
            <rFont val="細明體"/>
            <family val="3"/>
            <charset val="136"/>
          </rPr>
          <t>總數需求</t>
        </r>
        <r>
          <rPr>
            <b/>
            <sz val="24"/>
            <color indexed="81"/>
            <rFont val="Tahoma"/>
            <family val="2"/>
          </rPr>
          <t>12000</t>
        </r>
      </text>
    </comment>
    <comment ref="EL49" authorId="0" shapeId="0" xr:uid="{BCD0E750-05BA-4506-822D-406985D0854C}">
      <text>
        <r>
          <rPr>
            <b/>
            <sz val="26"/>
            <color indexed="81"/>
            <rFont val="微軟正黑體"/>
            <family val="2"/>
            <charset val="136"/>
          </rPr>
          <t>一批到底
可切 2000+4000
Ca LM3064 試填30片，給QC 測試。一批</t>
        </r>
      </text>
    </comment>
    <comment ref="EM49" authorId="0" shapeId="0" xr:uid="{A41F1AD8-510C-4AEC-A87B-3C805AF7C625}">
      <text>
        <r>
          <rPr>
            <b/>
            <sz val="20"/>
            <color indexed="81"/>
            <rFont val="細明體"/>
            <family val="3"/>
            <charset val="136"/>
          </rPr>
          <t>一批到底</t>
        </r>
      </text>
    </comment>
    <comment ref="FK49" authorId="1" shapeId="0" xr:uid="{6D92B50F-D184-46D6-8645-A3079D3B939D}">
      <text>
        <r>
          <rPr>
            <b/>
            <sz val="16"/>
            <color indexed="81"/>
            <rFont val="新細明體"/>
            <family val="1"/>
            <charset val="136"/>
          </rPr>
          <t>一批到底</t>
        </r>
      </text>
    </comment>
    <comment ref="FO49" authorId="1" shapeId="0" xr:uid="{04A53E52-0C2B-41F8-BCD0-A1C107FA6E2B}">
      <text>
        <r>
          <rPr>
            <b/>
            <sz val="24"/>
            <color indexed="81"/>
            <rFont val="Tahoma"/>
            <family val="2"/>
          </rPr>
          <t xml:space="preserve">SCIL*9000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SCIL </t>
        </r>
        <r>
          <rPr>
            <b/>
            <sz val="24"/>
            <color indexed="81"/>
            <rFont val="細明體"/>
            <family val="3"/>
            <charset val="136"/>
          </rPr>
          <t>總數需求</t>
        </r>
        <r>
          <rPr>
            <b/>
            <sz val="24"/>
            <color indexed="81"/>
            <rFont val="Tahoma"/>
            <family val="2"/>
          </rPr>
          <t>11000</t>
        </r>
      </text>
    </comment>
    <comment ref="FP49" authorId="1" shapeId="0" xr:uid="{F9C6C3D8-CF2D-4910-AB61-B862D14F65F5}">
      <text>
        <r>
          <rPr>
            <b/>
            <sz val="24"/>
            <color indexed="81"/>
            <rFont val="Tahoma"/>
            <family val="2"/>
          </rPr>
          <t xml:space="preserve">SCIL*2000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SCIL </t>
        </r>
        <r>
          <rPr>
            <b/>
            <sz val="24"/>
            <color indexed="81"/>
            <rFont val="細明體"/>
            <family val="3"/>
            <charset val="136"/>
          </rPr>
          <t>總數需求</t>
        </r>
        <r>
          <rPr>
            <b/>
            <sz val="24"/>
            <color indexed="81"/>
            <rFont val="Tahoma"/>
            <family val="2"/>
          </rPr>
          <t xml:space="preserve">11000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FW49" authorId="1" shapeId="0" xr:uid="{BFF877C2-2C6B-4E50-8082-526EE5683537}">
      <text>
        <r>
          <rPr>
            <b/>
            <sz val="24"/>
            <color indexed="81"/>
            <rFont val="Tahoma"/>
            <family val="2"/>
          </rPr>
          <t xml:space="preserve">SCIL*7000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
EN:LM3370 
1.</t>
        </r>
        <r>
          <rPr>
            <b/>
            <sz val="24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4"/>
            <color indexed="81"/>
            <rFont val="Tahoma"/>
            <family val="2"/>
          </rPr>
          <t xml:space="preserve"> 
2. </t>
        </r>
        <r>
          <rPr>
            <b/>
            <sz val="24"/>
            <color indexed="81"/>
            <rFont val="細明體"/>
            <family val="3"/>
            <charset val="136"/>
          </rPr>
          <t>安排生產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不進行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4"/>
            <color indexed="81"/>
            <rFont val="Tahoma"/>
            <family val="2"/>
          </rPr>
          <t>DB</t>
        </r>
        <r>
          <rPr>
            <b/>
            <sz val="24"/>
            <color indexed="81"/>
            <rFont val="細明體"/>
            <family val="3"/>
            <charset val="136"/>
          </rPr>
          <t>組裝完成，</t>
        </r>
        <r>
          <rPr>
            <b/>
            <sz val="24"/>
            <color indexed="81"/>
            <rFont val="Tahoma"/>
            <family val="2"/>
          </rPr>
          <t xml:space="preserve">*20 PCS
3. </t>
        </r>
        <r>
          <rPr>
            <b/>
            <sz val="24"/>
            <color indexed="81"/>
            <rFont val="細明體"/>
            <family val="3"/>
            <charset val="136"/>
          </rPr>
          <t>依當日生產之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4"/>
            <color indexed="81"/>
            <rFont val="Tahoma"/>
            <family val="2"/>
          </rPr>
          <t xml:space="preserve">4. </t>
        </r>
        <r>
          <rPr>
            <b/>
            <sz val="24"/>
            <color indexed="81"/>
            <rFont val="細明體"/>
            <family val="3"/>
            <charset val="136"/>
          </rPr>
          <t>同</t>
        </r>
        <r>
          <rPr>
            <b/>
            <sz val="24"/>
            <color indexed="81"/>
            <rFont val="Tahoma"/>
            <family val="2"/>
          </rPr>
          <t>QC</t>
        </r>
        <r>
          <rPr>
            <b/>
            <sz val="24"/>
            <color indexed="81"/>
            <rFont val="細明體"/>
            <family val="3"/>
            <charset val="136"/>
          </rPr>
          <t>首件之卡匣一同送驗。</t>
        </r>
        <r>
          <rPr>
            <b/>
            <sz val="24"/>
            <color indexed="81"/>
            <rFont val="Tahoma"/>
            <family val="2"/>
          </rPr>
          <t xml:space="preserve"> 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</text>
    </comment>
    <comment ref="HC49" authorId="1" shapeId="0" xr:uid="{70329253-6305-45F1-921A-A1F2E41E65AF}">
      <text>
        <r>
          <rPr>
            <b/>
            <sz val="24"/>
            <color indexed="81"/>
            <rFont val="Tahoma"/>
            <family val="2"/>
          </rPr>
          <t xml:space="preserve">SCIL*4500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HD49" authorId="1" shapeId="0" xr:uid="{4E5A5003-DFFD-4893-AC04-D27D55CA27A1}">
      <text>
        <r>
          <rPr>
            <b/>
            <sz val="24"/>
            <color indexed="81"/>
            <rFont val="Tahoma"/>
            <family val="2"/>
          </rPr>
          <t xml:space="preserve">SCIL*7500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HE49" authorId="1" shapeId="0" xr:uid="{ABDC058A-4872-4604-A96E-6E972626364D}">
      <text>
        <r>
          <rPr>
            <b/>
            <sz val="24"/>
            <color indexed="81"/>
            <rFont val="Tahoma"/>
            <family val="2"/>
          </rPr>
          <t xml:space="preserve">SCIL*3000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IV49" authorId="1" shapeId="0" xr:uid="{1F427ADF-F204-43D3-B459-3C754A032FB9}">
      <text>
        <r>
          <rPr>
            <b/>
            <sz val="22"/>
            <color indexed="81"/>
            <rFont val="Tahoma"/>
            <family val="2"/>
          </rPr>
          <t xml:space="preserve">SCIL*6500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K49" authorId="1" shapeId="0" xr:uid="{49B69187-83C4-49D7-B3EE-AC47A786D544}">
      <text>
        <r>
          <rPr>
            <sz val="24"/>
            <color indexed="81"/>
            <rFont val="Tahoma"/>
            <family val="2"/>
          </rPr>
          <t xml:space="preserve">SCIL* 9000 </t>
        </r>
        <r>
          <rPr>
            <sz val="24"/>
            <color indexed="81"/>
            <rFont val="細明體"/>
            <family val="3"/>
            <charset val="136"/>
          </rPr>
          <t>其餘</t>
        </r>
        <r>
          <rPr>
            <sz val="24"/>
            <color indexed="81"/>
            <rFont val="Tahoma"/>
            <family val="2"/>
          </rPr>
          <t>SKYLA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M49" authorId="1" shapeId="0" xr:uid="{A7BDB33E-A9DA-4BA2-A881-1779D0E2EED2}">
      <text>
        <r>
          <rPr>
            <sz val="24"/>
            <color indexed="81"/>
            <rFont val="Tahoma"/>
            <family val="2"/>
          </rPr>
          <t xml:space="preserve">SCIL* 4000 </t>
        </r>
        <r>
          <rPr>
            <sz val="24"/>
            <color indexed="81"/>
            <rFont val="細明體"/>
            <family val="3"/>
            <charset val="136"/>
          </rPr>
          <t>其餘</t>
        </r>
        <r>
          <rPr>
            <sz val="24"/>
            <color indexed="81"/>
            <rFont val="Tahoma"/>
            <family val="2"/>
          </rPr>
          <t>SKYLA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Y49" authorId="1" shapeId="0" xr:uid="{B8838D94-6B5F-4565-B3B4-26A4EF45B35C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E49" authorId="1" shapeId="0" xr:uid="{F7D5F474-2DAB-4AA4-8FA5-EA23C1E78D20}">
      <text>
        <r>
          <rPr>
            <b/>
            <sz val="30"/>
            <color indexed="81"/>
            <rFont val="Tahoma"/>
            <family val="2"/>
          </rPr>
          <t xml:space="preserve">CZP*1000
</t>
        </r>
        <r>
          <rPr>
            <b/>
            <sz val="30"/>
            <color indexed="81"/>
            <rFont val="細明體"/>
            <family val="3"/>
            <charset val="136"/>
          </rPr>
          <t xml:space="preserve">
</t>
        </r>
      </text>
    </comment>
    <comment ref="OV49" authorId="1" shapeId="0" xr:uid="{C7703CAC-CBB8-4FD6-B9A7-2E0064F5601F}">
      <text>
        <r>
          <rPr>
            <b/>
            <sz val="24"/>
            <color indexed="81"/>
            <rFont val="細明體"/>
            <family val="3"/>
            <charset val="136"/>
          </rPr>
          <t>一批到底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QC49" authorId="1" shapeId="0" xr:uid="{1D241DFF-D1FF-4C89-81E5-BB694CA8FB0C}">
      <text>
        <r>
          <rPr>
            <b/>
            <sz val="18"/>
            <color indexed="81"/>
            <rFont val="細明體"/>
            <family val="3"/>
            <charset val="136"/>
          </rPr>
          <t>一批到底</t>
        </r>
      </text>
    </comment>
    <comment ref="QL49" authorId="1" shapeId="0" xr:uid="{8BFEB992-764F-4103-923C-56536ACBF8AC}">
      <text>
        <r>
          <rPr>
            <b/>
            <sz val="26"/>
            <color indexed="81"/>
            <rFont val="Tahoma"/>
            <family val="2"/>
          </rPr>
          <t>1</t>
        </r>
        <r>
          <rPr>
            <b/>
            <sz val="26"/>
            <color indexed="81"/>
            <rFont val="細明體"/>
            <family val="3"/>
            <charset val="136"/>
          </rPr>
          <t>批到底</t>
        </r>
      </text>
    </comment>
    <comment ref="TG49" authorId="1" shapeId="0" xr:uid="{11DCEAEB-BA9A-4097-8124-2D902E6486E7}">
      <text>
        <r>
          <rPr>
            <b/>
            <sz val="36"/>
            <color indexed="81"/>
            <rFont val="Tahoma"/>
            <family val="2"/>
          </rPr>
          <t xml:space="preserve">EN:3823
</t>
        </r>
        <r>
          <rPr>
            <b/>
            <sz val="36"/>
            <color indexed="81"/>
            <rFont val="細明體"/>
            <family val="3"/>
            <charset val="136"/>
          </rPr>
          <t>隨線</t>
        </r>
        <r>
          <rPr>
            <b/>
            <sz val="36"/>
            <color indexed="81"/>
            <rFont val="Tahoma"/>
            <family val="2"/>
          </rPr>
          <t xml:space="preserve">
</t>
        </r>
        <r>
          <rPr>
            <b/>
            <sz val="36"/>
            <color indexed="81"/>
            <rFont val="細明體"/>
            <family val="3"/>
            <charset val="136"/>
          </rPr>
          <t>設變後的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Plus (3/26</t>
        </r>
        <r>
          <rPr>
            <b/>
            <sz val="36"/>
            <color indexed="81"/>
            <rFont val="細明體"/>
            <family val="3"/>
            <charset val="136"/>
          </rPr>
          <t>隨線生產</t>
        </r>
        <r>
          <rPr>
            <b/>
            <sz val="36"/>
            <color indexed="81"/>
            <rFont val="Tahoma"/>
            <family val="2"/>
          </rPr>
          <t>,</t>
        </r>
        <r>
          <rPr>
            <b/>
            <sz val="36"/>
            <color indexed="81"/>
            <rFont val="細明體"/>
            <family val="3"/>
            <charset val="136"/>
          </rPr>
          <t>正常包裝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1. 100pcs,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2. 100pcs
</t>
        </r>
        <r>
          <rPr>
            <b/>
            <sz val="36"/>
            <color indexed="81"/>
            <rFont val="細明體"/>
            <family val="3"/>
            <charset val="136"/>
          </rPr>
          <t>設變前的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Plus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100pcs
</t>
        </r>
        <r>
          <rPr>
            <b/>
            <sz val="36"/>
            <color indexed="81"/>
            <rFont val="Tahoma"/>
            <family val="2"/>
          </rPr>
          <t xml:space="preserve">DQA </t>
        </r>
        <r>
          <rPr>
            <b/>
            <sz val="36"/>
            <color indexed="81"/>
            <rFont val="細明體"/>
            <family val="3"/>
            <charset val="136"/>
          </rPr>
          <t>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新舊卡匣測值比對</t>
        </r>
        <r>
          <rPr>
            <b/>
            <sz val="36"/>
            <color indexed="81"/>
            <rFont val="Tahoma"/>
            <family val="2"/>
          </rPr>
          <t xml:space="preserve"> (CV.)
</t>
        </r>
        <r>
          <rPr>
            <b/>
            <sz val="36"/>
            <color indexed="81"/>
            <rFont val="細明體"/>
            <family val="3"/>
            <charset val="136"/>
          </rPr>
          <t>產線驗證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生產良率</t>
        </r>
        <r>
          <rPr>
            <b/>
            <sz val="36"/>
            <color indexed="81"/>
            <rFont val="Tahoma"/>
            <family val="2"/>
          </rPr>
          <t xml:space="preserve"> (</t>
        </r>
        <r>
          <rPr>
            <b/>
            <sz val="36"/>
            <color indexed="81"/>
            <rFont val="細明體"/>
            <family val="3"/>
            <charset val="136"/>
          </rPr>
          <t>請</t>
        </r>
        <r>
          <rPr>
            <b/>
            <sz val="36"/>
            <color indexed="81"/>
            <rFont val="Tahoma"/>
            <family val="2"/>
          </rPr>
          <t>PE</t>
        </r>
        <r>
          <rPr>
            <b/>
            <sz val="36"/>
            <color indexed="81"/>
            <rFont val="細明體"/>
            <family val="3"/>
            <charset val="136"/>
          </rPr>
          <t>提供生產良率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費用型工單領成品</t>
        </r>
      </text>
    </comment>
    <comment ref="DR50" authorId="0" shapeId="0" xr:uid="{BBD56141-A16B-439A-B873-50F0F2D3B66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51" authorId="0" shapeId="0" xr:uid="{27394747-BB4D-455B-8522-03ABBD90DAC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2" authorId="0" shapeId="0" xr:uid="{F6A54B21-9540-4980-94C0-B0B13C64E87A}">
      <text>
        <r>
          <rPr>
            <b/>
            <sz val="26"/>
            <color indexed="81"/>
            <rFont val="Tahoma"/>
            <family val="2"/>
          </rPr>
          <t xml:space="preserve">SCIL*2300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2" authorId="0" shapeId="0" xr:uid="{11363C75-921B-4220-9FF3-F41ACD1DFC8D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優利特*180 噴碼設定(廠碼:0 區碼:5)F/W AES 27 ；噴碼前給DQE 確認
鋁袋LOT 不一樣V2EM
其餘SKYLA </t>
        </r>
      </text>
    </comment>
    <comment ref="AN52" authorId="0" shapeId="0" xr:uid="{56933537-B4D9-468A-83E1-617F71B31569}">
      <text>
        <r>
          <rPr>
            <b/>
            <sz val="20"/>
            <color indexed="81"/>
            <rFont val="Tahoma"/>
            <family val="2"/>
          </rPr>
          <t xml:space="preserve">Scil *800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X52" authorId="1" shapeId="0" xr:uid="{A1025387-0290-4FA7-8DBE-468059497E89}">
      <text>
        <r>
          <rPr>
            <b/>
            <sz val="20"/>
            <color indexed="81"/>
            <rFont val="Tahoma"/>
            <family val="2"/>
          </rPr>
          <t xml:space="preserve">SCIL *1400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K52" authorId="1" shapeId="0" xr:uid="{89F557B5-B880-4B13-A8E7-65EA2404E344}">
      <text>
        <r>
          <rPr>
            <b/>
            <sz val="20"/>
            <color indexed="81"/>
            <rFont val="Tahoma"/>
            <family val="2"/>
          </rPr>
          <t xml:space="preserve">SCIL *1200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S52" authorId="1" shapeId="0" xr:uid="{92543505-4A7A-4566-8639-999EA0233A31}">
      <text>
        <r>
          <rPr>
            <b/>
            <sz val="20"/>
            <color indexed="81"/>
            <rFont val="Tahoma"/>
            <family val="2"/>
          </rPr>
          <t xml:space="preserve">SCIL*1000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FZ52" authorId="1" shapeId="0" xr:uid="{C7443C49-335F-4C2F-A1A0-47057AD3E614}">
      <text>
        <r>
          <rPr>
            <b/>
            <sz val="24"/>
            <color indexed="81"/>
            <rFont val="Tahoma"/>
            <family val="2"/>
          </rPr>
          <t xml:space="preserve">SCIL*700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GG52" authorId="1" shapeId="0" xr:uid="{AAD44753-1932-447A-9465-FBCCA2AE54F6}">
      <text>
        <r>
          <rPr>
            <b/>
            <sz val="24"/>
            <color indexed="81"/>
            <rFont val="Tahoma"/>
            <family val="2"/>
          </rPr>
          <t xml:space="preserve">CZP*200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GW52" authorId="1" shapeId="0" xr:uid="{F557BE7E-75AE-45BB-8FBB-7E04FB1DAA20}">
      <text>
        <r>
          <rPr>
            <b/>
            <sz val="28"/>
            <color indexed="81"/>
            <rFont val="細明體"/>
            <family val="3"/>
            <charset val="136"/>
          </rPr>
          <t>SCIL*700
其餘SKYLA</t>
        </r>
      </text>
    </comment>
    <comment ref="ID52" authorId="1" shapeId="0" xr:uid="{4B57CC1D-EDCA-43D9-BD23-F79CF3A3ED3C}">
      <text>
        <r>
          <rPr>
            <b/>
            <sz val="22"/>
            <color indexed="81"/>
            <rFont val="Tahoma"/>
            <family val="2"/>
          </rPr>
          <t xml:space="preserve">SCIL*400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Q52" authorId="1" shapeId="0" xr:uid="{090F6FD9-1072-4297-AA4B-72AF9B38D327}">
      <text>
        <r>
          <rPr>
            <b/>
            <sz val="22"/>
            <color indexed="81"/>
            <rFont val="Tahoma"/>
            <family val="2"/>
          </rPr>
          <t xml:space="preserve">SCIL*300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53" authorId="0" shapeId="0" xr:uid="{D47C60E3-98C5-439E-B20A-2237A7BC2D0E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54" authorId="0" shapeId="0" xr:uid="{3ACA74BD-62D5-4924-BDAF-A5BEAA4EE96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5" authorId="0" shapeId="0" xr:uid="{AC9429B5-1EFD-4671-AA69-C27496BF41BF}">
      <text>
        <r>
          <rPr>
            <b/>
            <sz val="26"/>
            <color indexed="81"/>
            <rFont val="Tahoma"/>
            <family val="2"/>
          </rPr>
          <t xml:space="preserve">SCIL*7000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I55" authorId="0" shapeId="0" xr:uid="{6CFB8DC7-93D9-487C-BB82-09C21710E388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優利特*720 噴碼設定(廠碼:0 區碼:5)F/W AES 27 ；噴碼前給DQE 確認
鋁袋LOT 不一樣EM
其餘SKYLA
</t>
        </r>
      </text>
    </comment>
    <comment ref="AR55" authorId="0" shapeId="0" xr:uid="{6ECA682A-9F27-46E8-8D1B-93008DCCF25B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SCIL*1000 一批到底
其餘SKYLA 
</t>
        </r>
      </text>
    </comment>
    <comment ref="AY55" authorId="0" shapeId="0" xr:uid="{CC01CC0E-EF13-4848-ACA4-6BF733919CA8}">
      <text>
        <r>
          <rPr>
            <b/>
            <sz val="26"/>
            <color indexed="81"/>
            <rFont val="細明體"/>
            <family val="3"/>
            <charset val="136"/>
          </rPr>
          <t>8/2 8/3  scil 需求11000
 一批到底
其餘SKYLA</t>
        </r>
      </text>
    </comment>
    <comment ref="AZ55" authorId="0" shapeId="0" xr:uid="{BC2A0B25-A72B-4485-B0BE-73E1625613F8}">
      <text>
        <r>
          <rPr>
            <b/>
            <sz val="26"/>
            <color indexed="81"/>
            <rFont val="細明體"/>
            <family val="3"/>
            <charset val="136"/>
          </rPr>
          <t>8/2 8/3  scil 需求11000
 一批到底
其餘SKYLA</t>
        </r>
      </text>
    </comment>
    <comment ref="BW55" authorId="1" shapeId="0" xr:uid="{0E29F88B-323D-48DA-A958-61333CEEEE62}">
      <text>
        <r>
          <rPr>
            <b/>
            <sz val="22"/>
            <color indexed="81"/>
            <rFont val="細明體"/>
            <family val="3"/>
            <charset val="136"/>
          </rPr>
          <t>使用</t>
        </r>
        <r>
          <rPr>
            <b/>
            <sz val="22"/>
            <color indexed="81"/>
            <rFont val="Tahoma"/>
            <family val="2"/>
          </rPr>
          <t xml:space="preserve">wk07 QC </t>
        </r>
        <r>
          <rPr>
            <b/>
            <sz val="22"/>
            <color indexed="81"/>
            <rFont val="細明體"/>
            <family val="3"/>
            <charset val="136"/>
          </rPr>
          <t>判退</t>
        </r>
        <r>
          <rPr>
            <b/>
            <sz val="22"/>
            <color indexed="81"/>
            <rFont val="Tahoma"/>
            <family val="2"/>
          </rPr>
          <t xml:space="preserve">DB </t>
        </r>
        <r>
          <rPr>
            <b/>
            <sz val="22"/>
            <color indexed="81"/>
            <rFont val="細明體"/>
            <family val="3"/>
            <charset val="136"/>
          </rPr>
          <t>共</t>
        </r>
        <r>
          <rPr>
            <b/>
            <sz val="22"/>
            <color indexed="81"/>
            <rFont val="Tahoma"/>
            <family val="2"/>
          </rPr>
          <t>8000</t>
        </r>
        <r>
          <rPr>
            <b/>
            <sz val="22"/>
            <color indexed="81"/>
            <rFont val="細明體"/>
            <family val="3"/>
            <charset val="136"/>
          </rPr>
          <t>。全數出韓國</t>
        </r>
      </text>
    </comment>
    <comment ref="CD55" authorId="1" shapeId="0" xr:uid="{31D4324D-762D-4824-A0DD-799795471559}">
      <text>
        <r>
          <rPr>
            <b/>
            <sz val="26"/>
            <color indexed="81"/>
            <rFont val="Tahoma"/>
            <family val="2"/>
          </rPr>
          <t xml:space="preserve">SCIL * 2000 </t>
        </r>
        <r>
          <rPr>
            <b/>
            <sz val="26"/>
            <color indexed="81"/>
            <rFont val="細明體"/>
            <family val="3"/>
            <charset val="136"/>
          </rPr>
          <t>；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>skyla</t>
        </r>
      </text>
    </comment>
    <comment ref="CK55" authorId="1" shapeId="0" xr:uid="{D668A458-D07F-4541-8181-B145109D7C1D}">
      <text>
        <r>
          <rPr>
            <sz val="24"/>
            <color indexed="81"/>
            <rFont val="細明體"/>
            <family val="3"/>
            <charset val="136"/>
          </rPr>
          <t>出貨上海簡中標籤</t>
        </r>
        <r>
          <rPr>
            <sz val="24"/>
            <color indexed="81"/>
            <rFont val="Tahoma"/>
            <family val="2"/>
          </rPr>
          <t xml:space="preserve"> 8180 </t>
        </r>
        <r>
          <rPr>
            <sz val="24"/>
            <color indexed="81"/>
            <rFont val="細明體"/>
            <family val="3"/>
            <charset val="136"/>
          </rPr>
          <t>片，其餘</t>
        </r>
        <r>
          <rPr>
            <sz val="24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P55" authorId="0" shapeId="0" xr:uid="{C0E57BB6-29B0-44E0-B435-D76974BFE2D8}">
      <text>
        <r>
          <rPr>
            <b/>
            <sz val="26"/>
            <color indexed="81"/>
            <rFont val="Tahoma"/>
            <family val="2"/>
          </rPr>
          <t xml:space="preserve">SCIL*5000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</text>
    </comment>
    <comment ref="DB55" authorId="1" shapeId="0" xr:uid="{9F01EC95-7D7C-425B-8A01-400C92B8C9F0}">
      <text>
        <r>
          <rPr>
            <b/>
            <sz val="24"/>
            <color indexed="81"/>
            <rFont val="Tahoma"/>
            <family val="2"/>
          </rPr>
          <t xml:space="preserve">SCIL*6800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EH55" authorId="1" shapeId="0" xr:uid="{02C9D115-BE38-4DE4-B0E2-5F544633F995}">
      <text>
        <r>
          <rPr>
            <b/>
            <sz val="20"/>
            <color indexed="81"/>
            <rFont val="Tahoma"/>
            <family val="2"/>
          </rPr>
          <t xml:space="preserve">SCIL*6000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EI55" authorId="1" shapeId="0" xr:uid="{2C881D8F-F5C0-4B18-807A-F3D0C3118291}">
      <text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ET55" authorId="0" shapeId="0" xr:uid="{CAC676EE-1593-4C07-B4EE-E883729721B8}">
      <text>
        <r>
          <rPr>
            <b/>
            <sz val="20"/>
            <color indexed="81"/>
            <rFont val="細明體"/>
            <family val="3"/>
            <charset val="136"/>
          </rPr>
          <t xml:space="preserve">一批到底
</t>
        </r>
      </text>
    </comment>
    <comment ref="FB55" authorId="1" shapeId="0" xr:uid="{1795F6C6-D7AF-41CA-84BC-C5189E20E3F3}">
      <text>
        <r>
          <rPr>
            <b/>
            <sz val="16"/>
            <color indexed="81"/>
            <rFont val="細明體"/>
            <family val="3"/>
            <charset val="136"/>
          </rPr>
          <t>一批到底</t>
        </r>
        <r>
          <rPr>
            <b/>
            <sz val="9"/>
            <color indexed="81"/>
            <rFont val="細明體"/>
            <family val="3"/>
            <charset val="136"/>
          </rPr>
          <t xml:space="preserve">
</t>
        </r>
      </text>
    </comment>
    <comment ref="FJ55" authorId="1" shapeId="0" xr:uid="{60D909F7-F6F7-4390-BBA8-AB759F3896FE}">
      <text>
        <r>
          <rPr>
            <b/>
            <sz val="24"/>
            <color indexed="81"/>
            <rFont val="Tahoma"/>
            <family val="2"/>
          </rPr>
          <t xml:space="preserve">SCIL*4000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FQ55" authorId="1" shapeId="0" xr:uid="{F2CB10F1-5F97-423D-B27D-B34561331A08}">
      <text>
        <r>
          <rPr>
            <b/>
            <sz val="24"/>
            <color indexed="81"/>
            <rFont val="Tahoma"/>
            <family val="2"/>
          </rPr>
          <t xml:space="preserve">SCIL*5000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GH55" authorId="1" shapeId="0" xr:uid="{489A5160-DF21-4BC7-B2CE-B263DD84887D}">
      <text>
        <r>
          <rPr>
            <b/>
            <sz val="28"/>
            <color indexed="81"/>
            <rFont val="細明體"/>
            <family val="3"/>
            <charset val="136"/>
          </rPr>
          <t>效期</t>
        </r>
        <r>
          <rPr>
            <b/>
            <sz val="28"/>
            <color indexed="81"/>
            <rFont val="Tahoma"/>
            <family val="2"/>
          </rPr>
          <t xml:space="preserve">18 </t>
        </r>
        <r>
          <rPr>
            <b/>
            <sz val="28"/>
            <color indexed="81"/>
            <rFont val="細明體"/>
            <family val="3"/>
            <charset val="136"/>
          </rPr>
          <t>月</t>
        </r>
      </text>
    </comment>
    <comment ref="GI55" authorId="1" shapeId="0" xr:uid="{18F63F2F-C1CC-4D65-96B3-B46A9AF9EC18}">
      <text>
        <r>
          <rPr>
            <b/>
            <sz val="28"/>
            <color indexed="81"/>
            <rFont val="細明體"/>
            <family val="3"/>
            <charset val="136"/>
          </rPr>
          <t>效期</t>
        </r>
        <r>
          <rPr>
            <b/>
            <sz val="28"/>
            <color indexed="81"/>
            <rFont val="Tahoma"/>
            <family val="2"/>
          </rPr>
          <t xml:space="preserve">18 </t>
        </r>
        <r>
          <rPr>
            <b/>
            <sz val="28"/>
            <color indexed="81"/>
            <rFont val="細明體"/>
            <family val="3"/>
            <charset val="136"/>
          </rPr>
          <t>月</t>
        </r>
      </text>
    </comment>
    <comment ref="GQ55" authorId="1" shapeId="0" xr:uid="{FE5DD976-7811-442C-9DE4-3E71DC0FAB90}">
      <text>
        <r>
          <rPr>
            <b/>
            <sz val="24"/>
            <color indexed="81"/>
            <rFont val="Tahoma"/>
            <family val="2"/>
          </rPr>
          <t xml:space="preserve">CZP*9500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HG55" authorId="1" shapeId="0" xr:uid="{88D6CE94-2CDF-48DF-8E66-A95A8010502B}">
      <text>
        <r>
          <rPr>
            <b/>
            <sz val="24"/>
            <color indexed="81"/>
            <rFont val="Tahoma"/>
            <family val="2"/>
          </rPr>
          <t xml:space="preserve">SCIL*9000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IN55" authorId="1" shapeId="0" xr:uid="{AE20795C-68B8-47A7-83B5-ECCF7855FFC4}">
      <text>
        <r>
          <rPr>
            <b/>
            <sz val="22"/>
            <color indexed="81"/>
            <rFont val="Tahoma"/>
            <family val="2"/>
          </rPr>
          <t xml:space="preserve">SCIL*9000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LI55" authorId="1" shapeId="0" xr:uid="{F75575CE-3727-4977-ABDD-39B07734C75C}">
      <text>
        <r>
          <rPr>
            <b/>
            <sz val="20"/>
            <color indexed="81"/>
            <rFont val="細明體"/>
            <family val="3"/>
            <charset val="136"/>
          </rPr>
          <t>一批到底</t>
        </r>
      </text>
    </comment>
    <comment ref="PB55" authorId="1" shapeId="0" xr:uid="{10A2A96D-A6EB-4FD6-A619-0A44C038CCEF}">
      <text>
        <r>
          <rPr>
            <sz val="20"/>
            <color indexed="81"/>
            <rFont val="細明體"/>
            <family val="3"/>
            <charset val="136"/>
          </rPr>
          <t>一批到底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PC55" authorId="1" shapeId="0" xr:uid="{324DE6AF-7D3A-4996-93BF-7A4F6667EB19}">
      <text>
        <r>
          <rPr>
            <sz val="20"/>
            <color indexed="81"/>
            <rFont val="細明體"/>
            <family val="3"/>
            <charset val="136"/>
          </rPr>
          <t>一批到底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PJ55" authorId="1" shapeId="0" xr:uid="{4452831D-722B-4255-AED3-51445B129672}">
      <text>
        <r>
          <rPr>
            <sz val="26"/>
            <color indexed="81"/>
            <rFont val="細明體"/>
            <family val="3"/>
            <charset val="136"/>
          </rPr>
          <t>切大小批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PK55" authorId="1" shapeId="0" xr:uid="{A0CD6F4B-A4D2-4878-8687-B3E877F14D7C}">
      <text>
        <r>
          <rPr>
            <sz val="20"/>
            <color indexed="81"/>
            <rFont val="細明體"/>
            <family val="3"/>
            <charset val="136"/>
          </rPr>
          <t>一批到底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QH55" authorId="1" shapeId="0" xr:uid="{3159A59F-BA0E-4015-BD74-5AB5A36222C7}">
      <text>
        <r>
          <rPr>
            <b/>
            <sz val="26"/>
            <color indexed="81"/>
            <rFont val="Tahoma"/>
            <family val="2"/>
          </rPr>
          <t>1</t>
        </r>
        <r>
          <rPr>
            <b/>
            <sz val="26"/>
            <color indexed="81"/>
            <rFont val="細明體"/>
            <family val="3"/>
            <charset val="136"/>
          </rPr>
          <t>批到底</t>
        </r>
      </text>
    </comment>
    <comment ref="QI55" authorId="1" shapeId="0" xr:uid="{08D6DDB1-A0F2-4559-8F10-BAF4043618E4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 xml:space="preserve">DB
</t>
        </r>
      </text>
    </comment>
    <comment ref="QT55" authorId="1" shapeId="0" xr:uid="{83988112-F469-4CD2-B8BD-3EF96AB4A0F4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J55" authorId="1" shapeId="0" xr:uid="{B186323B-2B85-4476-A71A-3C6CA5318799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K55" authorId="1" shapeId="0" xr:uid="{FCDE189D-A0F7-4530-96C4-A586FF4F4EA4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Q55" authorId="1" shapeId="0" xr:uid="{8B852093-69E4-43CB-8003-2BD7E870C903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Z55" authorId="1" shapeId="0" xr:uid="{5FDCB9AC-7604-4775-8EAB-629D24D9CC48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TA55" authorId="1" shapeId="0" xr:uid="{D07C8C09-A0F6-4760-8E14-6B0BAE6C7679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TN55" authorId="1" shapeId="0" xr:uid="{50F596B1-6353-4FD9-9B0D-FE970688A340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DR56" authorId="0" shapeId="0" xr:uid="{C934A28D-1F90-4D60-88FD-A14BBDEBE6C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57" authorId="0" shapeId="0" xr:uid="{4313A810-E2C4-47B5-B07E-67CC7F3179BB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8" authorId="1" shapeId="0" xr:uid="{E53DE065-364E-4F8A-A922-A13D709959D4}">
      <text>
        <r>
          <rPr>
            <sz val="28"/>
            <color indexed="81"/>
            <rFont val="Tahoma"/>
            <family val="2"/>
          </rPr>
          <t xml:space="preserve">T4 </t>
        </r>
        <r>
          <rPr>
            <sz val="28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58" authorId="0" shapeId="0" xr:uid="{1DF55317-7512-49BC-BBCE-68D8EF6F70EF}">
      <text>
        <r>
          <rPr>
            <sz val="22"/>
            <color indexed="81"/>
            <rFont val="Tahoma"/>
            <family val="2"/>
          </rPr>
          <t xml:space="preserve">t4 </t>
        </r>
        <r>
          <rPr>
            <sz val="22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58" authorId="0" shapeId="0" xr:uid="{CC2CA9DC-E683-4BED-BE68-9798501A9C00}">
      <text>
        <r>
          <rPr>
            <b/>
            <sz val="30"/>
            <color indexed="81"/>
            <rFont val="微軟正黑體"/>
            <family val="2"/>
            <charset val="136"/>
          </rPr>
          <t>SCIL*150
優利特*180 噴碼設定(廠碼:0 區碼:5)F/W AES 27 ；噴碼前給DQE 確認
鋁袋LOT 不一樣EM
其餘Skyla
T4 DB水 7/16 周二 下班前交水；7/17 夜班做DB 7/18 日班裝卡匣。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58" authorId="0" shapeId="0" xr:uid="{506CDFE4-2381-41DC-884D-41196A97E0B6}">
      <text>
        <r>
          <rPr>
            <sz val="22"/>
            <color indexed="81"/>
            <rFont val="Tahoma"/>
            <family val="2"/>
          </rPr>
          <t xml:space="preserve">t4 </t>
        </r>
        <r>
          <rPr>
            <sz val="22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58" authorId="1" shapeId="0" xr:uid="{BD593C1E-7449-4940-A0D5-2FB5698B72FF}">
      <text>
        <r>
          <rPr>
            <sz val="24"/>
            <color indexed="81"/>
            <rFont val="Tahoma"/>
            <family val="2"/>
          </rPr>
          <t xml:space="preserve">T4 </t>
        </r>
        <r>
          <rPr>
            <sz val="24"/>
            <color indexed="81"/>
            <rFont val="細明體"/>
            <family val="3"/>
            <charset val="136"/>
          </rPr>
          <t>包裝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BT58" authorId="0" shapeId="0" xr:uid="{FE7B8767-213D-4C9D-98E7-6243EE50817C}">
      <text>
        <r>
          <rPr>
            <sz val="22"/>
            <color indexed="81"/>
            <rFont val="Tahoma"/>
            <family val="2"/>
          </rPr>
          <t xml:space="preserve">t4 </t>
        </r>
        <r>
          <rPr>
            <sz val="22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58" authorId="1" shapeId="0" xr:uid="{BC3FBEEB-006A-42A3-A8FA-129027999DE7}">
      <text>
        <r>
          <rPr>
            <b/>
            <sz val="20"/>
            <color indexed="81"/>
            <rFont val="Tahoma"/>
            <family val="2"/>
          </rPr>
          <t xml:space="preserve">SCIL *100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F58" authorId="1" shapeId="0" xr:uid="{DE5B06F4-09FD-44BC-B0C9-610E53FA90E3}">
      <text>
        <r>
          <rPr>
            <b/>
            <sz val="20"/>
            <color indexed="81"/>
            <rFont val="細明體"/>
            <family val="3"/>
            <charset val="136"/>
          </rPr>
          <t>上海簡中</t>
        </r>
        <r>
          <rPr>
            <b/>
            <sz val="20"/>
            <color indexed="81"/>
            <rFont val="Tahoma"/>
            <family val="2"/>
          </rPr>
          <t xml:space="preserve"> *60  
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V58" authorId="1" shapeId="0" xr:uid="{7B9B8110-7C11-4B3C-B2CD-64B85FFEB22F}">
      <text>
        <r>
          <rPr>
            <b/>
            <sz val="24"/>
            <color indexed="81"/>
            <rFont val="細明體"/>
            <family val="3"/>
            <charset val="136"/>
          </rPr>
          <t>白環特材。不可出</t>
        </r>
        <r>
          <rPr>
            <b/>
            <sz val="24"/>
            <color indexed="81"/>
            <rFont val="Tahoma"/>
            <family val="2"/>
          </rPr>
          <t>Scil</t>
        </r>
      </text>
    </comment>
    <comment ref="CZ58" authorId="1" shapeId="0" xr:uid="{F8369389-9A69-4F0C-9295-63948658FABE}">
      <text>
        <r>
          <rPr>
            <b/>
            <sz val="20"/>
            <color indexed="81"/>
            <rFont val="Tahoma"/>
            <family val="2"/>
          </rPr>
          <t xml:space="preserve">T4 </t>
        </r>
        <r>
          <rPr>
            <b/>
            <sz val="20"/>
            <color indexed="81"/>
            <rFont val="細明體"/>
            <family val="3"/>
            <charset val="136"/>
          </rPr>
          <t>包裝</t>
        </r>
      </text>
    </comment>
    <comment ref="DM58" authorId="1" shapeId="0" xr:uid="{F5363CF3-0179-4278-AF49-C7441BCA4F83}">
      <text>
        <r>
          <rPr>
            <b/>
            <sz val="20"/>
            <color indexed="81"/>
            <rFont val="Tahoma"/>
            <family val="2"/>
          </rPr>
          <t xml:space="preserve">SCIL*60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DQ58" authorId="1" shapeId="0" xr:uid="{908AA378-2456-4223-97E7-060567A5E8FF}">
      <text>
        <r>
          <rPr>
            <b/>
            <sz val="20"/>
            <color indexed="81"/>
            <rFont val="Tahoma"/>
            <family val="2"/>
          </rPr>
          <t xml:space="preserve">T4 </t>
        </r>
        <r>
          <rPr>
            <b/>
            <sz val="20"/>
            <color indexed="81"/>
            <rFont val="細明體"/>
            <family val="3"/>
            <charset val="136"/>
          </rPr>
          <t>包裝</t>
        </r>
      </text>
    </comment>
    <comment ref="FF58" authorId="1" shapeId="0" xr:uid="{2A34015C-A215-4216-BB13-5D99F4ECCC9E}">
      <text>
        <r>
          <rPr>
            <b/>
            <sz val="18"/>
            <color indexed="81"/>
            <rFont val="Tahoma"/>
            <family val="2"/>
          </rPr>
          <t xml:space="preserve">T4 </t>
        </r>
        <r>
          <rPr>
            <b/>
            <sz val="18"/>
            <color indexed="81"/>
            <rFont val="細明體"/>
            <family val="3"/>
            <charset val="136"/>
          </rPr>
          <t>包裝</t>
        </r>
      </text>
    </comment>
    <comment ref="GI58" authorId="1" shapeId="0" xr:uid="{EFB52B95-C597-4D7A-B770-1764F8BAF6A0}">
      <text>
        <r>
          <rPr>
            <b/>
            <sz val="20"/>
            <color indexed="81"/>
            <rFont val="Tahoma"/>
            <family val="2"/>
          </rPr>
          <t xml:space="preserve">CZP*120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
EN:LM3370 
1.</t>
        </r>
        <r>
          <rPr>
            <b/>
            <sz val="20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0"/>
            <color indexed="81"/>
            <rFont val="Tahoma"/>
            <family val="2"/>
          </rPr>
          <t xml:space="preserve"> 
2. </t>
        </r>
        <r>
          <rPr>
            <b/>
            <sz val="20"/>
            <color indexed="81"/>
            <rFont val="細明體"/>
            <family val="3"/>
            <charset val="136"/>
          </rPr>
          <t>安排生產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不進行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0"/>
            <color indexed="81"/>
            <rFont val="Tahoma"/>
            <family val="2"/>
          </rPr>
          <t>DB</t>
        </r>
        <r>
          <rPr>
            <b/>
            <sz val="20"/>
            <color indexed="81"/>
            <rFont val="細明體"/>
            <family val="3"/>
            <charset val="136"/>
          </rPr>
          <t>組裝完成，</t>
        </r>
        <r>
          <rPr>
            <b/>
            <sz val="20"/>
            <color indexed="81"/>
            <rFont val="Tahoma"/>
            <family val="2"/>
          </rPr>
          <t xml:space="preserve">*20 PCS
3. </t>
        </r>
        <r>
          <rPr>
            <b/>
            <sz val="20"/>
            <color indexed="81"/>
            <rFont val="細明體"/>
            <family val="3"/>
            <charset val="136"/>
          </rPr>
          <t>依當日生產之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0"/>
            <color indexed="81"/>
            <rFont val="Tahoma"/>
            <family val="2"/>
          </rPr>
          <t xml:space="preserve">4. </t>
        </r>
        <r>
          <rPr>
            <b/>
            <sz val="20"/>
            <color indexed="81"/>
            <rFont val="細明體"/>
            <family val="3"/>
            <charset val="136"/>
          </rPr>
          <t>同</t>
        </r>
        <r>
          <rPr>
            <b/>
            <sz val="20"/>
            <color indexed="81"/>
            <rFont val="Tahoma"/>
            <family val="2"/>
          </rPr>
          <t>QC</t>
        </r>
        <r>
          <rPr>
            <b/>
            <sz val="20"/>
            <color indexed="81"/>
            <rFont val="細明體"/>
            <family val="3"/>
            <charset val="136"/>
          </rPr>
          <t>首件之卡匣一同送驗。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GM58" authorId="1" shapeId="0" xr:uid="{ADBF13DC-D119-414E-99F2-0B0E5D4BE40E}">
      <text>
        <r>
          <rPr>
            <b/>
            <sz val="24"/>
            <color indexed="81"/>
            <rFont val="細明體"/>
            <family val="3"/>
            <charset val="136"/>
          </rPr>
          <t xml:space="preserve">T4 包裝
</t>
        </r>
      </text>
    </comment>
    <comment ref="GY58" authorId="1" shapeId="0" xr:uid="{31946328-1645-4E70-8123-366D00F5E557}">
      <text>
        <r>
          <rPr>
            <b/>
            <sz val="24"/>
            <color indexed="81"/>
            <rFont val="細明體"/>
            <family val="3"/>
            <charset val="136"/>
          </rPr>
          <t>SCIL*90 其餘SKYLA</t>
        </r>
      </text>
    </comment>
    <comment ref="HC58" authorId="1" shapeId="0" xr:uid="{23505DA4-636A-47BA-9FC3-22B5EE78AA9F}">
      <text>
        <r>
          <rPr>
            <b/>
            <sz val="24"/>
            <color indexed="81"/>
            <rFont val="細明體"/>
            <family val="3"/>
            <charset val="136"/>
          </rPr>
          <t xml:space="preserve">T4 包裝
</t>
        </r>
      </text>
    </comment>
    <comment ref="HX58" authorId="1" shapeId="0" xr:uid="{0458A911-93C5-4BAC-9D32-67808EB5DB3D}">
      <text>
        <r>
          <rPr>
            <b/>
            <sz val="24"/>
            <color indexed="81"/>
            <rFont val="新細明體"/>
            <family val="1"/>
            <charset val="136"/>
          </rPr>
          <t>SCIL*160 其餘SKYLA</t>
        </r>
      </text>
    </comment>
    <comment ref="JE58" authorId="1" shapeId="0" xr:uid="{A6ACDD32-5007-4B16-AD1B-BE4CAC0201E5}">
      <text>
        <r>
          <rPr>
            <b/>
            <sz val="24"/>
            <color indexed="81"/>
            <rFont val="Tahoma"/>
            <family val="2"/>
          </rPr>
          <t xml:space="preserve">SCIL*100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KT58" authorId="1" shapeId="0" xr:uid="{7DA59E2F-A2E1-4488-AA04-DCC3EC316357}">
      <text>
        <r>
          <rPr>
            <b/>
            <sz val="30"/>
            <color indexed="81"/>
            <rFont val="Tahoma"/>
            <family val="2"/>
          </rPr>
          <t xml:space="preserve">EN :LM3498
</t>
        </r>
        <r>
          <rPr>
            <b/>
            <sz val="30"/>
            <color indexed="81"/>
            <rFont val="細明體"/>
            <family val="3"/>
            <charset val="136"/>
          </rPr>
          <t>生產時取</t>
        </r>
        <r>
          <rPr>
            <b/>
            <sz val="30"/>
            <color indexed="81"/>
            <rFont val="Tahoma"/>
            <family val="2"/>
          </rPr>
          <t>20</t>
        </r>
        <r>
          <rPr>
            <b/>
            <sz val="30"/>
            <color indexed="81"/>
            <rFont val="細明體"/>
            <family val="3"/>
            <charset val="136"/>
          </rPr>
          <t>片無光清洗卡匣與首件卡匣一起交給</t>
        </r>
        <r>
          <rPr>
            <b/>
            <sz val="30"/>
            <color indexed="81"/>
            <rFont val="Tahoma"/>
            <family val="2"/>
          </rPr>
          <t>QC</t>
        </r>
        <r>
          <rPr>
            <b/>
            <sz val="30"/>
            <color indexed="81"/>
            <rFont val="細明體"/>
            <family val="3"/>
            <charset val="136"/>
          </rPr>
          <t>。</t>
        </r>
      </text>
    </comment>
    <comment ref="MW58" authorId="1" shapeId="0" xr:uid="{8A38C991-EDB9-494D-890F-2A8E4FA3F6FB}">
      <text>
        <r>
          <rPr>
            <b/>
            <sz val="22"/>
            <color indexed="81"/>
            <rFont val="細明體"/>
            <family val="3"/>
            <charset val="136"/>
          </rPr>
          <t>優先包裝</t>
        </r>
      </text>
    </comment>
    <comment ref="DR59" authorId="0" shapeId="0" xr:uid="{EF1DFD97-9DE0-4327-9657-0833C508DD3F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0" authorId="0" shapeId="0" xr:uid="{073385C9-523E-431C-8C9E-CE6E0C6779D6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1" authorId="0" shapeId="0" xr:uid="{72CF0743-3CF6-4392-A29C-A8032823BD2E}">
      <text>
        <r>
          <rPr>
            <b/>
            <sz val="26"/>
            <color indexed="81"/>
            <rFont val="Tahoma"/>
            <family val="2"/>
          </rPr>
          <t xml:space="preserve">SCIL*500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61" authorId="0" shapeId="0" xr:uid="{7310BF10-338B-48DE-8093-2484BFC7BC1D}">
      <text>
        <r>
          <rPr>
            <b/>
            <sz val="26"/>
            <color indexed="81"/>
            <rFont val="Tahoma"/>
            <family val="2"/>
          </rPr>
          <t xml:space="preserve">SCIL*500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61" authorId="0" shapeId="0" xr:uid="{CE5D7362-9272-427F-80B6-64D01F17A05B}">
      <text>
        <r>
          <rPr>
            <b/>
            <sz val="20"/>
            <color indexed="81"/>
            <rFont val="Tahoma"/>
            <family val="2"/>
          </rPr>
          <t>Scil * 500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BL61" authorId="0" shapeId="0" xr:uid="{1E13D1C3-2361-4D42-A2E6-EE5AACFC74DC}">
      <text>
        <r>
          <rPr>
            <b/>
            <sz val="24"/>
            <color indexed="81"/>
            <rFont val="細明體"/>
            <family val="3"/>
            <charset val="136"/>
          </rPr>
          <t>第一批</t>
        </r>
      </text>
    </comment>
    <comment ref="CE61" authorId="0" shapeId="0" xr:uid="{9EBA5970-4AD9-40BD-859A-62FDFC0D8B7E}">
      <text>
        <r>
          <rPr>
            <b/>
            <sz val="26"/>
            <color indexed="81"/>
            <rFont val="Tahoma"/>
            <family val="2"/>
          </rPr>
          <t xml:space="preserve">SCIL*300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I61" authorId="1" shapeId="0" xr:uid="{576218D5-DC48-498E-B6B0-E977C860925D}">
      <text>
        <r>
          <rPr>
            <b/>
            <sz val="20"/>
            <color indexed="81"/>
            <rFont val="Tahoma"/>
            <family val="2"/>
          </rPr>
          <t xml:space="preserve">SCIL *250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Y61" authorId="1" shapeId="0" xr:uid="{A9F2B8C8-3D19-4921-BB1A-E6F02DF20B21}">
      <text>
        <r>
          <rPr>
            <b/>
            <sz val="20"/>
            <color indexed="81"/>
            <rFont val="Tahoma"/>
            <family val="2"/>
          </rPr>
          <t xml:space="preserve">SCIL *200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FN61" authorId="1" shapeId="0" xr:uid="{A6A45ED3-39CF-4B9E-A758-870EF44DE686}">
      <text>
        <r>
          <rPr>
            <b/>
            <sz val="24"/>
            <color indexed="81"/>
            <rFont val="Tahoma"/>
            <family val="2"/>
          </rPr>
          <t xml:space="preserve">SCIL*300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HC61" authorId="1" shapeId="0" xr:uid="{F8B5BDF0-3FB0-4BBA-B2A7-D49656D10521}">
      <text>
        <r>
          <rPr>
            <b/>
            <sz val="24"/>
            <color indexed="81"/>
            <rFont val="Tahoma"/>
            <family val="2"/>
          </rPr>
          <t xml:space="preserve">SCIL*390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IL61" authorId="1" shapeId="0" xr:uid="{5F7121D4-C76E-4D8B-877A-E72FCBCFEE71}">
      <text>
        <r>
          <rPr>
            <b/>
            <sz val="24"/>
            <color indexed="81"/>
            <rFont val="Tahoma"/>
            <family val="2"/>
          </rPr>
          <t xml:space="preserve">SCIL*350 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DR62" authorId="0" shapeId="0" xr:uid="{BCE4EA68-B9A7-4B36-A1F1-4240484DD7C1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3" authorId="0" shapeId="0" xr:uid="{AD24BCD5-15C7-4B6F-81B1-226614824CDD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64" authorId="0" shapeId="0" xr:uid="{01A61C6C-9D80-4E98-BFAC-0149FB5E8257}">
      <text>
        <r>
          <rPr>
            <b/>
            <sz val="26"/>
            <color indexed="81"/>
            <rFont val="Tahoma"/>
            <family val="2"/>
          </rPr>
          <t xml:space="preserve">SCIL*80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64" authorId="1" shapeId="0" xr:uid="{3F9C79B1-E3FA-46F0-B256-CB6302C2D6A2}">
      <text>
        <r>
          <rPr>
            <b/>
            <sz val="20"/>
            <color indexed="81"/>
            <rFont val="Tahoma"/>
            <family val="2"/>
          </rPr>
          <t xml:space="preserve">SCIL *50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BU64" authorId="0" shapeId="0" xr:uid="{A29AB8F5-9285-41EC-B332-3441406B7FC9}">
      <text>
        <r>
          <rPr>
            <b/>
            <sz val="24"/>
            <color indexed="81"/>
            <rFont val="Tahoma"/>
            <family val="2"/>
          </rPr>
          <t xml:space="preserve">scil *30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CV64" authorId="1" shapeId="0" xr:uid="{17DDDE1B-8325-4D46-A418-1EA943BEB898}">
      <text>
        <r>
          <rPr>
            <b/>
            <sz val="20"/>
            <color indexed="81"/>
            <rFont val="Tahoma"/>
            <family val="2"/>
          </rPr>
          <t xml:space="preserve">SCIL*180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S64" authorId="1" shapeId="0" xr:uid="{ED8F3E9A-8C97-4418-8F2F-F1299D91BD2D}">
      <text>
        <r>
          <rPr>
            <b/>
            <sz val="20"/>
            <color indexed="81"/>
            <rFont val="Tahoma"/>
            <family val="2"/>
          </rPr>
          <t xml:space="preserve">SCIL *270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GM64" authorId="1" shapeId="0" xr:uid="{6384F228-1603-4A62-AE45-39A8A6E496DA}">
      <text>
        <r>
          <rPr>
            <b/>
            <sz val="20"/>
            <color indexed="81"/>
            <rFont val="Tahoma"/>
            <family val="2"/>
          </rPr>
          <t xml:space="preserve">SCIL *290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LY64" authorId="1" shapeId="0" xr:uid="{A0C9D1B3-00B4-4D40-843D-519898D42032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*50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DR65" authorId="0" shapeId="0" xr:uid="{756965F6-C1E0-4733-AC84-5AAF37F9898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6" authorId="0" shapeId="0" xr:uid="{50C834D2-B4E4-4F9A-A246-5F582D545033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7" authorId="0" shapeId="0" xr:uid="{79545731-FD46-48AE-9401-BA77E4D8C65E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SCIL*1000
優利特*90 噴碼設定(廠碼:0 區碼:5)F/W AES 27 ；噴碼前給DQE 確認
鋁袋LOT 不一樣EM
其餘Skyla
</t>
        </r>
      </text>
    </comment>
    <comment ref="AN67" authorId="1" shapeId="0" xr:uid="{2CBCCFDF-42C0-4E00-A720-E420C1A80331}">
      <text>
        <r>
          <rPr>
            <b/>
            <sz val="20"/>
            <color indexed="81"/>
            <rFont val="Tahoma"/>
            <family val="2"/>
          </rPr>
          <t xml:space="preserve">ALT &amp; AST </t>
        </r>
        <r>
          <rPr>
            <b/>
            <sz val="20"/>
            <color indexed="81"/>
            <rFont val="新細明體"/>
            <family val="2"/>
            <charset val="136"/>
          </rPr>
          <t>使用舊料，生產日</t>
        </r>
        <r>
          <rPr>
            <b/>
            <sz val="20"/>
            <color indexed="81"/>
            <rFont val="Tahoma"/>
            <family val="2"/>
          </rPr>
          <t>1/31</t>
        </r>
        <r>
          <rPr>
            <b/>
            <sz val="20"/>
            <color indexed="81"/>
            <rFont val="新細明體"/>
            <family val="2"/>
            <charset val="136"/>
          </rPr>
          <t>，生產挑線要注意。要先確認使用</t>
        </r>
        <r>
          <rPr>
            <b/>
            <sz val="20"/>
            <color indexed="81"/>
            <rFont val="Tahoma"/>
            <family val="2"/>
          </rPr>
          <t>BEADS</t>
        </r>
      </text>
    </comment>
    <comment ref="CD67" authorId="1" shapeId="0" xr:uid="{7CE09CA3-6FCD-4839-AF25-FC7DD6B963EF}">
      <text>
        <r>
          <rPr>
            <b/>
            <sz val="20"/>
            <color indexed="81"/>
            <rFont val="Tahoma"/>
            <family val="2"/>
          </rPr>
          <t xml:space="preserve">SCIL *550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E67" authorId="0" shapeId="0" xr:uid="{A7477177-968F-4921-A140-5E1A75D10D18}">
      <text>
        <r>
          <rPr>
            <b/>
            <sz val="26"/>
            <color indexed="81"/>
            <rFont val="Tahoma"/>
            <family val="2"/>
          </rPr>
          <t xml:space="preserve">SCIL*1000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T67" authorId="1" shapeId="0" xr:uid="{79AF00E6-111B-4CC5-A20C-4B7A535556BC}">
      <text>
        <r>
          <rPr>
            <b/>
            <sz val="20"/>
            <color indexed="81"/>
            <rFont val="Tahoma"/>
            <family val="2"/>
          </rPr>
          <t xml:space="preserve">SCIL *500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L67" authorId="1" shapeId="0" xr:uid="{11EB46B6-8CE4-4F12-9D1A-E0B7A554A8C6}">
      <text>
        <r>
          <rPr>
            <b/>
            <sz val="20"/>
            <color indexed="81"/>
            <rFont val="Tahoma"/>
            <family val="2"/>
          </rPr>
          <t xml:space="preserve">SCIL *400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Y67" authorId="1" shapeId="0" xr:uid="{FCD9BCF6-D24E-4B5A-B710-AB14887DD516}">
      <text>
        <r>
          <rPr>
            <b/>
            <sz val="20"/>
            <color indexed="81"/>
            <rFont val="Tahoma"/>
            <family val="2"/>
          </rPr>
          <t xml:space="preserve">SCIL *760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GM67" authorId="1" shapeId="0" xr:uid="{3DB4D3D9-0B18-4463-BC6C-EC9DB11F0A90}">
      <text>
        <r>
          <rPr>
            <b/>
            <sz val="28"/>
            <color indexed="81"/>
            <rFont val="細明體"/>
            <family val="3"/>
            <charset val="136"/>
          </rPr>
          <t>SCIL*300
其餘SKYLA</t>
        </r>
      </text>
    </comment>
    <comment ref="HF67" authorId="1" shapeId="0" xr:uid="{BB6AE30C-448A-4D2F-A203-358B01FE448B}">
      <text>
        <r>
          <rPr>
            <b/>
            <sz val="28"/>
            <color indexed="81"/>
            <rFont val="細明體"/>
            <family val="3"/>
            <charset val="136"/>
          </rPr>
          <t>SCIL*300
其餘SKYLA</t>
        </r>
      </text>
    </comment>
    <comment ref="IL67" authorId="1" shapeId="0" xr:uid="{0A1A50E6-EB73-42C1-A735-1FFA6B3C42A0}">
      <text>
        <r>
          <rPr>
            <b/>
            <sz val="28"/>
            <color indexed="81"/>
            <rFont val="細明體"/>
            <family val="3"/>
            <charset val="136"/>
          </rPr>
          <t>SCIL*750
其餘SKYLA</t>
        </r>
      </text>
    </comment>
    <comment ref="DR68" authorId="0" shapeId="0" xr:uid="{01E473D8-4642-486A-A223-C69A85ED64BF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9" authorId="0" shapeId="0" xr:uid="{F65738EA-761F-48D6-B412-1B5405C4A244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70" authorId="1" shapeId="0" xr:uid="{2B150EDE-36D2-4019-A6FD-2447C40E40A2}">
      <text>
        <r>
          <rPr>
            <b/>
            <sz val="20"/>
            <color indexed="81"/>
            <rFont val="Tahoma"/>
            <family val="2"/>
          </rPr>
          <t xml:space="preserve">SCIL *100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AM70" authorId="0" shapeId="0" xr:uid="{94ABF4E4-CFF0-40B3-A0BB-A77EA1653B34}">
      <text>
        <r>
          <rPr>
            <b/>
            <sz val="30"/>
            <color indexed="81"/>
            <rFont val="微軟正黑體"/>
            <family val="2"/>
            <charset val="136"/>
          </rPr>
          <t>優利特*90 噴碼設定(廠碼:0 區碼:5)F/W AES 27 ；噴碼前給DQE 確認
鋁袋LOT 不一樣EM
其餘SKYLA</t>
        </r>
      </text>
    </comment>
    <comment ref="AU70" authorId="1" shapeId="0" xr:uid="{62F32ED5-C566-4192-9B23-5C6AA9B4AF0B}">
      <text>
        <r>
          <rPr>
            <b/>
            <sz val="18"/>
            <color indexed="81"/>
            <rFont val="Tahoma"/>
            <family val="2"/>
          </rPr>
          <t>SCIL*200</t>
        </r>
        <r>
          <rPr>
            <b/>
            <sz val="18"/>
            <color indexed="81"/>
            <rFont val="細明體"/>
            <family val="3"/>
            <charset val="136"/>
          </rPr>
          <t>；其餘</t>
        </r>
        <r>
          <rPr>
            <b/>
            <sz val="18"/>
            <color indexed="81"/>
            <rFont val="Tahoma"/>
            <family val="2"/>
          </rPr>
          <t xml:space="preserve">SKYLA
</t>
        </r>
      </text>
    </comment>
    <comment ref="CT70" authorId="1" shapeId="0" xr:uid="{216A7C6E-42C0-49FD-9117-462810E9C701}">
      <text>
        <r>
          <rPr>
            <b/>
            <sz val="20"/>
            <color indexed="81"/>
            <rFont val="Tahoma"/>
            <family val="2"/>
          </rPr>
          <t xml:space="preserve">SCIL*120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FY70" authorId="1" shapeId="0" xr:uid="{C5A71664-B22E-45A0-BECF-05AE0841A4D7}">
      <text>
        <r>
          <rPr>
            <b/>
            <sz val="24"/>
            <color indexed="81"/>
            <rFont val="Tahoma"/>
            <family val="2"/>
          </rPr>
          <t xml:space="preserve">SCIL*200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
EN:LM3370 
1.</t>
        </r>
        <r>
          <rPr>
            <b/>
            <sz val="24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4"/>
            <color indexed="81"/>
            <rFont val="Tahoma"/>
            <family val="2"/>
          </rPr>
          <t xml:space="preserve"> 
2. </t>
        </r>
        <r>
          <rPr>
            <b/>
            <sz val="24"/>
            <color indexed="81"/>
            <rFont val="細明體"/>
            <family val="3"/>
            <charset val="136"/>
          </rPr>
          <t>安排生產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不進行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4"/>
            <color indexed="81"/>
            <rFont val="Tahoma"/>
            <family val="2"/>
          </rPr>
          <t>DB</t>
        </r>
        <r>
          <rPr>
            <b/>
            <sz val="24"/>
            <color indexed="81"/>
            <rFont val="細明體"/>
            <family val="3"/>
            <charset val="136"/>
          </rPr>
          <t>組裝完成，</t>
        </r>
        <r>
          <rPr>
            <b/>
            <sz val="24"/>
            <color indexed="81"/>
            <rFont val="Tahoma"/>
            <family val="2"/>
          </rPr>
          <t xml:space="preserve">*20 PCS
3. </t>
        </r>
        <r>
          <rPr>
            <b/>
            <sz val="24"/>
            <color indexed="81"/>
            <rFont val="細明體"/>
            <family val="3"/>
            <charset val="136"/>
          </rPr>
          <t>依當日生產之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4"/>
            <color indexed="81"/>
            <rFont val="Tahoma"/>
            <family val="2"/>
          </rPr>
          <t xml:space="preserve">4. </t>
        </r>
        <r>
          <rPr>
            <b/>
            <sz val="24"/>
            <color indexed="81"/>
            <rFont val="細明體"/>
            <family val="3"/>
            <charset val="136"/>
          </rPr>
          <t>同</t>
        </r>
        <r>
          <rPr>
            <b/>
            <sz val="24"/>
            <color indexed="81"/>
            <rFont val="Tahoma"/>
            <family val="2"/>
          </rPr>
          <t>QC</t>
        </r>
        <r>
          <rPr>
            <b/>
            <sz val="24"/>
            <color indexed="81"/>
            <rFont val="細明體"/>
            <family val="3"/>
            <charset val="136"/>
          </rPr>
          <t>首件之卡匣一同送驗。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HC70" authorId="1" shapeId="0" xr:uid="{E73E6AE9-8495-4CD4-90D5-F40B6784F3E2}">
      <text>
        <r>
          <rPr>
            <b/>
            <sz val="24"/>
            <color indexed="81"/>
            <rFont val="Tahoma"/>
            <family val="2"/>
          </rPr>
          <t xml:space="preserve">SCIL*100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</text>
    </comment>
    <comment ref="IM70" authorId="1" shapeId="0" xr:uid="{54B0604E-A303-4DB5-8EE2-4BEEA1B3AB44}">
      <text>
        <r>
          <rPr>
            <b/>
            <sz val="24"/>
            <color indexed="81"/>
            <rFont val="Tahoma"/>
            <family val="2"/>
          </rPr>
          <t xml:space="preserve">SCIL*110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</text>
    </comment>
    <comment ref="LY70" authorId="1" shapeId="0" xr:uid="{138E52C3-58ED-4D98-8196-E0422AD6210C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*50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DR71" authorId="0" shapeId="0" xr:uid="{2FA4BA1A-7962-4504-961F-F732D287C4B2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72" authorId="0" shapeId="0" xr:uid="{949ED2F8-EDC3-4884-9A4A-6C368CB2BF43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3" authorId="0" shapeId="0" xr:uid="{B2D267AF-D201-4288-AF26-DFE547DBE60E}">
      <text>
        <r>
          <rPr>
            <b/>
            <sz val="20"/>
            <color indexed="81"/>
            <rFont val="細明體"/>
            <family val="3"/>
            <charset val="136"/>
          </rPr>
          <t>優利特</t>
        </r>
        <r>
          <rPr>
            <b/>
            <sz val="20"/>
            <color indexed="81"/>
            <rFont val="Tahoma"/>
            <family val="2"/>
          </rPr>
          <t xml:space="preserve">*40 
</t>
        </r>
        <r>
          <rPr>
            <b/>
            <sz val="20"/>
            <color indexed="81"/>
            <rFont val="細明體"/>
            <family val="3"/>
            <charset val="136"/>
          </rPr>
          <t>優利特</t>
        </r>
        <r>
          <rPr>
            <b/>
            <sz val="20"/>
            <color indexed="81"/>
            <rFont val="Tahoma"/>
            <family val="2"/>
          </rPr>
          <t xml:space="preserve">LOT </t>
        </r>
        <r>
          <rPr>
            <b/>
            <sz val="20"/>
            <color indexed="81"/>
            <rFont val="細明體"/>
            <family val="3"/>
            <charset val="136"/>
          </rPr>
          <t>不同。
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H73" authorId="0" shapeId="0" xr:uid="{4E144AB4-8E2D-4FC6-AECA-6004EFDC31F1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SCIL*500
優利特*90 噴碼設定(廠碼:0 區碼:5)F/W AES 27 ；噴碼前給DQE 確認
鋁袋LOT 不一樣EM
其餘SKYLA </t>
        </r>
      </text>
    </comment>
    <comment ref="AM73" authorId="0" shapeId="0" xr:uid="{14F28D87-42AB-4530-B004-99FB9129CEA1}">
      <text>
        <r>
          <rPr>
            <b/>
            <sz val="20"/>
            <color indexed="81"/>
            <rFont val="Tahoma"/>
            <family val="2"/>
          </rPr>
          <t xml:space="preserve">Scil *700 
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CJ73" authorId="1" shapeId="0" xr:uid="{E90C54C2-668C-46C3-95EA-BC75D5A59172}">
      <text>
        <r>
          <rPr>
            <b/>
            <sz val="20"/>
            <color indexed="81"/>
            <rFont val="Tahoma"/>
            <family val="2"/>
          </rPr>
          <t xml:space="preserve">SCIL *200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U73" authorId="1" shapeId="0" xr:uid="{0732CC96-935B-4788-A0AE-5CFA19B0E84A}">
      <text>
        <r>
          <rPr>
            <b/>
            <sz val="20"/>
            <color indexed="81"/>
            <rFont val="Tahoma"/>
            <family val="2"/>
          </rPr>
          <t xml:space="preserve">SCIL*850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FQ73" authorId="1" shapeId="0" xr:uid="{A8AEE28F-07BA-4D93-A260-7EC4BAB2E8DC}">
      <text>
        <r>
          <rPr>
            <b/>
            <sz val="20"/>
            <color indexed="81"/>
            <rFont val="Tahoma"/>
            <family val="2"/>
          </rPr>
          <t xml:space="preserve">SCIL*500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GG73" authorId="1" shapeId="0" xr:uid="{5BEC7C93-35BF-43F4-9D20-A407488486A7}">
      <text>
        <r>
          <rPr>
            <b/>
            <sz val="28"/>
            <color indexed="81"/>
            <rFont val="細明體"/>
            <family val="3"/>
            <charset val="136"/>
          </rPr>
          <t>SCIL*500
CZP*240 其餘SKYLA</t>
        </r>
      </text>
    </comment>
    <comment ref="ID73" authorId="1" shapeId="0" xr:uid="{B48D495F-0FC5-46E5-BE99-A201ED0184F7}">
      <text>
        <r>
          <rPr>
            <b/>
            <sz val="22"/>
            <color indexed="81"/>
            <rFont val="Tahoma"/>
            <family val="2"/>
          </rPr>
          <t xml:space="preserve">SCIL*400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74" authorId="0" shapeId="0" xr:uid="{5DD9F2A7-A395-4018-91DE-636E6351B12E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75" authorId="0" shapeId="0" xr:uid="{4D0604E5-0424-4537-8D0E-83E233ED6A7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76" authorId="0" shapeId="0" xr:uid="{78302E4F-E945-4E26-BA37-779E257D358D}">
      <text>
        <r>
          <rPr>
            <b/>
            <sz val="20"/>
            <color indexed="81"/>
            <rFont val="Tahoma"/>
            <family val="2"/>
          </rPr>
          <t xml:space="preserve">Scil *580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Q76" authorId="0" shapeId="0" xr:uid="{9372B334-C9FE-42B4-A1A4-627C27E744BF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SCIL*800
優利特*180 噴碼設定(廠碼:0 區碼:5)F/W AES 27 ；噴碼前給DQE 確認
鋁袋LOT 不一樣EM
其餘SKYLA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  <r>
          <rPr>
            <b/>
            <sz val="28"/>
            <color indexed="81"/>
            <rFont val="Microsoft JhengHei Light"/>
            <family val="2"/>
            <charset val="136"/>
          </rPr>
          <t>備料，生產前，先確認7/25 菲律賓是否可延期。如不可延期改7/25 生產。</t>
        </r>
      </text>
    </comment>
    <comment ref="AV76" authorId="0" shapeId="0" xr:uid="{4EB0D6BE-22CA-4365-8607-CD381E0E2A73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SCIL*800；Scil 需要入滿800
其餘SKYLA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L76" authorId="0" shapeId="0" xr:uid="{3F5EFA3F-F582-4D3C-92FC-053783CFE158}">
      <text>
        <r>
          <rPr>
            <b/>
            <sz val="26"/>
            <color indexed="81"/>
            <rFont val="Tahoma"/>
            <family val="2"/>
          </rPr>
          <t xml:space="preserve">SCIL*900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第二批
</t>
        </r>
      </text>
    </comment>
    <comment ref="CU76" authorId="1" shapeId="0" xr:uid="{9D746BA5-CD17-4003-AE4B-AA13BEB06FD5}">
      <text>
        <r>
          <rPr>
            <b/>
            <sz val="20"/>
            <color indexed="81"/>
            <rFont val="Tahoma"/>
            <family val="2"/>
          </rPr>
          <t xml:space="preserve">SCIL *100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S76" authorId="1" shapeId="0" xr:uid="{E6D22C0D-61DA-43C1-8BDD-D779B1064EC3}">
      <text>
        <r>
          <rPr>
            <b/>
            <sz val="18"/>
            <color indexed="81"/>
            <rFont val="Tahoma"/>
            <family val="2"/>
          </rPr>
          <t xml:space="preserve">Scul *550 </t>
        </r>
        <r>
          <rPr>
            <b/>
            <sz val="18"/>
            <color indexed="81"/>
            <rFont val="細明體"/>
            <family val="3"/>
            <charset val="136"/>
          </rPr>
          <t>其餘</t>
        </r>
        <r>
          <rPr>
            <b/>
            <sz val="18"/>
            <color indexed="81"/>
            <rFont val="Tahoma"/>
            <family val="2"/>
          </rPr>
          <t>skyla</t>
        </r>
      </text>
    </comment>
    <comment ref="FH76" authorId="1" shapeId="0" xr:uid="{75BDA74C-4774-432D-B6EC-7165B80A1A57}">
      <text>
        <r>
          <rPr>
            <b/>
            <sz val="18"/>
            <color indexed="81"/>
            <rFont val="Tahoma"/>
            <family val="2"/>
          </rPr>
          <t xml:space="preserve">Scul *500 </t>
        </r>
        <r>
          <rPr>
            <b/>
            <sz val="18"/>
            <color indexed="81"/>
            <rFont val="細明體"/>
            <family val="3"/>
            <charset val="136"/>
          </rPr>
          <t>其餘</t>
        </r>
        <r>
          <rPr>
            <b/>
            <sz val="18"/>
            <color indexed="81"/>
            <rFont val="Tahoma"/>
            <family val="2"/>
          </rPr>
          <t>skyla</t>
        </r>
      </text>
    </comment>
    <comment ref="GF76" authorId="1" shapeId="0" xr:uid="{073784A7-C725-458D-892A-04589C8AD4B8}">
      <text>
        <r>
          <rPr>
            <b/>
            <sz val="22"/>
            <color indexed="81"/>
            <rFont val="Tahoma"/>
            <family val="2"/>
          </rPr>
          <t>EN:LM3370 
1.</t>
        </r>
        <r>
          <rPr>
            <b/>
            <sz val="22"/>
            <color indexed="81"/>
            <rFont val="新細明體"/>
            <family val="2"/>
            <charset val="136"/>
          </rPr>
          <t>移除光清洗製程確效</t>
        </r>
        <r>
          <rPr>
            <b/>
            <sz val="22"/>
            <color indexed="81"/>
            <rFont val="Tahoma"/>
            <family val="2"/>
          </rPr>
          <t xml:space="preserve"> 
2. </t>
        </r>
        <r>
          <rPr>
            <b/>
            <sz val="22"/>
            <color indexed="81"/>
            <rFont val="新細明體"/>
            <family val="2"/>
            <charset val="136"/>
          </rPr>
          <t>安排生產</t>
        </r>
        <r>
          <rPr>
            <b/>
            <sz val="22"/>
            <color indexed="81"/>
            <rFont val="Tahoma"/>
            <family val="2"/>
          </rPr>
          <t>"</t>
        </r>
        <r>
          <rPr>
            <b/>
            <sz val="22"/>
            <color indexed="81"/>
            <rFont val="新細明體"/>
            <family val="2"/>
            <charset val="136"/>
          </rPr>
          <t>不進行</t>
        </r>
        <r>
          <rPr>
            <b/>
            <sz val="22"/>
            <color indexed="81"/>
            <rFont val="Tahoma"/>
            <family val="2"/>
          </rPr>
          <t>"</t>
        </r>
        <r>
          <rPr>
            <b/>
            <sz val="22"/>
            <color indexed="81"/>
            <rFont val="新細明體"/>
            <family val="2"/>
            <charset val="136"/>
          </rPr>
          <t>光清洗製程之卡匣至</t>
        </r>
        <r>
          <rPr>
            <b/>
            <sz val="22"/>
            <color indexed="81"/>
            <rFont val="Tahoma"/>
            <family val="2"/>
          </rPr>
          <t>DB</t>
        </r>
        <r>
          <rPr>
            <b/>
            <sz val="22"/>
            <color indexed="81"/>
            <rFont val="新細明體"/>
            <family val="2"/>
            <charset val="136"/>
          </rPr>
          <t>組裝完成，</t>
        </r>
        <r>
          <rPr>
            <b/>
            <sz val="22"/>
            <color indexed="81"/>
            <rFont val="Tahoma"/>
            <family val="2"/>
          </rPr>
          <t xml:space="preserve">*20 PCS
3. </t>
        </r>
        <r>
          <rPr>
            <b/>
            <sz val="22"/>
            <color indexed="81"/>
            <rFont val="新細明體"/>
            <family val="2"/>
            <charset val="136"/>
          </rPr>
          <t>依當日生產之</t>
        </r>
        <r>
          <rPr>
            <b/>
            <sz val="22"/>
            <color indexed="81"/>
            <rFont val="Tahoma"/>
            <family val="2"/>
          </rPr>
          <t>panel</t>
        </r>
        <r>
          <rPr>
            <b/>
            <sz val="22"/>
            <color indexed="81"/>
            <rFont val="新細明體"/>
            <family val="2"/>
            <charset val="136"/>
          </rPr>
          <t>進行填盤，卡匣需與該</t>
        </r>
        <r>
          <rPr>
            <b/>
            <sz val="22"/>
            <color indexed="81"/>
            <rFont val="Tahoma"/>
            <family val="2"/>
          </rPr>
          <t>panel</t>
        </r>
        <r>
          <rPr>
            <b/>
            <sz val="22"/>
            <color indexed="81"/>
            <rFont val="新細明體"/>
            <family val="2"/>
            <charset val="136"/>
          </rPr>
          <t xml:space="preserve">使用之卡匣相同種類、相同批次。
</t>
        </r>
        <r>
          <rPr>
            <b/>
            <sz val="22"/>
            <color indexed="81"/>
            <rFont val="Tahoma"/>
            <family val="2"/>
          </rPr>
          <t xml:space="preserve">4. </t>
        </r>
        <r>
          <rPr>
            <b/>
            <sz val="22"/>
            <color indexed="81"/>
            <rFont val="新細明體"/>
            <family val="2"/>
            <charset val="136"/>
          </rPr>
          <t>同</t>
        </r>
        <r>
          <rPr>
            <b/>
            <sz val="22"/>
            <color indexed="81"/>
            <rFont val="Tahoma"/>
            <family val="2"/>
          </rPr>
          <t>QC</t>
        </r>
        <r>
          <rPr>
            <b/>
            <sz val="22"/>
            <color indexed="81"/>
            <rFont val="新細明體"/>
            <family val="2"/>
            <charset val="136"/>
          </rPr>
          <t xml:space="preserve">首件之卡匣一同送驗。
</t>
        </r>
      </text>
    </comment>
    <comment ref="GM76" authorId="1" shapeId="0" xr:uid="{14218869-6157-4279-A622-110D32FF6F7E}">
      <text>
        <r>
          <rPr>
            <b/>
            <sz val="28"/>
            <color indexed="81"/>
            <rFont val="細明體"/>
            <family val="3"/>
            <charset val="136"/>
          </rPr>
          <t>SCIL*500
其餘SKYLA</t>
        </r>
      </text>
    </comment>
    <comment ref="HC76" authorId="1" shapeId="0" xr:uid="{4D7743E7-C73D-49C4-B956-F82E55BF865C}">
      <text>
        <r>
          <rPr>
            <sz val="24"/>
            <color indexed="81"/>
            <rFont val="Tahoma"/>
            <family val="2"/>
          </rPr>
          <t>LM3402 Na-B-23Y</t>
        </r>
        <r>
          <rPr>
            <sz val="24"/>
            <color indexed="81"/>
            <rFont val="細明體"/>
            <family val="3"/>
            <charset val="136"/>
          </rPr>
          <t>隨線試填</t>
        </r>
        <r>
          <rPr>
            <sz val="24"/>
            <color indexed="81"/>
            <rFont val="Tahoma"/>
            <family val="2"/>
          </rPr>
          <t xml:space="preserve">critical </t>
        </r>
        <r>
          <rPr>
            <sz val="24"/>
            <color indexed="81"/>
            <rFont val="細明體"/>
            <family val="3"/>
            <charset val="136"/>
          </rPr>
          <t>盤</t>
        </r>
        <r>
          <rPr>
            <sz val="24"/>
            <color indexed="81"/>
            <rFont val="Tahoma"/>
            <family val="2"/>
          </rPr>
          <t xml:space="preserve"> *20</t>
        </r>
        <r>
          <rPr>
            <sz val="24"/>
            <color indexed="81"/>
            <rFont val="細明體"/>
            <family val="3"/>
            <charset val="136"/>
          </rPr>
          <t>，費用型工單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V76" authorId="1" shapeId="0" xr:uid="{11546B2D-CF0F-4C87-891A-26FF7C5E26E4}">
      <text>
        <r>
          <rPr>
            <b/>
            <sz val="22"/>
            <color indexed="81"/>
            <rFont val="Tahoma"/>
            <family val="2"/>
          </rPr>
          <t xml:space="preserve">SCIL*650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LY76" authorId="1" shapeId="0" xr:uid="{99FD319E-5E20-4B77-97A8-E6CC1CAB057F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*230</t>
        </r>
        <r>
          <rPr>
            <b/>
            <sz val="30"/>
            <color indexed="81"/>
            <rFont val="細明體"/>
            <family val="3"/>
            <charset val="136"/>
          </rPr>
          <t>。停止生產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NU76" authorId="1" shapeId="0" xr:uid="{6719770E-CA81-4FBD-B848-C3F957E4C405}">
      <text>
        <r>
          <rPr>
            <b/>
            <sz val="22"/>
            <color indexed="81"/>
            <rFont val="細明體"/>
            <family val="3"/>
            <charset val="136"/>
          </rPr>
          <t>第一批生產</t>
        </r>
      </text>
    </comment>
    <comment ref="TX76" authorId="1" shapeId="0" xr:uid="{B01AE2CB-26A5-432F-8EFD-EB9A73B2C798}">
      <text>
        <r>
          <rPr>
            <b/>
            <sz val="26"/>
            <color indexed="81"/>
            <rFont val="細明體"/>
            <family val="3"/>
            <charset val="136"/>
          </rPr>
          <t>原</t>
        </r>
        <r>
          <rPr>
            <b/>
            <sz val="26"/>
            <color indexed="81"/>
            <rFont val="Tahoma"/>
            <family val="2"/>
          </rPr>
          <t xml:space="preserve">3/31 </t>
        </r>
        <r>
          <rPr>
            <b/>
            <sz val="26"/>
            <color indexed="81"/>
            <rFont val="細明體"/>
            <family val="3"/>
            <charset val="136"/>
          </rPr>
          <t>的生產延後</t>
        </r>
      </text>
    </comment>
    <comment ref="DR77" authorId="0" shapeId="0" xr:uid="{A046C9FC-1807-4051-A429-64174D00CAD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78" authorId="0" shapeId="0" xr:uid="{75940412-A04D-4A5E-9EB1-EDF2767CEFC1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9" authorId="1" shapeId="0" xr:uid="{4114D07D-860D-49EF-9AB4-379290A0C86D}">
      <text>
        <r>
          <rPr>
            <sz val="30"/>
            <color indexed="81"/>
            <rFont val="細明體"/>
            <family val="3"/>
            <charset val="136"/>
          </rPr>
          <t>優利特*40 其餘SKYLA
優利特LOT 不同。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AN79" authorId="0" shapeId="0" xr:uid="{93D63024-EE31-4618-9FE6-D8EA7A66AF9B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SCIL*250
優利特*90 噴碼設定(廠碼:0 區碼:5)F/W AES 27 ；噴碼前給DQE 確認
鋁袋LOT 不一樣EM
其餘SKYLA </t>
        </r>
      </text>
    </comment>
    <comment ref="CT79" authorId="0" shapeId="0" xr:uid="{3BD17333-AC92-471F-9DEB-AB4CBE9EEC15}">
      <text>
        <r>
          <rPr>
            <b/>
            <sz val="22"/>
            <color indexed="81"/>
            <rFont val="Tahoma"/>
            <family val="2"/>
          </rPr>
          <t xml:space="preserve">Scil 650 
CZP*170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A79" authorId="1" shapeId="0" xr:uid="{B3C21A41-0973-49C7-943A-6127AB53648D}">
      <text>
        <r>
          <rPr>
            <b/>
            <sz val="20"/>
            <color indexed="81"/>
            <rFont val="Tahoma"/>
            <family val="2"/>
          </rPr>
          <t xml:space="preserve">SCIL *450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Y79" authorId="1" shapeId="0" xr:uid="{00BF9FAC-8629-4BFC-ACF1-3EDE8980D9DB}">
      <text>
        <r>
          <rPr>
            <b/>
            <sz val="18"/>
            <color indexed="81"/>
            <rFont val="Tahoma"/>
            <family val="2"/>
          </rPr>
          <t xml:space="preserve">Scul *350 </t>
        </r>
        <r>
          <rPr>
            <b/>
            <sz val="18"/>
            <color indexed="81"/>
            <rFont val="細明體"/>
            <family val="3"/>
            <charset val="136"/>
          </rPr>
          <t>其餘</t>
        </r>
        <r>
          <rPr>
            <b/>
            <sz val="18"/>
            <color indexed="81"/>
            <rFont val="Tahoma"/>
            <family val="2"/>
          </rPr>
          <t>skyla</t>
        </r>
      </text>
    </comment>
    <comment ref="FN79" authorId="1" shapeId="0" xr:uid="{D915AE59-E8BB-4A14-A0EB-2E47AF7DBDDF}">
      <text>
        <r>
          <rPr>
            <b/>
            <sz val="20"/>
            <color indexed="81"/>
            <rFont val="Tahoma"/>
            <family val="2"/>
          </rPr>
          <t xml:space="preserve">SCIL*350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GH79" authorId="1" shapeId="0" xr:uid="{01846E48-7C1D-4121-BC70-5DE23A87109D}">
      <text>
        <r>
          <rPr>
            <b/>
            <sz val="20"/>
            <color indexed="81"/>
            <rFont val="Tahoma"/>
            <family val="2"/>
          </rPr>
          <t xml:space="preserve">SCIL*410
CZP*240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
EN:LM3370 
1.</t>
        </r>
        <r>
          <rPr>
            <b/>
            <sz val="20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0"/>
            <color indexed="81"/>
            <rFont val="Tahoma"/>
            <family val="2"/>
          </rPr>
          <t xml:space="preserve"> 
2. </t>
        </r>
        <r>
          <rPr>
            <b/>
            <sz val="20"/>
            <color indexed="81"/>
            <rFont val="細明體"/>
            <family val="3"/>
            <charset val="136"/>
          </rPr>
          <t>安排生產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不進行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0"/>
            <color indexed="81"/>
            <rFont val="Tahoma"/>
            <family val="2"/>
          </rPr>
          <t>DB</t>
        </r>
        <r>
          <rPr>
            <b/>
            <sz val="20"/>
            <color indexed="81"/>
            <rFont val="細明體"/>
            <family val="3"/>
            <charset val="136"/>
          </rPr>
          <t>組裝完成，</t>
        </r>
        <r>
          <rPr>
            <b/>
            <sz val="20"/>
            <color indexed="81"/>
            <rFont val="Tahoma"/>
            <family val="2"/>
          </rPr>
          <t xml:space="preserve">*20 PCS
3. </t>
        </r>
        <r>
          <rPr>
            <b/>
            <sz val="20"/>
            <color indexed="81"/>
            <rFont val="細明體"/>
            <family val="3"/>
            <charset val="136"/>
          </rPr>
          <t>依當日生產之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0"/>
            <color indexed="81"/>
            <rFont val="Tahoma"/>
            <family val="2"/>
          </rPr>
          <t xml:space="preserve">4. </t>
        </r>
        <r>
          <rPr>
            <b/>
            <sz val="20"/>
            <color indexed="81"/>
            <rFont val="細明體"/>
            <family val="3"/>
            <charset val="136"/>
          </rPr>
          <t>同</t>
        </r>
        <r>
          <rPr>
            <b/>
            <sz val="20"/>
            <color indexed="81"/>
            <rFont val="Tahoma"/>
            <family val="2"/>
          </rPr>
          <t>QC</t>
        </r>
        <r>
          <rPr>
            <b/>
            <sz val="20"/>
            <color indexed="81"/>
            <rFont val="細明體"/>
            <family val="3"/>
            <charset val="136"/>
          </rPr>
          <t xml:space="preserve">首件之卡匣一同送驗。
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HU79" authorId="1" shapeId="0" xr:uid="{CB077797-84C7-4ECA-8AB8-B878C4D1D017}">
      <text>
        <r>
          <rPr>
            <b/>
            <sz val="22"/>
            <color indexed="81"/>
            <rFont val="Tahoma"/>
            <family val="2"/>
          </rPr>
          <t xml:space="preserve">SCIL*280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 xml:space="preserve">SKYLA
 </t>
        </r>
        <r>
          <rPr>
            <b/>
            <sz val="22"/>
            <color indexed="81"/>
            <rFont val="細明體"/>
            <family val="3"/>
            <charset val="136"/>
          </rPr>
          <t>確認</t>
        </r>
        <r>
          <rPr>
            <b/>
            <sz val="22"/>
            <color indexed="81"/>
            <rFont val="Tahoma"/>
            <family val="2"/>
          </rPr>
          <t xml:space="preserve">fru </t>
        </r>
        <r>
          <rPr>
            <b/>
            <sz val="22"/>
            <color indexed="81"/>
            <rFont val="細明體"/>
            <family val="3"/>
            <charset val="136"/>
          </rPr>
          <t>尾數剩多少，投完，改排程。</t>
        </r>
      </text>
    </comment>
    <comment ref="JJ79" authorId="1" shapeId="0" xr:uid="{B484CB36-1344-4FE4-9E30-A29FC889B575}">
      <text>
        <r>
          <rPr>
            <b/>
            <sz val="22"/>
            <color indexed="81"/>
            <rFont val="Tahoma"/>
            <family val="2"/>
          </rPr>
          <t xml:space="preserve">SCIL*450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 xml:space="preserve">SKYLA
 </t>
        </r>
        <r>
          <rPr>
            <b/>
            <sz val="22"/>
            <color indexed="81"/>
            <rFont val="細明體"/>
            <family val="3"/>
            <charset val="136"/>
          </rPr>
          <t>確認</t>
        </r>
        <r>
          <rPr>
            <b/>
            <sz val="22"/>
            <color indexed="81"/>
            <rFont val="Tahoma"/>
            <family val="2"/>
          </rPr>
          <t xml:space="preserve">fru </t>
        </r>
        <r>
          <rPr>
            <b/>
            <sz val="22"/>
            <color indexed="81"/>
            <rFont val="細明體"/>
            <family val="3"/>
            <charset val="136"/>
          </rPr>
          <t>尾數剩多少，投完，改排程。</t>
        </r>
      </text>
    </comment>
    <comment ref="DR80" authorId="0" shapeId="0" xr:uid="{04759703-2AE5-4E9B-9BFF-11B9CCF9CA66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81" authorId="0" shapeId="0" xr:uid="{858EC802-FEB6-442E-9510-6EB577A01584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5" authorId="0" shapeId="0" xr:uid="{5A1927C3-9D11-4648-BAEE-6DAFC992E292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G85" authorId="0" shapeId="0" xr:uid="{31F35785-EE99-485D-A7B7-34B2B6A3F1B2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H85" authorId="0" shapeId="0" xr:uid="{1D5D53EC-FD12-4092-8C67-C8282BEE613F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I85" authorId="0" shapeId="0" xr:uid="{24B0ACC2-4BFB-4D03-97C0-1CA091A1083D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F85" authorId="0" shapeId="0" xr:uid="{FF2AA8DF-B9DA-45CE-ABD2-93CE9D5C79EF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K85" authorId="0" shapeId="0" xr:uid="{F76B2B1C-5DC6-4C72-9495-E497BBE0F9F4}">
      <text>
        <r>
          <rPr>
            <b/>
            <sz val="26"/>
            <color indexed="81"/>
            <rFont val="Tahoma"/>
            <family val="2"/>
          </rPr>
          <t xml:space="preserve">scil*576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L85" authorId="0" shapeId="0" xr:uid="{0CB06D40-D5B9-4397-8D76-D6C713AF137B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M85" authorId="0" shapeId="0" xr:uid="{F6102800-ADC6-4593-88B8-130C832D53ED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N85" authorId="0" shapeId="0" xr:uid="{2913E43F-7BBA-48EE-AC66-5F0366E79B7A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D85" authorId="0" shapeId="0" xr:uid="{8A4D5E46-4E2B-4FB8-BC20-AB6785B7D446}">
      <text>
        <r>
          <rPr>
            <b/>
            <sz val="26"/>
            <color indexed="81"/>
            <rFont val="Tahoma"/>
            <family val="2"/>
          </rPr>
          <t xml:space="preserve">scil*984 </t>
        </r>
        <r>
          <rPr>
            <b/>
            <sz val="26"/>
            <color indexed="81"/>
            <rFont val="Tahoma"/>
            <family val="2"/>
          </rPr>
          <t xml:space="preserve">
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S85" authorId="1" shapeId="0" xr:uid="{F60AB52E-A234-41DA-AC4E-6022C0D47D2B}">
      <text>
        <r>
          <rPr>
            <sz val="26"/>
            <color indexed="81"/>
            <rFont val="Tahoma"/>
            <family val="2"/>
          </rPr>
          <t xml:space="preserve">4/10 </t>
        </r>
        <r>
          <rPr>
            <sz val="26"/>
            <color indexed="81"/>
            <rFont val="細明體"/>
            <family val="3"/>
            <charset val="136"/>
          </rPr>
          <t>投產剩下</t>
        </r>
        <r>
          <rPr>
            <sz val="26"/>
            <color indexed="81"/>
            <rFont val="Tahoma"/>
            <family val="2"/>
          </rPr>
          <t xml:space="preserve">beads
</t>
        </r>
      </text>
    </comment>
    <comment ref="GN85" authorId="1" shapeId="0" xr:uid="{F99BC750-B510-4203-9446-49941329AABA}">
      <text>
        <r>
          <rPr>
            <b/>
            <sz val="22"/>
            <color indexed="81"/>
            <rFont val="Tahoma"/>
            <family val="2"/>
          </rPr>
          <t>6/17 6/18
SCIL*3600</t>
        </r>
      </text>
    </comment>
    <comment ref="GO85" authorId="1" shapeId="0" xr:uid="{113ACAAB-D0F8-4010-B9E2-04E8E2774FBF}">
      <text>
        <r>
          <rPr>
            <b/>
            <sz val="22"/>
            <color indexed="81"/>
            <rFont val="Tahoma"/>
            <family val="2"/>
          </rPr>
          <t>6/17 6/18
SCIL*3600</t>
        </r>
      </text>
    </comment>
    <comment ref="JI85" authorId="1" shapeId="0" xr:uid="{C9BB3CA7-1444-48B3-AD84-F04B444B773C}">
      <text>
        <r>
          <rPr>
            <b/>
            <sz val="22"/>
            <color indexed="81"/>
            <rFont val="Tahoma"/>
            <family val="2"/>
          </rPr>
          <t xml:space="preserve">SCIL*1200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LF85" authorId="0" shapeId="0" xr:uid="{E94BB3A0-8767-42A7-95B8-4B80EAEAF1EF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O85" authorId="0" shapeId="0" xr:uid="{816AA8F4-FDFE-4801-9D71-4742BE813F7B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NP85" authorId="1" shapeId="0" xr:uid="{9EB5650B-D2AB-40D7-A5B2-531F4A9C26DE}">
      <text>
        <r>
          <rPr>
            <sz val="28"/>
            <color indexed="81"/>
            <rFont val="細明體"/>
            <family val="3"/>
            <charset val="136"/>
          </rPr>
          <t>快過期</t>
        </r>
        <r>
          <rPr>
            <sz val="28"/>
            <color indexed="81"/>
            <rFont val="Tahoma"/>
            <family val="2"/>
          </rPr>
          <t xml:space="preserve">
</t>
        </r>
      </text>
    </comment>
    <comment ref="NU85" authorId="1" shapeId="0" xr:uid="{73F4956C-FFD0-434C-813E-09B2E144AB60}">
      <text>
        <r>
          <rPr>
            <sz val="28"/>
            <color indexed="81"/>
            <rFont val="細明體"/>
            <family val="3"/>
            <charset val="136"/>
          </rPr>
          <t>快過期</t>
        </r>
        <r>
          <rPr>
            <sz val="28"/>
            <color indexed="81"/>
            <rFont val="Tahoma"/>
            <family val="2"/>
          </rPr>
          <t xml:space="preserve">
</t>
        </r>
      </text>
    </comment>
    <comment ref="DR86" authorId="0" shapeId="0" xr:uid="{F1374399-A59E-45A4-A44D-519C7B853DBD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G86" authorId="1" shapeId="0" xr:uid="{A45BD7EA-EA62-46C7-B304-0149B2EA1806}">
      <text>
        <r>
          <rPr>
            <sz val="24"/>
            <color indexed="81"/>
            <rFont val="Tahoma"/>
            <family val="2"/>
          </rPr>
          <t xml:space="preserve">SCIL  </t>
        </r>
        <r>
          <rPr>
            <sz val="24"/>
            <color indexed="81"/>
            <rFont val="細明體"/>
            <family val="3"/>
            <charset val="136"/>
          </rPr>
          <t>待確認數量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AM87" authorId="0" shapeId="0" xr:uid="{5891A616-0159-4902-8489-CE3B3E453FA9}">
      <text>
        <r>
          <rPr>
            <b/>
            <sz val="26"/>
            <color indexed="81"/>
            <rFont val="Tahoma"/>
            <family val="2"/>
          </rPr>
          <t xml:space="preserve">SCIL*1800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V87" authorId="0" shapeId="0" xr:uid="{5D2AA4C2-77DB-4508-9C74-54C79B9E3193}">
      <text>
        <r>
          <rPr>
            <b/>
            <sz val="26"/>
            <color indexed="81"/>
            <rFont val="Tahoma"/>
            <family val="2"/>
          </rPr>
          <t xml:space="preserve">SCIL*1860 </t>
        </r>
        <r>
          <rPr>
            <b/>
            <sz val="26"/>
            <color indexed="81"/>
            <rFont val="細明體"/>
            <family val="3"/>
            <charset val="136"/>
          </rPr>
          <t>一批到底。'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G87" authorId="1" shapeId="0" xr:uid="{E159CDFA-0CA6-4A06-A85F-C63F0333E97B}">
      <text>
        <r>
          <rPr>
            <b/>
            <sz val="22"/>
            <color indexed="81"/>
            <rFont val="Tahoma"/>
            <family val="2"/>
          </rPr>
          <t xml:space="preserve">SCIL*720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P87" authorId="1" shapeId="0" xr:uid="{1D9EFCD3-FEA4-44E5-A3C5-B6656540D239}">
      <text>
        <r>
          <rPr>
            <b/>
            <sz val="22"/>
            <color indexed="81"/>
            <rFont val="Tahoma"/>
            <family val="2"/>
          </rPr>
          <t xml:space="preserve">SCIL*360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T87" authorId="1" shapeId="0" xr:uid="{2D5B58D0-67C3-4016-B3FA-24CE5D6629F5}">
      <text>
        <r>
          <rPr>
            <b/>
            <sz val="22"/>
            <color indexed="81"/>
            <rFont val="Tahoma"/>
            <family val="2"/>
          </rPr>
          <t xml:space="preserve">SCIL*600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88" authorId="0" shapeId="0" xr:uid="{D817C0C9-9FA8-4FA4-872E-07C4E8876EF8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89" authorId="0" shapeId="0" xr:uid="{7AE78AEC-F169-49F0-A855-014EA526C171}">
      <text>
        <r>
          <rPr>
            <b/>
            <sz val="26"/>
            <color indexed="81"/>
            <rFont val="Tahoma"/>
            <family val="2"/>
          </rPr>
          <t xml:space="preserve">SCIL*240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P89" authorId="0" shapeId="0" xr:uid="{BBFB41AF-9497-4424-9A32-74C91FB68E2D}">
      <text>
        <r>
          <rPr>
            <b/>
            <sz val="26"/>
            <color indexed="81"/>
            <rFont val="Tahoma"/>
            <family val="2"/>
          </rPr>
          <t xml:space="preserve">SCIL*960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L89" authorId="1" shapeId="0" xr:uid="{95359E84-E3FE-4F2C-B257-7CA423477CE1}">
      <text>
        <r>
          <rPr>
            <b/>
            <sz val="22"/>
            <color indexed="81"/>
            <rFont val="Tahoma"/>
            <family val="2"/>
          </rPr>
          <t xml:space="preserve">SCIL*120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GV89" authorId="1" shapeId="0" xr:uid="{62BE7CA5-8EEE-402E-B35A-FA9703C7868F}">
      <text>
        <r>
          <rPr>
            <b/>
            <sz val="22"/>
            <color indexed="81"/>
            <rFont val="Tahoma"/>
            <family val="2"/>
          </rPr>
          <t xml:space="preserve">SCIL*300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F89" authorId="1" shapeId="0" xr:uid="{810EC03E-E398-49C7-9B7A-55FE3FA4E3A9}">
      <text>
        <r>
          <rPr>
            <b/>
            <sz val="22"/>
            <color indexed="81"/>
            <rFont val="Tahoma"/>
            <family val="2"/>
          </rPr>
          <t xml:space="preserve">SCIL*108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S89" authorId="1" shapeId="0" xr:uid="{0D0DA9CB-3DD9-41E7-AEC2-5E46FBF7D1AF}">
      <text>
        <r>
          <rPr>
            <b/>
            <sz val="22"/>
            <color indexed="81"/>
            <rFont val="Tahoma"/>
            <family val="2"/>
          </rPr>
          <t xml:space="preserve">SCIL*120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0" authorId="0" shapeId="0" xr:uid="{BEE14A6E-13F9-40A6-8364-72DD982DC3A8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1" authorId="1" shapeId="0" xr:uid="{A941F96D-EBB1-4593-957A-DD9895E6AF8B}">
      <text>
        <r>
          <rPr>
            <sz val="18"/>
            <color indexed="81"/>
            <rFont val="Tahoma"/>
            <family val="2"/>
          </rPr>
          <t xml:space="preserve">SCIL *360 </t>
        </r>
        <r>
          <rPr>
            <sz val="18"/>
            <color indexed="81"/>
            <rFont val="細明體"/>
            <family val="3"/>
            <charset val="136"/>
          </rPr>
          <t>其餘</t>
        </r>
        <r>
          <rPr>
            <sz val="18"/>
            <color indexed="81"/>
            <rFont val="Tahoma"/>
            <family val="2"/>
          </rPr>
          <t xml:space="preserve"> SKYLA
</t>
        </r>
      </text>
    </comment>
    <comment ref="AN91" authorId="0" shapeId="0" xr:uid="{AD77F427-FC32-40D1-8C8C-9D558C305298}">
      <text>
        <r>
          <rPr>
            <b/>
            <sz val="26"/>
            <color indexed="81"/>
            <rFont val="Tahoma"/>
            <family val="2"/>
          </rPr>
          <t xml:space="preserve">SCIL*120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U91" authorId="1" shapeId="0" xr:uid="{9987543C-FB0D-423D-8D94-64D9E920B7A8}">
      <text>
        <r>
          <rPr>
            <b/>
            <sz val="18"/>
            <color indexed="81"/>
            <rFont val="Tahoma"/>
            <family val="2"/>
          </rPr>
          <t>SCIL*360</t>
        </r>
        <r>
          <rPr>
            <b/>
            <sz val="18"/>
            <color indexed="81"/>
            <rFont val="細明體"/>
            <family val="3"/>
            <charset val="136"/>
          </rPr>
          <t>；其餘</t>
        </r>
        <r>
          <rPr>
            <b/>
            <sz val="18"/>
            <color indexed="81"/>
            <rFont val="Tahoma"/>
            <family val="2"/>
          </rPr>
          <t xml:space="preserve">SKYLA
</t>
        </r>
        <r>
          <rPr>
            <b/>
            <sz val="18"/>
            <color indexed="81"/>
            <rFont val="細明體"/>
            <family val="3"/>
            <charset val="136"/>
          </rPr>
          <t>不要多做</t>
        </r>
      </text>
    </comment>
    <comment ref="BW91" authorId="1" shapeId="0" xr:uid="{F9C9B863-30B5-46BA-84B7-D3F77EA701A0}">
      <text>
        <r>
          <rPr>
            <b/>
            <sz val="22"/>
            <color indexed="81"/>
            <rFont val="Tahoma"/>
            <family val="2"/>
          </rPr>
          <t xml:space="preserve">SCIL*240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EP91" authorId="1" shapeId="0" xr:uid="{7F4FDD38-7854-4AD9-B01A-10E3C7E07424}">
      <text>
        <r>
          <rPr>
            <b/>
            <sz val="22"/>
            <color indexed="81"/>
            <rFont val="Tahoma"/>
            <family val="2"/>
          </rPr>
          <t>SCIL*480</t>
        </r>
      </text>
    </comment>
    <comment ref="DR92" authorId="0" shapeId="0" xr:uid="{3AE69114-537F-4B77-AF93-5B480A9E5AB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93" authorId="1" shapeId="0" xr:uid="{7F988585-45E3-4B95-A153-206AFB0D6C87}">
      <text>
        <r>
          <rPr>
            <b/>
            <sz val="22"/>
            <color indexed="81"/>
            <rFont val="Tahoma"/>
            <family val="2"/>
          </rPr>
          <t xml:space="preserve">SCIL*300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CB93" authorId="0" shapeId="0" xr:uid="{A4C7F054-849B-4FB2-A369-CF146391F06B}">
      <text>
        <r>
          <rPr>
            <b/>
            <sz val="26"/>
            <color indexed="81"/>
            <rFont val="Tahoma"/>
            <family val="2"/>
          </rPr>
          <t xml:space="preserve">SCIL*720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EP93" authorId="1" shapeId="0" xr:uid="{67D4D05D-CEA0-42E8-B331-19E151EF8C66}">
      <text>
        <r>
          <rPr>
            <b/>
            <sz val="22"/>
            <color indexed="81"/>
            <rFont val="Tahoma"/>
            <family val="2"/>
          </rPr>
          <t>SCIL*120</t>
        </r>
      </text>
    </comment>
    <comment ref="GU93" authorId="1" shapeId="0" xr:uid="{BDD5AFDC-26A8-46AF-866B-C22129B48B99}">
      <text>
        <r>
          <rPr>
            <b/>
            <sz val="22"/>
            <color indexed="81"/>
            <rFont val="Tahoma"/>
            <family val="2"/>
          </rPr>
          <t xml:space="preserve">SCIL*120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4" authorId="0" shapeId="0" xr:uid="{B9A53358-7939-4C28-B346-BA296DBE584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5" authorId="0" shapeId="0" xr:uid="{1C8C44D6-E52F-441C-A044-1DB51BD2BF6D}">
      <text>
        <r>
          <rPr>
            <b/>
            <sz val="26"/>
            <color indexed="81"/>
            <rFont val="Tahoma"/>
            <family val="2"/>
          </rPr>
          <t xml:space="preserve">SCIL*600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E95" authorId="0" shapeId="0" xr:uid="{D70164E9-1FFD-4FAE-9319-952A7B6DF14C}">
      <text>
        <r>
          <rPr>
            <b/>
            <sz val="26"/>
            <color indexed="81"/>
            <rFont val="Tahoma"/>
            <family val="2"/>
          </rPr>
          <t xml:space="preserve"> scil*1404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S95" authorId="0" shapeId="0" xr:uid="{E9626239-1D86-4D2B-A9CA-C8BBD1964753}">
      <text>
        <r>
          <rPr>
            <b/>
            <sz val="26"/>
            <color indexed="81"/>
            <rFont val="Tahoma"/>
            <family val="2"/>
          </rPr>
          <t xml:space="preserve"> scil*2796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U95" authorId="1" shapeId="0" xr:uid="{D22AA410-0E67-43E6-BA33-2C21B2DE2C54}">
      <text>
        <r>
          <rPr>
            <b/>
            <sz val="22"/>
            <color indexed="81"/>
            <rFont val="Tahoma"/>
            <family val="2"/>
          </rPr>
          <t xml:space="preserve">SCIL*132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6" authorId="0" shapeId="0" xr:uid="{8DFCAAC6-3201-4106-BE77-FFF18240E202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7" authorId="0" shapeId="0" xr:uid="{CC49A46B-D304-483C-99EF-D97F766CAC4D}">
      <text>
        <r>
          <rPr>
            <b/>
            <sz val="26"/>
            <color indexed="81"/>
            <rFont val="Tahoma"/>
            <family val="2"/>
          </rPr>
          <t xml:space="preserve">SCIL*1800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E97" authorId="0" shapeId="0" xr:uid="{A0EE9800-601B-4C1E-B2A6-BB2401E9F50A}">
      <text>
        <r>
          <rPr>
            <b/>
            <sz val="26"/>
            <color indexed="81"/>
            <rFont val="Tahoma"/>
            <family val="2"/>
          </rPr>
          <t xml:space="preserve">SCIL*480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L97" authorId="0" shapeId="0" xr:uid="{E6EE84FD-121C-491A-BB8D-522270CCD030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M97" authorId="0" shapeId="0" xr:uid="{653E58BE-A849-4C70-829B-644217915574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N97" authorId="0" shapeId="0" xr:uid="{9BCAB080-5C92-4B35-BC4A-6B179031049E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盡量一批到底
</t>
        </r>
      </text>
    </comment>
    <comment ref="BO97" authorId="0" shapeId="0" xr:uid="{222D1028-BE6D-4919-9475-75E085141930}">
      <text>
        <r>
          <rPr>
            <b/>
            <sz val="26"/>
            <color indexed="81"/>
            <rFont val="Tahoma"/>
            <family val="2"/>
          </rPr>
          <t xml:space="preserve">scil*7200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盡量一批到底
</t>
        </r>
      </text>
    </comment>
    <comment ref="GF97" authorId="1" shapeId="0" xr:uid="{B873B122-D6D0-44F7-AFBA-0ED8D78A8785}">
      <text>
        <r>
          <rPr>
            <b/>
            <sz val="22"/>
            <color indexed="81"/>
            <rFont val="Tahoma"/>
            <family val="2"/>
          </rPr>
          <t xml:space="preserve">SCIL*360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O97" authorId="1" shapeId="0" xr:uid="{E1871F96-A021-45EE-8ACE-77E37FE16C39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P97" authorId="1" shapeId="0" xr:uid="{7F4C06FB-C73F-4385-99DE-E6C1CA35D0C0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S97" authorId="1" shapeId="0" xr:uid="{201A1E3D-13A5-4180-9D23-30960558948F}">
      <text>
        <r>
          <rPr>
            <b/>
            <sz val="22"/>
            <color indexed="81"/>
            <rFont val="Tahoma"/>
            <family val="2"/>
          </rPr>
          <t xml:space="preserve">SCIL*360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8" authorId="0" shapeId="0" xr:uid="{B210DC4A-183D-467A-AE88-1278B4435AB2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99" authorId="0" shapeId="0" xr:uid="{55460B7B-3EBF-4A6C-A5F7-96AFB867788A}">
      <text>
        <r>
          <rPr>
            <b/>
            <sz val="26"/>
            <color indexed="81"/>
            <rFont val="Tahoma"/>
            <family val="2"/>
          </rPr>
          <t xml:space="preserve">SCIL*360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O99" authorId="0" shapeId="0" xr:uid="{72089242-259D-4A1F-ABB3-DF5C8A2A6853}">
      <text>
        <r>
          <rPr>
            <b/>
            <sz val="26"/>
            <color indexed="81"/>
            <rFont val="Tahoma"/>
            <family val="2"/>
          </rPr>
          <t xml:space="preserve">SCIL*2160
CZP*48 </t>
        </r>
        <r>
          <rPr>
            <b/>
            <sz val="26"/>
            <color indexed="81"/>
            <rFont val="細明體"/>
            <family val="3"/>
            <charset val="136"/>
          </rPr>
          <t>貼產地標籤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V99" authorId="1" shapeId="0" xr:uid="{B8770C70-DEA9-4836-ABE4-FC16CF765D40}">
      <text>
        <r>
          <rPr>
            <b/>
            <sz val="22"/>
            <color indexed="81"/>
            <rFont val="Tahoma"/>
            <family val="2"/>
          </rPr>
          <t xml:space="preserve">SCIL*192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99" authorId="1" shapeId="0" xr:uid="{413F23F5-D228-46DA-8D4A-BE8957A01078}">
      <text>
        <r>
          <rPr>
            <b/>
            <sz val="22"/>
            <color indexed="81"/>
            <rFont val="Tahoma"/>
            <family val="2"/>
          </rPr>
          <t xml:space="preserve">SCIL*60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KA99" authorId="1" shapeId="0" xr:uid="{8119D49B-7A7E-4022-AE89-26B023552706}">
      <text>
        <r>
          <rPr>
            <b/>
            <sz val="22"/>
            <color indexed="81"/>
            <rFont val="Tahoma"/>
            <family val="2"/>
          </rPr>
          <t xml:space="preserve">SCIL*60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00" authorId="0" shapeId="0" xr:uid="{B8E47B9E-5D67-4A7A-BDF9-CC019440FFC9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02" authorId="0" shapeId="0" xr:uid="{AC0FCBAA-D7D8-49EB-8B7E-88D253784979}">
      <text>
        <r>
          <rPr>
            <b/>
            <sz val="26"/>
            <color indexed="81"/>
            <rFont val="Tahoma"/>
            <family val="2"/>
          </rPr>
          <t xml:space="preserve">SCIL*840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I102" authorId="1" shapeId="0" xr:uid="{F2937628-3747-40CB-8696-A2E3DC68C509}">
      <text>
        <r>
          <rPr>
            <b/>
            <sz val="22"/>
            <color indexed="81"/>
            <rFont val="Tahoma"/>
            <family val="2"/>
          </rPr>
          <t xml:space="preserve">SCIL*24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FF102" authorId="1" shapeId="0" xr:uid="{12905888-14CD-457A-8A10-C56B42ABE8DD}">
      <text>
        <r>
          <rPr>
            <b/>
            <sz val="22"/>
            <color indexed="81"/>
            <rFont val="Tahoma"/>
            <family val="2"/>
          </rPr>
          <t>SCIL*24</t>
        </r>
      </text>
    </comment>
    <comment ref="GW102" authorId="1" shapeId="0" xr:uid="{6C573A0D-7E2E-44D1-AA46-BFCBAF938B45}">
      <text>
        <r>
          <rPr>
            <b/>
            <sz val="22"/>
            <color indexed="81"/>
            <rFont val="Tahoma"/>
            <family val="2"/>
          </rPr>
          <t xml:space="preserve">SCIL*12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A102" authorId="1" shapeId="0" xr:uid="{5D8E8CAA-488A-42E9-8DC6-950D484C44E6}">
      <text>
        <r>
          <rPr>
            <sz val="30"/>
            <color indexed="81"/>
            <rFont val="Tahoma"/>
            <family val="2"/>
          </rPr>
          <t xml:space="preserve">SCIL* 12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L102" authorId="1" shapeId="0" xr:uid="{D049C32F-929B-42A9-9860-746E076325F5}">
      <text>
        <r>
          <rPr>
            <sz val="30"/>
            <color indexed="81"/>
            <rFont val="Tahoma"/>
            <family val="2"/>
          </rPr>
          <t xml:space="preserve">SCIL* 24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T102" authorId="1" shapeId="0" xr:uid="{11298CD8-F85D-4A74-864E-34ED3A4A1132}">
      <text>
        <r>
          <rPr>
            <sz val="30"/>
            <color indexed="81"/>
            <rFont val="Tahoma"/>
            <family val="2"/>
          </rPr>
          <t xml:space="preserve">SCIL* 12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DR103" authorId="0" shapeId="0" xr:uid="{DA08B496-84A7-46C4-9143-740D3E5311A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04" authorId="0" shapeId="0" xr:uid="{8FE892F7-798D-4C25-9B6A-68E2DBB1C1D0}">
      <text>
        <r>
          <rPr>
            <b/>
            <sz val="26"/>
            <color indexed="81"/>
            <rFont val="Tahoma"/>
            <family val="2"/>
          </rPr>
          <t xml:space="preserve">SCIL*240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V104" authorId="1" shapeId="0" xr:uid="{FBC20699-3A28-4D5B-BAC5-538CFECC46B7}">
      <text>
        <r>
          <rPr>
            <b/>
            <sz val="22"/>
            <color indexed="81"/>
            <rFont val="Tahoma"/>
            <family val="2"/>
          </rPr>
          <t xml:space="preserve">SCIL*168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104" authorId="1" shapeId="0" xr:uid="{73E98784-8A8C-4AD9-B733-B278255E9C72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A104" authorId="1" shapeId="0" xr:uid="{4201C56B-3548-45A2-A4C4-AD7969391E9D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S104" authorId="1" shapeId="0" xr:uid="{36B3E5C4-0D0C-42E4-9CDA-B397047161E5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KQ104" authorId="1" shapeId="0" xr:uid="{A0B9A9AB-9BCF-4385-B62A-DCD1AE854C04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DR105" authorId="0" shapeId="0" xr:uid="{5DCEC28C-9127-4349-B1A2-35E47F4CF0D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106" authorId="2" shapeId="0" xr:uid="{4BF983CB-FFD2-4CF4-95F5-346C966DDDD4}">
      <text>
        <r>
          <rPr>
            <sz val="26"/>
            <color indexed="81"/>
            <rFont val="微軟正黑體"/>
            <family val="2"/>
            <charset val="136"/>
          </rPr>
          <t>SCIL*840，其餘SKYLA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BT106" authorId="0" shapeId="0" xr:uid="{4743C3C5-8B3E-46A1-AF7A-8E32D249B8E7}">
      <text>
        <r>
          <rPr>
            <b/>
            <sz val="26"/>
            <color indexed="81"/>
            <rFont val="細明體"/>
            <family val="3"/>
            <charset val="136"/>
          </rPr>
          <t>全數skyla</t>
        </r>
      </text>
    </comment>
    <comment ref="CW106" authorId="0" shapeId="0" xr:uid="{1475216D-963A-4E49-A0FB-6AB45FF881A6}">
      <text>
        <r>
          <rPr>
            <b/>
            <sz val="26"/>
            <color indexed="81"/>
            <rFont val="Tahoma"/>
            <family val="2"/>
          </rPr>
          <t xml:space="preserve">SCIL*2520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C106" authorId="0" shapeId="0" xr:uid="{A0F1F164-4D8B-43F9-82D3-E59B0E64FC9A}">
      <text>
        <r>
          <rPr>
            <b/>
            <sz val="26"/>
            <color indexed="81"/>
            <rFont val="Tahoma"/>
            <family val="2"/>
          </rPr>
          <t xml:space="preserve">SCIL*1440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EI106" authorId="0" shapeId="0" xr:uid="{66298889-CEE1-40A9-A16D-C3DC5DB0397B}">
      <text>
        <r>
          <rPr>
            <b/>
            <sz val="28"/>
            <color indexed="81"/>
            <rFont val="細明體"/>
            <family val="3"/>
            <charset val="136"/>
          </rPr>
          <t>F/W 更新使用新的BEADS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GM106" authorId="1" shapeId="0" xr:uid="{EBAA5CD2-A694-4C38-848F-B30B0170AA8D}">
      <text>
        <r>
          <rPr>
            <b/>
            <sz val="22"/>
            <color indexed="81"/>
            <rFont val="Tahoma"/>
            <family val="2"/>
          </rPr>
          <t xml:space="preserve">SCIL*1200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106" authorId="1" shapeId="0" xr:uid="{3CCEB2F9-1AF9-4C24-A470-9C650485B438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Z106" authorId="1" shapeId="0" xr:uid="{6DC198B4-701C-4321-B1DC-433FB9FE5AAD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07" authorId="0" shapeId="0" xr:uid="{77FDF8E1-0FC4-40E6-90C0-34BE87BE53A6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08" authorId="2" shapeId="0" xr:uid="{DFCEC705-566B-47A4-ADB7-62F75F346307}">
      <text>
        <r>
          <rPr>
            <sz val="26"/>
            <color indexed="81"/>
            <rFont val="微軟正黑體"/>
            <family val="2"/>
            <charset val="136"/>
          </rPr>
          <t>SCIL*1200
優利特*120 噴碼:B (不貼產地標籤)
鋁袋LOT : EB
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CD108" authorId="0" shapeId="0" xr:uid="{46934353-ECB8-4AE2-98FB-697F8E88C6A6}">
      <text>
        <r>
          <rPr>
            <b/>
            <sz val="26"/>
            <color indexed="81"/>
            <rFont val="Tahoma"/>
            <family val="2"/>
          </rPr>
          <t xml:space="preserve"> scil*900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J108" authorId="1" shapeId="0" xr:uid="{8DC7448C-6793-46AA-A836-202C15E3AA72}">
      <text>
        <r>
          <rPr>
            <sz val="24"/>
            <color indexed="81"/>
            <rFont val="細明體"/>
            <family val="3"/>
            <charset val="136"/>
          </rPr>
          <t>分</t>
        </r>
        <r>
          <rPr>
            <sz val="24"/>
            <color indexed="81"/>
            <rFont val="Tahoma"/>
            <family val="2"/>
          </rPr>
          <t>2</t>
        </r>
        <r>
          <rPr>
            <sz val="24"/>
            <color indexed="81"/>
            <rFont val="細明體"/>
            <family val="3"/>
            <charset val="136"/>
          </rPr>
          <t xml:space="preserve">個批次
簡中* 120 其餘英文。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24"/>
            <color indexed="81"/>
            <rFont val="細明體"/>
            <family val="3"/>
            <charset val="136"/>
          </rPr>
          <t>卡匣上的標籤不同。</t>
        </r>
      </text>
    </comment>
    <comment ref="CT108" authorId="0" shapeId="0" xr:uid="{B64035EB-88F3-4DAB-A25D-50A266294281}">
      <text>
        <r>
          <rPr>
            <b/>
            <sz val="26"/>
            <color indexed="81"/>
            <rFont val="Tahoma"/>
            <family val="2"/>
          </rPr>
          <t xml:space="preserve">SKYLA*300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E108" authorId="0" shapeId="0" xr:uid="{8F5DB4AB-8964-4175-8463-19F5A762543E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P108" authorId="1" shapeId="0" xr:uid="{E81A1719-0653-436A-A9D8-5F3DF767FF69}">
      <text>
        <r>
          <rPr>
            <b/>
            <sz val="22"/>
            <color indexed="81"/>
            <rFont val="Tahoma"/>
            <family val="2"/>
          </rPr>
          <t xml:space="preserve">SCIL*1440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J108" authorId="1" shapeId="0" xr:uid="{A377EAE2-9A77-4B4C-AEA6-C816B1B41E36}">
      <text>
        <r>
          <rPr>
            <b/>
            <sz val="22"/>
            <color indexed="81"/>
            <rFont val="Tahoma"/>
            <family val="2"/>
          </rPr>
          <t xml:space="preserve">SCIL*480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AU111" authorId="2" shapeId="0" xr:uid="{0742F4AB-A654-44D1-B100-F4E442CDEB46}">
      <text>
        <r>
          <rPr>
            <sz val="26"/>
            <color indexed="81"/>
            <rFont val="微軟正黑體"/>
            <family val="2"/>
            <charset val="136"/>
          </rPr>
          <t>scil*120
優利特*120 噴碼:B (不貼產地標籤)
鋁袋LOT : EB
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GH111" authorId="1" shapeId="0" xr:uid="{A009DA93-0B79-441A-9A3F-3D712F6D5395}">
      <text>
        <r>
          <rPr>
            <b/>
            <sz val="22"/>
            <color indexed="81"/>
            <rFont val="Tahoma"/>
            <family val="2"/>
          </rPr>
          <t xml:space="preserve">SCIL*180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L111" authorId="1" shapeId="0" xr:uid="{58943F7B-7ECC-441D-AC6F-724AE00AB0D8}">
      <text>
        <r>
          <rPr>
            <b/>
            <sz val="22"/>
            <color indexed="81"/>
            <rFont val="Tahoma"/>
            <family val="2"/>
          </rPr>
          <t xml:space="preserve">SCIL*60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13" authorId="0" shapeId="0" xr:uid="{326822B3-3962-498F-87B3-DDE951EB474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14" authorId="2" shapeId="0" xr:uid="{F5238BA4-BB74-4D93-819E-7519C14BBB6B}">
      <text>
        <r>
          <rPr>
            <sz val="26"/>
            <color indexed="81"/>
            <rFont val="微軟正黑體"/>
            <family val="2"/>
            <charset val="136"/>
          </rPr>
          <t>SCIL*540， 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CT114" authorId="0" shapeId="0" xr:uid="{C9993A15-11BC-4BC5-9EF1-36F460229032}">
      <text>
        <r>
          <rPr>
            <b/>
            <sz val="26"/>
            <color indexed="81"/>
            <rFont val="Tahoma"/>
            <family val="2"/>
          </rPr>
          <t xml:space="preserve">SCIL*120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G114" authorId="1" shapeId="0" xr:uid="{A0C2ADB5-C849-40EF-9FBF-DBD768900195}">
      <text>
        <r>
          <rPr>
            <b/>
            <sz val="22"/>
            <color indexed="81"/>
            <rFont val="Tahoma"/>
            <family val="2"/>
          </rPr>
          <t xml:space="preserve">SCIL*216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15" authorId="0" shapeId="0" xr:uid="{BEB13DDF-AF9D-40EA-B586-B75DE391EC88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16" authorId="0" shapeId="0" xr:uid="{199BAE34-DC4C-4214-9AE1-E9B2FE5E9354}">
      <text>
        <r>
          <rPr>
            <b/>
            <sz val="36"/>
            <color indexed="81"/>
            <rFont val="新細明體"/>
            <family val="1"/>
            <charset val="136"/>
          </rPr>
          <t>入庫84片即可；不要多做。</t>
        </r>
      </text>
    </comment>
    <comment ref="CU116" authorId="0" shapeId="0" xr:uid="{E4244B9D-0E98-4ED0-9BC2-4D7FFB4FC242}">
      <text>
        <r>
          <rPr>
            <b/>
            <sz val="26"/>
            <color indexed="81"/>
            <rFont val="細明體"/>
            <family val="3"/>
            <charset val="136"/>
          </rPr>
          <t>入庫</t>
        </r>
        <r>
          <rPr>
            <b/>
            <sz val="26"/>
            <color indexed="81"/>
            <rFont val="Tahoma"/>
            <family val="2"/>
          </rPr>
          <t>108</t>
        </r>
        <r>
          <rPr>
            <b/>
            <sz val="26"/>
            <color indexed="81"/>
            <rFont val="細明體"/>
            <family val="3"/>
            <charset val="136"/>
          </rPr>
          <t>就停，不要多入</t>
        </r>
      </text>
    </comment>
    <comment ref="EL116" authorId="0" shapeId="0" xr:uid="{8A38BFF4-1044-4DBA-A4C0-DC0FF3783C83}">
      <text>
        <r>
          <rPr>
            <b/>
            <sz val="24"/>
            <color indexed="81"/>
            <rFont val="細明體"/>
            <family val="3"/>
            <charset val="136"/>
          </rPr>
          <t>良品入庫60片即可。不可多入；最後一批生產</t>
        </r>
      </text>
    </comment>
    <comment ref="BX117" authorId="0" shapeId="0" xr:uid="{9D17620E-3453-4921-ADAA-3163EE80B5DB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SCIL*24
SKYLA*300
入剛好就停，不要多入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EK117" authorId="0" shapeId="0" xr:uid="{D1CB946E-CB38-4CBB-80D8-41CAF9C96A18}">
      <text>
        <r>
          <rPr>
            <b/>
            <sz val="24"/>
            <color indexed="81"/>
            <rFont val="細明體"/>
            <family val="3"/>
            <charset val="136"/>
          </rPr>
          <t>良品入庫</t>
        </r>
        <r>
          <rPr>
            <b/>
            <sz val="24"/>
            <color indexed="81"/>
            <rFont val="Tahoma"/>
            <family val="2"/>
          </rPr>
          <t>120</t>
        </r>
        <r>
          <rPr>
            <b/>
            <sz val="24"/>
            <color indexed="81"/>
            <rFont val="細明體"/>
            <family val="3"/>
            <charset val="136"/>
          </rPr>
          <t>片即可。不可多入；最後一批生產</t>
        </r>
      </text>
    </comment>
    <comment ref="FR117" authorId="0" shapeId="0" xr:uid="{EEBC99D8-9C3B-4DC5-B32F-C246426665F5}">
      <text>
        <r>
          <rPr>
            <b/>
            <sz val="30"/>
            <color indexed="81"/>
            <rFont val="細明體"/>
            <family val="3"/>
            <charset val="136"/>
          </rPr>
          <t>入庫</t>
        </r>
        <r>
          <rPr>
            <b/>
            <sz val="30"/>
            <color indexed="81"/>
            <rFont val="Tahoma"/>
            <family val="2"/>
          </rPr>
          <t xml:space="preserve">540 </t>
        </r>
        <r>
          <rPr>
            <b/>
            <sz val="30"/>
            <color indexed="81"/>
            <rFont val="細明體"/>
            <family val="3"/>
            <charset val="136"/>
          </rPr>
          <t>即可；</t>
        </r>
      </text>
    </comment>
    <comment ref="DR118" authorId="0" shapeId="0" xr:uid="{15D4CF89-C575-485A-8FCB-BFE62B3726E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19" authorId="0" shapeId="0" xr:uid="{27508318-AD14-4846-9DA0-6DB6C7480396}">
      <text>
        <r>
          <rPr>
            <b/>
            <sz val="26"/>
            <color indexed="81"/>
            <rFont val="Tahoma"/>
            <family val="2"/>
          </rPr>
          <t xml:space="preserve">SCIL*24
SKYLA*180
</t>
        </r>
        <r>
          <rPr>
            <b/>
            <sz val="26"/>
            <color indexed="81"/>
            <rFont val="細明體"/>
            <family val="3"/>
            <charset val="136"/>
          </rPr>
          <t xml:space="preserve">入剛好就停，不要多入
</t>
        </r>
      </text>
    </comment>
    <comment ref="CU119" authorId="0" shapeId="0" xr:uid="{BBB09C95-4D72-421D-B861-440415835BEC}">
      <text>
        <r>
          <rPr>
            <b/>
            <sz val="36"/>
            <color indexed="81"/>
            <rFont val="細明體"/>
            <family val="3"/>
            <charset val="136"/>
          </rPr>
          <t>入庫</t>
        </r>
        <r>
          <rPr>
            <b/>
            <sz val="36"/>
            <color indexed="81"/>
            <rFont val="Tahoma"/>
            <family val="2"/>
          </rPr>
          <t>708</t>
        </r>
        <r>
          <rPr>
            <b/>
            <sz val="36"/>
            <color indexed="81"/>
            <rFont val="細明體"/>
            <family val="3"/>
            <charset val="136"/>
          </rPr>
          <t>就好，</t>
        </r>
        <r>
          <rPr>
            <b/>
            <sz val="36"/>
            <color indexed="81"/>
            <rFont val="Tahoma"/>
            <family val="2"/>
          </rPr>
          <t xml:space="preserve">  </t>
        </r>
        <r>
          <rPr>
            <b/>
            <sz val="36"/>
            <color indexed="81"/>
            <rFont val="細明體"/>
            <family val="3"/>
            <charset val="136"/>
          </rPr>
          <t>停止生產，不要多入</t>
        </r>
        <r>
          <rPr>
            <b/>
            <sz val="36"/>
            <color indexed="81"/>
            <rFont val="Tahoma"/>
            <family val="2"/>
          </rPr>
          <t xml:space="preserve"> </t>
        </r>
        <r>
          <rPr>
            <b/>
            <sz val="36"/>
            <color indexed="81"/>
            <rFont val="細明體"/>
            <family val="3"/>
            <charset val="136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R120" authorId="0" shapeId="0" xr:uid="{3F847ED6-6EC2-401A-8412-D9F11499398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24" authorId="1" shapeId="0" xr:uid="{37B170B5-4FC7-4F17-9246-09DF491231E2}">
      <text>
        <r>
          <rPr>
            <sz val="26"/>
            <color indexed="81"/>
            <rFont val="細明體"/>
            <family val="3"/>
            <charset val="136"/>
          </rPr>
          <t>橡圈不足，後面再套。</t>
        </r>
      </text>
    </comment>
    <comment ref="LF124" authorId="0" shapeId="0" xr:uid="{24388829-9D8D-4293-8885-8B14259EE4D4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O124" authorId="0" shapeId="0" xr:uid="{4A18A2C1-0EBD-4646-AEA4-480B12C0947B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BW125" authorId="2" shapeId="0" xr:uid="{2A1ACD7E-FEA6-4813-9FF0-39930B79ACF3}">
      <text>
        <r>
          <rPr>
            <b/>
            <sz val="26"/>
            <color indexed="81"/>
            <rFont val="Tahoma"/>
            <family val="2"/>
          </rPr>
          <t>A1C</t>
        </r>
        <r>
          <rPr>
            <b/>
            <sz val="26"/>
            <color indexed="81"/>
            <rFont val="細明體"/>
            <family val="3"/>
            <charset val="136"/>
          </rPr>
          <t>會切兩批，把散料投完。
最少入庫</t>
        </r>
        <r>
          <rPr>
            <b/>
            <sz val="26"/>
            <color indexed="81"/>
            <rFont val="Tahoma"/>
            <family val="2"/>
          </rPr>
          <t>3300</t>
        </r>
        <r>
          <rPr>
            <b/>
            <sz val="26"/>
            <color indexed="81"/>
            <rFont val="細明體"/>
            <family val="3"/>
            <charset val="136"/>
          </rPr>
          <t>。</t>
        </r>
      </text>
    </comment>
    <comment ref="EL125" authorId="0" shapeId="0" xr:uid="{6D1B37DD-723B-4F2F-9006-93550738315C}">
      <text>
        <r>
          <rPr>
            <b/>
            <sz val="24"/>
            <color indexed="81"/>
            <rFont val="Tahoma"/>
            <family val="2"/>
          </rPr>
          <t xml:space="preserve">CA1C*300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A1C</t>
        </r>
      </text>
    </comment>
    <comment ref="GP125" authorId="1" shapeId="0" xr:uid="{110D2450-1778-46EF-9777-857BBCF0929B}">
      <text>
        <r>
          <rPr>
            <b/>
            <sz val="28"/>
            <color indexed="81"/>
            <rFont val="Tahoma"/>
            <family val="2"/>
          </rPr>
          <t xml:space="preserve">SKYLA *3741 </t>
        </r>
        <r>
          <rPr>
            <b/>
            <sz val="28"/>
            <color indexed="81"/>
            <rFont val="細明體"/>
            <family val="3"/>
            <charset val="136"/>
          </rPr>
          <t>；停止生產</t>
        </r>
      </text>
    </comment>
    <comment ref="ID125" authorId="1" shapeId="0" xr:uid="{62A01E30-53B2-404C-B25A-C00983C62FBA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4000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J0520241003-09301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C126" authorId="1" shapeId="0" xr:uid="{9AA1CD41-4AC3-4AF1-B2FE-4918959DF852}">
      <text>
        <r>
          <rPr>
            <b/>
            <sz val="9"/>
            <color indexed="81"/>
            <rFont val="Tahoma"/>
            <family val="2"/>
          </rPr>
          <t>Biorad</t>
        </r>
        <r>
          <rPr>
            <b/>
            <sz val="9"/>
            <color indexed="81"/>
            <rFont val="細明體"/>
            <family val="3"/>
            <charset val="136"/>
          </rPr>
          <t>線</t>
        </r>
        <r>
          <rPr>
            <b/>
            <sz val="9"/>
            <color indexed="81"/>
            <rFont val="Tahoma"/>
            <family val="2"/>
          </rPr>
          <t xml:space="preserve">  Sklay A1C </t>
        </r>
        <r>
          <rPr>
            <b/>
            <sz val="9"/>
            <color indexed="81"/>
            <rFont val="細明體"/>
            <family val="3"/>
            <charset val="136"/>
          </rPr>
          <t>標籤半標</t>
        </r>
        <r>
          <rPr>
            <b/>
            <sz val="9"/>
            <color indexed="81"/>
            <rFont val="Tahoma"/>
            <family val="2"/>
          </rPr>
          <t xml:space="preserve">  
</t>
        </r>
        <r>
          <rPr>
            <b/>
            <sz val="9"/>
            <color indexed="81"/>
            <rFont val="細明體"/>
            <family val="3"/>
            <charset val="136"/>
          </rPr>
          <t>效期</t>
        </r>
        <r>
          <rPr>
            <b/>
            <sz val="9"/>
            <color indexed="81"/>
            <rFont val="Tahoma"/>
            <family val="2"/>
          </rPr>
          <t xml:space="preserve"> 18 </t>
        </r>
        <r>
          <rPr>
            <b/>
            <sz val="9"/>
            <color indexed="81"/>
            <rFont val="細明體"/>
            <family val="3"/>
            <charset val="136"/>
          </rPr>
          <t>個月</t>
        </r>
        <r>
          <rPr>
            <b/>
            <sz val="9"/>
            <color indexed="81"/>
            <rFont val="Tahoma"/>
            <family val="2"/>
          </rPr>
          <t xml:space="preserve">  
</t>
        </r>
        <r>
          <rPr>
            <b/>
            <sz val="9"/>
            <color indexed="81"/>
            <rFont val="細明體"/>
            <family val="3"/>
            <charset val="136"/>
          </rPr>
          <t>空白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鋁袋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細明體"/>
            <family val="3"/>
            <charset val="136"/>
          </rPr>
          <t>專屬</t>
        </r>
        <r>
          <rPr>
            <b/>
            <sz val="9"/>
            <color indexed="81"/>
            <rFont val="Tahoma"/>
            <family val="2"/>
          </rPr>
          <t>LOT J0520241003-09301  J05+</t>
        </r>
        <r>
          <rPr>
            <b/>
            <sz val="9"/>
            <color indexed="81"/>
            <rFont val="細明體"/>
            <family val="3"/>
            <charset val="136"/>
          </rPr>
          <t>西元年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細明體"/>
            <family val="3"/>
            <charset val="136"/>
          </rPr>
          <t>月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細明體"/>
            <family val="3"/>
            <charset val="136"/>
          </rPr>
          <t>批次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無</t>
        </r>
        <r>
          <rPr>
            <b/>
            <sz val="9"/>
            <color indexed="81"/>
            <rFont val="Tahoma"/>
            <family val="2"/>
          </rPr>
          <t xml:space="preserve"> CODEA </t>
        </r>
      </text>
    </comment>
    <comment ref="AG126" authorId="0" shapeId="0" xr:uid="{521C6327-08B4-4ABB-8351-D0521E1E1EBF}">
      <text>
        <r>
          <rPr>
            <b/>
            <sz val="36"/>
            <color indexed="81"/>
            <rFont val="微軟正黑體"/>
            <family val="2"/>
            <charset val="136"/>
          </rPr>
          <t xml:space="preserve">貴州*4000，空白鋁袋，lot 編碼不同
不用貼產地標籤，優先滿足
其餘skyla。
</t>
        </r>
      </text>
    </comment>
    <comment ref="ID126" authorId="1" shapeId="0" xr:uid="{2D225600-2C5D-4ADA-9C27-1B7063C9EFCA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J0520250701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IE126" authorId="1" shapeId="0" xr:uid="{12C1D0E1-1763-46ED-BFE9-270B209CA39A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J0520250702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IF126" authorId="1" shapeId="0" xr:uid="{B219E2DE-6D9F-4A22-9890-DC181032F702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J0520250703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IJ126" authorId="1" shapeId="0" xr:uid="{EEDAEB4E-E9F7-44CD-A7FE-7C8407E26D91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J0520250704  *440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AG130" authorId="0" shapeId="0" xr:uid="{FBE6ADCC-F962-4A2D-96F8-7676157CBF9B}">
      <text>
        <r>
          <rPr>
            <b/>
            <sz val="36"/>
            <color indexed="81"/>
            <rFont val="微軟正黑體"/>
            <family val="2"/>
            <charset val="136"/>
          </rPr>
          <t xml:space="preserve">第二順位
</t>
        </r>
      </text>
    </comment>
    <comment ref="CB130" authorId="1" shapeId="0" xr:uid="{ED6C37C3-DAA4-49CF-A183-B9A1FFAEB435}">
      <text>
        <r>
          <rPr>
            <b/>
            <sz val="26"/>
            <color indexed="81"/>
            <rFont val="細明體"/>
            <family val="3"/>
            <charset val="136"/>
          </rPr>
          <t>優先滿足,其餘skyla</t>
        </r>
      </text>
    </comment>
    <comment ref="CD130" authorId="1" shapeId="0" xr:uid="{6530E777-19EB-42BE-BE7D-1E90E5B4B239}">
      <text>
        <r>
          <rPr>
            <b/>
            <sz val="26"/>
            <color indexed="81"/>
            <rFont val="細明體"/>
            <family val="3"/>
            <charset val="136"/>
          </rPr>
          <t>優先滿足,
Ca1c*100
其餘A1C</t>
        </r>
      </text>
    </comment>
    <comment ref="ES130" authorId="0" shapeId="0" xr:uid="{F893614D-1F89-496C-A411-8BF3CD9A1518}">
      <text>
        <r>
          <rPr>
            <b/>
            <sz val="28"/>
            <color indexed="81"/>
            <rFont val="細明體"/>
            <family val="3"/>
            <charset val="136"/>
          </rPr>
          <t>入庫1820 即可，需要入足數，其餘作國際板</t>
        </r>
      </text>
    </comment>
    <comment ref="GX130" authorId="1" shapeId="0" xr:uid="{64C61F72-9851-4C1E-8CD8-D2A4D6959B82}">
      <text>
        <r>
          <rPr>
            <sz val="24"/>
            <color indexed="81"/>
            <rFont val="細明體"/>
            <family val="3"/>
            <charset val="136"/>
          </rPr>
          <t>最少入庫</t>
        </r>
        <r>
          <rPr>
            <sz val="24"/>
            <color indexed="81"/>
            <rFont val="Tahoma"/>
            <family val="2"/>
          </rPr>
          <t>1400</t>
        </r>
        <r>
          <rPr>
            <sz val="24"/>
            <color indexed="81"/>
            <rFont val="細明體"/>
            <family val="3"/>
            <charset val="136"/>
          </rPr>
          <t>片，停止生產。</t>
        </r>
      </text>
    </comment>
    <comment ref="D131" authorId="3" shapeId="0" xr:uid="{EB34C367-FC4C-417B-A827-AC046645488A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BU131" authorId="1" shapeId="0" xr:uid="{494B9038-F115-4DD4-815F-3793A305BE24}">
      <text>
        <r>
          <rPr>
            <sz val="24"/>
            <color indexed="81"/>
            <rFont val="細明體"/>
            <family val="3"/>
            <charset val="136"/>
          </rPr>
          <t>過期料全數排完，</t>
        </r>
      </text>
    </comment>
    <comment ref="D132" authorId="3" shapeId="0" xr:uid="{227797DB-D417-40D4-80D5-3ED5093C3205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AN132" authorId="2" shapeId="0" xr:uid="{D35B5B9B-D158-44D3-B613-6B0F75BECBFF}">
      <text>
        <r>
          <rPr>
            <sz val="22"/>
            <color indexed="81"/>
            <rFont val="微軟正黑體"/>
            <family val="2"/>
            <charset val="136"/>
          </rPr>
          <t>SCIL*500；其餘Skyla</t>
        </r>
      </text>
    </comment>
    <comment ref="BO132" authorId="0" shapeId="0" xr:uid="{906A399D-BBCB-43BE-936E-11A4AE5E61CB}">
      <text>
        <r>
          <rPr>
            <b/>
            <sz val="24"/>
            <color indexed="81"/>
            <rFont val="Tahoma"/>
            <family val="2"/>
          </rPr>
          <t xml:space="preserve">scil *1200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</text>
    </comment>
    <comment ref="BW132" authorId="1" shapeId="0" xr:uid="{F4F5BEF0-D59F-422E-AFDD-67834B6E237F}">
      <text>
        <r>
          <rPr>
            <sz val="24"/>
            <color indexed="81"/>
            <rFont val="細明體"/>
            <family val="3"/>
            <charset val="136"/>
          </rPr>
          <t>過期料全數排完</t>
        </r>
      </text>
    </comment>
    <comment ref="D134" authorId="3" shapeId="0" xr:uid="{BE270F31-3F15-4542-A892-5EBE3003C4D2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BD134" authorId="2" shapeId="0" xr:uid="{898902F1-B499-4419-81FD-520471BE9BBD}">
      <text>
        <r>
          <rPr>
            <sz val="22"/>
            <color indexed="81"/>
            <rFont val="微軟正黑體"/>
            <family val="2"/>
            <charset val="136"/>
          </rPr>
          <t>發藥940，RD 領化學藥100
R1、R2各留100給RD</t>
        </r>
      </text>
    </comment>
    <comment ref="NL134" authorId="1" shapeId="0" xr:uid="{9E368D4E-697A-44FF-BEC3-CA69261D5A54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D135" authorId="3" shapeId="0" xr:uid="{73169E9D-5E91-4226-9E1A-B62A2B6A7426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X135" authorId="2" shapeId="0" xr:uid="{3CD3E7E9-00AE-43A7-AC49-E89100B1D0B0}">
      <text>
        <r>
          <rPr>
            <sz val="22"/>
            <color indexed="81"/>
            <rFont val="微軟正黑體"/>
            <family val="2"/>
            <charset val="136"/>
          </rPr>
          <t>SCIL*1000；其餘Skyla</t>
        </r>
      </text>
    </comment>
    <comment ref="CN135" authorId="0" shapeId="0" xr:uid="{77CAC00E-C54C-4FCE-8E0A-8AFB413080F9}">
      <text>
        <r>
          <rPr>
            <b/>
            <sz val="26"/>
            <color indexed="81"/>
            <rFont val="Tahoma"/>
            <family val="2"/>
          </rPr>
          <t xml:space="preserve">SCIL*1300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D135" authorId="2" shapeId="0" xr:uid="{501081D6-C92F-40FF-8802-79329755FAE0}">
      <text/>
    </comment>
    <comment ref="TG135" authorId="1" shapeId="0" xr:uid="{0B6F4FF6-B611-4BFB-94A8-8B60C58EC96F}">
      <text>
        <r>
          <rPr>
            <sz val="30"/>
            <color indexed="81"/>
            <rFont val="細明體"/>
            <family val="3"/>
            <charset val="136"/>
          </rPr>
          <t>庫存重工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IV2ZH26B52-05302 *560 重工。重工成scil 與skyla
重工生產日期更改2/9；依照2/9當日生產批次編寫。
Scil 入庫足數 100 其餘 skyla
卡匣重新壓合，重貼標，包裝，LOT 重編以2/9 編碼。
生管重新給製程單</t>
        </r>
      </text>
    </comment>
    <comment ref="TE136" authorId="1" shapeId="0" xr:uid="{5B06C749-6D8D-4C17-BF50-322ED80FF87D}">
      <text>
        <r>
          <rPr>
            <sz val="30"/>
            <color indexed="81"/>
            <rFont val="細明體"/>
            <family val="3"/>
            <charset val="136"/>
          </rPr>
          <t>庫存重工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IV2ZM26B51-05301*600 重工。不足拿 IV2ZH26B52-05302。
重工生產日期更改2/9；依照2/9當日生產批次編寫。
入庫足數 600
卡匣重新壓合，重貼標，包裝，LOT 重編以2/9 編碼。
生管重新給製程單</t>
        </r>
      </text>
    </comment>
    <comment ref="D137" authorId="3" shapeId="0" xr:uid="{545BFFA7-999A-44BF-BD3B-79F0C10B500A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AM137" authorId="1" shapeId="0" xr:uid="{BED39136-5568-4398-BB41-A552B5C564AF}">
      <text>
        <r>
          <rPr>
            <sz val="24"/>
            <color indexed="81"/>
            <rFont val="Tahoma"/>
            <family val="2"/>
          </rPr>
          <t xml:space="preserve">2/3 </t>
        </r>
        <r>
          <rPr>
            <sz val="24"/>
            <color indexed="81"/>
            <rFont val="細明體"/>
            <family val="3"/>
            <charset val="136"/>
          </rPr>
          <t>中午前</t>
        </r>
        <r>
          <rPr>
            <sz val="24"/>
            <color indexed="81"/>
            <rFont val="Tahoma"/>
            <family val="2"/>
          </rPr>
          <t xml:space="preserve">RD </t>
        </r>
        <r>
          <rPr>
            <sz val="24"/>
            <color indexed="81"/>
            <rFont val="細明體"/>
            <family val="3"/>
            <charset val="136"/>
          </rPr>
          <t>給試劑。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D138" authorId="3" shapeId="0" xr:uid="{4BC37DB2-D819-4350-93CB-7777171BD311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GP141" authorId="1" shapeId="0" xr:uid="{F9718AF6-85E0-4E0A-9F96-AAB2FF2F8B33}">
      <text>
        <r>
          <rPr>
            <sz val="26"/>
            <color indexed="81"/>
            <rFont val="細明體"/>
            <family val="3"/>
            <charset val="136"/>
          </rPr>
          <t>停止生產</t>
        </r>
      </text>
    </comment>
    <comment ref="GX141" authorId="1" shapeId="0" xr:uid="{8AA912BE-3920-4495-B508-9A1E643D2FF8}">
      <text>
        <r>
          <rPr>
            <sz val="26"/>
            <color indexed="81"/>
            <rFont val="細明體"/>
            <family val="3"/>
            <charset val="136"/>
          </rPr>
          <t>停止生產</t>
        </r>
      </text>
    </comment>
    <comment ref="IJ141" authorId="1" shapeId="0" xr:uid="{4A94DDEE-A7FC-47AE-A272-F04F77590F7C}">
      <text>
        <r>
          <rPr>
            <sz val="24"/>
            <color indexed="81"/>
            <rFont val="Tahoma"/>
            <family val="2"/>
          </rPr>
          <t xml:space="preserve">a1c </t>
        </r>
        <r>
          <rPr>
            <sz val="24"/>
            <color indexed="81"/>
            <rFont val="細明體"/>
            <family val="3"/>
            <charset val="136"/>
          </rPr>
          <t>剩下多做的部份轉</t>
        </r>
        <r>
          <rPr>
            <sz val="24"/>
            <color indexed="81"/>
            <rFont val="Tahoma"/>
            <family val="2"/>
          </rPr>
          <t xml:space="preserve">CA1C 
</t>
        </r>
      </text>
    </comment>
    <comment ref="NL143" authorId="1" shapeId="0" xr:uid="{75C4C4DF-BFC4-45BC-B56F-65B4196B06DF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NP143" authorId="1" shapeId="0" xr:uid="{153209C3-F3FE-4BA2-8BA3-998C91CFC424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TM143" authorId="1" shapeId="0" xr:uid="{3F779D1C-6D42-4A3C-987A-607624225A0C}">
      <text>
        <r>
          <rPr>
            <b/>
            <sz val="26"/>
            <color indexed="81"/>
            <rFont val="Tahoma"/>
            <family val="2"/>
          </rPr>
          <t xml:space="preserve">3/30 </t>
        </r>
        <r>
          <rPr>
            <b/>
            <sz val="26"/>
            <color indexed="81"/>
            <rFont val="細明體"/>
            <family val="3"/>
            <charset val="136"/>
          </rPr>
          <t>確認
先預排，確認</t>
        </r>
        <r>
          <rPr>
            <b/>
            <sz val="26"/>
            <color indexed="81"/>
            <rFont val="Tahoma"/>
            <family val="2"/>
          </rPr>
          <t xml:space="preserve">3/23 </t>
        </r>
        <r>
          <rPr>
            <b/>
            <sz val="26"/>
            <color indexed="81"/>
            <rFont val="細明體"/>
            <family val="3"/>
            <charset val="136"/>
          </rPr>
          <t xml:space="preserve">生產無法包裝才要投產。
</t>
        </r>
        <r>
          <rPr>
            <b/>
            <sz val="26"/>
            <color indexed="81"/>
            <rFont val="Tahoma"/>
            <family val="2"/>
          </rPr>
          <t xml:space="preserve">3/23 </t>
        </r>
        <r>
          <rPr>
            <b/>
            <sz val="26"/>
            <color indexed="81"/>
            <rFont val="細明體"/>
            <family val="3"/>
            <charset val="136"/>
          </rPr>
          <t>如可投產，</t>
        </r>
        <r>
          <rPr>
            <b/>
            <sz val="26"/>
            <color indexed="81"/>
            <rFont val="Tahoma"/>
            <family val="2"/>
          </rPr>
          <t xml:space="preserve">4/1 </t>
        </r>
        <r>
          <rPr>
            <b/>
            <sz val="26"/>
            <color indexed="81"/>
            <rFont val="細明體"/>
            <family val="3"/>
            <charset val="136"/>
          </rPr>
          <t>包裝，</t>
        </r>
        <r>
          <rPr>
            <b/>
            <sz val="26"/>
            <color indexed="81"/>
            <rFont val="Tahoma"/>
            <family val="2"/>
          </rPr>
          <t xml:space="preserve">LOT </t>
        </r>
        <r>
          <rPr>
            <b/>
            <sz val="26"/>
            <color indexed="81"/>
            <rFont val="細明體"/>
            <family val="3"/>
            <charset val="136"/>
          </rPr>
          <t>不變。</t>
        </r>
      </text>
    </comment>
    <comment ref="J144" authorId="1" shapeId="0" xr:uid="{37AEF8FB-37F8-4424-BC1A-ECBA2A427B71}">
      <text>
        <r>
          <rPr>
            <b/>
            <sz val="26"/>
            <color indexed="81"/>
            <rFont val="細明體"/>
            <family val="3"/>
            <charset val="136"/>
          </rPr>
          <t>國內*400 其餘國外</t>
        </r>
      </text>
    </comment>
    <comment ref="AM144" authorId="2" shapeId="0" xr:uid="{AD5ED9D2-AB1F-4C03-A266-A75495B39F42}">
      <text>
        <r>
          <rPr>
            <sz val="26"/>
            <color indexed="81"/>
            <rFont val="微軟正黑體"/>
            <family val="2"/>
            <charset val="136"/>
          </rPr>
          <t>國內*500，其餘國外</t>
        </r>
      </text>
    </comment>
    <comment ref="BE144" authorId="0" shapeId="0" xr:uid="{C70C6BFE-7B19-4801-9202-E5C79D05720E}">
      <text>
        <r>
          <rPr>
            <b/>
            <sz val="28"/>
            <color indexed="81"/>
            <rFont val="細明體"/>
            <family val="3"/>
            <charset val="136"/>
          </rPr>
          <t>產線重工
原批次國外 IV6ZH24GN2-22302*150
重工成國內 IV6ZH24GN3-22303*150</t>
        </r>
      </text>
    </comment>
    <comment ref="BN144" authorId="1" shapeId="0" xr:uid="{71A20FD3-AF95-401C-B3F4-5350CA9F95E8}">
      <text>
        <r>
          <rPr>
            <sz val="24"/>
            <color indexed="81"/>
            <rFont val="細明體"/>
            <family val="3"/>
            <charset val="136"/>
          </rPr>
          <t>國內*300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44" authorId="0" shapeId="0" xr:uid="{F5091546-CAEE-4F7E-B9C3-D1F54F9D1633}">
      <text>
        <r>
          <rPr>
            <b/>
            <sz val="36"/>
            <color indexed="81"/>
            <rFont val="細明體"/>
            <family val="3"/>
            <charset val="136"/>
          </rPr>
          <t xml:space="preserve">國內*500
其餘的國外
</t>
        </r>
      </text>
    </comment>
    <comment ref="CT144" authorId="1" shapeId="0" xr:uid="{D6988C63-18D9-4620-ADFA-1DD26303FE82}">
      <text>
        <r>
          <rPr>
            <sz val="26"/>
            <color indexed="81"/>
            <rFont val="細明體"/>
            <family val="3"/>
            <charset val="136"/>
          </rPr>
          <t>切</t>
        </r>
        <r>
          <rPr>
            <sz val="26"/>
            <color indexed="81"/>
            <rFont val="Tahoma"/>
            <family val="2"/>
          </rPr>
          <t>2</t>
        </r>
        <r>
          <rPr>
            <sz val="26"/>
            <color indexed="81"/>
            <rFont val="細明體"/>
            <family val="3"/>
            <charset val="136"/>
          </rPr>
          <t>批，國內*300 其餘國外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CW144" authorId="0" shapeId="0" xr:uid="{A298B561-28A1-4134-982B-AAD4A8A75793}">
      <text>
        <r>
          <rPr>
            <b/>
            <sz val="28"/>
            <color indexed="81"/>
            <rFont val="細明體"/>
            <family val="3"/>
            <charset val="136"/>
          </rPr>
          <t>國內500
其餘國外</t>
        </r>
      </text>
    </comment>
    <comment ref="ER144" authorId="1" shapeId="0" xr:uid="{C67ECD58-D2ED-4095-B223-CB2C05296C9A}">
      <text>
        <r>
          <rPr>
            <b/>
            <sz val="30"/>
            <color indexed="81"/>
            <rFont val="細明體"/>
            <family val="3"/>
            <charset val="136"/>
          </rPr>
          <t>國內</t>
        </r>
        <r>
          <rPr>
            <b/>
            <sz val="30"/>
            <color indexed="81"/>
            <rFont val="Tahoma"/>
            <family val="2"/>
          </rPr>
          <t xml:space="preserve">*600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GE144" authorId="1" shapeId="0" xr:uid="{72BE6D36-5412-48B4-AC52-046899BC47A0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*700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HP144" authorId="1" shapeId="0" xr:uid="{03443561-C2C6-4B78-AC25-8B7016764F60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*300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IV144" authorId="1" shapeId="0" xr:uid="{AC7D55A2-F2C7-4CFD-AC39-8500FDB78BD6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*600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JT144" authorId="1" shapeId="0" xr:uid="{8E803F0B-B396-4CC1-86F1-4E099D6301E1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*200
 </t>
        </r>
        <r>
          <rPr>
            <b/>
            <sz val="30"/>
            <color indexed="81"/>
            <rFont val="細明體"/>
            <family val="3"/>
            <charset val="136"/>
          </rPr>
          <t>其餘國外
上海*830 鋁袋貼中國台灣標籤。
產線生產時貼。</t>
        </r>
      </text>
    </comment>
    <comment ref="KB144" authorId="1" shapeId="0" xr:uid="{FA0BBCDF-8C46-4E83-93C7-EA03F4B8F5CA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*600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NN144" authorId="1" shapeId="0" xr:uid="{4F20AF1A-FCF3-4DA7-8D2C-E17608189A72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NU144" authorId="1" shapeId="0" xr:uid="{C81AB839-EC7B-4002-BAFD-4B1A2B5CB492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TN144" authorId="1" shapeId="0" xr:uid="{7F397E88-97BD-4F5A-B4BD-485EA51A493B}">
      <text>
        <r>
          <rPr>
            <b/>
            <sz val="22"/>
            <color indexed="81"/>
            <rFont val="Tahoma"/>
            <family val="2"/>
          </rPr>
          <t xml:space="preserve">3/30 </t>
        </r>
        <r>
          <rPr>
            <b/>
            <sz val="22"/>
            <color indexed="81"/>
            <rFont val="細明體"/>
            <family val="3"/>
            <charset val="136"/>
          </rPr>
          <t>確認</t>
        </r>
        <r>
          <rPr>
            <b/>
            <sz val="22"/>
            <color indexed="81"/>
            <rFont val="Tahoma"/>
            <family val="2"/>
          </rPr>
          <t xml:space="preserve">
3/23 </t>
        </r>
        <r>
          <rPr>
            <b/>
            <sz val="22"/>
            <color indexed="81"/>
            <rFont val="細明體"/>
            <family val="3"/>
            <charset val="136"/>
          </rPr>
          <t>生產如可投產，</t>
        </r>
        <r>
          <rPr>
            <b/>
            <sz val="22"/>
            <color indexed="81"/>
            <rFont val="Tahoma"/>
            <family val="2"/>
          </rPr>
          <t xml:space="preserve">4/1 </t>
        </r>
        <r>
          <rPr>
            <b/>
            <sz val="22"/>
            <color indexed="81"/>
            <rFont val="細明體"/>
            <family val="3"/>
            <charset val="136"/>
          </rPr>
          <t>包裝，</t>
        </r>
        <r>
          <rPr>
            <b/>
            <sz val="22"/>
            <color indexed="81"/>
            <rFont val="Tahoma"/>
            <family val="2"/>
          </rPr>
          <t xml:space="preserve">LOT </t>
        </r>
        <r>
          <rPr>
            <b/>
            <sz val="22"/>
            <color indexed="81"/>
            <rFont val="細明體"/>
            <family val="3"/>
            <charset val="136"/>
          </rPr>
          <t>不變。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W144" authorId="1" shapeId="0" xr:uid="{C76B1802-1B87-4C89-A42B-9FE7DB35E05E}">
      <text>
        <r>
          <rPr>
            <b/>
            <sz val="22"/>
            <color indexed="81"/>
            <rFont val="Tahoma"/>
            <family val="2"/>
          </rPr>
          <t xml:space="preserve">3/23  RSB </t>
        </r>
        <r>
          <rPr>
            <b/>
            <sz val="22"/>
            <color indexed="81"/>
            <rFont val="細明體"/>
            <family val="3"/>
            <charset val="136"/>
          </rPr>
          <t>注水，原</t>
        </r>
        <r>
          <rPr>
            <b/>
            <sz val="22"/>
            <color indexed="81"/>
            <rFont val="Tahoma"/>
            <family val="2"/>
          </rPr>
          <t xml:space="preserve">3/25 </t>
        </r>
        <r>
          <rPr>
            <b/>
            <sz val="22"/>
            <color indexed="81"/>
            <rFont val="細明體"/>
            <family val="3"/>
            <charset val="136"/>
          </rPr>
          <t>包裝
生產日設定</t>
        </r>
        <r>
          <rPr>
            <b/>
            <sz val="22"/>
            <color indexed="81"/>
            <rFont val="Tahoma"/>
            <family val="2"/>
          </rPr>
          <t xml:space="preserve"> 3/25 
</t>
        </r>
        <r>
          <rPr>
            <b/>
            <sz val="22"/>
            <color indexed="81"/>
            <rFont val="細明體"/>
            <family val="3"/>
            <charset val="136"/>
          </rPr>
          <t>台灣線</t>
        </r>
        <r>
          <rPr>
            <b/>
            <sz val="22"/>
            <color indexed="81"/>
            <rFont val="Tahoma"/>
            <family val="2"/>
          </rPr>
          <t>800</t>
        </r>
        <r>
          <rPr>
            <b/>
            <sz val="22"/>
            <color indexed="81"/>
            <rFont val="細明體"/>
            <family val="3"/>
            <charset val="136"/>
          </rPr>
          <t>，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 xml:space="preserve">其餘國外。
</t>
        </r>
        <r>
          <rPr>
            <b/>
            <sz val="22"/>
            <color indexed="81"/>
            <rFont val="Tahoma"/>
            <family val="2"/>
          </rPr>
          <t xml:space="preserve">LOT </t>
        </r>
        <r>
          <rPr>
            <b/>
            <sz val="22"/>
            <color indexed="81"/>
            <rFont val="細明體"/>
            <family val="3"/>
            <charset val="136"/>
          </rPr>
          <t>不變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C144" authorId="1" shapeId="0" xr:uid="{F2C5E8D8-EE63-49F9-8A4D-5073A7CE21E1}">
      <text>
        <r>
          <rPr>
            <sz val="22"/>
            <color indexed="81"/>
            <rFont val="Tahoma"/>
            <family val="2"/>
          </rPr>
          <t xml:space="preserve">4/27 </t>
        </r>
        <r>
          <rPr>
            <sz val="22"/>
            <color indexed="81"/>
            <rFont val="細明體"/>
            <family val="3"/>
            <charset val="136"/>
          </rPr>
          <t>生產，</t>
        </r>
        <r>
          <rPr>
            <sz val="22"/>
            <color indexed="81"/>
            <rFont val="Tahoma"/>
            <family val="2"/>
          </rPr>
          <t xml:space="preserve">LOT </t>
        </r>
        <r>
          <rPr>
            <sz val="22"/>
            <color indexed="81"/>
            <rFont val="細明體"/>
            <family val="3"/>
            <charset val="136"/>
          </rPr>
          <t>不變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NN145" authorId="1" shapeId="0" xr:uid="{32ACA2D1-A9BE-4E53-8946-EFE9CC965D02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NU145" authorId="1" shapeId="0" xr:uid="{AADCDA82-9621-40F1-AACE-D3029AD52CF9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TF146" authorId="1" shapeId="0" xr:uid="{094B3017-9091-4547-B5F0-8879FA04BD20}">
      <text>
        <r>
          <rPr>
            <b/>
            <sz val="22"/>
            <color indexed="81"/>
            <rFont val="細明體"/>
            <family val="3"/>
            <charset val="136"/>
          </rPr>
          <t>要貼產地標籤，中國台灣</t>
        </r>
      </text>
    </comment>
    <comment ref="TN146" authorId="1" shapeId="0" xr:uid="{9AEEAA1D-B504-49CB-98B5-1BA061EB5B90}">
      <text>
        <r>
          <rPr>
            <b/>
            <sz val="22"/>
            <color indexed="81"/>
            <rFont val="細明體"/>
            <family val="3"/>
            <charset val="136"/>
          </rPr>
          <t>要貼產地標籤，中國台灣</t>
        </r>
      </text>
    </comment>
    <comment ref="NG147" authorId="1" shapeId="0" xr:uid="{DDF07BE2-2244-43E5-95F4-D79C88960DCE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NH147" authorId="1" shapeId="0" xr:uid="{FDCBD68A-EEF4-445E-91EA-EFEDF2FDA67C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NM147" authorId="1" shapeId="0" xr:uid="{2A01A5CD-F15C-45F9-882F-69CC1F8650C0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F148" authorId="2" shapeId="0" xr:uid="{4D505A88-F698-4916-8B81-12042D6F4165}">
      <text>
        <r>
          <rPr>
            <sz val="22"/>
            <color indexed="81"/>
            <rFont val="微軟正黑體"/>
            <family val="2"/>
            <charset val="136"/>
          </rPr>
          <t>SCIL*2000；其餘Skyla</t>
        </r>
      </text>
    </comment>
    <comment ref="AQ148" authorId="2" shapeId="0" xr:uid="{0F77FB5E-AB56-451B-ADD2-A2754109B947}">
      <text>
        <r>
          <rPr>
            <sz val="22"/>
            <color indexed="81"/>
            <rFont val="微軟正黑體"/>
            <family val="2"/>
            <charset val="136"/>
          </rPr>
          <t>SCIL*3000；其餘Skyla</t>
        </r>
      </text>
    </comment>
    <comment ref="W154" authorId="1" shapeId="0" xr:uid="{FE5F9989-4ADC-4BAF-8DD2-3030626DC066}">
      <text>
        <r>
          <rPr>
            <b/>
            <sz val="28"/>
            <color indexed="81"/>
            <rFont val="Tahoma"/>
            <family val="2"/>
          </rPr>
          <t xml:space="preserve">1/20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AN154" authorId="1" shapeId="0" xr:uid="{B3386B2B-3543-49A3-BB57-620DFC6AD672}">
      <text>
        <r>
          <rPr>
            <b/>
            <sz val="28"/>
            <color indexed="81"/>
            <rFont val="Tahoma"/>
            <family val="2"/>
          </rPr>
          <t xml:space="preserve">2/3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BD154" authorId="1" shapeId="0" xr:uid="{EC18FF4D-723F-4185-813D-DC3714FC1CCA}">
      <text>
        <r>
          <rPr>
            <b/>
            <sz val="28"/>
            <color indexed="81"/>
            <rFont val="Tahoma"/>
            <family val="2"/>
          </rPr>
          <t xml:space="preserve">2/17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BK154" authorId="1" shapeId="0" xr:uid="{11485701-738D-48F9-8C8D-CB4D21CB02AC}">
      <text>
        <r>
          <rPr>
            <b/>
            <sz val="28"/>
            <color indexed="81"/>
            <rFont val="Tahoma"/>
            <family val="2"/>
          </rPr>
          <t xml:space="preserve">2/24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BT154" authorId="1" shapeId="0" xr:uid="{B9464CD4-51CF-4A35-B5ED-7D72B4B6D488}">
      <text>
        <r>
          <rPr>
            <b/>
            <sz val="28"/>
            <color indexed="81"/>
            <rFont val="Tahoma"/>
            <family val="2"/>
          </rPr>
          <t xml:space="preserve">3/3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DY154" authorId="1" shapeId="0" xr:uid="{D872B0C0-FDA5-4EF7-89C8-0DEAE9F8233E}">
      <text>
        <r>
          <rPr>
            <b/>
            <sz val="28"/>
            <color indexed="81"/>
            <rFont val="Tahoma"/>
            <family val="2"/>
          </rPr>
          <t xml:space="preserve">4/21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FH154" authorId="1" shapeId="0" xr:uid="{903823DA-A541-4BA8-921F-1D4B37EB2C1C}">
      <text>
        <r>
          <rPr>
            <b/>
            <sz val="28"/>
            <color indexed="81"/>
            <rFont val="Tahoma"/>
            <family val="2"/>
          </rPr>
          <t xml:space="preserve">5/16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N154" authorId="1" shapeId="0" xr:uid="{615135A7-BDA3-49E4-A882-2A81CCBC19A5}">
      <text>
        <r>
          <rPr>
            <b/>
            <sz val="28"/>
            <color indexed="81"/>
            <rFont val="Tahoma"/>
            <family val="2"/>
          </rPr>
          <t xml:space="preserve">5/23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W154" authorId="1" shapeId="0" xr:uid="{123F2DE5-A9BF-4AE3-A069-B840D49EF7FF}">
      <text>
        <r>
          <rPr>
            <b/>
            <sz val="28"/>
            <color indexed="81"/>
            <rFont val="Tahoma"/>
            <family val="2"/>
          </rPr>
          <t xml:space="preserve">6/02  RSB </t>
        </r>
        <r>
          <rPr>
            <b/>
            <sz val="28"/>
            <color indexed="81"/>
            <rFont val="細明體"/>
            <family val="3"/>
            <charset val="136"/>
          </rPr>
          <t>水要配，中午前交藥</t>
        </r>
      </text>
    </comment>
    <comment ref="IJ154" authorId="1" shapeId="0" xr:uid="{08D3C0B1-1A66-478A-8C86-834B5CAADB52}">
      <text>
        <r>
          <rPr>
            <b/>
            <sz val="28"/>
            <color indexed="81"/>
            <rFont val="Tahoma"/>
            <family val="2"/>
          </rPr>
          <t xml:space="preserve">7/25  RSB </t>
        </r>
        <r>
          <rPr>
            <b/>
            <sz val="28"/>
            <color indexed="81"/>
            <rFont val="細明體"/>
            <family val="3"/>
            <charset val="136"/>
          </rPr>
          <t xml:space="preserve">水要配；
</t>
        </r>
        <r>
          <rPr>
            <b/>
            <sz val="28"/>
            <color indexed="81"/>
            <rFont val="Tahoma"/>
            <family val="2"/>
          </rPr>
          <t xml:space="preserve">7/24 </t>
        </r>
        <r>
          <rPr>
            <b/>
            <sz val="28"/>
            <color indexed="81"/>
            <rFont val="細明體"/>
            <family val="3"/>
            <charset val="136"/>
          </rPr>
          <t>先要塗佈少量的上蓋，供配藥與</t>
        </r>
        <r>
          <rPr>
            <b/>
            <sz val="28"/>
            <color indexed="81"/>
            <rFont val="Tahoma"/>
            <family val="2"/>
          </rPr>
          <t>QC</t>
        </r>
        <r>
          <rPr>
            <b/>
            <sz val="28"/>
            <color indexed="81"/>
            <rFont val="細明體"/>
            <family val="3"/>
            <charset val="136"/>
          </rPr>
          <t>測試。</t>
        </r>
      </text>
    </comment>
    <comment ref="IS154" authorId="1" shapeId="0" xr:uid="{51DC048D-21ED-49A3-A127-C7DAE59A968B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JA154" authorId="1" shapeId="0" xr:uid="{DBF4610E-52E8-4123-B3FA-95009F35A1FC}">
      <text>
        <r>
          <rPr>
            <b/>
            <sz val="28"/>
            <color indexed="81"/>
            <rFont val="Tahoma"/>
            <family val="2"/>
          </rPr>
          <t xml:space="preserve">8/08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CD155" authorId="0" shapeId="0" xr:uid="{871447E4-D151-4B64-AEDD-8F5D684B4798}">
      <text>
        <r>
          <rPr>
            <b/>
            <sz val="26"/>
            <color indexed="81"/>
            <rFont val="Tahoma"/>
            <family val="2"/>
          </rPr>
          <t xml:space="preserve">8/26 </t>
        </r>
        <r>
          <rPr>
            <b/>
            <sz val="26"/>
            <color indexed="81"/>
            <rFont val="細明體"/>
            <family val="3"/>
            <charset val="136"/>
          </rPr>
          <t>滴定</t>
        </r>
      </text>
    </comment>
    <comment ref="DZ155" authorId="1" shapeId="0" xr:uid="{8CAC141A-00D5-4E72-92BD-0082252BDCE9}">
      <text>
        <r>
          <rPr>
            <b/>
            <sz val="28"/>
            <color indexed="81"/>
            <rFont val="Tahoma"/>
            <family val="2"/>
          </rPr>
          <t xml:space="preserve">4/21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FO155" authorId="1" shapeId="0" xr:uid="{91EF656F-F20D-4B1F-A43E-B794DCD905D7}">
      <text>
        <r>
          <rPr>
            <b/>
            <sz val="28"/>
            <color indexed="81"/>
            <rFont val="Tahoma"/>
            <family val="2"/>
          </rPr>
          <t xml:space="preserve">5/23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X155" authorId="1" shapeId="0" xr:uid="{6C95575D-DD17-4639-8F19-3FBDC297C560}">
      <text>
        <r>
          <rPr>
            <b/>
            <sz val="28"/>
            <color indexed="81"/>
            <rFont val="Tahoma"/>
            <family val="2"/>
          </rPr>
          <t xml:space="preserve">6/02  RSB </t>
        </r>
        <r>
          <rPr>
            <b/>
            <sz val="28"/>
            <color indexed="81"/>
            <rFont val="細明體"/>
            <family val="3"/>
            <charset val="136"/>
          </rPr>
          <t>水要配，中午前交藥</t>
        </r>
      </text>
    </comment>
    <comment ref="IK155" authorId="1" shapeId="0" xr:uid="{32AFA9F6-01B9-433F-846D-84287CF8CDDB}">
      <text>
        <r>
          <rPr>
            <b/>
            <sz val="28"/>
            <color indexed="81"/>
            <rFont val="Tahoma"/>
            <family val="2"/>
          </rPr>
          <t xml:space="preserve">7/25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IT155" authorId="1" shapeId="0" xr:uid="{24776701-C785-48EC-84D8-E9606155515E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JB155" authorId="1" shapeId="0" xr:uid="{C5E93655-E990-4E86-BE94-90BA4AF3A72F}">
      <text>
        <r>
          <rPr>
            <b/>
            <sz val="28"/>
            <color indexed="81"/>
            <rFont val="Tahoma"/>
            <family val="2"/>
          </rPr>
          <t xml:space="preserve">8/08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H156" authorId="0" shapeId="0" xr:uid="{7C4C3EC4-8E7A-49F4-8F15-DC2B8ECAB3A5}">
      <text>
        <r>
          <rPr>
            <b/>
            <sz val="24"/>
            <color indexed="81"/>
            <rFont val="細明體"/>
            <family val="3"/>
            <charset val="136"/>
          </rPr>
          <t>切2批，上周剩餘料投500投完</t>
        </r>
      </text>
    </comment>
    <comment ref="BV156" authorId="1" shapeId="0" xr:uid="{68CB3D47-C1EB-4DF1-A818-C35FD024F42F}">
      <text>
        <r>
          <rPr>
            <b/>
            <sz val="16"/>
            <color indexed="81"/>
            <rFont val="細明體"/>
            <family val="3"/>
            <charset val="136"/>
          </rPr>
          <t>最少入庫440</t>
        </r>
      </text>
    </comment>
    <comment ref="EA156" authorId="1" shapeId="0" xr:uid="{021F5028-894F-432C-ABAF-86F5BDD83A2E}">
      <text>
        <r>
          <rPr>
            <b/>
            <sz val="28"/>
            <color indexed="81"/>
            <rFont val="Tahoma"/>
            <family val="2"/>
          </rPr>
          <t xml:space="preserve">4/21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FP156" authorId="1" shapeId="0" xr:uid="{8C57D2F2-B5D0-4305-A369-0A8079C7215C}">
      <text>
        <r>
          <rPr>
            <b/>
            <sz val="28"/>
            <color indexed="81"/>
            <rFont val="Tahoma"/>
            <family val="2"/>
          </rPr>
          <t xml:space="preserve">5/23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Y156" authorId="1" shapeId="0" xr:uid="{54F214C1-1A67-40CF-9831-87118C92CDA5}">
      <text>
        <r>
          <rPr>
            <b/>
            <sz val="28"/>
            <color indexed="81"/>
            <rFont val="Tahoma"/>
            <family val="2"/>
          </rPr>
          <t xml:space="preserve">6/02  RSB </t>
        </r>
        <r>
          <rPr>
            <b/>
            <sz val="28"/>
            <color indexed="81"/>
            <rFont val="細明體"/>
            <family val="3"/>
            <charset val="136"/>
          </rPr>
          <t>水要配，中午前交藥
入庫</t>
        </r>
        <r>
          <rPr>
            <b/>
            <sz val="28"/>
            <color indexed="81"/>
            <rFont val="Tahoma"/>
            <family val="2"/>
          </rPr>
          <t xml:space="preserve">2880 </t>
        </r>
        <r>
          <rPr>
            <b/>
            <sz val="28"/>
            <color indexed="81"/>
            <rFont val="細明體"/>
            <family val="3"/>
            <charset val="136"/>
          </rPr>
          <t>停止生產</t>
        </r>
      </text>
    </comment>
    <comment ref="IL156" authorId="1" shapeId="0" xr:uid="{E3135C95-B06B-4F33-AB62-8932B4E5C455}">
      <text>
        <r>
          <rPr>
            <b/>
            <sz val="28"/>
            <color indexed="81"/>
            <rFont val="Tahoma"/>
            <family val="2"/>
          </rPr>
          <t xml:space="preserve">7/25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IU156" authorId="1" shapeId="0" xr:uid="{C9CB07E3-C03F-4794-B0FA-5FA116CC272B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IV156" authorId="1" shapeId="0" xr:uid="{C160A0A4-D95E-4B5A-BC22-B4CC34F647C7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JC156" authorId="1" shapeId="0" xr:uid="{769819F8-B12B-4EB5-96BE-4D6566BA5EEA}">
      <text>
        <r>
          <rPr>
            <b/>
            <sz val="28"/>
            <color indexed="81"/>
            <rFont val="Tahoma"/>
            <family val="2"/>
          </rPr>
          <t xml:space="preserve">8/08  RSB </t>
        </r>
        <r>
          <rPr>
            <b/>
            <sz val="28"/>
            <color indexed="81"/>
            <rFont val="細明體"/>
            <family val="3"/>
            <charset val="136"/>
          </rPr>
          <t>水要配
入庫</t>
        </r>
        <r>
          <rPr>
            <b/>
            <sz val="28"/>
            <color indexed="81"/>
            <rFont val="Tahoma"/>
            <family val="2"/>
          </rPr>
          <t xml:space="preserve">1820 </t>
        </r>
        <r>
          <rPr>
            <b/>
            <sz val="28"/>
            <color indexed="81"/>
            <rFont val="細明體"/>
            <family val="3"/>
            <charset val="136"/>
          </rPr>
          <t>停止生產。</t>
        </r>
      </text>
    </comment>
    <comment ref="AX159" authorId="1" shapeId="0" xr:uid="{A2F62822-991B-4EBE-9DC6-EC087316D422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CT159" authorId="1" shapeId="0" xr:uid="{951A8DF5-991C-46B5-8C9B-D1546FC7E30B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EA159" authorId="1" shapeId="0" xr:uid="{5820343E-0CBE-4060-ABBA-99B999847F73}">
      <text>
        <r>
          <rPr>
            <sz val="36"/>
            <color indexed="81"/>
            <rFont val="Tahoma"/>
            <family val="2"/>
          </rPr>
          <t xml:space="preserve">RD </t>
        </r>
        <r>
          <rPr>
            <sz val="36"/>
            <color indexed="81"/>
            <rFont val="細明體"/>
            <family val="3"/>
            <charset val="136"/>
          </rPr>
          <t>試作，費用型工單，不貼標，單片包裝。實際已</t>
        </r>
        <r>
          <rPr>
            <sz val="36"/>
            <color indexed="81"/>
            <rFont val="Tahoma"/>
            <family val="2"/>
          </rPr>
          <t xml:space="preserve">EN </t>
        </r>
        <r>
          <rPr>
            <sz val="36"/>
            <color indexed="81"/>
            <rFont val="細明體"/>
            <family val="3"/>
            <charset val="136"/>
          </rPr>
          <t>為主。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159" authorId="1" shapeId="0" xr:uid="{8F5C5A19-3B0C-4F82-BA91-2164304A2583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Q159" authorId="1" shapeId="0" xr:uid="{033C5CFA-7A01-4FC0-9AD9-F1C837AC0939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G159" authorId="1" shapeId="0" xr:uid="{D1A66ECF-D76D-410E-8A18-C3B05D01FDBA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FH159" authorId="1" shapeId="0" xr:uid="{9C96166E-E584-4121-920D-102A8CA405D5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GO159" authorId="1" shapeId="0" xr:uid="{96175021-84EE-43F7-82C3-2405B34FD9C9}">
      <text>
        <r>
          <rPr>
            <b/>
            <sz val="22"/>
            <color indexed="81"/>
            <rFont val="細明體"/>
            <family val="3"/>
            <charset val="136"/>
          </rPr>
          <t>產線先回報良品數量，決定</t>
        </r>
        <r>
          <rPr>
            <b/>
            <sz val="22"/>
            <color indexed="81"/>
            <rFont val="Tahoma"/>
            <family val="2"/>
          </rPr>
          <t xml:space="preserve">SCIL </t>
        </r>
        <r>
          <rPr>
            <b/>
            <sz val="22"/>
            <color indexed="81"/>
            <rFont val="細明體"/>
            <family val="3"/>
            <charset val="136"/>
          </rPr>
          <t>要做多少。</t>
        </r>
      </text>
    </comment>
    <comment ref="HC159" authorId="1" shapeId="0" xr:uid="{D6190DF8-A806-460C-8B25-05F1C49D2A16}">
      <text>
        <r>
          <rPr>
            <sz val="24"/>
            <color indexed="81"/>
            <rFont val="細明體"/>
            <family val="3"/>
            <charset val="136"/>
          </rPr>
          <t>舊配方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T159" authorId="1" shapeId="0" xr:uid="{9148D14A-EAB0-4446-9220-D2E517067BA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HU159" authorId="1" shapeId="0" xr:uid="{785C5785-59DC-4566-9DBD-2F1639771270}">
      <text>
        <r>
          <rPr>
            <b/>
            <sz val="22"/>
            <color indexed="81"/>
            <rFont val="細明體"/>
            <family val="3"/>
            <charset val="136"/>
          </rPr>
          <t xml:space="preserve">舊配方
LM3432
Control run _ Elisa 氣密塞 (7B05000023-A) 縮短長度設變驗證*50 </t>
        </r>
      </text>
    </comment>
    <comment ref="JD159" authorId="1" shapeId="0" xr:uid="{2F4FCBDF-E849-4E20-8D65-F694A01F74E0}">
      <text>
        <r>
          <rPr>
            <b/>
            <sz val="22"/>
            <color indexed="81"/>
            <rFont val="Tahoma"/>
            <family val="2"/>
          </rPr>
          <t>LM3482</t>
        </r>
        <r>
          <rPr>
            <b/>
            <sz val="22"/>
            <color indexed="81"/>
            <rFont val="細明體"/>
            <family val="3"/>
            <charset val="136"/>
          </rPr>
          <t xml:space="preserve">；
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試作，製程順序
</t>
        </r>
        <r>
          <rPr>
            <b/>
            <sz val="22"/>
            <color indexed="81"/>
            <rFont val="Tahoma"/>
            <family val="2"/>
          </rPr>
          <t xml:space="preserve">8/13 </t>
        </r>
        <r>
          <rPr>
            <b/>
            <sz val="22"/>
            <color indexed="81"/>
            <rFont val="細明體"/>
            <family val="3"/>
            <charset val="136"/>
          </rPr>
          <t>夜班產線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背貼加塞子。
</t>
        </r>
        <r>
          <rPr>
            <b/>
            <sz val="22"/>
            <color indexed="81"/>
            <rFont val="Tahoma"/>
            <family val="2"/>
          </rPr>
          <t xml:space="preserve">8/14 </t>
        </r>
        <r>
          <rPr>
            <b/>
            <sz val="22"/>
            <color indexed="81"/>
            <rFont val="細明體"/>
            <family val="3"/>
            <charset val="136"/>
          </rPr>
          <t>日班產線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秤重，注水，目檢，負壓。
</t>
        </r>
        <r>
          <rPr>
            <b/>
            <sz val="22"/>
            <color indexed="81"/>
            <rFont val="Tahoma"/>
            <family val="2"/>
          </rPr>
          <t>8/14 RD:</t>
        </r>
        <r>
          <rPr>
            <b/>
            <sz val="22"/>
            <color indexed="81"/>
            <rFont val="細明體"/>
            <family val="3"/>
            <charset val="136"/>
          </rPr>
          <t>貼正貼與</t>
        </r>
        <r>
          <rPr>
            <b/>
            <sz val="22"/>
            <color indexed="81"/>
            <rFont val="Tahoma"/>
            <family val="2"/>
          </rPr>
          <t xml:space="preserve">PS </t>
        </r>
        <r>
          <rPr>
            <b/>
            <sz val="22"/>
            <color indexed="81"/>
            <rFont val="細明體"/>
            <family val="3"/>
            <charset val="136"/>
          </rPr>
          <t xml:space="preserve">球。
</t>
        </r>
        <r>
          <rPr>
            <b/>
            <sz val="22"/>
            <color indexed="81"/>
            <rFont val="Tahoma"/>
            <family val="2"/>
          </rPr>
          <t xml:space="preserve">8/14 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目檢，不貼標，要包裝。
</t>
        </r>
      </text>
    </comment>
    <comment ref="JT159" authorId="1" shapeId="0" xr:uid="{AAD9D8E2-8CB9-44D2-931F-AFC82D9C8E37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U159" authorId="1" shapeId="0" xr:uid="{2F16770B-D296-4D4B-967E-4452939AC6E2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B159" authorId="1" shapeId="0" xr:uid="{D7D6AEFA-7BB3-4723-B9E1-A03CD68B7587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C159" authorId="1" shapeId="0" xr:uid="{35DF238E-1CA5-4DD1-98A1-8496DF9C02FE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I159" authorId="1" shapeId="0" xr:uid="{5BAAFDFB-9880-4F4A-9FF8-440F9106EDB1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J159" authorId="1" shapeId="0" xr:uid="{E5662076-F94B-4785-868E-6442C41DD72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Z159" authorId="1" shapeId="0" xr:uid="{4AB49F63-A490-4488-8AE8-678E76D26675}">
      <text>
        <r>
          <rPr>
            <sz val="30"/>
            <color indexed="81"/>
            <rFont val="細明體"/>
            <family val="3"/>
            <charset val="136"/>
          </rPr>
          <t>費用型工單:
LM3525: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9/23 夜班00:00 開始作業。夜班，貼背貼加塞子。
2. 9/24 日班 08:30 開始注水。負壓秤重。
3. 注水後，需要 負壓，秤重。
4. 每完成100片給RD貼正貼與PS 球。
5.9/24 RD 完成後，給產線，產線包裝完成後，放入4度C冰箱。
9/26 包裝。</t>
        </r>
      </text>
    </comment>
    <comment ref="LI159" authorId="1" shapeId="0" xr:uid="{BB2B0BC6-830D-4B8F-B918-97A50F7EBC77}">
      <text>
        <r>
          <rPr>
            <sz val="30"/>
            <color indexed="81"/>
            <rFont val="細明體"/>
            <family val="3"/>
            <charset val="136"/>
          </rPr>
          <t>費用型工單:
LM3544: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10/01 開始作業。夜班，貼背貼加塞子。
2. 10/02 日班 08:30 開始注水。負壓秤重。
3. 注水後，需要 負壓，秤重。
4. 每完成100片給RD貼正貼與PS 球。
5. 10/02 RD 完成後，給產線，產線包裝完成後，放入4度C冰箱。
6.成品給DQA。</t>
        </r>
      </text>
    </comment>
    <comment ref="NU159" authorId="1" shapeId="0" xr:uid="{AC847827-57CB-4D91-BBDB-C7122923A077}">
      <text>
        <r>
          <rPr>
            <sz val="30"/>
            <color indexed="81"/>
            <rFont val="細明體"/>
            <family val="3"/>
            <charset val="136"/>
          </rPr>
          <t>費用型工單:
LM3613: 當天生產即可。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1.使用烘烤的卡匣。
2.使用新的ELISA 機台作業。
3.背貼-&gt;塞子-&gt;填藥(2顆)-&gt;正貼-&gt;秤重注水-&gt;負壓-&gt;秤重目檢-&gt;包裝
4.包裝完成，不需貼標。
5.有任何問題找PE。</t>
        </r>
      </text>
    </comment>
    <comment ref="OK159" authorId="1" shapeId="0" xr:uid="{48BB6605-BFC3-4D4B-96D3-3B1C5BE762B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B159" authorId="1" shapeId="0" xr:uid="{3810DB8B-1D42-4C8C-BACB-4F7EC253BB23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12/23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 12/22 RD 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I159" authorId="1" shapeId="0" xr:uid="{67F483D8-470C-46F6-9398-2BB917DC15CE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J159" authorId="1" shapeId="0" xr:uid="{9A4B8248-93AE-4275-8B66-BD32A95E3C67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12/30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 12/29 RD 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T159" authorId="1" shapeId="0" xr:uid="{B1440E18-4732-46F4-A453-748091492162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QP159" authorId="1" shapeId="0" xr:uid="{B424728A-C0AA-4F6E-B921-980490F33C4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B159" authorId="1" shapeId="0" xr:uid="{462FBB8D-8D05-48C8-8271-BF6CD1698DA6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C159" authorId="1" shapeId="0" xr:uid="{386DDBCF-4090-48CE-9867-AAB71CBAADA5}">
      <text>
        <r>
          <rPr>
            <sz val="30"/>
            <color indexed="81"/>
            <rFont val="Tahoma"/>
            <family val="2"/>
          </rPr>
          <t xml:space="preserve">EN: 3770 </t>
        </r>
        <r>
          <rPr>
            <sz val="30"/>
            <color indexed="81"/>
            <rFont val="細明體"/>
            <family val="3"/>
            <charset val="136"/>
          </rPr>
          <t>；</t>
        </r>
        <r>
          <rPr>
            <sz val="30"/>
            <color indexed="81"/>
            <rFont val="Tahoma"/>
            <family val="2"/>
          </rPr>
          <t xml:space="preserve">3773
RD </t>
        </r>
        <r>
          <rPr>
            <sz val="30"/>
            <color indexed="81"/>
            <rFont val="細明體"/>
            <family val="3"/>
            <charset val="136"/>
          </rPr>
          <t>試作，分</t>
        </r>
        <r>
          <rPr>
            <sz val="30"/>
            <color indexed="81"/>
            <rFont val="Tahoma"/>
            <family val="2"/>
          </rPr>
          <t>2</t>
        </r>
        <r>
          <rPr>
            <sz val="30"/>
            <color indexed="81"/>
            <rFont val="細明體"/>
            <family val="3"/>
            <charset val="136"/>
          </rPr>
          <t xml:space="preserve">批。
</t>
        </r>
        <r>
          <rPr>
            <b/>
            <sz val="30"/>
            <color indexed="81"/>
            <rFont val="Tahoma"/>
            <family val="2"/>
          </rPr>
          <t>Solution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>卡匣</t>
        </r>
        <r>
          <rPr>
            <b/>
            <sz val="28"/>
            <color indexed="81"/>
            <rFont val="Tahoma"/>
            <family val="2"/>
          </rPr>
          <t xml:space="preserve"> / </t>
        </r>
        <r>
          <rPr>
            <b/>
            <sz val="28"/>
            <color indexed="81"/>
            <rFont val="細明體"/>
            <family val="3"/>
            <charset val="136"/>
          </rPr>
          <t>塞子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>需先滅菌烘乾後備用</t>
        </r>
        <r>
          <rPr>
            <sz val="30"/>
            <color indexed="81"/>
            <rFont val="細明體"/>
            <family val="3"/>
            <charset val="136"/>
          </rPr>
          <t xml:space="preserve">
請產線生依標準製程生產</t>
        </r>
        <r>
          <rPr>
            <sz val="30"/>
            <color indexed="81"/>
            <rFont val="Tahoma"/>
            <family val="2"/>
          </rPr>
          <t xml:space="preserve"> Solution_cTSH </t>
        </r>
        <r>
          <rPr>
            <sz val="30"/>
            <color indexed="81"/>
            <rFont val="細明體"/>
            <family val="3"/>
            <charset val="136"/>
          </rPr>
          <t>新配方
封入</t>
        </r>
        <r>
          <rPr>
            <sz val="30"/>
            <color indexed="81"/>
            <rFont val="Tahoma"/>
            <family val="2"/>
          </rPr>
          <t xml:space="preserve"> R1/R2/R3</t>
        </r>
        <r>
          <rPr>
            <sz val="30"/>
            <color indexed="81"/>
            <rFont val="細明體"/>
            <family val="3"/>
            <charset val="136"/>
          </rPr>
          <t xml:space="preserve">，
</t>
        </r>
        <r>
          <rPr>
            <sz val="30"/>
            <color indexed="81"/>
            <rFont val="Tahoma"/>
            <family val="2"/>
          </rPr>
          <t xml:space="preserve">100 pics </t>
        </r>
        <r>
          <rPr>
            <sz val="30"/>
            <color indexed="81"/>
            <rFont val="細明體"/>
            <family val="3"/>
            <charset val="136"/>
          </rPr>
          <t>不須貼離型膜不須填入</t>
        </r>
        <r>
          <rPr>
            <sz val="30"/>
            <color indexed="81"/>
            <rFont val="Tahoma"/>
            <family val="2"/>
          </rPr>
          <t xml:space="preserve"> R4
</t>
        </r>
        <r>
          <rPr>
            <b/>
            <sz val="36"/>
            <color indexed="81"/>
            <rFont val="Tahoma"/>
            <family val="2"/>
          </rPr>
          <t xml:space="preserve">100 pics </t>
        </r>
        <r>
          <rPr>
            <b/>
            <sz val="36"/>
            <color indexed="81"/>
            <rFont val="細明體"/>
            <family val="3"/>
            <charset val="136"/>
          </rPr>
          <t>須貼離型膜不須填入</t>
        </r>
        <r>
          <rPr>
            <b/>
            <sz val="36"/>
            <color indexed="81"/>
            <rFont val="Tahoma"/>
            <family val="2"/>
          </rPr>
          <t xml:space="preserve"> R4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貼膜與填藥製程需使用新設備進行生產。</t>
        </r>
        <r>
          <rPr>
            <sz val="30"/>
            <color indexed="81"/>
            <rFont val="Tahoma"/>
            <family val="2"/>
          </rPr>
          <t xml:space="preserve">(Vons </t>
        </r>
        <r>
          <rPr>
            <sz val="30"/>
            <color indexed="81"/>
            <rFont val="細明體"/>
            <family val="3"/>
            <charset val="136"/>
          </rPr>
          <t>確認，請依據</t>
        </r>
        <r>
          <rPr>
            <sz val="30"/>
            <color indexed="81"/>
            <rFont val="Tahoma"/>
            <family val="2"/>
          </rPr>
          <t xml:space="preserve"> gating </t>
        </r>
        <r>
          <rPr>
            <sz val="30"/>
            <color indexed="81"/>
            <rFont val="細明體"/>
            <family val="3"/>
            <charset val="136"/>
          </rPr>
          <t>後決議之參數進行</t>
        </r>
        <r>
          <rPr>
            <sz val="30"/>
            <color indexed="81"/>
            <rFont val="Tahoma"/>
            <family val="2"/>
          </rPr>
          <t xml:space="preserve">)
</t>
        </r>
        <r>
          <rPr>
            <sz val="30"/>
            <color indexed="81"/>
            <rFont val="細明體"/>
            <family val="3"/>
            <charset val="136"/>
          </rPr>
          <t>後續交給</t>
        </r>
        <r>
          <rPr>
            <sz val="30"/>
            <color indexed="81"/>
            <rFont val="Tahoma"/>
            <family val="2"/>
          </rPr>
          <t xml:space="preserve"> RD_Ivan </t>
        </r>
        <r>
          <rPr>
            <sz val="30"/>
            <color indexed="81"/>
            <rFont val="細明體"/>
            <family val="3"/>
            <charset val="136"/>
          </rPr>
          <t>即可</t>
        </r>
        <r>
          <rPr>
            <sz val="30"/>
            <color indexed="81"/>
            <rFont val="Tahoma"/>
            <family val="2"/>
          </rPr>
          <t xml:space="preserve"> </t>
        </r>
      </text>
    </comment>
    <comment ref="RK159" authorId="1" shapeId="0" xr:uid="{01C7AD83-80A0-45BA-B9FE-E4D5B9AB9C5E}">
      <text>
        <r>
          <rPr>
            <b/>
            <sz val="22"/>
            <color indexed="81"/>
            <rFont val="Tahoma"/>
            <family val="2"/>
          </rPr>
          <t xml:space="preserve">EN:3779
</t>
        </r>
        <r>
          <rPr>
            <b/>
            <sz val="22"/>
            <color indexed="81"/>
            <rFont val="細明體"/>
            <family val="3"/>
            <charset val="136"/>
          </rPr>
          <t>封入</t>
        </r>
        <r>
          <rPr>
            <b/>
            <sz val="22"/>
            <color indexed="81"/>
            <rFont val="Tahoma"/>
            <family val="2"/>
          </rPr>
          <t xml:space="preserve"> R1/R2/R3
100 pics </t>
        </r>
        <r>
          <rPr>
            <b/>
            <sz val="22"/>
            <color indexed="81"/>
            <rFont val="細明體"/>
            <family val="3"/>
            <charset val="136"/>
          </rPr>
          <t>為新製程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貼背膜</t>
        </r>
        <r>
          <rPr>
            <b/>
            <sz val="22"/>
            <color indexed="81"/>
            <rFont val="Tahoma"/>
            <family val="2"/>
          </rPr>
          <t>&gt;&gt;&gt;</t>
        </r>
        <r>
          <rPr>
            <b/>
            <sz val="22"/>
            <color indexed="81"/>
            <rFont val="細明體"/>
            <family val="3"/>
            <charset val="136"/>
          </rPr>
          <t>壓塞</t>
        </r>
        <r>
          <rPr>
            <b/>
            <sz val="22"/>
            <color indexed="81"/>
            <rFont val="Tahoma"/>
            <family val="2"/>
          </rPr>
          <t>&gt;&gt;&gt;</t>
        </r>
        <r>
          <rPr>
            <b/>
            <sz val="22"/>
            <color indexed="81"/>
            <rFont val="細明體"/>
            <family val="3"/>
            <charset val="136"/>
          </rPr>
          <t>注水封膜</t>
        </r>
        <r>
          <rPr>
            <b/>
            <sz val="22"/>
            <color indexed="81"/>
            <rFont val="Tahoma"/>
            <family val="2"/>
          </rPr>
          <t>&gt;&gt;&gt;</t>
        </r>
        <r>
          <rPr>
            <b/>
            <sz val="22"/>
            <color indexed="81"/>
            <rFont val="細明體"/>
            <family val="3"/>
            <charset val="136"/>
          </rPr>
          <t>貼正膜
製程條件請</t>
        </r>
        <r>
          <rPr>
            <b/>
            <sz val="22"/>
            <color indexed="81"/>
            <rFont val="Tahoma"/>
            <family val="2"/>
          </rPr>
          <t xml:space="preserve"> Vons </t>
        </r>
        <r>
          <rPr>
            <b/>
            <sz val="22"/>
            <color indexed="81"/>
            <rFont val="細明體"/>
            <family val="3"/>
            <charset val="136"/>
          </rPr>
          <t>確認，或者跟</t>
        </r>
        <r>
          <rPr>
            <b/>
            <sz val="22"/>
            <color indexed="81"/>
            <rFont val="Tahoma"/>
            <family val="2"/>
          </rPr>
          <t xml:space="preserve"> RD Ivan </t>
        </r>
        <r>
          <rPr>
            <b/>
            <sz val="22"/>
            <color indexed="81"/>
            <rFont val="細明體"/>
            <family val="3"/>
            <charset val="136"/>
          </rPr>
          <t>討論</t>
        </r>
        <r>
          <rPr>
            <b/>
            <sz val="22"/>
            <color indexed="81"/>
            <rFont val="Tahoma"/>
            <family val="2"/>
          </rPr>
          <t xml:space="preserve">~
</t>
        </r>
        <r>
          <rPr>
            <b/>
            <sz val="22"/>
            <color indexed="81"/>
            <rFont val="細明體"/>
            <family val="3"/>
            <charset val="136"/>
          </rPr>
          <t>該製程不需填入</t>
        </r>
        <r>
          <rPr>
            <b/>
            <sz val="22"/>
            <color indexed="81"/>
            <rFont val="Tahoma"/>
            <family val="2"/>
          </rPr>
          <t xml:space="preserve"> HAMA blocker </t>
        </r>
        <r>
          <rPr>
            <b/>
            <sz val="22"/>
            <color indexed="81"/>
            <rFont val="細明體"/>
            <family val="3"/>
            <charset val="136"/>
          </rPr>
          <t>也不填入</t>
        </r>
        <r>
          <rPr>
            <b/>
            <sz val="22"/>
            <color indexed="81"/>
            <rFont val="Tahoma"/>
            <family val="2"/>
          </rPr>
          <t xml:space="preserve"> TSH R4
</t>
        </r>
        <r>
          <rPr>
            <b/>
            <sz val="22"/>
            <color indexed="81"/>
            <rFont val="細明體"/>
            <family val="3"/>
            <charset val="136"/>
          </rPr>
          <t>完成後卡匣直接交由</t>
        </r>
        <r>
          <rPr>
            <b/>
            <sz val="22"/>
            <color indexed="81"/>
            <rFont val="Tahoma"/>
            <family val="2"/>
          </rPr>
          <t xml:space="preserve"> RD Ivan~
</t>
        </r>
        <r>
          <rPr>
            <b/>
            <sz val="22"/>
            <color indexed="81"/>
            <rFont val="細明體"/>
            <family val="3"/>
            <charset val="136"/>
          </rPr>
          <t>已經與</t>
        </r>
        <r>
          <rPr>
            <b/>
            <sz val="22"/>
            <color indexed="81"/>
            <rFont val="Tahoma"/>
            <family val="2"/>
          </rPr>
          <t xml:space="preserve"> TOM </t>
        </r>
        <r>
          <rPr>
            <b/>
            <sz val="22"/>
            <color indexed="81"/>
            <rFont val="細明體"/>
            <family val="3"/>
            <charset val="136"/>
          </rPr>
          <t>溝通過，周四晚上</t>
        </r>
        <r>
          <rPr>
            <b/>
            <sz val="22"/>
            <color indexed="81"/>
            <rFont val="Tahoma"/>
            <family val="2"/>
          </rPr>
          <t xml:space="preserve"> RD </t>
        </r>
        <r>
          <rPr>
            <b/>
            <sz val="22"/>
            <color indexed="81"/>
            <rFont val="細明體"/>
            <family val="3"/>
            <charset val="136"/>
          </rPr>
          <t>給試劑，周五白天生產</t>
        </r>
        <r>
          <rPr>
            <b/>
            <sz val="22"/>
            <color indexed="81"/>
            <rFont val="Tahoma"/>
            <family val="2"/>
          </rPr>
          <t xml:space="preserve"> (2026/2/13)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Z159" authorId="1" shapeId="0" xr:uid="{98FF6BDB-F7AA-40AA-AB6B-1D6189783812}">
      <text>
        <r>
          <rPr>
            <b/>
            <sz val="22"/>
            <color indexed="81"/>
            <rFont val="Tahoma"/>
            <family val="2"/>
          </rPr>
          <t>EN:3783</t>
        </r>
        <r>
          <rPr>
            <b/>
            <sz val="22"/>
            <color indexed="81"/>
            <rFont val="細明體"/>
            <family val="3"/>
            <charset val="136"/>
          </rPr>
          <t>；製程單切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>批，塞子分類各</t>
        </r>
        <r>
          <rPr>
            <b/>
            <sz val="22"/>
            <color indexed="81"/>
            <rFont val="Tahoma"/>
            <family val="2"/>
          </rPr>
          <t>100</t>
        </r>
        <r>
          <rPr>
            <b/>
            <sz val="22"/>
            <color indexed="81"/>
            <rFont val="細明體"/>
            <family val="3"/>
            <charset val="136"/>
          </rPr>
          <t>片。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>全製程生產</t>
        </r>
        <r>
          <rPr>
            <b/>
            <sz val="22"/>
            <color indexed="81"/>
            <rFont val="Tahoma"/>
            <family val="2"/>
          </rPr>
          <t xml:space="preserve">
Solution_cTSH </t>
        </r>
        <r>
          <rPr>
            <b/>
            <sz val="22"/>
            <color indexed="81"/>
            <rFont val="細明體"/>
            <family val="3"/>
            <charset val="136"/>
          </rPr>
          <t>大小塞子深度</t>
        </r>
        <r>
          <rPr>
            <b/>
            <sz val="22"/>
            <color indexed="81"/>
            <rFont val="Tahoma"/>
            <family val="2"/>
          </rPr>
          <t xml:space="preserve"> 19.6mm </t>
        </r>
        <r>
          <rPr>
            <b/>
            <sz val="22"/>
            <color indexed="81"/>
            <rFont val="細明體"/>
            <family val="3"/>
            <charset val="136"/>
          </rPr>
          <t>測試</t>
        </r>
        <r>
          <rPr>
            <b/>
            <sz val="22"/>
            <color indexed="81"/>
            <rFont val="Tahoma"/>
            <family val="2"/>
          </rPr>
          <t xml:space="preserve"> 100 &amp; 100 pics
</t>
        </r>
        <r>
          <rPr>
            <b/>
            <sz val="22"/>
            <color indexed="81"/>
            <rFont val="細明體"/>
            <family val="3"/>
            <charset val="136"/>
          </rPr>
          <t>一、</t>
        </r>
        <r>
          <rPr>
            <b/>
            <sz val="22"/>
            <color indexed="81"/>
            <rFont val="Tahoma"/>
            <family val="2"/>
          </rPr>
          <t>ELISA</t>
        </r>
        <r>
          <rPr>
            <b/>
            <sz val="22"/>
            <color indexed="81"/>
            <rFont val="細明體"/>
            <family val="3"/>
            <charset val="136"/>
          </rPr>
          <t>生產設備變更，進行製程確認
請於</t>
        </r>
        <r>
          <rPr>
            <b/>
            <sz val="22"/>
            <color indexed="81"/>
            <rFont val="Tahoma"/>
            <family val="2"/>
          </rPr>
          <t xml:space="preserve"> LM3722 </t>
        </r>
        <r>
          <rPr>
            <b/>
            <sz val="22"/>
            <color indexed="81"/>
            <rFont val="細明體"/>
            <family val="3"/>
            <charset val="136"/>
          </rPr>
          <t>完成後即可安排生產
二、請產線生依標準製程生產</t>
        </r>
        <r>
          <rPr>
            <b/>
            <sz val="22"/>
            <color indexed="81"/>
            <rFont val="Tahoma"/>
            <family val="2"/>
          </rPr>
          <t xml:space="preserve"> Solution_TSH 100+100 pics
</t>
        </r>
        <r>
          <rPr>
            <b/>
            <sz val="22"/>
            <color indexed="81"/>
            <rFont val="細明體"/>
            <family val="3"/>
            <charset val="136"/>
          </rPr>
          <t>小塞子，深度</t>
        </r>
        <r>
          <rPr>
            <b/>
            <sz val="22"/>
            <color indexed="81"/>
            <rFont val="Tahoma"/>
            <family val="2"/>
          </rPr>
          <t xml:space="preserve"> 19.6mm: 100 pics
</t>
        </r>
        <r>
          <rPr>
            <b/>
            <sz val="22"/>
            <color indexed="81"/>
            <rFont val="細明體"/>
            <family val="3"/>
            <charset val="136"/>
          </rPr>
          <t>大塞子，深度</t>
        </r>
        <r>
          <rPr>
            <b/>
            <sz val="22"/>
            <color indexed="81"/>
            <rFont val="Tahoma"/>
            <family val="2"/>
          </rPr>
          <t xml:space="preserve"> 19.6mm: 100 pics
cTSH </t>
        </r>
        <r>
          <rPr>
            <b/>
            <sz val="22"/>
            <color indexed="81"/>
            <rFont val="細明體"/>
            <family val="3"/>
            <charset val="136"/>
          </rPr>
          <t>交藥負責人</t>
        </r>
        <r>
          <rPr>
            <b/>
            <sz val="22"/>
            <color indexed="81"/>
            <rFont val="Tahoma"/>
            <family val="2"/>
          </rPr>
          <t xml:space="preserve">: Ivan+Suyo </t>
        </r>
        <r>
          <rPr>
            <b/>
            <sz val="22"/>
            <color indexed="81"/>
            <rFont val="細明體"/>
            <family val="3"/>
            <charset val="136"/>
          </rPr>
          <t>只會交藥</t>
        </r>
        <r>
          <rPr>
            <b/>
            <sz val="22"/>
            <color indexed="81"/>
            <rFont val="Tahoma"/>
            <family val="2"/>
          </rPr>
          <t xml:space="preserve"> R1+R2+R3
5714400303 cTSH PS </t>
        </r>
        <r>
          <rPr>
            <b/>
            <sz val="22"/>
            <color indexed="81"/>
            <rFont val="細明體"/>
            <family val="3"/>
            <charset val="136"/>
          </rPr>
          <t xml:space="preserve">已入庫，產線提供
</t>
        </r>
        <r>
          <rPr>
            <b/>
            <sz val="22"/>
            <color indexed="81"/>
            <rFont val="Tahoma"/>
            <family val="2"/>
          </rPr>
          <t xml:space="preserve">5714400306 Vi HAMA (Vi_cPL/fPL/cTSH </t>
        </r>
        <r>
          <rPr>
            <b/>
            <sz val="22"/>
            <color indexed="81"/>
            <rFont val="細明體"/>
            <family val="3"/>
            <charset val="136"/>
          </rPr>
          <t>通用</t>
        </r>
        <r>
          <rPr>
            <b/>
            <sz val="22"/>
            <color indexed="81"/>
            <rFont val="Tahoma"/>
            <family val="2"/>
          </rPr>
          <t>)</t>
        </r>
        <r>
          <rPr>
            <b/>
            <sz val="22"/>
            <color indexed="81"/>
            <rFont val="細明體"/>
            <family val="3"/>
            <charset val="136"/>
          </rPr>
          <t>已入庫，產線提供
三、貼膜與填藥製程需使用新設備進行生產。</t>
        </r>
        <r>
          <rPr>
            <b/>
            <sz val="22"/>
            <color indexed="81"/>
            <rFont val="Tahoma"/>
            <family val="2"/>
          </rPr>
          <t xml:space="preserve">(Vons </t>
        </r>
        <r>
          <rPr>
            <b/>
            <sz val="22"/>
            <color indexed="81"/>
            <rFont val="細明體"/>
            <family val="3"/>
            <charset val="136"/>
          </rPr>
          <t>確認，請依據</t>
        </r>
        <r>
          <rPr>
            <b/>
            <sz val="22"/>
            <color indexed="81"/>
            <rFont val="Tahoma"/>
            <family val="2"/>
          </rPr>
          <t xml:space="preserve"> gating </t>
        </r>
        <r>
          <rPr>
            <b/>
            <sz val="22"/>
            <color indexed="81"/>
            <rFont val="細明體"/>
            <family val="3"/>
            <charset val="136"/>
          </rPr>
          <t>後決議之參數進行</t>
        </r>
        <r>
          <rPr>
            <b/>
            <sz val="22"/>
            <color indexed="81"/>
            <rFont val="Tahoma"/>
            <family val="2"/>
          </rPr>
          <t xml:space="preserve">)
</t>
        </r>
        <r>
          <rPr>
            <b/>
            <sz val="22"/>
            <color indexed="81"/>
            <rFont val="細明體"/>
            <family val="3"/>
            <charset val="136"/>
          </rPr>
          <t>四、沿用</t>
        </r>
        <r>
          <rPr>
            <b/>
            <sz val="22"/>
            <color indexed="81"/>
            <rFont val="Tahoma"/>
            <family val="2"/>
          </rPr>
          <t xml:space="preserve"> gating </t>
        </r>
        <r>
          <rPr>
            <b/>
            <sz val="22"/>
            <color indexed="81"/>
            <rFont val="細明體"/>
            <family val="3"/>
            <charset val="136"/>
          </rPr>
          <t>後決議之參數，需填入</t>
        </r>
        <r>
          <rPr>
            <b/>
            <sz val="22"/>
            <color indexed="81"/>
            <rFont val="Tahoma"/>
            <family val="2"/>
          </rPr>
          <t xml:space="preserve">Vi HAMA beads 
</t>
        </r>
        <r>
          <rPr>
            <b/>
            <sz val="22"/>
            <color indexed="81"/>
            <rFont val="細明體"/>
            <family val="3"/>
            <charset val="136"/>
          </rPr>
          <t>五、確認卡匣不烘烤
卡匣不貼標，但暫不出貨，</t>
        </r>
        <r>
          <rPr>
            <b/>
            <sz val="22"/>
            <color indexed="81"/>
            <rFont val="Tahoma"/>
            <family val="2"/>
          </rPr>
          <t xml:space="preserve">Vons </t>
        </r>
        <r>
          <rPr>
            <b/>
            <sz val="22"/>
            <color indexed="81"/>
            <rFont val="細明體"/>
            <family val="3"/>
            <charset val="136"/>
          </rPr>
          <t>取樣剩餘卡匣交由</t>
        </r>
        <r>
          <rPr>
            <b/>
            <sz val="22"/>
            <color indexed="81"/>
            <rFont val="Tahoma"/>
            <family val="2"/>
          </rPr>
          <t xml:space="preserve"> DQE Carol </t>
        </r>
        <r>
          <rPr>
            <b/>
            <sz val="22"/>
            <color indexed="81"/>
            <rFont val="細明體"/>
            <family val="3"/>
            <charset val="136"/>
          </rPr>
          <t>後續驗證</t>
        </r>
        <r>
          <rPr>
            <b/>
            <sz val="22"/>
            <color indexed="81"/>
            <rFont val="Tahoma"/>
            <family val="2"/>
          </rPr>
          <t xml:space="preserve"> </t>
        </r>
      </text>
    </comment>
    <comment ref="SG159" authorId="1" shapeId="0" xr:uid="{120DD636-9B91-4CE9-839F-6BA99DB9388B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R159" authorId="1" shapeId="0" xr:uid="{60961043-2376-4CA2-8B77-B7D409E1E26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E159" authorId="1" shapeId="0" xr:uid="{50014C6E-1D49-49B7-93CC-B86B6FD0BBDE}">
      <text>
        <r>
          <rPr>
            <b/>
            <sz val="22"/>
            <color indexed="81"/>
            <rFont val="細明體"/>
            <family val="3"/>
            <charset val="136"/>
          </rPr>
          <t>暫定新配方生產</t>
        </r>
      </text>
    </comment>
    <comment ref="TL159" authorId="1" shapeId="0" xr:uid="{D1FE14EF-CEF9-4439-930A-F1FB14527FA9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N159" authorId="1" shapeId="0" xr:uid="{ED347115-2B88-45EC-AC74-6FF764A7F55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T159" authorId="1" shapeId="0" xr:uid="{91A22CB0-3EC2-4E96-B93A-2EA11DF70CA0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5/19 背貼</t>
        </r>
      </text>
    </comment>
    <comment ref="FJ161" authorId="1" shapeId="0" xr:uid="{0B67EFB7-DCD3-4CC1-B18F-D884B09BD32F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HW161" authorId="1" shapeId="0" xr:uid="{55579A33-11BB-44CD-A4B1-E6901972B327}">
      <text>
        <r>
          <rPr>
            <b/>
            <sz val="22"/>
            <color indexed="81"/>
            <rFont val="細明體"/>
            <family val="3"/>
            <charset val="136"/>
          </rPr>
          <t xml:space="preserve">舊配方
LM3432*50 給DQE。
Control run _ Elisa 氣密塞 (7B05000023-A) 縮短長度設變驗證*50 </t>
        </r>
      </text>
    </comment>
    <comment ref="MH161" authorId="1" shapeId="0" xr:uid="{89F0141C-5217-4242-837A-597AA53A35CE}">
      <text>
        <r>
          <rPr>
            <sz val="30"/>
            <color indexed="81"/>
            <rFont val="細明體"/>
            <family val="3"/>
            <charset val="136"/>
          </rPr>
          <t>費用型工單:
LM3525:
生產包裝日待業務通知。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 xml:space="preserve">貼標生產日9/26。效期待定 </t>
        </r>
      </text>
    </comment>
    <comment ref="NN161" authorId="1" shapeId="0" xr:uid="{0B24DBC2-B3DD-4664-A96E-7CDCC0A4E08D}">
      <text>
        <r>
          <rPr>
            <sz val="30"/>
            <color indexed="81"/>
            <rFont val="細明體"/>
            <family val="3"/>
            <charset val="136"/>
          </rPr>
          <t>費用型工單:
LM3525:
生產包裝日待業務通知。
LOT 設定:VE1ZH25IS1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 xml:space="preserve">貼標生產日9/26。
效期:5個月 2026/2/25
11/19 找DQE 拿卡匣
</t>
        </r>
      </text>
    </comment>
    <comment ref="OM161" authorId="1" shapeId="0" xr:uid="{83A29120-CC31-4C3B-8D72-F617601EE5CC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K161" authorId="1" shapeId="0" xr:uid="{5F083A19-E73D-4363-85FC-1566948AB6CA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QR161" authorId="1" shapeId="0" xr:uid="{BA5B7202-CD9F-4F0B-A8EA-2E7312FB919E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G161" authorId="1" shapeId="0" xr:uid="{C5583ED9-E9AC-4813-8249-EF0BF21EC859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I161" authorId="1" shapeId="0" xr:uid="{B02C570F-E219-4539-8EAF-7F56A87E466A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W161" authorId="1" shapeId="0" xr:uid="{889C6044-278A-49E8-945D-E30E032EEE1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N161" authorId="1" shapeId="0" xr:uid="{5C08F7E5-F13C-430C-AB1B-AD99560BE6E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S161" authorId="1" shapeId="0" xr:uid="{8DAE297B-3444-4832-813B-020CF0A51AE8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Z161" authorId="1" shapeId="0" xr:uid="{84530B95-F133-4CA8-9293-C5B2A2E0371B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FJ162" authorId="1" shapeId="0" xr:uid="{46E72FE7-AA04-4BCF-B20A-D86C71223225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GQ162" authorId="1" shapeId="0" xr:uid="{EDE355FA-6999-445D-AD82-2E49C2CEE569}">
      <text>
        <r>
          <rPr>
            <b/>
            <sz val="22"/>
            <color indexed="81"/>
            <rFont val="細明體"/>
            <family val="3"/>
            <charset val="136"/>
          </rPr>
          <t>產線先回報良品數量，決定</t>
        </r>
        <r>
          <rPr>
            <b/>
            <sz val="22"/>
            <color indexed="81"/>
            <rFont val="Tahoma"/>
            <family val="2"/>
          </rPr>
          <t xml:space="preserve">SCIL </t>
        </r>
        <r>
          <rPr>
            <b/>
            <sz val="22"/>
            <color indexed="81"/>
            <rFont val="細明體"/>
            <family val="3"/>
            <charset val="136"/>
          </rPr>
          <t>要做多少。</t>
        </r>
      </text>
    </comment>
    <comment ref="MH162" authorId="1" shapeId="0" xr:uid="{1B4FEA42-8249-4C4C-A99C-D405B993E6D1}">
      <text>
        <r>
          <rPr>
            <sz val="30"/>
            <color indexed="81"/>
            <rFont val="細明體"/>
            <family val="3"/>
            <charset val="136"/>
          </rPr>
          <t>費用型工單:
LM3525:
生產包裝日待業務通知。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 xml:space="preserve">貼標生產日9/26。效期待定 </t>
        </r>
      </text>
    </comment>
    <comment ref="SI162" authorId="1" shapeId="0" xr:uid="{36ED3D03-60AC-4D8A-8D8B-E86EFF117B6A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W162" authorId="1" shapeId="0" xr:uid="{6B4684A4-43D9-4788-A1FA-BCB1E889A731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BD163" authorId="1" shapeId="0" xr:uid="{2BB8BE20-3264-42A0-BE3D-19C6DD71DD46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BE163" authorId="1" shapeId="0" xr:uid="{0712716C-868D-4B30-A541-5D496C1D084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試作，不貼標，單片包裝。下膜不足部份</t>
        </r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提供。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CC163" authorId="1" shapeId="0" xr:uid="{6AE2BBDE-EA7E-42E5-8BCD-4BF5E13D357F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CD163" authorId="1" shapeId="0" xr:uid="{9F820A02-C1BE-4A46-B15F-3922AFF65A2E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CV163" authorId="1" shapeId="0" xr:uid="{595F10C2-6BC3-42DD-86A0-234755C4E5C0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 xml:space="preserve">EN
300 &amp; 200  </t>
        </r>
        <r>
          <rPr>
            <b/>
            <sz val="24"/>
            <color indexed="81"/>
            <rFont val="細明體"/>
            <family val="3"/>
            <charset val="136"/>
          </rPr>
          <t>切</t>
        </r>
        <r>
          <rPr>
            <b/>
            <sz val="24"/>
            <color indexed="81"/>
            <rFont val="Tahoma"/>
            <family val="2"/>
          </rPr>
          <t>2</t>
        </r>
        <r>
          <rPr>
            <b/>
            <sz val="24"/>
            <color indexed="81"/>
            <rFont val="細明體"/>
            <family val="3"/>
            <charset val="136"/>
          </rPr>
          <t>批。</t>
        </r>
      </text>
    </comment>
    <comment ref="DQ163" authorId="1" shapeId="0" xr:uid="{225DF781-EBEE-4C3D-9D16-FBBB777573EA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R163" authorId="1" shapeId="0" xr:uid="{A77BFDFB-9185-4FB5-9069-658E0FCF433A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Y163" authorId="1" shapeId="0" xr:uid="{DBAAD5CE-A94D-4F18-B1AD-0DC84CEC2641}">
      <text>
        <r>
          <rPr>
            <b/>
            <sz val="28"/>
            <color indexed="81"/>
            <rFont val="細明體"/>
            <family val="3"/>
            <charset val="136"/>
          </rPr>
          <t>新配方 送樣80  SCIL*30
費用型工單，不貼標單片包裝</t>
        </r>
      </text>
    </comment>
    <comment ref="EB163" authorId="1" shapeId="0" xr:uid="{FB042B75-C4C5-4F31-96F0-F4893BC8283C}">
      <text>
        <r>
          <rPr>
            <sz val="36"/>
            <color indexed="81"/>
            <rFont val="Tahoma"/>
            <family val="2"/>
          </rPr>
          <t xml:space="preserve">RD </t>
        </r>
        <r>
          <rPr>
            <sz val="36"/>
            <color indexed="81"/>
            <rFont val="細明體"/>
            <family val="3"/>
            <charset val="136"/>
          </rPr>
          <t>試作，費用型工單，切</t>
        </r>
        <r>
          <rPr>
            <sz val="36"/>
            <color indexed="81"/>
            <rFont val="Tahoma"/>
            <family val="2"/>
          </rPr>
          <t>3</t>
        </r>
        <r>
          <rPr>
            <sz val="36"/>
            <color indexed="81"/>
            <rFont val="細明體"/>
            <family val="3"/>
            <charset val="136"/>
          </rPr>
          <t>批次，不貼標，單片包裝。實際已</t>
        </r>
        <r>
          <rPr>
            <sz val="36"/>
            <color indexed="81"/>
            <rFont val="Tahoma"/>
            <family val="2"/>
          </rPr>
          <t xml:space="preserve">EN </t>
        </r>
        <r>
          <rPr>
            <sz val="36"/>
            <color indexed="81"/>
            <rFont val="細明體"/>
            <family val="3"/>
            <charset val="136"/>
          </rPr>
          <t>為主。確認光學膜到廠後，再安排生產。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I163" authorId="1" shapeId="0" xr:uid="{20B6E963-324C-4507-8172-64F378C50EE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F163" authorId="1" shapeId="0" xr:uid="{73DEA31E-EAFF-48BC-B8D2-D06E0487EF0A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FK163" authorId="0" shapeId="0" xr:uid="{CF847671-609F-4E2B-88CD-53E7D82B7F9D}">
      <text>
        <r>
          <rPr>
            <b/>
            <sz val="30"/>
            <color indexed="81"/>
            <rFont val="Tahoma"/>
            <family val="2"/>
          </rPr>
          <t xml:space="preserve">RD </t>
        </r>
        <r>
          <rPr>
            <b/>
            <sz val="30"/>
            <color indexed="81"/>
            <rFont val="細明體"/>
            <family val="3"/>
            <charset val="136"/>
          </rPr>
          <t>試作。
不貼標，需要單片包裝。</t>
        </r>
      </text>
    </comment>
    <comment ref="FQ163" authorId="1" shapeId="0" xr:uid="{FBAA1E0A-BE2C-461C-97E6-D44F2BFBC272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
不用貼標，要包裝</t>
        </r>
      </text>
    </comment>
    <comment ref="FY163" authorId="1" shapeId="0" xr:uid="{9FE5D083-D4F9-4368-809D-702C5FE20B9D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GP163" authorId="1" shapeId="0" xr:uid="{1F322A3C-A26B-47CC-AE16-0B63556A3525}">
      <text>
        <r>
          <rPr>
            <b/>
            <sz val="22"/>
            <color indexed="81"/>
            <rFont val="新細明體"/>
            <family val="1"/>
            <charset val="136"/>
          </rPr>
          <t>RD 試作，不貼標，單片包裝。費用型工單</t>
        </r>
      </text>
    </comment>
    <comment ref="GW163" authorId="1" shapeId="0" xr:uid="{05FFD8D7-A289-4AF2-A69E-FEF3079B1D58}">
      <text>
        <r>
          <rPr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Y163" authorId="1" shapeId="0" xr:uid="{569116B9-BD6D-4E98-9B10-175F4DCB245C}">
      <text>
        <r>
          <rPr>
            <sz val="36"/>
            <color indexed="81"/>
            <rFont val="細明體"/>
            <family val="3"/>
            <charset val="136"/>
          </rPr>
          <t>費用型工單。
產線作業</t>
        </r>
        <r>
          <rPr>
            <sz val="36"/>
            <color indexed="81"/>
            <rFont val="Tahoma"/>
            <family val="2"/>
          </rPr>
          <t>:</t>
        </r>
        <r>
          <rPr>
            <sz val="36"/>
            <color indexed="81"/>
            <rFont val="細明體"/>
            <family val="3"/>
            <charset val="136"/>
          </rPr>
          <t xml:space="preserve">貼背貼，加塞子 ，注水，目檢 負壓秤重。不貼標包裝。
RD 作業:填PS 球，與BEADS 貼正貼。 
1. </t>
        </r>
        <r>
          <rPr>
            <sz val="36"/>
            <color indexed="81"/>
            <rFont val="Tahoma"/>
            <family val="2"/>
          </rPr>
          <t xml:space="preserve">6/27 </t>
        </r>
        <r>
          <rPr>
            <sz val="36"/>
            <color indexed="81"/>
            <rFont val="細明體"/>
            <family val="3"/>
            <charset val="136"/>
          </rPr>
          <t>夜班</t>
        </r>
        <r>
          <rPr>
            <sz val="36"/>
            <color indexed="81"/>
            <rFont val="Tahoma"/>
            <family val="2"/>
          </rPr>
          <t xml:space="preserve">00:00 </t>
        </r>
        <r>
          <rPr>
            <sz val="36"/>
            <color indexed="81"/>
            <rFont val="細明體"/>
            <family val="3"/>
            <charset val="136"/>
          </rPr>
          <t xml:space="preserve">開始作業。夜班，貼背貼加塞子。
</t>
        </r>
        <r>
          <rPr>
            <sz val="36"/>
            <color indexed="81"/>
            <rFont val="Tahoma"/>
            <family val="2"/>
          </rPr>
          <t xml:space="preserve">2. 6/27 </t>
        </r>
        <r>
          <rPr>
            <sz val="36"/>
            <color indexed="81"/>
            <rFont val="細明體"/>
            <family val="3"/>
            <charset val="136"/>
          </rPr>
          <t>日班 08:30 開始注水。負壓秤重。
3. 注水後，需要 負壓，秤重。
4. 每完成100片給RD貼正貼與PS 球。
5. 6/27 RD 完成後，給產線，產線包裝完成後，放入4度C冰箱。</t>
        </r>
      </text>
    </comment>
    <comment ref="HM163" authorId="1" shapeId="0" xr:uid="{C1677F8C-51E0-479B-B714-7D209591A591}">
      <text>
        <r>
          <rPr>
            <sz val="36"/>
            <color indexed="81"/>
            <rFont val="細明體"/>
            <family val="3"/>
            <charset val="136"/>
          </rPr>
          <t>費用型工單。
產線作業</t>
        </r>
        <r>
          <rPr>
            <sz val="36"/>
            <color indexed="81"/>
            <rFont val="Tahoma"/>
            <family val="2"/>
          </rPr>
          <t>:</t>
        </r>
        <r>
          <rPr>
            <sz val="36"/>
            <color indexed="81"/>
            <rFont val="細明體"/>
            <family val="3"/>
            <charset val="136"/>
          </rPr>
          <t>貼背貼，加塞子 ，注水，目檢 負壓秤重。不貼標包裝。
RD 作業:填PS 球，與BEADS 貼正貼。 
1. 7/07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36"/>
            <color indexed="81"/>
            <rFont val="細明體"/>
            <family val="3"/>
            <charset val="136"/>
          </rPr>
          <t>夜班</t>
        </r>
        <r>
          <rPr>
            <sz val="36"/>
            <color indexed="81"/>
            <rFont val="Tahoma"/>
            <family val="2"/>
          </rPr>
          <t xml:space="preserve">  00:00 </t>
        </r>
        <r>
          <rPr>
            <sz val="36"/>
            <color indexed="81"/>
            <rFont val="細明體"/>
            <family val="3"/>
            <charset val="136"/>
          </rPr>
          <t xml:space="preserve">開始作業。夜班，貼背貼加塞子。
</t>
        </r>
        <r>
          <rPr>
            <sz val="36"/>
            <color indexed="81"/>
            <rFont val="Tahoma"/>
            <family val="2"/>
          </rPr>
          <t xml:space="preserve">2.  7/08 </t>
        </r>
        <r>
          <rPr>
            <sz val="36"/>
            <color indexed="81"/>
            <rFont val="細明體"/>
            <family val="3"/>
            <charset val="136"/>
          </rPr>
          <t>日班 08:30 開始注水。負壓秤重。
3. 注水後，需要 負壓，秤重。
4. 每完成100片給RD貼正貼與PS 球。
5. 7/08 RD 完成後，給產線，產線包裝完成後，放入4度C冰箱。</t>
        </r>
      </text>
    </comment>
    <comment ref="IN163" authorId="1" shapeId="0" xr:uid="{1FD23D3C-1DB1-400E-AEC9-4CF02CA2E8E3}">
      <text>
        <r>
          <rPr>
            <sz val="28"/>
            <color indexed="81"/>
            <rFont val="Tahoma"/>
            <family val="2"/>
          </rPr>
          <t xml:space="preserve">RD </t>
        </r>
        <r>
          <rPr>
            <sz val="28"/>
            <color indexed="81"/>
            <rFont val="細明體"/>
            <family val="3"/>
            <charset val="136"/>
          </rPr>
          <t>試作，正常製程生產，不貼標，要包裝。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U163" authorId="1" shapeId="0" xr:uid="{DE80F255-928B-4234-A9D6-931EBA65477B}">
      <text>
        <r>
          <rPr>
            <sz val="28"/>
            <color indexed="81"/>
            <rFont val="Tahoma"/>
            <family val="2"/>
          </rPr>
          <t xml:space="preserve">RD </t>
        </r>
        <r>
          <rPr>
            <sz val="28"/>
            <color indexed="81"/>
            <rFont val="細明體"/>
            <family val="3"/>
            <charset val="136"/>
          </rPr>
          <t xml:space="preserve">試作，製程順序
</t>
        </r>
        <r>
          <rPr>
            <sz val="28"/>
            <color indexed="81"/>
            <rFont val="Tahoma"/>
            <family val="2"/>
          </rPr>
          <t xml:space="preserve">8/5 </t>
        </r>
        <r>
          <rPr>
            <sz val="28"/>
            <color indexed="81"/>
            <rFont val="細明體"/>
            <family val="3"/>
            <charset val="136"/>
          </rPr>
          <t xml:space="preserve">夜班產線:背貼加塞子。
8/6 日班產線:秤重，注水，目檢，負壓。
8/6 </t>
        </r>
        <r>
          <rPr>
            <sz val="28"/>
            <color indexed="81"/>
            <rFont val="Tahoma"/>
            <family val="2"/>
          </rPr>
          <t>RD:</t>
        </r>
        <r>
          <rPr>
            <sz val="28"/>
            <color indexed="81"/>
            <rFont val="細明體"/>
            <family val="3"/>
            <charset val="136"/>
          </rPr>
          <t>貼正貼與</t>
        </r>
        <r>
          <rPr>
            <sz val="28"/>
            <color indexed="81"/>
            <rFont val="Tahoma"/>
            <family val="2"/>
          </rPr>
          <t xml:space="preserve">PS </t>
        </r>
        <r>
          <rPr>
            <sz val="28"/>
            <color indexed="81"/>
            <rFont val="細明體"/>
            <family val="3"/>
            <charset val="136"/>
          </rPr>
          <t xml:space="preserve">球。
</t>
        </r>
        <r>
          <rPr>
            <sz val="28"/>
            <color indexed="81"/>
            <rFont val="Tahoma"/>
            <family val="2"/>
          </rPr>
          <t xml:space="preserve">8/6 </t>
        </r>
        <r>
          <rPr>
            <sz val="28"/>
            <color indexed="81"/>
            <rFont val="細明體"/>
            <family val="3"/>
            <charset val="136"/>
          </rPr>
          <t>產線:目檢，不貼標，要包裝。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8/</t>
        </r>
      </text>
    </comment>
    <comment ref="JJ163" authorId="1" shapeId="0" xr:uid="{BC195DC3-8059-4204-BC2B-CC2F63241F7B}">
      <text>
        <r>
          <rPr>
            <b/>
            <sz val="22"/>
            <color indexed="81"/>
            <rFont val="Tahoma"/>
            <family val="2"/>
          </rPr>
          <t>LM3489</t>
        </r>
        <r>
          <rPr>
            <b/>
            <sz val="22"/>
            <color indexed="81"/>
            <rFont val="細明體"/>
            <family val="3"/>
            <charset val="136"/>
          </rPr>
          <t xml:space="preserve">；
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試作，製程順序
</t>
        </r>
        <r>
          <rPr>
            <b/>
            <sz val="22"/>
            <color indexed="81"/>
            <rFont val="Tahoma"/>
            <family val="2"/>
          </rPr>
          <t xml:space="preserve">8/18 </t>
        </r>
        <r>
          <rPr>
            <b/>
            <sz val="22"/>
            <color indexed="81"/>
            <rFont val="細明體"/>
            <family val="3"/>
            <charset val="136"/>
          </rPr>
          <t>夜班產線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背貼加塞子。</t>
        </r>
        <r>
          <rPr>
            <b/>
            <sz val="22"/>
            <color indexed="81"/>
            <rFont val="Tahoma"/>
            <family val="2"/>
          </rPr>
          <t>(</t>
        </r>
        <r>
          <rPr>
            <b/>
            <sz val="22"/>
            <color indexed="81"/>
            <rFont val="細明體"/>
            <family val="3"/>
            <charset val="136"/>
          </rPr>
          <t>短塞子，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提供)
</t>
        </r>
        <r>
          <rPr>
            <b/>
            <sz val="22"/>
            <color indexed="81"/>
            <rFont val="Tahoma"/>
            <family val="2"/>
          </rPr>
          <t xml:space="preserve">8/19 </t>
        </r>
        <r>
          <rPr>
            <b/>
            <sz val="22"/>
            <color indexed="81"/>
            <rFont val="細明體"/>
            <family val="3"/>
            <charset val="136"/>
          </rPr>
          <t>日班產線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秤重，注水，目檢，負壓。
</t>
        </r>
        <r>
          <rPr>
            <b/>
            <sz val="22"/>
            <color indexed="81"/>
            <rFont val="Tahoma"/>
            <family val="2"/>
          </rPr>
          <t>8/19 RD:</t>
        </r>
        <r>
          <rPr>
            <b/>
            <sz val="22"/>
            <color indexed="81"/>
            <rFont val="細明體"/>
            <family val="3"/>
            <charset val="136"/>
          </rPr>
          <t>貼正貼與</t>
        </r>
        <r>
          <rPr>
            <b/>
            <sz val="22"/>
            <color indexed="81"/>
            <rFont val="Tahoma"/>
            <family val="2"/>
          </rPr>
          <t xml:space="preserve">PS </t>
        </r>
        <r>
          <rPr>
            <b/>
            <sz val="22"/>
            <color indexed="81"/>
            <rFont val="細明體"/>
            <family val="3"/>
            <charset val="136"/>
          </rPr>
          <t xml:space="preserve">球。
</t>
        </r>
        <r>
          <rPr>
            <b/>
            <sz val="22"/>
            <color indexed="81"/>
            <rFont val="Tahoma"/>
            <family val="2"/>
          </rPr>
          <t xml:space="preserve">8/19 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目檢，不貼標，要包裝。
</t>
        </r>
      </text>
    </comment>
    <comment ref="KY163" authorId="1" shapeId="0" xr:uid="{3CDB54FC-FEAE-4E87-BC99-809B81851CDA}">
      <text>
        <r>
          <rPr>
            <sz val="30"/>
            <color indexed="81"/>
            <rFont val="細明體"/>
            <family val="3"/>
            <charset val="136"/>
          </rPr>
          <t>費用型工單:
LM3525: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9/22 夜班00:00 開始作業。夜班，貼背貼加塞子。
2. 9/23 日班 08:30 開始注水。負壓秤重。
3. 注水後，需要 負壓，秤重。
4. 每完成100片給RD貼正貼與PS 球。
5.9/23 RD 完成後，給產線，產線包裝完成後，放入4度C冰箱。
9/25 包裝*30</t>
        </r>
      </text>
    </comment>
    <comment ref="LH163" authorId="1" shapeId="0" xr:uid="{4EB1C08D-DA7F-428B-B397-7754A0568A1C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M163" authorId="1" shapeId="0" xr:uid="{1C98A509-91F5-46C3-9EE2-DFC2DC307636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MP163" authorId="1" shapeId="0" xr:uid="{236840AF-2838-41CF-8800-8C73B3605816}">
      <text>
        <r>
          <rPr>
            <b/>
            <sz val="28"/>
            <color indexed="81"/>
            <rFont val="細明體"/>
            <family val="3"/>
            <charset val="136"/>
          </rPr>
          <t>費用型工單</t>
        </r>
        <r>
          <rPr>
            <b/>
            <sz val="28"/>
            <color indexed="81"/>
            <rFont val="Tahoma"/>
            <family val="2"/>
          </rPr>
          <t xml:space="preserve">:
LM3570:  
</t>
        </r>
        <r>
          <rPr>
            <b/>
            <sz val="28"/>
            <color indexed="81"/>
            <rFont val="細明體"/>
            <family val="3"/>
            <charset val="136"/>
          </rPr>
          <t>卡匣請事先以</t>
        </r>
        <r>
          <rPr>
            <b/>
            <sz val="28"/>
            <color indexed="81"/>
            <rFont val="Tahoma"/>
            <family val="2"/>
          </rPr>
          <t>55</t>
        </r>
        <r>
          <rPr>
            <b/>
            <sz val="28"/>
            <color indexed="81"/>
            <rFont val="細明體"/>
            <family val="3"/>
            <charset val="136"/>
          </rPr>
          <t>度烘烤</t>
        </r>
        <r>
          <rPr>
            <b/>
            <sz val="28"/>
            <color indexed="81"/>
            <rFont val="Tahoma"/>
            <family val="2"/>
          </rPr>
          <t>9</t>
        </r>
        <r>
          <rPr>
            <b/>
            <sz val="28"/>
            <color indexed="81"/>
            <rFont val="細明體"/>
            <family val="3"/>
            <charset val="136"/>
          </rPr>
          <t>小時，放置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盤烘烤，烘烤後，放樂扣盒。
</t>
        </r>
        <r>
          <rPr>
            <b/>
            <sz val="28"/>
            <color indexed="81"/>
            <rFont val="Tahoma"/>
            <family val="2"/>
          </rPr>
          <t xml:space="preserve">1. 10/30 </t>
        </r>
        <r>
          <rPr>
            <b/>
            <sz val="28"/>
            <color indexed="81"/>
            <rFont val="細明體"/>
            <family val="3"/>
            <charset val="136"/>
          </rPr>
          <t>夜班</t>
        </r>
        <r>
          <rPr>
            <b/>
            <sz val="28"/>
            <color indexed="81"/>
            <rFont val="Tahoma"/>
            <family val="2"/>
          </rPr>
          <t xml:space="preserve">00:00 </t>
        </r>
        <r>
          <rPr>
            <b/>
            <sz val="28"/>
            <color indexed="81"/>
            <rFont val="細明體"/>
            <family val="3"/>
            <charset val="136"/>
          </rPr>
          <t xml:space="preserve">開始作業。夜班，貼背貼加塞子。作業好卡匣放置樂扣盒中
</t>
        </r>
        <r>
          <rPr>
            <b/>
            <sz val="28"/>
            <color indexed="81"/>
            <rFont val="Tahoma"/>
            <family val="2"/>
          </rPr>
          <t xml:space="preserve">2. 10/30 </t>
        </r>
        <r>
          <rPr>
            <b/>
            <sz val="28"/>
            <color indexed="81"/>
            <rFont val="細明體"/>
            <family val="3"/>
            <charset val="136"/>
          </rPr>
          <t>日班</t>
        </r>
        <r>
          <rPr>
            <b/>
            <sz val="28"/>
            <color indexed="81"/>
            <rFont val="Tahoma"/>
            <family val="2"/>
          </rPr>
          <t xml:space="preserve"> 08:30 </t>
        </r>
        <r>
          <rPr>
            <b/>
            <sz val="28"/>
            <color indexed="81"/>
            <rFont val="細明體"/>
            <family val="3"/>
            <charset val="136"/>
          </rPr>
          <t>開始注水。負壓秤重目檢，使用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放置。
</t>
        </r>
        <r>
          <rPr>
            <b/>
            <sz val="28"/>
            <color indexed="81"/>
            <rFont val="Tahoma"/>
            <family val="2"/>
          </rPr>
          <t xml:space="preserve">3. </t>
        </r>
        <r>
          <rPr>
            <b/>
            <sz val="28"/>
            <color indexed="81"/>
            <rFont val="細明體"/>
            <family val="3"/>
            <charset val="136"/>
          </rPr>
          <t>注水後，需要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 xml:space="preserve">負壓，秤重。良品放置樂扣盒，
</t>
        </r>
        <r>
          <rPr>
            <b/>
            <sz val="28"/>
            <color indexed="81"/>
            <rFont val="Tahoma"/>
            <family val="2"/>
          </rPr>
          <t>4.</t>
        </r>
        <r>
          <rPr>
            <b/>
            <sz val="28"/>
            <color indexed="81"/>
            <rFont val="細明體"/>
            <family val="3"/>
            <charset val="136"/>
          </rPr>
          <t>每完成</t>
        </r>
        <r>
          <rPr>
            <b/>
            <sz val="28"/>
            <color indexed="81"/>
            <rFont val="Tahoma"/>
            <family val="2"/>
          </rPr>
          <t>100</t>
        </r>
        <r>
          <rPr>
            <b/>
            <sz val="28"/>
            <color indexed="81"/>
            <rFont val="細明體"/>
            <family val="3"/>
            <charset val="136"/>
          </rPr>
          <t>片給</t>
        </r>
        <r>
          <rPr>
            <b/>
            <sz val="28"/>
            <color indexed="81"/>
            <rFont val="Tahoma"/>
            <family val="2"/>
          </rPr>
          <t>RD</t>
        </r>
        <r>
          <rPr>
            <b/>
            <sz val="28"/>
            <color indexed="81"/>
            <rFont val="細明體"/>
            <family val="3"/>
            <charset val="136"/>
          </rPr>
          <t>貼正貼與</t>
        </r>
        <r>
          <rPr>
            <b/>
            <sz val="28"/>
            <color indexed="81"/>
            <rFont val="Tahoma"/>
            <family val="2"/>
          </rPr>
          <t xml:space="preserve">PS </t>
        </r>
        <r>
          <rPr>
            <b/>
            <sz val="28"/>
            <color indexed="81"/>
            <rFont val="細明體"/>
            <family val="3"/>
            <charset val="136"/>
          </rPr>
          <t>球填</t>
        </r>
        <r>
          <rPr>
            <b/>
            <sz val="28"/>
            <color indexed="81"/>
            <rFont val="Tahoma"/>
            <family val="2"/>
          </rPr>
          <t xml:space="preserve"> Beads</t>
        </r>
        <r>
          <rPr>
            <b/>
            <sz val="28"/>
            <color indexed="81"/>
            <rFont val="細明體"/>
            <family val="3"/>
            <charset val="136"/>
          </rPr>
          <t xml:space="preserve">。
</t>
        </r>
        <r>
          <rPr>
            <b/>
            <sz val="28"/>
            <color indexed="81"/>
            <rFont val="Tahoma"/>
            <family val="2"/>
          </rPr>
          <t xml:space="preserve"> 5.  RD </t>
        </r>
        <r>
          <rPr>
            <b/>
            <sz val="28"/>
            <color indexed="81"/>
            <rFont val="細明體"/>
            <family val="3"/>
            <charset val="136"/>
          </rPr>
          <t>完成後，給產線，產線檢驗完後，進行包裝；包裝完成後，放入</t>
        </r>
        <r>
          <rPr>
            <b/>
            <sz val="28"/>
            <color indexed="81"/>
            <rFont val="Tahoma"/>
            <family val="2"/>
          </rPr>
          <t>4</t>
        </r>
        <r>
          <rPr>
            <b/>
            <sz val="28"/>
            <color indexed="81"/>
            <rFont val="細明體"/>
            <family val="3"/>
            <charset val="136"/>
          </rPr>
          <t>度</t>
        </r>
        <r>
          <rPr>
            <b/>
            <sz val="28"/>
            <color indexed="81"/>
            <rFont val="Tahoma"/>
            <family val="2"/>
          </rPr>
          <t>C</t>
        </r>
        <r>
          <rPr>
            <b/>
            <sz val="28"/>
            <color indexed="81"/>
            <rFont val="細明體"/>
            <family val="3"/>
            <charset val="136"/>
          </rPr>
          <t>冰箱。
生產製程增加卡匣烘烤，烘烤後卡匣存放環境以樂扣盒為主，除生產製程需要，才曝露在外面。
出貨需求</t>
        </r>
        <r>
          <rPr>
            <b/>
            <sz val="28"/>
            <color indexed="81"/>
            <rFont val="Tahoma"/>
            <family val="2"/>
          </rPr>
          <t xml:space="preserve">120 </t>
        </r>
        <r>
          <rPr>
            <b/>
            <sz val="28"/>
            <color indexed="81"/>
            <rFont val="細明體"/>
            <family val="3"/>
            <charset val="136"/>
          </rPr>
          <t>片。</t>
        </r>
        <r>
          <rPr>
            <b/>
            <sz val="28"/>
            <color indexed="81"/>
            <rFont val="Tahoma"/>
            <family val="2"/>
          </rPr>
          <t>SCIL *20  SKYLA *100</t>
        </r>
        <r>
          <rPr>
            <b/>
            <sz val="20"/>
            <color indexed="81"/>
            <rFont val="細明體"/>
            <family val="3"/>
            <charset val="136"/>
          </rPr>
          <t xml:space="preserve">
</t>
        </r>
      </text>
    </comment>
    <comment ref="ND163" authorId="1" shapeId="0" xr:uid="{5EC2F7D3-EA69-4D90-AC05-82A3F729E9E5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V163" authorId="1" shapeId="0" xr:uid="{9A4A5F4E-5110-48BE-BF41-309F0AC0725F}">
      <text>
        <r>
          <rPr>
            <sz val="30"/>
            <color indexed="81"/>
            <rFont val="細明體"/>
            <family val="3"/>
            <charset val="136"/>
          </rPr>
          <t>費用型工單:
LM3613: 當天生產即可。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1.使用烘烤的卡匣。
2.使用新的ELISA 機台作業。
3.背貼-&gt;塞子-&gt;填藥(2顆)-&gt;正貼-&gt;秤重注水-&gt;負壓-&gt;秤重目檢-&gt;包裝
4.包裝完成，不需貼標。
5.有任何問題找PE。</t>
        </r>
      </text>
    </comment>
    <comment ref="OU163" authorId="1" shapeId="0" xr:uid="{A0E0281E-67DE-4140-8088-3F936C5F42B8}">
      <text>
        <r>
          <rPr>
            <b/>
            <sz val="22"/>
            <color indexed="81"/>
            <rFont val="Tahoma"/>
            <family val="2"/>
          </rPr>
          <t xml:space="preserve">LM3685  </t>
        </r>
        <r>
          <rPr>
            <b/>
            <sz val="22"/>
            <color indexed="81"/>
            <rFont val="細明體"/>
            <family val="3"/>
            <charset val="136"/>
          </rPr>
          <t>；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12/16 </t>
        </r>
        <r>
          <rPr>
            <b/>
            <sz val="22"/>
            <color indexed="81"/>
            <rFont val="細明體"/>
            <family val="3"/>
            <charset val="136"/>
          </rPr>
          <t xml:space="preserve">夜班先派人，背貼
</t>
        </r>
        <r>
          <rPr>
            <b/>
            <sz val="22"/>
            <color indexed="81"/>
            <rFont val="Tahoma"/>
            <family val="2"/>
          </rPr>
          <t xml:space="preserve">12/17 </t>
        </r>
        <r>
          <rPr>
            <b/>
            <sz val="22"/>
            <color indexed="81"/>
            <rFont val="細明體"/>
            <family val="3"/>
            <charset val="136"/>
          </rPr>
          <t>派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 xml:space="preserve">人作業。
</t>
        </r>
        <r>
          <rPr>
            <b/>
            <sz val="22"/>
            <color indexed="81"/>
            <rFont val="Tahoma"/>
            <family val="2"/>
          </rPr>
          <t xml:space="preserve">12/17  RD </t>
        </r>
        <r>
          <rPr>
            <b/>
            <sz val="22"/>
            <color indexed="81"/>
            <rFont val="細明體"/>
            <family val="3"/>
            <charset val="136"/>
          </rPr>
          <t>手動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 xml:space="preserve">貼正貼 </t>
        </r>
        <r>
          <rPr>
            <b/>
            <sz val="22"/>
            <color indexed="81"/>
            <rFont val="Tahoma"/>
            <family val="2"/>
          </rPr>
          <t>200</t>
        </r>
        <r>
          <rPr>
            <b/>
            <sz val="22"/>
            <color indexed="81"/>
            <rFont val="細明體"/>
            <family val="3"/>
            <charset val="136"/>
          </rPr>
          <t>。
產線:背貼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 xml:space="preserve">-
RD :   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 xml:space="preserve">-&gt;
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目檢包裝
</t>
        </r>
        <r>
          <rPr>
            <b/>
            <sz val="22"/>
            <color indexed="81"/>
            <rFont val="Tahoma"/>
            <family val="2"/>
          </rPr>
          <t xml:space="preserve">12/17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卡匣請事先以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C163" authorId="1" shapeId="0" xr:uid="{4E76A878-9CF6-4FA0-8835-47F471B72D58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F163" authorId="1" shapeId="0" xr:uid="{7F1D3E5C-727C-49C1-8DE1-2CEFF4B6CB32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Q163" authorId="1" shapeId="0" xr:uid="{23C867B8-D448-4123-8820-74ABC55A97D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TV163" authorId="1" shapeId="0" xr:uid="{65A1257C-F456-46F3-B305-BE0BC9CB798E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C163" authorId="1" shapeId="0" xr:uid="{A6603F14-01C0-4151-A8F8-1FEEBFF34C0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B163" authorId="1" shapeId="0" xr:uid="{19CFA8A8-CB3C-49A4-AB7C-5A79928F079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I163" authorId="1" shapeId="0" xr:uid="{2FF0220B-7460-4114-8C82-0EF23AE4996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XG163" authorId="1" shapeId="0" xr:uid="{7DD9E4D9-0189-4A8E-8EC8-B602C2A2CC27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165" authorId="1" shapeId="0" xr:uid="{B80D2883-D01F-4BD6-9B87-FA7379354947}">
      <text>
        <r>
          <rPr>
            <sz val="24"/>
            <color indexed="81"/>
            <rFont val="細明體"/>
            <family val="3"/>
            <charset val="136"/>
          </rPr>
          <t>費用行工單</t>
        </r>
        <r>
          <rPr>
            <sz val="24"/>
            <color indexed="81"/>
            <rFont val="Tahoma"/>
            <family val="2"/>
          </rPr>
          <t xml:space="preserve">
PS </t>
        </r>
        <r>
          <rPr>
            <sz val="24"/>
            <color indexed="81"/>
            <rFont val="細明體"/>
            <family val="3"/>
            <charset val="136"/>
          </rPr>
          <t xml:space="preserve">球不同，分四批，需要給四張製程單，
依照 </t>
        </r>
        <r>
          <rPr>
            <sz val="24"/>
            <color indexed="81"/>
            <rFont val="Tahoma"/>
            <family val="2"/>
          </rPr>
          <t xml:space="preserve">EN </t>
        </r>
        <r>
          <rPr>
            <sz val="24"/>
            <color indexed="81"/>
            <rFont val="細明體"/>
            <family val="3"/>
            <charset val="136"/>
          </rPr>
          <t>進行作業。
不需要貼標，要包裝。</t>
        </r>
        <r>
          <rPr>
            <sz val="22"/>
            <color indexed="81"/>
            <rFont val="細明體"/>
            <family val="3"/>
            <charset val="136"/>
          </rPr>
          <t xml:space="preserve">
</t>
        </r>
      </text>
    </comment>
    <comment ref="DS165" authorId="1" shapeId="0" xr:uid="{A441B9BF-F018-446E-BF83-3B63A4F4F0CE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T165" authorId="1" shapeId="0" xr:uid="{011D3A35-A666-426E-853F-315E1CAF9101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C165" authorId="1" shapeId="0" xr:uid="{2B40AF5B-9E4B-4334-A371-5BC1451A0EF4}">
      <text>
        <r>
          <rPr>
            <b/>
            <sz val="28"/>
            <color indexed="81"/>
            <rFont val="細明體"/>
            <family val="3"/>
            <charset val="136"/>
          </rPr>
          <t>新配方 送樣80
skyla*50
SCIL*30
貼標用新的版次軟體，
Format Version 設定 5</t>
        </r>
      </text>
    </comment>
    <comment ref="FX165" authorId="1" shapeId="0" xr:uid="{F901FA5A-E4B2-4E3C-BBFC-A4371106F596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 xml:space="preserve">試作，
</t>
        </r>
        <r>
          <rPr>
            <b/>
            <sz val="24"/>
            <color indexed="81"/>
            <rFont val="Tahoma"/>
            <family val="2"/>
          </rPr>
          <t xml:space="preserve">5/28 </t>
        </r>
        <r>
          <rPr>
            <b/>
            <sz val="24"/>
            <color indexed="81"/>
            <rFont val="細明體"/>
            <family val="3"/>
            <charset val="136"/>
          </rPr>
          <t>注水，貼標送樣。</t>
        </r>
      </text>
    </comment>
    <comment ref="FY165" authorId="1" shapeId="0" xr:uid="{CA002213-BE23-47A3-8984-106C7B71998F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 xml:space="preserve">試作，
</t>
        </r>
        <r>
          <rPr>
            <b/>
            <sz val="24"/>
            <color indexed="81"/>
            <rFont val="Tahoma"/>
            <family val="2"/>
          </rPr>
          <t xml:space="preserve">5/28 </t>
        </r>
        <r>
          <rPr>
            <b/>
            <sz val="24"/>
            <color indexed="81"/>
            <rFont val="細明體"/>
            <family val="3"/>
            <charset val="136"/>
          </rPr>
          <t>注水，貼標送樣。</t>
        </r>
      </text>
    </comment>
    <comment ref="LA165" authorId="1" shapeId="0" xr:uid="{2F75B910-82C8-42DB-8F25-DB48C55660EA}">
      <text>
        <r>
          <rPr>
            <sz val="30"/>
            <color indexed="81"/>
            <rFont val="細明體"/>
            <family val="3"/>
            <charset val="136"/>
          </rPr>
          <t>費用型工單:
LM3525: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9/22 夜班00:00 開始作業。夜班，貼背貼加塞子。
2. 9/23 日班 08:30 開始注水。負壓秤重。
3. 注水後，需要 負壓，秤重。
4. 每完成100片給RD貼正貼與PS 球。
5.9/23 RD 完成後，給產線，產線包裝完成後，放入4度C冰箱。
9/25 包裝*50
效期3個月</t>
        </r>
      </text>
    </comment>
    <comment ref="NN165" authorId="1" shapeId="0" xr:uid="{9CF7CF5F-0728-469C-A908-2B69D291A344}">
      <text>
        <r>
          <rPr>
            <sz val="30"/>
            <color indexed="81"/>
            <rFont val="細明體"/>
            <family val="3"/>
            <charset val="136"/>
          </rPr>
          <t>費用型工單:
LM:3570
生產包裝日待業務通知。
LOT 設定: VE2ZH25JX1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貼標生產日10/30。
效期:4個月 2026/2/27
11/19 找DQE 拿卡匣</t>
        </r>
      </text>
    </comment>
    <comment ref="PI165" authorId="1" shapeId="0" xr:uid="{9A8FE42C-F244-4849-ABCD-3905EC5C6216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H165" authorId="1" shapeId="0" xr:uid="{540DC11E-D8D7-4A87-9CCE-345596914302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V165" authorId="1" shapeId="0" xr:uid="{E1BAEC49-73CE-46BB-8AFF-5E5F970EE228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X165" authorId="1" shapeId="0" xr:uid="{8DC38B12-04D3-46ED-BB99-508A3CD8CA5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E165" authorId="1" shapeId="0" xr:uid="{2BA83FD9-B652-4355-93E1-4C022A261E2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D165" authorId="1" shapeId="0" xr:uid="{AEA87C1C-DDAE-44CD-92B6-1D7F12907C25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WK165" authorId="1" shapeId="0" xr:uid="{4B5FAC96-027F-4B48-9297-B6629669CC60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XI165" authorId="1" shapeId="0" xr:uid="{ABC21515-8F26-4656-AC01-0A5E69295856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DT166" authorId="1" shapeId="0" xr:uid="{994640D3-80A9-4DCE-8D16-ADC5B256870E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SV166" authorId="1" shapeId="0" xr:uid="{9DA31924-2246-4C6D-82B6-BB15354C0CA8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O167" authorId="1" shapeId="0" xr:uid="{DDB35AE5-6B8C-46A2-973C-9D26B7F45217}">
      <text>
        <r>
          <rPr>
            <sz val="20"/>
            <color indexed="81"/>
            <rFont val="細明體"/>
            <family val="3"/>
            <charset val="136"/>
          </rPr>
          <t>費用行工單，</t>
        </r>
        <r>
          <rPr>
            <sz val="20"/>
            <color indexed="81"/>
            <rFont val="Tahoma"/>
            <family val="2"/>
          </rPr>
          <t xml:space="preserve">RD </t>
        </r>
        <r>
          <rPr>
            <sz val="20"/>
            <color indexed="81"/>
            <rFont val="細明體"/>
            <family val="3"/>
            <charset val="136"/>
          </rPr>
          <t>試作，不貼標，要包裝</t>
        </r>
      </text>
    </comment>
    <comment ref="AV167" authorId="1" shapeId="0" xr:uid="{FFDA4805-89A9-478F-992C-89FFD8CBCFF6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AW167" authorId="1" shapeId="0" xr:uid="{1DBD470D-6940-4A96-A012-FEDFF821B79C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CU167" authorId="1" shapeId="0" xr:uid="{DC198DB6-CF7C-4B45-B8D1-AA8BED8913AF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DS167" authorId="1" shapeId="0" xr:uid="{BFE6F5E5-F61A-46DB-925D-61E611917156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Z167" authorId="1" shapeId="0" xr:uid="{B412E361-8343-4224-A85D-4A114FA23B1B}">
      <text>
        <r>
          <rPr>
            <b/>
            <sz val="28"/>
            <color indexed="81"/>
            <rFont val="細明體"/>
            <family val="3"/>
            <charset val="136"/>
          </rPr>
          <t>新配方 送樣80 SCIL*30  費用型工單掛RD
費用型工單 不貼標單片包裝。</t>
        </r>
      </text>
    </comment>
    <comment ref="EG167" authorId="1" shapeId="0" xr:uid="{55CAF38A-E63E-425F-8184-FD6B322B47D7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H167" authorId="1" shapeId="0" xr:uid="{0294572A-7815-43AD-B1F3-15AFF7A39F2A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Z167" authorId="1" shapeId="0" xr:uid="{4564F528-D69B-4997-9861-E297FB771E4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O167" authorId="1" shapeId="0" xr:uid="{616F7DEA-085A-4DB1-8EBD-97C1719E9D48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
不用貼標，要包裝</t>
        </r>
      </text>
    </comment>
    <comment ref="FW167" authorId="1" shapeId="0" xr:uid="{8299E0DA-1665-4AE7-8BAE-0026D9978D98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HF167" authorId="1" shapeId="0" xr:uid="{6C84D358-E6AA-498A-B066-5C784617A853}">
      <text>
        <r>
          <rPr>
            <sz val="24"/>
            <color indexed="81"/>
            <rFont val="細明體"/>
            <family val="3"/>
            <charset val="136"/>
          </rPr>
          <t>舊配方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W167" authorId="1" shapeId="0" xr:uid="{2D398006-4F37-4E52-B86C-2C5D63B4E972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D167" authorId="1" shapeId="0" xr:uid="{270A4961-B8AC-4B37-B4E6-20B96C3EEE95}">
      <text>
        <r>
          <rPr>
            <b/>
            <sz val="22"/>
            <color indexed="81"/>
            <rFont val="Tahoma"/>
            <family val="2"/>
          </rPr>
          <t>LM3507</t>
        </r>
        <r>
          <rPr>
            <b/>
            <sz val="22"/>
            <color indexed="81"/>
            <rFont val="細明體"/>
            <family val="3"/>
            <charset val="136"/>
          </rPr>
          <t xml:space="preserve">；
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試作，製程順序
</t>
        </r>
        <r>
          <rPr>
            <b/>
            <sz val="22"/>
            <color indexed="81"/>
            <rFont val="Tahoma"/>
            <family val="2"/>
          </rPr>
          <t xml:space="preserve">9/4 </t>
        </r>
        <r>
          <rPr>
            <b/>
            <sz val="22"/>
            <color indexed="81"/>
            <rFont val="細明體"/>
            <family val="3"/>
            <charset val="136"/>
          </rPr>
          <t>夜班產線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背貼加塞子。</t>
        </r>
        <r>
          <rPr>
            <b/>
            <sz val="22"/>
            <color indexed="81"/>
            <rFont val="Tahoma"/>
            <family val="2"/>
          </rPr>
          <t>(</t>
        </r>
        <r>
          <rPr>
            <b/>
            <sz val="22"/>
            <color indexed="81"/>
            <rFont val="細明體"/>
            <family val="3"/>
            <charset val="136"/>
          </rPr>
          <t>短塞子，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>提供</t>
        </r>
        <r>
          <rPr>
            <b/>
            <sz val="22"/>
            <color indexed="81"/>
            <rFont val="Tahoma"/>
            <family val="2"/>
          </rPr>
          <t xml:space="preserve">)
9/5 </t>
        </r>
        <r>
          <rPr>
            <b/>
            <sz val="22"/>
            <color indexed="81"/>
            <rFont val="細明體"/>
            <family val="3"/>
            <charset val="136"/>
          </rPr>
          <t>日班產線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秤重，注水，目檢，負壓。
</t>
        </r>
        <r>
          <rPr>
            <b/>
            <sz val="22"/>
            <color indexed="81"/>
            <rFont val="Tahoma"/>
            <family val="2"/>
          </rPr>
          <t>9/5  RD:</t>
        </r>
        <r>
          <rPr>
            <b/>
            <sz val="22"/>
            <color indexed="81"/>
            <rFont val="細明體"/>
            <family val="3"/>
            <charset val="136"/>
          </rPr>
          <t>貼正貼與</t>
        </r>
        <r>
          <rPr>
            <b/>
            <sz val="22"/>
            <color indexed="81"/>
            <rFont val="Tahoma"/>
            <family val="2"/>
          </rPr>
          <t xml:space="preserve">PS </t>
        </r>
        <r>
          <rPr>
            <b/>
            <sz val="22"/>
            <color indexed="81"/>
            <rFont val="細明體"/>
            <family val="3"/>
            <charset val="136"/>
          </rPr>
          <t xml:space="preserve">球。
</t>
        </r>
        <r>
          <rPr>
            <b/>
            <sz val="22"/>
            <color indexed="81"/>
            <rFont val="Tahoma"/>
            <family val="2"/>
          </rPr>
          <t xml:space="preserve">9/5  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目檢，不貼標，要包裝。</t>
        </r>
      </text>
    </comment>
    <comment ref="LW167" authorId="1" shapeId="0" xr:uid="{9F6A5128-5B2E-4047-95F2-29C3F5A671C9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MF167" authorId="1" shapeId="0" xr:uid="{B8F41631-3285-47D5-AB7C-CC35B792B663}">
      <text>
        <r>
          <rPr>
            <b/>
            <sz val="28"/>
            <color indexed="81"/>
            <rFont val="細明體"/>
            <family val="3"/>
            <charset val="136"/>
          </rPr>
          <t>費用型工單</t>
        </r>
        <r>
          <rPr>
            <b/>
            <sz val="28"/>
            <color indexed="81"/>
            <rFont val="Tahoma"/>
            <family val="2"/>
          </rPr>
          <t xml:space="preserve">:
LM3558:  
</t>
        </r>
        <r>
          <rPr>
            <b/>
            <sz val="28"/>
            <color indexed="81"/>
            <rFont val="細明體"/>
            <family val="3"/>
            <charset val="136"/>
          </rPr>
          <t>卡匣請事先以</t>
        </r>
        <r>
          <rPr>
            <b/>
            <sz val="28"/>
            <color indexed="81"/>
            <rFont val="Tahoma"/>
            <family val="2"/>
          </rPr>
          <t>55</t>
        </r>
        <r>
          <rPr>
            <b/>
            <sz val="28"/>
            <color indexed="81"/>
            <rFont val="細明體"/>
            <family val="3"/>
            <charset val="136"/>
          </rPr>
          <t>度烘烤</t>
        </r>
        <r>
          <rPr>
            <b/>
            <sz val="28"/>
            <color indexed="81"/>
            <rFont val="Tahoma"/>
            <family val="2"/>
          </rPr>
          <t>9</t>
        </r>
        <r>
          <rPr>
            <b/>
            <sz val="28"/>
            <color indexed="81"/>
            <rFont val="細明體"/>
            <family val="3"/>
            <charset val="136"/>
          </rPr>
          <t>小時，放置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盤烘烤，烘烤後，放樂扣盒。
</t>
        </r>
        <r>
          <rPr>
            <b/>
            <sz val="28"/>
            <color indexed="81"/>
            <rFont val="Tahoma"/>
            <family val="2"/>
          </rPr>
          <t xml:space="preserve">1. 10/20 </t>
        </r>
        <r>
          <rPr>
            <b/>
            <sz val="28"/>
            <color indexed="81"/>
            <rFont val="細明體"/>
            <family val="3"/>
            <charset val="136"/>
          </rPr>
          <t>夜班</t>
        </r>
        <r>
          <rPr>
            <b/>
            <sz val="28"/>
            <color indexed="81"/>
            <rFont val="Tahoma"/>
            <family val="2"/>
          </rPr>
          <t xml:space="preserve">20:30 </t>
        </r>
        <r>
          <rPr>
            <b/>
            <sz val="28"/>
            <color indexed="81"/>
            <rFont val="細明體"/>
            <family val="3"/>
            <charset val="136"/>
          </rPr>
          <t xml:space="preserve">開始作業。夜班，貼背貼加塞子。作業好卡匣放置樂扣盒中
</t>
        </r>
        <r>
          <rPr>
            <b/>
            <sz val="28"/>
            <color indexed="81"/>
            <rFont val="Tahoma"/>
            <family val="2"/>
          </rPr>
          <t xml:space="preserve">2. 10/21 </t>
        </r>
        <r>
          <rPr>
            <b/>
            <sz val="28"/>
            <color indexed="81"/>
            <rFont val="細明體"/>
            <family val="3"/>
            <charset val="136"/>
          </rPr>
          <t>日班</t>
        </r>
        <r>
          <rPr>
            <b/>
            <sz val="28"/>
            <color indexed="81"/>
            <rFont val="Tahoma"/>
            <family val="2"/>
          </rPr>
          <t xml:space="preserve"> 08:30 </t>
        </r>
        <r>
          <rPr>
            <b/>
            <sz val="28"/>
            <color indexed="81"/>
            <rFont val="細明體"/>
            <family val="3"/>
            <charset val="136"/>
          </rPr>
          <t>開始注水。負壓秤重目檢，使用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放置。
</t>
        </r>
        <r>
          <rPr>
            <b/>
            <sz val="28"/>
            <color indexed="81"/>
            <rFont val="Tahoma"/>
            <family val="2"/>
          </rPr>
          <t xml:space="preserve">3. </t>
        </r>
        <r>
          <rPr>
            <b/>
            <sz val="28"/>
            <color indexed="81"/>
            <rFont val="細明體"/>
            <family val="3"/>
            <charset val="136"/>
          </rPr>
          <t>注水後，需要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 xml:space="preserve">負壓，秤重。良品放置樂扣盒，
</t>
        </r>
        <r>
          <rPr>
            <b/>
            <sz val="28"/>
            <color indexed="81"/>
            <rFont val="Tahoma"/>
            <family val="2"/>
          </rPr>
          <t>4.</t>
        </r>
        <r>
          <rPr>
            <b/>
            <sz val="28"/>
            <color indexed="81"/>
            <rFont val="細明體"/>
            <family val="3"/>
            <charset val="136"/>
          </rPr>
          <t>每完成</t>
        </r>
        <r>
          <rPr>
            <b/>
            <sz val="28"/>
            <color indexed="81"/>
            <rFont val="Tahoma"/>
            <family val="2"/>
          </rPr>
          <t>100</t>
        </r>
        <r>
          <rPr>
            <b/>
            <sz val="28"/>
            <color indexed="81"/>
            <rFont val="細明體"/>
            <family val="3"/>
            <charset val="136"/>
          </rPr>
          <t>片給</t>
        </r>
        <r>
          <rPr>
            <b/>
            <sz val="28"/>
            <color indexed="81"/>
            <rFont val="Tahoma"/>
            <family val="2"/>
          </rPr>
          <t>RD</t>
        </r>
        <r>
          <rPr>
            <b/>
            <sz val="28"/>
            <color indexed="81"/>
            <rFont val="細明體"/>
            <family val="3"/>
            <charset val="136"/>
          </rPr>
          <t>貼正貼與</t>
        </r>
        <r>
          <rPr>
            <b/>
            <sz val="28"/>
            <color indexed="81"/>
            <rFont val="Tahoma"/>
            <family val="2"/>
          </rPr>
          <t xml:space="preserve">PS </t>
        </r>
        <r>
          <rPr>
            <b/>
            <sz val="28"/>
            <color indexed="81"/>
            <rFont val="細明體"/>
            <family val="3"/>
            <charset val="136"/>
          </rPr>
          <t>球填</t>
        </r>
        <r>
          <rPr>
            <b/>
            <sz val="28"/>
            <color indexed="81"/>
            <rFont val="Tahoma"/>
            <family val="2"/>
          </rPr>
          <t xml:space="preserve"> Beads</t>
        </r>
        <r>
          <rPr>
            <b/>
            <sz val="28"/>
            <color indexed="81"/>
            <rFont val="細明體"/>
            <family val="3"/>
            <charset val="136"/>
          </rPr>
          <t xml:space="preserve">。
</t>
        </r>
        <r>
          <rPr>
            <b/>
            <sz val="28"/>
            <color indexed="81"/>
            <rFont val="Tahoma"/>
            <family val="2"/>
          </rPr>
          <t xml:space="preserve"> 5.  RD </t>
        </r>
        <r>
          <rPr>
            <b/>
            <sz val="28"/>
            <color indexed="81"/>
            <rFont val="細明體"/>
            <family val="3"/>
            <charset val="136"/>
          </rPr>
          <t>完成後，給產線，產線檢驗完後，進行包裝；包裝完成後，放入</t>
        </r>
        <r>
          <rPr>
            <b/>
            <sz val="28"/>
            <color indexed="81"/>
            <rFont val="Tahoma"/>
            <family val="2"/>
          </rPr>
          <t>4</t>
        </r>
        <r>
          <rPr>
            <b/>
            <sz val="28"/>
            <color indexed="81"/>
            <rFont val="細明體"/>
            <family val="3"/>
            <charset val="136"/>
          </rPr>
          <t>度</t>
        </r>
        <r>
          <rPr>
            <b/>
            <sz val="28"/>
            <color indexed="81"/>
            <rFont val="Tahoma"/>
            <family val="2"/>
          </rPr>
          <t>C</t>
        </r>
        <r>
          <rPr>
            <b/>
            <sz val="28"/>
            <color indexed="81"/>
            <rFont val="細明體"/>
            <family val="3"/>
            <charset val="136"/>
          </rPr>
          <t>冰箱。
生產製程增加卡匣烘烤，烘烤後卡匣存放環境以樂扣盒為主，除生產製程需要，才曝露在外面。
出貨需求</t>
        </r>
        <r>
          <rPr>
            <b/>
            <sz val="28"/>
            <color indexed="81"/>
            <rFont val="Tahoma"/>
            <family val="2"/>
          </rPr>
          <t xml:space="preserve"> 140 </t>
        </r>
        <r>
          <rPr>
            <b/>
            <sz val="28"/>
            <color indexed="81"/>
            <rFont val="細明體"/>
            <family val="3"/>
            <charset val="136"/>
          </rPr>
          <t>片。</t>
        </r>
        <r>
          <rPr>
            <b/>
            <sz val="28"/>
            <color indexed="81"/>
            <rFont val="Tahoma"/>
            <family val="2"/>
          </rPr>
          <t xml:space="preserve">SCIL*20  SKYLA*120 </t>
        </r>
        <r>
          <rPr>
            <b/>
            <sz val="28"/>
            <color indexed="81"/>
            <rFont val="細明體"/>
            <family val="3"/>
            <charset val="136"/>
          </rPr>
          <t>。</t>
        </r>
        <r>
          <rPr>
            <b/>
            <sz val="20"/>
            <color indexed="81"/>
            <rFont val="細明體"/>
            <family val="3"/>
            <charset val="136"/>
          </rPr>
          <t xml:space="preserve">
</t>
        </r>
      </text>
    </comment>
    <comment ref="MG167" authorId="1" shapeId="0" xr:uid="{A06FBAB8-4205-440D-AD54-3393E463EB6A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MH167" authorId="1" shapeId="0" xr:uid="{0014446B-3021-46F3-B887-8177596A0ED2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E167" authorId="1" shapeId="0" xr:uid="{35A3AA88-BE5F-4F96-88C9-B46B30E579C6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T167" authorId="1" shapeId="0" xr:uid="{2D9A826C-37E6-4094-BE4E-739B00B651AD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W167" authorId="1" shapeId="0" xr:uid="{C951F480-0DFF-4205-A5E4-ED18157DF034}">
      <text>
        <r>
          <rPr>
            <sz val="30"/>
            <color indexed="81"/>
            <rFont val="細明體"/>
            <family val="3"/>
            <charset val="136"/>
          </rPr>
          <t>費用型工單:
LM3613: 當天生產即可。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1.使用烘烤的卡匣。
2.使用新的ELISA 機台作業。
3.背貼-&gt;塞子-&gt;填藥(2顆)-&gt;正貼-&gt;秤重注水-&gt;負壓-&gt;秤重目檢-&gt;包裝
4.包裝完成，不需貼標。
5.有任何問題找PE。</t>
        </r>
      </text>
    </comment>
    <comment ref="OD167" authorId="1" shapeId="0" xr:uid="{9B40E4D9-5E60-4B84-8615-BF3551B9E496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OL167" authorId="1" shapeId="0" xr:uid="{ACE40D37-DACB-43F2-B49A-CBD29F013FF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B167" authorId="1" shapeId="0" xr:uid="{F2F09527-0FEC-4524-9619-003E08F726C5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12/23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</t>
        </r>
        <r>
          <rPr>
            <b/>
            <sz val="22"/>
            <color indexed="81"/>
            <rFont val="Tahoma"/>
            <family val="2"/>
          </rPr>
          <t xml:space="preserve">12/22 RD </t>
        </r>
        <r>
          <rPr>
            <b/>
            <sz val="22"/>
            <color indexed="81"/>
            <rFont val="細明體"/>
            <family val="3"/>
            <charset val="136"/>
          </rPr>
          <t>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J167" authorId="1" shapeId="0" xr:uid="{F56FFD27-AB4D-41DD-825D-F52617866C8A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12/30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</t>
        </r>
        <r>
          <rPr>
            <b/>
            <sz val="22"/>
            <color indexed="81"/>
            <rFont val="Tahoma"/>
            <family val="2"/>
          </rPr>
          <t xml:space="preserve">12/29 RD </t>
        </r>
        <r>
          <rPr>
            <b/>
            <sz val="22"/>
            <color indexed="81"/>
            <rFont val="細明體"/>
            <family val="3"/>
            <charset val="136"/>
          </rPr>
          <t>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R167" authorId="1" shapeId="0" xr:uid="{C1BE6AC5-3841-499C-8B77-CA2D1F8FD555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S167" authorId="1" shapeId="0" xr:uid="{665D5B4E-8EF1-4B30-BB54-1DFA6CCFE37C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QH167" authorId="1" shapeId="0" xr:uid="{AE8C595E-B763-4BF1-BD8E-9AF56718C457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G167" authorId="1" shapeId="0" xr:uid="{EA0F3295-5458-4145-B0D9-C06486D7405E}">
      <text>
        <r>
          <rPr>
            <b/>
            <sz val="22"/>
            <color indexed="81"/>
            <rFont val="細明體"/>
            <family val="3"/>
            <charset val="136"/>
          </rPr>
          <t>新配方生產</t>
        </r>
      </text>
    </comment>
    <comment ref="SI167" authorId="1" shapeId="0" xr:uid="{FB9D08B5-759B-4DFC-BA7D-2DECC2662ED8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P167" authorId="1" shapeId="0" xr:uid="{CF9F14B7-F805-415D-8416-EC985DE2FF0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TD167" authorId="1" shapeId="0" xr:uid="{A8812AE4-1796-44FB-BD34-8F197A47BED0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D167" authorId="1" shapeId="0" xr:uid="{DC678C4E-F6F5-4E88-A778-C21995CECFCF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
BEADS 下午交藥</t>
        </r>
      </text>
    </comment>
    <comment ref="UG167" authorId="1" shapeId="0" xr:uid="{C074F862-9EC2-416B-BF71-2E499D7F5350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US167" authorId="1" shapeId="0" xr:uid="{1B405AF0-BEE2-4D68-BC72-33052F0588D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VN167" authorId="1" shapeId="0" xr:uid="{5F63CF29-3F9D-40FA-8BC0-667E24DBF44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R167" authorId="1" shapeId="0" xr:uid="{60132B84-5215-4523-8942-AE38816A8AD6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S167" authorId="1" shapeId="0" xr:uid="{82FBDD24-DE4D-44F9-89DD-785E393E341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DU169" authorId="1" shapeId="0" xr:uid="{30B86F70-3458-4206-BF89-8343304FB970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G169" authorId="1" shapeId="0" xr:uid="{421E31F6-5D8A-4D37-A341-7FA2DEABAD7C}">
      <text>
        <r>
          <rPr>
            <b/>
            <sz val="28"/>
            <color indexed="81"/>
            <rFont val="細明體"/>
            <family val="3"/>
            <charset val="136"/>
          </rPr>
          <t>新配方 送樣80 
skyla*50
SCIL*30
貼標用新的版次軟體，
Format Version 設定 5</t>
        </r>
      </text>
    </comment>
    <comment ref="EI169" authorId="1" shapeId="0" xr:uid="{19CEBE43-C243-461B-BB3A-335BCA10E743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P169" authorId="1" shapeId="0" xr:uid="{C928EEF2-1F61-4BFD-B2B2-5E01604046E2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B169" authorId="1" shapeId="0" xr:uid="{7F1DB2CC-6C96-4D9C-BAEB-D11EE5DA8E25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W169" authorId="1" shapeId="0" xr:uid="{2B132E34-0C1F-434F-A628-E3FFDE661D36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 xml:space="preserve">試作，
</t>
        </r>
        <r>
          <rPr>
            <b/>
            <sz val="24"/>
            <color indexed="81"/>
            <rFont val="Tahoma"/>
            <family val="2"/>
          </rPr>
          <t xml:space="preserve">5/27 </t>
        </r>
        <r>
          <rPr>
            <b/>
            <sz val="24"/>
            <color indexed="81"/>
            <rFont val="細明體"/>
            <family val="3"/>
            <charset val="136"/>
          </rPr>
          <t>注水，貼標送樣。</t>
        </r>
      </text>
    </comment>
    <comment ref="FY169" authorId="1" shapeId="0" xr:uid="{ACAB62DD-6C3F-403B-8490-D8E03C41695F}">
      <text>
        <r>
          <rPr>
            <b/>
            <sz val="28"/>
            <color indexed="81"/>
            <rFont val="細明體"/>
            <family val="3"/>
            <charset val="136"/>
          </rPr>
          <t>舊配方 
SCIL *400 優先滿足，其餘SKYLA</t>
        </r>
      </text>
    </comment>
    <comment ref="HM169" authorId="1" shapeId="0" xr:uid="{8211263F-6EE7-472A-BCC5-E73ECD59C294}">
      <text>
        <r>
          <rPr>
            <b/>
            <sz val="26"/>
            <color indexed="81"/>
            <rFont val="Tahoma"/>
            <family val="2"/>
          </rPr>
          <t xml:space="preserve">7/3~7/8 </t>
        </r>
        <r>
          <rPr>
            <b/>
            <sz val="26"/>
            <color indexed="81"/>
            <rFont val="細明體"/>
            <family val="3"/>
            <charset val="136"/>
          </rPr>
          <t>一起送，由</t>
        </r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確認是否可併批</t>
        </r>
      </text>
    </comment>
    <comment ref="MN169" authorId="1" shapeId="0" xr:uid="{37387103-6CF5-4137-8FC5-37BC9704FC90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N169" authorId="1" shapeId="0" xr:uid="{552C0962-5D3F-4826-ACCB-E320BDA6334C}">
      <text>
        <r>
          <rPr>
            <sz val="30"/>
            <color indexed="81"/>
            <rFont val="細明體"/>
            <family val="3"/>
            <charset val="136"/>
          </rPr>
          <t>費用型工單:
LM3558:
生產包裝日待業務通知。
LOT 設定:VE3ZH25JM1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貼標生產日10/21。
效期:4個月 2026/2/20
11/19 找DQE 拿卡匣</t>
        </r>
      </text>
    </comment>
    <comment ref="OF169" authorId="1" shapeId="0" xr:uid="{0AD06572-0CB1-414F-A0BB-DE55BB6F8FE1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ON169" authorId="1" shapeId="0" xr:uid="{4C1C638A-D7B0-4A9F-A285-EB299201A51E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T169" authorId="1" shapeId="0" xr:uid="{33C16129-514D-4BFF-B30B-5E3E592F9B61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U169" authorId="1" shapeId="0" xr:uid="{82297C7C-F1F3-4E5E-BDC2-CA3107D7B3A9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N169" authorId="1" shapeId="0" xr:uid="{E77AF088-9D1B-43D4-9CA1-93E05B71C7E0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R169" authorId="1" shapeId="0" xr:uid="{B56FC24E-5B9B-4CD0-B4E0-B5BEBBF0FC4D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F169" authorId="1" shapeId="0" xr:uid="{EC4280BF-6235-4E94-8C19-37288A508235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UF169" authorId="1" shapeId="0" xr:uid="{EB2DEBEA-AEE3-4F4E-9B6D-63489497807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L169" authorId="1" shapeId="0" xr:uid="{7BF52F22-F9DC-4C3D-8D05-21CA85EDD9AE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UU169" authorId="1" shapeId="0" xr:uid="{C5B736FA-4802-4180-9DA9-8A9D1DEC990B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VU169" authorId="1" shapeId="0" xr:uid="{CE6EC3B7-7B15-4DBB-80FB-01062497B367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DU170" authorId="1" shapeId="0" xr:uid="{D09D2563-C48F-4FEF-99B1-F79B0666446C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I170" authorId="1" shapeId="0" xr:uid="{15B0CF88-0B0C-4DE6-B31E-C33CF0F971C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Y170" authorId="1" shapeId="0" xr:uid="{A3326F91-181E-404B-83B0-7E11C6D8714F}">
      <text>
        <r>
          <rPr>
            <b/>
            <sz val="28"/>
            <color indexed="81"/>
            <rFont val="細明體"/>
            <family val="3"/>
            <charset val="136"/>
          </rPr>
          <t>舊配方 
SCIL *400 優先滿足，其餘SKYLA</t>
        </r>
      </text>
    </comment>
    <comment ref="SN170" authorId="1" shapeId="0" xr:uid="{B1B6B133-3BFB-4CB1-AC87-CBB87EE18D4D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R170" authorId="1" shapeId="0" xr:uid="{6458763F-6B59-4570-8F78-1866094EA76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F171" authorId="1" shapeId="0" xr:uid="{82A8A336-E066-498A-A443-0F584A7EB35E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</t>
        </r>
      </text>
    </comment>
    <comment ref="G171" authorId="1" shapeId="0" xr:uid="{FF423D8E-C375-4DD5-A0B6-AA16AC5AE981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</t>
        </r>
      </text>
    </comment>
    <comment ref="BW171" authorId="1" shapeId="0" xr:uid="{88AC6FC6-3D62-4AB6-BEBE-1D4C74C2318A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個月。缺化學料，生產日待確認。</t>
        </r>
      </text>
    </comment>
    <comment ref="QI171" authorId="1" shapeId="0" xr:uid="{60F95925-F98D-43C8-A94A-75E82CAEA9AC}">
      <text>
        <r>
          <rPr>
            <sz val="26"/>
            <color indexed="81"/>
            <rFont val="細明體"/>
            <family val="3"/>
            <charset val="136"/>
          </rPr>
          <t>1/16 到貨，1/16 RD 配R4</t>
        </r>
      </text>
    </comment>
    <comment ref="QR171" authorId="1" shapeId="0" xr:uid="{6DBC518D-887E-4BEB-A3BA-DC8779EC7BD5}">
      <text>
        <r>
          <rPr>
            <b/>
            <sz val="22"/>
            <color indexed="81"/>
            <rFont val="細明體"/>
            <family val="3"/>
            <charset val="136"/>
          </rPr>
          <t xml:space="preserve">新配方 RD試作
EN:LM3755 確認卡匣不烘烤
費用型工單
1. 1/28 500 片產線自動機全製程。1/27 RD 要交藥
產線.背貼-&gt;塞子-&gt;秤重注水-&gt;負壓-&gt;秤重目檢-&gt;填藥(2顆)-&gt;正貼--&gt;包裝
4.包裝完成，不需貼標。
2. 50 pics 封入 R1/R2/R3，不須貼離型膜不須填入 R4，塞塞子與注水封膜即可
</t>
        </r>
      </text>
    </comment>
    <comment ref="RA171" authorId="1" shapeId="0" xr:uid="{55FEB159-E4DD-4EF4-90F3-B0E4E4475BF8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H171" authorId="1" shapeId="0" xr:uid="{B8223AA3-1DEC-4E70-846F-C8BBC3F27CD7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V171" authorId="1" shapeId="0" xr:uid="{9C921F93-2535-47DF-A8CA-CD4A0C549AF5}">
      <text>
        <r>
          <rPr>
            <sz val="22"/>
            <color indexed="81"/>
            <rFont val="細明體"/>
            <family val="3"/>
            <charset val="136"/>
          </rPr>
          <t>新配方生產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E171" authorId="1" shapeId="0" xr:uid="{C1B551D4-6FC2-481E-A6E9-09E16AFB1085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E171" authorId="1" shapeId="0" xr:uid="{D57BF3EF-D941-48C2-9EE1-AD6191E4FAE2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K171" authorId="1" shapeId="0" xr:uid="{4D1D6460-80E0-4BB0-9119-0837FB37B791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U171" authorId="1" shapeId="0" xr:uid="{C531C6CE-E74B-4BB4-A5D7-7CD0E6FB2A3C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BX172" authorId="0" shapeId="0" xr:uid="{76027280-6544-4B85-911D-020744E17E3F}">
      <text>
        <r>
          <rPr>
            <b/>
            <sz val="72"/>
            <color indexed="81"/>
            <rFont val="細明體"/>
            <family val="3"/>
            <charset val="136"/>
          </rPr>
          <t>DQE 需求100 
RD*50</t>
        </r>
      </text>
    </comment>
    <comment ref="SJ172" authorId="1" shapeId="0" xr:uid="{1EEAC4D4-6407-4D1B-AAB8-2265AA9D1DB4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X172" authorId="1" shapeId="0" xr:uid="{88FD0706-596D-41F1-BD84-B0388C32C42E}">
      <text>
        <r>
          <rPr>
            <b/>
            <sz val="22"/>
            <color indexed="81"/>
            <rFont val="細明體"/>
            <family val="3"/>
            <charset val="136"/>
          </rPr>
          <t>新配方生產，效期12個月
QR F/W 版本用V5</t>
        </r>
      </text>
    </comment>
    <comment ref="TG172" authorId="1" shapeId="0" xr:uid="{13F3EA5C-6A3F-4976-A911-0FC7FBC1B17F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G172" authorId="1" shapeId="0" xr:uid="{AC28E380-EF1C-49EC-8012-5729536F2D4F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M172" authorId="1" shapeId="0" xr:uid="{25309699-CF7F-45B5-B330-9F666A6F3698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VC172" authorId="1" shapeId="0" xr:uid="{6783FF90-A45D-40F8-9055-D0CFF2380DDF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J174" authorId="1" shapeId="0" xr:uid="{6944EE1F-17F0-4E6D-8C18-738CD4A3BB2C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</t>
        </r>
      </text>
    </comment>
    <comment ref="QS174" authorId="1" shapeId="0" xr:uid="{97F2008B-5AB9-45E7-908B-A4D16D2070E9}">
      <text>
        <r>
          <rPr>
            <b/>
            <sz val="22"/>
            <color indexed="81"/>
            <rFont val="細明體"/>
            <family val="3"/>
            <charset val="136"/>
          </rPr>
          <t xml:space="preserve">新配方 RD試作
EN:LM3755
確認卡匣不烘烤
費用型工單
1. 1/29 500 片產線自動機全製程。1/28 RD 要交藥
產線.背貼-&gt;塞子-&gt;秤重注水-&gt;負壓-&gt;秤重目檢-&gt;填藥(2顆)-&gt;正貼--&gt;包裝
4.包裝完成，不需貼標。
2.50 pics 封入 R1/R2/R3，不須貼離型膜不須填入 R4，塞塞子與注水封膜即可
</t>
        </r>
      </text>
    </comment>
    <comment ref="QZ174" authorId="1" shapeId="0" xr:uid="{9B3E55FB-9562-490B-B109-14058BFD6BD1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G174" authorId="1" shapeId="0" xr:uid="{A0DAA1EF-2F28-4A5F-8649-0EF9689C2B7D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J174" authorId="1" shapeId="0" xr:uid="{ADB0515B-211C-4C99-B2E8-FF96669787B9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Y174" authorId="1" shapeId="0" xr:uid="{0BC6E87C-2438-42F7-BABF-F216F679FAA3}">
      <text>
        <r>
          <rPr>
            <sz val="22"/>
            <color indexed="81"/>
            <rFont val="細明體"/>
            <family val="3"/>
            <charset val="136"/>
          </rPr>
          <t>新配方生產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F174" authorId="1" shapeId="0" xr:uid="{761CEB7F-43F4-4EB5-9A22-AAE22CC82500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L174" authorId="1" shapeId="0" xr:uid="{D0944E1D-549D-4ADB-8772-40F11EAE2473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VL174" authorId="1" shapeId="0" xr:uid="{313FC25D-06D6-4C11-BFF2-629C2ABAAB39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CB175" authorId="0" shapeId="0" xr:uid="{A231DA89-62C3-4F43-BA8A-989E52A8D109}">
      <text>
        <r>
          <rPr>
            <b/>
            <sz val="72"/>
            <color indexed="81"/>
            <rFont val="細明體"/>
            <family val="3"/>
            <charset val="136"/>
          </rPr>
          <t>DQE 需求100 
RD*50</t>
        </r>
      </text>
    </comment>
    <comment ref="FR175" authorId="0" shapeId="0" xr:uid="{6E656CAF-806E-4676-BFF0-770545D00C5F}">
      <text>
        <r>
          <rPr>
            <b/>
            <sz val="22"/>
            <color indexed="81"/>
            <rFont val="細明體"/>
            <family val="3"/>
            <charset val="136"/>
          </rPr>
          <t>切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 xml:space="preserve">批
韓國*100 1批，其餘SKYLA
</t>
        </r>
      </text>
    </comment>
    <comment ref="GW175" authorId="1" shapeId="0" xr:uid="{AB2E7AE0-A2A9-4CA6-8107-1EB5587BEE8F}">
      <text>
        <r>
          <rPr>
            <sz val="28"/>
            <color indexed="81"/>
            <rFont val="細明體"/>
            <family val="3"/>
            <charset val="136"/>
          </rPr>
          <t>切</t>
        </r>
        <r>
          <rPr>
            <sz val="28"/>
            <color indexed="81"/>
            <rFont val="Tahoma"/>
            <family val="2"/>
          </rPr>
          <t>2</t>
        </r>
        <r>
          <rPr>
            <sz val="28"/>
            <color indexed="81"/>
            <rFont val="細明體"/>
            <family val="3"/>
            <charset val="136"/>
          </rPr>
          <t>批，韓國*200 其餘skyla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PR175" authorId="1" shapeId="0" xr:uid="{C843FE78-DBAE-44A4-B360-69C560C86FD9}">
      <text>
        <r>
          <rPr>
            <sz val="26"/>
            <color indexed="81"/>
            <rFont val="細明體"/>
            <family val="3"/>
            <charset val="136"/>
          </rPr>
          <t>庫存重工，重工成</t>
        </r>
        <r>
          <rPr>
            <sz val="26"/>
            <color indexed="81"/>
            <rFont val="Tahoma"/>
            <family val="2"/>
          </rPr>
          <t xml:space="preserve">SKYLA </t>
        </r>
        <r>
          <rPr>
            <sz val="26"/>
            <color indexed="81"/>
            <rFont val="細明體"/>
            <family val="3"/>
            <charset val="136"/>
          </rPr>
          <t>國際</t>
        </r>
        <r>
          <rPr>
            <sz val="26"/>
            <color indexed="81"/>
            <rFont val="Tahoma"/>
            <family val="2"/>
          </rPr>
          <t xml:space="preserve">
LOT VE5ZH25LI2
</t>
        </r>
        <r>
          <rPr>
            <sz val="26"/>
            <color indexed="81"/>
            <rFont val="細明體"/>
            <family val="3"/>
            <charset val="136"/>
          </rPr>
          <t>生產日:2025/12/17
留樣10片。含抽驗。</t>
        </r>
      </text>
    </comment>
    <comment ref="SO175" authorId="1" shapeId="0" xr:uid="{BB512C2E-E107-4A5A-AAEF-9F52FC546F35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Y175" authorId="1" shapeId="0" xr:uid="{6B8F7FD6-F771-4F75-93F3-CBCCBFA84141}">
      <text>
        <r>
          <rPr>
            <b/>
            <sz val="22"/>
            <color indexed="81"/>
            <rFont val="細明體"/>
            <family val="3"/>
            <charset val="136"/>
          </rPr>
          <t>新配方生產，效期12個月
QR F/W 版本用V5</t>
        </r>
      </text>
    </comment>
    <comment ref="TD175" authorId="1" shapeId="0" xr:uid="{3DB36FC9-F34A-40AE-8768-9A2D7BBC7447}">
      <text>
        <r>
          <rPr>
            <b/>
            <sz val="22"/>
            <color indexed="81"/>
            <rFont val="細明體"/>
            <family val="3"/>
            <charset val="136"/>
          </rPr>
          <t>新配方生產，效期12個月
QR F/W 版本用V5</t>
        </r>
      </text>
    </comment>
    <comment ref="UK175" authorId="1" shapeId="0" xr:uid="{942B59E8-BBF9-408A-916D-8947A00515C4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N175" authorId="1" shapeId="0" xr:uid="{F7FD00DA-6AA9-4BC3-B69C-0E42282F507B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VR175" authorId="1" shapeId="0" xr:uid="{CE0867F7-FDCE-4941-8FE2-94B92C4D5303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SO176" authorId="1" shapeId="0" xr:uid="{0C34AA11-3123-4040-A972-033469C309FB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8" authorId="1" shapeId="0" xr:uid="{BD8B5E77-1633-43FF-ADF8-A2D7E5F49247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BX178" authorId="1" shapeId="0" xr:uid="{EBA55A24-C4B5-411A-96E7-8A6F69AD589D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CJ178" authorId="1" shapeId="0" xr:uid="{9A08669F-2CDB-46DB-B0C5-FAC16452A69A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CK178" authorId="1" shapeId="0" xr:uid="{02F3322A-1A0D-4197-8C73-FA0E5C23E6F0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CT178" authorId="0" shapeId="0" xr:uid="{A03B1280-57F7-4FF3-8311-2AEAF0093EB9}">
      <text>
        <r>
          <rPr>
            <sz val="28"/>
            <color indexed="81"/>
            <rFont val="細明體"/>
            <family val="3"/>
            <charset val="136"/>
          </rPr>
          <t>費用型工單</t>
        </r>
        <r>
          <rPr>
            <sz val="28"/>
            <color indexed="81"/>
            <rFont val="Tahoma"/>
            <family val="2"/>
          </rPr>
          <t xml:space="preserve">
QC *300
Device *200</t>
        </r>
      </text>
    </comment>
    <comment ref="DM178" authorId="1" shapeId="0" xr:uid="{FAA2D2A5-DE28-4C88-90EF-542491FC372C}">
      <text>
        <r>
          <rPr>
            <sz val="26"/>
            <color indexed="81"/>
            <rFont val="細明體"/>
            <family val="3"/>
            <charset val="136"/>
          </rPr>
          <t>費用行工單，掛</t>
        </r>
        <r>
          <rPr>
            <sz val="26"/>
            <color indexed="81"/>
            <rFont val="Tahoma"/>
            <family val="2"/>
          </rPr>
          <t xml:space="preserve">T800402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D178" authorId="1" shapeId="0" xr:uid="{66037C20-FFDA-4EAE-ADC1-964288A69E71}">
      <text>
        <r>
          <rPr>
            <sz val="30"/>
            <color indexed="81"/>
            <rFont val="細明體"/>
            <family val="3"/>
            <charset val="136"/>
          </rPr>
          <t xml:space="preserve">費用型工單
</t>
        </r>
        <r>
          <rPr>
            <sz val="30"/>
            <color indexed="81"/>
            <rFont val="Tahoma"/>
            <family val="2"/>
          </rPr>
          <t xml:space="preserve">QC *450
Device* 150
</t>
        </r>
        <r>
          <rPr>
            <sz val="30"/>
            <color indexed="81"/>
            <rFont val="細明體"/>
            <family val="3"/>
            <charset val="136"/>
          </rPr>
          <t>不包裝，要貼標。</t>
        </r>
      </text>
    </comment>
    <comment ref="HE178" authorId="1" shapeId="0" xr:uid="{2ADBD981-25F5-4F5B-8C3F-F7A33F3EF78B}">
      <text>
        <r>
          <rPr>
            <sz val="28"/>
            <color indexed="81"/>
            <rFont val="細明體"/>
            <family val="3"/>
            <charset val="136"/>
          </rPr>
          <t xml:space="preserve">費用型工單，
</t>
        </r>
        <r>
          <rPr>
            <sz val="28"/>
            <color indexed="81"/>
            <rFont val="Tahoma"/>
            <family val="2"/>
          </rPr>
          <t>EN: LM3422
ELISA</t>
        </r>
        <r>
          <rPr>
            <sz val="28"/>
            <color indexed="81"/>
            <rFont val="細明體"/>
            <family val="3"/>
            <charset val="136"/>
          </rPr>
          <t xml:space="preserve">氣密塞長度變短測試
</t>
        </r>
        <r>
          <rPr>
            <sz val="28"/>
            <color indexed="81"/>
            <rFont val="Tahoma"/>
            <family val="2"/>
          </rPr>
          <t xml:space="preserve">PE </t>
        </r>
        <r>
          <rPr>
            <sz val="28"/>
            <color indexed="81"/>
            <rFont val="細明體"/>
            <family val="3"/>
            <charset val="136"/>
          </rPr>
          <t>跟線，詳細情形看</t>
        </r>
        <r>
          <rPr>
            <sz val="28"/>
            <color indexed="81"/>
            <rFont val="Tahoma"/>
            <family val="2"/>
          </rPr>
          <t>EN</t>
        </r>
        <r>
          <rPr>
            <sz val="28"/>
            <color indexed="81"/>
            <rFont val="細明體"/>
            <family val="3"/>
            <charset val="136"/>
          </rPr>
          <t>。</t>
        </r>
      </text>
    </comment>
    <comment ref="IM178" authorId="1" shapeId="0" xr:uid="{AE3E3500-E14A-4F60-98BD-C59F41D1DE09}">
      <text>
        <r>
          <rPr>
            <b/>
            <sz val="26"/>
            <color indexed="81"/>
            <rFont val="細明體"/>
            <family val="3"/>
            <charset val="136"/>
          </rPr>
          <t>儀器產</t>
        </r>
        <r>
          <rPr>
            <b/>
            <sz val="26"/>
            <color indexed="81"/>
            <rFont val="Tahoma"/>
            <family val="2"/>
          </rPr>
          <t xml:space="preserve">*100
QC *400
</t>
        </r>
      </text>
    </comment>
    <comment ref="LQ178" authorId="1" shapeId="0" xr:uid="{44794527-2376-4225-A03E-72C0C177CC85}">
      <text>
        <r>
          <rPr>
            <b/>
            <sz val="18"/>
            <color indexed="81"/>
            <rFont val="細明體"/>
            <family val="3"/>
            <charset val="136"/>
          </rPr>
          <t>費用型工單，掛</t>
        </r>
        <r>
          <rPr>
            <b/>
            <sz val="18"/>
            <color indexed="81"/>
            <rFont val="Tahoma"/>
            <family val="2"/>
          </rPr>
          <t>Device</t>
        </r>
      </text>
    </comment>
    <comment ref="MX178" authorId="1" shapeId="0" xr:uid="{EDE26D96-460D-49AA-B193-7AE545005A9E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6"/>
            <color indexed="81"/>
            <rFont val="Tahoma"/>
            <family val="2"/>
          </rPr>
          <t>QC*400
DEVICE *100</t>
        </r>
      </text>
    </comment>
    <comment ref="UT178" authorId="1" shapeId="0" xr:uid="{405AB1FA-666F-4723-B429-D82B867A2953}">
      <text>
        <r>
          <rPr>
            <sz val="24"/>
            <color indexed="81"/>
            <rFont val="細明體"/>
            <family val="3"/>
            <charset val="136"/>
          </rPr>
          <t xml:space="preserve">費用型工單
</t>
        </r>
        <r>
          <rPr>
            <sz val="24"/>
            <color indexed="81"/>
            <rFont val="Tahoma"/>
            <family val="2"/>
          </rPr>
          <t>QC *300
DEVIC *200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B178" authorId="1" shapeId="0" xr:uid="{EEB3CBCC-AC01-4C1C-A96C-081C94D3259D}">
      <text>
        <r>
          <rPr>
            <sz val="24"/>
            <color indexed="81"/>
            <rFont val="細明體"/>
            <family val="3"/>
            <charset val="136"/>
          </rPr>
          <t xml:space="preserve">費用型工單
</t>
        </r>
        <r>
          <rPr>
            <sz val="24"/>
            <color indexed="81"/>
            <rFont val="Tahoma"/>
            <family val="2"/>
          </rPr>
          <t>QC *400
DEVIC *200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Z182" authorId="1" shapeId="0" xr:uid="{217A6A0A-446C-4A2E-B62B-4EA1BF6FE430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RD </t>
        </r>
        <r>
          <rPr>
            <sz val="26"/>
            <color indexed="81"/>
            <rFont val="細明體"/>
            <family val="3"/>
            <charset val="136"/>
          </rPr>
          <t>需要配</t>
        </r>
        <r>
          <rPr>
            <sz val="26"/>
            <color indexed="81"/>
            <rFont val="Tahoma"/>
            <family val="2"/>
          </rPr>
          <t xml:space="preserve">RSB </t>
        </r>
        <r>
          <rPr>
            <sz val="26"/>
            <color indexed="81"/>
            <rFont val="細明體"/>
            <family val="3"/>
            <charset val="136"/>
          </rPr>
          <t>試劑</t>
        </r>
      </text>
    </comment>
    <comment ref="DZ183" authorId="1" shapeId="0" xr:uid="{E6B78FAD-45D7-4F6B-A384-8D046FEDBDFA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</t>
        </r>
      </text>
    </comment>
    <comment ref="EG184" authorId="1" shapeId="0" xr:uid="{AF3D0B1B-809F-4881-B77D-828D50A92CC6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</t>
        </r>
      </text>
    </comment>
    <comment ref="EG185" authorId="1" shapeId="0" xr:uid="{20ABCDD7-908F-423A-AF37-D9A130257603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</t>
        </r>
      </text>
    </comment>
    <comment ref="AN186" authorId="0" shapeId="0" xr:uid="{B1719C30-8FA5-4D8F-BE80-F48E054A95BC}">
      <text>
        <r>
          <rPr>
            <b/>
            <sz val="28"/>
            <color indexed="81"/>
            <rFont val="新細明體"/>
            <family val="1"/>
            <charset val="136"/>
          </rPr>
          <t>費用型工單，掛 RD 。
先不貼標，單片包裝。待給線後，在另行包裝。</t>
        </r>
      </text>
    </comment>
    <comment ref="CZ186" authorId="1" shapeId="0" xr:uid="{2998D1F0-0E67-4DA6-AABA-2F6316152FB9}">
      <text>
        <r>
          <rPr>
            <b/>
            <sz val="36"/>
            <color indexed="81"/>
            <rFont val="Tahoma"/>
            <family val="2"/>
          </rPr>
          <t xml:space="preserve">RD </t>
        </r>
        <r>
          <rPr>
            <b/>
            <sz val="36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36"/>
            <color indexed="81"/>
            <rFont val="Tahoma"/>
            <family val="2"/>
          </rPr>
          <t xml:space="preserve">EN
Jill </t>
        </r>
        <r>
          <rPr>
            <b/>
            <sz val="36"/>
            <color indexed="81"/>
            <rFont val="細明體"/>
            <family val="3"/>
            <charset val="136"/>
          </rPr>
          <t>客戶需求</t>
        </r>
        <r>
          <rPr>
            <b/>
            <sz val="36"/>
            <color indexed="81"/>
            <rFont val="Tahoma"/>
            <family val="2"/>
          </rPr>
          <t xml:space="preserve">100 </t>
        </r>
        <r>
          <rPr>
            <b/>
            <sz val="36"/>
            <color indexed="81"/>
            <rFont val="細明體"/>
            <family val="3"/>
            <charset val="136"/>
          </rPr>
          <t>待</t>
        </r>
        <r>
          <rPr>
            <b/>
            <sz val="36"/>
            <color indexed="81"/>
            <rFont val="Tahoma"/>
            <family val="2"/>
          </rPr>
          <t xml:space="preserve">RD </t>
        </r>
        <r>
          <rPr>
            <b/>
            <sz val="36"/>
            <color indexed="81"/>
            <rFont val="細明體"/>
            <family val="3"/>
            <charset val="136"/>
          </rPr>
          <t>確認好了，再進行包裝。</t>
        </r>
      </text>
    </comment>
    <comment ref="CB188" authorId="0" shapeId="0" xr:uid="{CA785C31-2EC9-4C0C-88DD-B0B0CE7D403E}">
      <text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包裝</t>
        </r>
      </text>
    </comment>
    <comment ref="CC188" authorId="0" shapeId="0" xr:uid="{AA6B399B-22FC-4C18-AA52-C7840C2335A0}">
      <text>
        <r>
          <rPr>
            <b/>
            <sz val="24"/>
            <color indexed="81"/>
            <rFont val="Tahoma"/>
            <family val="2"/>
          </rPr>
          <t>8/29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8/29 </t>
        </r>
        <r>
          <rPr>
            <b/>
            <sz val="24"/>
            <color indexed="81"/>
            <rFont val="細明體"/>
            <family val="3"/>
            <charset val="136"/>
          </rPr>
          <t>包裝</t>
        </r>
      </text>
    </comment>
    <comment ref="DI188" authorId="1" shapeId="0" xr:uid="{A1945AFD-404C-46B6-8AF2-043C5AF74456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Q188" authorId="1" shapeId="0" xr:uid="{6A9A8C75-F40E-443A-A094-205EDE0C235B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Y188" authorId="1" shapeId="0" xr:uid="{E001A6E2-A6D8-4330-84B7-52C39D939C82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A188" authorId="1" shapeId="0" xr:uid="{AF404FFF-AAFC-46AB-8897-A7A278A34A97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G188" authorId="1" shapeId="0" xr:uid="{157F9949-BA84-4774-ACA5-4F42B7BBA17B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H188" authorId="1" shapeId="0" xr:uid="{141736B3-B202-4B52-AD87-5ABA651F9F9F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188" authorId="1" shapeId="0" xr:uid="{1678E96C-BF9D-424E-BBA3-1ECB33EC65A0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Q188" authorId="1" shapeId="0" xr:uid="{A3891AF0-5E90-468B-B0E6-73BFEE1C0590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189" authorId="1" shapeId="0" xr:uid="{DCB5E99B-157D-4038-8B67-F183FDC95415}">
      <text>
        <r>
          <rPr>
            <sz val="26"/>
            <color indexed="81"/>
            <rFont val="Tahoma"/>
            <family val="2"/>
          </rPr>
          <t xml:space="preserve">3/5 </t>
        </r>
        <r>
          <rPr>
            <sz val="26"/>
            <color indexed="81"/>
            <rFont val="細明體"/>
            <family val="3"/>
            <charset val="136"/>
          </rPr>
          <t>給線</t>
        </r>
        <r>
          <rPr>
            <sz val="26"/>
            <color indexed="81"/>
            <rFont val="Tahoma"/>
            <family val="2"/>
          </rPr>
          <t xml:space="preserve">3/6 </t>
        </r>
        <r>
          <rPr>
            <sz val="26"/>
            <color indexed="81"/>
            <rFont val="細明體"/>
            <family val="3"/>
            <charset val="136"/>
          </rPr>
          <t>包裝
先滿足</t>
        </r>
        <r>
          <rPr>
            <sz val="26"/>
            <color indexed="81"/>
            <rFont val="Tahoma"/>
            <family val="2"/>
          </rPr>
          <t xml:space="preserve">skyla 420 </t>
        </r>
        <r>
          <rPr>
            <sz val="26"/>
            <color indexed="81"/>
            <rFont val="細明體"/>
            <family val="3"/>
            <charset val="136"/>
          </rPr>
          <t>其餘</t>
        </r>
        <r>
          <rPr>
            <sz val="26"/>
            <color indexed="81"/>
            <rFont val="Tahoma"/>
            <family val="2"/>
          </rPr>
          <t>Menarini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D189" authorId="0" shapeId="0" xr:uid="{BAF2AB04-9F5E-4326-8239-BF607606CDCA}">
      <text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包裝
最少入庫2544</t>
        </r>
      </text>
    </comment>
    <comment ref="CE189" authorId="0" shapeId="0" xr:uid="{18D82EBE-B64E-4191-9D10-DA5DA908721A}">
      <text>
        <r>
          <rPr>
            <b/>
            <sz val="24"/>
            <color indexed="81"/>
            <rFont val="Tahoma"/>
            <family val="2"/>
          </rPr>
          <t>8/29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8/29 </t>
        </r>
        <r>
          <rPr>
            <b/>
            <sz val="24"/>
            <color indexed="81"/>
            <rFont val="細明體"/>
            <family val="3"/>
            <charset val="136"/>
          </rPr>
          <t>包裝
最少入庫</t>
        </r>
        <r>
          <rPr>
            <b/>
            <sz val="24"/>
            <color indexed="81"/>
            <rFont val="Tahoma"/>
            <family val="2"/>
          </rPr>
          <t>2544</t>
        </r>
      </text>
    </comment>
    <comment ref="GG189" authorId="1" shapeId="0" xr:uid="{6C0BDE2F-A2D7-47FA-BE6F-9F8C25A8C8E1}">
      <text>
        <r>
          <rPr>
            <b/>
            <sz val="20"/>
            <color indexed="81"/>
            <rFont val="Tahoma"/>
            <family val="2"/>
          </rPr>
          <t>SKYLA *1116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Menarini</t>
        </r>
      </text>
    </comment>
    <comment ref="DK190" authorId="1" shapeId="0" xr:uid="{9547AAEC-F83A-4B29-81C4-44D197E72123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DS190" authorId="1" shapeId="0" xr:uid="{8555BA6A-1DDB-4509-9AFC-70F9FF2FB7DA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EA190" authorId="1" shapeId="0" xr:uid="{F37245E3-5856-4DC0-A6B4-CD6410F27666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EC190" authorId="1" shapeId="0" xr:uid="{8C22106C-2C9F-42BA-AE66-A968D7959864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EI190" authorId="1" shapeId="0" xr:uid="{DCC97869-C6DF-4570-AEC3-CF17867D7D04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4/30 </t>
        </r>
        <r>
          <rPr>
            <sz val="20"/>
            <color indexed="81"/>
            <rFont val="細明體"/>
            <family val="3"/>
            <charset val="136"/>
          </rPr>
          <t>包裝</t>
        </r>
      </text>
    </comment>
    <comment ref="EP190" authorId="1" shapeId="0" xr:uid="{6E76A46C-5128-4044-8337-7F6078FB6CC1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5/5 </t>
        </r>
        <r>
          <rPr>
            <sz val="20"/>
            <color indexed="81"/>
            <rFont val="細明體"/>
            <family val="3"/>
            <charset val="136"/>
          </rPr>
          <t>包裝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ER190" authorId="1" shapeId="0" xr:uid="{8FF68EAB-6D71-4A6A-A2C2-544501BBA543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5/7 </t>
        </r>
        <r>
          <rPr>
            <sz val="20"/>
            <color indexed="81"/>
            <rFont val="細明體"/>
            <family val="3"/>
            <charset val="136"/>
          </rPr>
          <t>包裝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ES190" authorId="1" shapeId="0" xr:uid="{14A04A13-AD61-4DEE-90C1-158BDE33D7BF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5/8 </t>
        </r>
        <r>
          <rPr>
            <sz val="20"/>
            <color indexed="81"/>
            <rFont val="細明體"/>
            <family val="3"/>
            <charset val="136"/>
          </rPr>
          <t>包裝</t>
        </r>
      </text>
    </comment>
    <comment ref="EZ190" authorId="1" shapeId="0" xr:uid="{043D8DAF-C869-4857-AABB-2121E478C97A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2040
5/14 </t>
        </r>
        <r>
          <rPr>
            <sz val="20"/>
            <color indexed="81"/>
            <rFont val="細明體"/>
            <family val="3"/>
            <charset val="136"/>
          </rPr>
          <t>包裝</t>
        </r>
      </text>
    </comment>
    <comment ref="FA190" authorId="1" shapeId="0" xr:uid="{4F1A51FC-7DD5-4DE9-9B31-54E79530C64C}">
      <text>
        <r>
          <rPr>
            <sz val="26"/>
            <color indexed="81"/>
            <rFont val="細明體"/>
            <family val="3"/>
            <charset val="136"/>
          </rPr>
          <t>總數需求</t>
        </r>
        <r>
          <rPr>
            <sz val="26"/>
            <color indexed="81"/>
            <rFont val="Tahoma"/>
            <family val="2"/>
          </rPr>
          <t xml:space="preserve">2040 </t>
        </r>
        <r>
          <rPr>
            <sz val="26"/>
            <color indexed="81"/>
            <rFont val="細明體"/>
            <family val="3"/>
            <charset val="136"/>
          </rPr>
          <t>其餘</t>
        </r>
        <r>
          <rPr>
            <sz val="26"/>
            <color indexed="81"/>
            <rFont val="Tahoma"/>
            <family val="2"/>
          </rPr>
          <t xml:space="preserve">skyla
5/15 </t>
        </r>
        <r>
          <rPr>
            <sz val="26"/>
            <color indexed="81"/>
            <rFont val="細明體"/>
            <family val="3"/>
            <charset val="136"/>
          </rPr>
          <t>包裝</t>
        </r>
      </text>
    </comment>
    <comment ref="HO190" authorId="1" shapeId="0" xr:uid="{B0A133C0-D833-478B-94EB-81DA86DBE5B2}">
      <text>
        <r>
          <rPr>
            <sz val="24"/>
            <color indexed="81"/>
            <rFont val="細明體"/>
            <family val="3"/>
            <charset val="136"/>
          </rPr>
          <t>問業務是否足數或可多做。</t>
        </r>
        <r>
          <rPr>
            <sz val="24"/>
            <color indexed="81"/>
            <rFont val="Tahoma"/>
            <family val="2"/>
          </rPr>
          <t>9</t>
        </r>
        <r>
          <rPr>
            <sz val="24"/>
            <color indexed="81"/>
            <rFont val="細明體"/>
            <family val="3"/>
            <charset val="136"/>
          </rPr>
          <t>月出貨。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24"/>
            <color indexed="81"/>
            <rFont val="細明體"/>
            <family val="3"/>
            <charset val="136"/>
          </rPr>
          <t>入庫</t>
        </r>
        <r>
          <rPr>
            <sz val="24"/>
            <color indexed="81"/>
            <rFont val="Tahoma"/>
            <family val="2"/>
          </rPr>
          <t xml:space="preserve"> 852 </t>
        </r>
        <r>
          <rPr>
            <sz val="24"/>
            <color indexed="81"/>
            <rFont val="細明體"/>
            <family val="3"/>
            <charset val="136"/>
          </rPr>
          <t>停止生產。</t>
        </r>
      </text>
    </comment>
    <comment ref="EE193" authorId="0" shapeId="0" xr:uid="{CF4649C5-8EB8-4424-B998-074F2DA8F47E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庫房加班包裝</t>
        </r>
      </text>
    </comment>
    <comment ref="GN193" authorId="0" shapeId="0" xr:uid="{F5A0DF14-431F-4517-A276-EFAB975CF1E6}">
      <text>
        <r>
          <rPr>
            <b/>
            <sz val="30"/>
            <color indexed="81"/>
            <rFont val="細明體"/>
            <family val="3"/>
            <charset val="136"/>
          </rPr>
          <t>準備心臟病盤</t>
        </r>
        <r>
          <rPr>
            <b/>
            <sz val="30"/>
            <color indexed="81"/>
            <rFont val="Tahoma"/>
            <family val="2"/>
          </rPr>
          <t>Beads</t>
        </r>
      </text>
    </comment>
    <comment ref="MA193" authorId="1" shapeId="0" xr:uid="{59DE9834-2406-4D80-8919-8285C9C8A91C}">
      <text>
        <r>
          <rPr>
            <b/>
            <sz val="26"/>
            <color indexed="81"/>
            <rFont val="Tahoma"/>
            <family val="2"/>
          </rPr>
          <t xml:space="preserve">5UL </t>
        </r>
        <r>
          <rPr>
            <b/>
            <sz val="26"/>
            <color indexed="81"/>
            <rFont val="細明體"/>
            <family val="3"/>
            <charset val="136"/>
          </rPr>
          <t>採血針要到</t>
        </r>
      </text>
    </comment>
    <comment ref="MZ193" authorId="1" shapeId="0" xr:uid="{550DCC7D-600B-434A-9129-4020BF2E8079}">
      <text>
        <r>
          <rPr>
            <b/>
            <sz val="9"/>
            <color indexed="81"/>
            <rFont val="Tahoma"/>
            <family val="2"/>
          </rPr>
          <t>Tom Kuang (</t>
        </r>
        <r>
          <rPr>
            <b/>
            <sz val="9"/>
            <color indexed="81"/>
            <rFont val="細明體"/>
            <family val="3"/>
            <charset val="136"/>
          </rPr>
          <t>匡宗桓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193" authorId="1" shapeId="0" xr:uid="{1572F327-4401-42B5-B4C8-5FF5E0FE0713}">
      <text>
        <r>
          <rPr>
            <b/>
            <sz val="20"/>
            <color indexed="81"/>
            <rFont val="Tahoma"/>
            <family val="2"/>
          </rPr>
          <t xml:space="preserve">C1 </t>
        </r>
        <r>
          <rPr>
            <b/>
            <sz val="20"/>
            <color indexed="81"/>
            <rFont val="細明體"/>
            <family val="3"/>
            <charset val="136"/>
          </rPr>
          <t>卡匣到位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N193" authorId="1" shapeId="0" xr:uid="{C52AE59B-48F4-4622-804A-605DBC0D5B6B}">
      <text>
        <r>
          <rPr>
            <b/>
            <sz val="25"/>
            <color indexed="81"/>
            <rFont val="Tahoma"/>
            <family val="2"/>
          </rPr>
          <t xml:space="preserve">C2 C3 C4 </t>
        </r>
        <r>
          <rPr>
            <b/>
            <sz val="25"/>
            <color indexed="81"/>
            <rFont val="細明體"/>
            <family val="3"/>
            <charset val="136"/>
          </rPr>
          <t>卡匣出貨</t>
        </r>
      </text>
    </comment>
    <comment ref="SP193" authorId="1" shapeId="0" xr:uid="{E3EA6364-BCB9-4786-83BE-3FE3420C9FDA}">
      <text>
        <r>
          <rPr>
            <b/>
            <sz val="20"/>
            <color indexed="81"/>
            <rFont val="Tahoma"/>
            <family val="2"/>
          </rPr>
          <t xml:space="preserve">C5 </t>
        </r>
        <r>
          <rPr>
            <b/>
            <sz val="20"/>
            <color indexed="81"/>
            <rFont val="細明體"/>
            <family val="3"/>
            <charset val="136"/>
          </rPr>
          <t>卡匣到位</t>
        </r>
      </text>
    </comment>
    <comment ref="F194" authorId="2" shapeId="0" xr:uid="{B3EDE7E9-16AA-4EC8-B1CF-A42794D379DC}">
      <text>
        <r>
          <rPr>
            <b/>
            <sz val="26"/>
            <color indexed="81"/>
            <rFont val="微軟正黑體"/>
            <family val="2"/>
            <charset val="136"/>
          </rPr>
          <t>最少入庫1240，停止入庫</t>
        </r>
      </text>
    </comment>
    <comment ref="BD194" authorId="2" shapeId="0" xr:uid="{6559ADB3-0ED9-4FD5-927E-BECCBAF69FD7}">
      <text>
        <r>
          <rPr>
            <b/>
            <sz val="26"/>
            <color indexed="81"/>
            <rFont val="微軟正黑體"/>
            <family val="2"/>
            <charset val="136"/>
          </rPr>
          <t>最少入庫2060 ，停止入庫</t>
        </r>
      </text>
    </comment>
    <comment ref="BM194" authorId="2" shapeId="0" xr:uid="{58E88E7A-7E9D-443C-997E-C091C20CE201}">
      <text>
        <r>
          <rPr>
            <b/>
            <sz val="26"/>
            <color indexed="81"/>
            <rFont val="微軟正黑體"/>
            <family val="2"/>
            <charset val="136"/>
          </rPr>
          <t>入庫數200，停止入庫</t>
        </r>
      </text>
    </comment>
    <comment ref="BU194" authorId="1" shapeId="0" xr:uid="{DEF43A10-457F-48EA-BE99-09D79D32A0B6}">
      <text>
        <r>
          <rPr>
            <b/>
            <sz val="20"/>
            <color indexed="81"/>
            <rFont val="細明體"/>
            <family val="3"/>
            <charset val="136"/>
          </rPr>
          <t>入庫540；把藥做完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F194" authorId="0" shapeId="0" xr:uid="{0CFDD33A-B121-47AD-AF67-1267B411AF3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最少入庫1020，停止生產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94" authorId="1" shapeId="0" xr:uid="{F4F49A13-C69B-4677-8EA2-F97F9FB1CEE8}">
      <text>
        <r>
          <rPr>
            <b/>
            <sz val="28"/>
            <color indexed="81"/>
            <rFont val="細明體"/>
            <family val="3"/>
            <charset val="136"/>
          </rPr>
          <t>入庫1000；把藥投完</t>
        </r>
      </text>
    </comment>
    <comment ref="DQ194" authorId="1" shapeId="0" xr:uid="{7816E7B2-1990-4D4A-B867-EDAA9FA69942}">
      <text>
        <r>
          <rPr>
            <b/>
            <sz val="28"/>
            <color indexed="81"/>
            <rFont val="細明體"/>
            <family val="3"/>
            <charset val="136"/>
          </rPr>
          <t>入庫480；停止生產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EQ194" authorId="1" shapeId="0" xr:uid="{623F3B53-E7EA-415A-81A9-F1F21FDB9395}">
      <text>
        <r>
          <rPr>
            <b/>
            <sz val="22"/>
            <color indexed="81"/>
            <rFont val="細明體"/>
            <family val="3"/>
            <charset val="136"/>
          </rPr>
          <t>入庫240；停止生產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G194" authorId="1" shapeId="0" xr:uid="{0F59FAC2-FD85-4C81-9026-08C4ADC59ADD}">
      <text>
        <r>
          <rPr>
            <b/>
            <sz val="20"/>
            <color indexed="81"/>
            <rFont val="細明體"/>
            <family val="3"/>
            <charset val="136"/>
          </rPr>
          <t>入庫320，停止生產</t>
        </r>
      </text>
    </comment>
    <comment ref="HO194" authorId="1" shapeId="0" xr:uid="{81513844-CDC4-4DAD-95E8-B3F6379284A5}">
      <text>
        <r>
          <rPr>
            <b/>
            <sz val="28"/>
            <color indexed="81"/>
            <rFont val="細明體"/>
            <family val="3"/>
            <charset val="136"/>
          </rPr>
          <t>入庫1300  把藥投完</t>
        </r>
      </text>
    </comment>
    <comment ref="IL194" authorId="1" shapeId="0" xr:uid="{556FA495-4F2E-45E9-B890-F0D46595AFDD}">
      <text>
        <r>
          <rPr>
            <b/>
            <sz val="28"/>
            <color indexed="81"/>
            <rFont val="細明體"/>
            <family val="3"/>
            <charset val="136"/>
          </rPr>
          <t>入庫1540 停止生產</t>
        </r>
      </text>
    </comment>
    <comment ref="KK194" authorId="1" shapeId="0" xr:uid="{C3A99994-48C7-4957-84BD-459DE9A012E8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入庫409 停止生產
EN :LM3498
生產時取20片無光清洗卡匣與首件卡匣一起交給QC。
</t>
        </r>
      </text>
    </comment>
    <comment ref="LF194" authorId="0" shapeId="0" xr:uid="{4E3EE9F0-F3CF-48CE-AA1D-F44223084F17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Y194" authorId="1" shapeId="0" xr:uid="{51938E30-DFD1-4F19-B58E-995818A26DF6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H194" authorId="1" shapeId="0" xr:uid="{415CDF15-20BD-4DE7-A588-032EFD24CBD1}">
      <text>
        <r>
          <rPr>
            <b/>
            <sz val="28"/>
            <color indexed="81"/>
            <rFont val="細明體"/>
            <family val="3"/>
            <charset val="136"/>
          </rPr>
          <t>入庫680 把藥投完
一批到底</t>
        </r>
      </text>
    </comment>
    <comment ref="MX194" authorId="1" shapeId="0" xr:uid="{E7C674F6-FE75-41E0-8CD4-71AB936D5280}">
      <text>
        <r>
          <rPr>
            <b/>
            <sz val="28"/>
            <color indexed="81"/>
            <rFont val="細明體"/>
            <family val="3"/>
            <charset val="136"/>
          </rPr>
          <t>入庫 1760 停止生產
一批到底</t>
        </r>
      </text>
    </comment>
    <comment ref="NT194" authorId="1" shapeId="0" xr:uid="{18DDE672-CCB9-45D4-89DC-6C5C17DC1C0F}">
      <text>
        <r>
          <rPr>
            <b/>
            <sz val="28"/>
            <color indexed="81"/>
            <rFont val="細明體"/>
            <family val="3"/>
            <charset val="136"/>
          </rPr>
          <t>入庫 780 停止生產</t>
        </r>
      </text>
    </comment>
    <comment ref="PR194" authorId="1" shapeId="0" xr:uid="{D73A8886-92CF-4A6F-A556-733109BC34CA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QI194" authorId="1" shapeId="0" xr:uid="{F5196ECF-56D7-4A2C-B98C-082D13C7C54B}">
      <text>
        <r>
          <rPr>
            <b/>
            <sz val="20"/>
            <color indexed="81"/>
            <rFont val="新細明體"/>
            <family val="1"/>
            <charset val="136"/>
          </rPr>
          <t>建線 GC1/GC2 各50片</t>
        </r>
      </text>
    </comment>
    <comment ref="UO194" authorId="1" shapeId="0" xr:uid="{9F3C552B-5C16-4E82-A7EB-83A600D8232C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UT194" authorId="1" shapeId="0" xr:uid="{E8DB2672-C887-4ECF-A47A-1D633E9E1579}">
      <text>
        <r>
          <rPr>
            <b/>
            <sz val="26"/>
            <color indexed="81"/>
            <rFont val="細明體"/>
            <family val="3"/>
            <charset val="136"/>
          </rPr>
          <t>上海 出貨400
其他出貨:1540
4/29 生產的OW1 OW2 相同BEADS</t>
        </r>
      </text>
    </comment>
    <comment ref="VZ194" authorId="1" shapeId="0" xr:uid="{2EF1FC7A-76F2-445E-A4FA-B6FB407EF6DA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QC*100
</t>
        </r>
      </text>
    </comment>
    <comment ref="WJ194" authorId="1" shapeId="0" xr:uid="{AF7D2078-BE9F-4737-AF08-71C03CE122DE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細明體"/>
            <family val="3"/>
            <charset val="136"/>
          </rPr>
          <t>出貨*1020</t>
        </r>
      </text>
    </comment>
    <comment ref="UL196" authorId="1" shapeId="0" xr:uid="{D9A3E2EA-440D-4149-8496-497AD1D65A75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UN196" authorId="1" shapeId="0" xr:uid="{E4D24D3F-0EB3-4919-8715-E52941D5A9DB}">
      <text>
        <r>
          <rPr>
            <b/>
            <sz val="26"/>
            <color indexed="81"/>
            <rFont val="細明體"/>
            <family val="3"/>
            <charset val="136"/>
          </rPr>
          <t>上海 出貨350
其他出貨:1020</t>
        </r>
      </text>
    </comment>
    <comment ref="WM196" authorId="1" shapeId="0" xr:uid="{642AB6FC-E89E-441E-85D1-CDAEC29FC555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WS196" authorId="1" shapeId="0" xr:uid="{07FF8240-8FF7-4744-968A-E7BB02ECBD76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出貨*340</t>
        </r>
      </text>
    </comment>
    <comment ref="XA196" authorId="1" shapeId="0" xr:uid="{D3FC9B43-4DA9-4A61-A381-90428EA0305D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QY198" authorId="1" shapeId="0" xr:uid="{F9DEB490-308D-48FB-878B-70A8EB310628}">
      <text>
        <r>
          <rPr>
            <sz val="30"/>
            <color indexed="81"/>
            <rFont val="細明體"/>
            <family val="3"/>
            <charset val="136"/>
          </rPr>
          <t>驗證新卡匣，使用6深1淺1超深卡匣(C1)，新進卡匣，1模4穴
投產OW1 與OW3 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投產BEADS 需要討論。</t>
        </r>
      </text>
    </comment>
    <comment ref="SI198" authorId="1" shapeId="0" xr:uid="{AC9287D5-4BC5-4132-B4BB-291470507ABE}">
      <text>
        <r>
          <rPr>
            <sz val="36"/>
            <color indexed="81"/>
            <rFont val="Tahoma"/>
            <family val="2"/>
          </rPr>
          <t xml:space="preserve">EN :LM3781
</t>
        </r>
        <r>
          <rPr>
            <sz val="36"/>
            <color indexed="81"/>
            <rFont val="細明體"/>
            <family val="3"/>
            <charset val="136"/>
          </rPr>
          <t>生化一模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穴不同入子卡匣驗證</t>
        </r>
        <r>
          <rPr>
            <sz val="36"/>
            <color indexed="81"/>
            <rFont val="Tahoma"/>
            <family val="2"/>
          </rPr>
          <t xml:space="preserve"> C1 C5 </t>
        </r>
        <r>
          <rPr>
            <sz val="36"/>
            <color indexed="81"/>
            <rFont val="細明體"/>
            <family val="3"/>
            <charset val="136"/>
          </rPr>
          <t>試填超級健檢盤驗證填藥與測試</t>
        </r>
        <r>
          <rPr>
            <sz val="36"/>
            <color indexed="81"/>
            <rFont val="Tahoma"/>
            <family val="2"/>
          </rPr>
          <t>cv</t>
        </r>
        <r>
          <rPr>
            <sz val="36"/>
            <color indexed="81"/>
            <rFont val="細明體"/>
            <family val="3"/>
            <charset val="136"/>
          </rPr>
          <t xml:space="preserve">。
</t>
        </r>
        <r>
          <rPr>
            <sz val="36"/>
            <color indexed="81"/>
            <rFont val="Tahoma"/>
            <family val="2"/>
          </rPr>
          <t xml:space="preserve">OW1,OW2 C1 </t>
        </r>
        <r>
          <rPr>
            <sz val="36"/>
            <color indexed="81"/>
            <rFont val="細明體"/>
            <family val="3"/>
            <charset val="136"/>
          </rPr>
          <t>卡匣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36"/>
            <color indexed="81"/>
            <rFont val="細明體"/>
            <family val="3"/>
            <charset val="136"/>
          </rPr>
          <t xml:space="preserve">
投產</t>
        </r>
        <r>
          <rPr>
            <sz val="36"/>
            <color indexed="81"/>
            <rFont val="Tahoma"/>
            <family val="2"/>
          </rPr>
          <t xml:space="preserve">1000 </t>
        </r>
        <r>
          <rPr>
            <sz val="36"/>
            <color indexed="81"/>
            <rFont val="細明體"/>
            <family val="3"/>
            <charset val="136"/>
          </rPr>
          <t>片，</t>
        </r>
        <r>
          <rPr>
            <sz val="36"/>
            <color indexed="81"/>
            <rFont val="Tahoma"/>
            <family val="2"/>
          </rPr>
          <t>1</t>
        </r>
        <r>
          <rPr>
            <sz val="36"/>
            <color indexed="81"/>
            <rFont val="細明體"/>
            <family val="3"/>
            <charset val="136"/>
          </rPr>
          <t>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穴。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198" authorId="1" shapeId="0" xr:uid="{2C7B72CD-A5D3-4B74-9923-030EC1A9D494}">
      <text>
        <r>
          <rPr>
            <sz val="36"/>
            <color indexed="81"/>
            <rFont val="Tahoma"/>
            <family val="2"/>
          </rPr>
          <t xml:space="preserve">EN :LM3781
</t>
        </r>
        <r>
          <rPr>
            <sz val="36"/>
            <color indexed="81"/>
            <rFont val="細明體"/>
            <family val="3"/>
            <charset val="136"/>
          </rPr>
          <t>生化一模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穴不同入子卡匣驗證</t>
        </r>
        <r>
          <rPr>
            <sz val="36"/>
            <color indexed="81"/>
            <rFont val="Tahoma"/>
            <family val="2"/>
          </rPr>
          <t xml:space="preserve"> C1 C5 </t>
        </r>
        <r>
          <rPr>
            <sz val="36"/>
            <color indexed="81"/>
            <rFont val="細明體"/>
            <family val="3"/>
            <charset val="136"/>
          </rPr>
          <t>試填超級健檢盤驗證填藥與測試</t>
        </r>
        <r>
          <rPr>
            <sz val="36"/>
            <color indexed="81"/>
            <rFont val="Tahoma"/>
            <family val="2"/>
          </rPr>
          <t>cv</t>
        </r>
        <r>
          <rPr>
            <sz val="36"/>
            <color indexed="81"/>
            <rFont val="細明體"/>
            <family val="3"/>
            <charset val="136"/>
          </rPr>
          <t>。
投產</t>
        </r>
        <r>
          <rPr>
            <sz val="36"/>
            <color indexed="81"/>
            <rFont val="Tahoma"/>
            <family val="2"/>
          </rPr>
          <t xml:space="preserve">1000 </t>
        </r>
        <r>
          <rPr>
            <sz val="36"/>
            <color indexed="81"/>
            <rFont val="細明體"/>
            <family val="3"/>
            <charset val="136"/>
          </rPr>
          <t>片，</t>
        </r>
        <r>
          <rPr>
            <sz val="36"/>
            <color indexed="81"/>
            <rFont val="Tahoma"/>
            <family val="2"/>
          </rPr>
          <t>1</t>
        </r>
        <r>
          <rPr>
            <sz val="36"/>
            <color indexed="81"/>
            <rFont val="細明體"/>
            <family val="3"/>
            <charset val="136"/>
          </rPr>
          <t>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穴。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L198" authorId="1" shapeId="0" xr:uid="{108689B9-1A23-4B4F-8454-285B9314C6FA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費用型工單掛RD
生產OW1 OW2
 RD 建線*40
 QC 測試*100
</t>
        </r>
      </text>
    </comment>
    <comment ref="TM198" authorId="1" shapeId="0" xr:uid="{9672C6B8-CE76-434D-B772-C8C9B47720D9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費用型工單掛RD
生產: OW3
 RD 建線*50
 QC 測試*100
</t>
        </r>
      </text>
    </comment>
    <comment ref="TN198" authorId="1" shapeId="0" xr:uid="{040DFC69-4175-4F8A-9FE3-A22FEB799DD0}">
      <text>
        <r>
          <rPr>
            <b/>
            <sz val="48"/>
            <color indexed="81"/>
            <rFont val="Tahoma"/>
            <family val="2"/>
          </rPr>
          <t xml:space="preserve">EN:3794
C1 </t>
        </r>
        <r>
          <rPr>
            <b/>
            <sz val="48"/>
            <color indexed="81"/>
            <rFont val="細明體"/>
            <family val="3"/>
            <charset val="136"/>
          </rPr>
          <t>卡匣
費用型工單掛</t>
        </r>
        <r>
          <rPr>
            <b/>
            <sz val="48"/>
            <color indexed="81"/>
            <rFont val="Tahoma"/>
            <family val="2"/>
          </rPr>
          <t xml:space="preserve">RD
</t>
        </r>
        <r>
          <rPr>
            <b/>
            <sz val="48"/>
            <color indexed="81"/>
            <rFont val="細明體"/>
            <family val="3"/>
            <charset val="136"/>
          </rPr>
          <t>生產</t>
        </r>
        <r>
          <rPr>
            <b/>
            <sz val="48"/>
            <color indexed="81"/>
            <rFont val="Tahoma"/>
            <family val="2"/>
          </rPr>
          <t xml:space="preserve">OW1 OW2
OW1*850 </t>
        </r>
        <r>
          <rPr>
            <b/>
            <sz val="48"/>
            <color indexed="81"/>
            <rFont val="細明體"/>
            <family val="3"/>
            <charset val="136"/>
          </rPr>
          <t xml:space="preserve">單片包裝 DQE*850
</t>
        </r>
        <r>
          <rPr>
            <b/>
            <sz val="48"/>
            <color indexed="81"/>
            <rFont val="Tahoma"/>
            <family val="2"/>
          </rPr>
          <t xml:space="preserve">OW2*920  </t>
        </r>
        <r>
          <rPr>
            <b/>
            <sz val="48"/>
            <color indexed="81"/>
            <rFont val="細明體"/>
            <family val="3"/>
            <charset val="136"/>
          </rPr>
          <t>單片包裝</t>
        </r>
        <r>
          <rPr>
            <b/>
            <sz val="48"/>
            <color indexed="81"/>
            <rFont val="Tahoma"/>
            <family val="2"/>
          </rPr>
          <t xml:space="preserve">  DQE*850 +RD*70
DQE   </t>
        </r>
        <r>
          <rPr>
            <b/>
            <sz val="48"/>
            <color indexed="81"/>
            <rFont val="細明體"/>
            <family val="3"/>
            <charset val="136"/>
          </rPr>
          <t>需求*850 單片包裝
滿足RD 與 DQE 需求後其餘雙片包裝
出貨*200  雙片包裝
卡匣需求 2170
修模後卡匣</t>
        </r>
      </text>
    </comment>
    <comment ref="TO198" authorId="1" shapeId="0" xr:uid="{21F38D07-C4A7-44C6-9C3F-8E1869715003}">
      <text>
        <r>
          <rPr>
            <b/>
            <sz val="36"/>
            <color indexed="81"/>
            <rFont val="Tahoma"/>
            <family val="2"/>
          </rPr>
          <t xml:space="preserve">EN:3794
C5 </t>
        </r>
        <r>
          <rPr>
            <b/>
            <sz val="36"/>
            <color indexed="81"/>
            <rFont val="細明體"/>
            <family val="3"/>
            <charset val="136"/>
          </rPr>
          <t>卡匣
費用型工單掛</t>
        </r>
        <r>
          <rPr>
            <b/>
            <sz val="36"/>
            <color indexed="81"/>
            <rFont val="Tahoma"/>
            <family val="2"/>
          </rPr>
          <t xml:space="preserve">RD
</t>
        </r>
        <r>
          <rPr>
            <b/>
            <sz val="36"/>
            <color indexed="81"/>
            <rFont val="細明體"/>
            <family val="3"/>
            <charset val="136"/>
          </rPr>
          <t>生產</t>
        </r>
        <r>
          <rPr>
            <b/>
            <sz val="36"/>
            <color indexed="81"/>
            <rFont val="Tahoma"/>
            <family val="2"/>
          </rPr>
          <t xml:space="preserve"> OW3
DQE </t>
        </r>
        <r>
          <rPr>
            <b/>
            <sz val="36"/>
            <color indexed="81"/>
            <rFont val="細明體"/>
            <family val="3"/>
            <charset val="136"/>
          </rPr>
          <t>需求*1170 單片包裝
RD 需求*30 單片包裝
出貨*200
卡匣需求 1400
修模後卡匣</t>
        </r>
      </text>
    </comment>
    <comment ref="UL198" authorId="1" shapeId="0" xr:uid="{10D13382-305F-4F87-AA2C-B94B91380451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費用型工單掛RD
生產OW1 OW2
 RD 建線*40
 QC 測試*100
</t>
        </r>
      </text>
    </comment>
    <comment ref="UO198" authorId="1" shapeId="0" xr:uid="{48BDCA3B-D328-447E-A1D3-1B9BA98CB28C}">
      <text>
        <r>
          <rPr>
            <b/>
            <sz val="48"/>
            <color indexed="81"/>
            <rFont val="Tahoma"/>
            <family val="2"/>
          </rPr>
          <t xml:space="preserve">EN:3794
C1 </t>
        </r>
        <r>
          <rPr>
            <b/>
            <sz val="48"/>
            <color indexed="81"/>
            <rFont val="細明體"/>
            <family val="3"/>
            <charset val="136"/>
          </rPr>
          <t>卡匣
費用型工單掛</t>
        </r>
        <r>
          <rPr>
            <b/>
            <sz val="48"/>
            <color indexed="81"/>
            <rFont val="Tahoma"/>
            <family val="2"/>
          </rPr>
          <t xml:space="preserve">RD
</t>
        </r>
        <r>
          <rPr>
            <b/>
            <sz val="48"/>
            <color indexed="81"/>
            <rFont val="細明體"/>
            <family val="3"/>
            <charset val="136"/>
          </rPr>
          <t>生產</t>
        </r>
        <r>
          <rPr>
            <b/>
            <sz val="48"/>
            <color indexed="81"/>
            <rFont val="Tahoma"/>
            <family val="2"/>
          </rPr>
          <t xml:space="preserve">OW1 OW2
OW1*850 </t>
        </r>
        <r>
          <rPr>
            <b/>
            <sz val="48"/>
            <color indexed="81"/>
            <rFont val="細明體"/>
            <family val="3"/>
            <charset val="136"/>
          </rPr>
          <t xml:space="preserve">單片包裝 DQE*850
</t>
        </r>
        <r>
          <rPr>
            <b/>
            <sz val="48"/>
            <color indexed="81"/>
            <rFont val="Tahoma"/>
            <family val="2"/>
          </rPr>
          <t xml:space="preserve">OW2*920  </t>
        </r>
        <r>
          <rPr>
            <b/>
            <sz val="48"/>
            <color indexed="81"/>
            <rFont val="細明體"/>
            <family val="3"/>
            <charset val="136"/>
          </rPr>
          <t>單片包裝</t>
        </r>
        <r>
          <rPr>
            <b/>
            <sz val="48"/>
            <color indexed="81"/>
            <rFont val="Tahoma"/>
            <family val="2"/>
          </rPr>
          <t xml:space="preserve">  DQE*850 +RD*70
DQE   </t>
        </r>
        <r>
          <rPr>
            <b/>
            <sz val="48"/>
            <color indexed="81"/>
            <rFont val="細明體"/>
            <family val="3"/>
            <charset val="136"/>
          </rPr>
          <t>需求*850 單片包裝
滿足RD 與 DQE 需求後其餘雙片包裝
出貨*200  雙片包裝
卡匣需求 2170
修模後卡匣</t>
        </r>
      </text>
    </comment>
    <comment ref="US198" authorId="1" shapeId="0" xr:uid="{A71B75CF-ED66-4976-B4FF-F2B6E866ADA4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4/23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UU198" authorId="1" shapeId="0" xr:uid="{FE8CC674-7CB1-4441-91B5-F02261CB2051}">
      <text>
        <r>
          <rPr>
            <b/>
            <sz val="26"/>
            <color indexed="81"/>
            <rFont val="細明體"/>
            <family val="3"/>
            <charset val="136"/>
          </rPr>
          <t>生產
OW1 OW2 即可</t>
        </r>
      </text>
    </comment>
    <comment ref="UV198" authorId="1" shapeId="0" xr:uid="{559CBA5E-BBD4-4417-A6DF-F5F0C8C74316}">
      <text>
        <r>
          <rPr>
            <b/>
            <sz val="26"/>
            <color indexed="81"/>
            <rFont val="細明體"/>
            <family val="3"/>
            <charset val="136"/>
          </rPr>
          <t>上海 出貨 300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國內:400
RD*400</t>
        </r>
      </text>
    </comment>
    <comment ref="VB198" authorId="1" shapeId="0" xr:uid="{ADF72F38-6424-44C0-94A6-CD1FAEB3C311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4/23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VE198" authorId="1" shapeId="0" xr:uid="{F7CABEFA-F56A-45A0-A58F-103B27FCE29B}">
      <text>
        <r>
          <rPr>
            <b/>
            <sz val="26"/>
            <color indexed="81"/>
            <rFont val="細明體"/>
            <family val="3"/>
            <charset val="136"/>
          </rPr>
          <t>以卡匣切批
建線已大批卡匣建線
大批量出貨，小批量給DQE
上海 出貨 300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國內:400
RD*450  EN:3898</t>
        </r>
      </text>
    </comment>
    <comment ref="VK198" authorId="1" shapeId="0" xr:uid="{2B9FB52E-B937-45BE-9D82-8846D4D77466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4/23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VR198" authorId="1" shapeId="0" xr:uid="{1D864ED0-67F8-4D6F-BB57-EF14141D1503}">
      <text>
        <r>
          <rPr>
            <b/>
            <sz val="26"/>
            <color indexed="81"/>
            <rFont val="細明體"/>
            <family val="3"/>
            <charset val="136"/>
          </rPr>
          <t>RD*450  EN:3898</t>
        </r>
      </text>
    </comment>
    <comment ref="VZ198" authorId="1" shapeId="0" xr:uid="{2DF01513-EC24-4EEB-8A42-CCD7009E79B1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 6/02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WK198" authorId="1" shapeId="0" xr:uid="{02875AC6-46D0-43B8-96B5-6CDB6932F110}">
      <text>
        <r>
          <rPr>
            <b/>
            <sz val="26"/>
            <color indexed="81"/>
            <rFont val="細明體"/>
            <family val="3"/>
            <charset val="136"/>
          </rPr>
          <t>生產
OW1 OW2 即可
留樣*50
出貨*950</t>
        </r>
      </text>
    </comment>
    <comment ref="WL198" authorId="1" shapeId="0" xr:uid="{20D2EED6-2A06-4632-9DD9-8A7A5C57ECFD}">
      <text>
        <r>
          <rPr>
            <b/>
            <sz val="28"/>
            <color indexed="81"/>
            <rFont val="細明體"/>
            <family val="3"/>
            <charset val="136"/>
          </rPr>
          <t xml:space="preserve">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 5/20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5/22 </t>
        </r>
        <r>
          <rPr>
            <b/>
            <sz val="28"/>
            <color indexed="81"/>
            <rFont val="細明體"/>
            <family val="3"/>
            <charset val="136"/>
          </rPr>
          <t>生產
留樣</t>
        </r>
        <r>
          <rPr>
            <b/>
            <sz val="28"/>
            <color indexed="81"/>
            <rFont val="Tahoma"/>
            <family val="2"/>
          </rPr>
          <t xml:space="preserve">*50
</t>
        </r>
        <r>
          <rPr>
            <b/>
            <sz val="28"/>
            <color indexed="81"/>
            <rFont val="細明體"/>
            <family val="3"/>
            <charset val="136"/>
          </rPr>
          <t>出貨</t>
        </r>
        <r>
          <rPr>
            <b/>
            <sz val="28"/>
            <color indexed="81"/>
            <rFont val="Tahoma"/>
            <family val="2"/>
          </rPr>
          <t>*950</t>
        </r>
      </text>
    </comment>
    <comment ref="UL200" authorId="1" shapeId="0" xr:uid="{D28C9C53-144C-4738-8EDB-306F059214F8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D200" authorId="1" shapeId="0" xr:uid="{568B37B5-49F3-4152-BEFB-2D55E0B333DE}">
      <text>
        <r>
          <rPr>
            <b/>
            <sz val="26"/>
            <color indexed="81"/>
            <rFont val="細明體"/>
            <family val="3"/>
            <charset val="136"/>
          </rPr>
          <t xml:space="preserve">上海 出貨 </t>
        </r>
        <r>
          <rPr>
            <b/>
            <sz val="26"/>
            <color indexed="81"/>
            <rFont val="Tahoma"/>
            <family val="2"/>
          </rPr>
          <t xml:space="preserve">700 
</t>
        </r>
        <r>
          <rPr>
            <b/>
            <sz val="26"/>
            <color indexed="81"/>
            <rFont val="細明體"/>
            <family val="3"/>
            <charset val="136"/>
          </rPr>
          <t>國內:400</t>
        </r>
      </text>
    </comment>
    <comment ref="VR200" authorId="1" shapeId="0" xr:uid="{83DEF760-F654-478B-ABBB-85F6025F71E2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00" authorId="1" shapeId="0" xr:uid="{FF158683-7102-489D-AA77-65B1BC645E15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QC*100
</t>
        </r>
      </text>
    </comment>
    <comment ref="WQ200" authorId="1" shapeId="0" xr:uid="{57CE8549-2D40-4840-AD61-F34DD8E3499B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出貨*3000</t>
        </r>
      </text>
    </comment>
    <comment ref="WR200" authorId="1" shapeId="0" xr:uid="{C71A40A7-43E3-492B-975A-D559B7C424E9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出貨*5</t>
        </r>
      </text>
    </comment>
    <comment ref="TO203" authorId="1" shapeId="0" xr:uid="{BF9FB31D-7CBD-43E0-A016-5368C9F9FFB0}">
      <text>
        <r>
          <rPr>
            <sz val="28"/>
            <color indexed="81"/>
            <rFont val="Tahoma"/>
            <family val="2"/>
          </rPr>
          <t xml:space="preserve">EN: 3812
RL </t>
        </r>
        <r>
          <rPr>
            <sz val="28"/>
            <color indexed="81"/>
            <rFont val="細明體"/>
            <family val="3"/>
            <charset val="136"/>
          </rPr>
          <t>盤
建線試填</t>
        </r>
        <r>
          <rPr>
            <sz val="28"/>
            <color indexed="81"/>
            <rFont val="Tahoma"/>
            <family val="2"/>
          </rPr>
          <t xml:space="preserve">*40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TV203" authorId="1" shapeId="0" xr:uid="{839F5AD2-A9D9-4D38-8E46-D25B9546E360}">
      <text>
        <r>
          <rPr>
            <sz val="28"/>
            <color indexed="81"/>
            <rFont val="Tahoma"/>
            <family val="2"/>
          </rPr>
          <t xml:space="preserve">EN: 3812
RL </t>
        </r>
        <r>
          <rPr>
            <sz val="28"/>
            <color indexed="81"/>
            <rFont val="細明體"/>
            <family val="3"/>
            <charset val="136"/>
          </rPr>
          <t>盤
建線試填</t>
        </r>
        <r>
          <rPr>
            <sz val="28"/>
            <color indexed="81"/>
            <rFont val="Tahoma"/>
            <family val="2"/>
          </rPr>
          <t xml:space="preserve">*40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TW203" authorId="1" shapeId="0" xr:uid="{96C4CE92-3794-4321-80FF-E45408108042}">
      <text>
        <r>
          <rPr>
            <b/>
            <sz val="28"/>
            <color indexed="81"/>
            <rFont val="Tahoma"/>
            <family val="2"/>
          </rPr>
          <t xml:space="preserve">EN: 3812
C1 </t>
        </r>
        <r>
          <rPr>
            <b/>
            <sz val="28"/>
            <color indexed="81"/>
            <rFont val="細明體"/>
            <family val="3"/>
            <charset val="136"/>
          </rPr>
          <t>卡匣
費用型工單掛</t>
        </r>
        <r>
          <rPr>
            <b/>
            <sz val="28"/>
            <color indexed="81"/>
            <rFont val="Tahoma"/>
            <family val="2"/>
          </rPr>
          <t xml:space="preserve">RD
</t>
        </r>
        <r>
          <rPr>
            <b/>
            <sz val="28"/>
            <color indexed="81"/>
            <rFont val="細明體"/>
            <family val="3"/>
            <charset val="136"/>
          </rPr>
          <t>生產</t>
        </r>
        <r>
          <rPr>
            <b/>
            <sz val="28"/>
            <color indexed="81"/>
            <rFont val="Tahoma"/>
            <family val="2"/>
          </rPr>
          <t>RL
DQE: 100</t>
        </r>
        <r>
          <rPr>
            <b/>
            <sz val="28"/>
            <color indexed="81"/>
            <rFont val="細明體"/>
            <family val="3"/>
            <charset val="136"/>
          </rPr>
          <t xml:space="preserve"> 單片包裝
卡匣需求390
修模後卡匣</t>
        </r>
      </text>
    </comment>
    <comment ref="UF203" authorId="1" shapeId="0" xr:uid="{1E68FF58-CB72-4505-882D-152B35203973}">
      <text>
        <r>
          <rPr>
            <sz val="28"/>
            <color indexed="81"/>
            <rFont val="Tahoma"/>
            <family val="2"/>
          </rPr>
          <t xml:space="preserve">EN: 3812
RL </t>
        </r>
        <r>
          <rPr>
            <sz val="28"/>
            <color indexed="81"/>
            <rFont val="細明體"/>
            <family val="3"/>
            <charset val="136"/>
          </rPr>
          <t>盤
建線試填</t>
        </r>
        <r>
          <rPr>
            <sz val="28"/>
            <color indexed="81"/>
            <rFont val="Tahoma"/>
            <family val="2"/>
          </rPr>
          <t xml:space="preserve">*40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UG203" authorId="1" shapeId="0" xr:uid="{FDB4473D-F9C0-48A0-99F6-AAA385D0BABD}">
      <text>
        <r>
          <rPr>
            <b/>
            <sz val="28"/>
            <color indexed="81"/>
            <rFont val="Tahoma"/>
            <family val="2"/>
          </rPr>
          <t xml:space="preserve">EN: 3812
C1 </t>
        </r>
        <r>
          <rPr>
            <b/>
            <sz val="28"/>
            <color indexed="81"/>
            <rFont val="細明體"/>
            <family val="3"/>
            <charset val="136"/>
          </rPr>
          <t>卡匣
費用型工單掛</t>
        </r>
        <r>
          <rPr>
            <b/>
            <sz val="28"/>
            <color indexed="81"/>
            <rFont val="Tahoma"/>
            <family val="2"/>
          </rPr>
          <t xml:space="preserve">RD
</t>
        </r>
        <r>
          <rPr>
            <b/>
            <sz val="28"/>
            <color indexed="81"/>
            <rFont val="細明體"/>
            <family val="3"/>
            <charset val="136"/>
          </rPr>
          <t>生產</t>
        </r>
        <r>
          <rPr>
            <b/>
            <sz val="28"/>
            <color indexed="81"/>
            <rFont val="Tahoma"/>
            <family val="2"/>
          </rPr>
          <t>RL
DQE: 100</t>
        </r>
        <r>
          <rPr>
            <b/>
            <sz val="28"/>
            <color indexed="81"/>
            <rFont val="細明體"/>
            <family val="3"/>
            <charset val="136"/>
          </rPr>
          <t xml:space="preserve"> 單片包裝
卡匣需求390
修模後卡匣</t>
        </r>
      </text>
    </comment>
    <comment ref="UL203" authorId="1" shapeId="0" xr:uid="{F9161A73-F3AD-496D-91A8-3775FA713416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UV203" authorId="1" shapeId="0" xr:uid="{33CC719C-6A0E-44C2-A316-B12B27CF6FAF}">
      <text>
        <r>
          <rPr>
            <b/>
            <sz val="26"/>
            <color indexed="81"/>
            <rFont val="細明體"/>
            <family val="3"/>
            <charset val="136"/>
          </rPr>
          <t>上海 出貨 240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其他:700</t>
        </r>
      </text>
    </comment>
    <comment ref="XK203" authorId="1" shapeId="0" xr:uid="{5405CE33-F46C-4336-A7D1-3C73BAAC75F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XO203" authorId="1" shapeId="0" xr:uid="{221FD37D-5330-48C2-A13C-9BB3E4B48B2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V205" authorId="1" shapeId="0" xr:uid="{FF835D8A-9AB0-4566-9C7B-D0EBB184EAAC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Z205" authorId="1" shapeId="0" xr:uid="{CEBFEDD5-FBCF-47CC-8ED3-7EEBB093EEA8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QC*100
</t>
        </r>
      </text>
    </comment>
    <comment ref="WI205" authorId="1" shapeId="0" xr:uid="{5E4CDDC0-493C-428C-9788-2D53C6188DE7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出貨*1230</t>
        </r>
      </text>
    </comment>
    <comment ref="TI208" authorId="1" shapeId="0" xr:uid="{6A459EA9-8704-4BF4-987E-42326668E81D}">
      <text>
        <r>
          <rPr>
            <sz val="22"/>
            <color indexed="81"/>
            <rFont val="Tahoma"/>
            <family val="2"/>
          </rPr>
          <t xml:space="preserve">EN: 3812
LR </t>
        </r>
        <r>
          <rPr>
            <sz val="22"/>
            <color indexed="81"/>
            <rFont val="細明體"/>
            <family val="3"/>
            <charset val="136"/>
          </rPr>
          <t>盤
建線試填</t>
        </r>
        <r>
          <rPr>
            <sz val="22"/>
            <color indexed="81"/>
            <rFont val="Tahoma"/>
            <family val="2"/>
          </rPr>
          <t xml:space="preserve">*50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TV208" authorId="1" shapeId="0" xr:uid="{6C1D7BB4-F980-43E8-A395-75C5F4408C8C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LR
DQE:400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卡匣需求550
修模後卡匣
</t>
        </r>
      </text>
    </comment>
    <comment ref="UM208" authorId="1" shapeId="0" xr:uid="{C3711266-5E8F-45C3-959F-BC7B34A4E91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VC208" authorId="1" shapeId="0" xr:uid="{7B79F3D4-2424-4303-940F-069969B7F695}">
      <text>
        <r>
          <rPr>
            <b/>
            <sz val="26"/>
            <color indexed="81"/>
            <rFont val="細明體"/>
            <family val="3"/>
            <charset val="136"/>
          </rPr>
          <t>上海 出貨 240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其他:500
RD*100 EN:3898</t>
        </r>
      </text>
    </comment>
    <comment ref="XK208" authorId="1" shapeId="0" xr:uid="{8E39FC19-7B7C-4C90-8A91-408B04A19CAC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XO208" authorId="1" shapeId="0" xr:uid="{92E76A59-AB03-47A1-ACE8-16020ABB6DCE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TY210" authorId="1" shapeId="0" xr:uid="{2F349D22-4B2F-48F0-A7F7-7AB1DE9AE99E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UC210" authorId="1" shapeId="0" xr:uid="{B7FFE832-BDAD-479F-8703-962DF565341B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UE210" authorId="1" shapeId="0" xr:uid="{AA432A60-2604-43F6-B679-F70340D36699}">
      <text>
        <r>
          <rPr>
            <b/>
            <sz val="26"/>
            <color indexed="81"/>
            <rFont val="Tahoma"/>
            <family val="2"/>
          </rPr>
          <t xml:space="preserve">EN: 3812
C3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EQ2
DQE: 370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卡匣需求520</t>
        </r>
      </text>
    </comment>
    <comment ref="UO210" authorId="1" shapeId="0" xr:uid="{6E4B0F42-A9C0-48AC-8102-AF2F20651DDA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US210" authorId="1" shapeId="0" xr:uid="{6BFED413-B506-456B-BE7D-3B430B93E651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UV210" authorId="1" shapeId="0" xr:uid="{45238A4A-8181-44A1-9074-49EB4CB11521}">
      <text>
        <r>
          <rPr>
            <b/>
            <sz val="26"/>
            <color indexed="81"/>
            <rFont val="Tahoma"/>
            <family val="2"/>
          </rPr>
          <t xml:space="preserve">EN: 3812
C3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EQ2
DQE: 370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卡匣需求520</t>
        </r>
      </text>
    </comment>
    <comment ref="VB210" authorId="1" shapeId="0" xr:uid="{9DFFBF0B-1F8F-470E-A219-94E14811C17D}">
      <text>
        <r>
          <rPr>
            <b/>
            <sz val="26"/>
            <color indexed="81"/>
            <rFont val="Tahoma"/>
            <family val="2"/>
          </rPr>
          <t xml:space="preserve">EN: 3812
C3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EQ2
DQE: 370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卡匣需求520</t>
        </r>
      </text>
    </comment>
    <comment ref="TM211" authorId="1" shapeId="0" xr:uid="{B9F4A6FE-6EC1-4581-8E4D-450D802418B1}">
      <text>
        <r>
          <rPr>
            <sz val="22"/>
            <color indexed="81"/>
            <rFont val="Tahoma"/>
            <family val="2"/>
          </rPr>
          <t>EN: 3812
LA2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TV211" authorId="1" shapeId="0" xr:uid="{77A0BD5B-B090-4FE8-AC03-FFC63542EBF5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LA2
DQE:500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卡匣需求650
修模後卡匣
</t>
        </r>
      </text>
    </comment>
    <comment ref="VK211" authorId="1" shapeId="0" xr:uid="{B3F02341-E062-40DA-8705-7209FD324A15}">
      <text>
        <r>
          <rPr>
            <sz val="22"/>
            <color indexed="81"/>
            <rFont val="Tahoma"/>
            <family val="2"/>
          </rPr>
          <t>EN: 3898
LA2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VV211" authorId="1" shapeId="0" xr:uid="{FA701C4E-77EA-4215-8EA8-EEEF4820D9BE}">
      <text>
        <r>
          <rPr>
            <sz val="22"/>
            <color indexed="81"/>
            <rFont val="Tahoma"/>
            <family val="2"/>
          </rPr>
          <t>EN: 3898
LA2</t>
        </r>
        <r>
          <rPr>
            <sz val="22"/>
            <color indexed="81"/>
            <rFont val="細明體"/>
            <family val="3"/>
            <charset val="136"/>
          </rPr>
          <t xml:space="preserve">
</t>
        </r>
        <r>
          <rPr>
            <sz val="22"/>
            <color indexed="81"/>
            <rFont val="Tahoma"/>
            <family val="2"/>
          </rPr>
          <t xml:space="preserve">DQE RD *100  
</t>
        </r>
      </text>
    </comment>
    <comment ref="SW212" authorId="1" shapeId="0" xr:uid="{910E5C33-22D9-43CE-9FD1-A03C2EFE3077}">
      <text>
        <r>
          <rPr>
            <b/>
            <sz val="36"/>
            <color indexed="81"/>
            <rFont val="細明體"/>
            <family val="3"/>
            <charset val="136"/>
          </rPr>
          <t>AR2
建線*60
QC*100
修模前卡匣</t>
        </r>
      </text>
    </comment>
    <comment ref="TI212" authorId="1" shapeId="0" xr:uid="{02681369-0AA1-4002-983F-BA1DF4D44C0F}">
      <text>
        <r>
          <rPr>
            <b/>
            <sz val="36"/>
            <color indexed="81"/>
            <rFont val="細明體"/>
            <family val="3"/>
            <charset val="136"/>
          </rPr>
          <t>AR2
建線*60
QC*100
修模前卡匣</t>
        </r>
      </text>
    </comment>
    <comment ref="TM212" authorId="1" shapeId="0" xr:uid="{5C9D531D-33DA-4A98-B820-5A5091478849}">
      <text>
        <r>
          <rPr>
            <sz val="28"/>
            <color indexed="81"/>
            <rFont val="細明體"/>
            <family val="3"/>
            <charset val="136"/>
          </rPr>
          <t>EN: 3801
篩機使用
一、依照「Qbi Vet panel marker position_V16.1 (base on 20260210 version) for 產線」excel表進行排程。
二、僅生產AR2，數量200片。
三、生產前請提供製程記錄表給PE。
卡匣種類: 生化_C1
卡匣需求 500
修模前卡匣；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UD212" authorId="1" shapeId="0" xr:uid="{CE6F8989-970F-4ABE-87DC-85EBCF71C697}">
      <text>
        <r>
          <rPr>
            <sz val="28"/>
            <color indexed="81"/>
            <rFont val="Tahoma"/>
            <family val="2"/>
          </rPr>
          <t>EN: 3812
AR1</t>
        </r>
        <r>
          <rPr>
            <sz val="28"/>
            <color indexed="81"/>
            <rFont val="細明體"/>
            <family val="3"/>
            <charset val="136"/>
          </rPr>
          <t xml:space="preserve">
建線試填</t>
        </r>
        <r>
          <rPr>
            <sz val="28"/>
            <color indexed="81"/>
            <rFont val="Tahoma"/>
            <family val="2"/>
          </rPr>
          <t xml:space="preserve">*35
QC*100
AR2
</t>
        </r>
        <r>
          <rPr>
            <sz val="28"/>
            <color indexed="81"/>
            <rFont val="細明體"/>
            <family val="3"/>
            <charset val="136"/>
          </rPr>
          <t>建線試填</t>
        </r>
        <r>
          <rPr>
            <sz val="28"/>
            <color indexed="81"/>
            <rFont val="Tahoma"/>
            <family val="2"/>
          </rPr>
          <t xml:space="preserve">*60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UF212" authorId="1" shapeId="0" xr:uid="{05FBD5C8-475D-4357-BB56-73EF2F9AA1AC}">
      <text>
        <r>
          <rPr>
            <b/>
            <sz val="26"/>
            <color indexed="81"/>
            <rFont val="Tahoma"/>
            <family val="2"/>
          </rPr>
          <t xml:space="preserve">EN: 3812  AR1+AR2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AR1
DQE:670</t>
        </r>
        <r>
          <rPr>
            <b/>
            <sz val="26"/>
            <color indexed="81"/>
            <rFont val="細明體"/>
            <family val="3"/>
            <charset val="136"/>
          </rPr>
          <t xml:space="preserve">  
RD:100 單片包裝
生產AR2
DQE:700  單片包裝
卡匣需求1770
修模後卡匣</t>
        </r>
      </text>
    </comment>
    <comment ref="WS212" authorId="1" shapeId="0" xr:uid="{3A6A07F4-4E50-4476-8FCA-32F79344243A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*60
QC*100
</t>
        </r>
      </text>
    </comment>
    <comment ref="WU212" authorId="1" shapeId="0" xr:uid="{4B919485-3FC5-47F5-A96A-C0E8EF4C9313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出貨*5</t>
        </r>
      </text>
    </comment>
    <comment ref="WM213" authorId="1" shapeId="0" xr:uid="{4F3EEA8C-7C5B-4D40-BD47-815B3D461CAC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*35
QC*100
</t>
        </r>
      </text>
    </comment>
    <comment ref="WR213" authorId="1" shapeId="0" xr:uid="{3C940FE4-6F39-4C2E-8784-F841D0EDBF3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WT213" authorId="1" shapeId="0" xr:uid="{43A0F761-0600-4FCB-9FC5-DE8A4C384285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出貨*20</t>
        </r>
      </text>
    </comment>
    <comment ref="UK215" authorId="1" shapeId="0" xr:uid="{FB65E57B-5452-4773-97FD-D6AC2DA38EF1}">
      <text>
        <r>
          <rPr>
            <sz val="22"/>
            <color indexed="81"/>
            <rFont val="Tahoma"/>
            <family val="2"/>
          </rPr>
          <t>EN: 3812
DB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*60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UM215" authorId="1" shapeId="0" xr:uid="{D800100E-E312-41BB-9572-1F1DE7BB003E}">
      <text>
        <r>
          <rPr>
            <b/>
            <sz val="26"/>
            <color indexed="81"/>
            <rFont val="Tahoma"/>
            <family val="2"/>
          </rPr>
          <t xml:space="preserve">EN: 3812
C4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DB
DQE:620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RD:30 單片包裝
卡匣需求800
修模後卡匣
</t>
        </r>
      </text>
    </comment>
    <comment ref="UV215" authorId="1" shapeId="0" xr:uid="{28E75AD0-BCAE-4227-A3B3-DF63AAD0376F}">
      <text>
        <r>
          <rPr>
            <sz val="22"/>
            <color indexed="81"/>
            <rFont val="Tahoma"/>
            <family val="2"/>
          </rPr>
          <t>EN: 3812
DB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*60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VB215" authorId="1" shapeId="0" xr:uid="{ED467735-1021-4700-AD3D-93447743DAC4}">
      <text>
        <r>
          <rPr>
            <sz val="22"/>
            <color indexed="81"/>
            <rFont val="Tahoma"/>
            <family val="2"/>
          </rPr>
          <t>EN: 3812
DB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*60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VF215" authorId="1" shapeId="0" xr:uid="{6D94F80F-66AF-435C-8A58-85D387DF6749}">
      <text>
        <r>
          <rPr>
            <b/>
            <sz val="26"/>
            <color indexed="81"/>
            <rFont val="Tahoma"/>
            <family val="2"/>
          </rPr>
          <t xml:space="preserve">EN: 3812
C4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DB
DQE:620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RD:30 單片包裝
卡匣需求800
修模後卡匣
</t>
        </r>
      </text>
    </comment>
    <comment ref="VK215" authorId="1" shapeId="0" xr:uid="{8F1E214F-E859-4C8C-9FF6-6A45E8D11869}">
      <text>
        <r>
          <rPr>
            <b/>
            <sz val="26"/>
            <color indexed="81"/>
            <rFont val="Tahoma"/>
            <family val="2"/>
          </rPr>
          <t xml:space="preserve">EN: 3812
C4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DB
DQE:620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RD:30 單片包裝
卡匣需求800
修模後卡匣
</t>
        </r>
      </text>
    </comment>
    <comment ref="WC215" authorId="1" shapeId="0" xr:uid="{CD9C6A52-D2A6-4519-B110-DD7D736D7F44}">
      <text>
        <r>
          <rPr>
            <sz val="22"/>
            <color indexed="81"/>
            <rFont val="Tahoma"/>
            <family val="2"/>
          </rPr>
          <t>EN: 3812
DB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*60
QC*100
</t>
        </r>
      </text>
    </comment>
    <comment ref="WM215" authorId="1" shapeId="0" xr:uid="{665049DE-0779-452A-82D2-CCED0A78AFFD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*60
QC*100
</t>
        </r>
      </text>
    </comment>
    <comment ref="WT215" authorId="1" shapeId="0" xr:uid="{27168C2F-81BA-4C6C-9BE4-E79CD2615FC1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UC217" authorId="1" shapeId="0" xr:uid="{425DBB15-A8CC-4239-99C4-E90EFEB0FAD5}">
      <text>
        <r>
          <rPr>
            <sz val="36"/>
            <color indexed="81"/>
            <rFont val="Tahoma"/>
            <family val="2"/>
          </rPr>
          <t>EN: 3812
CC2</t>
        </r>
        <r>
          <rPr>
            <sz val="36"/>
            <color indexed="81"/>
            <rFont val="細明體"/>
            <family val="3"/>
            <charset val="136"/>
          </rPr>
          <t xml:space="preserve">
建線試填</t>
        </r>
        <r>
          <rPr>
            <sz val="36"/>
            <color indexed="81"/>
            <rFont val="Tahoma"/>
            <family val="2"/>
          </rPr>
          <t xml:space="preserve">*40
QC*100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UE217" authorId="1" shapeId="0" xr:uid="{6C7F1098-F4FD-4AAD-B422-A2075B1DA5A1}">
      <text>
        <r>
          <rPr>
            <b/>
            <sz val="26"/>
            <color indexed="81"/>
            <rFont val="Tahoma"/>
            <family val="2"/>
          </rPr>
          <t xml:space="preserve">EN: 3812
C2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CC2
DQE:560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卡匣需求710
修模後卡匣
</t>
        </r>
      </text>
    </comment>
    <comment ref="VC217" authorId="1" shapeId="0" xr:uid="{1AA6B62A-309F-447D-A97A-AA9470AB89C8}">
      <text>
        <r>
          <rPr>
            <b/>
            <sz val="26"/>
            <color indexed="81"/>
            <rFont val="Tahoma"/>
            <family val="2"/>
          </rPr>
          <t xml:space="preserve">EN: 3812
C2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CC2
DQE:560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卡匣需求710
修模後卡匣
</t>
        </r>
      </text>
    </comment>
    <comment ref="VR217" authorId="1" shapeId="0" xr:uid="{45E28CDF-EEB4-4662-948A-9F8D21B21D1D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QC*100
</t>
        </r>
      </text>
    </comment>
    <comment ref="VV217" authorId="1" shapeId="0" xr:uid="{5E1C9D7F-F263-4BF4-9DF5-B859E16EC8A7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QC*100
</t>
        </r>
      </text>
    </comment>
    <comment ref="VZ217" authorId="1" shapeId="0" xr:uid="{AF6A8CC7-E53F-49F5-872C-BEEA94EF0B39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QC*100
</t>
        </r>
      </text>
    </comment>
    <comment ref="WB217" authorId="1" shapeId="0" xr:uid="{9CF55D6A-B09E-4B21-86DD-AAF2F7AE3715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出貨*270</t>
        </r>
      </text>
    </comment>
    <comment ref="RC218" authorId="1" shapeId="0" xr:uid="{AEAE20BE-44B6-4358-A68D-EBDC20F525EC}">
      <text>
        <r>
          <rPr>
            <sz val="26"/>
            <color indexed="81"/>
            <rFont val="細明體"/>
            <family val="3"/>
            <charset val="136"/>
          </rPr>
          <t xml:space="preserve">EN:3766
2/6 注水
2/10 包裝
Qbi比濁SDMA 卡匣(比濁A版 R1及R2皆有定量的 Cover/ 2 uL Body), R1注入體積為120uL,R2注入體積為45uL，需求片數為160片。
需幫忙貼標且需要使用PP盒包裝 
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RH218" authorId="1" shapeId="0" xr:uid="{43854733-C2AB-40A9-877D-DD803B7ED8A1}">
      <text>
        <r>
          <rPr>
            <sz val="26"/>
            <color indexed="81"/>
            <rFont val="細明體"/>
            <family val="3"/>
            <charset val="136"/>
          </rPr>
          <t xml:space="preserve">EN:3766
Qbi比濁SDMA 卡匣(比濁A版 R1及R2皆有定量的 Cover/ 2 uL Body), R1注入體積為120uL,R2注入體積為45uL，需求片數為160片。
需幫忙貼標且需要使用PP盒包裝 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SY218" authorId="1" shapeId="0" xr:uid="{AA408C6D-AC16-4809-AC31-1CBD901FA1B5}">
      <text>
        <r>
          <rPr>
            <sz val="28"/>
            <color indexed="81"/>
            <rFont val="細明體"/>
            <family val="3"/>
            <charset val="136"/>
          </rPr>
          <t xml:space="preserve">試填建線
</t>
        </r>
        <r>
          <rPr>
            <sz val="28"/>
            <color indexed="81"/>
            <rFont val="Tahoma"/>
            <family val="2"/>
          </rPr>
          <t xml:space="preserve">RD*50
QC*100
</t>
        </r>
        <r>
          <rPr>
            <sz val="28"/>
            <color indexed="81"/>
            <rFont val="細明體"/>
            <family val="3"/>
            <charset val="136"/>
          </rPr>
          <t>生產一組</t>
        </r>
        <r>
          <rPr>
            <sz val="28"/>
            <color indexed="81"/>
            <rFont val="Tahoma"/>
            <family val="2"/>
          </rPr>
          <t>* 933</t>
        </r>
      </text>
    </comment>
    <comment ref="TD218" authorId="1" shapeId="0" xr:uid="{0E88762E-0339-4559-AFFD-038D6F2503DC}">
      <text>
        <r>
          <rPr>
            <sz val="36"/>
            <color indexed="81"/>
            <rFont val="Tahoma"/>
            <family val="2"/>
          </rPr>
          <t xml:space="preserve">EN: 3820
 </t>
        </r>
        <r>
          <rPr>
            <sz val="36"/>
            <color indexed="81"/>
            <rFont val="細明體"/>
            <family val="3"/>
            <charset val="136"/>
          </rPr>
          <t>卡匣</t>
        </r>
        <r>
          <rPr>
            <sz val="36"/>
            <color indexed="81"/>
            <rFont val="Tahoma"/>
            <family val="2"/>
          </rPr>
          <t xml:space="preserve">: 2UL </t>
        </r>
        <r>
          <rPr>
            <sz val="36"/>
            <color indexed="81"/>
            <rFont val="細明體"/>
            <family val="3"/>
            <charset val="136"/>
          </rPr>
          <t>比濁
費用型工單掛</t>
        </r>
        <r>
          <rPr>
            <sz val="36"/>
            <color indexed="81"/>
            <rFont val="Tahoma"/>
            <family val="2"/>
          </rPr>
          <t xml:space="preserve">RD
</t>
        </r>
        <r>
          <rPr>
            <sz val="36"/>
            <color indexed="81"/>
            <rFont val="細明體"/>
            <family val="3"/>
            <charset val="136"/>
          </rPr>
          <t>生產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36"/>
            <color indexed="81"/>
            <rFont val="細明體"/>
            <family val="3"/>
            <charset val="136"/>
          </rPr>
          <t xml:space="preserve">
 </t>
        </r>
        <r>
          <rPr>
            <sz val="36"/>
            <color indexed="81"/>
            <rFont val="Tahoma"/>
            <family val="2"/>
          </rPr>
          <t xml:space="preserve">JUSTIN: </t>
        </r>
        <r>
          <rPr>
            <sz val="36"/>
            <color indexed="81"/>
            <rFont val="細明體"/>
            <family val="3"/>
            <charset val="136"/>
          </rPr>
          <t>需求</t>
        </r>
        <r>
          <rPr>
            <sz val="36"/>
            <color indexed="81"/>
            <rFont val="Tahoma"/>
            <family val="2"/>
          </rPr>
          <t xml:space="preserve">*150 </t>
        </r>
        <r>
          <rPr>
            <sz val="36"/>
            <color indexed="81"/>
            <rFont val="細明體"/>
            <family val="3"/>
            <charset val="136"/>
          </rPr>
          <t>單片包裝</t>
        </r>
        <r>
          <rPr>
            <sz val="36"/>
            <color indexed="81"/>
            <rFont val="Tahoma"/>
            <family val="2"/>
          </rPr>
          <t xml:space="preserve">
 DQE :   </t>
        </r>
        <r>
          <rPr>
            <sz val="36"/>
            <color indexed="81"/>
            <rFont val="細明體"/>
            <family val="3"/>
            <charset val="136"/>
          </rPr>
          <t>需求</t>
        </r>
        <r>
          <rPr>
            <sz val="36"/>
            <color indexed="81"/>
            <rFont val="Tahoma"/>
            <family val="2"/>
          </rPr>
          <t xml:space="preserve">*250 </t>
        </r>
        <r>
          <rPr>
            <sz val="36"/>
            <color indexed="81"/>
            <rFont val="細明體"/>
            <family val="3"/>
            <charset val="136"/>
          </rPr>
          <t>單片包裝
其餘庫存
卡匣需求</t>
        </r>
        <r>
          <rPr>
            <sz val="36"/>
            <color indexed="81"/>
            <rFont val="Tahoma"/>
            <family val="2"/>
          </rPr>
          <t xml:space="preserve"> 933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W218" authorId="1" shapeId="0" xr:uid="{5AA851E3-5963-45A5-821E-F55086532D59}">
      <text>
        <r>
          <rPr>
            <sz val="36"/>
            <color indexed="81"/>
            <rFont val="Tahoma"/>
            <family val="2"/>
          </rPr>
          <t xml:space="preserve">EN: 3820  </t>
        </r>
        <r>
          <rPr>
            <sz val="36"/>
            <color indexed="81"/>
            <rFont val="細明體"/>
            <family val="3"/>
            <charset val="136"/>
          </rPr>
          <t>上週未投產，請結單。</t>
        </r>
        <r>
          <rPr>
            <sz val="36"/>
            <color indexed="81"/>
            <rFont val="Tahoma"/>
            <family val="2"/>
          </rPr>
          <t xml:space="preserve">
 </t>
        </r>
        <r>
          <rPr>
            <sz val="36"/>
            <color indexed="81"/>
            <rFont val="細明體"/>
            <family val="3"/>
            <charset val="136"/>
          </rPr>
          <t>卡匣</t>
        </r>
        <r>
          <rPr>
            <sz val="36"/>
            <color indexed="81"/>
            <rFont val="Tahoma"/>
            <family val="2"/>
          </rPr>
          <t xml:space="preserve">: 2UL </t>
        </r>
        <r>
          <rPr>
            <sz val="36"/>
            <color indexed="81"/>
            <rFont val="細明體"/>
            <family val="3"/>
            <charset val="136"/>
          </rPr>
          <t>比濁
費用型工單掛</t>
        </r>
        <r>
          <rPr>
            <sz val="36"/>
            <color indexed="81"/>
            <rFont val="Tahoma"/>
            <family val="2"/>
          </rPr>
          <t xml:space="preserve">RD
</t>
        </r>
        <r>
          <rPr>
            <sz val="36"/>
            <color indexed="81"/>
            <rFont val="細明體"/>
            <family val="3"/>
            <charset val="136"/>
          </rPr>
          <t>生產</t>
        </r>
        <r>
          <rPr>
            <sz val="36"/>
            <color indexed="81"/>
            <rFont val="Tahoma"/>
            <family val="2"/>
          </rPr>
          <t xml:space="preserve"> 
</t>
        </r>
        <r>
          <rPr>
            <sz val="36"/>
            <color indexed="81"/>
            <rFont val="細明體"/>
            <family val="3"/>
            <charset val="136"/>
          </rPr>
          <t>其餘庫存
卡匣需求</t>
        </r>
        <r>
          <rPr>
            <sz val="36"/>
            <color indexed="81"/>
            <rFont val="Tahoma"/>
            <family val="2"/>
          </rPr>
          <t xml:space="preserve"> 656  </t>
        </r>
        <r>
          <rPr>
            <sz val="36"/>
            <color indexed="81"/>
            <rFont val="細明體"/>
            <family val="3"/>
            <charset val="136"/>
          </rPr>
          <t>全數投完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UK218" authorId="1" shapeId="0" xr:uid="{133C8663-6BCB-4E19-B9D9-180DA99F5333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XB218" authorId="1" shapeId="0" xr:uid="{946BF8EE-032E-4009-901F-7F0C11112662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QC*100
</t>
        </r>
      </text>
    </comment>
    <comment ref="XG218" authorId="1" shapeId="0" xr:uid="{4BFD2BD5-FD02-40FE-9A35-CD02796E8895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QC*100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XH218" authorId="1" shapeId="0" xr:uid="{E90D2CCA-D62F-48D6-9875-3BBEBEFD5615}">
      <text>
        <r>
          <rPr>
            <b/>
            <sz val="26"/>
            <color indexed="81"/>
            <rFont val="細明體"/>
            <family val="3"/>
            <charset val="136"/>
          </rPr>
          <t>留樣</t>
        </r>
        <r>
          <rPr>
            <b/>
            <sz val="26"/>
            <color indexed="81"/>
            <rFont val="Tahoma"/>
            <family val="2"/>
          </rPr>
          <t xml:space="preserve">*50
</t>
        </r>
        <r>
          <rPr>
            <b/>
            <sz val="26"/>
            <color indexed="81"/>
            <rFont val="細明體"/>
            <family val="3"/>
            <charset val="136"/>
          </rPr>
          <t>出貨</t>
        </r>
        <r>
          <rPr>
            <b/>
            <sz val="26"/>
            <color indexed="81"/>
            <rFont val="Tahoma"/>
            <family val="2"/>
          </rPr>
          <t>*500</t>
        </r>
      </text>
    </comment>
    <comment ref="QH219" authorId="1" shapeId="0" xr:uid="{F7BA1955-D439-4F60-80D3-29D3EE856069}">
      <text>
        <r>
          <rPr>
            <b/>
            <sz val="20"/>
            <color indexed="81"/>
            <rFont val="新細明體"/>
            <family val="1"/>
            <charset val="136"/>
          </rPr>
          <t>建線 R1/R2 各50片</t>
        </r>
      </text>
    </comment>
    <comment ref="RH219" authorId="1" shapeId="0" xr:uid="{3B66138F-83B1-421F-BAEB-8346F55A1A0C}">
      <text>
        <r>
          <rPr>
            <b/>
            <sz val="20"/>
            <color indexed="81"/>
            <rFont val="新細明體"/>
            <family val="1"/>
            <charset val="136"/>
          </rPr>
          <t>費用型工單
2/10 建線 R1/R2 各50片
2/12 包裝</t>
        </r>
      </text>
    </comment>
    <comment ref="UL219" authorId="1" shapeId="0" xr:uid="{F53C6AAE-1D8E-41E9-A507-5674B208819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UN219" authorId="1" shapeId="0" xr:uid="{FBC8562D-07CE-42F0-AB3C-3DD28E53D755}">
      <text>
        <r>
          <rPr>
            <b/>
            <sz val="26"/>
            <color indexed="81"/>
            <rFont val="細明體"/>
            <family val="3"/>
            <charset val="136"/>
          </rPr>
          <t>卡匣不足，試劑配120 即可
上海 出貨 100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國內:670</t>
        </r>
      </text>
    </comment>
    <comment ref="XB219" authorId="1" shapeId="0" xr:uid="{703CB70D-6198-4BB3-8E49-CB8F49E085A9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XG219" authorId="1" shapeId="0" xr:uid="{C8369FE0-99AE-44B0-B3AD-42D8F0CF9395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XH219" authorId="1" shapeId="0" xr:uid="{F27C0E41-6B24-4B82-AAEF-3F8149012E86}">
      <text>
        <r>
          <rPr>
            <b/>
            <sz val="26"/>
            <color indexed="81"/>
            <rFont val="細明體"/>
            <family val="3"/>
            <charset val="136"/>
          </rPr>
          <t>卡匣不足，試劑配120 即可
上海 出貨 100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國內:670</t>
        </r>
      </text>
    </comment>
    <comment ref="XI219" authorId="1" shapeId="0" xr:uid="{5F9C2C23-E657-4145-8610-A65B5779E7A8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XJ219" authorId="1" shapeId="0" xr:uid="{7B68B60F-0ED2-4411-A90F-29FAF77AB655}">
      <text/>
    </comment>
    <comment ref="UK220" authorId="1" shapeId="0" xr:uid="{822AF8F2-3A75-4A9F-915B-C7F3ABD18AE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建線*30
QC *100</t>
        </r>
      </text>
    </comment>
    <comment ref="UM220" authorId="1" shapeId="0" xr:uid="{D5E23AB8-1499-4999-9B70-2E046FC70584}">
      <text>
        <r>
          <rPr>
            <b/>
            <sz val="26"/>
            <color indexed="81"/>
            <rFont val="細明體"/>
            <family val="3"/>
            <charset val="136"/>
          </rPr>
          <t>出貨:520</t>
        </r>
      </text>
    </comment>
    <comment ref="XX220" authorId="1" shapeId="0" xr:uid="{E01EA582-2A05-42E5-BA78-11321CBD79CB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QC*100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YF220" authorId="1" shapeId="0" xr:uid="{70419A8C-FE34-4278-B54A-A4254CDBDBC9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QC*100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XJ221" authorId="1" shapeId="0" xr:uid="{6B21B59D-74AC-4157-A569-B83090AEFFAC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QC*100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WQ222" authorId="1" shapeId="0" xr:uid="{5EE8A4D8-1533-464E-A0C9-8E08ECCB4C2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QC*100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WS222" authorId="1" shapeId="0" xr:uid="{EBBEE1AA-9920-4462-8A16-6D748F903A84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QC*100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XG222" authorId="1" shapeId="0" xr:uid="{1ACD904C-E97F-4D8E-A61C-3C7E645544B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QC*100
</t>
        </r>
      </text>
    </comment>
    <comment ref="XI222" authorId="1" shapeId="0" xr:uid="{1BDA287A-6773-4FE6-AE28-132545A79E20}">
      <text>
        <r>
          <rPr>
            <b/>
            <sz val="26"/>
            <color indexed="81"/>
            <rFont val="細明體"/>
            <family val="3"/>
            <charset val="136"/>
          </rPr>
          <t>留樣</t>
        </r>
        <r>
          <rPr>
            <b/>
            <sz val="26"/>
            <color indexed="81"/>
            <rFont val="Tahoma"/>
            <family val="2"/>
          </rPr>
          <t xml:space="preserve">*50
</t>
        </r>
        <r>
          <rPr>
            <b/>
            <sz val="26"/>
            <color indexed="81"/>
            <rFont val="細明體"/>
            <family val="3"/>
            <charset val="136"/>
          </rPr>
          <t>出貨</t>
        </r>
        <r>
          <rPr>
            <b/>
            <sz val="26"/>
            <color indexed="81"/>
            <rFont val="Tahoma"/>
            <family val="2"/>
          </rPr>
          <t>*50</t>
        </r>
      </text>
    </comment>
    <comment ref="QP223" authorId="1" shapeId="0" xr:uid="{6127F2F7-1D9D-487B-8C3C-833410D9F360}">
      <text>
        <r>
          <rPr>
            <b/>
            <sz val="20"/>
            <color indexed="81"/>
            <rFont val="新細明體"/>
            <family val="1"/>
            <charset val="136"/>
          </rPr>
          <t>建線 各30片</t>
        </r>
      </text>
    </comment>
    <comment ref="QS223" authorId="1" shapeId="0" xr:uid="{3EAA5946-3691-4BA8-BDA9-6890DA8E955D}">
      <text>
        <r>
          <rPr>
            <b/>
            <sz val="18"/>
            <color indexed="81"/>
            <rFont val="Tahoma"/>
            <family val="2"/>
          </rPr>
          <t>2/4</t>
        </r>
        <r>
          <rPr>
            <b/>
            <sz val="18"/>
            <color indexed="81"/>
            <rFont val="細明體"/>
            <family val="3"/>
            <charset val="136"/>
          </rPr>
          <t>測試後方可出貨</t>
        </r>
      </text>
    </comment>
    <comment ref="RB223" authorId="1" shapeId="0" xr:uid="{00ADEFA0-57D8-4A96-BA9F-0A73765D94C8}">
      <text>
        <r>
          <rPr>
            <sz val="28"/>
            <color indexed="81"/>
            <rFont val="細明體"/>
            <family val="3"/>
            <charset val="136"/>
          </rPr>
          <t>問</t>
        </r>
        <r>
          <rPr>
            <sz val="28"/>
            <color indexed="81"/>
            <rFont val="Tahoma"/>
            <family val="2"/>
          </rPr>
          <t xml:space="preserve">DQE </t>
        </r>
        <r>
          <rPr>
            <sz val="28"/>
            <color indexed="81"/>
            <rFont val="細明體"/>
            <family val="3"/>
            <charset val="136"/>
          </rPr>
          <t>是否可出貨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F223" authorId="1" shapeId="0" xr:uid="{2E97B392-C73C-4CDD-9C8C-94F33B603259}">
      <text>
        <r>
          <rPr>
            <b/>
            <sz val="22"/>
            <color indexed="81"/>
            <rFont val="Tahoma"/>
            <family val="2"/>
          </rPr>
          <t xml:space="preserve">EN:LM3782 
Tutti-ELISA RSB3 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 xml:space="preserve"> 2000 pics </t>
        </r>
        <r>
          <rPr>
            <b/>
            <sz val="22"/>
            <color indexed="81"/>
            <rFont val="細明體"/>
            <family val="3"/>
            <charset val="136"/>
          </rPr>
          <t>供後續生產驗證</t>
        </r>
        <r>
          <rPr>
            <b/>
            <sz val="22"/>
            <color indexed="81"/>
            <rFont val="Tahoma"/>
            <family val="2"/>
          </rPr>
          <t xml:space="preserve"> or RD </t>
        </r>
        <r>
          <rPr>
            <b/>
            <sz val="22"/>
            <color indexed="81"/>
            <rFont val="細明體"/>
            <family val="3"/>
            <charset val="136"/>
          </rPr>
          <t>測試使用</t>
        </r>
        <r>
          <rPr>
            <b/>
            <sz val="22"/>
            <color indexed="81"/>
            <rFont val="Tahoma"/>
            <family val="2"/>
          </rPr>
          <t xml:space="preserve">
5715600071 Q RSB3 (Qbi_</t>
        </r>
        <r>
          <rPr>
            <b/>
            <sz val="22"/>
            <color indexed="81"/>
            <rFont val="細明體"/>
            <family val="3"/>
            <charset val="136"/>
          </rPr>
          <t>通用</t>
        </r>
        <r>
          <rPr>
            <b/>
            <sz val="22"/>
            <color indexed="81"/>
            <rFont val="Tahoma"/>
            <family val="2"/>
          </rPr>
          <t xml:space="preserve">) 
</t>
        </r>
        <r>
          <rPr>
            <b/>
            <sz val="22"/>
            <color indexed="81"/>
            <rFont val="細明體"/>
            <family val="3"/>
            <charset val="136"/>
          </rPr>
          <t>試填
數量</t>
        </r>
        <r>
          <rPr>
            <b/>
            <sz val="22"/>
            <color indexed="81"/>
            <rFont val="Tahoma"/>
            <family val="2"/>
          </rPr>
          <t xml:space="preserve">: 2000 pics
</t>
        </r>
        <r>
          <rPr>
            <b/>
            <sz val="22"/>
            <color indexed="81"/>
            <rFont val="細明體"/>
            <family val="3"/>
            <charset val="136"/>
          </rPr>
          <t>體積</t>
        </r>
        <r>
          <rPr>
            <b/>
            <sz val="22"/>
            <color indexed="81"/>
            <rFont val="Tahoma"/>
            <family val="2"/>
          </rPr>
          <t xml:space="preserve">: 65 microliter
RSB: RD </t>
        </r>
        <r>
          <rPr>
            <b/>
            <sz val="22"/>
            <color indexed="81"/>
            <rFont val="細明體"/>
            <family val="3"/>
            <charset val="136"/>
          </rPr>
          <t>負責滅菌烘乾
請</t>
        </r>
        <r>
          <rPr>
            <b/>
            <sz val="22"/>
            <color indexed="81"/>
            <rFont val="Tahoma"/>
            <family val="2"/>
          </rPr>
          <t xml:space="preserve"> VONS </t>
        </r>
        <r>
          <rPr>
            <b/>
            <sz val="22"/>
            <color indexed="81"/>
            <rFont val="細明體"/>
            <family val="3"/>
            <charset val="136"/>
          </rPr>
          <t>直接對接</t>
        </r>
        <r>
          <rPr>
            <b/>
            <sz val="22"/>
            <color indexed="81"/>
            <rFont val="Tahoma"/>
            <family val="2"/>
          </rPr>
          <t xml:space="preserve"> Ivan</t>
        </r>
        <r>
          <rPr>
            <b/>
            <sz val="22"/>
            <color indexed="81"/>
            <rFont val="細明體"/>
            <family val="3"/>
            <charset val="136"/>
          </rPr>
          <t>，會協調一起將滅菌的</t>
        </r>
        <r>
          <rPr>
            <b/>
            <sz val="22"/>
            <color indexed="81"/>
            <rFont val="Tahoma"/>
            <family val="2"/>
          </rPr>
          <t xml:space="preserve"> RSB </t>
        </r>
        <r>
          <rPr>
            <b/>
            <sz val="22"/>
            <color indexed="81"/>
            <rFont val="細明體"/>
            <family val="3"/>
            <charset val="136"/>
          </rPr>
          <t>放於黑盤上
希望安排生產時間為</t>
        </r>
        <r>
          <rPr>
            <b/>
            <sz val="22"/>
            <color indexed="81"/>
            <rFont val="Tahoma"/>
            <family val="2"/>
          </rPr>
          <t xml:space="preserve"> 3/2~3/6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223" authorId="1" shapeId="0" xr:uid="{6980C584-01E7-410D-8614-52C3D641585C}">
      <text>
        <r>
          <rPr>
            <b/>
            <sz val="26"/>
            <color indexed="81"/>
            <rFont val="細明體"/>
            <family val="3"/>
            <charset val="136"/>
          </rPr>
          <t>暫排缺化學藥
費用型工單
建線</t>
        </r>
        <r>
          <rPr>
            <b/>
            <sz val="26"/>
            <color indexed="81"/>
            <rFont val="Tahoma"/>
            <family val="2"/>
          </rPr>
          <t>30</t>
        </r>
        <r>
          <rPr>
            <b/>
            <sz val="26"/>
            <color indexed="81"/>
            <rFont val="細明體"/>
            <family val="3"/>
            <charset val="136"/>
          </rPr>
          <t xml:space="preserve">片。
</t>
        </r>
        <r>
          <rPr>
            <b/>
            <sz val="26"/>
            <color indexed="81"/>
            <rFont val="Tahoma"/>
            <family val="2"/>
          </rPr>
          <t xml:space="preserve">2/23  RSB
2/25 </t>
        </r>
        <r>
          <rPr>
            <b/>
            <sz val="26"/>
            <color indexed="81"/>
            <rFont val="細明體"/>
            <family val="3"/>
            <charset val="136"/>
          </rPr>
          <t>包裝</t>
        </r>
        <r>
          <rPr>
            <b/>
            <sz val="26"/>
            <color indexed="81"/>
            <rFont val="Tahoma"/>
            <family val="2"/>
          </rPr>
          <t xml:space="preserve">
3/04 </t>
        </r>
        <r>
          <rPr>
            <b/>
            <sz val="26"/>
            <color indexed="81"/>
            <rFont val="細明體"/>
            <family val="3"/>
            <charset val="136"/>
          </rPr>
          <t>測試後方可出貨</t>
        </r>
      </text>
    </comment>
    <comment ref="SP223" authorId="1" shapeId="0" xr:uid="{A7810C64-FFAF-40A6-81AC-88495C9CC991}">
      <text>
        <r>
          <rPr>
            <b/>
            <sz val="26"/>
            <color indexed="81"/>
            <rFont val="細明體"/>
            <family val="3"/>
            <charset val="136"/>
          </rPr>
          <t>暫排缺化學藥
費用型工單
建線</t>
        </r>
        <r>
          <rPr>
            <b/>
            <sz val="26"/>
            <color indexed="81"/>
            <rFont val="Tahoma"/>
            <family val="2"/>
          </rPr>
          <t>30</t>
        </r>
        <r>
          <rPr>
            <b/>
            <sz val="26"/>
            <color indexed="81"/>
            <rFont val="細明體"/>
            <family val="3"/>
            <charset val="136"/>
          </rPr>
          <t xml:space="preserve">片。
</t>
        </r>
        <r>
          <rPr>
            <b/>
            <sz val="26"/>
            <color indexed="81"/>
            <rFont val="Tahoma"/>
            <family val="2"/>
          </rPr>
          <t xml:space="preserve">2/23  RSB
2/25 </t>
        </r>
        <r>
          <rPr>
            <b/>
            <sz val="26"/>
            <color indexed="81"/>
            <rFont val="細明體"/>
            <family val="3"/>
            <charset val="136"/>
          </rPr>
          <t>包裝</t>
        </r>
        <r>
          <rPr>
            <b/>
            <sz val="26"/>
            <color indexed="81"/>
            <rFont val="Tahoma"/>
            <family val="2"/>
          </rPr>
          <t xml:space="preserve">
3/04 </t>
        </r>
        <r>
          <rPr>
            <b/>
            <sz val="26"/>
            <color indexed="81"/>
            <rFont val="細明體"/>
            <family val="3"/>
            <charset val="136"/>
          </rPr>
          <t>測試後方可出貨</t>
        </r>
      </text>
    </comment>
    <comment ref="TG223" authorId="1" shapeId="0" xr:uid="{99CF54C2-7087-4466-8490-B5C4D19AC7CD}">
      <text>
        <r>
          <rPr>
            <sz val="28"/>
            <color indexed="81"/>
            <rFont val="細明體"/>
            <family val="3"/>
            <charset val="136"/>
          </rPr>
          <t xml:space="preserve">確認化學藥
試填建線
</t>
        </r>
        <r>
          <rPr>
            <sz val="28"/>
            <color indexed="81"/>
            <rFont val="Tahoma"/>
            <family val="2"/>
          </rPr>
          <t xml:space="preserve">RD*40
QC*100
</t>
        </r>
      </text>
    </comment>
    <comment ref="TO223" authorId="1" shapeId="0" xr:uid="{01919765-92B1-4D0A-8C90-46BBA90134A9}">
      <text>
        <r>
          <rPr>
            <sz val="28"/>
            <color indexed="81"/>
            <rFont val="細明體"/>
            <family val="3"/>
            <charset val="136"/>
          </rPr>
          <t xml:space="preserve">確認化學藥
試填建線
</t>
        </r>
        <r>
          <rPr>
            <sz val="28"/>
            <color indexed="81"/>
            <rFont val="Tahoma"/>
            <family val="2"/>
          </rPr>
          <t xml:space="preserve">RD*40
QC*100
</t>
        </r>
      </text>
    </comment>
    <comment ref="VJ223" authorId="1" shapeId="0" xr:uid="{DC4A9C07-8173-4B8D-AE12-3A44ED38B71E}">
      <text>
        <r>
          <rPr>
            <sz val="22"/>
            <color indexed="81"/>
            <rFont val="Tahoma"/>
            <family val="2"/>
          </rPr>
          <t xml:space="preserve">EN: 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VL223" authorId="1" shapeId="0" xr:uid="{D9D5653C-AF9B-4A51-8067-B5B5EDC171F5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出貨:580
</t>
        </r>
      </text>
    </comment>
    <comment ref="WU223" authorId="1" shapeId="0" xr:uid="{3F2AC52F-2068-4503-959D-5D62111D7C11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WZ223" authorId="1" shapeId="0" xr:uid="{4EF76539-2D4C-46DB-B805-A6854D7FB372}">
      <text>
        <r>
          <rPr>
            <sz val="30"/>
            <color indexed="81"/>
            <rFont val="細明體"/>
            <family val="3"/>
            <charset val="136"/>
          </rPr>
          <t>留樣*50
出貨*500</t>
        </r>
      </text>
    </comment>
    <comment ref="QQ224" authorId="1" shapeId="0" xr:uid="{A6A85A59-8CF1-4565-9E9C-081A570F1625}">
      <text>
        <r>
          <rPr>
            <b/>
            <sz val="20"/>
            <color indexed="81"/>
            <rFont val="新細明體"/>
            <family val="1"/>
            <charset val="136"/>
          </rPr>
          <t>建線 各30片</t>
        </r>
      </text>
    </comment>
    <comment ref="QT224" authorId="1" shapeId="0" xr:uid="{B06F83A8-BD14-4ABE-9F5E-D755FB388188}">
      <text>
        <r>
          <rPr>
            <b/>
            <sz val="18"/>
            <color indexed="81"/>
            <rFont val="Tahoma"/>
            <family val="2"/>
          </rPr>
          <t>2/5</t>
        </r>
        <r>
          <rPr>
            <b/>
            <sz val="18"/>
            <color indexed="81"/>
            <rFont val="細明體"/>
            <family val="3"/>
            <charset val="136"/>
          </rPr>
          <t>測試後方可出貨</t>
        </r>
      </text>
    </comment>
    <comment ref="RC224" authorId="1" shapeId="0" xr:uid="{CB1F1703-D4C8-4257-8559-03392C366493}">
      <text>
        <r>
          <rPr>
            <sz val="28"/>
            <color indexed="81"/>
            <rFont val="細明體"/>
            <family val="3"/>
            <charset val="136"/>
          </rPr>
          <t>問</t>
        </r>
        <r>
          <rPr>
            <sz val="28"/>
            <color indexed="81"/>
            <rFont val="Tahoma"/>
            <family val="2"/>
          </rPr>
          <t xml:space="preserve">DQE </t>
        </r>
        <r>
          <rPr>
            <sz val="28"/>
            <color indexed="81"/>
            <rFont val="細明體"/>
            <family val="3"/>
            <charset val="136"/>
          </rPr>
          <t>是否可出貨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J224" authorId="1" shapeId="0" xr:uid="{5210D550-8813-4333-81A7-A1EEE07977E5}">
      <text>
        <r>
          <rPr>
            <sz val="22"/>
            <color indexed="81"/>
            <rFont val="Tahoma"/>
            <family val="2"/>
          </rPr>
          <t xml:space="preserve">EN: 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VM224" authorId="1" shapeId="0" xr:uid="{12F7C8CB-4091-4715-B160-2C814298CC88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FPL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出貨</t>
        </r>
        <r>
          <rPr>
            <b/>
            <sz val="26"/>
            <color indexed="81"/>
            <rFont val="Tahoma"/>
            <family val="2"/>
          </rPr>
          <t>:160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WY224" authorId="1" shapeId="0" xr:uid="{0E87B3EF-8579-4CFE-8FF2-CB56DD18C855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XA224" authorId="1" shapeId="0" xr:uid="{99D65ECC-7279-49D8-BE6F-4A5D0EB745D6}">
      <text>
        <r>
          <rPr>
            <sz val="30"/>
            <color indexed="81"/>
            <rFont val="細明體"/>
            <family val="3"/>
            <charset val="136"/>
          </rPr>
          <t>留樣*50
出貨*460</t>
        </r>
      </text>
    </comment>
    <comment ref="VN225" authorId="1" shapeId="0" xr:uid="{E789AED2-C190-4978-97C8-FE46F903CE50}">
      <text>
        <r>
          <rPr>
            <sz val="22"/>
            <color indexed="81"/>
            <rFont val="Tahoma"/>
            <family val="2"/>
          </rPr>
          <t>EN: 
CPROG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>*40
QC*50</t>
        </r>
      </text>
    </comment>
    <comment ref="WC225" authorId="1" shapeId="0" xr:uid="{885CB1E3-E4EB-44A2-B7CE-BB44489B7EB3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VN226" authorId="1" shapeId="0" xr:uid="{AC3D6636-8D67-48FE-8AFA-51F0D6F9C3ED}">
      <text>
        <r>
          <rPr>
            <sz val="22"/>
            <color indexed="81"/>
            <rFont val="Tahoma"/>
            <family val="2"/>
          </rPr>
          <t>EN: 
CCORT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QC*50
</t>
        </r>
      </text>
    </comment>
    <comment ref="WC226" authorId="1" shapeId="0" xr:uid="{C7098FB3-95AA-4DD6-AB67-19088DBD9A4D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WY226" authorId="1" shapeId="0" xr:uid="{D477BD56-0E5A-454A-B727-4056F09232BC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XB226" authorId="1" shapeId="0" xr:uid="{C40F0E87-6DB3-44AC-92FF-7C63C04FA52B}">
      <text>
        <r>
          <rPr>
            <sz val="30"/>
            <color indexed="81"/>
            <rFont val="細明體"/>
            <family val="3"/>
            <charset val="136"/>
          </rPr>
          <t>留樣*50
出貨*10</t>
        </r>
      </text>
    </comment>
    <comment ref="VR227" authorId="1" shapeId="0" xr:uid="{F3350134-3E1A-4036-80D9-9CBD602A194B}">
      <text>
        <r>
          <rPr>
            <sz val="22"/>
            <color indexed="81"/>
            <rFont val="Tahoma"/>
            <family val="2"/>
          </rPr>
          <t>EN: 
CTSH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QC*50
</t>
        </r>
      </text>
    </comment>
    <comment ref="WD227" authorId="1" shapeId="0" xr:uid="{C9BAEA1B-3FD3-46CB-A208-9BF3FF1DFE8D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CTSH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WK227" authorId="1" shapeId="0" xr:uid="{542CF492-B6AE-4878-9DA0-8F016D018777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CTSH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VR228" authorId="1" shapeId="0" xr:uid="{709C71F3-7C5F-4D63-BB62-DB194A7C89B5}">
      <text>
        <r>
          <rPr>
            <sz val="22"/>
            <color indexed="81"/>
            <rFont val="Tahoma"/>
            <family val="2"/>
          </rPr>
          <t>EN: 
CNBNP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QC*50
</t>
        </r>
      </text>
    </comment>
    <comment ref="WD228" authorId="1" shapeId="0" xr:uid="{2CCF6E08-B9E3-487B-9D41-BE1FFB237E40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CNBNP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WK228" authorId="1" shapeId="0" xr:uid="{DF5560A7-82DD-4963-95BC-78EDEBC6E1B3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CNBNP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WY228" authorId="1" shapeId="0" xr:uid="{43B45980-23B6-4508-91F1-3CD58E080484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XB228" authorId="1" shapeId="0" xr:uid="{A05B9AC5-C6D2-4F45-B190-13F1FA6F69C2}">
      <text>
        <r>
          <rPr>
            <sz val="30"/>
            <color indexed="81"/>
            <rFont val="細明體"/>
            <family val="3"/>
            <charset val="136"/>
          </rPr>
          <t>留樣*50
出貨*10</t>
        </r>
      </text>
    </comment>
    <comment ref="RJ229" authorId="1" shapeId="0" xr:uid="{9CF6E8F2-7BCA-4D4D-8019-DA84EF35249F}">
      <text>
        <r>
          <rPr>
            <b/>
            <sz val="22"/>
            <color indexed="81"/>
            <rFont val="Tahoma"/>
            <family val="2"/>
          </rPr>
          <t xml:space="preserve">Anne  </t>
        </r>
        <r>
          <rPr>
            <b/>
            <sz val="22"/>
            <color indexed="81"/>
            <rFont val="細明體"/>
            <family val="3"/>
            <charset val="136"/>
          </rPr>
          <t>將成品給生管</t>
        </r>
      </text>
    </comment>
    <comment ref="RY229" authorId="1" shapeId="0" xr:uid="{B6DDB1F4-7437-4DBA-B58D-3B33D081F773}">
      <text>
        <r>
          <rPr>
            <b/>
            <sz val="22"/>
            <color indexed="81"/>
            <rFont val="Tahoma"/>
            <family val="2"/>
          </rPr>
          <t xml:space="preserve">Anne  </t>
        </r>
        <r>
          <rPr>
            <b/>
            <sz val="22"/>
            <color indexed="81"/>
            <rFont val="細明體"/>
            <family val="3"/>
            <charset val="136"/>
          </rPr>
          <t xml:space="preserve">將成品給生管
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>月提共</t>
        </r>
        <r>
          <rPr>
            <b/>
            <sz val="22"/>
            <color indexed="81"/>
            <rFont val="Tahoma"/>
            <family val="2"/>
          </rPr>
          <t>490</t>
        </r>
      </text>
    </comment>
    <comment ref="SO229" authorId="1" shapeId="0" xr:uid="{CB0EE8ED-F75F-405C-8F02-2676EB07D3A0}">
      <text>
        <r>
          <rPr>
            <b/>
            <sz val="26"/>
            <color indexed="81"/>
            <rFont val="細明體"/>
            <family val="3"/>
            <charset val="136"/>
          </rPr>
          <t>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</t>
        </r>
        <r>
          <rPr>
            <b/>
            <sz val="26"/>
            <color indexed="81"/>
            <rFont val="細明體"/>
            <family val="3"/>
            <charset val="136"/>
          </rPr>
          <t>PE 驗證*500</t>
        </r>
      </text>
    </comment>
    <comment ref="SZ229" authorId="1" shapeId="0" xr:uid="{969EA016-23F9-44FC-8168-5B29058027F1}">
      <text>
        <r>
          <rPr>
            <b/>
            <sz val="26"/>
            <color indexed="81"/>
            <rFont val="細明體"/>
            <family val="3"/>
            <charset val="136"/>
          </rPr>
          <t>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 </t>
        </r>
        <r>
          <rPr>
            <b/>
            <sz val="26"/>
            <color indexed="81"/>
            <rFont val="細明體"/>
            <family val="3"/>
            <charset val="136"/>
          </rPr>
          <t xml:space="preserve">建線*30
 QC 測試*100
</t>
        </r>
      </text>
    </comment>
    <comment ref="TE229" authorId="1" shapeId="0" xr:uid="{3E3CF485-DB88-4E32-A030-1DD7ABA2CB2E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3/24~3/26 連續安排3天生產</t>
        </r>
      </text>
    </comment>
    <comment ref="TF229" authorId="1" shapeId="0" xr:uid="{2CA091A9-19E8-45EA-BE42-6577EEF550D1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</t>
        </r>
      </text>
    </comment>
    <comment ref="TG229" authorId="1" shapeId="0" xr:uid="{7947806D-AE11-4083-830B-18A3669A1D26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3/26~3/30 連續安排3天生產</t>
        </r>
      </text>
    </comment>
    <comment ref="TH229" authorId="1" shapeId="0" xr:uid="{A5ED1F62-313C-44E6-8B63-DE38C15EAA32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3/26~3/30 連續安排3天生產</t>
        </r>
      </text>
    </comment>
    <comment ref="TL229" authorId="1" shapeId="0" xr:uid="{AF0F1952-5C5D-4A59-8B3F-547CD70F374F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3/26~3/30 連續安排3天生產</t>
        </r>
      </text>
    </comment>
    <comment ref="VN229" authorId="1" shapeId="0" xr:uid="{7BAF82F3-385D-4698-8E8F-90CDDC41FC35}">
      <text>
        <r>
          <rPr>
            <b/>
            <sz val="30"/>
            <color indexed="81"/>
            <rFont val="細明體"/>
            <family val="3"/>
            <charset val="136"/>
          </rPr>
          <t>費用型工單掛</t>
        </r>
        <r>
          <rPr>
            <b/>
            <sz val="30"/>
            <color indexed="81"/>
            <rFont val="Tahoma"/>
            <family val="2"/>
          </rPr>
          <t xml:space="preserve">RD
</t>
        </r>
        <r>
          <rPr>
            <b/>
            <sz val="30"/>
            <color indexed="81"/>
            <rFont val="細明體"/>
            <family val="3"/>
            <charset val="136"/>
          </rPr>
          <t>生產</t>
        </r>
        <r>
          <rPr>
            <b/>
            <sz val="30"/>
            <color indexed="81"/>
            <rFont val="Tahoma"/>
            <family val="2"/>
          </rPr>
          <t>COAG
2</t>
        </r>
        <r>
          <rPr>
            <b/>
            <sz val="30"/>
            <color indexed="81"/>
            <rFont val="細明體"/>
            <family val="3"/>
            <charset val="136"/>
          </rPr>
          <t xml:space="preserve">批建線
</t>
        </r>
        <r>
          <rPr>
            <b/>
            <sz val="30"/>
            <color indexed="81"/>
            <rFont val="Tahoma"/>
            <family val="2"/>
          </rPr>
          <t>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>2000
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 xml:space="preserve">1000
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 + 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
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 xml:space="preserve">*100 +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>*100</t>
        </r>
      </text>
    </comment>
    <comment ref="VS229" authorId="1" shapeId="0" xr:uid="{30BE5527-258C-45C0-8191-97266434EDC0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DQE*500
</t>
        </r>
        <r>
          <rPr>
            <b/>
            <sz val="22"/>
            <color indexed="81"/>
            <rFont val="細明體"/>
            <family val="3"/>
            <charset val="136"/>
          </rPr>
          <t>留樣*100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VT229" authorId="1" shapeId="0" xr:uid="{AC9CD76B-6B30-4092-8EB7-33B3952ECF10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 DQE*500
 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b/>
            <sz val="22"/>
            <color indexed="81"/>
            <rFont val="細明體"/>
            <family val="3"/>
            <charset val="136"/>
          </rPr>
          <t>凝血卡匣</t>
        </r>
        <r>
          <rPr>
            <b/>
            <sz val="22"/>
            <color indexed="81"/>
            <rFont val="Tahoma"/>
            <family val="2"/>
          </rPr>
          <t>:3000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VU229" authorId="1" shapeId="0" xr:uid="{93267252-52BF-422B-A9E0-A0741F508594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 DQE*500
 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b/>
            <sz val="22"/>
            <color indexed="81"/>
            <rFont val="細明體"/>
            <family val="3"/>
            <charset val="136"/>
          </rPr>
          <t>凝血卡匣</t>
        </r>
        <r>
          <rPr>
            <b/>
            <sz val="22"/>
            <color indexed="81"/>
            <rFont val="Tahoma"/>
            <family val="2"/>
          </rPr>
          <t>:3000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RZ230" authorId="1" shapeId="0" xr:uid="{3DB10BA3-18E6-452F-AA1A-97BB3275754B}">
      <text>
        <r>
          <rPr>
            <b/>
            <sz val="20"/>
            <color indexed="81"/>
            <rFont val="新細明體"/>
            <family val="1"/>
            <charset val="136"/>
          </rPr>
          <t xml:space="preserve">費用型工單
2/26 建線 各30片
3/3   包裝
</t>
        </r>
      </text>
    </comment>
    <comment ref="TG230" authorId="1" shapeId="0" xr:uid="{1526EB3C-085E-4790-B489-763348B47E2F}">
      <text>
        <r>
          <rPr>
            <sz val="48"/>
            <color indexed="81"/>
            <rFont val="Tahoma"/>
            <family val="2"/>
          </rPr>
          <t xml:space="preserve">EN: 3794
RD </t>
        </r>
        <r>
          <rPr>
            <sz val="48"/>
            <color indexed="81"/>
            <rFont val="細明體"/>
            <family val="3"/>
            <charset val="136"/>
          </rPr>
          <t>建線 30
QC*100
修模前卡匣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H230" authorId="1" shapeId="0" xr:uid="{32156C79-3E7E-48DB-982D-6CE09BECF06B}">
      <text>
        <r>
          <rPr>
            <sz val="48"/>
            <color indexed="81"/>
            <rFont val="Tahoma"/>
            <family val="2"/>
          </rPr>
          <t xml:space="preserve">EN: 3794
RD </t>
        </r>
        <r>
          <rPr>
            <sz val="48"/>
            <color indexed="81"/>
            <rFont val="細明體"/>
            <family val="3"/>
            <charset val="136"/>
          </rPr>
          <t>建線 30
QC*100
修模前卡匣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I230" authorId="1" shapeId="0" xr:uid="{D2F4AE71-1DF8-4F6B-9681-BA329DD4E5C4}">
      <text>
        <r>
          <rPr>
            <sz val="48"/>
            <color indexed="81"/>
            <rFont val="Tahoma"/>
            <family val="2"/>
          </rPr>
          <t xml:space="preserve">EN: 3794
RD </t>
        </r>
        <r>
          <rPr>
            <sz val="48"/>
            <color indexed="81"/>
            <rFont val="細明體"/>
            <family val="3"/>
            <charset val="136"/>
          </rPr>
          <t>建線 30
QC*100
修模前卡匣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M230" authorId="1" shapeId="0" xr:uid="{E99ED407-B57B-422B-9D4A-DEA940B6E793}">
      <text>
        <r>
          <rPr>
            <sz val="36"/>
            <color indexed="81"/>
            <rFont val="Tahoma"/>
            <family val="2"/>
          </rPr>
          <t xml:space="preserve"> EN:3794
C1 </t>
        </r>
        <r>
          <rPr>
            <sz val="36"/>
            <color indexed="81"/>
            <rFont val="細明體"/>
            <family val="3"/>
            <charset val="136"/>
          </rPr>
          <t>卡匣
費用型工單掛</t>
        </r>
        <r>
          <rPr>
            <sz val="36"/>
            <color indexed="81"/>
            <rFont val="Tahoma"/>
            <family val="2"/>
          </rPr>
          <t xml:space="preserve">RD
</t>
        </r>
        <r>
          <rPr>
            <sz val="36"/>
            <color indexed="81"/>
            <rFont val="細明體"/>
            <family val="3"/>
            <charset val="136"/>
          </rPr>
          <t>生產</t>
        </r>
        <r>
          <rPr>
            <sz val="36"/>
            <color indexed="81"/>
            <rFont val="Tahoma"/>
            <family val="2"/>
          </rPr>
          <t xml:space="preserve">UPC
DQE*500  </t>
        </r>
        <r>
          <rPr>
            <sz val="36"/>
            <color indexed="81"/>
            <rFont val="細明體"/>
            <family val="3"/>
            <charset val="136"/>
          </rPr>
          <t>單片包裝</t>
        </r>
        <r>
          <rPr>
            <sz val="36"/>
            <color indexed="81"/>
            <rFont val="Tahoma"/>
            <family val="2"/>
          </rPr>
          <t xml:space="preserve">
RD*350    </t>
        </r>
        <r>
          <rPr>
            <sz val="36"/>
            <color indexed="81"/>
            <rFont val="細明體"/>
            <family val="3"/>
            <charset val="136"/>
          </rPr>
          <t xml:space="preserve">單片包裝
出貨*200
</t>
        </r>
        <r>
          <rPr>
            <b/>
            <sz val="36"/>
            <color indexed="81"/>
            <rFont val="細明體"/>
            <family val="3"/>
            <charset val="136"/>
          </rPr>
          <t>藥量不足，把藥投完即可。</t>
        </r>
        <r>
          <rPr>
            <sz val="36"/>
            <color indexed="81"/>
            <rFont val="細明體"/>
            <family val="3"/>
            <charset val="136"/>
          </rPr>
          <t xml:space="preserve">
卡匣需求</t>
        </r>
        <r>
          <rPr>
            <sz val="36"/>
            <color indexed="81"/>
            <rFont val="Tahoma"/>
            <family val="2"/>
          </rPr>
          <t xml:space="preserve"> 1000
</t>
        </r>
        <r>
          <rPr>
            <sz val="36"/>
            <color indexed="81"/>
            <rFont val="細明體"/>
            <family val="3"/>
            <charset val="136"/>
          </rPr>
          <t>修模後卡匣</t>
        </r>
      </text>
    </comment>
    <comment ref="UM230" authorId="1" shapeId="0" xr:uid="{253DAE8B-5F14-42D5-978B-54BB12DEBC73}">
      <text>
        <r>
          <rPr>
            <sz val="48"/>
            <color indexed="81"/>
            <rFont val="Tahoma"/>
            <family val="2"/>
          </rPr>
          <t xml:space="preserve">
RD </t>
        </r>
        <r>
          <rPr>
            <sz val="48"/>
            <color indexed="81"/>
            <rFont val="細明體"/>
            <family val="3"/>
            <charset val="136"/>
          </rPr>
          <t xml:space="preserve">建線 30
QC*100
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US230" authorId="1" shapeId="0" xr:uid="{CB0C3E1A-F9B2-4C97-A785-AE53809073B3}">
      <text>
        <r>
          <rPr>
            <b/>
            <sz val="26"/>
            <color indexed="81"/>
            <rFont val="細明體"/>
            <family val="3"/>
            <charset val="136"/>
          </rPr>
          <t>上海 出貨 100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國內:100</t>
        </r>
      </text>
    </comment>
    <comment ref="TW232" authorId="1" shapeId="0" xr:uid="{6B9A5880-75EF-4B2A-99DC-518D3390ABFE}">
      <text>
        <r>
          <rPr>
            <sz val="22"/>
            <color indexed="81"/>
            <rFont val="Tahoma"/>
            <family val="2"/>
          </rPr>
          <t>EN: 3812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>*175
QC*100</t>
        </r>
      </text>
    </comment>
    <comment ref="UC232" authorId="1" shapeId="0" xr:uid="{02A7B68A-70D1-4D48-AD0C-873CFAF79585}">
      <text>
        <r>
          <rPr>
            <b/>
            <sz val="26"/>
            <color indexed="81"/>
            <rFont val="Tahoma"/>
            <family val="2"/>
          </rPr>
          <t xml:space="preserve">EN: 3812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ST1
DQE: 500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卡匣需求790</t>
        </r>
      </text>
    </comment>
    <comment ref="UV232" authorId="1" shapeId="0" xr:uid="{70F8F5C1-FBD8-4F42-81F1-F22B30437F4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VK232" authorId="1" shapeId="0" xr:uid="{D3A7BE23-CB65-416C-AEFD-AC2666E6F298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
條碼標籤用 ELISA 標籤</t>
        </r>
      </text>
    </comment>
    <comment ref="WK232" authorId="1" shapeId="0" xr:uid="{88321CB8-CA72-47DB-981E-76E6D266ACF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XI232" authorId="1" shapeId="0" xr:uid="{3EC1997D-8028-4E43-A41E-A56758222A01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XK232" authorId="1" shapeId="0" xr:uid="{F816B931-2A2C-4C2F-971D-289424BE8A0F}">
      <text>
        <r>
          <rPr>
            <sz val="30"/>
            <color indexed="81"/>
            <rFont val="細明體"/>
            <family val="3"/>
            <charset val="136"/>
          </rPr>
          <t>留樣*50
出貨*70</t>
        </r>
      </text>
    </comment>
    <comment ref="VV233" authorId="1" shapeId="0" xr:uid="{50BE3299-E646-4B1F-9314-389DB0E98FE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3" authorId="1" shapeId="0" xr:uid="{479CEA73-7274-41A3-A1AE-73EB2302CFDD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出貨*80</t>
        </r>
      </text>
    </comment>
    <comment ref="TX234" authorId="1" shapeId="0" xr:uid="{24E1933F-2EAA-4521-8FA0-6FD8AD7A507C}">
      <text>
        <r>
          <rPr>
            <sz val="22"/>
            <color indexed="81"/>
            <rFont val="Tahoma"/>
            <family val="2"/>
          </rPr>
          <t>EN: 3812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QC*100
</t>
        </r>
        <r>
          <rPr>
            <sz val="22"/>
            <color indexed="81"/>
            <rFont val="細明體"/>
            <family val="3"/>
            <charset val="136"/>
          </rPr>
          <t>重新生產，</t>
        </r>
        <r>
          <rPr>
            <sz val="22"/>
            <color indexed="81"/>
            <rFont val="Tahoma"/>
            <family val="2"/>
          </rPr>
          <t xml:space="preserve">LAC </t>
        </r>
        <r>
          <rPr>
            <sz val="22"/>
            <color indexed="81"/>
            <rFont val="細明體"/>
            <family val="3"/>
            <charset val="136"/>
          </rPr>
          <t>填錯藥</t>
        </r>
      </text>
    </comment>
    <comment ref="TY234" authorId="1" shapeId="0" xr:uid="{1992104F-F18E-4D7B-AE7C-9C814AF3FB81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ST3
DQE: 140 </t>
        </r>
        <r>
          <rPr>
            <b/>
            <sz val="26"/>
            <color indexed="81"/>
            <rFont val="細明體"/>
            <family val="3"/>
            <charset val="136"/>
          </rPr>
          <t>單片包裝
RD:200 單片包裝
卡匣需求490
修模後卡匣</t>
        </r>
      </text>
    </comment>
    <comment ref="UD234" authorId="1" shapeId="0" xr:uid="{F92F0A25-CD8F-4C50-B466-A6A41F4D26AA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ST3
DQE: 140 </t>
        </r>
        <r>
          <rPr>
            <b/>
            <sz val="26"/>
            <color indexed="81"/>
            <rFont val="細明體"/>
            <family val="3"/>
            <charset val="136"/>
          </rPr>
          <t>單片包裝
RD:200 單片包裝
卡匣需求490
修模後卡匣</t>
        </r>
      </text>
    </comment>
    <comment ref="US234" authorId="1" shapeId="0" xr:uid="{5841E181-BE71-4C79-982A-8DA38D07EEC3}">
      <text>
        <r>
          <rPr>
            <sz val="22"/>
            <color indexed="81"/>
            <rFont val="Tahoma"/>
            <family val="2"/>
          </rPr>
          <t>EN: 3812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QC*100
</t>
        </r>
        <r>
          <rPr>
            <sz val="22"/>
            <color indexed="81"/>
            <rFont val="細明體"/>
            <family val="3"/>
            <charset val="136"/>
          </rPr>
          <t>重新生產，</t>
        </r>
        <r>
          <rPr>
            <sz val="22"/>
            <color indexed="81"/>
            <rFont val="Tahoma"/>
            <family val="2"/>
          </rPr>
          <t xml:space="preserve">LAC </t>
        </r>
        <r>
          <rPr>
            <sz val="22"/>
            <color indexed="81"/>
            <rFont val="細明體"/>
            <family val="3"/>
            <charset val="136"/>
          </rPr>
          <t>填錯藥</t>
        </r>
      </text>
    </comment>
    <comment ref="UT234" authorId="1" shapeId="0" xr:uid="{0AC91015-42B6-4B2A-9AFC-FC706F1434CA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ST3
DQE: 140 </t>
        </r>
        <r>
          <rPr>
            <b/>
            <sz val="26"/>
            <color indexed="81"/>
            <rFont val="細明體"/>
            <family val="3"/>
            <charset val="136"/>
          </rPr>
          <t>單片包裝
RD:200 單片包裝
卡匣需求490
修模後卡匣</t>
        </r>
      </text>
    </comment>
    <comment ref="VV234" authorId="1" shapeId="0" xr:uid="{983FAC43-D891-463A-85CB-0F5F298BAE82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4" authorId="1" shapeId="0" xr:uid="{C2F213DA-25EF-426F-9504-658B9790BB17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出貨*60</t>
        </r>
      </text>
    </comment>
    <comment ref="VV235" authorId="1" shapeId="0" xr:uid="{823DC241-ADB9-487E-A4EC-C8112F2F1906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5" authorId="1" shapeId="0" xr:uid="{741BC8A5-6D3F-4127-9D55-A30D67146B32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出貨*60</t>
        </r>
      </text>
    </comment>
    <comment ref="UV236" authorId="1" shapeId="0" xr:uid="{475BD279-A3F4-4030-AEAB-A73FEDC368F9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C236" authorId="1" shapeId="0" xr:uid="{F1A85E75-F800-42EA-9C55-15AA9D87F524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V238" authorId="1" shapeId="0" xr:uid="{C6020AF8-3DDF-4031-A7FC-D74ABF493B24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8" authorId="1" shapeId="0" xr:uid="{A91CAA71-D8F8-4D4D-A954-699783990B90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出貨*140</t>
        </r>
      </text>
    </comment>
    <comment ref="SR239" authorId="1" shapeId="0" xr:uid="{0CE8581C-10F9-4CBB-9C11-683E70731EC3}">
      <text>
        <r>
          <rPr>
            <b/>
            <sz val="48"/>
            <color indexed="81"/>
            <rFont val="新細明體"/>
            <family val="1"/>
            <charset val="136"/>
            <scheme val="minor"/>
          </rPr>
          <t>EN: 3808
 C2 卡匣 1模四穴，每穴120片 共480
 C3 卡匣 1模四穴，每穴120片 共480
 C4 卡匣 1模四穴，每穴120片 共480</t>
        </r>
        <r>
          <rPr>
            <b/>
            <sz val="48"/>
            <color indexed="81"/>
            <rFont val="細明體"/>
            <family val="3"/>
            <charset val="136"/>
          </rPr>
          <t xml:space="preserve">
</t>
        </r>
        <r>
          <rPr>
            <b/>
            <sz val="48"/>
            <color indexed="81"/>
            <rFont val="Tahoma"/>
            <family val="2"/>
          </rPr>
          <t xml:space="preserve">
</t>
        </r>
        <r>
          <rPr>
            <b/>
            <sz val="48"/>
            <color indexed="81"/>
            <rFont val="新細明體"/>
            <family val="1"/>
            <charset val="136"/>
          </rPr>
          <t>Tutti Bio Disk Body C2 C3 C4試填驗證超音波與填藥測試cv
1.產線依以下到料日後安排產線試填，並交給Gary驗證超音波確認流速與Well體積是否適當判讀。
卡匣種類 名稱 料號 備註 外觀顏色 廠商 預計進料數量 預計進料日期
生化卡匣 Tutti-Bio-Disk-Body-C1 7B00000379H-A 透明 詠豪科技 4000 2026/3/5寄出;
生化卡匣 Tutti-Bio-Disk-Body-C2 7B00000394H-A 透明 詠豪科技 4000 2026/3/6寄出;
生化卡匣 Tutti-Bio-Disk-Body-C3 7B00000395H-A 透明 詠豪科技 4000 2026/3/9寄出;</t>
        </r>
      </text>
    </comment>
    <comment ref="SY239" authorId="1" shapeId="0" xr:uid="{F9B717A9-D13A-48C6-A523-B5B8275EF1C9}">
      <text>
        <r>
          <rPr>
            <b/>
            <sz val="26"/>
            <color indexed="81"/>
            <rFont val="Tahoma"/>
            <family val="2"/>
          </rPr>
          <t>EN: 3821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Tutti-ELISA RSB1 </t>
        </r>
        <r>
          <rPr>
            <b/>
            <sz val="26"/>
            <color indexed="81"/>
            <rFont val="細明體"/>
            <family val="3"/>
            <charset val="136"/>
          </rPr>
          <t>填藥</t>
        </r>
        <r>
          <rPr>
            <b/>
            <sz val="26"/>
            <color indexed="81"/>
            <rFont val="Tahoma"/>
            <family val="2"/>
          </rPr>
          <t xml:space="preserve"> 1500 + 1000 pics </t>
        </r>
        <r>
          <rPr>
            <b/>
            <sz val="26"/>
            <color indexed="81"/>
            <rFont val="細明體"/>
            <family val="3"/>
            <charset val="136"/>
          </rPr>
          <t>供</t>
        </r>
        <r>
          <rPr>
            <b/>
            <sz val="26"/>
            <color indexed="81"/>
            <rFont val="Tahoma"/>
            <family val="2"/>
          </rPr>
          <t xml:space="preserve"> Tutti-ELISA </t>
        </r>
        <r>
          <rPr>
            <b/>
            <sz val="26"/>
            <color indexed="81"/>
            <rFont val="細明體"/>
            <family val="3"/>
            <charset val="136"/>
          </rPr>
          <t>六項後續驗證使用</t>
        </r>
        <r>
          <rPr>
            <b/>
            <sz val="26"/>
            <color indexed="81"/>
            <rFont val="Tahoma"/>
            <family val="2"/>
          </rPr>
          <t xml:space="preserve"> (</t>
        </r>
        <r>
          <rPr>
            <b/>
            <sz val="26"/>
            <color indexed="81"/>
            <rFont val="細明體"/>
            <family val="3"/>
            <charset val="136"/>
          </rPr>
          <t>兩種規格</t>
        </r>
        <r>
          <rPr>
            <b/>
            <sz val="26"/>
            <color indexed="81"/>
            <rFont val="Tahoma"/>
            <family val="2"/>
          </rPr>
          <t xml:space="preserve">)
</t>
        </r>
        <r>
          <rPr>
            <b/>
            <sz val="26"/>
            <color indexed="81"/>
            <rFont val="細明體"/>
            <family val="3"/>
            <charset val="136"/>
          </rPr>
          <t>生產需求</t>
        </r>
        <r>
          <rPr>
            <b/>
            <sz val="26"/>
            <color indexed="81"/>
            <rFont val="Tahoma"/>
            <family val="2"/>
          </rPr>
          <t xml:space="preserve">: 
</t>
        </r>
        <r>
          <rPr>
            <b/>
            <sz val="26"/>
            <color indexed="81"/>
            <rFont val="細明體"/>
            <family val="3"/>
            <charset val="136"/>
          </rPr>
          <t>規格一</t>
        </r>
        <r>
          <rPr>
            <b/>
            <sz val="26"/>
            <color indexed="81"/>
            <rFont val="Tahoma"/>
            <family val="2"/>
          </rPr>
          <t xml:space="preserve">_40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1
</t>
        </r>
        <r>
          <rPr>
            <b/>
            <sz val="26"/>
            <color indexed="81"/>
            <rFont val="細明體"/>
            <family val="3"/>
            <charset val="136"/>
          </rPr>
          <t>規格二</t>
        </r>
        <r>
          <rPr>
            <b/>
            <sz val="26"/>
            <color indexed="81"/>
            <rFont val="Tahoma"/>
            <family val="2"/>
          </rPr>
          <t xml:space="preserve">_60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2
</t>
        </r>
        <r>
          <rPr>
            <b/>
            <sz val="26"/>
            <color indexed="81"/>
            <rFont val="細明體"/>
            <family val="3"/>
            <charset val="136"/>
          </rPr>
          <t>兩種</t>
        </r>
        <r>
          <rPr>
            <b/>
            <sz val="26"/>
            <color indexed="81"/>
            <rFont val="Tahoma"/>
            <family val="2"/>
          </rPr>
          <t xml:space="preserve"> buffer </t>
        </r>
        <r>
          <rPr>
            <b/>
            <sz val="26"/>
            <color indexed="81"/>
            <rFont val="細明體"/>
            <family val="3"/>
            <charset val="136"/>
          </rPr>
          <t xml:space="preserve">不同，建議生產安排不同天
</t>
        </r>
        <r>
          <rPr>
            <b/>
            <sz val="26"/>
            <color indexed="81"/>
            <rFont val="Tahoma"/>
            <family val="2"/>
          </rPr>
          <t xml:space="preserve">RSB </t>
        </r>
        <r>
          <rPr>
            <b/>
            <sz val="26"/>
            <color indexed="81"/>
            <rFont val="細明體"/>
            <family val="3"/>
            <charset val="136"/>
          </rPr>
          <t>滅菌烘乾</t>
        </r>
        <r>
          <rPr>
            <b/>
            <sz val="26"/>
            <color indexed="81"/>
            <rFont val="Tahoma"/>
            <family val="2"/>
          </rPr>
          <t xml:space="preserve"> RD</t>
        </r>
        <r>
          <rPr>
            <b/>
            <sz val="26"/>
            <color indexed="81"/>
            <rFont val="細明體"/>
            <family val="3"/>
            <charset val="136"/>
          </rPr>
          <t xml:space="preserve">會先進行
</t>
        </r>
      </text>
    </comment>
    <comment ref="SZ239" authorId="1" shapeId="0" xr:uid="{9A55C6C6-D30C-4030-9948-F88A4BE4084F}">
      <text>
        <r>
          <rPr>
            <b/>
            <sz val="26"/>
            <color indexed="81"/>
            <rFont val="Tahoma"/>
            <family val="2"/>
          </rPr>
          <t>EN: 3821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Tutti-ELISA RSB1 </t>
        </r>
        <r>
          <rPr>
            <b/>
            <sz val="26"/>
            <color indexed="81"/>
            <rFont val="細明體"/>
            <family val="3"/>
            <charset val="136"/>
          </rPr>
          <t>填藥</t>
        </r>
        <r>
          <rPr>
            <b/>
            <sz val="26"/>
            <color indexed="81"/>
            <rFont val="Tahoma"/>
            <family val="2"/>
          </rPr>
          <t xml:space="preserve"> 1500 + 1000 pics </t>
        </r>
        <r>
          <rPr>
            <b/>
            <sz val="26"/>
            <color indexed="81"/>
            <rFont val="細明體"/>
            <family val="3"/>
            <charset val="136"/>
          </rPr>
          <t>供</t>
        </r>
        <r>
          <rPr>
            <b/>
            <sz val="26"/>
            <color indexed="81"/>
            <rFont val="Tahoma"/>
            <family val="2"/>
          </rPr>
          <t xml:space="preserve"> Tutti-ELISA </t>
        </r>
        <r>
          <rPr>
            <b/>
            <sz val="26"/>
            <color indexed="81"/>
            <rFont val="細明體"/>
            <family val="3"/>
            <charset val="136"/>
          </rPr>
          <t>六項後續驗證使用</t>
        </r>
        <r>
          <rPr>
            <b/>
            <sz val="26"/>
            <color indexed="81"/>
            <rFont val="Tahoma"/>
            <family val="2"/>
          </rPr>
          <t xml:space="preserve"> (</t>
        </r>
        <r>
          <rPr>
            <b/>
            <sz val="26"/>
            <color indexed="81"/>
            <rFont val="細明體"/>
            <family val="3"/>
            <charset val="136"/>
          </rPr>
          <t>兩種規格</t>
        </r>
        <r>
          <rPr>
            <b/>
            <sz val="26"/>
            <color indexed="81"/>
            <rFont val="Tahoma"/>
            <family val="2"/>
          </rPr>
          <t xml:space="preserve">)
</t>
        </r>
        <r>
          <rPr>
            <b/>
            <sz val="26"/>
            <color indexed="81"/>
            <rFont val="細明體"/>
            <family val="3"/>
            <charset val="136"/>
          </rPr>
          <t>生產需求</t>
        </r>
        <r>
          <rPr>
            <b/>
            <sz val="26"/>
            <color indexed="81"/>
            <rFont val="Tahoma"/>
            <family val="2"/>
          </rPr>
          <t xml:space="preserve">: 
</t>
        </r>
        <r>
          <rPr>
            <b/>
            <sz val="26"/>
            <color indexed="81"/>
            <rFont val="細明體"/>
            <family val="3"/>
            <charset val="136"/>
          </rPr>
          <t>規格一</t>
        </r>
        <r>
          <rPr>
            <b/>
            <sz val="26"/>
            <color indexed="81"/>
            <rFont val="Tahoma"/>
            <family val="2"/>
          </rPr>
          <t xml:space="preserve">_40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1
</t>
        </r>
        <r>
          <rPr>
            <b/>
            <sz val="26"/>
            <color indexed="81"/>
            <rFont val="細明體"/>
            <family val="3"/>
            <charset val="136"/>
          </rPr>
          <t>規格二</t>
        </r>
        <r>
          <rPr>
            <b/>
            <sz val="26"/>
            <color indexed="81"/>
            <rFont val="Tahoma"/>
            <family val="2"/>
          </rPr>
          <t xml:space="preserve">_60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2
</t>
        </r>
        <r>
          <rPr>
            <b/>
            <sz val="26"/>
            <color indexed="81"/>
            <rFont val="細明體"/>
            <family val="3"/>
            <charset val="136"/>
          </rPr>
          <t>兩種</t>
        </r>
        <r>
          <rPr>
            <b/>
            <sz val="26"/>
            <color indexed="81"/>
            <rFont val="Tahoma"/>
            <family val="2"/>
          </rPr>
          <t xml:space="preserve"> buffer </t>
        </r>
        <r>
          <rPr>
            <b/>
            <sz val="26"/>
            <color indexed="81"/>
            <rFont val="細明體"/>
            <family val="3"/>
            <charset val="136"/>
          </rPr>
          <t xml:space="preserve">不同，建議生產安排不同天
</t>
        </r>
        <r>
          <rPr>
            <b/>
            <sz val="26"/>
            <color indexed="81"/>
            <rFont val="Tahoma"/>
            <family val="2"/>
          </rPr>
          <t xml:space="preserve">RSB </t>
        </r>
        <r>
          <rPr>
            <b/>
            <sz val="26"/>
            <color indexed="81"/>
            <rFont val="細明體"/>
            <family val="3"/>
            <charset val="136"/>
          </rPr>
          <t>滅菌烘乾</t>
        </r>
        <r>
          <rPr>
            <b/>
            <sz val="26"/>
            <color indexed="81"/>
            <rFont val="Tahoma"/>
            <family val="2"/>
          </rPr>
          <t xml:space="preserve"> RD</t>
        </r>
        <r>
          <rPr>
            <b/>
            <sz val="26"/>
            <color indexed="81"/>
            <rFont val="細明體"/>
            <family val="3"/>
            <charset val="136"/>
          </rPr>
          <t xml:space="preserve">會先進行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Bonnie PL Chang</author>
  </authors>
  <commentList>
    <comment ref="J3" authorId="0" shapeId="0" xr:uid="{C6E3FC78-A8F1-43D1-B835-F5EBBC890623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L3" authorId="0" shapeId="0" xr:uid="{D825915A-A2CF-4156-AA03-4DE94AD7AFE2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J5" authorId="0" shapeId="0" xr:uid="{1133CE51-FDCA-45D2-8DF7-CEDF50D8015C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L5" authorId="0" shapeId="0" xr:uid="{26E7FE88-9133-4A97-A387-99BFBB319650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J7" authorId="0" shapeId="0" xr:uid="{075082D4-527D-4BD0-B8F1-9BBADBDB9C7E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L7" authorId="0" shapeId="0" xr:uid="{5A057A93-9B97-4BC6-B724-81E9D04E427D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Bonnie PL Chang</author>
  </authors>
  <commentList>
    <comment ref="E7" authorId="0" shapeId="0" xr:uid="{348A7DAD-4E81-454D-ABEC-EF81B3CE4C85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E11" authorId="0" shapeId="0" xr:uid="{660368E0-D1AB-4F02-9836-5F03A91C11CD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</commentList>
</comments>
</file>

<file path=xl/sharedStrings.xml><?xml version="1.0" encoding="utf-8"?>
<sst xmlns="http://schemas.openxmlformats.org/spreadsheetml/2006/main" count="2342" uniqueCount="957">
  <si>
    <t>Description</t>
  </si>
  <si>
    <t>SA-BUN</t>
  </si>
  <si>
    <t>PN</t>
  </si>
  <si>
    <t>SA-CREA</t>
    <phoneticPr fontId="2" type="noConversion"/>
  </si>
  <si>
    <t>Plan</t>
    <phoneticPr fontId="2" type="noConversion"/>
  </si>
  <si>
    <t>Plan TTL</t>
    <phoneticPr fontId="2" type="noConversion"/>
  </si>
  <si>
    <t>Na</t>
    <phoneticPr fontId="2" type="noConversion"/>
  </si>
  <si>
    <t>HB-Liver</t>
    <phoneticPr fontId="2" type="noConversion"/>
  </si>
  <si>
    <t>HB-RENAL</t>
    <phoneticPr fontId="2" type="noConversion"/>
  </si>
  <si>
    <t>HB-Lipid</t>
    <phoneticPr fontId="2" type="noConversion"/>
  </si>
  <si>
    <t>HB - Basic</t>
    <phoneticPr fontId="2" type="noConversion"/>
  </si>
  <si>
    <t>HB-GENERAL</t>
    <phoneticPr fontId="2" type="noConversion"/>
  </si>
  <si>
    <t>SA-TBIL</t>
    <phoneticPr fontId="2" type="noConversion"/>
  </si>
  <si>
    <t>HB-ER Panel</t>
    <phoneticPr fontId="2" type="noConversion"/>
  </si>
  <si>
    <t>VB-Renal</t>
    <phoneticPr fontId="2" type="noConversion"/>
  </si>
  <si>
    <t>Thyroid/T4</t>
    <phoneticPr fontId="2" type="noConversion"/>
  </si>
  <si>
    <t>SA-CPK+AST</t>
    <phoneticPr fontId="2" type="noConversion"/>
  </si>
  <si>
    <t>SA-ALB+TP</t>
    <phoneticPr fontId="2" type="noConversion"/>
  </si>
  <si>
    <t>SA-ALP+ALT</t>
    <phoneticPr fontId="2" type="noConversion"/>
  </si>
  <si>
    <t>HB-Metabolic</t>
    <phoneticPr fontId="2" type="noConversion"/>
  </si>
  <si>
    <t>急診生化</t>
    <phoneticPr fontId="2" type="noConversion"/>
  </si>
  <si>
    <t>Large Animal</t>
    <phoneticPr fontId="2" type="noConversion"/>
  </si>
  <si>
    <t>SA-TRIG+CHOL</t>
    <phoneticPr fontId="2" type="noConversion"/>
  </si>
  <si>
    <t>糖脂生化</t>
    <phoneticPr fontId="2" type="noConversion"/>
  </si>
  <si>
    <t>HB - ER II Plus</t>
    <phoneticPr fontId="2" type="noConversion"/>
  </si>
  <si>
    <t>SA-GGT+CPK</t>
    <phoneticPr fontId="2" type="noConversion"/>
  </si>
  <si>
    <t>Avian &amp; Reptile</t>
    <phoneticPr fontId="2" type="noConversion"/>
  </si>
  <si>
    <t>SA-LAC</t>
    <phoneticPr fontId="2" type="noConversion"/>
  </si>
  <si>
    <t>Renal Focus</t>
    <phoneticPr fontId="2" type="noConversion"/>
  </si>
  <si>
    <t>SA-CA+PHOS</t>
    <phoneticPr fontId="2" type="noConversion"/>
  </si>
  <si>
    <t>3621101B01</t>
    <phoneticPr fontId="2" type="noConversion"/>
  </si>
  <si>
    <t>Hi - Lipid Plus</t>
    <phoneticPr fontId="2" type="noConversion"/>
  </si>
  <si>
    <t>Vi - cCRP</t>
    <phoneticPr fontId="2" type="noConversion"/>
  </si>
  <si>
    <t>Vi - fSAA</t>
    <phoneticPr fontId="2" type="noConversion"/>
  </si>
  <si>
    <t>Vi - PHBR</t>
    <phoneticPr fontId="2" type="noConversion"/>
  </si>
  <si>
    <t>Preanesthetic</t>
    <phoneticPr fontId="2" type="noConversion"/>
  </si>
  <si>
    <t>Production Plan_SA-0329</t>
    <phoneticPr fontId="2" type="noConversion"/>
  </si>
  <si>
    <t>Production Plan_Hi/Vi-0329</t>
    <phoneticPr fontId="2" type="noConversion"/>
  </si>
  <si>
    <t>LIPA</t>
    <phoneticPr fontId="2" type="noConversion"/>
  </si>
  <si>
    <t>Diagnosis II</t>
    <phoneticPr fontId="2" type="noConversion"/>
  </si>
  <si>
    <t>電解質六項</t>
    <phoneticPr fontId="2" type="noConversion"/>
  </si>
  <si>
    <t>Critical Care Panel</t>
    <phoneticPr fontId="2" type="noConversion"/>
  </si>
  <si>
    <t>Liver Plus</t>
    <phoneticPr fontId="2" type="noConversion"/>
  </si>
  <si>
    <t>Liap</t>
    <phoneticPr fontId="2" type="noConversion"/>
  </si>
  <si>
    <t>Equine</t>
    <phoneticPr fontId="2" type="noConversion"/>
  </si>
  <si>
    <t>Diagnosis Plus</t>
    <phoneticPr fontId="2" type="noConversion"/>
  </si>
  <si>
    <t>Diabetes Panel</t>
    <phoneticPr fontId="2" type="noConversion"/>
  </si>
  <si>
    <t>VLIPA+AMY</t>
    <phoneticPr fontId="2" type="noConversion"/>
  </si>
  <si>
    <t>3621101B02</t>
    <phoneticPr fontId="2" type="noConversion"/>
  </si>
  <si>
    <t>Hi - CRP  ( Self-testing )</t>
    <phoneticPr fontId="2" type="noConversion"/>
  </si>
  <si>
    <t>Hi - CRP  (Professional )</t>
    <phoneticPr fontId="2" type="noConversion"/>
  </si>
  <si>
    <t>A1C  RSB</t>
    <phoneticPr fontId="2" type="noConversion"/>
  </si>
  <si>
    <t>HB - ER III</t>
    <phoneticPr fontId="2" type="noConversion"/>
  </si>
  <si>
    <t>WK05</t>
    <phoneticPr fontId="2" type="noConversion"/>
  </si>
  <si>
    <t>WK06</t>
    <phoneticPr fontId="2" type="noConversion"/>
  </si>
  <si>
    <t>JAN</t>
    <phoneticPr fontId="2" type="noConversion"/>
  </si>
  <si>
    <t>FEB</t>
    <phoneticPr fontId="2" type="noConversion"/>
  </si>
  <si>
    <t>HB-Liver 印度</t>
    <phoneticPr fontId="2" type="noConversion"/>
  </si>
  <si>
    <t>3630101A01</t>
    <phoneticPr fontId="2" type="noConversion"/>
  </si>
  <si>
    <t>3630101B01</t>
    <phoneticPr fontId="2" type="noConversion"/>
  </si>
  <si>
    <t>Electrolyte</t>
    <phoneticPr fontId="2" type="noConversion"/>
  </si>
  <si>
    <t>SA-UPC (NEW)</t>
    <phoneticPr fontId="2" type="noConversion"/>
  </si>
  <si>
    <t>ELISA 試作 含RSB</t>
    <phoneticPr fontId="2" type="noConversion"/>
  </si>
  <si>
    <t>肝肾功能十一项</t>
    <phoneticPr fontId="2" type="noConversion"/>
  </si>
  <si>
    <t>3621101B04</t>
    <phoneticPr fontId="2" type="noConversion"/>
  </si>
  <si>
    <t>干式生化十項</t>
    <phoneticPr fontId="2" type="noConversion"/>
  </si>
  <si>
    <t>3621101705(繁中)</t>
    <phoneticPr fontId="2" type="noConversion"/>
  </si>
  <si>
    <t>HB-ER Panel
(Menarini  新卡匣，新防溢墊)</t>
    <phoneticPr fontId="2" type="noConversion"/>
  </si>
  <si>
    <t>HB-Liver
(Menarini  新卡匣，新防溢墊)</t>
    <phoneticPr fontId="2" type="noConversion"/>
  </si>
  <si>
    <t>HB-Metabolic
(Menarini  新卡匣，新防溢墊)</t>
    <phoneticPr fontId="2" type="noConversion"/>
  </si>
  <si>
    <t>HB-RENAL
(Menarini  新卡匣，新防溢墊)</t>
    <phoneticPr fontId="2" type="noConversion"/>
  </si>
  <si>
    <t>HB - Basic
(Menarini  新卡匣，新防溢墊)</t>
    <phoneticPr fontId="2" type="noConversion"/>
  </si>
  <si>
    <t>HB - ER II Plus
(Menarini  新卡匣，新防溢墊)</t>
    <phoneticPr fontId="2" type="noConversion"/>
  </si>
  <si>
    <t>HB - ER III
(Menarini  新卡匣，新防溢墊)</t>
    <phoneticPr fontId="2" type="noConversion"/>
  </si>
  <si>
    <t>HB-GENERAL
(Menarini  新卡匣，新防溢墊)</t>
    <phoneticPr fontId="2" type="noConversion"/>
  </si>
  <si>
    <t>HB-Lipid
(Menarini  新卡匣，新防溢墊)</t>
    <phoneticPr fontId="2" type="noConversion"/>
  </si>
  <si>
    <t>Hi - CRP 
(Menarini 新鋁袋 )</t>
    <phoneticPr fontId="2" type="noConversion"/>
  </si>
  <si>
    <t>Lipid Panel PLUS
(Menarini 新鋁袋 )</t>
    <phoneticPr fontId="2" type="noConversion"/>
  </si>
  <si>
    <t>WK04</t>
    <phoneticPr fontId="2" type="noConversion"/>
  </si>
  <si>
    <t>CRP</t>
    <phoneticPr fontId="2" type="noConversion"/>
  </si>
  <si>
    <t>3621101B05</t>
    <phoneticPr fontId="2" type="noConversion"/>
  </si>
  <si>
    <t>WK07</t>
    <phoneticPr fontId="2" type="noConversion"/>
  </si>
  <si>
    <t>WK08</t>
    <phoneticPr fontId="2" type="noConversion"/>
  </si>
  <si>
    <t>WK09</t>
    <phoneticPr fontId="2" type="noConversion"/>
  </si>
  <si>
    <t>WK10</t>
    <phoneticPr fontId="2" type="noConversion"/>
  </si>
  <si>
    <t>MAR</t>
    <phoneticPr fontId="2" type="noConversion"/>
  </si>
  <si>
    <t>3620101F01</t>
    <phoneticPr fontId="2" type="noConversion"/>
  </si>
  <si>
    <t>5712500571V03C0</t>
  </si>
  <si>
    <t>Main Board</t>
    <phoneticPr fontId="2" type="noConversion"/>
  </si>
  <si>
    <t>Loader Module</t>
    <phoneticPr fontId="2" type="noConversion"/>
  </si>
  <si>
    <t>VB Printer Module</t>
    <phoneticPr fontId="2" type="noConversion"/>
  </si>
  <si>
    <t>5712500564V01D0</t>
  </si>
  <si>
    <t>AD/B</t>
    <phoneticPr fontId="2" type="noConversion"/>
  </si>
  <si>
    <t>5712500522V03F0</t>
  </si>
  <si>
    <t>LED/B</t>
    <phoneticPr fontId="2" type="noConversion"/>
  </si>
  <si>
    <t>5712500512V01B0</t>
  </si>
  <si>
    <t>Drive/B</t>
    <phoneticPr fontId="2" type="noConversion"/>
  </si>
  <si>
    <t>5712500663V01B0</t>
  </si>
  <si>
    <t>FRONT/B</t>
    <phoneticPr fontId="2" type="noConversion"/>
  </si>
  <si>
    <t>5712500531V01A0</t>
  </si>
  <si>
    <t>HEATER/B</t>
    <phoneticPr fontId="2" type="noConversion"/>
  </si>
  <si>
    <t>Top Cover Passage</t>
    <phoneticPr fontId="2" type="noConversion"/>
  </si>
  <si>
    <t>Protector</t>
    <phoneticPr fontId="2" type="noConversion"/>
  </si>
  <si>
    <t>5712500581V01D0</t>
  </si>
  <si>
    <t>SWITCH/B</t>
    <phoneticPr fontId="2" type="noConversion"/>
  </si>
  <si>
    <t>5713400541V01A0</t>
    <phoneticPr fontId="2" type="noConversion"/>
  </si>
  <si>
    <t>LCD/B</t>
    <phoneticPr fontId="2" type="noConversion"/>
  </si>
  <si>
    <t>5712500593V01B0</t>
    <phoneticPr fontId="2" type="noConversion"/>
  </si>
  <si>
    <t>Barcode Reader
6866000100</t>
    <phoneticPr fontId="2" type="noConversion"/>
  </si>
  <si>
    <t xml:space="preserve"> a1c Carrier</t>
    <phoneticPr fontId="2" type="noConversion"/>
  </si>
  <si>
    <t xml:space="preserve"> Jide Carrier</t>
    <phoneticPr fontId="2" type="noConversion"/>
  </si>
  <si>
    <t>Vi Carrier</t>
    <phoneticPr fontId="2" type="noConversion"/>
  </si>
  <si>
    <t xml:space="preserve"> HI Panel Module</t>
    <phoneticPr fontId="2" type="noConversion"/>
  </si>
  <si>
    <t>VI Panel Module</t>
    <phoneticPr fontId="2" type="noConversion"/>
  </si>
  <si>
    <t>Bottom Module</t>
    <phoneticPr fontId="2" type="noConversion"/>
  </si>
  <si>
    <t>Printer Module</t>
    <phoneticPr fontId="2" type="noConversion"/>
  </si>
  <si>
    <t>5712500761V01B0</t>
  </si>
  <si>
    <t>5712500809V01A0</t>
  </si>
  <si>
    <t>PRINTER BRIDGE-S</t>
    <phoneticPr fontId="2" type="noConversion"/>
  </si>
  <si>
    <t>5712500741V01A0</t>
  </si>
  <si>
    <t>5712500806V01B0</t>
  </si>
  <si>
    <t>5712500811V01B0</t>
  </si>
  <si>
    <t>UV LED/B</t>
    <phoneticPr fontId="2" type="noConversion"/>
  </si>
  <si>
    <t>5712500810V01A0</t>
  </si>
  <si>
    <t>5712500804V01B0</t>
  </si>
  <si>
    <t>5712500801V01B0</t>
  </si>
  <si>
    <t>ENCODER/B</t>
    <phoneticPr fontId="2" type="noConversion"/>
  </si>
  <si>
    <t>THERMAL  Module</t>
    <phoneticPr fontId="2" type="noConversion"/>
  </si>
  <si>
    <t>5712500808V01B0</t>
  </si>
  <si>
    <t>5712500802V01B0</t>
  </si>
  <si>
    <t>IR/B</t>
    <phoneticPr fontId="2" type="noConversion"/>
  </si>
  <si>
    <t>5712500805V01A0</t>
  </si>
  <si>
    <t>5713400803V01A0</t>
  </si>
  <si>
    <t>5712500593V01B0</t>
  </si>
  <si>
    <t>PRINTER/B</t>
  </si>
  <si>
    <t>5712500807V01A0</t>
  </si>
  <si>
    <t>PRINTER-S/B</t>
    <phoneticPr fontId="2" type="noConversion"/>
  </si>
  <si>
    <t>5712500891V01A0</t>
  </si>
  <si>
    <t>5713400892V01A0</t>
  </si>
  <si>
    <t>LCD /BD</t>
    <phoneticPr fontId="2" type="noConversion"/>
  </si>
  <si>
    <t>Panel Module</t>
    <phoneticPr fontId="2" type="noConversion"/>
  </si>
  <si>
    <t>5712500893V01X0</t>
  </si>
  <si>
    <t>BRIDGE</t>
    <phoneticPr fontId="2" type="noConversion"/>
  </si>
  <si>
    <t>P01</t>
    <phoneticPr fontId="2" type="noConversion"/>
  </si>
  <si>
    <t>A1C</t>
    <phoneticPr fontId="2" type="noConversion"/>
  </si>
  <si>
    <t>P02</t>
    <phoneticPr fontId="2" type="noConversion"/>
  </si>
  <si>
    <r>
      <t>PRINTER/B
(</t>
    </r>
    <r>
      <rPr>
        <sz val="18"/>
        <color theme="1"/>
        <rFont val="細明體"/>
        <family val="3"/>
        <charset val="136"/>
      </rPr>
      <t>共用)</t>
    </r>
    <phoneticPr fontId="2" type="noConversion"/>
  </si>
  <si>
    <t>HB-Loader</t>
  </si>
  <si>
    <t xml:space="preserve">VB-P02-MB DEVICE-STD              </t>
  </si>
  <si>
    <t xml:space="preserve">P01-Device -HB           </t>
  </si>
  <si>
    <t xml:space="preserve">P01-Device -VB           </t>
  </si>
  <si>
    <t>VI-DEVICE</t>
  </si>
  <si>
    <t xml:space="preserve">VI-PANEL-                    </t>
  </si>
  <si>
    <t>HI-DEVICE</t>
    <phoneticPr fontId="2" type="noConversion"/>
  </si>
  <si>
    <t xml:space="preserve">SA CARRIER </t>
    <phoneticPr fontId="2" type="noConversion"/>
  </si>
  <si>
    <t xml:space="preserve">P01 LOADER </t>
    <phoneticPr fontId="2" type="noConversion"/>
  </si>
  <si>
    <t>P02 半品</t>
    <phoneticPr fontId="2" type="noConversion"/>
  </si>
  <si>
    <t>A1C LOADER</t>
    <phoneticPr fontId="2" type="noConversion"/>
  </si>
  <si>
    <t>A1C 半品</t>
    <phoneticPr fontId="2" type="noConversion"/>
  </si>
  <si>
    <t>HB-P02-MB DEVICE-STD-800-001A</t>
  </si>
  <si>
    <t>VB P01 Panel Module</t>
    <phoneticPr fontId="2" type="noConversion"/>
  </si>
  <si>
    <t>HB Printer Module</t>
    <phoneticPr fontId="2" type="noConversion"/>
  </si>
  <si>
    <t>HB P01 Panel Module</t>
    <phoneticPr fontId="2" type="noConversion"/>
  </si>
  <si>
    <t>HB-P02-PANEL-STD</t>
  </si>
  <si>
    <t>HB-P02-MB DEVICE-STD</t>
    <phoneticPr fontId="2" type="noConversion"/>
  </si>
  <si>
    <t>機台組裝</t>
    <phoneticPr fontId="2" type="noConversion"/>
  </si>
  <si>
    <t>HB-P02-PANEL-STD  Module</t>
    <phoneticPr fontId="2" type="noConversion"/>
  </si>
  <si>
    <t>A1C Main Board</t>
    <phoneticPr fontId="2" type="noConversion"/>
  </si>
  <si>
    <t>2020 AP</t>
    <phoneticPr fontId="2" type="noConversion"/>
  </si>
  <si>
    <t>2020 預估生產量</t>
    <phoneticPr fontId="2" type="noConversion"/>
  </si>
  <si>
    <t>2個月庫存</t>
    <phoneticPr fontId="2" type="noConversion"/>
  </si>
  <si>
    <t>生產量</t>
    <phoneticPr fontId="2" type="noConversion"/>
  </si>
  <si>
    <t>Vi-Device</t>
  </si>
  <si>
    <t>VB-Device</t>
  </si>
  <si>
    <t>Hi-Deivce</t>
  </si>
  <si>
    <t>HB-Device</t>
  </si>
  <si>
    <t>Combi-Device</t>
  </si>
  <si>
    <t>合計</t>
    <phoneticPr fontId="2" type="noConversion"/>
  </si>
  <si>
    <t xml:space="preserve">P01 Main board   </t>
  </si>
  <si>
    <t xml:space="preserve">          600 </t>
  </si>
  <si>
    <t>5713400571V03C0</t>
  </si>
  <si>
    <t xml:space="preserve">LED /B                  </t>
  </si>
  <si>
    <t xml:space="preserve">       1,099 </t>
  </si>
  <si>
    <t>5713400522V03F0</t>
  </si>
  <si>
    <t>HB-P01-SMT/LED-STD</t>
  </si>
  <si>
    <t xml:space="preserve">       1,099 </t>
  </si>
  <si>
    <r>
      <t>Driver/B(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 xml:space="preserve">)       </t>
    </r>
  </si>
  <si>
    <t xml:space="preserve">          906 </t>
  </si>
  <si>
    <t>5713400512V01B0</t>
  </si>
  <si>
    <t xml:space="preserve">Driver/B                 </t>
  </si>
  <si>
    <t>Driver/B                 </t>
  </si>
  <si>
    <r>
      <t>AD Module 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 xml:space="preserve">)      </t>
    </r>
  </si>
  <si>
    <t xml:space="preserve">          976 </t>
  </si>
  <si>
    <t>5713400564V01D0</t>
  </si>
  <si>
    <t>HB-P01-SMT/AD-STD</t>
  </si>
  <si>
    <t xml:space="preserve">          976 </t>
  </si>
  <si>
    <r>
      <t>HEATER/B   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 xml:space="preserve">)  </t>
    </r>
  </si>
  <si>
    <t xml:space="preserve">       1,600 </t>
  </si>
  <si>
    <t xml:space="preserve">VB-P02-PCBA/MAIN-STD         </t>
  </si>
  <si>
    <t>5713400891V01A0</t>
  </si>
  <si>
    <t xml:space="preserve">VB-P02-SMT/LCD-STD                  </t>
  </si>
  <si>
    <t xml:space="preserve">          936 </t>
  </si>
  <si>
    <r>
      <t>HB-P01 FRONT/B 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>)  DIP</t>
    </r>
  </si>
  <si>
    <t xml:space="preserve">       1,600 </t>
  </si>
  <si>
    <t>5713400592V01B0</t>
  </si>
  <si>
    <t>HB-P01-SMT/FRONT-STD</t>
  </si>
  <si>
    <t xml:space="preserve">A1C </t>
    <phoneticPr fontId="2" type="noConversion"/>
  </si>
  <si>
    <t>PRINT/B</t>
    <phoneticPr fontId="2" type="noConversion"/>
  </si>
  <si>
    <t>P01 LOADER</t>
    <phoneticPr fontId="2" type="noConversion"/>
  </si>
  <si>
    <t xml:space="preserve">P01 </t>
    <phoneticPr fontId="2" type="noConversion"/>
  </si>
  <si>
    <t>Combi-Device</t>
    <phoneticPr fontId="2" type="noConversion"/>
  </si>
  <si>
    <t>預估打件數</t>
    <phoneticPr fontId="2" type="noConversion"/>
  </si>
  <si>
    <t>1~2 月打件</t>
    <phoneticPr fontId="2" type="noConversion"/>
  </si>
  <si>
    <t>4 月</t>
    <phoneticPr fontId="2" type="noConversion"/>
  </si>
  <si>
    <t>5 月</t>
    <phoneticPr fontId="2" type="noConversion"/>
  </si>
  <si>
    <t>Main</t>
    <phoneticPr fontId="2" type="noConversion"/>
  </si>
  <si>
    <t xml:space="preserve"> </t>
    <phoneticPr fontId="2" type="noConversion"/>
  </si>
  <si>
    <t>HB - ER III
 (for VacuDrop 新卡匣，新防溢墊))</t>
    <phoneticPr fontId="2" type="noConversion"/>
  </si>
  <si>
    <t>Na  LAC</t>
    <phoneticPr fontId="2" type="noConversion"/>
  </si>
  <si>
    <t>HB - ER Panel (for VacuDrop)</t>
    <phoneticPr fontId="2" type="noConversion"/>
  </si>
  <si>
    <t>HB - General Biochemistry Panel (for VacuDrop)</t>
    <phoneticPr fontId="2" type="noConversion"/>
  </si>
  <si>
    <t>HB - Lipid Panel (for VacuDrop)</t>
    <phoneticPr fontId="2" type="noConversion"/>
  </si>
  <si>
    <t>3621101709(摩洛哥)</t>
    <phoneticPr fontId="2" type="noConversion"/>
  </si>
  <si>
    <t>SA-NH3 (簡中)</t>
    <phoneticPr fontId="2" type="noConversion"/>
  </si>
  <si>
    <t>3621101701(國際)</t>
    <phoneticPr fontId="2" type="noConversion"/>
  </si>
  <si>
    <t>3621101704(簡中)</t>
    <phoneticPr fontId="2" type="noConversion"/>
  </si>
  <si>
    <t>Customer</t>
    <phoneticPr fontId="2" type="noConversion"/>
  </si>
  <si>
    <t>通用</t>
    <phoneticPr fontId="2" type="noConversion"/>
  </si>
  <si>
    <t>Prof-通用</t>
    <phoneticPr fontId="2" type="noConversion"/>
  </si>
  <si>
    <t>大陸</t>
    <phoneticPr fontId="2" type="noConversion"/>
  </si>
  <si>
    <t>摩洛哥</t>
    <phoneticPr fontId="2" type="noConversion"/>
  </si>
  <si>
    <t>台灣</t>
    <phoneticPr fontId="2" type="noConversion"/>
  </si>
  <si>
    <t>Self-通用</t>
    <phoneticPr fontId="2" type="noConversion"/>
  </si>
  <si>
    <t>蒙古</t>
    <phoneticPr fontId="2" type="noConversion"/>
  </si>
  <si>
    <t>蒙古
新加玻
Polymed</t>
    <phoneticPr fontId="2" type="noConversion"/>
  </si>
  <si>
    <t>Comifar</t>
    <phoneticPr fontId="2" type="noConversion"/>
  </si>
  <si>
    <t>Menarini</t>
    <phoneticPr fontId="2" type="noConversion"/>
  </si>
  <si>
    <t>A1c (Professional )
 Biorad線  Skyla半標  效期 18個月  Skyla 鋁袋 英文打印</t>
    <phoneticPr fontId="2" type="noConversion"/>
  </si>
  <si>
    <t>A1c (Professional )
Biorad線  Sklay全標  效期 12 個月  Liteon 鋁袋 英文打印</t>
    <phoneticPr fontId="2" type="noConversion"/>
  </si>
  <si>
    <t>A1c (Professional ) 摩洛哥
Biorad線  Skyla半標  效期15 個月  Skyla 鋁袋  英文打印</t>
    <phoneticPr fontId="2" type="noConversion"/>
  </si>
  <si>
    <t>A1c (Professional )
Biorad線  Skyla半標  效期 18個月  Skyla 鋁袋  繁中打印</t>
    <phoneticPr fontId="2" type="noConversion"/>
  </si>
  <si>
    <t>A1c ( Self-testing )
Biorad線  Skyla半標  效期 18個月  Skyla 鋁袋  英文打印  代B</t>
    <phoneticPr fontId="2" type="noConversion"/>
  </si>
  <si>
    <t>REAGENT (A1c) - Italy  代B
 Biorad線  Skyla半標  效期 12個月  Skyla 鋁袋 英文打印  代B</t>
    <phoneticPr fontId="2" type="noConversion"/>
  </si>
  <si>
    <t>REAGENT (A1c)
Biorad線 Menarini半標  效期 18個月 Menarini 鋁袋 英文打印</t>
    <phoneticPr fontId="2" type="noConversion"/>
  </si>
  <si>
    <t>A1c  ( Professional )
Affinion線  Skyla半標  效期 18個月  Skyla 鋁袋 英文打印</t>
    <phoneticPr fontId="2" type="noConversion"/>
  </si>
  <si>
    <t>客戶別</t>
    <phoneticPr fontId="2" type="noConversion"/>
  </si>
  <si>
    <t>產品別</t>
    <phoneticPr fontId="2" type="noConversion"/>
  </si>
  <si>
    <t>RD建線</t>
    <phoneticPr fontId="2" type="noConversion"/>
  </si>
  <si>
    <t>標籤</t>
    <phoneticPr fontId="2" type="noConversion"/>
  </si>
  <si>
    <t>效期
(月)</t>
    <phoneticPr fontId="2" type="noConversion"/>
  </si>
  <si>
    <t>鋁袋</t>
    <phoneticPr fontId="2" type="noConversion"/>
  </si>
  <si>
    <t>鋁袋打印文字</t>
    <phoneticPr fontId="2" type="noConversion"/>
  </si>
  <si>
    <t>Total Description</t>
    <phoneticPr fontId="2" type="noConversion"/>
  </si>
  <si>
    <t>note:</t>
    <phoneticPr fontId="2" type="noConversion"/>
  </si>
  <si>
    <t>RSB</t>
    <phoneticPr fontId="2" type="noConversion"/>
  </si>
  <si>
    <t>N/A</t>
    <phoneticPr fontId="2" type="noConversion"/>
  </si>
  <si>
    <t>Professional</t>
    <phoneticPr fontId="2" type="noConversion"/>
  </si>
  <si>
    <t>Biorad</t>
    <phoneticPr fontId="2" type="noConversion"/>
  </si>
  <si>
    <t>Skyla半標</t>
    <phoneticPr fontId="2" type="noConversion"/>
  </si>
  <si>
    <t>Skyla</t>
    <phoneticPr fontId="2" type="noConversion"/>
  </si>
  <si>
    <t>英文</t>
    <phoneticPr fontId="2" type="noConversion"/>
  </si>
  <si>
    <t>A1c (Professional )  Biorad線  Skyla半標  效期 18個月  Skyla 鋁袋 英文打印</t>
    <phoneticPr fontId="2" type="noConversion"/>
  </si>
  <si>
    <t>(國際)</t>
    <phoneticPr fontId="2" type="noConversion"/>
  </si>
  <si>
    <t>Sklay全標</t>
    <phoneticPr fontId="2" type="noConversion"/>
  </si>
  <si>
    <t>Liteon</t>
    <phoneticPr fontId="2" type="noConversion"/>
  </si>
  <si>
    <t>A1c (Professional ) Biorad線  Sklay全標  效期 12 個月  Liteon 鋁袋 英文打印</t>
    <phoneticPr fontId="2" type="noConversion"/>
  </si>
  <si>
    <t>(簡中)</t>
    <phoneticPr fontId="2" type="noConversion"/>
  </si>
  <si>
    <t>A1c (Professional ) Biorad線  Skyla半標  效期15 個月  Skyla 鋁袋  英文打印</t>
    <phoneticPr fontId="2" type="noConversion"/>
  </si>
  <si>
    <t>(摩洛哥)</t>
    <phoneticPr fontId="2" type="noConversion"/>
  </si>
  <si>
    <t>繁中</t>
    <phoneticPr fontId="2" type="noConversion"/>
  </si>
  <si>
    <t>A1c (Professional ) Biorad線  Skyla半標  效期 18個月  Skyla 鋁袋  繁中打印</t>
    <phoneticPr fontId="2" type="noConversion"/>
  </si>
  <si>
    <t>(繁中)</t>
    <phoneticPr fontId="2" type="noConversion"/>
  </si>
  <si>
    <t>Self-testing</t>
    <phoneticPr fontId="2" type="noConversion"/>
  </si>
  <si>
    <t>A1c ( Self-testing ) Biorad線  Skyla半標  效期 18個月  Skyla 鋁袋  英文打印  代B</t>
    <phoneticPr fontId="2" type="noConversion"/>
  </si>
  <si>
    <t>Affinion</t>
    <phoneticPr fontId="2" type="noConversion"/>
  </si>
  <si>
    <t>A1c ( Professional ) Affinion線  Skyla半標  效期 18個月  Skyla 鋁袋 英文打印</t>
    <phoneticPr fontId="2" type="noConversion"/>
  </si>
  <si>
    <t>新加玻</t>
    <phoneticPr fontId="2" type="noConversion"/>
  </si>
  <si>
    <t>Polymed</t>
    <phoneticPr fontId="2" type="noConversion"/>
  </si>
  <si>
    <t>Swiss</t>
    <phoneticPr fontId="2" type="noConversion"/>
  </si>
  <si>
    <t>A1c ( Self-testing ) Biorad線  Skyla半標  效期 12個月  Skyla 鋁袋 英文打印  代B</t>
    <phoneticPr fontId="2" type="noConversion"/>
  </si>
  <si>
    <t>Italy</t>
    <phoneticPr fontId="2" type="noConversion"/>
  </si>
  <si>
    <t>Menarini半標</t>
    <phoneticPr fontId="2" type="noConversion"/>
  </si>
  <si>
    <t>A1c (Professional ) Biorad線 Menarini半標  效期 18個月 Menarini 鋁袋 英文打印</t>
    <phoneticPr fontId="2" type="noConversion"/>
  </si>
  <si>
    <t>中瀚</t>
    <phoneticPr fontId="2" type="noConversion"/>
  </si>
  <si>
    <t>印度</t>
    <phoneticPr fontId="2" type="noConversion"/>
  </si>
  <si>
    <t>Menarini</t>
  </si>
  <si>
    <t>HB-Renal Focus</t>
    <phoneticPr fontId="2" type="noConversion"/>
  </si>
  <si>
    <t>HB-Liver Focus</t>
    <phoneticPr fontId="2" type="noConversion"/>
  </si>
  <si>
    <t>卡匣</t>
    <phoneticPr fontId="2" type="noConversion"/>
  </si>
  <si>
    <t>防溢墊</t>
    <phoneticPr fontId="2" type="noConversion"/>
  </si>
  <si>
    <t>紅色</t>
    <phoneticPr fontId="2" type="noConversion"/>
  </si>
  <si>
    <t>新 184-B</t>
    <phoneticPr fontId="2" type="noConversion"/>
  </si>
  <si>
    <t>白色</t>
    <phoneticPr fontId="2" type="noConversion"/>
  </si>
  <si>
    <t>Mfg line N0</t>
    <phoneticPr fontId="2" type="noConversion"/>
  </si>
  <si>
    <t>Factory No</t>
    <phoneticPr fontId="2" type="noConversion"/>
  </si>
  <si>
    <t>HB - General  (for VacuDrop)</t>
    <phoneticPr fontId="2" type="noConversion"/>
  </si>
  <si>
    <t>HB-Renal Panel (for VacuDrop)</t>
    <phoneticPr fontId="2" type="noConversion"/>
  </si>
  <si>
    <t>HB - ER III (for VacuDrop )</t>
    <phoneticPr fontId="2" type="noConversion"/>
  </si>
  <si>
    <t>HB-Renal Focus (for VacuDrop )</t>
    <phoneticPr fontId="2" type="noConversion"/>
  </si>
  <si>
    <t>HB-Liver Focus (for VacuDrop )</t>
    <phoneticPr fontId="2" type="noConversion"/>
  </si>
  <si>
    <t>HB-GENERAL(義)</t>
    <phoneticPr fontId="2" type="noConversion"/>
  </si>
  <si>
    <t>HB-Lipid(義)</t>
    <phoneticPr fontId="2" type="noConversion"/>
  </si>
  <si>
    <t>SDMA RSB</t>
    <phoneticPr fontId="2" type="noConversion"/>
  </si>
  <si>
    <t xml:space="preserve">SDMA </t>
    <phoneticPr fontId="2" type="noConversion"/>
  </si>
  <si>
    <t>3630101B04</t>
  </si>
  <si>
    <t>SAA - SCIL</t>
  </si>
  <si>
    <t>VB-Renal</t>
  </si>
  <si>
    <t>3630101A01</t>
  </si>
  <si>
    <t>Vi -PHBR - SCIL</t>
    <phoneticPr fontId="2" type="noConversion"/>
  </si>
  <si>
    <t>cCRP - SCIL</t>
    <phoneticPr fontId="2" type="noConversion"/>
  </si>
  <si>
    <t>瑞士Polymed</t>
  </si>
  <si>
    <t>cTSH</t>
    <phoneticPr fontId="2" type="noConversion"/>
  </si>
  <si>
    <t>cCOR</t>
    <phoneticPr fontId="2" type="noConversion"/>
  </si>
  <si>
    <t>cPROG</t>
    <phoneticPr fontId="2" type="noConversion"/>
  </si>
  <si>
    <t xml:space="preserve">ELISA </t>
    <phoneticPr fontId="2" type="noConversion"/>
  </si>
  <si>
    <t xml:space="preserve">HB-ER </t>
    <phoneticPr fontId="2" type="noConversion"/>
  </si>
  <si>
    <t>HB-Basic</t>
    <phoneticPr fontId="2" type="noConversion"/>
  </si>
  <si>
    <t>HB-ER Panel II L</t>
    <phoneticPr fontId="2" type="noConversion"/>
  </si>
  <si>
    <t>HB-ER III</t>
    <phoneticPr fontId="2" type="noConversion"/>
  </si>
  <si>
    <t>3620101A04</t>
  </si>
  <si>
    <t>HB-Electrolyte  II (國際版)</t>
    <phoneticPr fontId="2" type="noConversion"/>
  </si>
  <si>
    <t>HB-Renal Panel II</t>
    <phoneticPr fontId="2" type="noConversion"/>
  </si>
  <si>
    <r>
      <t>HB-Cardiovascular</t>
    </r>
    <r>
      <rPr>
        <sz val="12"/>
        <color theme="1"/>
        <rFont val="Calibri"/>
        <family val="2"/>
      </rPr>
      <t xml:space="preserve"> Panel</t>
    </r>
    <phoneticPr fontId="2" type="noConversion"/>
  </si>
  <si>
    <t>HB-Urgency</t>
    <phoneticPr fontId="2" type="noConversion"/>
  </si>
  <si>
    <t>HB-General Biochemistry Panel III</t>
    <phoneticPr fontId="2" type="noConversion"/>
  </si>
  <si>
    <t>VB-Preanesthetic</t>
  </si>
  <si>
    <t>VB-Diagnosis Plus</t>
  </si>
  <si>
    <t>VB- Diagnosis w CHOL</t>
  </si>
  <si>
    <t>VB-Diagnosis II</t>
  </si>
  <si>
    <t>VB-Liver</t>
  </si>
  <si>
    <t>VB-Liver Plus</t>
  </si>
  <si>
    <t>VB-Equine</t>
  </si>
  <si>
    <t>VB-Thyroid/T4</t>
  </si>
  <si>
    <t>VB-Large Animal</t>
  </si>
  <si>
    <t>VB-Avian &amp; Reptile</t>
  </si>
  <si>
    <t>VB-Electrolyte</t>
  </si>
  <si>
    <t>Skyla</t>
  </si>
  <si>
    <t>3630101B01</t>
  </si>
  <si>
    <t>SCIL</t>
    <phoneticPr fontId="2" type="noConversion"/>
  </si>
  <si>
    <t>VB-Preanesthetic - SCIL</t>
    <phoneticPr fontId="2" type="noConversion"/>
  </si>
  <si>
    <t>VB-Diagnosis Plus - SCIL</t>
    <phoneticPr fontId="2" type="noConversion"/>
  </si>
  <si>
    <t>VB-Diagnosis II - SCIL</t>
    <phoneticPr fontId="2" type="noConversion"/>
  </si>
  <si>
    <t>VB-Liver Plus Panel - SCIL</t>
    <phoneticPr fontId="2" type="noConversion"/>
  </si>
  <si>
    <t>VB-Equine Panel - SCIL</t>
    <phoneticPr fontId="2" type="noConversion"/>
  </si>
  <si>
    <t xml:space="preserve">VB-Diabetes </t>
    <phoneticPr fontId="2" type="noConversion"/>
  </si>
  <si>
    <t>VB-Renal - SCIL</t>
    <phoneticPr fontId="2" type="noConversion"/>
  </si>
  <si>
    <t>VB-Large Animal  - SCIL</t>
    <phoneticPr fontId="2" type="noConversion"/>
  </si>
  <si>
    <t>VB-Avian &amp; Reptile  - SCIL</t>
    <phoneticPr fontId="2" type="noConversion"/>
  </si>
  <si>
    <t>VB-Diabetes - SCIL</t>
    <phoneticPr fontId="2" type="noConversion"/>
  </si>
  <si>
    <t xml:space="preserve">3630101C01 </t>
  </si>
  <si>
    <t>VB-Critical Care</t>
    <phoneticPr fontId="2" type="noConversion"/>
  </si>
  <si>
    <t>Derry</t>
    <phoneticPr fontId="2" type="noConversion"/>
  </si>
  <si>
    <t>3630101A04</t>
    <phoneticPr fontId="18" type="noConversion"/>
  </si>
  <si>
    <t>3630101B03</t>
    <phoneticPr fontId="18" type="noConversion"/>
  </si>
  <si>
    <t>3630101C03</t>
    <phoneticPr fontId="18" type="noConversion"/>
  </si>
  <si>
    <t>VB-Preanesthetic - Derry</t>
  </si>
  <si>
    <t>VB-Renal Panel  - Derry</t>
  </si>
  <si>
    <t>VB-Diagnosis Plus - Derry</t>
  </si>
  <si>
    <t>VB-Diagnosis-II - Derry</t>
  </si>
  <si>
    <t>VB-Diagnosis - Derry</t>
  </si>
  <si>
    <t>VB-Liver - Derry</t>
  </si>
  <si>
    <t>VB-Liver Plus - Derry</t>
  </si>
  <si>
    <t>VB-Equine - Derry</t>
  </si>
  <si>
    <t>VB-Thyroid/T4 - Derry</t>
  </si>
  <si>
    <t>VB-Large Animal - Derry</t>
  </si>
  <si>
    <t>VB-Avian &amp; Reptile - Derry</t>
  </si>
  <si>
    <t>VB-Electrolyte Panel - Derry</t>
  </si>
  <si>
    <t>VB-Diabetes Panel - Derry</t>
  </si>
  <si>
    <t>VB-Critical Care Panel  - Derry</t>
  </si>
  <si>
    <t xml:space="preserve">義大利特殊 skyla </t>
    <phoneticPr fontId="2" type="noConversion"/>
  </si>
  <si>
    <t>VB 小張</t>
    <phoneticPr fontId="2" type="noConversion"/>
  </si>
  <si>
    <t>不需要貼</t>
    <phoneticPr fontId="2" type="noConversion"/>
  </si>
  <si>
    <t>Scil</t>
    <phoneticPr fontId="2" type="noConversion"/>
  </si>
  <si>
    <t>Vi- cCRP - SCIL</t>
    <phoneticPr fontId="2" type="noConversion"/>
  </si>
  <si>
    <t>Vi- cCRP - Derry</t>
    <phoneticPr fontId="2" type="noConversion"/>
  </si>
  <si>
    <t>Vi- cCRP RSB</t>
    <phoneticPr fontId="2" type="noConversion"/>
  </si>
  <si>
    <t>Vi - cCRP-Skyla</t>
    <phoneticPr fontId="2" type="noConversion"/>
  </si>
  <si>
    <t>Vi - SAA - Skyla</t>
    <phoneticPr fontId="2" type="noConversion"/>
  </si>
  <si>
    <t>Vi - SAA RSB</t>
    <phoneticPr fontId="2" type="noConversion"/>
  </si>
  <si>
    <t>Vi- SAA - Derry</t>
    <phoneticPr fontId="2" type="noConversion"/>
  </si>
  <si>
    <t>Vi- SAA - SCIL</t>
    <phoneticPr fontId="2" type="noConversion"/>
  </si>
  <si>
    <t>Vi - PHBR -Skyla</t>
    <phoneticPr fontId="2" type="noConversion"/>
  </si>
  <si>
    <t>Vi -PHBR - Derry</t>
    <phoneticPr fontId="2" type="noConversion"/>
  </si>
  <si>
    <t>Vi - PHBR RSB</t>
  </si>
  <si>
    <t xml:space="preserve"> 台灣 大陸 Skyla</t>
    <phoneticPr fontId="2" type="noConversion"/>
  </si>
  <si>
    <t>TT4 RSB</t>
    <phoneticPr fontId="2" type="noConversion"/>
  </si>
  <si>
    <t>TT4</t>
    <phoneticPr fontId="2" type="noConversion"/>
  </si>
  <si>
    <t>cTSH-Scil</t>
    <phoneticPr fontId="2" type="noConversion"/>
  </si>
  <si>
    <t>cCOR-Scil</t>
    <phoneticPr fontId="2" type="noConversion"/>
  </si>
  <si>
    <t>cPROG-Scil</t>
    <phoneticPr fontId="2" type="noConversion"/>
  </si>
  <si>
    <t>cTSH-Derry</t>
    <phoneticPr fontId="2" type="noConversion"/>
  </si>
  <si>
    <t>cCOR-Derry</t>
    <phoneticPr fontId="2" type="noConversion"/>
  </si>
  <si>
    <t>cPROG-Derry</t>
    <phoneticPr fontId="2" type="noConversion"/>
  </si>
  <si>
    <t>TT4-Scil</t>
    <phoneticPr fontId="2" type="noConversion"/>
  </si>
  <si>
    <t>TT4-Derry</t>
    <phoneticPr fontId="2" type="noConversion"/>
  </si>
  <si>
    <t>3631101E04</t>
  </si>
  <si>
    <t>3631101E06</t>
    <phoneticPr fontId="2" type="noConversion"/>
  </si>
  <si>
    <t>cTSH 半品</t>
    <phoneticPr fontId="2" type="noConversion"/>
  </si>
  <si>
    <t>cPROG 半品</t>
    <phoneticPr fontId="2" type="noConversion"/>
  </si>
  <si>
    <t xml:space="preserve">5711500266 </t>
    <phoneticPr fontId="2" type="noConversion"/>
  </si>
  <si>
    <t>cCOR 半品</t>
    <phoneticPr fontId="2" type="noConversion"/>
  </si>
  <si>
    <t>Vi-TT4</t>
    <phoneticPr fontId="2" type="noConversion"/>
  </si>
  <si>
    <t>Vi-TT4- SCIL</t>
    <phoneticPr fontId="2" type="noConversion"/>
  </si>
  <si>
    <t>3631101D07</t>
  </si>
  <si>
    <t>Vi-cA1C</t>
    <phoneticPr fontId="2" type="noConversion"/>
  </si>
  <si>
    <t>3631101D01</t>
    <phoneticPr fontId="2" type="noConversion"/>
  </si>
  <si>
    <t>Vi-cA1C Scil</t>
    <phoneticPr fontId="2" type="noConversion"/>
  </si>
  <si>
    <t>3631101E09</t>
    <phoneticPr fontId="2" type="noConversion"/>
  </si>
  <si>
    <t>3631101E08</t>
    <phoneticPr fontId="2" type="noConversion"/>
  </si>
  <si>
    <t>3631101E07</t>
    <phoneticPr fontId="2" type="noConversion"/>
  </si>
  <si>
    <t>cCOR-scil</t>
    <phoneticPr fontId="2" type="noConversion"/>
  </si>
  <si>
    <t>3631101E02</t>
    <phoneticPr fontId="2" type="noConversion"/>
  </si>
  <si>
    <t>3631101D08</t>
    <phoneticPr fontId="2" type="noConversion"/>
  </si>
  <si>
    <t>3631101D05</t>
    <phoneticPr fontId="2" type="noConversion"/>
  </si>
  <si>
    <t>VIP01-C107-R1 LIQUID-STD</t>
  </si>
  <si>
    <t>VIP01-C107-R2 LIQUID-STD</t>
  </si>
  <si>
    <t>R3B BEAD-STD</t>
  </si>
  <si>
    <t>R3 BEAD-STD</t>
  </si>
  <si>
    <t>SDMA RSB (5u 針)</t>
    <phoneticPr fontId="2" type="noConversion"/>
  </si>
  <si>
    <t>SDMA RSB (5u)</t>
    <phoneticPr fontId="2" type="noConversion"/>
  </si>
  <si>
    <t>Vi-cA1C RSB (1u)</t>
    <phoneticPr fontId="2" type="noConversion"/>
  </si>
  <si>
    <t>A1C  RSB (1u)</t>
    <phoneticPr fontId="2" type="noConversion"/>
  </si>
  <si>
    <t>Vi - PHBR RSB (2u)</t>
    <phoneticPr fontId="2" type="noConversion"/>
  </si>
  <si>
    <t>Vi - fSAA RSB (5u)</t>
    <phoneticPr fontId="2" type="noConversion"/>
  </si>
  <si>
    <t>Vi - cCRP RSB(2u)</t>
    <phoneticPr fontId="2" type="noConversion"/>
  </si>
  <si>
    <t>Vi-cA1C RSB(1u)</t>
    <phoneticPr fontId="2" type="noConversion"/>
  </si>
  <si>
    <t>3631101D03</t>
    <phoneticPr fontId="2" type="noConversion"/>
  </si>
  <si>
    <t xml:space="preserve">Vi-TT4- SCIL </t>
    <phoneticPr fontId="2" type="noConversion"/>
  </si>
  <si>
    <t>VI-TT4 RSB (5u)</t>
    <phoneticPr fontId="2" type="noConversion"/>
  </si>
  <si>
    <t>VI-TT4 RSB (5u 針)</t>
    <phoneticPr fontId="2" type="noConversion"/>
  </si>
  <si>
    <t>Vi</t>
    <phoneticPr fontId="2" type="noConversion"/>
  </si>
  <si>
    <t>VIP01-C201-REAGENT DISC-ELISA CPROG-STD-901-140</t>
    <phoneticPr fontId="2" type="noConversion"/>
  </si>
  <si>
    <t>VIP01-C200-REAGENT DISC-ELISA CTSH-STD-901-130</t>
    <phoneticPr fontId="2" type="noConversion"/>
  </si>
  <si>
    <t>VIP01-C202-REAGENT DISC-ELISA CCOR-STD-901-150</t>
    <phoneticPr fontId="2" type="noConversion"/>
  </si>
  <si>
    <t>ELISA CTSH R4 BEAD-STD</t>
    <phoneticPr fontId="2" type="noConversion"/>
  </si>
  <si>
    <t>VIP01-C200-ELISA CTSH R1 LIQUID-STD</t>
    <phoneticPr fontId="2" type="noConversion"/>
  </si>
  <si>
    <t xml:space="preserve"> VIP01-C200-ELISA R2 LIQUID-STD</t>
    <phoneticPr fontId="2" type="noConversion"/>
  </si>
  <si>
    <t>VIP01-C200-ELISA R3 LIQUID-STD</t>
    <phoneticPr fontId="2" type="noConversion"/>
  </si>
  <si>
    <t>VIP01-C200-ELISA R2 LIQUID-STD</t>
    <phoneticPr fontId="2" type="noConversion"/>
  </si>
  <si>
    <t xml:space="preserve"> ELISA CPROG R4 BEAD-STD</t>
    <phoneticPr fontId="2" type="noConversion"/>
  </si>
  <si>
    <t xml:space="preserve"> VIP01-C201-ELISA CPROG R1 LIQUID-STD</t>
    <phoneticPr fontId="2" type="noConversion"/>
  </si>
  <si>
    <t>ELISA CCOR R4 BEAD-STD</t>
    <phoneticPr fontId="2" type="noConversion"/>
  </si>
  <si>
    <t>VIP01-C202-ELISA CCOR R1 LIQUID-STD</t>
    <phoneticPr fontId="2" type="noConversion"/>
  </si>
  <si>
    <t xml:space="preserve"> HIP01-C101-R1 LIQUID-STD</t>
  </si>
  <si>
    <t>HIP01-C101-R2 LIQUID-STD</t>
  </si>
  <si>
    <t>3621101703 (Comifar)</t>
    <phoneticPr fontId="2" type="noConversion"/>
  </si>
  <si>
    <t>3621101708( Menarini)</t>
    <phoneticPr fontId="2" type="noConversion"/>
  </si>
  <si>
    <t>R3B BEAD-STD</t>
    <phoneticPr fontId="2" type="noConversion"/>
  </si>
  <si>
    <t>R3 BEAD-STD</t>
    <phoneticPr fontId="2" type="noConversion"/>
  </si>
  <si>
    <t>3621101701~3621101709</t>
    <phoneticPr fontId="2" type="noConversion"/>
  </si>
  <si>
    <t>HBA1C</t>
    <phoneticPr fontId="2" type="noConversion"/>
  </si>
  <si>
    <t>3621101707 (India)</t>
    <phoneticPr fontId="2" type="noConversion"/>
  </si>
  <si>
    <t>A1c ( Self-testing )
Biorad線  Skyla半標  效期 18個月  Skyla 鋁袋 英文打印</t>
    <phoneticPr fontId="2" type="noConversion"/>
  </si>
  <si>
    <t>3621101706
( 蒙古；新加玻；Polymed)</t>
    <phoneticPr fontId="2" type="noConversion"/>
  </si>
  <si>
    <t>3621101B03 (繁中)</t>
    <phoneticPr fontId="2" type="noConversion"/>
  </si>
  <si>
    <t>3621101B02 (Polymed)</t>
    <phoneticPr fontId="2" type="noConversion"/>
  </si>
  <si>
    <t>3621101B05((Menarini)</t>
    <phoneticPr fontId="2" type="noConversion"/>
  </si>
  <si>
    <t>HIP01-C102-R1 LIQUID-STD</t>
    <phoneticPr fontId="2" type="noConversion"/>
  </si>
  <si>
    <t>SCRP_D BEAD-STD</t>
  </si>
  <si>
    <t>Hi - CRP  RSB (5u)</t>
    <phoneticPr fontId="2" type="noConversion"/>
  </si>
  <si>
    <r>
      <t>3621101B04 (</t>
    </r>
    <r>
      <rPr>
        <sz val="12"/>
        <rFont val="新細明體"/>
        <family val="2"/>
        <charset val="136"/>
      </rPr>
      <t>繁中</t>
    </r>
    <r>
      <rPr>
        <sz val="12"/>
        <rFont val="Calibri"/>
        <family val="2"/>
      </rPr>
      <t>)</t>
    </r>
    <phoneticPr fontId="18" type="noConversion"/>
  </si>
  <si>
    <t xml:space="preserve">3621101B06(Professional) </t>
    <phoneticPr fontId="18" type="noConversion"/>
  </si>
  <si>
    <t>3621101B07(Switzerland)</t>
    <phoneticPr fontId="18" type="noConversion"/>
  </si>
  <si>
    <t>Hi-ACR</t>
    <phoneticPr fontId="2" type="noConversion"/>
  </si>
  <si>
    <t>HIP01-C103-R1 LIQUID-STD</t>
    <phoneticPr fontId="2" type="noConversion"/>
  </si>
  <si>
    <t>HIP01-C103-MALB BEAD-STD</t>
  </si>
  <si>
    <t>HIP01-C103-PCREA-U BEAD-STD</t>
    <phoneticPr fontId="2" type="noConversion"/>
  </si>
  <si>
    <t>HIP01-C103-PCREA-D BEAD-STD</t>
  </si>
  <si>
    <t>Hi - ACR  RSB (2.4u)</t>
    <phoneticPr fontId="2" type="noConversion"/>
  </si>
  <si>
    <t xml:space="preserve">(Lipid Panel)
(Self-Testing, with Glu ) </t>
    <phoneticPr fontId="18" type="noConversion"/>
  </si>
  <si>
    <t xml:space="preserve">(Lipid Panel PLUS) EU 
(Professional, with Glu ) </t>
    <phoneticPr fontId="18" type="noConversion"/>
  </si>
  <si>
    <t xml:space="preserve"> (Lipid Panel) Comifar 
(Italy  , self-Testing, with Glu )  </t>
    <phoneticPr fontId="18" type="noConversion"/>
  </si>
  <si>
    <t xml:space="preserve">(Lipid Panel PLUS) Switzerland
(Professional, with Glu ) </t>
    <phoneticPr fontId="18" type="noConversion"/>
  </si>
  <si>
    <t xml:space="preserve">(Lipid Panel PLUS) EU 
(Professional, w/o Glu ) </t>
    <phoneticPr fontId="18" type="noConversion"/>
  </si>
  <si>
    <t xml:space="preserve">(Lipid/GLU Panel) TW
(Professional, with Glu ) </t>
    <phoneticPr fontId="18" type="noConversion"/>
  </si>
  <si>
    <t xml:space="preserve">(Lipid/GLU Panel) India
(Professional, with Glu ) </t>
    <phoneticPr fontId="18" type="noConversion"/>
  </si>
  <si>
    <t>HIP01-C201-REAGENT DISC-STD-LIPID PANEL-EU-801-110</t>
    <phoneticPr fontId="2" type="noConversion"/>
  </si>
  <si>
    <t>GLU-U FILM-STD</t>
    <phoneticPr fontId="2" type="noConversion"/>
  </si>
  <si>
    <t>GLU-D FILM-STD</t>
  </si>
  <si>
    <t>TC-U FILM-STD</t>
  </si>
  <si>
    <t>TC-D FILM-STD</t>
  </si>
  <si>
    <t>TG-U FILM-STD</t>
  </si>
  <si>
    <t>TG-D FILM-STD</t>
  </si>
  <si>
    <t>HDL-U FILM-STD</t>
  </si>
  <si>
    <t>HDL-P FILM-STD</t>
  </si>
  <si>
    <t>噴碼設定全區/廠0</t>
    <phoneticPr fontId="2" type="noConversion"/>
  </si>
  <si>
    <t>ACR  RSB</t>
    <phoneticPr fontId="2" type="noConversion"/>
  </si>
  <si>
    <t>ACR Panel</t>
    <phoneticPr fontId="2" type="noConversion"/>
  </si>
  <si>
    <t>HB-Renal Panel
 (for VacuDrop 新卡匣，新防溢墊))</t>
    <phoneticPr fontId="2" type="noConversion"/>
  </si>
  <si>
    <t>HB-Renal Focus
(Menarini  新卡匣，新防溢墊)</t>
    <phoneticPr fontId="2" type="noConversion"/>
  </si>
  <si>
    <t>HB-Renal Focus
 (for VacuDrop 新卡匣，新防溢墊))</t>
    <phoneticPr fontId="2" type="noConversion"/>
  </si>
  <si>
    <t>HB-Liver Focus
(Menarini  新卡匣，新防溢墊)</t>
    <phoneticPr fontId="2" type="noConversion"/>
  </si>
  <si>
    <t>HB-Liver Focus
 (for VacuDrop 新卡匣，新防溢墊))</t>
    <phoneticPr fontId="2" type="noConversion"/>
  </si>
  <si>
    <t>3631101D09</t>
    <phoneticPr fontId="2" type="noConversion"/>
  </si>
  <si>
    <t>ELISA 效期 9個月</t>
    <phoneticPr fontId="2" type="noConversion"/>
  </si>
  <si>
    <t>ELISA Test Penal</t>
    <phoneticPr fontId="2" type="noConversion"/>
  </si>
  <si>
    <t>V</t>
    <phoneticPr fontId="2" type="noConversion"/>
  </si>
  <si>
    <t>5711500521</t>
    <phoneticPr fontId="2" type="noConversion"/>
  </si>
  <si>
    <t>3654101002</t>
    <phoneticPr fontId="2" type="noConversion"/>
  </si>
  <si>
    <t>3654101003</t>
    <phoneticPr fontId="2" type="noConversion"/>
  </si>
  <si>
    <t>ELISA Test Penal 包裝 Scil</t>
    <phoneticPr fontId="2" type="noConversion"/>
  </si>
  <si>
    <t>ELISA Test Penal 包裝 skyla</t>
    <phoneticPr fontId="2" type="noConversion"/>
  </si>
  <si>
    <t>PS 球不用塗佈</t>
    <phoneticPr fontId="2" type="noConversion"/>
  </si>
  <si>
    <t xml:space="preserve"> Scil</t>
    <phoneticPr fontId="2" type="noConversion"/>
  </si>
  <si>
    <t>SKYLA</t>
    <phoneticPr fontId="2" type="noConversion"/>
  </si>
  <si>
    <t>SA-NH3(英文版)</t>
    <phoneticPr fontId="2" type="noConversion"/>
  </si>
  <si>
    <t>3631101E04</t>
    <phoneticPr fontId="2" type="noConversion"/>
  </si>
  <si>
    <t>HB - Basic (for VacuDrop)</t>
    <phoneticPr fontId="2" type="noConversion"/>
  </si>
  <si>
    <t>cTSH 半品 - SCIL</t>
    <phoneticPr fontId="2" type="noConversion"/>
  </si>
  <si>
    <t>cPROG 半品 - SCIL</t>
    <phoneticPr fontId="2" type="noConversion"/>
  </si>
  <si>
    <t>5711500269</t>
    <phoneticPr fontId="2" type="noConversion"/>
  </si>
  <si>
    <t>cCOR 半品 - SCIL</t>
    <phoneticPr fontId="2" type="noConversion"/>
  </si>
  <si>
    <t>OCT</t>
    <phoneticPr fontId="2" type="noConversion"/>
  </si>
  <si>
    <t>以3621101602為主</t>
    <phoneticPr fontId="2" type="noConversion"/>
  </si>
  <si>
    <t>NOV</t>
    <phoneticPr fontId="2" type="noConversion"/>
  </si>
  <si>
    <t>效期14個月</t>
    <phoneticPr fontId="2" type="noConversion"/>
  </si>
  <si>
    <t>噴碼設定全區/廠0
效期14個月</t>
    <phoneticPr fontId="2" type="noConversion"/>
  </si>
  <si>
    <t>試作費用型</t>
    <phoneticPr fontId="2" type="noConversion"/>
  </si>
  <si>
    <t>Hi - CRP</t>
    <phoneticPr fontId="2" type="noConversion"/>
  </si>
  <si>
    <t>每組1000</t>
    <phoneticPr fontId="2" type="noConversion"/>
  </si>
  <si>
    <t>每組470</t>
    <phoneticPr fontId="2" type="noConversion"/>
  </si>
  <si>
    <t xml:space="preserve">Hi - CRP  R1 coating  </t>
    <phoneticPr fontId="2" type="noConversion"/>
  </si>
  <si>
    <t>3654101004</t>
    <phoneticPr fontId="2" type="noConversion"/>
  </si>
  <si>
    <t>3654101006</t>
  </si>
  <si>
    <t>3654101007</t>
  </si>
  <si>
    <t>3654101005</t>
    <phoneticPr fontId="2" type="noConversion"/>
  </si>
  <si>
    <t>5714600170</t>
    <phoneticPr fontId="2" type="noConversion"/>
  </si>
  <si>
    <t>VI Carrier 練習盤 (Skyla)</t>
    <phoneticPr fontId="2" type="noConversion"/>
  </si>
  <si>
    <t>VI Carrier 練習盤 (Scil)</t>
    <phoneticPr fontId="2" type="noConversion"/>
  </si>
  <si>
    <t>ELISA Carrier 練習盤 (Skyla)</t>
    <phoneticPr fontId="2" type="noConversion"/>
  </si>
  <si>
    <t>ELISA Carrier 練習盤 (Scil)</t>
    <phoneticPr fontId="2" type="noConversion"/>
  </si>
  <si>
    <t>排填藥前一天</t>
    <phoneticPr fontId="2" type="noConversion"/>
  </si>
  <si>
    <t>ELISA 效期 12個月</t>
    <phoneticPr fontId="2" type="noConversion"/>
  </si>
  <si>
    <t>SA-Mg</t>
    <phoneticPr fontId="2" type="noConversion"/>
  </si>
  <si>
    <t>Vi - SAA RSB (5u)</t>
    <phoneticPr fontId="2" type="noConversion"/>
  </si>
  <si>
    <t>Vi - SAA</t>
    <phoneticPr fontId="2" type="noConversion"/>
  </si>
  <si>
    <t>cNBNP 半品</t>
    <phoneticPr fontId="2" type="noConversion"/>
  </si>
  <si>
    <t>fPL 半品</t>
    <phoneticPr fontId="2" type="noConversion"/>
  </si>
  <si>
    <t>cUCOR 半品</t>
    <phoneticPr fontId="2" type="noConversion"/>
  </si>
  <si>
    <t>cPL 半品</t>
    <phoneticPr fontId="2" type="noConversion"/>
  </si>
  <si>
    <t>HB-Urgency
(Menarini  新卡匣，新防溢墊)</t>
    <phoneticPr fontId="2" type="noConversion"/>
  </si>
  <si>
    <t>3620102F01</t>
    <phoneticPr fontId="2" type="noConversion"/>
  </si>
  <si>
    <t>鋁袋不用印LOT
批次獨立(當月
包裝240 1箱，不裝盒</t>
    <phoneticPr fontId="2" type="noConversion"/>
  </si>
  <si>
    <t>Production Plan_Panel</t>
    <phoneticPr fontId="2" type="noConversion"/>
  </si>
  <si>
    <t>HI Panel Module</t>
    <phoneticPr fontId="2" type="noConversion"/>
  </si>
  <si>
    <t>A1c Carrier</t>
    <phoneticPr fontId="2" type="noConversion"/>
  </si>
  <si>
    <t>Jide Carrier</t>
    <phoneticPr fontId="2" type="noConversion"/>
  </si>
  <si>
    <r>
      <t xml:space="preserve">Na </t>
    </r>
    <r>
      <rPr>
        <b/>
        <sz val="18"/>
        <color rgb="FFFF0000"/>
        <rFont val="微軟正黑體"/>
        <family val="2"/>
        <charset val="136"/>
      </rPr>
      <t>LIPA</t>
    </r>
    <phoneticPr fontId="2" type="noConversion"/>
  </si>
  <si>
    <r>
      <t>Na</t>
    </r>
    <r>
      <rPr>
        <b/>
        <sz val="18"/>
        <color rgb="FFFF0000"/>
        <rFont val="微軟正黑體"/>
        <family val="2"/>
        <charset val="136"/>
      </rPr>
      <t xml:space="preserve"> LIPA</t>
    </r>
    <r>
      <rPr>
        <b/>
        <sz val="18"/>
        <color theme="1"/>
        <rFont val="微軟正黑體"/>
        <family val="2"/>
        <charset val="136"/>
      </rPr>
      <t xml:space="preserve"> </t>
    </r>
    <r>
      <rPr>
        <b/>
        <sz val="18"/>
        <color rgb="FFFF0000"/>
        <rFont val="微軟正黑體"/>
        <family val="2"/>
        <charset val="136"/>
      </rPr>
      <t>CRP</t>
    </r>
    <phoneticPr fontId="2" type="noConversion"/>
  </si>
  <si>
    <r>
      <t>HB-Cardiovascular</t>
    </r>
    <r>
      <rPr>
        <b/>
        <sz val="20"/>
        <color theme="1"/>
        <rFont val="微軟正黑體"/>
        <family val="2"/>
        <charset val="136"/>
      </rPr>
      <t xml:space="preserve"> Panel</t>
    </r>
    <phoneticPr fontId="2" type="noConversion"/>
  </si>
  <si>
    <r>
      <t>HB-Cardiovascular</t>
    </r>
    <r>
      <rPr>
        <b/>
        <sz val="20"/>
        <color theme="1"/>
        <rFont val="微軟正黑體"/>
        <family val="2"/>
        <charset val="136"/>
      </rPr>
      <t xml:space="preserve"> Panel</t>
    </r>
    <r>
      <rPr>
        <b/>
        <sz val="20"/>
        <rFont val="微軟正黑體"/>
        <family val="2"/>
        <charset val="136"/>
      </rPr>
      <t xml:space="preserve">
(Menarini  新卡匣，新防溢墊)</t>
    </r>
    <phoneticPr fontId="2" type="noConversion"/>
  </si>
  <si>
    <t>Dec</t>
  </si>
  <si>
    <t>Jan</t>
  </si>
  <si>
    <t>Feb</t>
  </si>
  <si>
    <t>Mar</t>
  </si>
  <si>
    <t>Apr</t>
  </si>
  <si>
    <t>May</t>
  </si>
  <si>
    <t>Jun</t>
  </si>
  <si>
    <t>MI-P01-MB DEVICE-MENARINI</t>
  </si>
  <si>
    <t>MB-P02-MB DEVICE-MENARINI</t>
  </si>
  <si>
    <t>VC-P11-MB DEVICE-STD</t>
  </si>
  <si>
    <t>VC-P21-MB DEVICE-STD</t>
  </si>
  <si>
    <t>VC-P61-MB DEVICE-STD</t>
  </si>
  <si>
    <t>VC-P21-MB DEVICE-SCIL</t>
    <phoneticPr fontId="2" type="noConversion"/>
  </si>
  <si>
    <t>MB-P02-PRINTER-MENARINI</t>
  </si>
  <si>
    <t>VC 半品</t>
    <phoneticPr fontId="2" type="noConversion"/>
  </si>
  <si>
    <t>VC-P11-PRINTER-STD</t>
    <phoneticPr fontId="2" type="noConversion"/>
  </si>
  <si>
    <t>THERMAL  Module (流道)</t>
    <phoneticPr fontId="2" type="noConversion"/>
  </si>
  <si>
    <t>MI-P01-CARRIER-MENARINI</t>
  </si>
  <si>
    <t>Description</t>
    <phoneticPr fontId="2" type="noConversion"/>
  </si>
  <si>
    <t>Lipid Panel PLUS</t>
    <phoneticPr fontId="2" type="noConversion"/>
  </si>
  <si>
    <t>每組111</t>
    <phoneticPr fontId="2" type="noConversion"/>
  </si>
  <si>
    <t>cPL 包裝</t>
    <phoneticPr fontId="2" type="noConversion"/>
  </si>
  <si>
    <t>WK14</t>
    <phoneticPr fontId="2" type="noConversion"/>
  </si>
  <si>
    <t>WK13</t>
    <phoneticPr fontId="2" type="noConversion"/>
  </si>
  <si>
    <t>WK12</t>
    <phoneticPr fontId="2" type="noConversion"/>
  </si>
  <si>
    <t>WK11</t>
    <phoneticPr fontId="2" type="noConversion"/>
  </si>
  <si>
    <t>WK15</t>
    <phoneticPr fontId="2" type="noConversion"/>
  </si>
  <si>
    <t>WK16</t>
    <phoneticPr fontId="2" type="noConversion"/>
  </si>
  <si>
    <t>WK17</t>
    <phoneticPr fontId="2" type="noConversion"/>
  </si>
  <si>
    <t>WK18</t>
    <phoneticPr fontId="2" type="noConversion"/>
  </si>
  <si>
    <t>APR</t>
    <phoneticPr fontId="2" type="noConversion"/>
  </si>
  <si>
    <t>SA-BA</t>
    <phoneticPr fontId="2" type="noConversion"/>
  </si>
  <si>
    <r>
      <t xml:space="preserve">A1c (Professional ) 摩洛哥
Biorad線  Skyla半標  </t>
    </r>
    <r>
      <rPr>
        <b/>
        <sz val="20"/>
        <color rgb="FFFF0000"/>
        <rFont val="微軟正黑體"/>
        <family val="2"/>
        <charset val="136"/>
      </rPr>
      <t xml:space="preserve">效期15 個月 </t>
    </r>
    <r>
      <rPr>
        <b/>
        <sz val="20"/>
        <color theme="1"/>
        <rFont val="微軟正黑體"/>
        <family val="2"/>
        <charset val="136"/>
      </rPr>
      <t xml:space="preserve"> Skyla 鋁袋  英文打印</t>
    </r>
    <phoneticPr fontId="2" type="noConversion"/>
  </si>
  <si>
    <t>WK19</t>
    <phoneticPr fontId="2" type="noConversion"/>
  </si>
  <si>
    <t>WK20</t>
    <phoneticPr fontId="2" type="noConversion"/>
  </si>
  <si>
    <t>WK21</t>
    <phoneticPr fontId="2" type="noConversion"/>
  </si>
  <si>
    <t>WK22</t>
    <phoneticPr fontId="2" type="noConversion"/>
  </si>
  <si>
    <t>MAY</t>
    <phoneticPr fontId="2" type="noConversion"/>
  </si>
  <si>
    <t>WK23</t>
    <phoneticPr fontId="2" type="noConversion"/>
  </si>
  <si>
    <t>WK24</t>
    <phoneticPr fontId="2" type="noConversion"/>
  </si>
  <si>
    <t>WK25</t>
    <phoneticPr fontId="2" type="noConversion"/>
  </si>
  <si>
    <t>WK26</t>
    <phoneticPr fontId="2" type="noConversion"/>
  </si>
  <si>
    <t>JUN</t>
    <phoneticPr fontId="2" type="noConversion"/>
  </si>
  <si>
    <t>CRP LIPA</t>
    <phoneticPr fontId="2" type="noConversion"/>
  </si>
  <si>
    <t>5711500273</t>
    <phoneticPr fontId="2" type="noConversion"/>
  </si>
  <si>
    <t>5711500272</t>
    <phoneticPr fontId="2" type="noConversion"/>
  </si>
  <si>
    <t>3631101E10</t>
    <phoneticPr fontId="2" type="noConversion"/>
  </si>
  <si>
    <t>3631101E11</t>
    <phoneticPr fontId="2" type="noConversion"/>
  </si>
  <si>
    <t>WK27</t>
    <phoneticPr fontId="2" type="noConversion"/>
  </si>
  <si>
    <t>Jul</t>
  </si>
  <si>
    <t>Aug</t>
  </si>
  <si>
    <t>Sep</t>
  </si>
  <si>
    <t>Oct</t>
  </si>
  <si>
    <t>Nov</t>
  </si>
  <si>
    <t>Hi - ACR - 大陸</t>
    <phoneticPr fontId="2" type="noConversion"/>
  </si>
  <si>
    <t>Liver Panel (for VacuDrop)</t>
    <phoneticPr fontId="2" type="noConversion"/>
  </si>
  <si>
    <t>SA-LDH</t>
  </si>
  <si>
    <t>SA-GLU</t>
  </si>
  <si>
    <t>cPL-scil 包裝</t>
    <phoneticPr fontId="2" type="noConversion"/>
  </si>
  <si>
    <t>fPL-scil 包裝</t>
    <phoneticPr fontId="2" type="noConversion"/>
  </si>
  <si>
    <t>fPL包裝</t>
    <phoneticPr fontId="2" type="noConversion"/>
  </si>
  <si>
    <t>3631101E15</t>
  </si>
  <si>
    <t>3631101E16</t>
  </si>
  <si>
    <t>Q4 .</t>
    <phoneticPr fontId="2" type="noConversion"/>
  </si>
  <si>
    <t>WK02</t>
    <phoneticPr fontId="2" type="noConversion"/>
  </si>
  <si>
    <t>WK03</t>
    <phoneticPr fontId="2" type="noConversion"/>
  </si>
  <si>
    <t>ˇ</t>
    <phoneticPr fontId="2" type="noConversion"/>
  </si>
  <si>
    <t>每日排3 不加班，周五全數不加班；外籍有特休要排</t>
    <phoneticPr fontId="2" type="noConversion"/>
  </si>
  <si>
    <t>排休</t>
    <phoneticPr fontId="2" type="noConversion"/>
  </si>
  <si>
    <t xml:space="preserve">VB-P02-LOADER MODULE-STD   </t>
  </si>
  <si>
    <t xml:space="preserve">VB-P02-LOADER-STD                   </t>
  </si>
  <si>
    <t xml:space="preserve">VB-P02-TOP COVER-STD                </t>
  </si>
  <si>
    <t xml:space="preserve">Protector       </t>
  </si>
  <si>
    <t>VI Loader</t>
    <phoneticPr fontId="2" type="noConversion"/>
  </si>
  <si>
    <t>VC-P01-LOADER-STD</t>
  </si>
  <si>
    <t>VC-P11-LOADER-STD-VI-P01-PRIME</t>
  </si>
  <si>
    <t>VC-P11-TOP COVER-STD</t>
  </si>
  <si>
    <t>VI-P11-PRIME-PROTECTOR-STD</t>
  </si>
  <si>
    <t>VC-P11-PASSAGE</t>
  </si>
  <si>
    <t xml:space="preserve">VB-P02-PRINTER-STD                  </t>
  </si>
  <si>
    <t>VB P02 Panel</t>
    <phoneticPr fontId="2" type="noConversion"/>
  </si>
  <si>
    <t>MB-P02-PANEL-MENARINI</t>
    <phoneticPr fontId="2" type="noConversion"/>
  </si>
  <si>
    <t>VC-P11-PANEL-STD</t>
  </si>
  <si>
    <t>VC-P11-CARRIER  BOX-STD-VB</t>
  </si>
  <si>
    <t>VC-P11-CARRIER  BOX-STD-VI</t>
  </si>
  <si>
    <t>VC-P11-PIPETTE STAND-STD</t>
  </si>
  <si>
    <t>MI-P01-PANEL-STD</t>
    <phoneticPr fontId="2" type="noConversion"/>
  </si>
  <si>
    <t>VC-P31-MB DEVICE-STD</t>
    <phoneticPr fontId="2" type="noConversion"/>
  </si>
  <si>
    <t>配件類</t>
    <phoneticPr fontId="2" type="noConversion"/>
  </si>
  <si>
    <t>VB-P01-CARTRIDGE (DUMMY)</t>
  </si>
  <si>
    <t>VI Carrier</t>
    <phoneticPr fontId="2" type="noConversion"/>
  </si>
  <si>
    <t>VBP01-A107-PIPETTE-STD</t>
  </si>
  <si>
    <t>VB-P02-PIPETTE-DERRY</t>
  </si>
  <si>
    <t>Elisa Carrier</t>
    <phoneticPr fontId="2" type="noConversion"/>
  </si>
  <si>
    <t>HIP01-A101-PCBA/PRINTER</t>
  </si>
  <si>
    <t>HI-P01-PCBA/AD-STD</t>
  </si>
  <si>
    <t>HI-P01-PCBA/DRIVE-STD</t>
  </si>
  <si>
    <t>HI-P01-PCBA/ENCODER-STD</t>
  </si>
  <si>
    <t>HI-P01-PCBA/FRONT-STD</t>
  </si>
  <si>
    <t>HI-P01-PCBA/HEATER-STD</t>
  </si>
  <si>
    <t>HI-P01-PCBA/IR-STD</t>
  </si>
  <si>
    <t>HI-P01-PCBA/LED-STD</t>
  </si>
  <si>
    <t>HI-P01-SMT/LCD-STD</t>
  </si>
  <si>
    <t>HI-P01-PCBA/MAIN-STD</t>
  </si>
  <si>
    <t>HI-P01-PCBA/PRINTER BRIDGE-STD</t>
  </si>
  <si>
    <t>HI-P01-PCBA/SWITCH-STD</t>
  </si>
  <si>
    <t>HI-P01-PCBA/UV LED-STD</t>
  </si>
  <si>
    <t>P01專用</t>
    <phoneticPr fontId="2" type="noConversion"/>
  </si>
  <si>
    <t>HB-P01-PCBA/MAIN-STD</t>
  </si>
  <si>
    <t>5713400541V01A0</t>
  </si>
  <si>
    <t>HB-P01-SMT/LCD-STD</t>
  </si>
  <si>
    <t>P01 Loader</t>
    <phoneticPr fontId="2" type="noConversion"/>
  </si>
  <si>
    <t>5712500512V01C0</t>
  </si>
  <si>
    <t>HB-P01-PCBA/DRIVE-STD</t>
  </si>
  <si>
    <t>HB-P01-PCBA/FRONT-STD</t>
  </si>
  <si>
    <t>HB-P01-PCBA/HEATER-STD</t>
  </si>
  <si>
    <t>5712500522V03G0</t>
  </si>
  <si>
    <t>HB-P01-PCBA/LED-STD</t>
  </si>
  <si>
    <t>5712500565V02X0</t>
  </si>
  <si>
    <t>VB-P02-PCBA/AD-STD</t>
  </si>
  <si>
    <t>P02 Device</t>
    <phoneticPr fontId="2" type="noConversion"/>
  </si>
  <si>
    <t>VB-P02-PCBA/BRIDGE-STD</t>
  </si>
  <si>
    <t>VB-P02-PCBA/MAIN-STD</t>
  </si>
  <si>
    <t>P02 Panel</t>
    <phoneticPr fontId="2" type="noConversion"/>
  </si>
  <si>
    <t>HB-P01-PCBA/SWITCH-STD</t>
  </si>
  <si>
    <t>5713400892V01C0</t>
  </si>
  <si>
    <t>VB-P02-SMT/LCD-STD</t>
  </si>
  <si>
    <t>5713400892V02A0</t>
  </si>
  <si>
    <t>5713400894V02A0</t>
  </si>
  <si>
    <t>全機共用</t>
    <phoneticPr fontId="2" type="noConversion"/>
  </si>
  <si>
    <t>HB-P01-PCBA/PRINTER CONTROL-STD</t>
  </si>
  <si>
    <t>5712501021V01X0</t>
  </si>
  <si>
    <t>VC-P11-PCBA/AD-STD</t>
  </si>
  <si>
    <t>5712500941V01X0</t>
  </si>
  <si>
    <t>VC-P11-PCBA/LASER-STD</t>
  </si>
  <si>
    <t>5712501001V01A0</t>
  </si>
  <si>
    <t>VC-P11-PCBA/DRIVE-STD</t>
  </si>
  <si>
    <t>5712500981V01A0</t>
  </si>
  <si>
    <t>VC-P11-PCBA/ENCODER-STD</t>
  </si>
  <si>
    <t>5712500961V01A0</t>
  </si>
  <si>
    <t>VC-P11-PCBA/FRONT-STD</t>
  </si>
  <si>
    <t>5712501041V01A0</t>
  </si>
  <si>
    <t>VC-P11-PCBA/HEATER-STD</t>
  </si>
  <si>
    <t>5712500921V01A0</t>
  </si>
  <si>
    <t>VC-P11-PCBA/LED-STD</t>
  </si>
  <si>
    <t>VC Panel</t>
    <phoneticPr fontId="2" type="noConversion"/>
  </si>
  <si>
    <t>5712501141V01X0</t>
  </si>
  <si>
    <t>VC-P11-PCBA/SWITCH-STD</t>
  </si>
  <si>
    <t>5713401201V01X0</t>
  </si>
  <si>
    <t>VC-P11-SMT/LCD-STD</t>
  </si>
  <si>
    <t>VC Device</t>
    <phoneticPr fontId="2" type="noConversion"/>
  </si>
  <si>
    <t>5712501221V0FX0</t>
  </si>
  <si>
    <t>VC-P11-PCBA/MAIN-STD</t>
  </si>
  <si>
    <t>5713401181V01X0</t>
  </si>
  <si>
    <t>VC-P11-SMT/BRIDGE-STD</t>
  </si>
  <si>
    <t>5713401161V01X0</t>
  </si>
  <si>
    <t>VC-P11-SMT/TEMPERATURE-STD</t>
  </si>
  <si>
    <t>VC-P11-TEMPERATURE MODULE-STD</t>
  </si>
  <si>
    <t>周五依需求安排不加班；外籍有特休要排；ELISA 不要排</t>
    <phoneticPr fontId="2" type="noConversion"/>
  </si>
  <si>
    <t>周四依需求安排不加班；外籍有特休要排；ELISA  缺光學膜</t>
    <phoneticPr fontId="2" type="noConversion"/>
  </si>
  <si>
    <t>1. 周五依需求安排不加班；外籍有特休要排；</t>
    <phoneticPr fontId="2" type="noConversion"/>
  </si>
  <si>
    <t xml:space="preserve">  </t>
    <phoneticPr fontId="2" type="noConversion"/>
  </si>
  <si>
    <t>˙</t>
    <phoneticPr fontId="2" type="noConversion"/>
  </si>
  <si>
    <t>;'</t>
    <phoneticPr fontId="2" type="noConversion"/>
  </si>
  <si>
    <t>ELISA 新配方開始配藥</t>
    <phoneticPr fontId="2" type="noConversion"/>
  </si>
  <si>
    <t>ELISA 新配方開始生產</t>
    <phoneticPr fontId="2" type="noConversion"/>
  </si>
  <si>
    <t>稽核，禁止排人醫盤</t>
    <phoneticPr fontId="2" type="noConversion"/>
  </si>
  <si>
    <r>
      <t xml:space="preserve">ELISA 新配方開始配藥
</t>
    </r>
    <r>
      <rPr>
        <b/>
        <sz val="24"/>
        <color theme="1"/>
        <rFont val="Microsoft JhengHei UI"/>
        <family val="2"/>
        <charset val="136"/>
      </rPr>
      <t>無</t>
    </r>
    <r>
      <rPr>
        <b/>
        <sz val="24"/>
        <color theme="1"/>
        <rFont val="微軟正黑體"/>
        <family val="2"/>
        <charset val="136"/>
      </rPr>
      <t>夜班QC 人員</t>
    </r>
    <phoneticPr fontId="2" type="noConversion"/>
  </si>
  <si>
    <t>1. 周五依需求安排不加班；外籍有特休要排；
2.3/31 無夜班人員</t>
    <phoneticPr fontId="2" type="noConversion"/>
  </si>
  <si>
    <t>1. 周五依需求安排不加班；外籍有特休要排；
2.人員進行排休</t>
    <phoneticPr fontId="2" type="noConversion"/>
  </si>
  <si>
    <t>WK28</t>
    <phoneticPr fontId="2" type="noConversion"/>
  </si>
  <si>
    <t>WK29</t>
    <phoneticPr fontId="2" type="noConversion"/>
  </si>
  <si>
    <t>WK30</t>
    <phoneticPr fontId="2" type="noConversion"/>
  </si>
  <si>
    <t>WK31</t>
    <phoneticPr fontId="2" type="noConversion"/>
  </si>
  <si>
    <t>JUL</t>
    <phoneticPr fontId="2" type="noConversion"/>
  </si>
  <si>
    <t>WK32</t>
    <phoneticPr fontId="2" type="noConversion"/>
  </si>
  <si>
    <t>WK33</t>
    <phoneticPr fontId="2" type="noConversion"/>
  </si>
  <si>
    <t>WK34</t>
    <phoneticPr fontId="2" type="noConversion"/>
  </si>
  <si>
    <t>WK35</t>
    <phoneticPr fontId="2" type="noConversion"/>
  </si>
  <si>
    <t>AUG</t>
    <phoneticPr fontId="2" type="noConversion"/>
  </si>
  <si>
    <t>WK36</t>
    <phoneticPr fontId="2" type="noConversion"/>
  </si>
  <si>
    <t>WK37</t>
    <phoneticPr fontId="2" type="noConversion"/>
  </si>
  <si>
    <t>WK38</t>
    <phoneticPr fontId="2" type="noConversion"/>
  </si>
  <si>
    <t>WK39</t>
    <phoneticPr fontId="2" type="noConversion"/>
  </si>
  <si>
    <t>WK40</t>
    <phoneticPr fontId="2" type="noConversion"/>
  </si>
  <si>
    <t>SEP</t>
    <phoneticPr fontId="2" type="noConversion"/>
  </si>
  <si>
    <t/>
  </si>
  <si>
    <t>每組509</t>
    <phoneticPr fontId="2" type="noConversion"/>
  </si>
  <si>
    <t>不排ELISA</t>
    <phoneticPr fontId="2" type="noConversion"/>
  </si>
  <si>
    <t>1. 周五依需求安排不加班；外籍有特休要排；
2.人員進行排休
3. 6/9~6/12不排ELISA</t>
    <phoneticPr fontId="2" type="noConversion"/>
  </si>
  <si>
    <t>6/1 效期18個月</t>
    <phoneticPr fontId="2" type="noConversion"/>
  </si>
  <si>
    <r>
      <t xml:space="preserve">A1c (Professional )
Biorad線  Sklay A1C 標籤半標  </t>
    </r>
    <r>
      <rPr>
        <b/>
        <sz val="20"/>
        <color rgb="FFFF0000"/>
        <rFont val="微軟正黑體"/>
        <family val="2"/>
        <charset val="136"/>
      </rPr>
      <t xml:space="preserve">效期 18 個月 </t>
    </r>
    <r>
      <rPr>
        <b/>
        <sz val="20"/>
        <color theme="1" tint="4.9989318521683403E-2"/>
        <rFont val="微軟正黑體"/>
        <family val="2"/>
        <charset val="136"/>
      </rPr>
      <t xml:space="preserve"> 空白 鋁袋 英文打印；</t>
    </r>
    <phoneticPr fontId="2" type="noConversion"/>
  </si>
  <si>
    <t>X</t>
    <phoneticPr fontId="2" type="noConversion"/>
  </si>
  <si>
    <t>WK41</t>
    <phoneticPr fontId="2" type="noConversion"/>
  </si>
  <si>
    <t>WK42</t>
    <phoneticPr fontId="2" type="noConversion"/>
  </si>
  <si>
    <t>WK43</t>
    <phoneticPr fontId="2" type="noConversion"/>
  </si>
  <si>
    <t>WK44</t>
    <phoneticPr fontId="2" type="noConversion"/>
  </si>
  <si>
    <t>WK45</t>
    <phoneticPr fontId="2" type="noConversion"/>
  </si>
  <si>
    <t>WK46</t>
    <phoneticPr fontId="2" type="noConversion"/>
  </si>
  <si>
    <t>WK47</t>
    <phoneticPr fontId="2" type="noConversion"/>
  </si>
  <si>
    <t>WK48</t>
    <phoneticPr fontId="2" type="noConversion"/>
  </si>
  <si>
    <t>WK49</t>
    <phoneticPr fontId="2" type="noConversion"/>
  </si>
  <si>
    <t>WK50</t>
    <phoneticPr fontId="2" type="noConversion"/>
  </si>
  <si>
    <t>WK51</t>
    <phoneticPr fontId="2" type="noConversion"/>
  </si>
  <si>
    <t>WK52</t>
    <phoneticPr fontId="2" type="noConversion"/>
  </si>
  <si>
    <t>WK53</t>
    <phoneticPr fontId="2" type="noConversion"/>
  </si>
  <si>
    <t>DEC</t>
    <phoneticPr fontId="2" type="noConversion"/>
  </si>
  <si>
    <t xml:space="preserve"> ., </t>
    <phoneticPr fontId="2" type="noConversion"/>
  </si>
  <si>
    <t>颱風放假</t>
    <phoneticPr fontId="2" type="noConversion"/>
  </si>
  <si>
    <t>\</t>
    <phoneticPr fontId="2" type="noConversion"/>
  </si>
  <si>
    <t>Diagnosis w CHOL - China</t>
  </si>
  <si>
    <t>Diagnosis II - China</t>
    <phoneticPr fontId="2" type="noConversion"/>
  </si>
  <si>
    <t>Diagnosis II - SCIL</t>
  </si>
  <si>
    <t>Diagnosis Plus - China</t>
  </si>
  <si>
    <t>Diagnosis Plus - SCIL</t>
  </si>
  <si>
    <t>RENAL - China</t>
  </si>
  <si>
    <t>RENAL PANEL - SCIL</t>
  </si>
  <si>
    <t>Preanesthetic - China</t>
  </si>
  <si>
    <t>Preanesthetic - SCIL</t>
  </si>
  <si>
    <t>Thyroid/T4 - China</t>
  </si>
  <si>
    <t>Thyroid/T4 - SCIL</t>
  </si>
  <si>
    <t>Equine - China</t>
  </si>
  <si>
    <t>Large Animal - China</t>
  </si>
  <si>
    <t>Liver Plus - China</t>
  </si>
  <si>
    <t>Liver Plus Panel - SCIL</t>
  </si>
  <si>
    <t>Avian &amp; Reptile - China</t>
  </si>
  <si>
    <t>3630101A02</t>
  </si>
  <si>
    <t>Electrolyte - China</t>
  </si>
  <si>
    <t>3630101A05</t>
  </si>
  <si>
    <t>3630101C02</t>
  </si>
  <si>
    <t>Critical Care Panel-China</t>
  </si>
  <si>
    <t>Diabetes Panel糖尿病(China)</t>
  </si>
  <si>
    <t>Diabetes Panel - SCIL</t>
  </si>
  <si>
    <t>3630101B02</t>
    <phoneticPr fontId="2" type="noConversion"/>
  </si>
  <si>
    <t>3630101B04</t>
    <phoneticPr fontId="2" type="noConversion"/>
  </si>
  <si>
    <t>SA-CREA - SCIL</t>
  </si>
  <si>
    <t>SA-BUN - SCIL</t>
  </si>
  <si>
    <t>SA-CA+PHOS - SCIL</t>
  </si>
  <si>
    <t>SA-TBIL - SCIL</t>
  </si>
  <si>
    <t>SA-CPK+AST - SCIL</t>
  </si>
  <si>
    <t>SA-ALB+TP - SCIL</t>
  </si>
  <si>
    <t>SA-TRIG+CHOL - SCIL</t>
  </si>
  <si>
    <t>Plan</t>
  </si>
  <si>
    <t>SA-GGT+CPK - SCIL</t>
  </si>
  <si>
    <t>SA-LAC - SCIL</t>
  </si>
  <si>
    <t>SA-LIPA+AMY - SCIL</t>
  </si>
  <si>
    <t>SA-NH3 - SCIL</t>
  </si>
  <si>
    <t>SA-UPC - SCIL</t>
  </si>
  <si>
    <t>SA-GLU - SCIL</t>
  </si>
  <si>
    <t>SA-LDH - SCIL</t>
  </si>
  <si>
    <t>SA-BA-SCIL</t>
  </si>
  <si>
    <t>3630101C01</t>
    <phoneticPr fontId="2" type="noConversion"/>
  </si>
  <si>
    <t>3620101A04</t>
    <phoneticPr fontId="2" type="noConversion"/>
  </si>
  <si>
    <t>Electrolyte Panel II</t>
  </si>
  <si>
    <t xml:space="preserve"> 出Menarini，標籤換成skyla，噴碼設定為Menarini專用 </t>
    <phoneticPr fontId="2" type="noConversion"/>
  </si>
  <si>
    <t>3631101D10</t>
    <phoneticPr fontId="2" type="noConversion"/>
  </si>
  <si>
    <t>3631101E17</t>
    <phoneticPr fontId="2" type="noConversion"/>
  </si>
  <si>
    <t xml:space="preserve">國內線 </t>
    <phoneticPr fontId="2" type="noConversion"/>
  </si>
  <si>
    <t>SDMA  台灣</t>
    <phoneticPr fontId="2" type="noConversion"/>
  </si>
  <si>
    <t>fPL包裝 韓國</t>
    <phoneticPr fontId="2" type="noConversion"/>
  </si>
  <si>
    <t>3654100000</t>
    <phoneticPr fontId="2" type="noConversion"/>
  </si>
  <si>
    <t>3654100001</t>
    <phoneticPr fontId="2" type="noConversion"/>
  </si>
  <si>
    <t>3654100002</t>
    <phoneticPr fontId="2" type="noConversion"/>
  </si>
  <si>
    <t xml:space="preserve"> (CZP VI 鋁袋)</t>
    <phoneticPr fontId="2" type="noConversion"/>
  </si>
  <si>
    <t>大陸  (CZP VI 鋁袋)</t>
    <phoneticPr fontId="2" type="noConversion"/>
  </si>
  <si>
    <t>Prof-通用
(國際)</t>
    <phoneticPr fontId="2" type="noConversion"/>
  </si>
  <si>
    <t>台灣
(繁中)</t>
    <phoneticPr fontId="2" type="noConversion"/>
  </si>
  <si>
    <t>Equine Panel - SCIL</t>
    <phoneticPr fontId="2" type="noConversion"/>
  </si>
  <si>
    <t>Large Animal Panel - SCIL</t>
    <phoneticPr fontId="2" type="noConversion"/>
  </si>
  <si>
    <t>3630101C04</t>
    <phoneticPr fontId="2" type="noConversion"/>
  </si>
  <si>
    <t>Electrolyte - SCIL</t>
    <phoneticPr fontId="2" type="noConversion"/>
  </si>
  <si>
    <t>Critical Care Panel - SCIL</t>
    <phoneticPr fontId="2" type="noConversion"/>
  </si>
  <si>
    <t>休</t>
    <phoneticPr fontId="2" type="noConversion"/>
  </si>
  <si>
    <t>`</t>
    <phoneticPr fontId="2" type="noConversion"/>
  </si>
  <si>
    <t>春節</t>
    <phoneticPr fontId="2" type="noConversion"/>
  </si>
  <si>
    <t>SA-TRIG+CHOL - China</t>
    <phoneticPr fontId="2" type="noConversion"/>
  </si>
  <si>
    <t>SA-UPC - China</t>
    <phoneticPr fontId="2" type="noConversion"/>
  </si>
  <si>
    <t>Diagnosis w CHOL</t>
    <phoneticPr fontId="2" type="noConversion"/>
  </si>
  <si>
    <r>
      <t xml:space="preserve">VI Carrier 練習盤 </t>
    </r>
    <r>
      <rPr>
        <b/>
        <sz val="26"/>
        <color rgb="FFFF0000"/>
        <rFont val="微軟正黑體"/>
        <family val="2"/>
        <charset val="136"/>
      </rPr>
      <t>RSB</t>
    </r>
    <phoneticPr fontId="2" type="noConversion"/>
  </si>
  <si>
    <t>台電歲修</t>
    <phoneticPr fontId="2" type="noConversion"/>
  </si>
  <si>
    <t>年底盤點</t>
    <phoneticPr fontId="2" type="noConversion"/>
  </si>
  <si>
    <t>SA-ALP+ALT - SCIL</t>
    <phoneticPr fontId="2" type="noConversion"/>
  </si>
  <si>
    <t>年終晚會</t>
    <phoneticPr fontId="2" type="noConversion"/>
  </si>
  <si>
    <t>5ul 採血針寄出</t>
    <phoneticPr fontId="2" type="noConversion"/>
  </si>
  <si>
    <t>滴定不開線，夜班07:00 收線</t>
    <phoneticPr fontId="2" type="noConversion"/>
  </si>
  <si>
    <t>日夜排休各1，2天</t>
    <phoneticPr fontId="2" type="noConversion"/>
  </si>
  <si>
    <t>領班決定排休</t>
    <phoneticPr fontId="2" type="noConversion"/>
  </si>
  <si>
    <t>Production Plan_VQ</t>
    <phoneticPr fontId="2" type="noConversion"/>
  </si>
  <si>
    <t>3630102F01</t>
    <phoneticPr fontId="2" type="noConversion"/>
  </si>
  <si>
    <t>3630102A01</t>
    <phoneticPr fontId="2" type="noConversion"/>
  </si>
  <si>
    <t> Serum Amyloid A (SAA  )</t>
    <phoneticPr fontId="2" type="noConversion"/>
  </si>
  <si>
    <t>S-DMA  (SDMA)</t>
    <phoneticPr fontId="2" type="noConversion"/>
  </si>
  <si>
    <t>Total T4 (TT4)</t>
    <phoneticPr fontId="2" type="noConversion"/>
  </si>
  <si>
    <t>Canine CRP (cCRP )</t>
    <phoneticPr fontId="2" type="noConversion"/>
  </si>
  <si>
    <t>(ELISA) Feline Pancreas-specific Lipase (fPL )</t>
    <phoneticPr fontId="2" type="noConversion"/>
  </si>
  <si>
    <t>(ELISA) Canine Pancreas-specific Lipase (cPL  )</t>
    <phoneticPr fontId="2" type="noConversion"/>
  </si>
  <si>
    <t>3630102G01</t>
    <phoneticPr fontId="2" type="noConversion"/>
  </si>
  <si>
    <t>Phenobarbital (PHBR)</t>
    <phoneticPr fontId="2" type="noConversion"/>
  </si>
  <si>
    <t>3631102201</t>
    <phoneticPr fontId="2" type="noConversion"/>
  </si>
  <si>
    <t>加班</t>
    <phoneticPr fontId="2" type="noConversion"/>
  </si>
  <si>
    <t>3630102B01</t>
  </si>
  <si>
    <t>3630102C01</t>
  </si>
  <si>
    <t>Diagnosis plus 27
(DP) 綜合診斷</t>
    <phoneticPr fontId="2" type="noConversion"/>
  </si>
  <si>
    <t>Critical Care 26
(CC) 危重症</t>
    <phoneticPr fontId="2" type="noConversion"/>
  </si>
  <si>
    <t>Core Chem 13
(CO) 核心生化</t>
    <phoneticPr fontId="2" type="noConversion"/>
  </si>
  <si>
    <t>Renal 26
(RN) 腎功能檢查</t>
    <phoneticPr fontId="2" type="noConversion"/>
  </si>
  <si>
    <t>Liver 23
(LV) 肝功能檢查</t>
    <phoneticPr fontId="2" type="noConversion"/>
  </si>
  <si>
    <t>Liver add-on 10
肝功能補充片</t>
    <phoneticPr fontId="2" type="noConversion"/>
  </si>
  <si>
    <t>Diabetes 10
(DB) 糖尿病</t>
    <phoneticPr fontId="2" type="noConversion"/>
  </si>
  <si>
    <t>Small Exotic Pets 13
(EP 異寵常規</t>
    <phoneticPr fontId="2" type="noConversion"/>
  </si>
  <si>
    <t>Avian &amp; Reptile 26
(AR) 異寵全套</t>
    <phoneticPr fontId="2" type="noConversion"/>
  </si>
  <si>
    <t>General Chem 26
(GC) 常規生化</t>
    <phoneticPr fontId="2" type="noConversion"/>
  </si>
  <si>
    <t>3630102401</t>
    <phoneticPr fontId="18" type="noConversion"/>
  </si>
  <si>
    <t>3630102402</t>
    <phoneticPr fontId="18" type="noConversion"/>
  </si>
  <si>
    <t>3630102403</t>
    <phoneticPr fontId="18" type="noConversion"/>
  </si>
  <si>
    <t>3630102404</t>
    <phoneticPr fontId="18" type="noConversion"/>
  </si>
  <si>
    <t>3630102405</t>
    <phoneticPr fontId="18" type="noConversion"/>
  </si>
  <si>
    <t>UPC  (尿液檢測)     </t>
    <phoneticPr fontId="2" type="noConversion"/>
  </si>
  <si>
    <t>Specific Test 1
(ST1)</t>
    <phoneticPr fontId="18" type="noConversion"/>
  </si>
  <si>
    <t>Specific Test 2
(ST2)</t>
    <phoneticPr fontId="18" type="noConversion"/>
  </si>
  <si>
    <t>Specific Test 3
(ST3)</t>
    <phoneticPr fontId="18" type="noConversion"/>
  </si>
  <si>
    <t>Specific Test 4
(ST4)</t>
    <phoneticPr fontId="18" type="noConversion"/>
  </si>
  <si>
    <t>Specific Test 6
(ST6)</t>
    <phoneticPr fontId="18" type="noConversion"/>
  </si>
  <si>
    <t>機台調整無法填藥
可注水，包裝</t>
    <phoneticPr fontId="2" type="noConversion"/>
  </si>
  <si>
    <t>3631102D01</t>
    <phoneticPr fontId="2" type="noConversion"/>
  </si>
  <si>
    <t>Electrolyte 7
(EL) 電解質</t>
    <phoneticPr fontId="2" type="noConversion"/>
  </si>
  <si>
    <t>Panel_NO</t>
    <phoneticPr fontId="2" type="noConversion"/>
  </si>
  <si>
    <t>效期12 M</t>
  </si>
  <si>
    <t>安庫 150 
 效期 6 M</t>
    <phoneticPr fontId="2" type="noConversion"/>
  </si>
  <si>
    <t>安庫 150  
效期 6 M</t>
    <phoneticPr fontId="2" type="noConversion"/>
  </si>
  <si>
    <t>安庫 200  
效期 12M</t>
    <phoneticPr fontId="2" type="noConversion"/>
  </si>
  <si>
    <t>效期 12M</t>
    <phoneticPr fontId="2" type="noConversion"/>
  </si>
  <si>
    <t xml:space="preserve">Equine 26
(EQ) 馬匹健康检查；马匹健检 26 </t>
    <phoneticPr fontId="2" type="noConversion"/>
  </si>
  <si>
    <t xml:space="preserve">Large Animal 25
(LA) 大動物健康檢查；大动物健检 25 </t>
    <phoneticPr fontId="2" type="noConversion"/>
  </si>
  <si>
    <t>Coag. ；  凝血检查   </t>
    <phoneticPr fontId="2" type="noConversion"/>
  </si>
  <si>
    <t>Optimum Wellness 37
(OW) 安心百歲；超级健检</t>
    <phoneticPr fontId="2" type="noConversion"/>
  </si>
  <si>
    <t>效期 12個月
新配方效期 6個月</t>
    <phoneticPr fontId="2" type="noConversion"/>
  </si>
  <si>
    <t>效期 9 個月
新配方效期 12 個月</t>
    <phoneticPr fontId="2" type="noConversion"/>
  </si>
  <si>
    <t>效期 9 個月
新配方效期 12 個月
韓國線</t>
    <phoneticPr fontId="2" type="noConversion"/>
  </si>
  <si>
    <t>Avian &amp; Reptile Panel - SCIL</t>
    <phoneticPr fontId="2" type="noConversion"/>
  </si>
  <si>
    <t>安庫 2000
效期12 M</t>
    <phoneticPr fontId="2" type="noConversion"/>
  </si>
  <si>
    <t>安庫 300
效期12 M</t>
    <phoneticPr fontId="2" type="noConversion"/>
  </si>
  <si>
    <t>安庫 500
效期12 M</t>
    <phoneticPr fontId="2" type="noConversion"/>
  </si>
  <si>
    <t>安庫 1000
效期12 M</t>
    <phoneticPr fontId="2" type="noConversion"/>
  </si>
  <si>
    <t>安庫 100
效期12 M</t>
    <phoneticPr fontId="2" type="noConversion"/>
  </si>
  <si>
    <t>安庫 :看訂單
效期12 M</t>
    <phoneticPr fontId="2" type="noConversion"/>
  </si>
  <si>
    <t>安庫 200
效期12 M</t>
    <phoneticPr fontId="2" type="noConversion"/>
  </si>
  <si>
    <t>安庫 500
日產能 200  (RD)
效期 6 M</t>
    <phoneticPr fontId="2" type="noConversion"/>
  </si>
  <si>
    <t>安庫 300
 效期 6 M</t>
    <phoneticPr fontId="2" type="noConversion"/>
  </si>
  <si>
    <t>UmALB   (尿液檢測)     </t>
    <phoneticPr fontId="2" type="noConversion"/>
  </si>
  <si>
    <t>安庫 100 
效期 ???</t>
    <phoneticPr fontId="2" type="noConversion"/>
  </si>
  <si>
    <t xml:space="preserve">EN 驗證 </t>
    <phoneticPr fontId="2" type="noConversion"/>
  </si>
  <si>
    <t>C1C2 C3 C4  C5 卡匣驗證</t>
    <phoneticPr fontId="2" type="noConversion"/>
  </si>
  <si>
    <t>庫房
加班</t>
    <phoneticPr fontId="2" type="noConversion"/>
  </si>
  <si>
    <t>3631101D05</t>
  </si>
  <si>
    <t>3631102701</t>
    <phoneticPr fontId="2" type="noConversion"/>
  </si>
  <si>
    <t>3631102801</t>
    <phoneticPr fontId="2" type="noConversion"/>
  </si>
  <si>
    <t>安庫 500
China
效期12 M</t>
    <phoneticPr fontId="2" type="noConversion"/>
  </si>
  <si>
    <t>C1  C5 卡匣異常不可出貨</t>
    <phoneticPr fontId="2" type="noConversion"/>
  </si>
  <si>
    <t>3630102303</t>
    <phoneticPr fontId="2" type="noConversion"/>
  </si>
  <si>
    <t>3630102102</t>
    <phoneticPr fontId="2" type="noConversion"/>
  </si>
  <si>
    <t>3637101001</t>
    <phoneticPr fontId="2" type="noConversion"/>
  </si>
  <si>
    <t>3630102001</t>
    <phoneticPr fontId="2" type="noConversion"/>
  </si>
  <si>
    <t>3630102701</t>
    <phoneticPr fontId="2" type="noConversion"/>
  </si>
  <si>
    <t>3630102801</t>
    <phoneticPr fontId="2" type="noConversion"/>
  </si>
  <si>
    <t>3630102201</t>
    <phoneticPr fontId="2" type="noConversion"/>
  </si>
  <si>
    <t>DB  C4 卡匣
安庫 500
效期12 M</t>
    <phoneticPr fontId="2" type="noConversion"/>
  </si>
  <si>
    <t>OW3 C5 卡匣
安庫 300
效期12 M</t>
    <phoneticPr fontId="2" type="noConversion"/>
  </si>
  <si>
    <t>ST5 C4 卡匣
安庫 100
效期12 M</t>
    <phoneticPr fontId="2" type="noConversion"/>
  </si>
  <si>
    <t>Specific Test 5
(ST5)</t>
    <phoneticPr fontId="2" type="noConversion"/>
  </si>
  <si>
    <t>上蓋到貨</t>
    <phoneticPr fontId="2" type="noConversion"/>
  </si>
  <si>
    <t xml:space="preserve">cPROG    </t>
    <phoneticPr fontId="2" type="noConversion"/>
  </si>
  <si>
    <t xml:space="preserve">cCORT     </t>
    <phoneticPr fontId="2" type="noConversion"/>
  </si>
  <si>
    <t xml:space="preserve">cTSH        </t>
    <phoneticPr fontId="2" type="noConversion"/>
  </si>
  <si>
    <t xml:space="preserve">cNBNP    </t>
    <phoneticPr fontId="2" type="noConversion"/>
  </si>
  <si>
    <t>3630102002</t>
  </si>
  <si>
    <t>核心生化 13  (China  貝塔貓)</t>
    <phoneticPr fontId="2" type="noConversion"/>
  </si>
  <si>
    <t>3630102F02</t>
    <phoneticPr fontId="2" type="noConversion"/>
  </si>
  <si>
    <r>
      <rPr>
        <sz val="26"/>
        <rFont val="微軟正黑體"/>
        <family val="2"/>
        <charset val="136"/>
      </rPr>
      <t>常规生化 26 (China 貝塔貓)</t>
    </r>
    <phoneticPr fontId="2" type="noConversion"/>
  </si>
  <si>
    <r>
      <rPr>
        <sz val="26"/>
        <rFont val="微軟正黑體"/>
        <family val="2"/>
        <charset val="136"/>
      </rPr>
      <t>超级健检 37 (China 貝塔貓)</t>
    </r>
    <phoneticPr fontId="2" type="noConversion"/>
  </si>
  <si>
    <t>3630102G02</t>
    <phoneticPr fontId="2" type="noConversion"/>
  </si>
  <si>
    <r>
      <rPr>
        <sz val="26"/>
        <rFont val="微軟正黑體"/>
        <family val="2"/>
        <charset val="136"/>
      </rPr>
      <t>电解质 7 (China 貝塔貓)</t>
    </r>
    <phoneticPr fontId="2" type="noConversion"/>
  </si>
  <si>
    <t>3630102A02</t>
    <phoneticPr fontId="2" type="noConversion"/>
  </si>
  <si>
    <t>异宠常规 13 (China 貝塔貓)</t>
    <phoneticPr fontId="2" type="noConversion"/>
  </si>
  <si>
    <t>糖尿病 10  (China 貝塔貓)</t>
    <phoneticPr fontId="2" type="noConversion"/>
  </si>
  <si>
    <t>肾功能检查 15 (China 貝塔貓)</t>
    <phoneticPr fontId="2" type="noConversion"/>
  </si>
  <si>
    <t>3630102103</t>
    <phoneticPr fontId="2" type="noConversion"/>
  </si>
  <si>
    <t>肝功能检查 11 ( China  貝塔貓)</t>
    <phoneticPr fontId="2" type="noConversion"/>
  </si>
  <si>
    <t>3630102304</t>
    <phoneticPr fontId="2" type="noConversion"/>
  </si>
  <si>
    <t>SCIL 5月出貨ELISA 新舊配方</t>
    <phoneticPr fontId="2" type="noConversion"/>
  </si>
  <si>
    <t>EQ2 C2 卡匣
安庫 :看訂單
效期12 M</t>
    <phoneticPr fontId="2" type="noConversion"/>
  </si>
  <si>
    <t>CC2 C3 卡匣
安庫 300
效期12 M</t>
    <phoneticPr fontId="2" type="noConversion"/>
  </si>
  <si>
    <t>2ul 卡匣+B板上蓋
安庫 200  1盒 769 
效期 12M</t>
    <phoneticPr fontId="2" type="noConversion"/>
  </si>
  <si>
    <t>2ul 卡匣+B板上蓋
未來送樣  2盒 143  
效期 9M</t>
    <phoneticPr fontId="2" type="noConversion"/>
  </si>
  <si>
    <t>5ul 卡匣+B板上蓋
安庫 150  1盒 308 
效期 12M</t>
    <phoneticPr fontId="2" type="noConversion"/>
  </si>
  <si>
    <t>2ul 卡匣+A板上蓋
安庫 300  1盒 933 
效期 6M</t>
    <phoneticPr fontId="2" type="noConversion"/>
  </si>
  <si>
    <t>SDMA-china
SDMA试剂卡匣 中國台灣標籤</t>
    <phoneticPr fontId="2" type="noConversion"/>
  </si>
  <si>
    <t>5ul 卡匣+A板上蓋
安庫 300  1盒 756 
 效期 9 M</t>
    <phoneticPr fontId="2" type="noConversion"/>
  </si>
  <si>
    <t xml:space="preserve">Renal 15 (RL) </t>
    <phoneticPr fontId="2" type="noConversion"/>
  </si>
  <si>
    <t>Liver 11
(LV) 大陸市場肝功能 11</t>
    <phoneticPr fontId="2" type="noConversion"/>
  </si>
  <si>
    <t>需要挑選 CREA CRP  BEADS</t>
    <phoneticPr fontId="2" type="noConversion"/>
  </si>
  <si>
    <t>IVEN 請假</t>
    <phoneticPr fontId="2" type="noConversion"/>
  </si>
  <si>
    <t>CRP，</t>
    <phoneticPr fontId="2" type="noConversion"/>
  </si>
  <si>
    <t>90+90</t>
    <phoneticPr fontId="2" type="noConversion"/>
  </si>
  <si>
    <t>0-</t>
    <phoneticPr fontId="2" type="noConversion"/>
  </si>
  <si>
    <t>比濁 5ml卡匣+B版上蓋+ELISA 標籤
安庫 100
效期12 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</si>
</sst>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76" formatCode="_(* #,##0.00_);_(* \(#,##0.00\);_(* &quot;-&quot;??_);_(@_)"/>
    <numFmt numFmtId="177" formatCode="m/d;@"/>
    <numFmt numFmtId="178" formatCode="#,##0_ ;[Red]\-#,##0\ "/>
    <numFmt numFmtId="179" formatCode="0_ ;[Red]\-0\ "/>
    <numFmt numFmtId="180" formatCode="0_ "/>
  </numFmts>
  <fonts count="15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10"/>
      <color indexed="17"/>
      <name val="Arial"/>
      <family val="2"/>
    </font>
    <font>
      <sz val="10"/>
      <color indexed="2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2"/>
      <color rgb="FFFF0000"/>
      <name val="新細明體"/>
      <family val="2"/>
      <charset val="136"/>
      <scheme val="minor"/>
    </font>
    <font>
      <sz val="12"/>
      <color indexed="81"/>
      <name val="細明體"/>
      <family val="3"/>
      <charset val="136"/>
    </font>
    <font>
      <b/>
      <sz val="18"/>
      <color indexed="81"/>
      <name val="細明體"/>
      <family val="3"/>
      <charset val="136"/>
    </font>
    <font>
      <sz val="14"/>
      <color theme="1"/>
      <name val="新細明體"/>
      <family val="1"/>
      <charset val="136"/>
      <scheme val="minor"/>
    </font>
    <font>
      <sz val="18"/>
      <color indexed="81"/>
      <name val="細明體"/>
      <family val="3"/>
      <charset val="136"/>
    </font>
    <font>
      <sz val="18"/>
      <color indexed="81"/>
      <name val="Tahoma"/>
      <family val="2"/>
    </font>
    <font>
      <sz val="14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22"/>
      <color indexed="81"/>
      <name val="細明體"/>
      <family val="3"/>
      <charset val="136"/>
    </font>
    <font>
      <sz val="22"/>
      <color indexed="81"/>
      <name val="Tahoma"/>
      <family val="2"/>
    </font>
    <font>
      <sz val="16"/>
      <color theme="1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sz val="22"/>
      <color theme="1"/>
      <name val="新細明體"/>
      <family val="2"/>
      <charset val="136"/>
      <scheme val="minor"/>
    </font>
    <font>
      <sz val="16"/>
      <color theme="1"/>
      <name val="Calibri"/>
      <family val="2"/>
    </font>
    <font>
      <sz val="11"/>
      <color theme="1"/>
      <name val="新細明體"/>
      <family val="2"/>
      <charset val="136"/>
      <scheme val="minor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</font>
    <font>
      <sz val="18"/>
      <color theme="1"/>
      <name val="細明體"/>
      <family val="3"/>
      <charset val="136"/>
    </font>
    <font>
      <b/>
      <sz val="24"/>
      <color rgb="FF000000"/>
      <name val="微軟正黑體"/>
      <family val="2"/>
      <charset val="136"/>
    </font>
    <font>
      <b/>
      <sz val="16"/>
      <color rgb="FF00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b/>
      <sz val="18"/>
      <color rgb="FF000000"/>
      <name val="微軟正黑體"/>
      <family val="2"/>
      <charset val="136"/>
    </font>
    <font>
      <b/>
      <sz val="12"/>
      <color rgb="FF000000"/>
      <name val="新細明體"/>
      <family val="1"/>
      <charset val="136"/>
    </font>
    <font>
      <b/>
      <sz val="16"/>
      <color rgb="FF000000"/>
      <name val="新細明體"/>
      <family val="1"/>
      <charset val="136"/>
    </font>
    <font>
      <b/>
      <sz val="24"/>
      <color rgb="FF000000"/>
      <name val="新細明體"/>
      <family val="1"/>
      <charset val="136"/>
    </font>
    <font>
      <sz val="12"/>
      <color rgb="FF000000"/>
      <name val="Microsoft YaHei UI"/>
      <family val="2"/>
      <charset val="134"/>
    </font>
    <font>
      <sz val="12"/>
      <color rgb="FFFF0000"/>
      <name val="Arial"/>
      <family val="2"/>
    </font>
    <font>
      <sz val="26"/>
      <color theme="1"/>
      <name val="新細明體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微軟正黑體"/>
      <family val="2"/>
      <charset val="136"/>
    </font>
    <font>
      <b/>
      <sz val="22"/>
      <color indexed="81"/>
      <name val="Tahoma"/>
      <family val="2"/>
    </font>
    <font>
      <b/>
      <sz val="22"/>
      <color indexed="81"/>
      <name val="細明體"/>
      <family val="3"/>
      <charset val="136"/>
    </font>
    <font>
      <sz val="22"/>
      <color theme="1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2"/>
      <color theme="1"/>
      <name val="標楷體"/>
      <family val="4"/>
      <charset val="136"/>
    </font>
    <font>
      <b/>
      <sz val="11"/>
      <color theme="1"/>
      <name val="標楷體"/>
      <family val="4"/>
      <charset val="136"/>
    </font>
    <font>
      <sz val="12"/>
      <name val="新細明體"/>
      <family val="1"/>
      <charset val="136"/>
      <scheme val="minor"/>
    </font>
    <font>
      <sz val="12"/>
      <name val="Calibri"/>
      <family val="2"/>
    </font>
    <font>
      <sz val="12"/>
      <color theme="1"/>
      <name val="Calibri"/>
      <family val="2"/>
    </font>
    <font>
      <sz val="12"/>
      <color theme="1"/>
      <name val="Microsoft JhengHei Light"/>
      <family val="2"/>
      <charset val="136"/>
    </font>
    <font>
      <sz val="22"/>
      <name val="新細明體"/>
      <family val="1"/>
      <charset val="136"/>
      <scheme val="minor"/>
    </font>
    <font>
      <sz val="22"/>
      <color rgb="FF0000FF"/>
      <name val="微軟正黑體"/>
      <family val="2"/>
      <charset val="136"/>
    </font>
    <font>
      <sz val="18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  <font>
      <sz val="10"/>
      <color theme="1" tint="0.499984740745262"/>
      <name val="新細明體"/>
      <family val="1"/>
      <charset val="136"/>
      <scheme val="minor"/>
    </font>
    <font>
      <sz val="12"/>
      <name val="新細明體"/>
      <family val="2"/>
      <charset val="136"/>
    </font>
    <font>
      <sz val="12"/>
      <color rgb="FF00B050"/>
      <name val="Calibri"/>
      <family val="2"/>
    </font>
    <font>
      <b/>
      <sz val="24"/>
      <color indexed="81"/>
      <name val="細明體"/>
      <family val="3"/>
      <charset val="136"/>
    </font>
    <font>
      <b/>
      <sz val="24"/>
      <color indexed="81"/>
      <name val="Tahoma"/>
      <family val="2"/>
    </font>
    <font>
      <sz val="24"/>
      <color indexed="81"/>
      <name val="細明體"/>
      <family val="3"/>
      <charset val="136"/>
    </font>
    <font>
      <sz val="24"/>
      <color indexed="81"/>
      <name val="Tahoma"/>
      <family val="2"/>
    </font>
    <font>
      <b/>
      <sz val="26"/>
      <color indexed="81"/>
      <name val="Tahoma"/>
      <family val="2"/>
    </font>
    <font>
      <b/>
      <sz val="26"/>
      <color indexed="81"/>
      <name val="細明體"/>
      <family val="3"/>
      <charset val="136"/>
    </font>
    <font>
      <sz val="26"/>
      <color indexed="81"/>
      <name val="微軟正黑體"/>
      <family val="2"/>
      <charset val="136"/>
    </font>
    <font>
      <sz val="22"/>
      <color indexed="81"/>
      <name val="微軟正黑體"/>
      <family val="2"/>
      <charset val="136"/>
    </font>
    <font>
      <b/>
      <sz val="18"/>
      <color theme="1"/>
      <name val="微軟正黑體"/>
      <family val="2"/>
      <charset val="136"/>
    </font>
    <font>
      <b/>
      <sz val="18"/>
      <color rgb="FFFF0000"/>
      <name val="微軟正黑體"/>
      <family val="2"/>
      <charset val="136"/>
    </font>
    <font>
      <sz val="18"/>
      <color theme="1"/>
      <name val="微軟正黑體"/>
      <family val="2"/>
      <charset val="136"/>
    </font>
    <font>
      <b/>
      <sz val="18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26"/>
      <color indexed="81"/>
      <name val="微軟正黑體"/>
      <family val="2"/>
      <charset val="136"/>
    </font>
    <font>
      <b/>
      <sz val="20"/>
      <color rgb="FF00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22"/>
      <color theme="3" tint="-0.249977111117893"/>
      <name val="微軟正黑體"/>
      <family val="2"/>
      <charset val="136"/>
    </font>
    <font>
      <b/>
      <sz val="20"/>
      <color theme="3" tint="-0.249977111117893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indexed="81"/>
      <name val="Tahoma"/>
      <family val="2"/>
    </font>
    <font>
      <sz val="20"/>
      <color indexed="81"/>
      <name val="Tahoma"/>
      <family val="2"/>
    </font>
    <font>
      <b/>
      <sz val="20"/>
      <color indexed="81"/>
      <name val="細明體"/>
      <family val="3"/>
      <charset val="136"/>
    </font>
    <font>
      <sz val="26"/>
      <color indexed="81"/>
      <name val="細明體"/>
      <family val="3"/>
      <charset val="136"/>
    </font>
    <font>
      <b/>
      <sz val="28"/>
      <color indexed="81"/>
      <name val="Tahoma"/>
      <family val="2"/>
    </font>
    <font>
      <b/>
      <sz val="28"/>
      <color indexed="81"/>
      <name val="細明體"/>
      <family val="3"/>
      <charset val="136"/>
    </font>
    <font>
      <b/>
      <sz val="36"/>
      <color indexed="81"/>
      <name val="Tahoma"/>
      <family val="2"/>
    </font>
    <font>
      <b/>
      <sz val="36"/>
      <color indexed="81"/>
      <name val="細明體"/>
      <family val="3"/>
      <charset val="136"/>
    </font>
    <font>
      <sz val="28"/>
      <color indexed="81"/>
      <name val="Tahoma"/>
      <family val="2"/>
    </font>
    <font>
      <sz val="28"/>
      <color indexed="81"/>
      <name val="細明體"/>
      <family val="3"/>
      <charset val="136"/>
    </font>
    <font>
      <sz val="36"/>
      <color indexed="81"/>
      <name val="細明體"/>
      <family val="3"/>
      <charset val="136"/>
    </font>
    <font>
      <b/>
      <sz val="30"/>
      <color indexed="81"/>
      <name val="Tahoma"/>
      <family val="2"/>
    </font>
    <font>
      <b/>
      <sz val="30"/>
      <color indexed="81"/>
      <name val="細明體"/>
      <family val="3"/>
      <charset val="136"/>
    </font>
    <font>
      <b/>
      <sz val="28"/>
      <color indexed="81"/>
      <name val="微軟正黑體"/>
      <family val="2"/>
      <charset val="136"/>
    </font>
    <font>
      <b/>
      <sz val="20"/>
      <color theme="1" tint="4.9989318521683403E-2"/>
      <name val="微軟正黑體"/>
      <family val="2"/>
      <charset val="136"/>
    </font>
    <font>
      <b/>
      <sz val="36"/>
      <color indexed="8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4"/>
      <name val="微軟正黑體"/>
      <family val="2"/>
      <charset val="136"/>
    </font>
    <font>
      <sz val="26"/>
      <color indexed="81"/>
      <name val="Tahoma"/>
      <family val="2"/>
    </font>
    <font>
      <b/>
      <sz val="30"/>
      <color indexed="81"/>
      <name val="微軟正黑體"/>
      <family val="2"/>
      <charset val="136"/>
    </font>
    <font>
      <b/>
      <sz val="28"/>
      <color indexed="81"/>
      <name val="新細明體"/>
      <family val="1"/>
      <charset val="136"/>
    </font>
    <font>
      <b/>
      <sz val="28"/>
      <color indexed="81"/>
      <name val="Microsoft JhengHei Light"/>
      <family val="2"/>
      <charset val="136"/>
    </font>
    <font>
      <b/>
      <sz val="36"/>
      <color indexed="81"/>
      <name val="新細明體"/>
      <family val="1"/>
      <charset val="136"/>
    </font>
    <font>
      <b/>
      <sz val="72"/>
      <color indexed="81"/>
      <name val="細明體"/>
      <family val="3"/>
      <charset val="136"/>
    </font>
    <font>
      <sz val="18"/>
      <color rgb="FFFF0000"/>
      <name val="微軟正黑體"/>
      <family val="2"/>
      <charset val="136"/>
    </font>
    <font>
      <sz val="30"/>
      <color indexed="81"/>
      <name val="Tahoma"/>
      <family val="2"/>
    </font>
    <font>
      <sz val="30"/>
      <color indexed="81"/>
      <name val="細明體"/>
      <family val="3"/>
      <charset val="136"/>
    </font>
    <font>
      <sz val="20"/>
      <color indexed="81"/>
      <name val="細明體"/>
      <family val="3"/>
      <charset val="136"/>
    </font>
    <font>
      <b/>
      <sz val="20"/>
      <color indexed="81"/>
      <name val="新細明體"/>
      <family val="2"/>
      <charset val="136"/>
    </font>
    <font>
      <b/>
      <sz val="18"/>
      <color indexed="81"/>
      <name val="Tahoma"/>
      <family val="2"/>
    </font>
    <font>
      <b/>
      <sz val="16"/>
      <color indexed="81"/>
      <name val="細明體"/>
      <family val="3"/>
      <charset val="136"/>
    </font>
    <font>
      <b/>
      <sz val="24"/>
      <color theme="1"/>
      <name val="Microsoft JhengHei UI"/>
      <family val="2"/>
      <charset val="136"/>
    </font>
    <font>
      <sz val="16"/>
      <color indexed="81"/>
      <name val="細明體"/>
      <family val="3"/>
      <charset val="136"/>
    </font>
    <font>
      <sz val="16"/>
      <color indexed="81"/>
      <name val="Tahoma"/>
      <family val="2"/>
    </font>
    <font>
      <sz val="36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6"/>
      <color indexed="81"/>
      <name val="新細明體"/>
      <family val="1"/>
      <charset val="136"/>
    </font>
    <font>
      <b/>
      <sz val="22"/>
      <color indexed="81"/>
      <name val="新細明體"/>
      <family val="2"/>
      <charset val="136"/>
    </font>
    <font>
      <b/>
      <sz val="22"/>
      <color indexed="81"/>
      <name val="新細明體"/>
      <family val="1"/>
      <charset val="136"/>
    </font>
    <font>
      <b/>
      <sz val="24"/>
      <color indexed="81"/>
      <name val="新細明體"/>
      <family val="1"/>
      <charset val="136"/>
    </font>
    <font>
      <sz val="9"/>
      <color indexed="81"/>
      <name val="細明體"/>
      <family val="3"/>
      <charset val="136"/>
    </font>
    <font>
      <b/>
      <sz val="26"/>
      <color indexed="81"/>
      <name val="新細明體"/>
      <family val="1"/>
      <charset val="136"/>
    </font>
    <font>
      <b/>
      <sz val="36"/>
      <color theme="1"/>
      <name val="微軟正黑體"/>
      <family val="2"/>
      <charset val="136"/>
    </font>
    <font>
      <b/>
      <sz val="26"/>
      <color rgb="FFFF0000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18"/>
      <color theme="1"/>
      <name val="Microsoft JhengHei UI"/>
      <family val="2"/>
      <charset val="136"/>
    </font>
    <font>
      <sz val="24"/>
      <color theme="1"/>
      <name val="Aptos"/>
      <family val="2"/>
    </font>
    <font>
      <b/>
      <sz val="26"/>
      <color rgb="FF0000FF"/>
      <name val="微軟正黑體"/>
      <family val="2"/>
      <charset val="136"/>
    </font>
    <font>
      <sz val="26"/>
      <color theme="1"/>
      <name val="Aptos"/>
      <family val="2"/>
    </font>
    <font>
      <sz val="26"/>
      <color theme="1"/>
      <name val="微軟正黑體"/>
      <family val="2"/>
      <charset val="136"/>
    </font>
    <font>
      <b/>
      <sz val="20"/>
      <color indexed="81"/>
      <name val="新細明體"/>
      <family val="1"/>
      <charset val="136"/>
    </font>
    <font>
      <b/>
      <sz val="26"/>
      <color theme="1"/>
      <name val="微軟正黑體"/>
      <family val="2"/>
      <charset val="136"/>
    </font>
    <font>
      <sz val="26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trike/>
      <sz val="26"/>
      <color rgb="FFFF0000"/>
      <name val="微軟正黑體"/>
      <family val="2"/>
      <charset val="136"/>
    </font>
    <font>
      <strike/>
      <sz val="26"/>
      <color rgb="FFFF0000"/>
      <name val="微軟正黑體"/>
      <family val="2"/>
      <charset val="136"/>
    </font>
    <font>
      <b/>
      <sz val="25"/>
      <color indexed="81"/>
      <name val="Tahoma"/>
      <family val="2"/>
    </font>
    <font>
      <b/>
      <sz val="25"/>
      <color indexed="81"/>
      <name val="細明體"/>
      <family val="3"/>
      <charset val="136"/>
    </font>
    <font>
      <b/>
      <strike/>
      <sz val="22"/>
      <color rgb="FFFF0000"/>
      <name val="微軟正黑體"/>
      <family val="2"/>
      <charset val="136"/>
    </font>
    <font>
      <b/>
      <sz val="48"/>
      <color indexed="81"/>
      <name val="Tahoma"/>
      <family val="2"/>
    </font>
    <font>
      <b/>
      <sz val="48"/>
      <color indexed="81"/>
      <name val="細明體"/>
      <family val="3"/>
      <charset val="136"/>
    </font>
    <font>
      <b/>
      <sz val="48"/>
      <color indexed="81"/>
      <name val="新細明體"/>
      <family val="1"/>
      <charset val="136"/>
      <scheme val="minor"/>
    </font>
    <font>
      <b/>
      <sz val="48"/>
      <color indexed="81"/>
      <name val="新細明體"/>
      <family val="1"/>
      <charset val="136"/>
    </font>
    <font>
      <sz val="48"/>
      <color indexed="81"/>
      <name val="Tahoma"/>
      <family val="2"/>
    </font>
    <font>
      <sz val="48"/>
      <color indexed="81"/>
      <name val="細明體"/>
      <family val="3"/>
      <charset val="136"/>
    </font>
    <font>
      <b/>
      <sz val="22"/>
      <color rgb="FFFF0000"/>
      <name val="微軟正黑體"/>
      <family val="2"/>
      <charset val="136"/>
    </font>
    <font>
      <sz val="22"/>
      <color theme="1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3" fillId="0" borderId="0"/>
    <xf numFmtId="0" fontId="1" fillId="2" borderId="7" applyNumberFormat="0" applyFont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" fillId="0" borderId="0"/>
  </cellStyleXfs>
  <cellXfs count="41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6" fillId="0" borderId="1" xfId="0" applyFont="1" applyBorder="1" applyAlignment="1">
      <alignment horizontal="center" vertical="center"/>
    </xf>
    <xf numFmtId="0" fontId="28" fillId="7" borderId="1" xfId="0" applyFont="1" applyFill="1" applyBorder="1" applyAlignment="1">
      <alignment horizontal="left" vertical="center"/>
    </xf>
    <xf numFmtId="0" fontId="29" fillId="7" borderId="1" xfId="0" applyFont="1" applyFill="1" applyBorder="1" applyAlignment="1">
      <alignment horizontal="left" vertical="center" wrapText="1"/>
    </xf>
    <xf numFmtId="0" fontId="29" fillId="0" borderId="1" xfId="0" applyFont="1" applyBorder="1" applyAlignment="1">
      <alignment horizontal="left" vertical="center" wrapText="1"/>
    </xf>
    <xf numFmtId="0" fontId="28" fillId="0" borderId="1" xfId="0" applyFont="1" applyBorder="1" applyAlignment="1">
      <alignment horizontal="left" vertical="center"/>
    </xf>
    <xf numFmtId="0" fontId="29" fillId="7" borderId="1" xfId="0" applyFont="1" applyFill="1" applyBorder="1" applyAlignment="1">
      <alignment horizontal="left" vertical="center"/>
    </xf>
    <xf numFmtId="0" fontId="28" fillId="8" borderId="1" xfId="0" applyFont="1" applyFill="1" applyBorder="1" applyAlignment="1">
      <alignment horizontal="left" vertical="center"/>
    </xf>
    <xf numFmtId="0" fontId="29" fillId="8" borderId="1" xfId="0" applyFont="1" applyFill="1" applyBorder="1" applyAlignment="1">
      <alignment horizontal="left" vertical="center" wrapText="1"/>
    </xf>
    <xf numFmtId="0" fontId="29" fillId="8" borderId="1" xfId="0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/>
    </xf>
    <xf numFmtId="0" fontId="29" fillId="6" borderId="1" xfId="0" applyFont="1" applyFill="1" applyBorder="1" applyAlignment="1">
      <alignment horizontal="left" vertical="center" wrapText="1"/>
    </xf>
    <xf numFmtId="0" fontId="29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left" vertical="center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8" fillId="9" borderId="1" xfId="0" applyFont="1" applyFill="1" applyBorder="1" applyAlignment="1">
      <alignment horizontal="left" vertical="center" wrapText="1"/>
    </xf>
    <xf numFmtId="0" fontId="29" fillId="9" borderId="1" xfId="0" applyFont="1" applyFill="1" applyBorder="1" applyAlignment="1">
      <alignment horizontal="left" vertical="center" wrapText="1"/>
    </xf>
    <xf numFmtId="0" fontId="28" fillId="9" borderId="1" xfId="0" applyFont="1" applyFill="1" applyBorder="1" applyAlignment="1">
      <alignment horizontal="left" vertical="center"/>
    </xf>
    <xf numFmtId="0" fontId="27" fillId="9" borderId="1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32" fillId="3" borderId="1" xfId="0" applyFont="1" applyFill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center" vertical="center"/>
    </xf>
    <xf numFmtId="0" fontId="38" fillId="0" borderId="10" xfId="0" applyFont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top"/>
    </xf>
    <xf numFmtId="0" fontId="34" fillId="0" borderId="1" xfId="0" applyFont="1" applyBorder="1" applyAlignment="1">
      <alignment horizontal="left" vertical="top"/>
    </xf>
    <xf numFmtId="0" fontId="37" fillId="0" borderId="1" xfId="0" applyFont="1" applyBorder="1" applyAlignment="1">
      <alignment horizontal="left" vertical="top"/>
    </xf>
    <xf numFmtId="0" fontId="36" fillId="0" borderId="1" xfId="0" applyFont="1" applyBorder="1" applyAlignment="1">
      <alignment horizontal="left" vertical="top"/>
    </xf>
    <xf numFmtId="0" fontId="39" fillId="0" borderId="1" xfId="0" applyFont="1" applyBorder="1" applyAlignment="1">
      <alignment horizontal="left" vertical="top"/>
    </xf>
    <xf numFmtId="0" fontId="38" fillId="0" borderId="1" xfId="0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1" fillId="0" borderId="0" xfId="0" applyFont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0" fontId="41" fillId="0" borderId="10" xfId="0" applyFont="1" applyBorder="1">
      <alignment vertical="center"/>
    </xf>
    <xf numFmtId="0" fontId="0" fillId="3" borderId="0" xfId="0" applyFill="1" applyAlignment="1">
      <alignment horizontal="center" vertical="center"/>
    </xf>
    <xf numFmtId="0" fontId="46" fillId="0" borderId="9" xfId="0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 wrapText="1"/>
    </xf>
    <xf numFmtId="0" fontId="46" fillId="7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47" fillId="0" borderId="8" xfId="0" applyFont="1" applyBorder="1" applyAlignment="1">
      <alignment horizontal="center" vertical="center"/>
    </xf>
    <xf numFmtId="0" fontId="48" fillId="0" borderId="8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9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49" fillId="0" borderId="1" xfId="0" applyFont="1" applyBorder="1" applyAlignment="1">
      <alignment horizontal="left" vertical="center" wrapText="1"/>
    </xf>
    <xf numFmtId="0" fontId="12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52" fillId="0" borderId="1" xfId="0" applyFont="1" applyBorder="1">
      <alignment vertical="center"/>
    </xf>
    <xf numFmtId="0" fontId="52" fillId="3" borderId="1" xfId="0" applyFont="1" applyFill="1" applyBorder="1">
      <alignment vertical="center"/>
    </xf>
    <xf numFmtId="0" fontId="52" fillId="0" borderId="0" xfId="0" applyFont="1">
      <alignment vertical="center"/>
    </xf>
    <xf numFmtId="0" fontId="49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9" fillId="16" borderId="1" xfId="0" applyFont="1" applyFill="1" applyBorder="1" applyAlignment="1">
      <alignment horizontal="left" vertical="center" wrapText="1"/>
    </xf>
    <xf numFmtId="0" fontId="45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>
      <alignment vertical="center"/>
    </xf>
    <xf numFmtId="49" fontId="45" fillId="13" borderId="1" xfId="0" applyNumberFormat="1" applyFont="1" applyFill="1" applyBorder="1" applyAlignment="1">
      <alignment horizontal="center" vertical="center"/>
    </xf>
    <xf numFmtId="0" fontId="45" fillId="13" borderId="1" xfId="0" applyFont="1" applyFill="1" applyBorder="1" applyAlignment="1">
      <alignment horizontal="center" vertical="center"/>
    </xf>
    <xf numFmtId="0" fontId="53" fillId="13" borderId="1" xfId="0" applyFont="1" applyFill="1" applyBorder="1" applyAlignment="1">
      <alignment horizontal="center" vertical="center" wrapText="1"/>
    </xf>
    <xf numFmtId="49" fontId="45" fillId="0" borderId="1" xfId="0" applyNumberFormat="1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0" fontId="24" fillId="0" borderId="1" xfId="0" applyFont="1" applyBorder="1">
      <alignment vertical="center"/>
    </xf>
    <xf numFmtId="49" fontId="24" fillId="0" borderId="1" xfId="0" applyNumberFormat="1" applyFont="1" applyBorder="1">
      <alignment vertical="center"/>
    </xf>
    <xf numFmtId="49" fontId="54" fillId="13" borderId="1" xfId="0" applyNumberFormat="1" applyFont="1" applyFill="1" applyBorder="1" applyAlignment="1">
      <alignment horizontal="center" vertical="center"/>
    </xf>
    <xf numFmtId="0" fontId="23" fillId="0" borderId="1" xfId="0" quotePrefix="1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 wrapText="1"/>
    </xf>
    <xf numFmtId="0" fontId="23" fillId="0" borderId="1" xfId="0" applyFont="1" applyBorder="1">
      <alignment vertical="center"/>
    </xf>
    <xf numFmtId="0" fontId="55" fillId="0" borderId="1" xfId="0" quotePrefix="1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 wrapText="1"/>
    </xf>
    <xf numFmtId="0" fontId="56" fillId="0" borderId="0" xfId="0" applyFont="1">
      <alignment vertical="center"/>
    </xf>
    <xf numFmtId="0" fontId="56" fillId="0" borderId="1" xfId="0" applyFont="1" applyBorder="1" applyAlignment="1">
      <alignment horizontal="center" vertical="center"/>
    </xf>
    <xf numFmtId="0" fontId="56" fillId="0" borderId="1" xfId="0" applyFont="1" applyBorder="1">
      <alignment vertical="center"/>
    </xf>
    <xf numFmtId="0" fontId="57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left" vertical="center"/>
    </xf>
    <xf numFmtId="0" fontId="50" fillId="0" borderId="1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68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0" fontId="68" fillId="0" borderId="0" xfId="0" applyFont="1" applyAlignment="1">
      <alignment horizontal="center" vertical="center" wrapText="1"/>
    </xf>
    <xf numFmtId="0" fontId="68" fillId="0" borderId="1" xfId="0" applyFont="1" applyBorder="1" applyAlignment="1">
      <alignment horizontal="center" vertical="center"/>
    </xf>
    <xf numFmtId="177" fontId="68" fillId="0" borderId="1" xfId="0" applyNumberFormat="1" applyFont="1" applyBorder="1" applyAlignment="1">
      <alignment horizontal="center" vertical="center"/>
    </xf>
    <xf numFmtId="177" fontId="69" fillId="7" borderId="1" xfId="0" applyNumberFormat="1" applyFont="1" applyFill="1" applyBorder="1" applyAlignment="1">
      <alignment horizontal="center" vertical="center"/>
    </xf>
    <xf numFmtId="0" fontId="68" fillId="3" borderId="1" xfId="0" applyFont="1" applyFill="1" applyBorder="1" applyAlignment="1">
      <alignment horizontal="center" vertical="center"/>
    </xf>
    <xf numFmtId="0" fontId="68" fillId="14" borderId="1" xfId="0" applyFont="1" applyFill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179" fontId="69" fillId="0" borderId="0" xfId="0" applyNumberFormat="1" applyFont="1">
      <alignment vertical="center"/>
    </xf>
    <xf numFmtId="179" fontId="69" fillId="0" borderId="0" xfId="0" applyNumberFormat="1" applyFont="1" applyAlignment="1">
      <alignment horizontal="center" vertical="center"/>
    </xf>
    <xf numFmtId="178" fontId="68" fillId="0" borderId="0" xfId="1" applyNumberFormat="1" applyFont="1" applyFill="1" applyBorder="1" applyAlignment="1">
      <alignment horizontal="center" vertical="center"/>
    </xf>
    <xf numFmtId="0" fontId="72" fillId="0" borderId="1" xfId="0" applyFont="1" applyBorder="1" applyAlignment="1">
      <alignment horizontal="center" vertical="center"/>
    </xf>
    <xf numFmtId="0" fontId="72" fillId="0" borderId="0" xfId="0" applyFont="1">
      <alignment vertical="center"/>
    </xf>
    <xf numFmtId="0" fontId="75" fillId="0" borderId="0" xfId="0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177" fontId="77" fillId="7" borderId="1" xfId="0" applyNumberFormat="1" applyFont="1" applyFill="1" applyBorder="1" applyAlignment="1">
      <alignment horizontal="center" vertical="center"/>
    </xf>
    <xf numFmtId="0" fontId="75" fillId="7" borderId="1" xfId="0" applyFont="1" applyFill="1" applyBorder="1" applyAlignment="1">
      <alignment horizontal="center" vertical="center"/>
    </xf>
    <xf numFmtId="0" fontId="72" fillId="0" borderId="1" xfId="0" applyFont="1" applyBorder="1" applyAlignment="1">
      <alignment horizontal="center" vertical="center" wrapText="1"/>
    </xf>
    <xf numFmtId="0" fontId="72" fillId="0" borderId="1" xfId="0" applyFont="1" applyBorder="1" applyAlignment="1">
      <alignment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Border="1">
      <alignment vertical="center"/>
    </xf>
    <xf numFmtId="0" fontId="72" fillId="0" borderId="1" xfId="0" applyFont="1" applyBorder="1">
      <alignment vertical="center"/>
    </xf>
    <xf numFmtId="0" fontId="78" fillId="0" borderId="1" xfId="0" applyFont="1" applyBorder="1" applyAlignment="1">
      <alignment horizontal="center" vertical="center"/>
    </xf>
    <xf numFmtId="0" fontId="81" fillId="0" borderId="0" xfId="0" applyFont="1">
      <alignment vertical="center"/>
    </xf>
    <xf numFmtId="0" fontId="72" fillId="0" borderId="1" xfId="0" applyFont="1" applyBorder="1" applyAlignment="1">
      <alignment horizontal="left" vertical="center" wrapText="1"/>
    </xf>
    <xf numFmtId="178" fontId="75" fillId="0" borderId="0" xfId="1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center" vertical="center"/>
    </xf>
    <xf numFmtId="0" fontId="80" fillId="0" borderId="1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2" fillId="10" borderId="1" xfId="0" applyFont="1" applyFill="1" applyBorder="1" applyAlignment="1">
      <alignment horizontal="center" vertical="center"/>
    </xf>
    <xf numFmtId="0" fontId="82" fillId="10" borderId="1" xfId="0" applyFont="1" applyFill="1" applyBorder="1" applyAlignment="1">
      <alignment horizontal="center" vertical="center" wrapText="1"/>
    </xf>
    <xf numFmtId="0" fontId="72" fillId="10" borderId="3" xfId="0" applyFont="1" applyFill="1" applyBorder="1" applyAlignment="1">
      <alignment horizontal="center" vertical="center" wrapText="1"/>
    </xf>
    <xf numFmtId="0" fontId="72" fillId="10" borderId="6" xfId="0" applyFont="1" applyFill="1" applyBorder="1" applyAlignment="1">
      <alignment horizontal="center" vertical="center" wrapText="1"/>
    </xf>
    <xf numFmtId="0" fontId="72" fillId="10" borderId="3" xfId="0" applyFont="1" applyFill="1" applyBorder="1" applyAlignment="1">
      <alignment horizontal="center" vertical="center"/>
    </xf>
    <xf numFmtId="0" fontId="72" fillId="8" borderId="6" xfId="0" applyFont="1" applyFill="1" applyBorder="1" applyAlignment="1">
      <alignment horizontal="center" vertical="center" wrapText="1"/>
    </xf>
    <xf numFmtId="0" fontId="72" fillId="3" borderId="3" xfId="0" applyFont="1" applyFill="1" applyBorder="1" applyAlignment="1">
      <alignment horizontal="center" vertical="center"/>
    </xf>
    <xf numFmtId="0" fontId="72" fillId="3" borderId="6" xfId="0" applyFont="1" applyFill="1" applyBorder="1" applyAlignment="1">
      <alignment horizontal="center" vertical="center" wrapText="1"/>
    </xf>
    <xf numFmtId="0" fontId="82" fillId="10" borderId="6" xfId="0" applyFont="1" applyFill="1" applyBorder="1" applyAlignment="1">
      <alignment horizontal="center" vertical="center" wrapText="1"/>
    </xf>
    <xf numFmtId="0" fontId="72" fillId="6" borderId="3" xfId="0" applyFont="1" applyFill="1" applyBorder="1" applyAlignment="1">
      <alignment horizontal="center" vertical="center"/>
    </xf>
    <xf numFmtId="0" fontId="72" fillId="3" borderId="3" xfId="0" applyFont="1" applyFill="1" applyBorder="1" applyAlignment="1">
      <alignment horizontal="center" vertical="center" wrapText="1"/>
    </xf>
    <xf numFmtId="0" fontId="72" fillId="12" borderId="3" xfId="0" applyFont="1" applyFill="1" applyBorder="1" applyAlignment="1">
      <alignment horizontal="center" vertical="center"/>
    </xf>
    <xf numFmtId="0" fontId="82" fillId="12" borderId="6" xfId="0" applyFont="1" applyFill="1" applyBorder="1" applyAlignment="1">
      <alignment horizontal="center" vertical="center" wrapText="1"/>
    </xf>
    <xf numFmtId="0" fontId="72" fillId="12" borderId="3" xfId="0" applyFont="1" applyFill="1" applyBorder="1" applyAlignment="1">
      <alignment horizontal="center" vertical="center" wrapText="1"/>
    </xf>
    <xf numFmtId="0" fontId="68" fillId="0" borderId="4" xfId="0" applyFont="1" applyBorder="1" applyAlignment="1">
      <alignment horizontal="center" vertical="center"/>
    </xf>
    <xf numFmtId="0" fontId="82" fillId="12" borderId="3" xfId="0" applyFont="1" applyFill="1" applyBorder="1" applyAlignment="1">
      <alignment horizontal="center" vertical="center"/>
    </xf>
    <xf numFmtId="0" fontId="72" fillId="12" borderId="6" xfId="0" applyFont="1" applyFill="1" applyBorder="1" applyAlignment="1">
      <alignment horizontal="center" vertical="center" wrapText="1"/>
    </xf>
    <xf numFmtId="0" fontId="78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 wrapText="1"/>
    </xf>
    <xf numFmtId="0" fontId="82" fillId="6" borderId="1" xfId="0" applyFont="1" applyFill="1" applyBorder="1" applyAlignment="1">
      <alignment horizontal="center" vertical="center" wrapText="1"/>
    </xf>
    <xf numFmtId="0" fontId="72" fillId="0" borderId="1" xfId="0" quotePrefix="1" applyFont="1" applyBorder="1" applyAlignment="1">
      <alignment horizontal="center" vertical="center" wrapText="1"/>
    </xf>
    <xf numFmtId="0" fontId="82" fillId="0" borderId="1" xfId="0" quotePrefix="1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72" fillId="16" borderId="1" xfId="0" applyFont="1" applyFill="1" applyBorder="1" applyAlignment="1">
      <alignment horizontal="center" vertical="center"/>
    </xf>
    <xf numFmtId="0" fontId="82" fillId="16" borderId="1" xfId="0" applyFont="1" applyFill="1" applyBorder="1" applyAlignment="1">
      <alignment horizontal="center" vertical="center" wrapText="1"/>
    </xf>
    <xf numFmtId="0" fontId="72" fillId="7" borderId="1" xfId="0" applyFont="1" applyFill="1" applyBorder="1" applyAlignment="1">
      <alignment horizontal="center" vertical="center" wrapText="1"/>
    </xf>
    <xf numFmtId="0" fontId="82" fillId="0" borderId="4" xfId="0" applyFont="1" applyBorder="1" applyAlignment="1">
      <alignment horizontal="center" vertical="center" wrapText="1"/>
    </xf>
    <xf numFmtId="0" fontId="72" fillId="0" borderId="4" xfId="0" applyFont="1" applyBorder="1" applyAlignment="1">
      <alignment horizontal="center" vertical="center"/>
    </xf>
    <xf numFmtId="0" fontId="72" fillId="13" borderId="1" xfId="0" applyFont="1" applyFill="1" applyBorder="1" applyAlignment="1">
      <alignment horizontal="center" vertical="center"/>
    </xf>
    <xf numFmtId="49" fontId="83" fillId="13" borderId="5" xfId="0" applyNumberFormat="1" applyFont="1" applyFill="1" applyBorder="1" applyAlignment="1">
      <alignment horizontal="center" vertical="center"/>
    </xf>
    <xf numFmtId="0" fontId="72" fillId="13" borderId="5" xfId="0" applyFont="1" applyFill="1" applyBorder="1" applyAlignment="1">
      <alignment horizontal="center" vertical="center"/>
    </xf>
    <xf numFmtId="49" fontId="83" fillId="18" borderId="5" xfId="0" applyNumberFormat="1" applyFont="1" applyFill="1" applyBorder="1" applyAlignment="1">
      <alignment horizontal="center" vertical="center"/>
    </xf>
    <xf numFmtId="0" fontId="72" fillId="18" borderId="1" xfId="0" applyFont="1" applyFill="1" applyBorder="1" applyAlignment="1">
      <alignment horizontal="center" vertical="center"/>
    </xf>
    <xf numFmtId="0" fontId="82" fillId="18" borderId="1" xfId="0" applyFont="1" applyFill="1" applyBorder="1" applyAlignment="1">
      <alignment horizontal="center" vertical="center" wrapText="1"/>
    </xf>
    <xf numFmtId="0" fontId="72" fillId="15" borderId="1" xfId="0" applyFont="1" applyFill="1" applyBorder="1" applyAlignment="1">
      <alignment horizontal="center" vertical="center" wrapText="1"/>
    </xf>
    <xf numFmtId="0" fontId="72" fillId="7" borderId="5" xfId="0" applyFont="1" applyFill="1" applyBorder="1" applyAlignment="1">
      <alignment horizontal="center" vertical="center"/>
    </xf>
    <xf numFmtId="0" fontId="82" fillId="7" borderId="5" xfId="0" applyFont="1" applyFill="1" applyBorder="1" applyAlignment="1">
      <alignment horizontal="center" vertical="center" wrapText="1"/>
    </xf>
    <xf numFmtId="0" fontId="82" fillId="8" borderId="1" xfId="0" applyFont="1" applyFill="1" applyBorder="1" applyAlignment="1">
      <alignment horizontal="center" vertical="center" wrapText="1"/>
    </xf>
    <xf numFmtId="49" fontId="83" fillId="0" borderId="0" xfId="0" applyNumberFormat="1" applyFont="1" applyAlignment="1">
      <alignment horizontal="center" vertical="center"/>
    </xf>
    <xf numFmtId="180" fontId="82" fillId="10" borderId="3" xfId="0" applyNumberFormat="1" applyFont="1" applyFill="1" applyBorder="1" applyAlignment="1">
      <alignment horizontal="center" vertical="center" wrapText="1"/>
    </xf>
    <xf numFmtId="0" fontId="72" fillId="12" borderId="1" xfId="0" applyFont="1" applyFill="1" applyBorder="1" applyAlignment="1">
      <alignment horizontal="center" vertical="center" wrapText="1"/>
    </xf>
    <xf numFmtId="0" fontId="72" fillId="12" borderId="1" xfId="0" applyFont="1" applyFill="1" applyBorder="1" applyAlignment="1">
      <alignment horizontal="center" vertical="center"/>
    </xf>
    <xf numFmtId="0" fontId="72" fillId="12" borderId="19" xfId="0" applyFont="1" applyFill="1" applyBorder="1" applyAlignment="1">
      <alignment horizontal="center" vertical="center"/>
    </xf>
    <xf numFmtId="0" fontId="82" fillId="6" borderId="6" xfId="0" applyFont="1" applyFill="1" applyBorder="1" applyAlignment="1">
      <alignment horizontal="center" vertical="center" wrapText="1"/>
    </xf>
    <xf numFmtId="0" fontId="68" fillId="15" borderId="1" xfId="0" applyFont="1" applyFill="1" applyBorder="1" applyAlignment="1">
      <alignment horizontal="center" vertical="center"/>
    </xf>
    <xf numFmtId="0" fontId="72" fillId="11" borderId="1" xfId="0" quotePrefix="1" applyFont="1" applyFill="1" applyBorder="1" applyAlignment="1">
      <alignment horizontal="center" vertical="center" wrapText="1"/>
    </xf>
    <xf numFmtId="0" fontId="82" fillId="11" borderId="1" xfId="0" applyFont="1" applyFill="1" applyBorder="1" applyAlignment="1">
      <alignment horizontal="center" vertical="center" wrapText="1"/>
    </xf>
    <xf numFmtId="0" fontId="0" fillId="18" borderId="0" xfId="0" applyFill="1">
      <alignment vertical="center"/>
    </xf>
    <xf numFmtId="0" fontId="0" fillId="16" borderId="0" xfId="0" applyFill="1">
      <alignment vertical="center"/>
    </xf>
    <xf numFmtId="0" fontId="0" fillId="3" borderId="0" xfId="0" applyFill="1">
      <alignment vertical="center"/>
    </xf>
    <xf numFmtId="0" fontId="68" fillId="11" borderId="1" xfId="0" applyFont="1" applyFill="1" applyBorder="1" applyAlignment="1">
      <alignment horizontal="center" vertical="center"/>
    </xf>
    <xf numFmtId="0" fontId="78" fillId="10" borderId="6" xfId="0" applyFont="1" applyFill="1" applyBorder="1" applyAlignment="1">
      <alignment horizontal="center" vertical="center"/>
    </xf>
    <xf numFmtId="0" fontId="78" fillId="10" borderId="6" xfId="0" applyFont="1" applyFill="1" applyBorder="1" applyAlignment="1">
      <alignment horizontal="center" vertical="center" wrapText="1"/>
    </xf>
    <xf numFmtId="177" fontId="68" fillId="7" borderId="1" xfId="0" applyNumberFormat="1" applyFont="1" applyFill="1" applyBorder="1" applyAlignment="1">
      <alignment horizontal="center" vertical="center"/>
    </xf>
    <xf numFmtId="0" fontId="68" fillId="7" borderId="1" xfId="0" applyFont="1" applyFill="1" applyBorder="1" applyAlignment="1">
      <alignment horizontal="center" vertical="center"/>
    </xf>
    <xf numFmtId="0" fontId="68" fillId="13" borderId="1" xfId="0" applyFont="1" applyFill="1" applyBorder="1" applyAlignment="1">
      <alignment horizontal="center" vertical="center"/>
    </xf>
    <xf numFmtId="0" fontId="68" fillId="0" borderId="1" xfId="0" applyFont="1" applyBorder="1">
      <alignment vertical="center"/>
    </xf>
    <xf numFmtId="0" fontId="69" fillId="0" borderId="0" xfId="0" applyFont="1" applyAlignment="1">
      <alignment horizontal="center" vertical="center" wrapText="1"/>
    </xf>
    <xf numFmtId="0" fontId="69" fillId="7" borderId="1" xfId="0" applyFont="1" applyFill="1" applyBorder="1" applyAlignment="1">
      <alignment horizontal="center" vertical="center"/>
    </xf>
    <xf numFmtId="178" fontId="68" fillId="0" borderId="0" xfId="1" applyNumberFormat="1" applyFont="1" applyBorder="1" applyAlignment="1">
      <alignment horizontal="center" vertical="center"/>
    </xf>
    <xf numFmtId="49" fontId="83" fillId="13" borderId="1" xfId="0" applyNumberFormat="1" applyFont="1" applyFill="1" applyBorder="1" applyAlignment="1">
      <alignment horizontal="center" vertical="center"/>
    </xf>
    <xf numFmtId="0" fontId="100" fillId="13" borderId="1" xfId="0" applyFont="1" applyFill="1" applyBorder="1" applyAlignment="1">
      <alignment horizontal="center" vertical="center" wrapText="1"/>
    </xf>
    <xf numFmtId="0" fontId="101" fillId="3" borderId="1" xfId="0" applyFont="1" applyFill="1" applyBorder="1" applyAlignment="1">
      <alignment horizontal="center" vertical="center" wrapText="1"/>
    </xf>
    <xf numFmtId="0" fontId="101" fillId="13" borderId="1" xfId="0" applyFont="1" applyFill="1" applyBorder="1" applyAlignment="1">
      <alignment horizontal="center" vertical="center" wrapText="1"/>
    </xf>
    <xf numFmtId="49" fontId="101" fillId="13" borderId="1" xfId="0" applyNumberFormat="1" applyFont="1" applyFill="1" applyBorder="1" applyAlignment="1">
      <alignment horizontal="center" vertical="center" wrapText="1"/>
    </xf>
    <xf numFmtId="0" fontId="69" fillId="0" borderId="1" xfId="0" applyFont="1" applyBorder="1">
      <alignment vertical="center"/>
    </xf>
    <xf numFmtId="0" fontId="68" fillId="17" borderId="1" xfId="0" applyFont="1" applyFill="1" applyBorder="1" applyAlignment="1">
      <alignment horizontal="center" vertical="center"/>
    </xf>
    <xf numFmtId="0" fontId="69" fillId="3" borderId="1" xfId="0" applyFont="1" applyFill="1" applyBorder="1" applyAlignment="1">
      <alignment horizontal="center" vertical="center"/>
    </xf>
    <xf numFmtId="177" fontId="68" fillId="3" borderId="1" xfId="0" applyNumberFormat="1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0" fontId="108" fillId="7" borderId="1" xfId="0" applyFont="1" applyFill="1" applyBorder="1" applyAlignment="1">
      <alignment horizontal="center" vertical="center"/>
    </xf>
    <xf numFmtId="0" fontId="70" fillId="7" borderId="1" xfId="0" applyFont="1" applyFill="1" applyBorder="1" applyAlignment="1">
      <alignment horizontal="center" vertical="center"/>
    </xf>
    <xf numFmtId="0" fontId="70" fillId="11" borderId="1" xfId="0" applyFont="1" applyFill="1" applyBorder="1" applyAlignment="1">
      <alignment horizontal="center" vertical="center"/>
    </xf>
    <xf numFmtId="0" fontId="70" fillId="0" borderId="0" xfId="0" applyFont="1">
      <alignment vertical="center"/>
    </xf>
    <xf numFmtId="179" fontId="69" fillId="0" borderId="1" xfId="0" applyNumberFormat="1" applyFont="1" applyBorder="1">
      <alignment vertical="center"/>
    </xf>
    <xf numFmtId="0" fontId="82" fillId="8" borderId="6" xfId="0" applyFont="1" applyFill="1" applyBorder="1" applyAlignment="1">
      <alignment horizontal="center" vertical="center" wrapText="1"/>
    </xf>
    <xf numFmtId="0" fontId="100" fillId="3" borderId="1" xfId="0" applyFont="1" applyFill="1" applyBorder="1" applyAlignment="1">
      <alignment horizontal="center" vertical="center" wrapText="1"/>
    </xf>
    <xf numFmtId="0" fontId="68" fillId="0" borderId="18" xfId="0" applyFont="1" applyBorder="1">
      <alignment vertical="center"/>
    </xf>
    <xf numFmtId="0" fontId="71" fillId="0" borderId="1" xfId="0" applyFont="1" applyBorder="1" applyAlignment="1">
      <alignment horizontal="center" vertical="center"/>
    </xf>
    <xf numFmtId="0" fontId="76" fillId="0" borderId="0" xfId="0" applyFont="1">
      <alignment vertical="center"/>
    </xf>
    <xf numFmtId="0" fontId="74" fillId="19" borderId="1" xfId="0" applyFont="1" applyFill="1" applyBorder="1" applyAlignment="1">
      <alignment horizontal="center" vertical="center"/>
    </xf>
    <xf numFmtId="0" fontId="74" fillId="19" borderId="1" xfId="0" applyFont="1" applyFill="1" applyBorder="1">
      <alignment vertical="center"/>
    </xf>
    <xf numFmtId="0" fontId="82" fillId="0" borderId="1" xfId="0" applyFont="1" applyBorder="1" applyAlignment="1">
      <alignment horizontal="center" vertical="center"/>
    </xf>
    <xf numFmtId="0" fontId="82" fillId="0" borderId="1" xfId="0" applyFont="1" applyBorder="1">
      <alignment vertical="center"/>
    </xf>
    <xf numFmtId="0" fontId="82" fillId="0" borderId="1" xfId="0" applyFont="1" applyBorder="1" applyAlignment="1">
      <alignment horizontal="left" vertical="center" wrapText="1"/>
    </xf>
    <xf numFmtId="0" fontId="72" fillId="0" borderId="3" xfId="0" applyFont="1" applyBorder="1" applyAlignment="1">
      <alignment horizontal="center" vertical="center"/>
    </xf>
    <xf numFmtId="0" fontId="78" fillId="0" borderId="0" xfId="0" applyFont="1" applyAlignment="1">
      <alignment horizontal="left" vertical="center" wrapText="1"/>
    </xf>
    <xf numFmtId="0" fontId="75" fillId="0" borderId="3" xfId="0" applyFont="1" applyBorder="1" applyAlignment="1">
      <alignment horizontal="center" vertical="center"/>
    </xf>
    <xf numFmtId="0" fontId="68" fillId="0" borderId="5" xfId="0" applyFont="1" applyBorder="1" applyAlignment="1">
      <alignment horizontal="left" vertical="center"/>
    </xf>
    <xf numFmtId="0" fontId="68" fillId="0" borderId="1" xfId="0" applyFont="1" applyBorder="1" applyAlignment="1">
      <alignment horizontal="left" vertical="center"/>
    </xf>
    <xf numFmtId="0" fontId="68" fillId="0" borderId="1" xfId="0" applyFont="1" applyBorder="1" applyAlignment="1">
      <alignment horizontal="left" vertical="center" wrapText="1"/>
    </xf>
    <xf numFmtId="0" fontId="71" fillId="0" borderId="1" xfId="0" applyFont="1" applyBorder="1" applyAlignment="1">
      <alignment horizontal="left" vertical="center"/>
    </xf>
    <xf numFmtId="0" fontId="71" fillId="0" borderId="1" xfId="0" applyFont="1" applyBorder="1" applyAlignment="1">
      <alignment horizontal="left" vertical="center" wrapText="1"/>
    </xf>
    <xf numFmtId="0" fontId="82" fillId="0" borderId="1" xfId="0" applyFont="1" applyBorder="1" applyAlignment="1">
      <alignment horizontal="left" vertical="center"/>
    </xf>
    <xf numFmtId="0" fontId="82" fillId="0" borderId="6" xfId="0" applyFont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5" fillId="0" borderId="0" xfId="0" applyFont="1">
      <alignment vertical="center"/>
    </xf>
    <xf numFmtId="0" fontId="68" fillId="18" borderId="1" xfId="0" applyFont="1" applyFill="1" applyBorder="1" applyAlignment="1">
      <alignment horizontal="center" vertical="center"/>
    </xf>
    <xf numFmtId="0" fontId="70" fillId="18" borderId="1" xfId="0" applyFont="1" applyFill="1" applyBorder="1" applyAlignment="1">
      <alignment horizontal="center" vertical="center"/>
    </xf>
    <xf numFmtId="0" fontId="98" fillId="7" borderId="1" xfId="0" applyFont="1" applyFill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177" fontId="68" fillId="18" borderId="1" xfId="0" applyNumberFormat="1" applyFont="1" applyFill="1" applyBorder="1" applyAlignment="1">
      <alignment horizontal="center" vertical="center"/>
    </xf>
    <xf numFmtId="0" fontId="70" fillId="0" borderId="1" xfId="0" applyFont="1" applyBorder="1">
      <alignment vertical="center"/>
    </xf>
    <xf numFmtId="177" fontId="68" fillId="17" borderId="1" xfId="0" applyNumberFormat="1" applyFont="1" applyFill="1" applyBorder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68" fillId="0" borderId="1" xfId="0" quotePrefix="1" applyFont="1" applyBorder="1" applyAlignment="1">
      <alignment horizontal="center" vertical="center"/>
    </xf>
    <xf numFmtId="0" fontId="68" fillId="3" borderId="18" xfId="0" applyFont="1" applyFill="1" applyBorder="1" applyAlignment="1">
      <alignment vertical="center" wrapText="1"/>
    </xf>
    <xf numFmtId="177" fontId="68" fillId="6" borderId="1" xfId="0" applyNumberFormat="1" applyFont="1" applyFill="1" applyBorder="1" applyAlignment="1">
      <alignment horizontal="center" vertical="center"/>
    </xf>
    <xf numFmtId="0" fontId="68" fillId="0" borderId="1" xfId="0" applyFont="1" applyBorder="1" applyAlignment="1">
      <alignment horizontal="right" vertical="center"/>
    </xf>
    <xf numFmtId="177" fontId="68" fillId="14" borderId="1" xfId="0" applyNumberFormat="1" applyFont="1" applyFill="1" applyBorder="1" applyAlignment="1">
      <alignment horizontal="center" vertical="center"/>
    </xf>
    <xf numFmtId="0" fontId="68" fillId="14" borderId="0" xfId="0" applyFont="1" applyFill="1">
      <alignment vertical="center"/>
    </xf>
    <xf numFmtId="0" fontId="68" fillId="7" borderId="0" xfId="0" applyFont="1" applyFill="1" applyAlignment="1">
      <alignment horizontal="center" vertical="center"/>
    </xf>
    <xf numFmtId="0" fontId="82" fillId="12" borderId="1" xfId="0" applyFont="1" applyFill="1" applyBorder="1" applyAlignment="1">
      <alignment horizontal="center" vertical="center" wrapText="1"/>
    </xf>
    <xf numFmtId="0" fontId="68" fillId="20" borderId="1" xfId="0" applyFont="1" applyFill="1" applyBorder="1" applyAlignment="1">
      <alignment horizontal="center" vertical="center"/>
    </xf>
    <xf numFmtId="0" fontId="68" fillId="14" borderId="0" xfId="0" applyFont="1" applyFill="1" applyAlignment="1">
      <alignment horizontal="center" vertical="center"/>
    </xf>
    <xf numFmtId="49" fontId="83" fillId="0" borderId="5" xfId="0" applyNumberFormat="1" applyFont="1" applyBorder="1" applyAlignment="1">
      <alignment horizontal="center" vertical="center"/>
    </xf>
    <xf numFmtId="178" fontId="68" fillId="17" borderId="0" xfId="1" applyNumberFormat="1" applyFont="1" applyFill="1" applyBorder="1" applyAlignment="1">
      <alignment horizontal="center" vertical="center"/>
    </xf>
    <xf numFmtId="0" fontId="68" fillId="17" borderId="0" xfId="0" applyFont="1" applyFill="1" applyAlignment="1">
      <alignment horizontal="center" vertical="center"/>
    </xf>
    <xf numFmtId="0" fontId="100" fillId="17" borderId="0" xfId="0" applyFont="1" applyFill="1" applyAlignment="1">
      <alignment horizontal="center" vertical="center"/>
    </xf>
    <xf numFmtId="0" fontId="68" fillId="7" borderId="1" xfId="0" applyFont="1" applyFill="1" applyBorder="1">
      <alignment vertical="center"/>
    </xf>
    <xf numFmtId="0" fontId="100" fillId="7" borderId="0" xfId="0" applyFont="1" applyFill="1" applyAlignment="1">
      <alignment horizontal="center" vertical="center"/>
    </xf>
    <xf numFmtId="49" fontId="83" fillId="15" borderId="5" xfId="0" applyNumberFormat="1" applyFont="1" applyFill="1" applyBorder="1" applyAlignment="1">
      <alignment horizontal="center" vertical="center"/>
    </xf>
    <xf numFmtId="0" fontId="82" fillId="15" borderId="1" xfId="0" applyFont="1" applyFill="1" applyBorder="1" applyAlignment="1">
      <alignment horizontal="center" vertical="center" wrapText="1"/>
    </xf>
    <xf numFmtId="49" fontId="83" fillId="11" borderId="5" xfId="0" applyNumberFormat="1" applyFont="1" applyFill="1" applyBorder="1" applyAlignment="1">
      <alignment horizontal="center" vertical="center"/>
    </xf>
    <xf numFmtId="0" fontId="12" fillId="0" borderId="8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center" vertical="center"/>
    </xf>
    <xf numFmtId="0" fontId="12" fillId="3" borderId="12" xfId="0" applyFont="1" applyFill="1" applyBorder="1" applyAlignment="1">
      <alignment horizontal="center" vertical="center"/>
    </xf>
    <xf numFmtId="0" fontId="12" fillId="0" borderId="12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17" fillId="0" borderId="12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49" fillId="0" borderId="15" xfId="0" applyFont="1" applyBorder="1" applyAlignment="1">
      <alignment horizontal="left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/>
    </xf>
    <xf numFmtId="0" fontId="52" fillId="0" borderId="15" xfId="0" applyFont="1" applyBorder="1">
      <alignment vertical="center"/>
    </xf>
    <xf numFmtId="0" fontId="0" fillId="0" borderId="16" xfId="0" applyBorder="1">
      <alignment vertical="center"/>
    </xf>
    <xf numFmtId="0" fontId="128" fillId="3" borderId="0" xfId="0" applyFont="1" applyFill="1" applyAlignment="1">
      <alignment horizontal="center" vertical="center"/>
    </xf>
    <xf numFmtId="0" fontId="72" fillId="3" borderId="0" xfId="0" applyFont="1" applyFill="1" applyAlignment="1">
      <alignment horizontal="center" vertical="center"/>
    </xf>
    <xf numFmtId="0" fontId="68" fillId="3" borderId="0" xfId="0" applyFont="1" applyFill="1">
      <alignment vertical="center"/>
    </xf>
    <xf numFmtId="0" fontId="68" fillId="18" borderId="1" xfId="0" applyFont="1" applyFill="1" applyBorder="1">
      <alignment vertical="center"/>
    </xf>
    <xf numFmtId="0" fontId="129" fillId="0" borderId="0" xfId="0" applyFont="1" applyAlignment="1">
      <alignment horizontal="center" vertical="center"/>
    </xf>
    <xf numFmtId="177" fontId="69" fillId="3" borderId="1" xfId="0" applyNumberFormat="1" applyFont="1" applyFill="1" applyBorder="1" applyAlignment="1">
      <alignment horizontal="center" vertical="center"/>
    </xf>
    <xf numFmtId="178" fontId="68" fillId="14" borderId="0" xfId="1" applyNumberFormat="1" applyFont="1" applyFill="1" applyBorder="1" applyAlignment="1">
      <alignment horizontal="center" vertical="center"/>
    </xf>
    <xf numFmtId="0" fontId="72" fillId="3" borderId="0" xfId="0" applyFont="1" applyFill="1" applyAlignment="1">
      <alignment horizontal="center" vertical="center" wrapText="1"/>
    </xf>
    <xf numFmtId="0" fontId="68" fillId="7" borderId="1" xfId="0" quotePrefix="1" applyFont="1" applyFill="1" applyBorder="1">
      <alignment vertical="center"/>
    </xf>
    <xf numFmtId="0" fontId="68" fillId="15" borderId="1" xfId="0" applyFont="1" applyFill="1" applyBorder="1">
      <alignment vertical="center"/>
    </xf>
    <xf numFmtId="0" fontId="68" fillId="17" borderId="1" xfId="0" applyFont="1" applyFill="1" applyBorder="1">
      <alignment vertical="center"/>
    </xf>
    <xf numFmtId="0" fontId="72" fillId="20" borderId="1" xfId="0" applyFont="1" applyFill="1" applyBorder="1" applyAlignment="1">
      <alignment horizontal="center" vertical="center" wrapText="1"/>
    </xf>
    <xf numFmtId="0" fontId="130" fillId="20" borderId="1" xfId="0" applyFont="1" applyFill="1" applyBorder="1" applyAlignment="1">
      <alignment horizontal="center" vertical="center"/>
    </xf>
    <xf numFmtId="0" fontId="68" fillId="11" borderId="1" xfId="0" applyFont="1" applyFill="1" applyBorder="1">
      <alignment vertical="center"/>
    </xf>
    <xf numFmtId="0" fontId="126" fillId="20" borderId="1" xfId="0" applyFont="1" applyFill="1" applyBorder="1" applyAlignment="1">
      <alignment horizontal="left" vertical="center" wrapText="1"/>
    </xf>
    <xf numFmtId="0" fontId="68" fillId="14" borderId="1" xfId="0" applyFont="1" applyFill="1" applyBorder="1">
      <alignment vertical="center"/>
    </xf>
    <xf numFmtId="0" fontId="128" fillId="15" borderId="1" xfId="0" applyFont="1" applyFill="1" applyBorder="1" applyAlignment="1">
      <alignment horizontal="center" vertical="center"/>
    </xf>
    <xf numFmtId="0" fontId="68" fillId="3" borderId="1" xfId="0" applyFont="1" applyFill="1" applyBorder="1">
      <alignment vertical="center"/>
    </xf>
    <xf numFmtId="49" fontId="131" fillId="13" borderId="5" xfId="0" applyNumberFormat="1" applyFont="1" applyFill="1" applyBorder="1" applyAlignment="1">
      <alignment horizontal="center" vertical="center"/>
    </xf>
    <xf numFmtId="49" fontId="131" fillId="19" borderId="5" xfId="0" applyNumberFormat="1" applyFont="1" applyFill="1" applyBorder="1" applyAlignment="1">
      <alignment horizontal="center" vertical="center"/>
    </xf>
    <xf numFmtId="0" fontId="132" fillId="19" borderId="1" xfId="0" applyFont="1" applyFill="1" applyBorder="1" applyAlignment="1">
      <alignment horizontal="left" vertical="center"/>
    </xf>
    <xf numFmtId="0" fontId="132" fillId="19" borderId="1" xfId="0" applyFont="1" applyFill="1" applyBorder="1" applyAlignment="1">
      <alignment horizontal="left" vertical="center" wrapText="1"/>
    </xf>
    <xf numFmtId="49" fontId="131" fillId="15" borderId="5" xfId="0" applyNumberFormat="1" applyFont="1" applyFill="1" applyBorder="1" applyAlignment="1">
      <alignment horizontal="center" vertical="center"/>
    </xf>
    <xf numFmtId="0" fontId="68" fillId="21" borderId="1" xfId="0" applyFont="1" applyFill="1" applyBorder="1" applyAlignment="1">
      <alignment horizontal="center" vertical="center"/>
    </xf>
    <xf numFmtId="0" fontId="133" fillId="15" borderId="1" xfId="0" applyFont="1" applyFill="1" applyBorder="1" applyAlignment="1">
      <alignment horizontal="left" vertical="center" wrapText="1"/>
    </xf>
    <xf numFmtId="0" fontId="133" fillId="19" borderId="1" xfId="0" applyFont="1" applyFill="1" applyBorder="1" applyAlignment="1">
      <alignment horizontal="left" vertical="center"/>
    </xf>
    <xf numFmtId="0" fontId="135" fillId="22" borderId="1" xfId="0" applyFont="1" applyFill="1" applyBorder="1" applyAlignment="1">
      <alignment horizontal="center" vertical="center" wrapText="1"/>
    </xf>
    <xf numFmtId="0" fontId="133" fillId="22" borderId="1" xfId="0" applyFont="1" applyFill="1" applyBorder="1" applyAlignment="1">
      <alignment horizontal="left" vertical="center"/>
    </xf>
    <xf numFmtId="49" fontId="136" fillId="22" borderId="1" xfId="6" applyNumberFormat="1" applyFont="1" applyFill="1" applyBorder="1" applyAlignment="1">
      <alignment horizontal="center" vertical="center"/>
    </xf>
    <xf numFmtId="0" fontId="136" fillId="22" borderId="1" xfId="6" applyFont="1" applyFill="1" applyBorder="1" applyAlignment="1">
      <alignment vertical="center" wrapText="1"/>
    </xf>
    <xf numFmtId="180" fontId="136" fillId="22" borderId="1" xfId="6" applyNumberFormat="1" applyFont="1" applyFill="1" applyBorder="1" applyAlignment="1">
      <alignment horizontal="center" vertical="center"/>
    </xf>
    <xf numFmtId="0" fontId="75" fillId="10" borderId="1" xfId="0" applyFont="1" applyFill="1" applyBorder="1" applyAlignment="1">
      <alignment horizontal="center" vertical="center" wrapText="1"/>
    </xf>
    <xf numFmtId="0" fontId="75" fillId="10" borderId="1" xfId="0" applyFont="1" applyFill="1" applyBorder="1" applyAlignment="1">
      <alignment horizontal="center" vertical="center"/>
    </xf>
    <xf numFmtId="0" fontId="75" fillId="3" borderId="1" xfId="0" applyFont="1" applyFill="1" applyBorder="1" applyAlignment="1">
      <alignment horizontal="center" vertical="center"/>
    </xf>
    <xf numFmtId="180" fontId="77" fillId="10" borderId="1" xfId="0" applyNumberFormat="1" applyFont="1" applyFill="1" applyBorder="1" applyAlignment="1">
      <alignment horizontal="center" vertical="center" wrapText="1"/>
    </xf>
    <xf numFmtId="0" fontId="75" fillId="6" borderId="1" xfId="0" applyFont="1" applyFill="1" applyBorder="1" applyAlignment="1">
      <alignment horizontal="center" vertical="center"/>
    </xf>
    <xf numFmtId="0" fontId="75" fillId="12" borderId="1" xfId="0" applyFont="1" applyFill="1" applyBorder="1" applyAlignment="1">
      <alignment horizontal="left" vertical="center" wrapText="1"/>
    </xf>
    <xf numFmtId="0" fontId="75" fillId="10" borderId="1" xfId="0" applyFont="1" applyFill="1" applyBorder="1" applyAlignment="1">
      <alignment horizontal="left" vertical="center" wrapText="1"/>
    </xf>
    <xf numFmtId="0" fontId="75" fillId="3" borderId="1" xfId="0" applyFont="1" applyFill="1" applyBorder="1" applyAlignment="1">
      <alignment horizontal="left" vertical="center" wrapText="1"/>
    </xf>
    <xf numFmtId="0" fontId="75" fillId="12" borderId="1" xfId="0" applyFont="1" applyFill="1" applyBorder="1" applyAlignment="1">
      <alignment horizontal="center" vertical="center" wrapText="1"/>
    </xf>
    <xf numFmtId="0" fontId="75" fillId="12" borderId="1" xfId="0" applyFont="1" applyFill="1" applyBorder="1" applyAlignment="1">
      <alignment horizontal="center" vertical="center"/>
    </xf>
    <xf numFmtId="0" fontId="77" fillId="12" borderId="1" xfId="0" applyFont="1" applyFill="1" applyBorder="1" applyAlignment="1">
      <alignment horizontal="center" vertical="center"/>
    </xf>
    <xf numFmtId="0" fontId="137" fillId="0" borderId="0" xfId="0" applyFont="1" applyAlignment="1">
      <alignment horizontal="center" vertical="center"/>
    </xf>
    <xf numFmtId="0" fontId="75" fillId="0" borderId="1" xfId="0" applyFont="1" applyBorder="1" applyAlignment="1">
      <alignment horizontal="center" vertical="center" wrapText="1"/>
    </xf>
    <xf numFmtId="0" fontId="75" fillId="17" borderId="1" xfId="0" applyFont="1" applyFill="1" applyBorder="1" applyAlignment="1">
      <alignment horizontal="center" vertical="center" wrapText="1"/>
    </xf>
    <xf numFmtId="0" fontId="75" fillId="17" borderId="1" xfId="0" applyFont="1" applyFill="1" applyBorder="1" applyAlignment="1">
      <alignment horizontal="center" vertical="center"/>
    </xf>
    <xf numFmtId="0" fontId="137" fillId="3" borderId="1" xfId="0" applyFont="1" applyFill="1" applyBorder="1" applyAlignment="1">
      <alignment horizontal="center" vertical="center"/>
    </xf>
    <xf numFmtId="0" fontId="75" fillId="16" borderId="1" xfId="0" applyFont="1" applyFill="1" applyBorder="1" applyAlignment="1">
      <alignment horizontal="center" vertical="center"/>
    </xf>
    <xf numFmtId="0" fontId="75" fillId="0" borderId="4" xfId="0" applyFont="1" applyBorder="1" applyAlignment="1">
      <alignment horizontal="center" vertical="center"/>
    </xf>
    <xf numFmtId="0" fontId="75" fillId="18" borderId="1" xfId="0" applyFont="1" applyFill="1" applyBorder="1" applyAlignment="1">
      <alignment horizontal="center" vertical="center"/>
    </xf>
    <xf numFmtId="0" fontId="75" fillId="15" borderId="1" xfId="0" applyFont="1" applyFill="1" applyBorder="1" applyAlignment="1">
      <alignment horizontal="center" vertical="center"/>
    </xf>
    <xf numFmtId="0" fontId="75" fillId="11" borderId="1" xfId="0" applyFont="1" applyFill="1" applyBorder="1" applyAlignment="1">
      <alignment horizontal="center" vertical="center"/>
    </xf>
    <xf numFmtId="0" fontId="75" fillId="7" borderId="5" xfId="0" applyFont="1" applyFill="1" applyBorder="1" applyAlignment="1">
      <alignment horizontal="center" vertical="center"/>
    </xf>
    <xf numFmtId="0" fontId="75" fillId="13" borderId="1" xfId="0" applyFont="1" applyFill="1" applyBorder="1" applyAlignment="1">
      <alignment horizontal="left" vertical="center" wrapText="1"/>
    </xf>
    <xf numFmtId="0" fontId="75" fillId="20" borderId="1" xfId="0" applyFont="1" applyFill="1" applyBorder="1" applyAlignment="1">
      <alignment horizontal="left" vertical="center" wrapText="1"/>
    </xf>
    <xf numFmtId="0" fontId="75" fillId="20" borderId="1" xfId="0" applyFont="1" applyFill="1" applyBorder="1" applyAlignment="1">
      <alignment horizontal="center" vertical="center" wrapText="1"/>
    </xf>
    <xf numFmtId="43" fontId="138" fillId="13" borderId="5" xfId="0" applyNumberFormat="1" applyFont="1" applyFill="1" applyBorder="1" applyAlignment="1">
      <alignment horizontal="center" vertical="center"/>
    </xf>
    <xf numFmtId="43" fontId="138" fillId="13" borderId="1" xfId="0" applyNumberFormat="1" applyFont="1" applyFill="1" applyBorder="1" applyAlignment="1">
      <alignment horizontal="left" vertical="center" wrapText="1"/>
    </xf>
    <xf numFmtId="0" fontId="135" fillId="13" borderId="1" xfId="0" applyFont="1" applyFill="1" applyBorder="1" applyAlignment="1">
      <alignment horizontal="left" vertical="center" wrapText="1"/>
    </xf>
    <xf numFmtId="49" fontId="138" fillId="13" borderId="5" xfId="0" applyNumberFormat="1" applyFont="1" applyFill="1" applyBorder="1" applyAlignment="1">
      <alignment horizontal="center" vertical="center"/>
    </xf>
    <xf numFmtId="0" fontId="138" fillId="13" borderId="1" xfId="0" applyFont="1" applyFill="1" applyBorder="1" applyAlignment="1">
      <alignment horizontal="left" vertical="center" wrapText="1"/>
    </xf>
    <xf numFmtId="180" fontId="139" fillId="22" borderId="1" xfId="6" applyNumberFormat="1" applyFont="1" applyFill="1" applyBorder="1" applyAlignment="1">
      <alignment horizontal="center" vertical="center"/>
    </xf>
    <xf numFmtId="0" fontId="139" fillId="22" borderId="1" xfId="6" applyFont="1" applyFill="1" applyBorder="1" applyAlignment="1">
      <alignment vertical="center" wrapText="1"/>
    </xf>
    <xf numFmtId="0" fontId="75" fillId="13" borderId="1" xfId="0" applyFont="1" applyFill="1" applyBorder="1" applyAlignment="1">
      <alignment horizontal="left" vertical="center"/>
    </xf>
    <xf numFmtId="0" fontId="137" fillId="3" borderId="1" xfId="0" applyFont="1" applyFill="1" applyBorder="1" applyAlignment="1">
      <alignment horizontal="left" vertical="center" wrapText="1"/>
    </xf>
    <xf numFmtId="0" fontId="128" fillId="0" borderId="1" xfId="0" applyFont="1" applyBorder="1" applyAlignment="1">
      <alignment horizontal="center" vertical="center"/>
    </xf>
    <xf numFmtId="0" fontId="132" fillId="15" borderId="1" xfId="0" applyFont="1" applyFill="1" applyBorder="1" applyAlignment="1">
      <alignment horizontal="left" vertical="center" wrapText="1"/>
    </xf>
    <xf numFmtId="177" fontId="68" fillId="10" borderId="1" xfId="0" applyNumberFormat="1" applyFont="1" applyFill="1" applyBorder="1" applyAlignment="1">
      <alignment horizontal="center" vertical="center"/>
    </xf>
    <xf numFmtId="179" fontId="69" fillId="0" borderId="20" xfId="0" applyNumberFormat="1" applyFont="1" applyBorder="1">
      <alignment vertical="center"/>
    </xf>
    <xf numFmtId="179" fontId="69" fillId="0" borderId="18" xfId="0" applyNumberFormat="1" applyFont="1" applyBorder="1">
      <alignment vertical="center"/>
    </xf>
    <xf numFmtId="0" fontId="68" fillId="3" borderId="0" xfId="0" applyFont="1" applyFill="1" applyAlignment="1">
      <alignment horizontal="center" vertical="center" wrapText="1"/>
    </xf>
    <xf numFmtId="0" fontId="128" fillId="3" borderId="1" xfId="0" applyFont="1" applyFill="1" applyBorder="1" applyAlignment="1">
      <alignment horizontal="left" vertical="center" wrapText="1"/>
    </xf>
    <xf numFmtId="43" fontId="142" fillId="13" borderId="1" xfId="0" applyNumberFormat="1" applyFont="1" applyFill="1" applyBorder="1" applyAlignment="1">
      <alignment horizontal="left" vertical="center" wrapText="1"/>
    </xf>
    <xf numFmtId="0" fontId="142" fillId="13" borderId="1" xfId="0" applyFont="1" applyFill="1" applyBorder="1" applyAlignment="1">
      <alignment horizontal="left" vertical="center" wrapText="1"/>
    </xf>
    <xf numFmtId="0" fontId="128" fillId="19" borderId="1" xfId="0" applyFont="1" applyFill="1" applyBorder="1" applyAlignment="1">
      <alignment horizontal="left" vertical="center" wrapText="1"/>
    </xf>
    <xf numFmtId="0" fontId="128" fillId="22" borderId="1" xfId="0" applyFont="1" applyFill="1" applyBorder="1" applyAlignment="1">
      <alignment horizontal="left" vertical="center" wrapText="1"/>
    </xf>
    <xf numFmtId="0" fontId="135" fillId="23" borderId="1" xfId="0" applyFont="1" applyFill="1" applyBorder="1" applyAlignment="1">
      <alignment horizontal="left" vertical="center" wrapText="1"/>
    </xf>
    <xf numFmtId="0" fontId="135" fillId="14" borderId="1" xfId="0" applyFont="1" applyFill="1" applyBorder="1" applyAlignment="1">
      <alignment horizontal="left" vertical="center" wrapText="1"/>
    </xf>
    <xf numFmtId="0" fontId="135" fillId="19" borderId="1" xfId="0" applyFont="1" applyFill="1" applyBorder="1" applyAlignment="1">
      <alignment horizontal="left" vertical="center" wrapText="1"/>
    </xf>
    <xf numFmtId="0" fontId="72" fillId="7" borderId="1" xfId="0" applyFont="1" applyFill="1" applyBorder="1">
      <alignment vertical="center"/>
    </xf>
    <xf numFmtId="0" fontId="68" fillId="24" borderId="1" xfId="0" applyFont="1" applyFill="1" applyBorder="1" applyAlignment="1">
      <alignment horizontal="center" vertical="center"/>
    </xf>
    <xf numFmtId="0" fontId="68" fillId="6" borderId="0" xfId="0" applyFont="1" applyFill="1">
      <alignment vertical="center"/>
    </xf>
    <xf numFmtId="177" fontId="68" fillId="15" borderId="1" xfId="0" applyNumberFormat="1" applyFont="1" applyFill="1" applyBorder="1" applyAlignment="1">
      <alignment horizontal="center" vertical="center"/>
    </xf>
    <xf numFmtId="179" fontId="69" fillId="3" borderId="0" xfId="0" applyNumberFormat="1" applyFont="1" applyFill="1">
      <alignment vertical="center"/>
    </xf>
    <xf numFmtId="177" fontId="68" fillId="13" borderId="1" xfId="0" applyNumberFormat="1" applyFont="1" applyFill="1" applyBorder="1" applyAlignment="1">
      <alignment horizontal="center" vertical="center"/>
    </xf>
    <xf numFmtId="0" fontId="68" fillId="0" borderId="0" xfId="0" applyFont="1" applyAlignment="1">
      <alignment vertical="center" wrapText="1"/>
    </xf>
    <xf numFmtId="177" fontId="68" fillId="11" borderId="1" xfId="0" applyNumberFormat="1" applyFont="1" applyFill="1" applyBorder="1" applyAlignment="1">
      <alignment horizontal="center" vertical="center"/>
    </xf>
    <xf numFmtId="0" fontId="72" fillId="3" borderId="1" xfId="0" applyFont="1" applyFill="1" applyBorder="1" applyAlignment="1">
      <alignment horizontal="center" vertical="center"/>
    </xf>
    <xf numFmtId="0" fontId="68" fillId="7" borderId="0" xfId="0" applyFont="1" applyFill="1">
      <alignment vertical="center"/>
    </xf>
    <xf numFmtId="0" fontId="68" fillId="25" borderId="1" xfId="0" applyFont="1" applyFill="1" applyBorder="1" applyAlignment="1">
      <alignment horizontal="center" vertical="center"/>
    </xf>
    <xf numFmtId="0" fontId="72" fillId="25" borderId="1" xfId="0" applyFont="1" applyFill="1" applyBorder="1" applyAlignment="1">
      <alignment horizontal="center" vertical="center"/>
    </xf>
    <xf numFmtId="0" fontId="128" fillId="17" borderId="1" xfId="0" applyFont="1" applyFill="1" applyBorder="1" applyAlignment="1">
      <alignment horizontal="center" vertical="center"/>
    </xf>
    <xf numFmtId="0" fontId="72" fillId="17" borderId="1" xfId="0" applyFont="1" applyFill="1" applyBorder="1" applyAlignment="1">
      <alignment horizontal="center" vertical="center"/>
    </xf>
    <xf numFmtId="0" fontId="150" fillId="17" borderId="1" xfId="0" applyFont="1" applyFill="1" applyBorder="1" applyAlignment="1">
      <alignment horizontal="center" vertical="center"/>
    </xf>
    <xf numFmtId="0" fontId="128" fillId="3" borderId="1" xfId="0" applyFont="1" applyFill="1" applyBorder="1" applyAlignment="1">
      <alignment horizontal="center" vertical="center"/>
    </xf>
    <xf numFmtId="0" fontId="68" fillId="6" borderId="1" xfId="0" applyFont="1" applyFill="1" applyBorder="1" applyAlignment="1">
      <alignment horizontal="center" vertical="center"/>
    </xf>
    <xf numFmtId="0" fontId="150" fillId="0" borderId="1" xfId="0" applyFont="1" applyBorder="1" applyAlignment="1">
      <alignment horizontal="center" vertical="center"/>
    </xf>
    <xf numFmtId="0" fontId="142" fillId="3" borderId="1" xfId="0" applyFont="1" applyFill="1" applyBorder="1" applyAlignment="1">
      <alignment horizontal="left" vertical="center" wrapText="1"/>
    </xf>
    <xf numFmtId="0" fontId="68" fillId="11" borderId="0" xfId="0" applyFont="1" applyFill="1" applyAlignment="1">
      <alignment horizontal="center" vertical="center"/>
    </xf>
    <xf numFmtId="0" fontId="128" fillId="11" borderId="1" xfId="0" applyFont="1" applyFill="1" applyBorder="1" applyAlignment="1">
      <alignment horizontal="center" vertical="center"/>
    </xf>
    <xf numFmtId="0" fontId="128" fillId="19" borderId="1" xfId="0" applyFont="1" applyFill="1" applyBorder="1" applyAlignment="1">
      <alignment horizontal="center" vertical="center"/>
    </xf>
    <xf numFmtId="0" fontId="150" fillId="14" borderId="1" xfId="0" applyFont="1" applyFill="1" applyBorder="1" applyAlignment="1">
      <alignment horizontal="center" vertical="center"/>
    </xf>
    <xf numFmtId="0" fontId="128" fillId="14" borderId="1" xfId="0" applyFont="1" applyFill="1" applyBorder="1" applyAlignment="1">
      <alignment horizontal="center" vertical="center"/>
    </xf>
    <xf numFmtId="0" fontId="68" fillId="0" borderId="18" xfId="0" applyFont="1" applyBorder="1" applyAlignment="1">
      <alignment horizontal="center" vertical="center"/>
    </xf>
    <xf numFmtId="179" fontId="149" fillId="3" borderId="18" xfId="0" applyNumberFormat="1" applyFont="1" applyFill="1" applyBorder="1" applyAlignment="1">
      <alignment horizontal="center" vertical="center"/>
    </xf>
    <xf numFmtId="0" fontId="68" fillId="3" borderId="18" xfId="0" applyFont="1" applyFill="1" applyBorder="1" applyAlignment="1">
      <alignment horizontal="center" vertical="center" wrapText="1"/>
    </xf>
    <xf numFmtId="0" fontId="68" fillId="3" borderId="18" xfId="0" applyFont="1" applyFill="1" applyBorder="1" applyAlignment="1">
      <alignment horizontal="center" vertical="center"/>
    </xf>
    <xf numFmtId="0" fontId="68" fillId="3" borderId="18" xfId="0" applyFont="1" applyFill="1" applyBorder="1" applyAlignment="1">
      <alignment vertical="center" wrapText="1"/>
    </xf>
    <xf numFmtId="179" fontId="127" fillId="17" borderId="18" xfId="0" applyNumberFormat="1" applyFont="1" applyFill="1" applyBorder="1" applyAlignment="1">
      <alignment horizontal="center" vertical="center"/>
    </xf>
    <xf numFmtId="179" fontId="127" fillId="0" borderId="18" xfId="0" applyNumberFormat="1" applyFont="1" applyBorder="1" applyAlignment="1">
      <alignment horizontal="center" vertical="center" wrapText="1"/>
    </xf>
    <xf numFmtId="179" fontId="127" fillId="0" borderId="18" xfId="0" applyNumberFormat="1" applyFont="1" applyBorder="1" applyAlignment="1">
      <alignment horizontal="center" vertical="center"/>
    </xf>
    <xf numFmtId="0" fontId="126" fillId="0" borderId="18" xfId="0" applyFont="1" applyBorder="1" applyAlignment="1">
      <alignment horizontal="center" vertical="center"/>
    </xf>
    <xf numFmtId="0" fontId="128" fillId="0" borderId="18" xfId="0" applyFont="1" applyBorder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00" fillId="3" borderId="18" xfId="0" applyFont="1" applyFill="1" applyBorder="1" applyAlignment="1">
      <alignment horizontal="left" vertical="center" wrapText="1"/>
    </xf>
    <xf numFmtId="0" fontId="100" fillId="3" borderId="18" xfId="0" applyFont="1" applyFill="1" applyBorder="1" applyAlignment="1">
      <alignment horizontal="left" vertical="center"/>
    </xf>
    <xf numFmtId="0" fontId="100" fillId="3" borderId="18" xfId="0" applyFont="1" applyFill="1" applyBorder="1" applyAlignment="1">
      <alignment horizontal="center" vertical="center" wrapText="1"/>
    </xf>
    <xf numFmtId="0" fontId="68" fillId="0" borderId="18" xfId="0" applyFont="1" applyBorder="1" applyAlignment="1">
      <alignment horizontal="left" vertical="center" wrapText="1"/>
    </xf>
    <xf numFmtId="0" fontId="68" fillId="0" borderId="18" xfId="0" applyFont="1" applyBorder="1" applyAlignment="1">
      <alignment horizontal="left" vertical="center"/>
    </xf>
    <xf numFmtId="0" fontId="71" fillId="0" borderId="4" xfId="0" applyFont="1" applyBorder="1" applyAlignment="1">
      <alignment horizontal="center" vertical="center"/>
    </xf>
    <xf numFmtId="0" fontId="71" fillId="0" borderId="2" xfId="0" applyFont="1" applyBorder="1" applyAlignment="1">
      <alignment horizontal="center" vertical="center"/>
    </xf>
    <xf numFmtId="0" fontId="71" fillId="0" borderId="5" xfId="0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7">
    <cellStyle name="一般" xfId="0" builtinId="0"/>
    <cellStyle name="一般 2" xfId="2" xr:uid="{00000000-0005-0000-0000-000001000000}"/>
    <cellStyle name="一般 2 2" xfId="6" xr:uid="{00000000-0005-0000-0000-000002000000}"/>
    <cellStyle name="千分位" xfId="1" builtinId="3"/>
    <cellStyle name="好_P_plan_0819" xfId="4" xr:uid="{00000000-0005-0000-0000-000004000000}"/>
    <cellStyle name="備註 2" xfId="3" xr:uid="{00000000-0005-0000-0000-000005000000}"/>
    <cellStyle name="壞_P_plan_0819" xfId="5" xr:uid="{00000000-0005-0000-0000-000006000000}"/>
  </cellStyles>
  <dxfs count="33">
    <dxf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微軟正黑體"/>
        <family val="2"/>
        <charset val="136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微軟正黑體"/>
        <family val="2"/>
        <charset val="136"/>
        <scheme val="none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微軟正黑體"/>
        <family val="2"/>
        <charset val="136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613</xdr:col>
      <xdr:colOff>565150</xdr:colOff>
      <xdr:row>45</xdr:row>
      <xdr:rowOff>768350</xdr:rowOff>
    </xdr:from>
    <xdr:to>
      <xdr:col>616</xdr:col>
      <xdr:colOff>736600</xdr:colOff>
      <xdr:row>47</xdr:row>
      <xdr:rowOff>606425</xdr:rowOff>
    </xdr:to>
    <xdr:sp macro="" textlink="">
      <xdr:nvSpPr>
        <xdr:cNvPr id="2" name="Text Box 3328" hidden="1">
          <a:extLst>
            <a:ext uri="{FF2B5EF4-FFF2-40B4-BE49-F238E27FC236}">
              <a16:creationId xmlns:a16="http://schemas.microsoft.com/office/drawing/2014/main" id="{D617F30A-A6AD-4155-BA4A-48B9CA787AA9}"/>
            </a:ext>
          </a:extLst>
        </xdr:cNvPr>
        <xdr:cNvSpPr txBox="1">
          <a:spLocks noChangeArrowheads="1"/>
        </xdr:cNvSpPr>
      </xdr:nvSpPr>
      <xdr:spPr bwMode="auto">
        <a:xfrm>
          <a:off x="61566425" y="40459025"/>
          <a:ext cx="3914775" cy="704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625</xdr:col>
      <xdr:colOff>241300</xdr:colOff>
      <xdr:row>37</xdr:row>
      <xdr:rowOff>301625</xdr:rowOff>
    </xdr:from>
    <xdr:to>
      <xdr:col>628</xdr:col>
      <xdr:colOff>317500</xdr:colOff>
      <xdr:row>38</xdr:row>
      <xdr:rowOff>511175</xdr:rowOff>
    </xdr:to>
    <xdr:sp macro="" textlink="">
      <xdr:nvSpPr>
        <xdr:cNvPr id="3" name="Text Box 3414" hidden="1">
          <a:extLst>
            <a:ext uri="{FF2B5EF4-FFF2-40B4-BE49-F238E27FC236}">
              <a16:creationId xmlns:a16="http://schemas.microsoft.com/office/drawing/2014/main" id="{1113D920-BC59-4E94-9DFD-53A19199F9A8}"/>
            </a:ext>
          </a:extLst>
        </xdr:cNvPr>
        <xdr:cNvSpPr txBox="1">
          <a:spLocks noChangeArrowheads="1"/>
        </xdr:cNvSpPr>
      </xdr:nvSpPr>
      <xdr:spPr bwMode="auto">
        <a:xfrm>
          <a:off x="76114275" y="33413700"/>
          <a:ext cx="3838575" cy="1095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640</xdr:col>
      <xdr:colOff>212725</xdr:colOff>
      <xdr:row>1</xdr:row>
      <xdr:rowOff>400050</xdr:rowOff>
    </xdr:from>
    <xdr:to>
      <xdr:col>643</xdr:col>
      <xdr:colOff>63500</xdr:colOff>
      <xdr:row>2</xdr:row>
      <xdr:rowOff>130175</xdr:rowOff>
    </xdr:to>
    <xdr:sp macro="" textlink="">
      <xdr:nvSpPr>
        <xdr:cNvPr id="4" name="Text Box 3527" hidden="1">
          <a:extLst>
            <a:ext uri="{FF2B5EF4-FFF2-40B4-BE49-F238E27FC236}">
              <a16:creationId xmlns:a16="http://schemas.microsoft.com/office/drawing/2014/main" id="{22F85687-36D3-4395-95BA-01E2B1080165}"/>
            </a:ext>
          </a:extLst>
        </xdr:cNvPr>
        <xdr:cNvSpPr txBox="1">
          <a:spLocks noChangeArrowheads="1"/>
        </xdr:cNvSpPr>
      </xdr:nvSpPr>
      <xdr:spPr bwMode="auto">
        <a:xfrm>
          <a:off x="94688025" y="1666875"/>
          <a:ext cx="3514725" cy="739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665</xdr:col>
      <xdr:colOff>927100</xdr:colOff>
      <xdr:row>34</xdr:row>
      <xdr:rowOff>254000</xdr:rowOff>
    </xdr:from>
    <xdr:to>
      <xdr:col>668</xdr:col>
      <xdr:colOff>508000</xdr:colOff>
      <xdr:row>36</xdr:row>
      <xdr:rowOff>117475</xdr:rowOff>
    </xdr:to>
    <xdr:sp macro="" textlink="">
      <xdr:nvSpPr>
        <xdr:cNvPr id="5" name="Text Box 3668" hidden="1">
          <a:extLst>
            <a:ext uri="{FF2B5EF4-FFF2-40B4-BE49-F238E27FC236}">
              <a16:creationId xmlns:a16="http://schemas.microsoft.com/office/drawing/2014/main" id="{752C481B-451F-4307-83F6-CE699B5AB834}"/>
            </a:ext>
          </a:extLst>
        </xdr:cNvPr>
        <xdr:cNvSpPr txBox="1">
          <a:spLocks noChangeArrowheads="1"/>
        </xdr:cNvSpPr>
      </xdr:nvSpPr>
      <xdr:spPr bwMode="auto">
        <a:xfrm>
          <a:off x="126720600" y="30708600"/>
          <a:ext cx="3209925" cy="1635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365571-86BF-4ED9-9DD8-F1E716A59CBA}" name="表格1_4" displayName="表格1_4" ref="B3:D81" headerRowCount="0" totalsRowShown="0" headerRowDxfId="26" dataDxfId="24" headerRowBorderDxfId="25" tableBorderDxfId="23" totalsRowBorderDxfId="22">
  <tableColumns count="3">
    <tableColumn id="1" xr3:uid="{AD2D710A-5110-497C-A907-163E876DDEBC}" name="PN" headerRowDxfId="21" dataDxfId="20" totalsRowDxfId="19"/>
    <tableColumn id="3" xr3:uid="{2DCB29A5-9875-453E-8394-19FE8AAFF5B4}" name="欄1" headerRowDxfId="18" dataDxfId="17" totalsRowDxfId="16"/>
    <tableColumn id="2" xr3:uid="{5A0C91B6-61CC-4CA7-BF3D-A8892F5AD1D1}" name="Description" headerRowDxfId="15" dataDxfId="14" totalsRowDxfId="13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778CF2-6B19-4366-82B0-46C6DCCF7A1D}" name="表格1_35" displayName="表格1_35" ref="B3:C49" headerRowCount="0" totalsRowShown="0" headerRowDxfId="10" dataDxfId="8" headerRowBorderDxfId="9" tableBorderDxfId="7" totalsRowBorderDxfId="6">
  <tableColumns count="2">
    <tableColumn id="1" xr3:uid="{1C7B9979-1885-4F5B-B654-021AC377C9AF}" name="PN" headerRowDxfId="5" dataDxfId="4" totalsRowDxfId="3"/>
    <tableColumn id="2" xr3:uid="{7F749CB9-A908-4B6B-B081-4C504C9AF6BC}" name="Description" headerRowDxfId="2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09B92-52BC-4AED-A1D7-C819055A8A59}">
  <sheetPr codeName="工作表1">
    <tabColor rgb="FF92D050"/>
    <pageSetUpPr fitToPage="1"/>
  </sheetPr>
  <dimension ref="A1:ACW244"/>
  <sheetViews>
    <sheetView showGridLines="0" tabSelected="1" zoomScale="25" zoomScaleNormal="25" workbookViewId="0">
      <pane xSplit="4" ySplit="2" topLeftCell="VJ3" activePane="bottomRight" state="frozen"/>
      <selection pane="topRight" activeCell="D1" sqref="D1"/>
      <selection pane="bottomLeft" activeCell="A3" sqref="A3"/>
      <selection pane="bottomRight" activeCell="B122" sqref="B122"/>
    </sheetView>
  </sheetViews>
  <sheetFormatPr defaultColWidth="9" defaultRowHeight="69.95" customHeight="1" outlineLevelCol="1"/>
  <cols>
    <col min="1" max="1" width="26.5" style="117" customWidth="1"/>
    <col min="2" max="2" width="71.125" style="131" customWidth="1"/>
    <col min="3" max="3" width="53.375" style="249" customWidth="1"/>
    <col min="4" max="4" width="107.125" style="149" customWidth="1"/>
    <col min="5" max="5" width="20.5" style="150" bestFit="1" customWidth="1"/>
    <col min="6" max="6" width="12.875" style="118" hidden="1" customWidth="1" outlineLevel="1" collapsed="1"/>
    <col min="7" max="7" width="15" style="118" hidden="1" customWidth="1" outlineLevel="1"/>
    <col min="8" max="10" width="12.875" style="118" hidden="1" customWidth="1" outlineLevel="1"/>
    <col min="11" max="12" width="11" style="118" hidden="1" customWidth="1" outlineLevel="1"/>
    <col min="13" max="13" width="15" style="118" hidden="1" customWidth="1" outlineLevel="1"/>
    <col min="14" max="14" width="12.875" style="118" hidden="1" customWidth="1" outlineLevel="1" collapsed="1"/>
    <col min="15" max="15" width="15" style="118" hidden="1" customWidth="1" outlineLevel="1"/>
    <col min="16" max="18" width="12.875" style="118" hidden="1" customWidth="1" outlineLevel="1"/>
    <col min="19" max="20" width="11" style="118" hidden="1" customWidth="1" outlineLevel="1"/>
    <col min="21" max="22" width="15" style="118" hidden="1" customWidth="1" outlineLevel="1"/>
    <col min="23" max="26" width="12.875" style="118" hidden="1" customWidth="1" outlineLevel="1"/>
    <col min="27" max="28" width="11" style="118" hidden="1" customWidth="1" outlineLevel="1"/>
    <col min="29" max="29" width="15" style="118" hidden="1" customWidth="1" outlineLevel="1"/>
    <col min="30" max="34" width="11" style="118" hidden="1" customWidth="1" outlineLevel="1"/>
    <col min="35" max="36" width="9.125" style="118" hidden="1" customWidth="1" outlineLevel="1"/>
    <col min="37" max="37" width="13.125" style="118" hidden="1" customWidth="1" outlineLevel="1"/>
    <col min="38" max="38" width="13.5" style="118" hidden="1" customWidth="1" outlineLevel="1"/>
    <col min="39" max="43" width="12.875" style="118" hidden="1" customWidth="1" outlineLevel="1"/>
    <col min="44" max="45" width="9.125" style="118" hidden="1" customWidth="1" outlineLevel="1"/>
    <col min="46" max="46" width="15" style="118" hidden="1" customWidth="1" outlineLevel="1"/>
    <col min="47" max="48" width="12.875" style="118" hidden="1" customWidth="1" outlineLevel="1"/>
    <col min="49" max="49" width="15" style="118" hidden="1" customWidth="1" outlineLevel="1"/>
    <col min="50" max="51" width="12.875" style="118" hidden="1" customWidth="1" outlineLevel="1"/>
    <col min="52" max="53" width="11" style="118" hidden="1" customWidth="1" outlineLevel="1"/>
    <col min="54" max="54" width="15" style="118" hidden="1" customWidth="1" outlineLevel="1"/>
    <col min="55" max="59" width="12.875" style="118" hidden="1" customWidth="1" outlineLevel="1"/>
    <col min="60" max="61" width="11" style="118" hidden="1" customWidth="1" outlineLevel="1"/>
    <col min="62" max="62" width="15" style="118" hidden="1" customWidth="1" outlineLevel="1"/>
    <col min="63" max="66" width="12.875" style="118" hidden="1" customWidth="1" outlineLevel="1"/>
    <col min="67" max="67" width="11" style="118" hidden="1" customWidth="1" outlineLevel="1"/>
    <col min="68" max="69" width="9.125" style="118" hidden="1" customWidth="1" outlineLevel="1"/>
    <col min="70" max="70" width="15" style="118" hidden="1" customWidth="1" outlineLevel="1"/>
    <col min="71" max="71" width="17.125" style="118" hidden="1" customWidth="1" outlineLevel="1"/>
    <col min="72" max="72" width="12.875" style="118" hidden="1" customWidth="1" outlineLevel="1" collapsed="1"/>
    <col min="73" max="74" width="12.875" style="118" hidden="1" customWidth="1" outlineLevel="1"/>
    <col min="75" max="75" width="15" style="118" hidden="1" customWidth="1" outlineLevel="1"/>
    <col min="76" max="76" width="12.875" style="118" hidden="1" customWidth="1" outlineLevel="1"/>
    <col min="77" max="78" width="9.125" style="118" hidden="1" customWidth="1" outlineLevel="1"/>
    <col min="79" max="81" width="15" style="118" hidden="1" customWidth="1" outlineLevel="1"/>
    <col min="82" max="83" width="12.875" style="118" hidden="1" customWidth="1" outlineLevel="1"/>
    <col min="84" max="84" width="15" style="118" hidden="1" customWidth="1" outlineLevel="1"/>
    <col min="85" max="86" width="11" style="118" hidden="1" customWidth="1" outlineLevel="1"/>
    <col min="87" max="88" width="15" style="118" hidden="1" customWidth="1" outlineLevel="1"/>
    <col min="89" max="90" width="12.875" style="118" hidden="1" customWidth="1" outlineLevel="1"/>
    <col min="91" max="91" width="15" style="118" hidden="1" customWidth="1" outlineLevel="1"/>
    <col min="92" max="92" width="12.875" style="118" hidden="1" customWidth="1" outlineLevel="1"/>
    <col min="93" max="94" width="11" style="118" hidden="1" customWidth="1" outlineLevel="1"/>
    <col min="95" max="97" width="15" style="118" hidden="1" customWidth="1" outlineLevel="1"/>
    <col min="98" max="98" width="12.875" style="118" hidden="1" customWidth="1" outlineLevel="1"/>
    <col min="99" max="99" width="15" style="118" hidden="1" customWidth="1" outlineLevel="1"/>
    <col min="100" max="100" width="12.875" style="118" hidden="1" customWidth="1" outlineLevel="1"/>
    <col min="101" max="102" width="11" style="118" hidden="1" customWidth="1" outlineLevel="1"/>
    <col min="103" max="103" width="15" style="118" hidden="1" customWidth="1" outlineLevel="1"/>
    <col min="104" max="104" width="12.875" style="118" hidden="1" customWidth="1" outlineLevel="1" collapsed="1"/>
    <col min="105" max="105" width="12.875" style="118" hidden="1" customWidth="1" outlineLevel="1"/>
    <col min="106" max="106" width="15" style="118" hidden="1" customWidth="1" outlineLevel="1"/>
    <col min="107" max="110" width="9.125" style="118" hidden="1" customWidth="1" outlineLevel="1"/>
    <col min="111" max="111" width="15" style="118" hidden="1" customWidth="1" outlineLevel="1"/>
    <col min="112" max="112" width="17.125" style="118" hidden="1" customWidth="1" outlineLevel="1"/>
    <col min="113" max="113" width="15" style="118" hidden="1" customWidth="1" outlineLevel="1" collapsed="1"/>
    <col min="114" max="114" width="15" style="118" hidden="1" customWidth="1" outlineLevel="1"/>
    <col min="115" max="116" width="12.875" style="118" hidden="1" customWidth="1" outlineLevel="1"/>
    <col min="117" max="117" width="15" style="118" hidden="1" customWidth="1" outlineLevel="1"/>
    <col min="118" max="118" width="12.875" style="118" hidden="1" customWidth="1" outlineLevel="1"/>
    <col min="119" max="119" width="11" style="118" hidden="1" customWidth="1" outlineLevel="1"/>
    <col min="120" max="120" width="15" style="118" hidden="1" customWidth="1" outlineLevel="1"/>
    <col min="121" max="122" width="12.875" style="118" hidden="1" customWidth="1" outlineLevel="1"/>
    <col min="123" max="123" width="15" style="118" hidden="1" customWidth="1" outlineLevel="1"/>
    <col min="124" max="124" width="12.875" style="118" hidden="1" customWidth="1" outlineLevel="1"/>
    <col min="125" max="125" width="15" style="118" hidden="1" customWidth="1" outlineLevel="1"/>
    <col min="126" max="126" width="12.875" style="118" hidden="1" customWidth="1" outlineLevel="1"/>
    <col min="127" max="127" width="11" style="118" hidden="1" customWidth="1" outlineLevel="1"/>
    <col min="128" max="128" width="15" style="118" hidden="1" customWidth="1" outlineLevel="1"/>
    <col min="129" max="129" width="12.875" style="118" hidden="1" customWidth="1" outlineLevel="1"/>
    <col min="130" max="131" width="15" style="118" hidden="1" customWidth="1" outlineLevel="1"/>
    <col min="132" max="132" width="12.875" style="118" hidden="1" customWidth="1" outlineLevel="1"/>
    <col min="133" max="133" width="15" style="118" hidden="1" customWidth="1" outlineLevel="1"/>
    <col min="134" max="135" width="11" style="118" hidden="1" customWidth="1" outlineLevel="1"/>
    <col min="136" max="136" width="15" style="118" hidden="1" customWidth="1" outlineLevel="1"/>
    <col min="137" max="137" width="12.875" style="118" hidden="1" customWidth="1" outlineLevel="1" collapsed="1"/>
    <col min="138" max="139" width="15" style="118" hidden="1" customWidth="1" outlineLevel="1"/>
    <col min="140" max="140" width="9.125" style="118" hidden="1" customWidth="1" outlineLevel="1"/>
    <col min="141" max="141" width="10.625" style="118" hidden="1" customWidth="1" outlineLevel="1"/>
    <col min="142" max="143" width="9.125" style="118" hidden="1" customWidth="1" outlineLevel="1"/>
    <col min="144" max="144" width="15" style="118" hidden="1" customWidth="1" outlineLevel="1"/>
    <col min="145" max="145" width="17.125" style="118" hidden="1" customWidth="1" outlineLevel="1"/>
    <col min="146" max="146" width="12.875" style="118" hidden="1" customWidth="1" outlineLevel="1"/>
    <col min="147" max="148" width="15" style="118" hidden="1" customWidth="1" outlineLevel="1"/>
    <col min="149" max="150" width="12.875" style="118" hidden="1" customWidth="1" outlineLevel="1"/>
    <col min="151" max="152" width="11" style="118" hidden="1" customWidth="1" outlineLevel="1"/>
    <col min="153" max="154" width="15" style="118" hidden="1" customWidth="1" outlineLevel="1"/>
    <col min="155" max="155" width="12.875" style="118" hidden="1" customWidth="1" outlineLevel="1"/>
    <col min="156" max="156" width="15" style="118" hidden="1" customWidth="1" outlineLevel="1"/>
    <col min="157" max="157" width="12.875" style="118" hidden="1" customWidth="1" outlineLevel="1"/>
    <col min="158" max="158" width="15" style="118" hidden="1" customWidth="1" outlineLevel="1"/>
    <col min="159" max="160" width="11" style="118" hidden="1" customWidth="1" outlineLevel="1"/>
    <col min="161" max="161" width="15" style="118" hidden="1" customWidth="1" outlineLevel="1"/>
    <col min="162" max="162" width="12.875" style="118" hidden="1" customWidth="1" outlineLevel="1" collapsed="1"/>
    <col min="163" max="164" width="12.875" style="118" hidden="1" customWidth="1" outlineLevel="1"/>
    <col min="165" max="166" width="15" style="118" hidden="1" customWidth="1" outlineLevel="1"/>
    <col min="167" max="167" width="12.875" style="118" hidden="1" customWidth="1" outlineLevel="1"/>
    <col min="168" max="168" width="11" style="118" hidden="1" customWidth="1" outlineLevel="1"/>
    <col min="169" max="169" width="15" style="118" hidden="1" customWidth="1" outlineLevel="1"/>
    <col min="170" max="170" width="12.875" style="118" hidden="1" customWidth="1" outlineLevel="1"/>
    <col min="171" max="171" width="15" style="118" hidden="1" customWidth="1" outlineLevel="1"/>
    <col min="172" max="173" width="12.875" style="118" hidden="1" customWidth="1" outlineLevel="1"/>
    <col min="174" max="175" width="11" style="118" hidden="1" customWidth="1" outlineLevel="1"/>
    <col min="176" max="176" width="9.125" style="118" hidden="1" customWidth="1" outlineLevel="1"/>
    <col min="177" max="177" width="15" style="118" hidden="1" customWidth="1" outlineLevel="1"/>
    <col min="178" max="178" width="17.125" style="118" hidden="1" customWidth="1" outlineLevel="1"/>
    <col min="179" max="180" width="12.875" style="118" hidden="1" customWidth="1" outlineLevel="1"/>
    <col min="181" max="181" width="15" style="118" hidden="1" customWidth="1" outlineLevel="1"/>
    <col min="182" max="183" width="12.875" style="118" hidden="1" customWidth="1" outlineLevel="1"/>
    <col min="184" max="185" width="9.125" style="118" hidden="1" customWidth="1" outlineLevel="1"/>
    <col min="186" max="186" width="15" style="118" hidden="1" customWidth="1" outlineLevel="1"/>
    <col min="187" max="187" width="12.875" style="118" hidden="1" customWidth="1" outlineLevel="1"/>
    <col min="188" max="188" width="15" style="118" hidden="1" customWidth="1" outlineLevel="1"/>
    <col min="189" max="189" width="12.875" style="118" hidden="1" customWidth="1" outlineLevel="1"/>
    <col min="190" max="191" width="15" style="118" hidden="1" customWidth="1" outlineLevel="1"/>
    <col min="192" max="193" width="11" style="118" hidden="1" customWidth="1" outlineLevel="1"/>
    <col min="194" max="195" width="15" style="118" hidden="1" customWidth="1" outlineLevel="1"/>
    <col min="196" max="196" width="12.875" style="118" hidden="1" customWidth="1" outlineLevel="1"/>
    <col min="197" max="199" width="15" style="118" hidden="1" customWidth="1" outlineLevel="1"/>
    <col min="200" max="201" width="11" style="118" hidden="1" customWidth="1" outlineLevel="1"/>
    <col min="202" max="202" width="15" style="118" hidden="1" customWidth="1" outlineLevel="1"/>
    <col min="203" max="203" width="15" style="118" hidden="1" customWidth="1" outlineLevel="1" collapsed="1"/>
    <col min="204" max="204" width="15" style="118" hidden="1" customWidth="1" outlineLevel="1"/>
    <col min="205" max="205" width="12.875" style="118" hidden="1" customWidth="1" outlineLevel="1"/>
    <col min="206" max="206" width="15" style="118" hidden="1" customWidth="1" outlineLevel="1"/>
    <col min="207" max="207" width="12.875" style="118" hidden="1" customWidth="1" outlineLevel="1"/>
    <col min="208" max="209" width="11" style="118" hidden="1" customWidth="1" outlineLevel="1"/>
    <col min="210" max="210" width="15" style="118" hidden="1" customWidth="1" outlineLevel="1"/>
    <col min="211" max="211" width="12.875" style="118" hidden="1" customWidth="1" outlineLevel="1" collapsed="1"/>
    <col min="212" max="212" width="12.875" style="118" hidden="1" customWidth="1" outlineLevel="1"/>
    <col min="213" max="213" width="15" style="118" hidden="1" customWidth="1" outlineLevel="1"/>
    <col min="214" max="214" width="12.875" style="118" hidden="1" customWidth="1" outlineLevel="1"/>
    <col min="215" max="215" width="15" style="118" hidden="1" customWidth="1" outlineLevel="1"/>
    <col min="216" max="217" width="9.125" style="118" hidden="1" customWidth="1" outlineLevel="1"/>
    <col min="218" max="218" width="15" style="118" hidden="1" customWidth="1" outlineLevel="1"/>
    <col min="219" max="219" width="17.125" style="118" hidden="1" customWidth="1" outlineLevel="1"/>
    <col min="220" max="220" width="18.25" style="118" hidden="1" customWidth="1" outlineLevel="1"/>
    <col min="221" max="221" width="12.875" style="118" hidden="1" customWidth="1" outlineLevel="1"/>
    <col min="222" max="223" width="15" style="118" hidden="1" customWidth="1" outlineLevel="1"/>
    <col min="224" max="225" width="12.875" style="118" hidden="1" customWidth="1" outlineLevel="1"/>
    <col min="226" max="226" width="11" style="118" hidden="1" customWidth="1" outlineLevel="1"/>
    <col min="227" max="227" width="15" style="118" hidden="1" customWidth="1" outlineLevel="1" collapsed="1"/>
    <col min="228" max="228" width="12.875" style="118" hidden="1" customWidth="1" outlineLevel="1" collapsed="1"/>
    <col min="229" max="230" width="12.875" style="118" hidden="1" customWidth="1" outlineLevel="1"/>
    <col min="231" max="232" width="15" style="118" hidden="1" customWidth="1" outlineLevel="1"/>
    <col min="233" max="234" width="11" style="118" hidden="1" customWidth="1" outlineLevel="1"/>
    <col min="235" max="236" width="15" style="118" hidden="1" customWidth="1" outlineLevel="1"/>
    <col min="237" max="238" width="12.875" style="118" hidden="1" customWidth="1" outlineLevel="1"/>
    <col min="239" max="240" width="15" style="118" hidden="1" customWidth="1" outlineLevel="1"/>
    <col min="241" max="242" width="11" style="118" hidden="1" customWidth="1" outlineLevel="1"/>
    <col min="243" max="243" width="15" style="118" hidden="1" customWidth="1" outlineLevel="1"/>
    <col min="244" max="244" width="12.875" style="118" hidden="1" customWidth="1" outlineLevel="1"/>
    <col min="245" max="245" width="15" style="118" hidden="1" customWidth="1" outlineLevel="1"/>
    <col min="246" max="247" width="12.875" style="118" hidden="1" customWidth="1" outlineLevel="1"/>
    <col min="248" max="248" width="15" style="118" hidden="1" customWidth="1" outlineLevel="1"/>
    <col min="249" max="250" width="9.125" style="118" hidden="1" customWidth="1" outlineLevel="1"/>
    <col min="251" max="251" width="15" style="118" hidden="1" customWidth="1" outlineLevel="1"/>
    <col min="252" max="252" width="17.125" style="118" hidden="1" customWidth="1" outlineLevel="1"/>
    <col min="253" max="253" width="12.875" style="118" hidden="1" customWidth="1" outlineLevel="1"/>
    <col min="254" max="255" width="15" style="118" hidden="1" customWidth="1" outlineLevel="1"/>
    <col min="256" max="257" width="12.875" style="118" hidden="1" customWidth="1" outlineLevel="1"/>
    <col min="258" max="258" width="9.125" style="118" hidden="1" customWidth="1" outlineLevel="1"/>
    <col min="259" max="259" width="11" style="118" hidden="1" customWidth="1" outlineLevel="1"/>
    <col min="260" max="260" width="15" style="118" hidden="1" customWidth="1" outlineLevel="1"/>
    <col min="261" max="262" width="12.875" style="118" hidden="1" customWidth="1" outlineLevel="1"/>
    <col min="263" max="263" width="15" style="118" hidden="1" customWidth="1" outlineLevel="1"/>
    <col min="264" max="265" width="12.875" style="118" hidden="1" customWidth="1" outlineLevel="1"/>
    <col min="266" max="267" width="11" style="118" hidden="1" customWidth="1" outlineLevel="1"/>
    <col min="268" max="269" width="15" style="118" hidden="1" customWidth="1" outlineLevel="1"/>
    <col min="270" max="270" width="12.875" style="118" hidden="1" customWidth="1" outlineLevel="1"/>
    <col min="271" max="272" width="15" style="118" hidden="1" customWidth="1" outlineLevel="1"/>
    <col min="273" max="273" width="12.875" style="118" hidden="1" customWidth="1" outlineLevel="1"/>
    <col min="274" max="274" width="11" style="118" hidden="1" customWidth="1" outlineLevel="1"/>
    <col min="275" max="275" width="27.375" style="118" hidden="1" customWidth="1" outlineLevel="1"/>
    <col min="276" max="276" width="15" style="118" hidden="1" customWidth="1" outlineLevel="1"/>
    <col min="277" max="277" width="12.875" style="118" hidden="1" customWidth="1" outlineLevel="1"/>
    <col min="278" max="280" width="15" style="118" hidden="1" customWidth="1" outlineLevel="1"/>
    <col min="281" max="281" width="12.875" style="118" hidden="1" customWidth="1" outlineLevel="1"/>
    <col min="282" max="283" width="11" style="118" hidden="1" customWidth="1" outlineLevel="1"/>
    <col min="284" max="284" width="15" style="118" hidden="1" customWidth="1" outlineLevel="1"/>
    <col min="285" max="285" width="17.125" style="118" hidden="1" customWidth="1" outlineLevel="1"/>
    <col min="286" max="286" width="15" style="118" hidden="1" customWidth="1" outlineLevel="1"/>
    <col min="287" max="288" width="12.875" style="118" hidden="1" customWidth="1" outlineLevel="1"/>
    <col min="289" max="289" width="15" style="118" hidden="1" customWidth="1" outlineLevel="1"/>
    <col min="290" max="291" width="12.875" style="118" hidden="1" customWidth="1" outlineLevel="1"/>
    <col min="292" max="292" width="9.125" style="118" hidden="1" customWidth="1" outlineLevel="1"/>
    <col min="293" max="293" width="15" style="118" hidden="1" customWidth="1" outlineLevel="1"/>
    <col min="294" max="296" width="12.875" style="118" hidden="1" customWidth="1" outlineLevel="1"/>
    <col min="297" max="297" width="15" style="118" hidden="1" customWidth="1" outlineLevel="1"/>
    <col min="298" max="299" width="12.875" style="118" hidden="1" customWidth="1" outlineLevel="1"/>
    <col min="300" max="300" width="11" style="118" hidden="1" customWidth="1" outlineLevel="1"/>
    <col min="301" max="301" width="15" style="118" hidden="1" customWidth="1" outlineLevel="1"/>
    <col min="302" max="302" width="15" style="118" hidden="1" customWidth="1" outlineLevel="1" collapsed="1"/>
    <col min="303" max="304" width="15" style="118" hidden="1" customWidth="1" outlineLevel="1"/>
    <col min="305" max="306" width="12.875" style="118" hidden="1" customWidth="1" outlineLevel="1"/>
    <col min="307" max="308" width="11" style="118" hidden="1" customWidth="1" outlineLevel="1"/>
    <col min="309" max="309" width="15" style="118" hidden="1" customWidth="1" outlineLevel="1"/>
    <col min="310" max="311" width="12.875" style="118" hidden="1" customWidth="1" outlineLevel="1"/>
    <col min="312" max="313" width="15" style="118" hidden="1" customWidth="1" outlineLevel="1"/>
    <col min="314" max="314" width="12.875" style="118" hidden="1" customWidth="1" outlineLevel="1"/>
    <col min="315" max="316" width="11" style="118" hidden="1" customWidth="1" outlineLevel="1"/>
    <col min="317" max="317" width="15" style="118" hidden="1" customWidth="1" outlineLevel="1"/>
    <col min="318" max="318" width="11" style="118" hidden="1" customWidth="1" outlineLevel="1"/>
    <col min="319" max="320" width="12.875" style="118" hidden="1" customWidth="1" outlineLevel="1"/>
    <col min="321" max="321" width="15" style="118" hidden="1" customWidth="1" outlineLevel="1"/>
    <col min="322" max="322" width="12.875" style="118" hidden="1" customWidth="1" outlineLevel="1"/>
    <col min="323" max="324" width="11" style="118" hidden="1" customWidth="1" outlineLevel="1"/>
    <col min="325" max="325" width="15" style="118" hidden="1" customWidth="1" outlineLevel="1"/>
    <col min="326" max="326" width="17.125" style="118" hidden="1" customWidth="1" outlineLevel="1"/>
    <col min="327" max="327" width="11" style="118" hidden="1" customWidth="1" outlineLevel="1"/>
    <col min="328" max="328" width="15" style="118" hidden="1" customWidth="1" outlineLevel="1"/>
    <col min="329" max="329" width="12.875" style="118" hidden="1" customWidth="1" outlineLevel="1"/>
    <col min="330" max="330" width="15" style="118" hidden="1" customWidth="1" outlineLevel="1"/>
    <col min="331" max="333" width="12.875" style="118" hidden="1" customWidth="1" outlineLevel="1"/>
    <col min="334" max="334" width="15" style="118" hidden="1" customWidth="1" outlineLevel="1"/>
    <col min="335" max="335" width="15" style="118" hidden="1" customWidth="1" outlineLevel="1" collapsed="1"/>
    <col min="336" max="336" width="15" style="118" hidden="1" customWidth="1" outlineLevel="1"/>
    <col min="337" max="337" width="12.875" style="118" hidden="1" customWidth="1" outlineLevel="1"/>
    <col min="338" max="339" width="15" style="118" hidden="1" customWidth="1" outlineLevel="1"/>
    <col min="340" max="341" width="12.875" style="118" hidden="1" customWidth="1" outlineLevel="1"/>
    <col min="342" max="342" width="15" style="118" hidden="1" customWidth="1" outlineLevel="1" collapsed="1"/>
    <col min="343" max="343" width="17.375" style="118" hidden="1" customWidth="1" outlineLevel="1" collapsed="1"/>
    <col min="344" max="350" width="17.375" style="118" hidden="1" customWidth="1" outlineLevel="1"/>
    <col min="351" max="351" width="17.375" style="118" hidden="1" customWidth="1" outlineLevel="1" collapsed="1"/>
    <col min="352" max="358" width="17.375" style="118" hidden="1" customWidth="1" outlineLevel="1"/>
    <col min="359" max="359" width="17.375" style="118" hidden="1" customWidth="1" outlineLevel="1" collapsed="1"/>
    <col min="360" max="367" width="17.375" style="118" hidden="1" customWidth="1" outlineLevel="1"/>
    <col min="368" max="368" width="17.375" style="118" hidden="1" customWidth="1" outlineLevel="1" collapsed="1"/>
    <col min="369" max="375" width="17.375" style="118" hidden="1" customWidth="1" outlineLevel="1"/>
    <col min="376" max="376" width="17.375" style="118" hidden="1" customWidth="1" outlineLevel="1" collapsed="1"/>
    <col min="377" max="383" width="17.375" style="118" hidden="1" customWidth="1" outlineLevel="1"/>
    <col min="384" max="384" width="17.375" style="118" hidden="1" customWidth="1" outlineLevel="1" collapsed="1"/>
    <col min="385" max="392" width="17.375" style="118" hidden="1" customWidth="1" outlineLevel="1"/>
    <col min="393" max="393" width="17.375" style="118" hidden="1" customWidth="1" outlineLevel="1" collapsed="1"/>
    <col min="394" max="400" width="17.375" style="118" hidden="1" customWidth="1" outlineLevel="1"/>
    <col min="401" max="401" width="17.375" style="118" hidden="1" customWidth="1" outlineLevel="1" collapsed="1"/>
    <col min="402" max="408" width="17.375" style="118" hidden="1" customWidth="1" outlineLevel="1"/>
    <col min="409" max="409" width="17.375" style="118" hidden="1" customWidth="1" outlineLevel="1" collapsed="1"/>
    <col min="410" max="413" width="17.375" style="118" hidden="1" customWidth="1" outlineLevel="1"/>
    <col min="414" max="414" width="21.375" style="118" hidden="1" customWidth="1" outlineLevel="1"/>
    <col min="415" max="416" width="17.375" style="118" hidden="1" customWidth="1" outlineLevel="1"/>
    <col min="417" max="417" width="17.375" style="118" hidden="1" customWidth="1" outlineLevel="1" collapsed="1"/>
    <col min="418" max="423" width="17.375" style="118" hidden="1" customWidth="1" outlineLevel="1"/>
    <col min="424" max="425" width="17.375" style="118" hidden="1" customWidth="1" outlineLevel="1" collapsed="1"/>
    <col min="426" max="433" width="17.375" style="118" hidden="1" customWidth="1" outlineLevel="1"/>
    <col min="434" max="434" width="20.875" style="118" hidden="1" customWidth="1" outlineLevel="1" collapsed="1"/>
    <col min="435" max="435" width="18.25" style="118" hidden="1" customWidth="1" outlineLevel="1"/>
    <col min="436" max="436" width="16.5" style="118" hidden="1" customWidth="1" outlineLevel="1"/>
    <col min="437" max="437" width="17.5" style="118" hidden="1" customWidth="1" outlineLevel="1"/>
    <col min="438" max="438" width="21.125" style="118" hidden="1" customWidth="1" outlineLevel="1"/>
    <col min="439" max="441" width="16.5" style="118" hidden="1" customWidth="1" outlineLevel="1"/>
    <col min="442" max="442" width="17.125" style="118" hidden="1" customWidth="1" outlineLevel="1" collapsed="1"/>
    <col min="443" max="449" width="16.5" style="118" hidden="1" customWidth="1" outlineLevel="1"/>
    <col min="450" max="450" width="16.5" style="118" hidden="1" customWidth="1" outlineLevel="1" collapsed="1"/>
    <col min="451" max="457" width="16.5" style="118" hidden="1" customWidth="1" outlineLevel="1"/>
    <col min="458" max="458" width="16.5" style="118" hidden="1" customWidth="1" outlineLevel="1" collapsed="1"/>
    <col min="459" max="459" width="16.5" style="118" hidden="1" customWidth="1" outlineLevel="1"/>
    <col min="460" max="460" width="19.375" style="118" hidden="1" customWidth="1" outlineLevel="1"/>
    <col min="461" max="461" width="18.25" style="118" hidden="1" customWidth="1" outlineLevel="1"/>
    <col min="462" max="462" width="18.625" style="118" hidden="1" customWidth="1" outlineLevel="1"/>
    <col min="463" max="465" width="16.5" style="118" hidden="1" customWidth="1" outlineLevel="1"/>
    <col min="466" max="466" width="16.5" style="118" hidden="1" customWidth="1" outlineLevel="1" collapsed="1"/>
    <col min="467" max="473" width="16.5" style="118" hidden="1" customWidth="1" outlineLevel="1"/>
    <col min="474" max="474" width="16.5" style="118" hidden="1" customWidth="1" outlineLevel="1" collapsed="1"/>
    <col min="475" max="481" width="16.5" style="118" hidden="1" customWidth="1" outlineLevel="1"/>
    <col min="482" max="482" width="16.5" style="118" hidden="1" customWidth="1" outlineLevel="1" collapsed="1"/>
    <col min="483" max="499" width="16.5" style="118" hidden="1" customWidth="1" outlineLevel="1"/>
    <col min="500" max="500" width="16.5" style="118" hidden="1" customWidth="1" outlineLevel="1" collapsed="1"/>
    <col min="501" max="507" width="16.5" style="118" hidden="1" customWidth="1" outlineLevel="1"/>
    <col min="508" max="508" width="16.5" style="118" hidden="1" customWidth="1" outlineLevel="1" collapsed="1"/>
    <col min="509" max="515" width="16.5" style="118" hidden="1" customWidth="1" outlineLevel="1"/>
    <col min="516" max="516" width="16.5" style="118" hidden="1" customWidth="1" outlineLevel="1" collapsed="1"/>
    <col min="517" max="523" width="16.5" style="118" hidden="1" customWidth="1" outlineLevel="1"/>
    <col min="524" max="524" width="16.5" style="118" hidden="1" customWidth="1" outlineLevel="1" collapsed="1"/>
    <col min="525" max="531" width="16.5" style="118" hidden="1" customWidth="1" outlineLevel="1"/>
    <col min="532" max="532" width="16.5" style="118" hidden="1" customWidth="1" outlineLevel="1" collapsed="1"/>
    <col min="533" max="541" width="16.5" style="118" hidden="1" customWidth="1" outlineLevel="1"/>
    <col min="542" max="542" width="16.5" style="118" hidden="1" customWidth="1" outlineLevel="1" collapsed="1"/>
    <col min="543" max="548" width="16.5" style="118" hidden="1" customWidth="1" outlineLevel="1"/>
    <col min="549" max="549" width="16.5" style="118" hidden="1" customWidth="1" outlineLevel="1" collapsed="1"/>
    <col min="550" max="556" width="16.5" style="118" hidden="1" customWidth="1" outlineLevel="1"/>
    <col min="557" max="557" width="16.5" style="118" hidden="1" customWidth="1" outlineLevel="1" collapsed="1"/>
    <col min="558" max="564" width="16.5" style="118" hidden="1" customWidth="1" outlineLevel="1"/>
    <col min="565" max="565" width="16.5" style="118" hidden="1" customWidth="1" outlineLevel="1" collapsed="1"/>
    <col min="566" max="573" width="16.5" style="118" hidden="1" customWidth="1" outlineLevel="1"/>
    <col min="574" max="574" width="16.5" style="118" hidden="1" customWidth="1" outlineLevel="1" collapsed="1"/>
    <col min="575" max="577" width="16.5" style="118" hidden="1" customWidth="1" outlineLevel="1"/>
    <col min="578" max="578" width="17.125" style="118" hidden="1" customWidth="1" outlineLevel="1"/>
    <col min="579" max="581" width="16.5" style="118" hidden="1" customWidth="1" outlineLevel="1"/>
    <col min="582" max="582" width="16.5" style="118" customWidth="1" collapsed="1"/>
    <col min="583" max="721" width="16.5" style="118" customWidth="1"/>
    <col min="722" max="16384" width="9" style="118"/>
  </cols>
  <sheetData>
    <row r="1" spans="1:721" ht="99.75" customHeight="1">
      <c r="B1" s="131" t="s">
        <v>543</v>
      </c>
      <c r="AM1" s="394" t="s">
        <v>618</v>
      </c>
      <c r="AN1" s="394"/>
      <c r="AO1" s="394"/>
      <c r="AP1" s="394"/>
      <c r="AQ1" s="394"/>
      <c r="AU1" s="394" t="s">
        <v>618</v>
      </c>
      <c r="AV1" s="394"/>
      <c r="AW1" s="394"/>
      <c r="AX1" s="394"/>
      <c r="AY1" s="394"/>
      <c r="BC1" s="396" t="s">
        <v>709</v>
      </c>
      <c r="BD1" s="396"/>
      <c r="BE1" s="396"/>
      <c r="BF1" s="396"/>
      <c r="BG1" s="396"/>
      <c r="BK1" s="408" t="s">
        <v>710</v>
      </c>
      <c r="BL1" s="409"/>
      <c r="BM1" s="409"/>
      <c r="BN1" s="409"/>
      <c r="BO1" s="230"/>
      <c r="BT1" s="398" t="s">
        <v>711</v>
      </c>
      <c r="BU1" s="398"/>
      <c r="BV1" s="398"/>
      <c r="BW1" s="398"/>
      <c r="BX1" s="398"/>
      <c r="CB1" s="398" t="s">
        <v>711</v>
      </c>
      <c r="CC1" s="398"/>
      <c r="CD1" s="398"/>
      <c r="CE1" s="398"/>
      <c r="CF1" s="398"/>
      <c r="CJ1" s="398" t="s">
        <v>711</v>
      </c>
      <c r="CK1" s="398"/>
      <c r="CL1" s="398"/>
      <c r="CM1" s="398"/>
      <c r="CN1" s="398"/>
      <c r="CR1" s="398" t="s">
        <v>711</v>
      </c>
      <c r="CS1" s="398"/>
      <c r="CT1" s="398"/>
      <c r="CU1" s="398"/>
      <c r="CV1" s="398"/>
      <c r="CZ1" s="398" t="s">
        <v>719</v>
      </c>
      <c r="DA1" s="398"/>
      <c r="DB1" s="398"/>
      <c r="DC1" s="398"/>
      <c r="DD1" s="398"/>
      <c r="DQ1" s="405" t="s">
        <v>718</v>
      </c>
      <c r="DR1" s="406"/>
      <c r="DS1" s="406"/>
      <c r="DT1" s="406"/>
      <c r="DU1" s="406"/>
      <c r="EH1" s="407" t="s">
        <v>717</v>
      </c>
      <c r="EI1" s="407"/>
      <c r="EK1" s="257" t="s">
        <v>619</v>
      </c>
      <c r="EX1" s="398" t="s">
        <v>711</v>
      </c>
      <c r="EY1" s="398"/>
      <c r="EZ1" s="398"/>
      <c r="FA1" s="398"/>
      <c r="FB1" s="398"/>
      <c r="FF1" s="398"/>
      <c r="FG1" s="398"/>
      <c r="FH1" s="398"/>
      <c r="FI1" s="398"/>
      <c r="FJ1" s="398"/>
      <c r="FN1" s="398"/>
      <c r="FO1" s="398"/>
      <c r="FP1" s="398"/>
      <c r="FQ1" s="398"/>
      <c r="FR1" s="398"/>
      <c r="FW1" s="396"/>
      <c r="FX1" s="396"/>
      <c r="FY1" s="396"/>
      <c r="FZ1" s="396"/>
      <c r="GA1" s="259" t="s">
        <v>739</v>
      </c>
      <c r="GE1" s="398" t="s">
        <v>740</v>
      </c>
      <c r="GF1" s="398"/>
      <c r="GG1" s="398"/>
      <c r="GH1" s="398"/>
      <c r="GI1" s="398"/>
      <c r="GM1" s="398" t="s">
        <v>720</v>
      </c>
      <c r="GN1" s="398"/>
      <c r="GO1" s="398"/>
      <c r="GP1" s="398"/>
      <c r="GQ1" s="398"/>
      <c r="GU1" s="398" t="s">
        <v>720</v>
      </c>
      <c r="GV1" s="398"/>
      <c r="GW1" s="398"/>
      <c r="GX1" s="398"/>
      <c r="GY1" s="398"/>
      <c r="HL1" s="263" t="s">
        <v>759</v>
      </c>
      <c r="MZ1" s="119" t="s">
        <v>834</v>
      </c>
      <c r="NT1" s="403" t="s">
        <v>836</v>
      </c>
      <c r="NU1" s="403"/>
      <c r="NV1" s="403"/>
      <c r="NW1" s="403"/>
      <c r="NX1" s="403"/>
      <c r="OC1" s="404" t="s">
        <v>837</v>
      </c>
      <c r="OD1" s="404"/>
      <c r="OE1" s="404"/>
      <c r="OF1" s="404"/>
      <c r="OG1" s="404"/>
      <c r="OK1" s="404" t="s">
        <v>837</v>
      </c>
      <c r="OL1" s="404"/>
      <c r="OM1" s="404"/>
      <c r="ON1" s="404"/>
      <c r="OO1" s="404"/>
      <c r="OP1" s="117">
        <v>2500</v>
      </c>
      <c r="OR1" s="117">
        <v>130</v>
      </c>
      <c r="OU1" s="117">
        <v>10000</v>
      </c>
      <c r="OW1" s="298" t="s">
        <v>835</v>
      </c>
      <c r="OX1" s="291" t="s">
        <v>830</v>
      </c>
      <c r="PA1" s="292" t="s">
        <v>831</v>
      </c>
      <c r="PE1" s="271" t="s">
        <v>823</v>
      </c>
      <c r="PL1" s="273">
        <v>2026</v>
      </c>
      <c r="PM1" s="271" t="s">
        <v>823</v>
      </c>
      <c r="PR1" s="117">
        <v>2026</v>
      </c>
      <c r="QJ1" s="293" t="s">
        <v>833</v>
      </c>
      <c r="RC1" s="117"/>
      <c r="RK1" s="117"/>
      <c r="RL1" s="402" t="s">
        <v>825</v>
      </c>
      <c r="RM1" s="402"/>
      <c r="RN1" s="402"/>
      <c r="RO1" s="402"/>
      <c r="RP1" s="402"/>
      <c r="RQ1" s="402"/>
      <c r="RR1" s="402"/>
      <c r="RS1" s="402"/>
      <c r="RT1" s="402"/>
      <c r="RU1" s="402"/>
      <c r="SA1" s="257" t="s">
        <v>850</v>
      </c>
      <c r="SJ1" s="117"/>
      <c r="SK1" s="257" t="s">
        <v>850</v>
      </c>
      <c r="SR1" s="117"/>
      <c r="SS1" s="257" t="s">
        <v>850</v>
      </c>
      <c r="ST1" s="361" t="s">
        <v>904</v>
      </c>
      <c r="SZ1" s="117"/>
      <c r="TA1" s="257" t="s">
        <v>850</v>
      </c>
      <c r="TG1" s="372"/>
      <c r="TH1" s="117"/>
      <c r="TI1" s="257" t="s">
        <v>850</v>
      </c>
      <c r="UE1" s="376" t="s">
        <v>940</v>
      </c>
      <c r="UW1" s="379"/>
      <c r="UX1" s="379"/>
      <c r="VU1" s="394" t="s">
        <v>952</v>
      </c>
      <c r="VV1" s="394"/>
      <c r="VW1" s="394"/>
      <c r="VX1" s="394"/>
      <c r="VY1" s="394"/>
      <c r="VZ1" s="394"/>
      <c r="WA1" s="394"/>
      <c r="WE1" s="117" t="s">
        <v>850</v>
      </c>
    </row>
    <row r="2" spans="1:721" s="117" customFormat="1" ht="80.099999999999994" customHeight="1">
      <c r="B2" s="130" t="s">
        <v>877</v>
      </c>
      <c r="C2" s="146" t="s">
        <v>226</v>
      </c>
      <c r="D2" s="136" t="s">
        <v>0</v>
      </c>
      <c r="E2" s="130" t="s">
        <v>4</v>
      </c>
      <c r="F2" s="121">
        <v>45663</v>
      </c>
      <c r="G2" s="121">
        <v>45664</v>
      </c>
      <c r="H2" s="121">
        <v>45665</v>
      </c>
      <c r="I2" s="121">
        <v>45666</v>
      </c>
      <c r="J2" s="121">
        <v>45667</v>
      </c>
      <c r="K2" s="122">
        <f t="shared" ref="K2:L2" si="0">J2+1</f>
        <v>45668</v>
      </c>
      <c r="L2" s="122">
        <f t="shared" si="0"/>
        <v>45669</v>
      </c>
      <c r="M2" s="122" t="s">
        <v>615</v>
      </c>
      <c r="N2" s="121">
        <f>L2+1</f>
        <v>45670</v>
      </c>
      <c r="O2" s="121">
        <f t="shared" ref="O2:T2" si="1">N2+1</f>
        <v>45671</v>
      </c>
      <c r="P2" s="121">
        <f t="shared" si="1"/>
        <v>45672</v>
      </c>
      <c r="Q2" s="121">
        <f t="shared" si="1"/>
        <v>45673</v>
      </c>
      <c r="R2" s="121">
        <f t="shared" si="1"/>
        <v>45674</v>
      </c>
      <c r="S2" s="122">
        <f t="shared" si="1"/>
        <v>45675</v>
      </c>
      <c r="T2" s="122">
        <f t="shared" si="1"/>
        <v>45676</v>
      </c>
      <c r="U2" s="122" t="s">
        <v>616</v>
      </c>
      <c r="V2" s="121">
        <f>T2+1</f>
        <v>45677</v>
      </c>
      <c r="W2" s="121">
        <f t="shared" ref="W2:AB2" si="2">V2+1</f>
        <v>45678</v>
      </c>
      <c r="X2" s="121">
        <f t="shared" si="2"/>
        <v>45679</v>
      </c>
      <c r="Y2" s="121">
        <f t="shared" si="2"/>
        <v>45680</v>
      </c>
      <c r="Z2" s="121">
        <f t="shared" si="2"/>
        <v>45681</v>
      </c>
      <c r="AA2" s="122">
        <f t="shared" si="2"/>
        <v>45682</v>
      </c>
      <c r="AB2" s="122">
        <f t="shared" si="2"/>
        <v>45683</v>
      </c>
      <c r="AC2" s="122" t="s">
        <v>78</v>
      </c>
      <c r="AD2" s="122">
        <f>AB2+1</f>
        <v>45684</v>
      </c>
      <c r="AE2" s="122">
        <f t="shared" ref="AE2:AJ2" si="3">AD2+1</f>
        <v>45685</v>
      </c>
      <c r="AF2" s="122">
        <f t="shared" si="3"/>
        <v>45686</v>
      </c>
      <c r="AG2" s="122">
        <f t="shared" si="3"/>
        <v>45687</v>
      </c>
      <c r="AH2" s="122">
        <f t="shared" si="3"/>
        <v>45688</v>
      </c>
      <c r="AI2" s="122">
        <f t="shared" si="3"/>
        <v>45689</v>
      </c>
      <c r="AJ2" s="122">
        <f t="shared" si="3"/>
        <v>45690</v>
      </c>
      <c r="AK2" s="122" t="s">
        <v>53</v>
      </c>
      <c r="AL2" s="122" t="s">
        <v>55</v>
      </c>
      <c r="AM2" s="121">
        <f>AJ2+1</f>
        <v>45691</v>
      </c>
      <c r="AN2" s="121">
        <f t="shared" ref="AN2:AS2" si="4">AM2+1</f>
        <v>45692</v>
      </c>
      <c r="AO2" s="121">
        <f t="shared" si="4"/>
        <v>45693</v>
      </c>
      <c r="AP2" s="121">
        <f t="shared" si="4"/>
        <v>45694</v>
      </c>
      <c r="AQ2" s="121">
        <f t="shared" si="4"/>
        <v>45695</v>
      </c>
      <c r="AR2" s="122">
        <f t="shared" si="4"/>
        <v>45696</v>
      </c>
      <c r="AS2" s="122">
        <f t="shared" si="4"/>
        <v>45697</v>
      </c>
      <c r="AT2" s="122" t="s">
        <v>54</v>
      </c>
      <c r="AU2" s="121">
        <f>AS2+1</f>
        <v>45698</v>
      </c>
      <c r="AV2" s="121">
        <f t="shared" ref="AV2:BA2" si="5">AU2+1</f>
        <v>45699</v>
      </c>
      <c r="AW2" s="121">
        <f t="shared" si="5"/>
        <v>45700</v>
      </c>
      <c r="AX2" s="121">
        <f t="shared" si="5"/>
        <v>45701</v>
      </c>
      <c r="AY2" s="121">
        <f t="shared" si="5"/>
        <v>45702</v>
      </c>
      <c r="AZ2" s="122">
        <f t="shared" si="5"/>
        <v>45703</v>
      </c>
      <c r="BA2" s="122">
        <f t="shared" si="5"/>
        <v>45704</v>
      </c>
      <c r="BB2" s="122" t="s">
        <v>81</v>
      </c>
      <c r="BC2" s="121">
        <f>BA2+1</f>
        <v>45705</v>
      </c>
      <c r="BD2" s="121">
        <f t="shared" ref="BD2:BI2" si="6">BC2+1</f>
        <v>45706</v>
      </c>
      <c r="BE2" s="121">
        <f t="shared" si="6"/>
        <v>45707</v>
      </c>
      <c r="BF2" s="121">
        <f t="shared" si="6"/>
        <v>45708</v>
      </c>
      <c r="BG2" s="219">
        <f t="shared" si="6"/>
        <v>45709</v>
      </c>
      <c r="BH2" s="122">
        <f t="shared" si="6"/>
        <v>45710</v>
      </c>
      <c r="BI2" s="122">
        <f t="shared" si="6"/>
        <v>45711</v>
      </c>
      <c r="BJ2" s="122" t="s">
        <v>82</v>
      </c>
      <c r="BK2" s="121">
        <f>BI2+1</f>
        <v>45712</v>
      </c>
      <c r="BL2" s="121">
        <f t="shared" ref="BL2:BQ2" si="7">BK2+1</f>
        <v>45713</v>
      </c>
      <c r="BM2" s="219">
        <f t="shared" si="7"/>
        <v>45714</v>
      </c>
      <c r="BN2" s="219">
        <f t="shared" si="7"/>
        <v>45715</v>
      </c>
      <c r="BO2" s="122">
        <f t="shared" si="7"/>
        <v>45716</v>
      </c>
      <c r="BP2" s="122">
        <f t="shared" si="7"/>
        <v>45717</v>
      </c>
      <c r="BQ2" s="122">
        <f t="shared" si="7"/>
        <v>45718</v>
      </c>
      <c r="BR2" s="122" t="s">
        <v>83</v>
      </c>
      <c r="BS2" s="122" t="s">
        <v>56</v>
      </c>
      <c r="BT2" s="121">
        <f>BQ2+1</f>
        <v>45719</v>
      </c>
      <c r="BU2" s="121">
        <f t="shared" ref="BU2:BZ2" si="8">BT2+1</f>
        <v>45720</v>
      </c>
      <c r="BV2" s="219">
        <f t="shared" si="8"/>
        <v>45721</v>
      </c>
      <c r="BW2" s="219">
        <f t="shared" si="8"/>
        <v>45722</v>
      </c>
      <c r="BX2" s="219">
        <f t="shared" si="8"/>
        <v>45723</v>
      </c>
      <c r="BY2" s="122">
        <f t="shared" si="8"/>
        <v>45724</v>
      </c>
      <c r="BZ2" s="122">
        <f t="shared" si="8"/>
        <v>45725</v>
      </c>
      <c r="CA2" s="122" t="s">
        <v>84</v>
      </c>
      <c r="CB2" s="121">
        <f>BZ2+1</f>
        <v>45726</v>
      </c>
      <c r="CC2" s="121">
        <f t="shared" ref="CC2:CH2" si="9">CB2+1</f>
        <v>45727</v>
      </c>
      <c r="CD2" s="121">
        <f t="shared" si="9"/>
        <v>45728</v>
      </c>
      <c r="CE2" s="121">
        <f t="shared" si="9"/>
        <v>45729</v>
      </c>
      <c r="CF2" s="121">
        <f t="shared" si="9"/>
        <v>45730</v>
      </c>
      <c r="CG2" s="122">
        <f t="shared" si="9"/>
        <v>45731</v>
      </c>
      <c r="CH2" s="122">
        <f t="shared" si="9"/>
        <v>45732</v>
      </c>
      <c r="CI2" s="122" t="s">
        <v>576</v>
      </c>
      <c r="CJ2" s="121">
        <v>45733</v>
      </c>
      <c r="CK2" s="121">
        <v>45734</v>
      </c>
      <c r="CL2" s="121">
        <v>45735</v>
      </c>
      <c r="CM2" s="121">
        <v>45736</v>
      </c>
      <c r="CN2" s="121">
        <v>45737</v>
      </c>
      <c r="CO2" s="122">
        <f t="shared" ref="CO2:CP2" si="10">CN2+1</f>
        <v>45738</v>
      </c>
      <c r="CP2" s="122">
        <f t="shared" si="10"/>
        <v>45739</v>
      </c>
      <c r="CQ2" s="122" t="s">
        <v>575</v>
      </c>
      <c r="CR2" s="121">
        <f>CP2+1</f>
        <v>45740</v>
      </c>
      <c r="CS2" s="121">
        <f t="shared" ref="CS2:CX2" si="11">CR2+1</f>
        <v>45741</v>
      </c>
      <c r="CT2" s="121">
        <f t="shared" si="11"/>
        <v>45742</v>
      </c>
      <c r="CU2" s="121">
        <f t="shared" si="11"/>
        <v>45743</v>
      </c>
      <c r="CV2" s="121">
        <f t="shared" si="11"/>
        <v>45744</v>
      </c>
      <c r="CW2" s="122">
        <f t="shared" si="11"/>
        <v>45745</v>
      </c>
      <c r="CX2" s="122">
        <f t="shared" si="11"/>
        <v>45746</v>
      </c>
      <c r="CY2" s="122" t="s">
        <v>574</v>
      </c>
      <c r="CZ2" s="254">
        <f>CX2+1</f>
        <v>45747</v>
      </c>
      <c r="DA2" s="121">
        <f t="shared" ref="DA2:DF2" si="12">CZ2+1</f>
        <v>45748</v>
      </c>
      <c r="DB2" s="121">
        <f t="shared" si="12"/>
        <v>45749</v>
      </c>
      <c r="DC2" s="122">
        <f t="shared" si="12"/>
        <v>45750</v>
      </c>
      <c r="DD2" s="122">
        <f t="shared" si="12"/>
        <v>45751</v>
      </c>
      <c r="DE2" s="122">
        <f t="shared" si="12"/>
        <v>45752</v>
      </c>
      <c r="DF2" s="122">
        <f t="shared" si="12"/>
        <v>45753</v>
      </c>
      <c r="DG2" s="122" t="s">
        <v>573</v>
      </c>
      <c r="DH2" s="122" t="s">
        <v>85</v>
      </c>
      <c r="DI2" s="256">
        <f>DF2+1</f>
        <v>45754</v>
      </c>
      <c r="DJ2" s="121">
        <f t="shared" ref="DJ2:DO2" si="13">DI2+1</f>
        <v>45755</v>
      </c>
      <c r="DK2" s="121">
        <f t="shared" si="13"/>
        <v>45756</v>
      </c>
      <c r="DL2" s="121">
        <f t="shared" si="13"/>
        <v>45757</v>
      </c>
      <c r="DM2" s="121">
        <f t="shared" si="13"/>
        <v>45758</v>
      </c>
      <c r="DN2" s="122">
        <f t="shared" si="13"/>
        <v>45759</v>
      </c>
      <c r="DO2" s="122">
        <f t="shared" si="13"/>
        <v>45760</v>
      </c>
      <c r="DP2" s="122" t="s">
        <v>577</v>
      </c>
      <c r="DQ2" s="121">
        <f>DO2+1</f>
        <v>45761</v>
      </c>
      <c r="DR2" s="121">
        <f t="shared" ref="DR2:DW2" si="14">DQ2+1</f>
        <v>45762</v>
      </c>
      <c r="DS2" s="121">
        <f t="shared" si="14"/>
        <v>45763</v>
      </c>
      <c r="DT2" s="121">
        <f t="shared" si="14"/>
        <v>45764</v>
      </c>
      <c r="DU2" s="121">
        <f t="shared" si="14"/>
        <v>45765</v>
      </c>
      <c r="DV2" s="122">
        <f t="shared" si="14"/>
        <v>45766</v>
      </c>
      <c r="DW2" s="122">
        <f t="shared" si="14"/>
        <v>45767</v>
      </c>
      <c r="DX2" s="122" t="s">
        <v>578</v>
      </c>
      <c r="DY2" s="121">
        <f>DW2+1</f>
        <v>45768</v>
      </c>
      <c r="DZ2" s="121">
        <f t="shared" ref="DZ2:EE2" si="15">DY2+1</f>
        <v>45769</v>
      </c>
      <c r="EA2" s="121">
        <f t="shared" si="15"/>
        <v>45770</v>
      </c>
      <c r="EB2" s="121">
        <f t="shared" si="15"/>
        <v>45771</v>
      </c>
      <c r="EC2" s="121">
        <f t="shared" si="15"/>
        <v>45772</v>
      </c>
      <c r="ED2" s="122">
        <f t="shared" si="15"/>
        <v>45773</v>
      </c>
      <c r="EE2" s="122">
        <f t="shared" si="15"/>
        <v>45774</v>
      </c>
      <c r="EF2" s="122" t="s">
        <v>579</v>
      </c>
      <c r="EG2" s="121">
        <f>EE2+1</f>
        <v>45775</v>
      </c>
      <c r="EH2" s="121">
        <f t="shared" ref="EH2:EM2" si="16">EG2+1</f>
        <v>45776</v>
      </c>
      <c r="EI2" s="121">
        <f t="shared" si="16"/>
        <v>45777</v>
      </c>
      <c r="EJ2" s="204">
        <f t="shared" si="16"/>
        <v>45778</v>
      </c>
      <c r="EK2" s="204">
        <f t="shared" si="16"/>
        <v>45779</v>
      </c>
      <c r="EL2" s="122">
        <f t="shared" si="16"/>
        <v>45780</v>
      </c>
      <c r="EM2" s="122">
        <f t="shared" si="16"/>
        <v>45781</v>
      </c>
      <c r="EN2" s="122" t="s">
        <v>580</v>
      </c>
      <c r="EO2" s="122" t="s">
        <v>581</v>
      </c>
      <c r="EP2" s="121">
        <v>45782</v>
      </c>
      <c r="EQ2" s="121">
        <v>45783</v>
      </c>
      <c r="ER2" s="121">
        <v>45784</v>
      </c>
      <c r="ES2" s="121">
        <v>45785</v>
      </c>
      <c r="ET2" s="121">
        <v>45786</v>
      </c>
      <c r="EU2" s="122">
        <f t="shared" ref="EU2:EV2" si="17">ET2+1</f>
        <v>45787</v>
      </c>
      <c r="EV2" s="122">
        <f t="shared" si="17"/>
        <v>45788</v>
      </c>
      <c r="EW2" s="122" t="s">
        <v>584</v>
      </c>
      <c r="EX2" s="121">
        <f>EV2+1</f>
        <v>45789</v>
      </c>
      <c r="EY2" s="121">
        <f t="shared" ref="EY2:FD2" si="18">EX2+1</f>
        <v>45790</v>
      </c>
      <c r="EZ2" s="219">
        <f t="shared" si="18"/>
        <v>45791</v>
      </c>
      <c r="FA2" s="121">
        <f t="shared" si="18"/>
        <v>45792</v>
      </c>
      <c r="FB2" s="121">
        <f t="shared" si="18"/>
        <v>45793</v>
      </c>
      <c r="FC2" s="122">
        <f t="shared" si="18"/>
        <v>45794</v>
      </c>
      <c r="FD2" s="122">
        <f t="shared" si="18"/>
        <v>45795</v>
      </c>
      <c r="FE2" s="122" t="s">
        <v>585</v>
      </c>
      <c r="FF2" s="121">
        <f>FD2+1</f>
        <v>45796</v>
      </c>
      <c r="FG2" s="121">
        <f t="shared" ref="FG2:FL2" si="19">FF2+1</f>
        <v>45797</v>
      </c>
      <c r="FH2" s="121">
        <f t="shared" si="19"/>
        <v>45798</v>
      </c>
      <c r="FI2" s="121">
        <f t="shared" si="19"/>
        <v>45799</v>
      </c>
      <c r="FJ2" s="121">
        <f t="shared" si="19"/>
        <v>45800</v>
      </c>
      <c r="FK2" s="122">
        <f t="shared" si="19"/>
        <v>45801</v>
      </c>
      <c r="FL2" s="122">
        <f t="shared" si="19"/>
        <v>45802</v>
      </c>
      <c r="FM2" s="122" t="s">
        <v>586</v>
      </c>
      <c r="FN2" s="121">
        <f>FL2+1</f>
        <v>45803</v>
      </c>
      <c r="FO2" s="121">
        <f t="shared" ref="FO2:FT2" si="20">FN2+1</f>
        <v>45804</v>
      </c>
      <c r="FP2" s="121">
        <f t="shared" si="20"/>
        <v>45805</v>
      </c>
      <c r="FQ2" s="121">
        <f t="shared" si="20"/>
        <v>45806</v>
      </c>
      <c r="FR2" s="204">
        <f t="shared" si="20"/>
        <v>45807</v>
      </c>
      <c r="FS2" s="122">
        <f t="shared" si="20"/>
        <v>45808</v>
      </c>
      <c r="FT2" s="122">
        <f t="shared" si="20"/>
        <v>45809</v>
      </c>
      <c r="FU2" s="122" t="s">
        <v>587</v>
      </c>
      <c r="FV2" s="122" t="s">
        <v>588</v>
      </c>
      <c r="FW2" s="121">
        <f>FT2+1</f>
        <v>45810</v>
      </c>
      <c r="FX2" s="121">
        <f t="shared" ref="FX2:GC2" si="21">FW2+1</f>
        <v>45811</v>
      </c>
      <c r="FY2" s="121">
        <f t="shared" si="21"/>
        <v>45812</v>
      </c>
      <c r="FZ2" s="121">
        <f t="shared" si="21"/>
        <v>45813</v>
      </c>
      <c r="GA2" s="260">
        <f t="shared" si="21"/>
        <v>45814</v>
      </c>
      <c r="GB2" s="122">
        <f t="shared" si="21"/>
        <v>45815</v>
      </c>
      <c r="GC2" s="122">
        <f t="shared" si="21"/>
        <v>45816</v>
      </c>
      <c r="GD2" s="122" t="s">
        <v>589</v>
      </c>
      <c r="GE2" s="260">
        <f>GC2+1</f>
        <v>45817</v>
      </c>
      <c r="GF2" s="260">
        <f t="shared" ref="GF2:GK2" si="22">GE2+1</f>
        <v>45818</v>
      </c>
      <c r="GG2" s="260">
        <f t="shared" si="22"/>
        <v>45819</v>
      </c>
      <c r="GH2" s="260">
        <f t="shared" si="22"/>
        <v>45820</v>
      </c>
      <c r="GI2" s="121">
        <f t="shared" si="22"/>
        <v>45821</v>
      </c>
      <c r="GJ2" s="122">
        <f t="shared" si="22"/>
        <v>45822</v>
      </c>
      <c r="GK2" s="122">
        <f t="shared" si="22"/>
        <v>45823</v>
      </c>
      <c r="GL2" s="122" t="s">
        <v>590</v>
      </c>
      <c r="GM2" s="121">
        <f>GK2+1</f>
        <v>45824</v>
      </c>
      <c r="GN2" s="121">
        <f t="shared" ref="GN2:GS2" si="23">GM2+1</f>
        <v>45825</v>
      </c>
      <c r="GO2" s="121">
        <f t="shared" si="23"/>
        <v>45826</v>
      </c>
      <c r="GP2" s="121">
        <f t="shared" si="23"/>
        <v>45827</v>
      </c>
      <c r="GQ2" s="121">
        <f t="shared" si="23"/>
        <v>45828</v>
      </c>
      <c r="GR2" s="122">
        <f t="shared" si="23"/>
        <v>45829</v>
      </c>
      <c r="GS2" s="122">
        <f t="shared" si="23"/>
        <v>45830</v>
      </c>
      <c r="GT2" s="122" t="s">
        <v>591</v>
      </c>
      <c r="GU2" s="121">
        <f>GS2+1</f>
        <v>45831</v>
      </c>
      <c r="GV2" s="121">
        <f t="shared" ref="GV2:HA2" si="24">GU2+1</f>
        <v>45832</v>
      </c>
      <c r="GW2" s="121">
        <f t="shared" si="24"/>
        <v>45833</v>
      </c>
      <c r="GX2" s="121">
        <f t="shared" si="24"/>
        <v>45834</v>
      </c>
      <c r="GY2" s="219">
        <f t="shared" si="24"/>
        <v>45835</v>
      </c>
      <c r="GZ2" s="122">
        <f t="shared" si="24"/>
        <v>45836</v>
      </c>
      <c r="HA2" s="122">
        <f t="shared" si="24"/>
        <v>45837</v>
      </c>
      <c r="HB2" s="122" t="s">
        <v>592</v>
      </c>
      <c r="HC2" s="219">
        <f>HA2+1</f>
        <v>45838</v>
      </c>
      <c r="HD2" s="121">
        <f t="shared" ref="HD2:HI2" si="25">HC2+1</f>
        <v>45839</v>
      </c>
      <c r="HE2" s="121">
        <f t="shared" si="25"/>
        <v>45840</v>
      </c>
      <c r="HF2" s="121">
        <f t="shared" si="25"/>
        <v>45841</v>
      </c>
      <c r="HG2" s="121">
        <f t="shared" si="25"/>
        <v>45842</v>
      </c>
      <c r="HH2" s="122">
        <f t="shared" si="25"/>
        <v>45843</v>
      </c>
      <c r="HI2" s="122">
        <f t="shared" si="25"/>
        <v>45844</v>
      </c>
      <c r="HJ2" s="122" t="s">
        <v>599</v>
      </c>
      <c r="HK2" s="122" t="s">
        <v>593</v>
      </c>
      <c r="HL2" s="262">
        <f>HI2+1</f>
        <v>45845</v>
      </c>
      <c r="HM2" s="121">
        <f t="shared" ref="HM2:HR2" si="26">HL2+1</f>
        <v>45846</v>
      </c>
      <c r="HN2" s="121">
        <f t="shared" si="26"/>
        <v>45847</v>
      </c>
      <c r="HO2" s="121">
        <f t="shared" si="26"/>
        <v>45848</v>
      </c>
      <c r="HP2" s="121">
        <f t="shared" si="26"/>
        <v>45849</v>
      </c>
      <c r="HQ2" s="122">
        <f t="shared" si="26"/>
        <v>45850</v>
      </c>
      <c r="HR2" s="122">
        <f t="shared" si="26"/>
        <v>45851</v>
      </c>
      <c r="HS2" s="122" t="s">
        <v>721</v>
      </c>
      <c r="HT2" s="121">
        <f>HR2+1</f>
        <v>45852</v>
      </c>
      <c r="HU2" s="121">
        <f t="shared" ref="HU2:HZ2" si="27">HT2+1</f>
        <v>45853</v>
      </c>
      <c r="HV2" s="121">
        <f t="shared" si="27"/>
        <v>45854</v>
      </c>
      <c r="HW2" s="121">
        <f t="shared" si="27"/>
        <v>45855</v>
      </c>
      <c r="HX2" s="121">
        <f t="shared" si="27"/>
        <v>45856</v>
      </c>
      <c r="HY2" s="122">
        <f t="shared" si="27"/>
        <v>45857</v>
      </c>
      <c r="HZ2" s="122">
        <f t="shared" si="27"/>
        <v>45858</v>
      </c>
      <c r="IA2" s="122" t="s">
        <v>722</v>
      </c>
      <c r="IB2" s="121">
        <f>HZ2+1</f>
        <v>45859</v>
      </c>
      <c r="IC2" s="121">
        <f t="shared" ref="IC2:IH2" si="28">IB2+1</f>
        <v>45860</v>
      </c>
      <c r="ID2" s="121">
        <f t="shared" si="28"/>
        <v>45861</v>
      </c>
      <c r="IE2" s="121">
        <f t="shared" si="28"/>
        <v>45862</v>
      </c>
      <c r="IF2" s="121">
        <f t="shared" si="28"/>
        <v>45863</v>
      </c>
      <c r="IG2" s="122">
        <f t="shared" si="28"/>
        <v>45864</v>
      </c>
      <c r="IH2" s="122">
        <f t="shared" si="28"/>
        <v>45865</v>
      </c>
      <c r="II2" s="122" t="s">
        <v>723</v>
      </c>
      <c r="IJ2" s="121">
        <f>IH2+1</f>
        <v>45866</v>
      </c>
      <c r="IK2" s="121">
        <f t="shared" ref="IK2:IP2" si="29">IJ2+1</f>
        <v>45867</v>
      </c>
      <c r="IL2" s="121">
        <f t="shared" si="29"/>
        <v>45868</v>
      </c>
      <c r="IM2" s="121">
        <f t="shared" si="29"/>
        <v>45869</v>
      </c>
      <c r="IN2" s="121">
        <f t="shared" si="29"/>
        <v>45870</v>
      </c>
      <c r="IO2" s="122">
        <f t="shared" si="29"/>
        <v>45871</v>
      </c>
      <c r="IP2" s="122">
        <f t="shared" si="29"/>
        <v>45872</v>
      </c>
      <c r="IQ2" s="122" t="s">
        <v>724</v>
      </c>
      <c r="IR2" s="122" t="s">
        <v>725</v>
      </c>
      <c r="IS2" s="121">
        <f>IP2+1</f>
        <v>45873</v>
      </c>
      <c r="IT2" s="121">
        <f t="shared" ref="IT2:IY2" si="30">IS2+1</f>
        <v>45874</v>
      </c>
      <c r="IU2" s="121">
        <f t="shared" si="30"/>
        <v>45875</v>
      </c>
      <c r="IV2" s="121">
        <f t="shared" si="30"/>
        <v>45876</v>
      </c>
      <c r="IW2" s="121">
        <f t="shared" si="30"/>
        <v>45877</v>
      </c>
      <c r="IX2" s="122">
        <f t="shared" si="30"/>
        <v>45878</v>
      </c>
      <c r="IY2" s="122">
        <f t="shared" si="30"/>
        <v>45879</v>
      </c>
      <c r="IZ2" s="122" t="s">
        <v>726</v>
      </c>
      <c r="JA2" s="121">
        <f>IY2+1</f>
        <v>45880</v>
      </c>
      <c r="JB2" s="121">
        <f t="shared" ref="JB2:JG2" si="31">JA2+1</f>
        <v>45881</v>
      </c>
      <c r="JC2" s="121">
        <f t="shared" si="31"/>
        <v>45882</v>
      </c>
      <c r="JD2" s="121">
        <f t="shared" si="31"/>
        <v>45883</v>
      </c>
      <c r="JE2" s="121">
        <f t="shared" si="31"/>
        <v>45884</v>
      </c>
      <c r="JF2" s="122">
        <f t="shared" si="31"/>
        <v>45885</v>
      </c>
      <c r="JG2" s="122">
        <f t="shared" si="31"/>
        <v>45886</v>
      </c>
      <c r="JH2" s="122" t="s">
        <v>727</v>
      </c>
      <c r="JI2" s="121">
        <f>JG2+1</f>
        <v>45887</v>
      </c>
      <c r="JJ2" s="121">
        <f t="shared" ref="JJ2:JO2" si="32">JI2+1</f>
        <v>45888</v>
      </c>
      <c r="JK2" s="121">
        <f t="shared" si="32"/>
        <v>45889</v>
      </c>
      <c r="JL2" s="219">
        <f t="shared" si="32"/>
        <v>45890</v>
      </c>
      <c r="JM2" s="219">
        <f t="shared" si="32"/>
        <v>45891</v>
      </c>
      <c r="JN2" s="122">
        <f t="shared" si="32"/>
        <v>45892</v>
      </c>
      <c r="JO2" s="122">
        <f t="shared" si="32"/>
        <v>45893</v>
      </c>
      <c r="JP2" s="122" t="s">
        <v>728</v>
      </c>
      <c r="JQ2" s="219">
        <f>JO2+1</f>
        <v>45894</v>
      </c>
      <c r="JR2" s="121">
        <f t="shared" ref="JR2:JW2" si="33">JQ2+1</f>
        <v>45895</v>
      </c>
      <c r="JS2" s="121">
        <f t="shared" si="33"/>
        <v>45896</v>
      </c>
      <c r="JT2" s="121">
        <f t="shared" si="33"/>
        <v>45897</v>
      </c>
      <c r="JU2" s="121">
        <f t="shared" si="33"/>
        <v>45898</v>
      </c>
      <c r="JV2" s="122">
        <f t="shared" si="33"/>
        <v>45899</v>
      </c>
      <c r="JW2" s="122">
        <f t="shared" si="33"/>
        <v>45900</v>
      </c>
      <c r="JX2" s="122" t="s">
        <v>729</v>
      </c>
      <c r="JY2" s="122" t="s">
        <v>730</v>
      </c>
      <c r="JZ2" s="121">
        <f>JW2+1</f>
        <v>45901</v>
      </c>
      <c r="KA2" s="121">
        <f t="shared" ref="KA2:KF2" si="34">JZ2+1</f>
        <v>45902</v>
      </c>
      <c r="KB2" s="121">
        <f t="shared" si="34"/>
        <v>45903</v>
      </c>
      <c r="KC2" s="121">
        <f t="shared" si="34"/>
        <v>45904</v>
      </c>
      <c r="KD2" s="121">
        <f t="shared" si="34"/>
        <v>45905</v>
      </c>
      <c r="KE2" s="122">
        <f t="shared" si="34"/>
        <v>45906</v>
      </c>
      <c r="KF2" s="122">
        <f t="shared" si="34"/>
        <v>45907</v>
      </c>
      <c r="KG2" s="122" t="s">
        <v>731</v>
      </c>
      <c r="KH2" s="121">
        <f>KF2+1</f>
        <v>45908</v>
      </c>
      <c r="KI2" s="121">
        <f t="shared" ref="KI2:KN2" si="35">KH2+1</f>
        <v>45909</v>
      </c>
      <c r="KJ2" s="121">
        <f t="shared" si="35"/>
        <v>45910</v>
      </c>
      <c r="KK2" s="121">
        <f t="shared" si="35"/>
        <v>45911</v>
      </c>
      <c r="KL2" s="121">
        <f t="shared" si="35"/>
        <v>45912</v>
      </c>
      <c r="KM2" s="122">
        <f t="shared" si="35"/>
        <v>45913</v>
      </c>
      <c r="KN2" s="122">
        <f t="shared" si="35"/>
        <v>45914</v>
      </c>
      <c r="KO2" s="122" t="s">
        <v>732</v>
      </c>
      <c r="KP2" s="121">
        <v>45915</v>
      </c>
      <c r="KQ2" s="121">
        <v>45916</v>
      </c>
      <c r="KR2" s="121">
        <v>45917</v>
      </c>
      <c r="KS2" s="121">
        <v>45918</v>
      </c>
      <c r="KT2" s="121">
        <v>45919</v>
      </c>
      <c r="KU2" s="122">
        <f t="shared" ref="KU2:KV2" si="36">KT2+1</f>
        <v>45920</v>
      </c>
      <c r="KV2" s="122">
        <f t="shared" si="36"/>
        <v>45921</v>
      </c>
      <c r="KW2" s="122" t="s">
        <v>733</v>
      </c>
      <c r="KX2" s="121">
        <f>KV2+1</f>
        <v>45922</v>
      </c>
      <c r="KY2" s="121">
        <f t="shared" ref="KY2:LD2" si="37">KX2+1</f>
        <v>45923</v>
      </c>
      <c r="KZ2" s="121">
        <f t="shared" si="37"/>
        <v>45924</v>
      </c>
      <c r="LA2" s="121">
        <f t="shared" si="37"/>
        <v>45925</v>
      </c>
      <c r="LB2" s="121">
        <f t="shared" si="37"/>
        <v>45926</v>
      </c>
      <c r="LC2" s="122">
        <f t="shared" si="37"/>
        <v>45927</v>
      </c>
      <c r="LD2" s="122">
        <f t="shared" si="37"/>
        <v>45928</v>
      </c>
      <c r="LE2" s="122" t="s">
        <v>734</v>
      </c>
      <c r="LF2" s="204">
        <f>LD2+1</f>
        <v>45929</v>
      </c>
      <c r="LG2" s="121">
        <f t="shared" ref="LG2:LL2" si="38">LF2+1</f>
        <v>45930</v>
      </c>
      <c r="LH2" s="121">
        <f t="shared" si="38"/>
        <v>45931</v>
      </c>
      <c r="LI2" s="121">
        <f t="shared" si="38"/>
        <v>45932</v>
      </c>
      <c r="LJ2" s="121">
        <f t="shared" si="38"/>
        <v>45933</v>
      </c>
      <c r="LK2" s="122">
        <f t="shared" si="38"/>
        <v>45934</v>
      </c>
      <c r="LL2" s="122">
        <f t="shared" si="38"/>
        <v>45935</v>
      </c>
      <c r="LM2" s="122" t="s">
        <v>735</v>
      </c>
      <c r="LN2" s="122" t="s">
        <v>736</v>
      </c>
      <c r="LO2" s="204">
        <f>LL2+1</f>
        <v>45936</v>
      </c>
      <c r="LP2" s="121">
        <f t="shared" ref="LP2:LU2" si="39">LO2+1</f>
        <v>45937</v>
      </c>
      <c r="LQ2" s="121">
        <f t="shared" si="39"/>
        <v>45938</v>
      </c>
      <c r="LR2" s="121">
        <f t="shared" si="39"/>
        <v>45939</v>
      </c>
      <c r="LS2" s="204">
        <f t="shared" si="39"/>
        <v>45940</v>
      </c>
      <c r="LT2" s="122">
        <f t="shared" si="39"/>
        <v>45941</v>
      </c>
      <c r="LU2" s="122">
        <f t="shared" si="39"/>
        <v>45942</v>
      </c>
      <c r="LV2" s="122" t="s">
        <v>744</v>
      </c>
      <c r="LW2" s="121">
        <v>45943</v>
      </c>
      <c r="LX2" s="121">
        <f t="shared" ref="LX2:MC2" si="40">LW2+1</f>
        <v>45944</v>
      </c>
      <c r="LY2" s="121">
        <f t="shared" si="40"/>
        <v>45945</v>
      </c>
      <c r="LZ2" s="121">
        <f t="shared" si="40"/>
        <v>45946</v>
      </c>
      <c r="MA2" s="121">
        <f t="shared" si="40"/>
        <v>45947</v>
      </c>
      <c r="MB2" s="122">
        <f t="shared" si="40"/>
        <v>45948</v>
      </c>
      <c r="MC2" s="122">
        <f t="shared" si="40"/>
        <v>45949</v>
      </c>
      <c r="MD2" s="122" t="s">
        <v>745</v>
      </c>
      <c r="ME2" s="121">
        <f>MC2+1</f>
        <v>45950</v>
      </c>
      <c r="MF2" s="121">
        <f t="shared" ref="MF2:MK2" si="41">ME2+1</f>
        <v>45951</v>
      </c>
      <c r="MG2" s="121">
        <f t="shared" si="41"/>
        <v>45952</v>
      </c>
      <c r="MH2" s="121">
        <f t="shared" si="41"/>
        <v>45953</v>
      </c>
      <c r="MI2" s="204">
        <f t="shared" si="41"/>
        <v>45954</v>
      </c>
      <c r="MJ2" s="122">
        <f t="shared" si="41"/>
        <v>45955</v>
      </c>
      <c r="MK2" s="122">
        <f t="shared" si="41"/>
        <v>45956</v>
      </c>
      <c r="ML2" s="122" t="s">
        <v>746</v>
      </c>
      <c r="MM2" s="121">
        <f>MK2+1</f>
        <v>45957</v>
      </c>
      <c r="MN2" s="121">
        <f t="shared" ref="MN2:MS2" si="42">MM2+1</f>
        <v>45958</v>
      </c>
      <c r="MO2" s="121">
        <f t="shared" si="42"/>
        <v>45959</v>
      </c>
      <c r="MP2" s="121">
        <f t="shared" si="42"/>
        <v>45960</v>
      </c>
      <c r="MQ2" s="121">
        <f t="shared" si="42"/>
        <v>45961</v>
      </c>
      <c r="MR2" s="122">
        <f t="shared" si="42"/>
        <v>45962</v>
      </c>
      <c r="MS2" s="122">
        <f t="shared" si="42"/>
        <v>45963</v>
      </c>
      <c r="MT2" s="122" t="s">
        <v>747</v>
      </c>
      <c r="MU2" s="122" t="s">
        <v>512</v>
      </c>
      <c r="MV2" s="121">
        <f>MS2+1</f>
        <v>45964</v>
      </c>
      <c r="MW2" s="121">
        <f t="shared" ref="MW2:NB2" si="43">MV2+1</f>
        <v>45965</v>
      </c>
      <c r="MX2" s="121">
        <f t="shared" si="43"/>
        <v>45966</v>
      </c>
      <c r="MY2" s="121">
        <f t="shared" si="43"/>
        <v>45967</v>
      </c>
      <c r="MZ2" s="262">
        <f t="shared" si="43"/>
        <v>45968</v>
      </c>
      <c r="NA2" s="122">
        <f t="shared" si="43"/>
        <v>45969</v>
      </c>
      <c r="NB2" s="122">
        <f t="shared" si="43"/>
        <v>45970</v>
      </c>
      <c r="NC2" s="122" t="s">
        <v>748</v>
      </c>
      <c r="ND2" s="121">
        <f>NB2+1</f>
        <v>45971</v>
      </c>
      <c r="NE2" s="121">
        <f t="shared" ref="NE2:NJ2" si="44">ND2+1</f>
        <v>45972</v>
      </c>
      <c r="NF2" s="121">
        <f t="shared" si="44"/>
        <v>45973</v>
      </c>
      <c r="NG2" s="121">
        <f t="shared" si="44"/>
        <v>45974</v>
      </c>
      <c r="NH2" s="219">
        <f t="shared" si="44"/>
        <v>45975</v>
      </c>
      <c r="NI2" s="122">
        <f t="shared" si="44"/>
        <v>45976</v>
      </c>
      <c r="NJ2" s="122">
        <f t="shared" si="44"/>
        <v>45977</v>
      </c>
      <c r="NK2" s="122" t="s">
        <v>749</v>
      </c>
      <c r="NL2" s="121">
        <f>NJ2+1</f>
        <v>45978</v>
      </c>
      <c r="NM2" s="121">
        <f t="shared" ref="NM2:NR2" si="45">NL2+1</f>
        <v>45979</v>
      </c>
      <c r="NN2" s="219">
        <f t="shared" si="45"/>
        <v>45980</v>
      </c>
      <c r="NO2" s="219">
        <f t="shared" si="45"/>
        <v>45981</v>
      </c>
      <c r="NP2" s="121">
        <f t="shared" si="45"/>
        <v>45982</v>
      </c>
      <c r="NQ2" s="122">
        <f t="shared" si="45"/>
        <v>45983</v>
      </c>
      <c r="NR2" s="122">
        <f t="shared" si="45"/>
        <v>45984</v>
      </c>
      <c r="NS2" s="122" t="s">
        <v>750</v>
      </c>
      <c r="NT2" s="121">
        <f>NR2+1</f>
        <v>45985</v>
      </c>
      <c r="NU2" s="121">
        <f t="shared" ref="NU2:NZ2" si="46">NT2+1</f>
        <v>45986</v>
      </c>
      <c r="NV2" s="121">
        <f t="shared" si="46"/>
        <v>45987</v>
      </c>
      <c r="NW2" s="121">
        <f t="shared" si="46"/>
        <v>45988</v>
      </c>
      <c r="NX2" s="121">
        <f t="shared" si="46"/>
        <v>45989</v>
      </c>
      <c r="NY2" s="122">
        <f t="shared" si="46"/>
        <v>45990</v>
      </c>
      <c r="NZ2" s="122">
        <f t="shared" si="46"/>
        <v>45991</v>
      </c>
      <c r="OA2" s="122" t="s">
        <v>751</v>
      </c>
      <c r="OB2" s="122" t="s">
        <v>514</v>
      </c>
      <c r="OC2" s="121">
        <f>NZ2+1</f>
        <v>45992</v>
      </c>
      <c r="OD2" s="121">
        <f t="shared" ref="OD2:OI2" si="47">OC2+1</f>
        <v>45993</v>
      </c>
      <c r="OE2" s="121">
        <f t="shared" si="47"/>
        <v>45994</v>
      </c>
      <c r="OF2" s="121">
        <f t="shared" si="47"/>
        <v>45995</v>
      </c>
      <c r="OG2" s="121">
        <f t="shared" si="47"/>
        <v>45996</v>
      </c>
      <c r="OH2" s="122">
        <f t="shared" si="47"/>
        <v>45997</v>
      </c>
      <c r="OI2" s="122">
        <f t="shared" si="47"/>
        <v>45998</v>
      </c>
      <c r="OJ2" s="122" t="s">
        <v>752</v>
      </c>
      <c r="OK2" s="121">
        <f>OI2+1</f>
        <v>45999</v>
      </c>
      <c r="OL2" s="121">
        <f t="shared" ref="OL2:OQ2" si="48">OK2+1</f>
        <v>46000</v>
      </c>
      <c r="OM2" s="121">
        <f t="shared" si="48"/>
        <v>46001</v>
      </c>
      <c r="ON2" s="121">
        <f t="shared" si="48"/>
        <v>46002</v>
      </c>
      <c r="OO2" s="121">
        <f t="shared" si="48"/>
        <v>46003</v>
      </c>
      <c r="OP2" s="122">
        <f t="shared" si="48"/>
        <v>46004</v>
      </c>
      <c r="OQ2" s="122">
        <f t="shared" si="48"/>
        <v>46005</v>
      </c>
      <c r="OR2" s="122" t="s">
        <v>753</v>
      </c>
      <c r="OS2" s="121">
        <f>OQ2+1</f>
        <v>46006</v>
      </c>
      <c r="OT2" s="121">
        <f t="shared" ref="OT2:OY2" si="49">OS2+1</f>
        <v>46007</v>
      </c>
      <c r="OU2" s="121">
        <f t="shared" si="49"/>
        <v>46008</v>
      </c>
      <c r="OV2" s="121">
        <f t="shared" si="49"/>
        <v>46009</v>
      </c>
      <c r="OW2" s="219">
        <f t="shared" si="49"/>
        <v>46010</v>
      </c>
      <c r="OX2" s="296">
        <f t="shared" si="49"/>
        <v>46011</v>
      </c>
      <c r="OY2" s="122">
        <f t="shared" si="49"/>
        <v>46012</v>
      </c>
      <c r="OZ2" s="122" t="s">
        <v>754</v>
      </c>
      <c r="PA2" s="262">
        <f>OY2+1</f>
        <v>46013</v>
      </c>
      <c r="PB2" s="121">
        <f t="shared" ref="PB2:PG2" si="50">PA2+1</f>
        <v>46014</v>
      </c>
      <c r="PC2" s="121">
        <f t="shared" si="50"/>
        <v>46015</v>
      </c>
      <c r="PD2" s="204">
        <f t="shared" si="50"/>
        <v>46016</v>
      </c>
      <c r="PE2" s="256">
        <f t="shared" si="50"/>
        <v>46017</v>
      </c>
      <c r="PF2" s="122">
        <f t="shared" si="50"/>
        <v>46018</v>
      </c>
      <c r="PG2" s="122">
        <f t="shared" si="50"/>
        <v>46019</v>
      </c>
      <c r="PH2" s="122" t="s">
        <v>755</v>
      </c>
      <c r="PI2" s="121">
        <f>PG2+1</f>
        <v>46020</v>
      </c>
      <c r="PJ2" s="121">
        <f t="shared" ref="PJ2:PO2" si="51">PI2+1</f>
        <v>46021</v>
      </c>
      <c r="PK2" s="121">
        <f t="shared" si="51"/>
        <v>46022</v>
      </c>
      <c r="PL2" s="204">
        <f t="shared" si="51"/>
        <v>46023</v>
      </c>
      <c r="PM2" s="256">
        <f t="shared" si="51"/>
        <v>46024</v>
      </c>
      <c r="PN2" s="122">
        <f t="shared" si="51"/>
        <v>46025</v>
      </c>
      <c r="PO2" s="122">
        <f t="shared" si="51"/>
        <v>46026</v>
      </c>
      <c r="PP2" s="122" t="s">
        <v>756</v>
      </c>
      <c r="PQ2" s="122" t="s">
        <v>757</v>
      </c>
      <c r="PR2" s="121">
        <v>46027</v>
      </c>
      <c r="PS2" s="121">
        <v>46028</v>
      </c>
      <c r="PT2" s="121">
        <v>46029</v>
      </c>
      <c r="PU2" s="121">
        <v>46030</v>
      </c>
      <c r="PV2" s="121">
        <v>46031</v>
      </c>
      <c r="PW2" s="204">
        <f t="shared" ref="PW2" si="52">PV2+1</f>
        <v>46032</v>
      </c>
      <c r="PX2" s="204">
        <f>PW2+1</f>
        <v>46033</v>
      </c>
      <c r="PY2" s="122" t="s">
        <v>615</v>
      </c>
      <c r="PZ2" s="121">
        <f>PX2+1</f>
        <v>46034</v>
      </c>
      <c r="QA2" s="121">
        <f>PZ2+1</f>
        <v>46035</v>
      </c>
      <c r="QB2" s="121">
        <f>QA2+1</f>
        <v>46036</v>
      </c>
      <c r="QC2" s="121">
        <f t="shared" ref="QC2" si="53">QB2+1</f>
        <v>46037</v>
      </c>
      <c r="QD2" s="121">
        <f>QC2+1</f>
        <v>46038</v>
      </c>
      <c r="QE2" s="204">
        <f t="shared" ref="QE2" si="54">QD2+1</f>
        <v>46039</v>
      </c>
      <c r="QF2" s="204">
        <f>QE2+1</f>
        <v>46040</v>
      </c>
      <c r="QG2" s="122" t="s">
        <v>616</v>
      </c>
      <c r="QH2" s="121">
        <f>QF2+1</f>
        <v>46041</v>
      </c>
      <c r="QI2" s="121">
        <f>QH2+1</f>
        <v>46042</v>
      </c>
      <c r="QJ2" s="254">
        <f>QI2+1</f>
        <v>46043</v>
      </c>
      <c r="QK2" s="121">
        <f t="shared" ref="QK2" si="55">QJ2+1</f>
        <v>46044</v>
      </c>
      <c r="QL2" s="121">
        <f>QK2+1</f>
        <v>46045</v>
      </c>
      <c r="QM2" s="204">
        <f t="shared" ref="QM2" si="56">QL2+1</f>
        <v>46046</v>
      </c>
      <c r="QN2" s="204">
        <f>QM2+1</f>
        <v>46047</v>
      </c>
      <c r="QO2" s="122" t="s">
        <v>78</v>
      </c>
      <c r="QP2" s="121">
        <f>QN2+1</f>
        <v>46048</v>
      </c>
      <c r="QQ2" s="121">
        <f>QP2+1</f>
        <v>46049</v>
      </c>
      <c r="QR2" s="121">
        <f>QQ2+1</f>
        <v>46050</v>
      </c>
      <c r="QS2" s="121">
        <f t="shared" ref="QS2" si="57">QR2+1</f>
        <v>46051</v>
      </c>
      <c r="QT2" s="121">
        <f>QS2+1</f>
        <v>46052</v>
      </c>
      <c r="QU2" s="204">
        <f t="shared" ref="QU2" si="58">QT2+1</f>
        <v>46053</v>
      </c>
      <c r="QV2" s="204">
        <f>QU2+1</f>
        <v>46054</v>
      </c>
      <c r="QW2" s="122" t="s">
        <v>53</v>
      </c>
      <c r="QX2" s="122" t="s">
        <v>55</v>
      </c>
      <c r="QY2" s="121">
        <f>QV2+1</f>
        <v>46055</v>
      </c>
      <c r="QZ2" s="121">
        <f>QY2+1</f>
        <v>46056</v>
      </c>
      <c r="RA2" s="121">
        <f>QZ2+1</f>
        <v>46057</v>
      </c>
      <c r="RB2" s="121">
        <f t="shared" ref="RB2" si="59">RA2+1</f>
        <v>46058</v>
      </c>
      <c r="RC2" s="121">
        <f>RB2+1</f>
        <v>46059</v>
      </c>
      <c r="RD2" s="204">
        <f t="shared" ref="RD2" si="60">RC2+1</f>
        <v>46060</v>
      </c>
      <c r="RE2" s="204">
        <f>RD2+1</f>
        <v>46061</v>
      </c>
      <c r="RF2" s="122" t="s">
        <v>54</v>
      </c>
      <c r="RG2" s="121">
        <f>RE2+1</f>
        <v>46062</v>
      </c>
      <c r="RH2" s="121">
        <f>RG2+1</f>
        <v>46063</v>
      </c>
      <c r="RI2" s="121">
        <f>RH2+1</f>
        <v>46064</v>
      </c>
      <c r="RJ2" s="121">
        <f t="shared" ref="RJ2" si="61">RI2+1</f>
        <v>46065</v>
      </c>
      <c r="RK2" s="121">
        <f>RJ2+1</f>
        <v>46066</v>
      </c>
      <c r="RL2" s="204">
        <f t="shared" ref="RL2" si="62">RK2+1</f>
        <v>46067</v>
      </c>
      <c r="RM2" s="204">
        <f>RL2+1</f>
        <v>46068</v>
      </c>
      <c r="RN2" s="122" t="s">
        <v>81</v>
      </c>
      <c r="RO2" s="204">
        <f>RM2+1</f>
        <v>46069</v>
      </c>
      <c r="RP2" s="204">
        <f>RO2+1</f>
        <v>46070</v>
      </c>
      <c r="RQ2" s="204">
        <f>RP2+1</f>
        <v>46071</v>
      </c>
      <c r="RR2" s="204">
        <f t="shared" ref="RR2" si="63">RQ2+1</f>
        <v>46072</v>
      </c>
      <c r="RS2" s="204">
        <f>RR2+1</f>
        <v>46073</v>
      </c>
      <c r="RT2" s="204">
        <f t="shared" ref="RT2" si="64">RS2+1</f>
        <v>46074</v>
      </c>
      <c r="RU2" s="204">
        <f>RT2+1</f>
        <v>46075</v>
      </c>
      <c r="RV2" s="122" t="s">
        <v>82</v>
      </c>
      <c r="RW2" s="121">
        <f>RU2+1</f>
        <v>46076</v>
      </c>
      <c r="RX2" s="121">
        <f>RW2+1</f>
        <v>46077</v>
      </c>
      <c r="RY2" s="121">
        <f>RX2+1</f>
        <v>46078</v>
      </c>
      <c r="RZ2" s="121">
        <f t="shared" ref="RZ2" si="65">RY2+1</f>
        <v>46079</v>
      </c>
      <c r="SA2" s="219">
        <f>RZ2+1</f>
        <v>46080</v>
      </c>
      <c r="SB2" s="204">
        <f t="shared" ref="SB2" si="66">SA2+1</f>
        <v>46081</v>
      </c>
      <c r="SC2" s="204">
        <f>SB2+1</f>
        <v>46082</v>
      </c>
      <c r="SD2" s="122" t="s">
        <v>83</v>
      </c>
      <c r="SE2" s="122" t="s">
        <v>56</v>
      </c>
      <c r="SF2" s="121">
        <f>SC2+1</f>
        <v>46083</v>
      </c>
      <c r="SG2" s="121">
        <f>SF2+1</f>
        <v>46084</v>
      </c>
      <c r="SH2" s="121">
        <f>SG2+1</f>
        <v>46085</v>
      </c>
      <c r="SI2" s="121">
        <f t="shared" ref="SI2" si="67">SH2+1</f>
        <v>46086</v>
      </c>
      <c r="SJ2" s="121">
        <f>SI2+1</f>
        <v>46087</v>
      </c>
      <c r="SK2" s="219">
        <f t="shared" ref="SK2" si="68">SJ2+1</f>
        <v>46088</v>
      </c>
      <c r="SL2" s="204">
        <f>SK2+1</f>
        <v>46089</v>
      </c>
      <c r="SM2" s="122" t="s">
        <v>84</v>
      </c>
      <c r="SN2" s="121">
        <f>SL2+1</f>
        <v>46090</v>
      </c>
      <c r="SO2" s="121">
        <f>SN2+1</f>
        <v>46091</v>
      </c>
      <c r="SP2" s="121">
        <f>SO2+1</f>
        <v>46092</v>
      </c>
      <c r="SQ2" s="121">
        <f t="shared" ref="SQ2" si="69">SP2+1</f>
        <v>46093</v>
      </c>
      <c r="SR2" s="121">
        <f>SQ2+1</f>
        <v>46094</v>
      </c>
      <c r="SS2" s="219">
        <f t="shared" ref="SS2" si="70">SR2+1</f>
        <v>46095</v>
      </c>
      <c r="ST2" s="219">
        <f>SS2+1</f>
        <v>46096</v>
      </c>
      <c r="SU2" s="122" t="s">
        <v>576</v>
      </c>
      <c r="SV2" s="121">
        <f>ST2+1</f>
        <v>46097</v>
      </c>
      <c r="SW2" s="121">
        <f>SV2+1</f>
        <v>46098</v>
      </c>
      <c r="SX2" s="121">
        <f>SW2+1</f>
        <v>46099</v>
      </c>
      <c r="SY2" s="121">
        <f t="shared" ref="SY2" si="71">SX2+1</f>
        <v>46100</v>
      </c>
      <c r="SZ2" s="121">
        <f>SY2+1</f>
        <v>46101</v>
      </c>
      <c r="TA2" s="219">
        <f t="shared" ref="TA2" si="72">SZ2+1</f>
        <v>46102</v>
      </c>
      <c r="TB2" s="204">
        <f>TA2+1</f>
        <v>46103</v>
      </c>
      <c r="TC2" s="122" t="s">
        <v>575</v>
      </c>
      <c r="TD2" s="121">
        <f>TB2+1</f>
        <v>46104</v>
      </c>
      <c r="TE2" s="121">
        <f>TD2+1</f>
        <v>46105</v>
      </c>
      <c r="TF2" s="121">
        <f>TE2+1</f>
        <v>46106</v>
      </c>
      <c r="TG2" s="121">
        <f t="shared" ref="TG2" si="73">TF2+1</f>
        <v>46107</v>
      </c>
      <c r="TH2" s="121">
        <f>TG2+1</f>
        <v>46108</v>
      </c>
      <c r="TI2" s="219">
        <f t="shared" ref="TI2" si="74">TH2+1</f>
        <v>46109</v>
      </c>
      <c r="TJ2" s="204">
        <f>TI2+1</f>
        <v>46110</v>
      </c>
      <c r="TK2" s="122" t="s">
        <v>574</v>
      </c>
      <c r="TL2" s="121">
        <f>TJ2+1</f>
        <v>46111</v>
      </c>
      <c r="TM2" s="121">
        <f>TL2+1</f>
        <v>46112</v>
      </c>
      <c r="TN2" s="121">
        <f>TM2+1</f>
        <v>46113</v>
      </c>
      <c r="TO2" s="121">
        <f t="shared" ref="TO2" si="75">TN2+1</f>
        <v>46114</v>
      </c>
      <c r="TP2" s="204">
        <f>TO2+1</f>
        <v>46115</v>
      </c>
      <c r="TQ2" s="204">
        <f t="shared" ref="TQ2" si="76">TP2+1</f>
        <v>46116</v>
      </c>
      <c r="TR2" s="204">
        <f>TQ2+1</f>
        <v>46117</v>
      </c>
      <c r="TS2" s="122" t="s">
        <v>573</v>
      </c>
      <c r="TT2" s="122" t="s">
        <v>85</v>
      </c>
      <c r="TU2" s="204">
        <v>46118</v>
      </c>
      <c r="TV2" s="121">
        <f>TU2+1</f>
        <v>46119</v>
      </c>
      <c r="TW2" s="121">
        <f>TV2+1</f>
        <v>46120</v>
      </c>
      <c r="TX2" s="121">
        <f t="shared" ref="TX2" si="77">TW2+1</f>
        <v>46121</v>
      </c>
      <c r="TY2" s="121">
        <f>TX2+1</f>
        <v>46122</v>
      </c>
      <c r="TZ2" s="204">
        <f t="shared" ref="TZ2" si="78">TY2+1</f>
        <v>46123</v>
      </c>
      <c r="UA2" s="204">
        <f>TZ2+1</f>
        <v>46124</v>
      </c>
      <c r="UB2" s="122" t="s">
        <v>577</v>
      </c>
      <c r="UC2" s="121">
        <f>UA2+1</f>
        <v>46125</v>
      </c>
      <c r="UD2" s="121">
        <f>UC2+1</f>
        <v>46126</v>
      </c>
      <c r="UE2" s="254">
        <f>UD2+1</f>
        <v>46127</v>
      </c>
      <c r="UF2" s="121">
        <f t="shared" ref="UF2" si="79">UE2+1</f>
        <v>46128</v>
      </c>
      <c r="UG2" s="377">
        <f>UF2+1</f>
        <v>46129</v>
      </c>
      <c r="UH2" s="204">
        <f t="shared" ref="UH2" si="80">UG2+1</f>
        <v>46130</v>
      </c>
      <c r="UI2" s="204">
        <f>UH2+1</f>
        <v>46131</v>
      </c>
      <c r="UJ2" s="122" t="s">
        <v>578</v>
      </c>
      <c r="UK2" s="121">
        <f>UI2+1</f>
        <v>46132</v>
      </c>
      <c r="UL2" s="121">
        <f>UK2+1</f>
        <v>46133</v>
      </c>
      <c r="UM2" s="121">
        <f>UL2+1</f>
        <v>46134</v>
      </c>
      <c r="UN2" s="121">
        <f t="shared" ref="UN2" si="81">UM2+1</f>
        <v>46135</v>
      </c>
      <c r="UO2" s="377">
        <f>UN2+1</f>
        <v>46136</v>
      </c>
      <c r="UP2" s="204">
        <f t="shared" ref="UP2" si="82">UO2+1</f>
        <v>46137</v>
      </c>
      <c r="UQ2" s="204">
        <f>UP2+1</f>
        <v>46138</v>
      </c>
      <c r="UR2" s="122" t="s">
        <v>579</v>
      </c>
      <c r="US2" s="121">
        <f>UQ2+1</f>
        <v>46139</v>
      </c>
      <c r="UT2" s="121">
        <f>US2+1</f>
        <v>46140</v>
      </c>
      <c r="UU2" s="375">
        <f>UT2+1</f>
        <v>46141</v>
      </c>
      <c r="UV2" s="121">
        <f t="shared" ref="UV2" si="83">UU2+1</f>
        <v>46142</v>
      </c>
      <c r="UW2" s="204">
        <f>UV2+1</f>
        <v>46143</v>
      </c>
      <c r="UX2" s="204">
        <f t="shared" ref="UX2" si="84">UW2+1</f>
        <v>46144</v>
      </c>
      <c r="UY2" s="204">
        <f>UX2+1</f>
        <v>46145</v>
      </c>
      <c r="UZ2" s="122" t="s">
        <v>580</v>
      </c>
      <c r="VA2" s="122" t="s">
        <v>581</v>
      </c>
      <c r="VB2" s="121">
        <f>UY2+1</f>
        <v>46146</v>
      </c>
      <c r="VC2" s="121">
        <f>VB2+1</f>
        <v>46147</v>
      </c>
      <c r="VD2" s="121">
        <f>VC2+1</f>
        <v>46148</v>
      </c>
      <c r="VE2" s="121">
        <f t="shared" ref="VE2" si="85">VD2+1</f>
        <v>46149</v>
      </c>
      <c r="VF2" s="121">
        <f>VE2+1</f>
        <v>46150</v>
      </c>
      <c r="VG2" s="204">
        <f t="shared" ref="VG2" si="86">VF2+1</f>
        <v>46151</v>
      </c>
      <c r="VH2" s="204">
        <f>VG2+1</f>
        <v>46152</v>
      </c>
      <c r="VI2" s="122" t="s">
        <v>584</v>
      </c>
      <c r="VJ2" s="121">
        <f>VH2+1</f>
        <v>46153</v>
      </c>
      <c r="VK2" s="121">
        <f>VJ2+1</f>
        <v>46154</v>
      </c>
      <c r="VL2" s="121">
        <f>VK2+1</f>
        <v>46155</v>
      </c>
      <c r="VM2" s="121">
        <f t="shared" ref="VM2" si="87">VL2+1</f>
        <v>46156</v>
      </c>
      <c r="VN2" s="121">
        <f>VM2+1</f>
        <v>46157</v>
      </c>
      <c r="VO2" s="204">
        <f t="shared" ref="VO2" si="88">VN2+1</f>
        <v>46158</v>
      </c>
      <c r="VP2" s="204">
        <f>VO2+1</f>
        <v>46159</v>
      </c>
      <c r="VQ2" s="122" t="s">
        <v>585</v>
      </c>
      <c r="VR2" s="121">
        <f>VP2+1</f>
        <v>46160</v>
      </c>
      <c r="VS2" s="121">
        <f>VR2+1</f>
        <v>46161</v>
      </c>
      <c r="VT2" s="121">
        <f>VS2+1</f>
        <v>46162</v>
      </c>
      <c r="VU2" s="219">
        <f t="shared" ref="VU2" si="89">VT2+1</f>
        <v>46163</v>
      </c>
      <c r="VV2" s="219">
        <f>VU2+1</f>
        <v>46164</v>
      </c>
      <c r="VW2" s="219">
        <f t="shared" ref="VW2" si="90">VV2+1</f>
        <v>46165</v>
      </c>
      <c r="VX2" s="219">
        <f>VW2+1</f>
        <v>46166</v>
      </c>
      <c r="VY2" s="296" t="s">
        <v>586</v>
      </c>
      <c r="VZ2" s="219">
        <f>VX2+1</f>
        <v>46167</v>
      </c>
      <c r="WA2" s="219">
        <f>VZ2+1</f>
        <v>46168</v>
      </c>
      <c r="WB2" s="121">
        <f>WA2+1</f>
        <v>46169</v>
      </c>
      <c r="WC2" s="121">
        <f t="shared" ref="WC2" si="91">WB2+1</f>
        <v>46170</v>
      </c>
      <c r="WD2" s="121">
        <f>WC2+1</f>
        <v>46171</v>
      </c>
      <c r="WE2" s="204">
        <f t="shared" ref="WE2" si="92">WD2+1</f>
        <v>46172</v>
      </c>
      <c r="WF2" s="204">
        <f>WE2+1</f>
        <v>46173</v>
      </c>
      <c r="WG2" s="122" t="s">
        <v>587</v>
      </c>
      <c r="WH2" s="122" t="s">
        <v>588</v>
      </c>
      <c r="WI2" s="121">
        <f>WF2+1</f>
        <v>46174</v>
      </c>
      <c r="WJ2" s="121">
        <f>WI2+1</f>
        <v>46175</v>
      </c>
      <c r="WK2" s="121">
        <f>WJ2+1</f>
        <v>46176</v>
      </c>
      <c r="WL2" s="121">
        <f t="shared" ref="WL2" si="93">WK2+1</f>
        <v>46177</v>
      </c>
      <c r="WM2" s="121">
        <f>WL2+1</f>
        <v>46178</v>
      </c>
      <c r="WN2" s="204">
        <f t="shared" ref="WN2" si="94">WM2+1</f>
        <v>46179</v>
      </c>
      <c r="WO2" s="204">
        <f>WN2+1</f>
        <v>46180</v>
      </c>
      <c r="WP2" s="122" t="s">
        <v>589</v>
      </c>
      <c r="WQ2" s="121">
        <f>WO2+1</f>
        <v>46181</v>
      </c>
      <c r="WR2" s="121">
        <f>WQ2+1</f>
        <v>46182</v>
      </c>
      <c r="WS2" s="121">
        <f>WR2+1</f>
        <v>46183</v>
      </c>
      <c r="WT2" s="121">
        <f t="shared" ref="WT2" si="95">WS2+1</f>
        <v>46184</v>
      </c>
      <c r="WU2" s="121">
        <f>WT2+1</f>
        <v>46185</v>
      </c>
      <c r="WV2" s="204">
        <f t="shared" ref="WV2" si="96">WU2+1</f>
        <v>46186</v>
      </c>
      <c r="WW2" s="204">
        <f>WV2+1</f>
        <v>46187</v>
      </c>
      <c r="WX2" s="122" t="s">
        <v>590</v>
      </c>
      <c r="WY2" s="121">
        <f>WW2+1</f>
        <v>46188</v>
      </c>
      <c r="WZ2" s="121">
        <f>WY2+1</f>
        <v>46189</v>
      </c>
      <c r="XA2" s="121">
        <f>WZ2+1</f>
        <v>46190</v>
      </c>
      <c r="XB2" s="121">
        <f t="shared" ref="XB2" si="97">XA2+1</f>
        <v>46191</v>
      </c>
      <c r="XC2" s="204">
        <f>XB2+1</f>
        <v>46192</v>
      </c>
      <c r="XD2" s="204">
        <f t="shared" ref="XD2" si="98">XC2+1</f>
        <v>46193</v>
      </c>
      <c r="XE2" s="204">
        <f>XD2+1</f>
        <v>46194</v>
      </c>
      <c r="XF2" s="122" t="s">
        <v>591</v>
      </c>
      <c r="XG2" s="121">
        <f>XE2+1</f>
        <v>46195</v>
      </c>
      <c r="XH2" s="121">
        <f>XG2+1</f>
        <v>46196</v>
      </c>
      <c r="XI2" s="121">
        <f>XH2+1</f>
        <v>46197</v>
      </c>
      <c r="XJ2" s="121">
        <f t="shared" ref="XJ2" si="99">XI2+1</f>
        <v>46198</v>
      </c>
      <c r="XK2" s="121">
        <f>XJ2+1</f>
        <v>46199</v>
      </c>
      <c r="XL2" s="204">
        <f t="shared" ref="XL2" si="100">XK2+1</f>
        <v>46200</v>
      </c>
      <c r="XM2" s="204">
        <f>XL2+1</f>
        <v>46201</v>
      </c>
      <c r="XN2" s="122" t="s">
        <v>592</v>
      </c>
      <c r="XO2" s="121">
        <f>XM2+1</f>
        <v>46202</v>
      </c>
      <c r="XP2" s="121">
        <f>XO2+1</f>
        <v>46203</v>
      </c>
      <c r="XQ2" s="121">
        <f>XP2+1</f>
        <v>46204</v>
      </c>
      <c r="XR2" s="121">
        <f t="shared" ref="XR2" si="101">XQ2+1</f>
        <v>46205</v>
      </c>
      <c r="XS2" s="121">
        <f>XR2+1</f>
        <v>46206</v>
      </c>
      <c r="XT2" s="204">
        <f t="shared" ref="XT2" si="102">XS2+1</f>
        <v>46207</v>
      </c>
      <c r="XU2" s="204">
        <f>XT2+1</f>
        <v>46208</v>
      </c>
      <c r="XV2" s="122" t="s">
        <v>599</v>
      </c>
      <c r="XW2" s="122" t="s">
        <v>593</v>
      </c>
      <c r="XX2" s="121">
        <f>XU2+1</f>
        <v>46209</v>
      </c>
      <c r="XY2" s="121">
        <f>XX2+1</f>
        <v>46210</v>
      </c>
      <c r="XZ2" s="121">
        <f>XY2+1</f>
        <v>46211</v>
      </c>
      <c r="YA2" s="121">
        <f t="shared" ref="YA2" si="103">XZ2+1</f>
        <v>46212</v>
      </c>
      <c r="YB2" s="121">
        <f>YA2+1</f>
        <v>46213</v>
      </c>
      <c r="YC2" s="204">
        <f t="shared" ref="YC2" si="104">YB2+1</f>
        <v>46214</v>
      </c>
      <c r="YD2" s="204">
        <f>YC2+1</f>
        <v>46215</v>
      </c>
      <c r="YE2" s="122" t="s">
        <v>721</v>
      </c>
      <c r="YF2" s="121">
        <f>YD2+1</f>
        <v>46216</v>
      </c>
      <c r="YG2" s="121">
        <f>YF2+1</f>
        <v>46217</v>
      </c>
      <c r="YH2" s="121">
        <f>YG2+1</f>
        <v>46218</v>
      </c>
      <c r="YI2" s="121">
        <f t="shared" ref="YI2" si="105">YH2+1</f>
        <v>46219</v>
      </c>
      <c r="YJ2" s="121">
        <f>YI2+1</f>
        <v>46220</v>
      </c>
      <c r="YK2" s="204">
        <f t="shared" ref="YK2" si="106">YJ2+1</f>
        <v>46221</v>
      </c>
      <c r="YL2" s="204">
        <f>YK2+1</f>
        <v>46222</v>
      </c>
      <c r="YM2" s="122" t="s">
        <v>722</v>
      </c>
      <c r="YN2" s="121">
        <f>YL2+1</f>
        <v>46223</v>
      </c>
      <c r="YO2" s="121">
        <f>YN2+1</f>
        <v>46224</v>
      </c>
      <c r="YP2" s="121">
        <f>YO2+1</f>
        <v>46225</v>
      </c>
      <c r="YQ2" s="121">
        <f t="shared" ref="YQ2" si="107">YP2+1</f>
        <v>46226</v>
      </c>
      <c r="YR2" s="121">
        <f>YQ2+1</f>
        <v>46227</v>
      </c>
      <c r="YS2" s="204">
        <f t="shared" ref="YS2" si="108">YR2+1</f>
        <v>46228</v>
      </c>
      <c r="YT2" s="204">
        <f>YS2+1</f>
        <v>46229</v>
      </c>
      <c r="YU2" s="122" t="s">
        <v>723</v>
      </c>
      <c r="YV2" s="121">
        <f>YT2+1</f>
        <v>46230</v>
      </c>
      <c r="YW2" s="121">
        <f>YV2+1</f>
        <v>46231</v>
      </c>
      <c r="YX2" s="121">
        <f>YW2+1</f>
        <v>46232</v>
      </c>
      <c r="YY2" s="121">
        <f t="shared" ref="YY2" si="109">YX2+1</f>
        <v>46233</v>
      </c>
      <c r="YZ2" s="121">
        <f>YY2+1</f>
        <v>46234</v>
      </c>
      <c r="ZA2" s="204">
        <f t="shared" ref="ZA2" si="110">YZ2+1</f>
        <v>46235</v>
      </c>
      <c r="ZB2" s="204">
        <f>ZA2+1</f>
        <v>46236</v>
      </c>
      <c r="ZC2" s="122" t="s">
        <v>724</v>
      </c>
      <c r="ZD2" s="122" t="s">
        <v>725</v>
      </c>
      <c r="ZE2" s="121">
        <f>ZB2+1</f>
        <v>46237</v>
      </c>
      <c r="ZF2" s="121">
        <f>ZE2+1</f>
        <v>46238</v>
      </c>
      <c r="ZG2" s="121">
        <f>ZF2+1</f>
        <v>46239</v>
      </c>
      <c r="ZH2" s="121">
        <f t="shared" ref="ZH2" si="111">ZG2+1</f>
        <v>46240</v>
      </c>
      <c r="ZI2" s="121">
        <f>ZH2+1</f>
        <v>46241</v>
      </c>
      <c r="ZJ2" s="204">
        <f t="shared" ref="ZJ2" si="112">ZI2+1</f>
        <v>46242</v>
      </c>
      <c r="ZK2" s="204">
        <f>ZJ2+1</f>
        <v>46243</v>
      </c>
      <c r="ZL2" s="122" t="s">
        <v>726</v>
      </c>
      <c r="ZM2" s="121">
        <f>ZK2+1</f>
        <v>46244</v>
      </c>
      <c r="ZN2" s="121">
        <f>ZM2+1</f>
        <v>46245</v>
      </c>
      <c r="ZO2" s="121">
        <f>ZN2+1</f>
        <v>46246</v>
      </c>
      <c r="ZP2" s="121">
        <f t="shared" ref="ZP2" si="113">ZO2+1</f>
        <v>46247</v>
      </c>
      <c r="ZQ2" s="121">
        <f>ZP2+1</f>
        <v>46248</v>
      </c>
      <c r="ZR2" s="204">
        <f t="shared" ref="ZR2" si="114">ZQ2+1</f>
        <v>46249</v>
      </c>
      <c r="ZS2" s="204">
        <f>ZR2+1</f>
        <v>46250</v>
      </c>
      <c r="ZT2" s="122" t="s">
        <v>727</v>
      </c>
      <c r="ZU2" s="121">
        <f>ZS2+1</f>
        <v>46251</v>
      </c>
      <c r="ZV2" s="121">
        <f>ZU2+1</f>
        <v>46252</v>
      </c>
      <c r="ZW2" s="121">
        <f>ZV2+1</f>
        <v>46253</v>
      </c>
      <c r="ZX2" s="121">
        <f t="shared" ref="ZX2" si="115">ZW2+1</f>
        <v>46254</v>
      </c>
      <c r="ZY2" s="121">
        <f>ZX2+1</f>
        <v>46255</v>
      </c>
      <c r="ZZ2" s="204">
        <f t="shared" ref="ZZ2" si="116">ZY2+1</f>
        <v>46256</v>
      </c>
      <c r="AAA2" s="204">
        <f>ZZ2+1</f>
        <v>46257</v>
      </c>
      <c r="AAB2" s="122" t="s">
        <v>728</v>
      </c>
      <c r="AAC2" s="121">
        <f>AAA2+1</f>
        <v>46258</v>
      </c>
      <c r="AAD2" s="121">
        <f>AAC2+1</f>
        <v>46259</v>
      </c>
      <c r="AAE2" s="121">
        <f>AAD2+1</f>
        <v>46260</v>
      </c>
      <c r="AAF2" s="121">
        <f t="shared" ref="AAF2" si="117">AAE2+1</f>
        <v>46261</v>
      </c>
      <c r="AAG2" s="121">
        <f>AAF2+1</f>
        <v>46262</v>
      </c>
      <c r="AAH2" s="204">
        <f t="shared" ref="AAH2" si="118">AAG2+1</f>
        <v>46263</v>
      </c>
      <c r="AAI2" s="204">
        <f>AAH2+1</f>
        <v>46264</v>
      </c>
      <c r="AAJ2" s="122" t="s">
        <v>729</v>
      </c>
      <c r="AAK2" s="121">
        <f>AAI2+1</f>
        <v>46265</v>
      </c>
      <c r="AAL2" s="121">
        <f>AAK2+1</f>
        <v>46266</v>
      </c>
      <c r="AAM2" s="121">
        <f>AAL2+1</f>
        <v>46267</v>
      </c>
      <c r="AAN2" s="121">
        <f t="shared" ref="AAN2" si="119">AAM2+1</f>
        <v>46268</v>
      </c>
      <c r="AAO2" s="121">
        <f>AAN2+1</f>
        <v>46269</v>
      </c>
      <c r="AAP2" s="204">
        <f t="shared" ref="AAP2" si="120">AAO2+1</f>
        <v>46270</v>
      </c>
      <c r="AAQ2" s="204">
        <f>AAP2+1</f>
        <v>46271</v>
      </c>
      <c r="AAR2" s="122" t="s">
        <v>731</v>
      </c>
      <c r="AAS2" s="122" t="s">
        <v>730</v>
      </c>
    </row>
    <row r="3" spans="1:721" ht="65.099999999999994" customHeight="1">
      <c r="A3" s="117" t="s">
        <v>6</v>
      </c>
      <c r="B3" s="153">
        <v>3620101301</v>
      </c>
      <c r="C3" s="322"/>
      <c r="D3" s="202" t="s">
        <v>19</v>
      </c>
      <c r="E3" s="130" t="s">
        <v>4</v>
      </c>
      <c r="F3" s="120"/>
      <c r="G3" s="120"/>
      <c r="H3" s="120"/>
      <c r="I3" s="120"/>
      <c r="J3" s="120"/>
      <c r="K3" s="209"/>
      <c r="L3" s="205"/>
      <c r="M3" s="205">
        <f t="shared" ref="M3:M43" si="121">SUM(F3:L3)</f>
        <v>0</v>
      </c>
      <c r="N3" s="120"/>
      <c r="O3" s="120"/>
      <c r="P3" s="120"/>
      <c r="Q3" s="120"/>
      <c r="R3" s="120"/>
      <c r="S3" s="209"/>
      <c r="T3" s="205"/>
      <c r="U3" s="205">
        <f t="shared" ref="U3:U43" si="122">SUM(N3:T3)</f>
        <v>0</v>
      </c>
      <c r="V3" s="120"/>
      <c r="W3" s="120"/>
      <c r="X3" s="120"/>
      <c r="Y3" s="120"/>
      <c r="Z3" s="120"/>
      <c r="AA3" s="209"/>
      <c r="AB3" s="205"/>
      <c r="AC3" s="205">
        <f t="shared" ref="AC3:AC43" si="123">SUM(V3:AB3)</f>
        <v>0</v>
      </c>
      <c r="AD3" s="205"/>
      <c r="AE3" s="205"/>
      <c r="AF3" s="205"/>
      <c r="AG3" s="205"/>
      <c r="AH3" s="205"/>
      <c r="AI3" s="209"/>
      <c r="AJ3" s="205"/>
      <c r="AK3" s="205">
        <f t="shared" ref="AK3:AK43" si="124">SUM(AD3:AJ3)</f>
        <v>0</v>
      </c>
      <c r="AL3" s="205" t="e">
        <f>SUM(#REF!,M3,U3,AC3,AD3:AH3)</f>
        <v>#REF!</v>
      </c>
      <c r="AM3" s="120"/>
      <c r="AN3" s="120"/>
      <c r="AO3" s="120"/>
      <c r="AP3" s="120"/>
      <c r="AQ3" s="120"/>
      <c r="AR3" s="209"/>
      <c r="AS3" s="205"/>
      <c r="AT3" s="205">
        <f t="shared" ref="AT3:AT43" si="125">SUM(AM3:AS3)</f>
        <v>0</v>
      </c>
      <c r="AU3" s="120"/>
      <c r="AV3" s="120"/>
      <c r="AW3" s="120"/>
      <c r="AX3" s="120"/>
      <c r="AY3" s="120"/>
      <c r="AZ3" s="209"/>
      <c r="BA3" s="205"/>
      <c r="BB3" s="205">
        <f t="shared" ref="BB3:BB43" si="126">SUM(AU3:BA3)</f>
        <v>0</v>
      </c>
      <c r="BC3" s="120"/>
      <c r="BD3" s="120"/>
      <c r="BE3" s="120"/>
      <c r="BF3" s="120"/>
      <c r="BG3" s="120"/>
      <c r="BH3" s="209"/>
      <c r="BI3" s="205"/>
      <c r="BJ3" s="205">
        <f t="shared" ref="BJ3:BJ43" si="127">SUM(BC3:BI3)</f>
        <v>0</v>
      </c>
      <c r="BK3" s="120"/>
      <c r="BL3" s="120"/>
      <c r="BM3" s="217">
        <v>3100</v>
      </c>
      <c r="BN3" s="120"/>
      <c r="BO3" s="205"/>
      <c r="BP3" s="209"/>
      <c r="BQ3" s="205"/>
      <c r="BR3" s="205">
        <f t="shared" ref="BR3:BR43" si="128">SUM(BK3:BQ3)</f>
        <v>3100</v>
      </c>
      <c r="BS3" s="205">
        <f t="shared" ref="BS3:BS79" si="129">SUM(AI3:AJ3,AT3,BB3,BJ3,BK3:BO3)</f>
        <v>3100</v>
      </c>
      <c r="BT3" s="120"/>
      <c r="BU3" s="250">
        <v>700</v>
      </c>
      <c r="BV3" s="120"/>
      <c r="BW3" s="120"/>
      <c r="BX3" s="120"/>
      <c r="BY3" s="209"/>
      <c r="BZ3" s="205"/>
      <c r="CA3" s="205">
        <f t="shared" ref="CA3:CA43" si="130">SUM(BT3:BZ3)</f>
        <v>700</v>
      </c>
      <c r="CB3" s="120"/>
      <c r="CC3" s="120"/>
      <c r="CD3" s="120"/>
      <c r="CE3" s="120"/>
      <c r="CF3" s="120"/>
      <c r="CG3" s="209"/>
      <c r="CH3" s="205"/>
      <c r="CI3" s="205">
        <f t="shared" ref="CI3:CI43" si="131">SUM(CB3:CH3)</f>
        <v>0</v>
      </c>
      <c r="CJ3" s="120"/>
      <c r="CK3" s="120"/>
      <c r="CL3" s="250">
        <v>1200</v>
      </c>
      <c r="CM3" s="120"/>
      <c r="CN3" s="120"/>
      <c r="CO3" s="209"/>
      <c r="CP3" s="205"/>
      <c r="CQ3" s="205">
        <f t="shared" ref="CQ3:CQ43" si="132">SUM(CJ3:CP3)</f>
        <v>1200</v>
      </c>
      <c r="CR3" s="120" t="s">
        <v>216</v>
      </c>
      <c r="CS3" s="120"/>
      <c r="CT3" s="120"/>
      <c r="CU3" s="120"/>
      <c r="CV3" s="120"/>
      <c r="CW3" s="209"/>
      <c r="CX3" s="205"/>
      <c r="CY3" s="205">
        <f t="shared" ref="CY3:CY43" si="133">SUM(CR3:CX3)</f>
        <v>0</v>
      </c>
      <c r="CZ3" s="120"/>
      <c r="DA3" s="120"/>
      <c r="DB3" s="120"/>
      <c r="DC3" s="205"/>
      <c r="DD3" s="205"/>
      <c r="DE3" s="209"/>
      <c r="DF3" s="205"/>
      <c r="DG3" s="205">
        <f t="shared" ref="DG3:DG43" si="134">SUM(CZ3:DF3)</f>
        <v>0</v>
      </c>
      <c r="DH3" s="205">
        <f>SUM(CA3,CI3,CQ3,CY3,CZ3)</f>
        <v>1900</v>
      </c>
      <c r="DI3" s="120"/>
      <c r="DJ3" s="120"/>
      <c r="DK3" s="120"/>
      <c r="DL3" s="120"/>
      <c r="DM3" s="120"/>
      <c r="DN3" s="209"/>
      <c r="DO3" s="205"/>
      <c r="DP3" s="205">
        <f t="shared" ref="DP3:DP32" si="135">SUM(DI3:DO3)</f>
        <v>0</v>
      </c>
      <c r="DQ3" s="217">
        <v>650</v>
      </c>
      <c r="DR3" s="120"/>
      <c r="DS3" s="120"/>
      <c r="DT3" s="120"/>
      <c r="DU3" s="120"/>
      <c r="DV3" s="209"/>
      <c r="DW3" s="205"/>
      <c r="DX3" s="205">
        <f t="shared" ref="DX3:DX79" si="136">SUM(DQ3:DW3)</f>
        <v>650</v>
      </c>
      <c r="DY3" s="120"/>
      <c r="DZ3" s="120"/>
      <c r="EA3" s="120"/>
      <c r="EB3" s="120"/>
      <c r="EC3" s="120"/>
      <c r="ED3" s="209"/>
      <c r="EE3" s="205"/>
      <c r="EF3" s="205">
        <f t="shared" ref="EF3:EF79" si="137">SUM(DY3:EE3)</f>
        <v>0</v>
      </c>
      <c r="EG3" s="120"/>
      <c r="EH3" s="120"/>
      <c r="EI3" s="120"/>
      <c r="EJ3" s="205"/>
      <c r="EK3" s="205"/>
      <c r="EL3" s="209"/>
      <c r="EM3" s="205"/>
      <c r="EN3" s="205">
        <f t="shared" ref="EN3:EN79" si="138">SUM(EG3:EM3)</f>
        <v>0</v>
      </c>
      <c r="EO3" s="205">
        <f>SUM(DA3:DF3,DP3,DX3,EF3,EG3:EI3)</f>
        <v>650</v>
      </c>
      <c r="EP3" s="120"/>
      <c r="EQ3" s="250">
        <v>500</v>
      </c>
      <c r="ER3" s="120"/>
      <c r="ES3" s="120"/>
      <c r="ET3" s="120"/>
      <c r="EU3" s="209"/>
      <c r="EV3" s="205"/>
      <c r="EW3" s="205">
        <f t="shared" ref="EW3:EW79" si="139">SUM(EP3:EV3)</f>
        <v>500</v>
      </c>
      <c r="EX3" s="120"/>
      <c r="EY3" s="120"/>
      <c r="EZ3" s="120"/>
      <c r="FA3" s="120"/>
      <c r="FB3" s="120"/>
      <c r="FC3" s="209"/>
      <c r="FD3" s="205"/>
      <c r="FE3" s="205">
        <f t="shared" ref="FE3:FE79" si="140">SUM(EX3:FD3)</f>
        <v>0</v>
      </c>
      <c r="FF3" s="120"/>
      <c r="FG3" s="195">
        <v>500</v>
      </c>
      <c r="FH3" s="120"/>
      <c r="FI3" s="120"/>
      <c r="FJ3" s="120"/>
      <c r="FK3" s="209"/>
      <c r="FL3" s="205"/>
      <c r="FM3" s="205">
        <f t="shared" ref="FM3:FM79" si="141">SUM(FF3:FL3)</f>
        <v>500</v>
      </c>
      <c r="FN3" s="120"/>
      <c r="FO3" s="120"/>
      <c r="FP3" s="120"/>
      <c r="FQ3" s="120"/>
      <c r="FR3" s="205"/>
      <c r="FS3" s="209"/>
      <c r="FT3" s="205"/>
      <c r="FU3" s="205">
        <f t="shared" ref="FU3:FU79" si="142">SUM(FN3:FT3)</f>
        <v>0</v>
      </c>
      <c r="FV3" s="205">
        <f>SUM(EJ3:EK3,EW3,FE3,FM3,FU3)</f>
        <v>1000</v>
      </c>
      <c r="FW3" s="120"/>
      <c r="FX3" s="120"/>
      <c r="FY3" s="120"/>
      <c r="FZ3" s="120"/>
      <c r="GA3" s="120"/>
      <c r="GB3" s="209"/>
      <c r="GC3" s="205"/>
      <c r="GD3" s="205">
        <f t="shared" ref="GD3:GD70" si="143">SUM(FW3:GC3)</f>
        <v>0</v>
      </c>
      <c r="GE3" s="120"/>
      <c r="GF3" s="120"/>
      <c r="GG3" s="120"/>
      <c r="GH3" s="120"/>
      <c r="GI3" s="120"/>
      <c r="GJ3" s="209"/>
      <c r="GK3" s="205"/>
      <c r="GL3" s="205">
        <f t="shared" ref="GL3:GL79" si="144">SUM(GE3:GK3)</f>
        <v>0</v>
      </c>
      <c r="GM3" s="120"/>
      <c r="GN3" s="120"/>
      <c r="GO3" s="120"/>
      <c r="GP3" s="120"/>
      <c r="GQ3" s="120"/>
      <c r="GR3" s="209"/>
      <c r="GS3" s="205"/>
      <c r="GT3" s="205">
        <f t="shared" ref="GT3:GT79" si="145">SUM(GM3:GS3)</f>
        <v>0</v>
      </c>
      <c r="GU3" s="120"/>
      <c r="GV3" s="120"/>
      <c r="GW3" s="120"/>
      <c r="GX3" s="120"/>
      <c r="GY3" s="120"/>
      <c r="GZ3" s="209"/>
      <c r="HA3" s="205"/>
      <c r="HB3" s="205">
        <f t="shared" ref="HB3:HB79" si="146">SUM(GU3:HA3)</f>
        <v>0</v>
      </c>
      <c r="HC3" s="120"/>
      <c r="HD3" s="120"/>
      <c r="HE3" s="120"/>
      <c r="HF3" s="120"/>
      <c r="HG3" s="120"/>
      <c r="HH3" s="209"/>
      <c r="HI3" s="205"/>
      <c r="HJ3" s="205">
        <f t="shared" ref="HJ3:HJ79" si="147">SUM(HC3:HI3)</f>
        <v>0</v>
      </c>
      <c r="HK3" s="205">
        <f>SUM(GD3,GL3,GT3,HB3,HC3)</f>
        <v>0</v>
      </c>
      <c r="HL3" s="124"/>
      <c r="HM3" s="120"/>
      <c r="HN3" s="120"/>
      <c r="HO3" s="123">
        <v>1750</v>
      </c>
      <c r="HP3" s="120"/>
      <c r="HQ3" s="205"/>
      <c r="HR3" s="205"/>
      <c r="HS3" s="205">
        <f>SUM(HL3:HR3)</f>
        <v>1750</v>
      </c>
      <c r="HT3" s="120"/>
      <c r="HU3" s="120"/>
      <c r="HV3" s="120"/>
      <c r="HW3" s="120"/>
      <c r="HX3" s="120"/>
      <c r="HY3" s="205"/>
      <c r="HZ3" s="205"/>
      <c r="IA3" s="205">
        <f>SUM(HT3:HZ3)</f>
        <v>0</v>
      </c>
      <c r="IB3" s="120"/>
      <c r="IC3" s="120"/>
      <c r="ID3" s="120"/>
      <c r="IE3" s="120"/>
      <c r="IF3" s="120"/>
      <c r="IG3" s="205"/>
      <c r="IH3" s="205"/>
      <c r="II3" s="205">
        <f>SUM(IB3:IH3)</f>
        <v>0</v>
      </c>
      <c r="IJ3" s="120"/>
      <c r="IK3" s="120"/>
      <c r="IL3" s="201">
        <v>1800</v>
      </c>
      <c r="IM3" s="120"/>
      <c r="IN3" s="120"/>
      <c r="IO3" s="205"/>
      <c r="IP3" s="205"/>
      <c r="IQ3" s="205">
        <f>SUM(IJ3:IP3)</f>
        <v>1800</v>
      </c>
      <c r="IR3" s="205">
        <f>SUM(IJ3:IM3,II3,IA3,HS3,HD3:HG3,HH3:HI3)</f>
        <v>3550</v>
      </c>
      <c r="IS3" s="120"/>
      <c r="IT3" s="120"/>
      <c r="IU3" s="120"/>
      <c r="IV3" s="120"/>
      <c r="IW3" s="120"/>
      <c r="IX3" s="205"/>
      <c r="IY3" s="205"/>
      <c r="IZ3" s="205">
        <f>SUM(IS3:IY3)</f>
        <v>0</v>
      </c>
      <c r="JA3" s="120"/>
      <c r="JB3" s="120"/>
      <c r="JC3" s="120"/>
      <c r="JD3" s="120"/>
      <c r="JE3" s="120"/>
      <c r="JF3" s="205"/>
      <c r="JG3" s="205"/>
      <c r="JH3" s="205">
        <f>SUM(JA3:JG3)</f>
        <v>0</v>
      </c>
      <c r="JI3" s="120"/>
      <c r="JJ3" s="120"/>
      <c r="JK3" s="120"/>
      <c r="JL3" s="120"/>
      <c r="JM3" s="120"/>
      <c r="JN3" s="205"/>
      <c r="JO3" s="205"/>
      <c r="JP3" s="205">
        <f>SUM(JI3:JO3)</f>
        <v>0</v>
      </c>
      <c r="JQ3" s="120"/>
      <c r="JR3" s="120"/>
      <c r="JS3" s="120"/>
      <c r="JT3" s="120"/>
      <c r="JU3" s="120"/>
      <c r="JV3" s="205"/>
      <c r="JW3" s="205"/>
      <c r="JX3" s="205">
        <f>SUM(JQ3:JW3)</f>
        <v>0</v>
      </c>
      <c r="JY3" s="205">
        <f>SUM(JX3,JP3,JH3,IZ3,IN3:IP3)</f>
        <v>0</v>
      </c>
      <c r="JZ3" s="120"/>
      <c r="KA3" s="120"/>
      <c r="KB3" s="120"/>
      <c r="KC3" s="120"/>
      <c r="KD3" s="120"/>
      <c r="KE3" s="205"/>
      <c r="KF3" s="205"/>
      <c r="KG3" s="205">
        <f>SUM(JZ3:KF3)</f>
        <v>0</v>
      </c>
      <c r="KH3" s="120"/>
      <c r="KI3" s="120"/>
      <c r="KJ3" s="120"/>
      <c r="KK3" s="206">
        <v>800</v>
      </c>
      <c r="KL3" s="120"/>
      <c r="KM3" s="205"/>
      <c r="KN3" s="205"/>
      <c r="KO3" s="205">
        <f>SUM(KH3:KN3)</f>
        <v>800</v>
      </c>
      <c r="KP3" s="120"/>
      <c r="KQ3" s="120"/>
      <c r="KR3" s="120"/>
      <c r="KS3" s="120"/>
      <c r="KT3" s="120"/>
      <c r="KU3" s="205"/>
      <c r="KV3" s="205"/>
      <c r="KW3" s="205">
        <f>SUM(KP3:KV3)</f>
        <v>0</v>
      </c>
      <c r="KX3" s="120"/>
      <c r="KY3" s="120"/>
      <c r="KZ3" s="120"/>
      <c r="LA3" s="120"/>
      <c r="LB3" s="120"/>
      <c r="LC3" s="205"/>
      <c r="LD3" s="205"/>
      <c r="LE3" s="205">
        <f>SUM(KX3:LD3)</f>
        <v>0</v>
      </c>
      <c r="LF3" s="205"/>
      <c r="LG3" s="120"/>
      <c r="LH3" s="120"/>
      <c r="LI3" s="120"/>
      <c r="LJ3" s="120"/>
      <c r="LK3" s="205"/>
      <c r="LL3" s="205"/>
      <c r="LM3" s="205">
        <f>SUM(LF3:LL3)</f>
        <v>0</v>
      </c>
      <c r="LN3" s="205">
        <f>SUM(LF3:LG3,LE3,KW3,KO3,KG3)</f>
        <v>800</v>
      </c>
      <c r="LO3" s="205"/>
      <c r="LP3" s="120"/>
      <c r="LQ3" s="120"/>
      <c r="LR3" s="120"/>
      <c r="LS3" s="205"/>
      <c r="LT3" s="205"/>
      <c r="LU3" s="205"/>
      <c r="LV3" s="205">
        <f>SUM(LO3:LU3)</f>
        <v>0</v>
      </c>
      <c r="LW3" s="120"/>
      <c r="LX3" s="120"/>
      <c r="LY3" s="124">
        <v>360</v>
      </c>
      <c r="LZ3" s="120"/>
      <c r="MA3" s="120"/>
      <c r="MB3" s="205"/>
      <c r="MC3" s="205"/>
      <c r="MD3" s="205">
        <f>SUM(LW3:MC3)</f>
        <v>360</v>
      </c>
      <c r="ME3" s="120"/>
      <c r="MF3" s="120"/>
      <c r="MG3" s="120"/>
      <c r="MH3" s="201">
        <v>1100</v>
      </c>
      <c r="MI3" s="205"/>
      <c r="MJ3" s="205"/>
      <c r="MK3" s="205"/>
      <c r="ML3" s="205">
        <f>SUM(ME3:MK3)</f>
        <v>1100</v>
      </c>
      <c r="MM3" s="120" t="s">
        <v>712</v>
      </c>
      <c r="MN3" s="120"/>
      <c r="MO3" s="120"/>
      <c r="MP3" s="120"/>
      <c r="MQ3" s="120"/>
      <c r="MR3" s="205"/>
      <c r="MS3" s="205"/>
      <c r="MT3" s="205">
        <f>SUM(MM3:MS3)</f>
        <v>0</v>
      </c>
      <c r="MU3" s="205">
        <f>SUM(LH3:LL3,LV3,MD3,ML3,MM3:MQ3)</f>
        <v>1460</v>
      </c>
      <c r="MV3" s="120"/>
      <c r="MW3" s="120"/>
      <c r="MX3" s="195">
        <v>2000</v>
      </c>
      <c r="MY3" s="120"/>
      <c r="MZ3" s="120"/>
      <c r="NA3" s="205"/>
      <c r="NB3" s="205"/>
      <c r="NC3" s="205">
        <f>SUM(MV3:NB3)</f>
        <v>2000</v>
      </c>
      <c r="ND3" s="120"/>
      <c r="NE3" s="120"/>
      <c r="NF3" s="120"/>
      <c r="NG3" s="120"/>
      <c r="NH3" s="120"/>
      <c r="NI3" s="205"/>
      <c r="NJ3" s="205"/>
      <c r="NK3" s="205">
        <f>SUM(ND3:NJ3)</f>
        <v>0</v>
      </c>
      <c r="NL3" s="120"/>
      <c r="NM3" s="120"/>
      <c r="NN3" s="120"/>
      <c r="NO3" s="120"/>
      <c r="NP3" s="120"/>
      <c r="NQ3" s="205"/>
      <c r="NR3" s="205"/>
      <c r="NS3" s="205">
        <f>SUM(NL3:NR3)</f>
        <v>0</v>
      </c>
      <c r="NT3" s="217">
        <v>1000</v>
      </c>
      <c r="NU3" s="120"/>
      <c r="NV3" s="120"/>
      <c r="NW3" s="120"/>
      <c r="NX3" s="120"/>
      <c r="NY3" s="205"/>
      <c r="NZ3" s="205"/>
      <c r="OA3" s="205">
        <f>SUM(NT3:NZ3)</f>
        <v>1000</v>
      </c>
      <c r="OB3" s="205">
        <f>SUM(MR3:MS3,NC3,NK3,NS3,OA3)</f>
        <v>3000</v>
      </c>
      <c r="OC3" s="120"/>
      <c r="OD3" s="120"/>
      <c r="OE3" s="120"/>
      <c r="OF3" s="120"/>
      <c r="OG3" s="120"/>
      <c r="OH3" s="205"/>
      <c r="OI3" s="205"/>
      <c r="OJ3" s="205">
        <f>SUM(OC3:OI3)</f>
        <v>0</v>
      </c>
      <c r="OK3" s="120"/>
      <c r="OL3" s="120"/>
      <c r="OM3" s="120"/>
      <c r="ON3" s="120"/>
      <c r="OO3" s="120"/>
      <c r="OP3" s="205"/>
      <c r="OQ3" s="205"/>
      <c r="OR3" s="205">
        <f>SUM(OK3:OQ3)</f>
        <v>0</v>
      </c>
      <c r="OS3" s="120"/>
      <c r="OT3" s="120"/>
      <c r="OU3" s="120"/>
      <c r="OV3" s="120"/>
      <c r="OW3" s="120"/>
      <c r="OX3" s="205"/>
      <c r="OY3" s="205"/>
      <c r="OZ3" s="205">
        <f>SUM(OS3:OY3)</f>
        <v>0</v>
      </c>
      <c r="PA3" s="120"/>
      <c r="PB3" s="120"/>
      <c r="PC3" s="120"/>
      <c r="PD3" s="205"/>
      <c r="PE3" s="217"/>
      <c r="PF3" s="205"/>
      <c r="PG3" s="205"/>
      <c r="PH3" s="205">
        <f>SUM(PA3:PG3)</f>
        <v>0</v>
      </c>
      <c r="PI3" s="120"/>
      <c r="PJ3" s="120"/>
      <c r="PK3" s="120"/>
      <c r="PL3" s="205"/>
      <c r="PM3" s="217"/>
      <c r="PN3" s="205"/>
      <c r="PO3" s="205"/>
      <c r="PP3" s="205">
        <f>SUM(PI3:PO3)</f>
        <v>0</v>
      </c>
      <c r="PQ3" s="205">
        <f>SUM(OJ3,OR3,OZ3,PH3,PI3:PK3)</f>
        <v>0</v>
      </c>
      <c r="PR3" s="124">
        <v>800</v>
      </c>
      <c r="PS3" s="207"/>
      <c r="PT3" s="207"/>
      <c r="PU3" s="207"/>
      <c r="PV3" s="207"/>
      <c r="PW3" s="272"/>
      <c r="PX3" s="272"/>
      <c r="PY3" s="205">
        <f>SUM(PR3:PX3)</f>
        <v>800</v>
      </c>
      <c r="PZ3" s="207"/>
      <c r="QA3" s="207"/>
      <c r="QB3" s="207"/>
      <c r="QC3" s="207"/>
      <c r="QD3" s="207"/>
      <c r="QE3" s="272"/>
      <c r="QF3" s="272"/>
      <c r="QG3" s="205">
        <f>SUM(PZ3:QF3)</f>
        <v>0</v>
      </c>
      <c r="QH3" s="207"/>
      <c r="QI3" s="207"/>
      <c r="QJ3" s="294"/>
      <c r="QK3" s="207"/>
      <c r="QL3" s="207"/>
      <c r="QM3" s="272"/>
      <c r="QN3" s="272"/>
      <c r="QO3" s="205">
        <f>SUM(QH3:QN3)</f>
        <v>0</v>
      </c>
      <c r="QP3" s="207"/>
      <c r="QQ3" s="124">
        <v>1200</v>
      </c>
      <c r="QR3" s="207"/>
      <c r="QS3" s="207"/>
      <c r="QT3" s="207"/>
      <c r="QU3" s="272"/>
      <c r="QV3" s="272"/>
      <c r="QW3" s="205">
        <f>SUM(QP3:QV3)</f>
        <v>1200</v>
      </c>
      <c r="QX3" s="205">
        <f>SUM(QW3,QO3,QG3,PY3,PL3,PM3,PN3,PO3)</f>
        <v>2000</v>
      </c>
      <c r="QY3" s="207"/>
      <c r="QZ3" s="207"/>
      <c r="RA3" s="207"/>
      <c r="RB3" s="207"/>
      <c r="RC3" s="207"/>
      <c r="RD3" s="272"/>
      <c r="RE3" s="272"/>
      <c r="RF3" s="205">
        <f>SUM(QY3:RE3)</f>
        <v>0</v>
      </c>
      <c r="RG3" s="207"/>
      <c r="RH3" s="207"/>
      <c r="RI3" s="207"/>
      <c r="RJ3" s="207"/>
      <c r="RK3" s="207"/>
      <c r="RL3" s="272"/>
      <c r="RM3" s="272"/>
      <c r="RN3" s="205">
        <f>SUM(RG3:RM3)</f>
        <v>0</v>
      </c>
      <c r="RO3" s="272"/>
      <c r="RP3" s="272"/>
      <c r="RQ3" s="272"/>
      <c r="RR3" s="272"/>
      <c r="RS3" s="272"/>
      <c r="RT3" s="272"/>
      <c r="RU3" s="272"/>
      <c r="RV3" s="205">
        <f>SUM(RO3:RU3)</f>
        <v>0</v>
      </c>
      <c r="RW3" s="207"/>
      <c r="RX3" s="207"/>
      <c r="RY3" s="207"/>
      <c r="RZ3" s="207"/>
      <c r="SA3" s="272"/>
      <c r="SB3" s="272"/>
      <c r="SC3" s="272"/>
      <c r="SD3" s="205">
        <f>SUM(RW3:SC3)</f>
        <v>0</v>
      </c>
      <c r="SE3" s="205">
        <f>SUM(SD3,RV3,RN3,RF3,QV3)</f>
        <v>0</v>
      </c>
      <c r="SF3" s="207"/>
      <c r="SG3" s="124">
        <v>2500</v>
      </c>
      <c r="SH3" s="207"/>
      <c r="SI3" s="207"/>
      <c r="SJ3" s="207"/>
      <c r="SK3" s="272"/>
      <c r="SL3" s="272"/>
      <c r="SM3" s="205">
        <f>SUM(SF3:SL3)</f>
        <v>2500</v>
      </c>
      <c r="SN3" s="207"/>
      <c r="SO3" s="207"/>
      <c r="SP3" s="207"/>
      <c r="SQ3" s="207"/>
      <c r="SR3" s="207"/>
      <c r="SS3" s="272"/>
      <c r="ST3" s="272"/>
      <c r="SU3" s="205">
        <f>SUM(SN3:ST3)</f>
        <v>0</v>
      </c>
      <c r="SV3" s="207"/>
      <c r="SW3" s="207"/>
      <c r="SX3" s="207"/>
      <c r="SY3" s="207"/>
      <c r="SZ3" s="207"/>
      <c r="TA3" s="272"/>
      <c r="TB3" s="272"/>
      <c r="TC3" s="205">
        <f>SUM(SV3:TB3)</f>
        <v>0</v>
      </c>
      <c r="TD3" s="207"/>
      <c r="TE3" s="207"/>
      <c r="TF3" s="207"/>
      <c r="TG3" s="207"/>
      <c r="TH3" s="207"/>
      <c r="TI3" s="272"/>
      <c r="TJ3" s="272"/>
      <c r="TK3" s="205">
        <f>SUM(TD3:TJ3)</f>
        <v>0</v>
      </c>
      <c r="TL3" s="207"/>
      <c r="TM3" s="201">
        <v>500</v>
      </c>
      <c r="TN3" s="207"/>
      <c r="TO3" s="207"/>
      <c r="TP3" s="272"/>
      <c r="TQ3" s="272"/>
      <c r="TR3" s="272"/>
      <c r="TS3" s="205">
        <f>SUM(TL3:TR3)</f>
        <v>500</v>
      </c>
      <c r="TT3" s="205">
        <f>SUM(TL3:TM3,TK3,TC3,SU3,SM3,SC3)</f>
        <v>3000</v>
      </c>
      <c r="TU3" s="272"/>
      <c r="TV3" s="207"/>
      <c r="TW3" s="207"/>
      <c r="TX3" s="207"/>
      <c r="TY3" s="207"/>
      <c r="TZ3" s="272"/>
      <c r="UA3" s="272"/>
      <c r="UB3" s="205">
        <f>SUM(TU3:UA3)</f>
        <v>0</v>
      </c>
      <c r="UC3" s="207"/>
      <c r="UD3" s="207"/>
      <c r="UE3" s="207"/>
      <c r="UF3" s="207"/>
      <c r="UG3" s="207"/>
      <c r="UH3" s="272"/>
      <c r="UI3" s="272"/>
      <c r="UJ3" s="205">
        <f>SUM(UC3:UI3)</f>
        <v>0</v>
      </c>
      <c r="UK3" s="207"/>
      <c r="UL3" s="207"/>
      <c r="UM3" s="201">
        <v>1700</v>
      </c>
      <c r="UN3" s="207"/>
      <c r="UO3" s="207"/>
      <c r="UP3" s="272"/>
      <c r="UQ3" s="272"/>
      <c r="UR3" s="205">
        <f>SUM(UM3:UQ3)</f>
        <v>1700</v>
      </c>
      <c r="US3" s="207"/>
      <c r="UT3" s="207"/>
      <c r="UU3" s="207"/>
      <c r="UV3" s="207"/>
      <c r="UW3" s="272"/>
      <c r="UX3" s="272"/>
      <c r="UY3" s="272"/>
      <c r="UZ3" s="205">
        <f>SUM(US3:UY3)</f>
        <v>0</v>
      </c>
      <c r="VA3" s="205">
        <f>SUM(TN3:TR3,UB3,UJ3,UR3,US3:UV3)</f>
        <v>1700</v>
      </c>
      <c r="VB3" s="207"/>
      <c r="VC3" s="207"/>
      <c r="VD3" s="207"/>
      <c r="VE3" s="207"/>
      <c r="VF3" s="207"/>
      <c r="VG3" s="272"/>
      <c r="VH3" s="272"/>
      <c r="VI3" s="205">
        <f>SUM(VB3:VH3)</f>
        <v>0</v>
      </c>
      <c r="VJ3" s="207"/>
      <c r="VK3" s="207"/>
      <c r="VL3" s="207"/>
      <c r="VM3" s="207"/>
      <c r="VN3" s="207"/>
      <c r="VO3" s="272"/>
      <c r="VP3" s="272"/>
      <c r="VQ3" s="205">
        <f>SUM(VJ3:VP3)</f>
        <v>0</v>
      </c>
      <c r="VR3" s="207"/>
      <c r="VS3" s="207"/>
      <c r="VT3" s="207"/>
      <c r="VU3" s="207"/>
      <c r="VV3" s="207"/>
      <c r="VW3" s="272"/>
      <c r="VX3" s="272"/>
      <c r="VY3" s="205">
        <f>SUM(VR3:VX3)</f>
        <v>0</v>
      </c>
      <c r="VZ3" s="207"/>
      <c r="WA3" s="207"/>
      <c r="WB3" s="207"/>
      <c r="WC3" s="207"/>
      <c r="WD3" s="207"/>
      <c r="WE3" s="272"/>
      <c r="WF3" s="272"/>
      <c r="WG3" s="205">
        <f>SUM(VZ3:WF3)</f>
        <v>0</v>
      </c>
      <c r="WH3" s="205">
        <f>SUM(WG3,VY3,VQ3,VI3,UW3:UY3)</f>
        <v>0</v>
      </c>
      <c r="WI3" s="195">
        <v>800</v>
      </c>
      <c r="WJ3" s="207"/>
      <c r="WK3" s="207"/>
      <c r="WL3" s="207"/>
      <c r="WM3" s="207"/>
      <c r="WN3" s="272"/>
      <c r="WO3" s="272"/>
      <c r="WP3" s="205">
        <f>SUM(WI3:WO3)</f>
        <v>800</v>
      </c>
      <c r="WQ3" s="207"/>
      <c r="WR3" s="207"/>
      <c r="WS3" s="207"/>
      <c r="WT3" s="207"/>
      <c r="WU3" s="207"/>
      <c r="WV3" s="272"/>
      <c r="WW3" s="272"/>
      <c r="WX3" s="205">
        <f>SUM(WQ3:WW3)</f>
        <v>0</v>
      </c>
      <c r="WY3" s="207"/>
      <c r="WZ3" s="207"/>
      <c r="XA3" s="207"/>
      <c r="XB3" s="207"/>
      <c r="XC3" s="272"/>
      <c r="XD3" s="272"/>
      <c r="XE3" s="272"/>
      <c r="XF3" s="205">
        <f>SUM(WY3:XE3)</f>
        <v>0</v>
      </c>
      <c r="XG3" s="207"/>
      <c r="XH3" s="207"/>
      <c r="XI3" s="207"/>
      <c r="XJ3" s="207"/>
      <c r="XK3" s="207"/>
      <c r="XL3" s="272"/>
      <c r="XM3" s="272"/>
      <c r="XN3" s="205">
        <f>SUM(XG3:XM3)</f>
        <v>0</v>
      </c>
      <c r="XO3" s="207"/>
      <c r="XP3" s="207"/>
      <c r="XQ3" s="207"/>
      <c r="XR3" s="207"/>
      <c r="XS3" s="207"/>
      <c r="XT3" s="272"/>
      <c r="XU3" s="272"/>
      <c r="XV3" s="205">
        <f>SUM(XO3:XU3)</f>
        <v>0</v>
      </c>
      <c r="XW3" s="205">
        <f>SUM(XO3:XP3,XN3,XF3,WX3,WP3)</f>
        <v>800</v>
      </c>
      <c r="XX3" s="207"/>
      <c r="XY3" s="207"/>
      <c r="XZ3" s="207"/>
      <c r="YA3" s="207"/>
      <c r="YB3" s="207"/>
      <c r="YC3" s="272"/>
      <c r="YD3" s="272"/>
      <c r="YE3" s="205">
        <f>SUM(XX3:YD3)</f>
        <v>0</v>
      </c>
      <c r="YF3" s="207"/>
      <c r="YG3" s="207"/>
      <c r="YH3" s="207"/>
      <c r="YI3" s="207"/>
      <c r="YJ3" s="207"/>
      <c r="YK3" s="272"/>
      <c r="YL3" s="272"/>
      <c r="YM3" s="205">
        <f>SUM(YF3:YL3)</f>
        <v>0</v>
      </c>
      <c r="YN3" s="207"/>
      <c r="YO3" s="207"/>
      <c r="YP3" s="207"/>
      <c r="YQ3" s="207"/>
      <c r="YR3" s="207"/>
      <c r="YS3" s="272"/>
      <c r="YT3" s="272"/>
      <c r="YU3" s="205">
        <f t="shared" ref="YU3:YU66" si="148">SUM(YN3:YT3)</f>
        <v>0</v>
      </c>
      <c r="YV3" s="207"/>
      <c r="YW3" s="207"/>
      <c r="YX3" s="207"/>
      <c r="YY3" s="207"/>
      <c r="YZ3" s="207"/>
      <c r="ZA3" s="272"/>
      <c r="ZB3" s="272"/>
      <c r="ZC3" s="205">
        <f>SUM(YV3:ZB3)</f>
        <v>0</v>
      </c>
      <c r="ZD3" s="205">
        <f t="shared" ref="ZD3:ZD54" si="149">SUM(YV3:YZ3,YU3,YM3,YE3,XQ3:XS3)</f>
        <v>0</v>
      </c>
      <c r="ZE3" s="207"/>
      <c r="ZF3" s="207"/>
      <c r="ZG3" s="207"/>
      <c r="ZH3" s="207"/>
      <c r="ZI3" s="207"/>
      <c r="ZJ3" s="272"/>
      <c r="ZK3" s="272"/>
      <c r="ZL3" s="205">
        <f>SUM(ZE3:ZK3)</f>
        <v>0</v>
      </c>
      <c r="ZM3" s="207"/>
      <c r="ZN3" s="207"/>
      <c r="ZO3" s="207"/>
      <c r="ZP3" s="207"/>
      <c r="ZQ3" s="207"/>
      <c r="ZR3" s="272"/>
      <c r="ZS3" s="272"/>
      <c r="ZT3" s="205">
        <f>SUM(ZM3:ZS3)</f>
        <v>0</v>
      </c>
      <c r="ZU3" s="207"/>
      <c r="ZV3" s="207"/>
      <c r="ZW3" s="207"/>
      <c r="ZX3" s="207"/>
      <c r="ZY3" s="207"/>
      <c r="ZZ3" s="272"/>
      <c r="AAA3" s="272"/>
      <c r="AAB3" s="205">
        <f>SUM(ZU3:AAA3)</f>
        <v>0</v>
      </c>
      <c r="AAC3" s="207"/>
      <c r="AAD3" s="207"/>
      <c r="AAE3" s="207"/>
      <c r="AAF3" s="207"/>
      <c r="AAG3" s="207"/>
      <c r="AAH3" s="272"/>
      <c r="AAI3" s="272"/>
      <c r="AAJ3" s="205">
        <f>SUM(AAC3:AAI3)</f>
        <v>0</v>
      </c>
      <c r="AAK3" s="207"/>
      <c r="AAL3" s="207"/>
      <c r="AAM3" s="207"/>
      <c r="AAN3" s="207"/>
      <c r="AAO3" s="207"/>
      <c r="AAP3" s="272"/>
      <c r="AAQ3" s="272"/>
      <c r="AAR3" s="205">
        <f>SUM(AAK3:AAQ3)</f>
        <v>0</v>
      </c>
      <c r="AAS3" s="205">
        <f>SUM(AAK3:AAL3,AAJ3,AAB3,ZT3,ZL3)</f>
        <v>0</v>
      </c>
    </row>
    <row r="4" spans="1:721" ht="69.95" customHeight="1">
      <c r="B4" s="155">
        <v>3620102301</v>
      </c>
      <c r="C4" s="323"/>
      <c r="D4" s="156" t="s">
        <v>69</v>
      </c>
      <c r="E4" s="130" t="s">
        <v>4</v>
      </c>
      <c r="F4" s="120"/>
      <c r="G4" s="120"/>
      <c r="H4" s="201">
        <v>3200</v>
      </c>
      <c r="I4" s="120"/>
      <c r="J4" s="120"/>
      <c r="K4" s="209"/>
      <c r="L4" s="205"/>
      <c r="M4" s="205">
        <f t="shared" si="121"/>
        <v>3200</v>
      </c>
      <c r="N4" s="120"/>
      <c r="O4" s="120"/>
      <c r="P4" s="120"/>
      <c r="Q4" s="120"/>
      <c r="R4" s="120"/>
      <c r="S4" s="209"/>
      <c r="T4" s="205"/>
      <c r="U4" s="205">
        <f t="shared" si="122"/>
        <v>0</v>
      </c>
      <c r="V4" s="120"/>
      <c r="W4" s="120"/>
      <c r="X4" s="120"/>
      <c r="Y4" s="120"/>
      <c r="Z4" s="120"/>
      <c r="AA4" s="209"/>
      <c r="AB4" s="205"/>
      <c r="AC4" s="205">
        <f t="shared" si="123"/>
        <v>0</v>
      </c>
      <c r="AD4" s="205"/>
      <c r="AE4" s="205"/>
      <c r="AF4" s="205"/>
      <c r="AG4" s="205"/>
      <c r="AH4" s="205"/>
      <c r="AI4" s="209"/>
      <c r="AJ4" s="205"/>
      <c r="AK4" s="205">
        <f t="shared" si="124"/>
        <v>0</v>
      </c>
      <c r="AL4" s="205" t="e">
        <f>SUM(#REF!,M4,U4,AC4,AD4:AH4)</f>
        <v>#REF!</v>
      </c>
      <c r="AM4" s="120"/>
      <c r="AN4" s="120"/>
      <c r="AO4" s="120"/>
      <c r="AP4" s="120"/>
      <c r="AQ4" s="120"/>
      <c r="AR4" s="209"/>
      <c r="AS4" s="205"/>
      <c r="AT4" s="205">
        <f t="shared" si="125"/>
        <v>0</v>
      </c>
      <c r="AU4" s="120"/>
      <c r="AV4" s="120"/>
      <c r="AW4" s="120"/>
      <c r="AX4" s="120"/>
      <c r="AY4" s="120"/>
      <c r="AZ4" s="209"/>
      <c r="BA4" s="205"/>
      <c r="BB4" s="205">
        <f t="shared" si="126"/>
        <v>0</v>
      </c>
      <c r="BC4" s="120"/>
      <c r="BD4" s="120"/>
      <c r="BE4" s="120"/>
      <c r="BF4" s="120"/>
      <c r="BG4" s="120"/>
      <c r="BH4" s="209"/>
      <c r="BI4" s="205"/>
      <c r="BJ4" s="205">
        <f t="shared" si="127"/>
        <v>0</v>
      </c>
      <c r="BK4" s="120"/>
      <c r="BL4" s="120"/>
      <c r="BM4" s="217">
        <v>6000</v>
      </c>
      <c r="BN4" s="120"/>
      <c r="BO4" s="205"/>
      <c r="BP4" s="209"/>
      <c r="BQ4" s="205"/>
      <c r="BR4" s="205">
        <f t="shared" si="128"/>
        <v>6000</v>
      </c>
      <c r="BS4" s="205">
        <f t="shared" si="129"/>
        <v>6000</v>
      </c>
      <c r="BT4" s="120"/>
      <c r="BU4" s="120"/>
      <c r="BV4" s="120"/>
      <c r="BW4" s="120"/>
      <c r="BX4" s="120"/>
      <c r="BY4" s="209"/>
      <c r="BZ4" s="205"/>
      <c r="CA4" s="205">
        <f t="shared" si="130"/>
        <v>0</v>
      </c>
      <c r="CB4" s="120"/>
      <c r="CC4" s="120"/>
      <c r="CD4" s="120"/>
      <c r="CE4" s="120"/>
      <c r="CF4" s="120"/>
      <c r="CG4" s="209"/>
      <c r="CH4" s="205"/>
      <c r="CI4" s="205">
        <f t="shared" si="131"/>
        <v>0</v>
      </c>
      <c r="CJ4" s="120"/>
      <c r="CK4" s="120"/>
      <c r="CL4" s="120"/>
      <c r="CM4" s="120"/>
      <c r="CN4" s="120"/>
      <c r="CO4" s="209"/>
      <c r="CP4" s="205"/>
      <c r="CQ4" s="205">
        <f t="shared" si="132"/>
        <v>0</v>
      </c>
      <c r="CR4" s="120"/>
      <c r="CS4" s="120"/>
      <c r="CT4" s="120"/>
      <c r="CU4" s="120"/>
      <c r="CV4" s="120"/>
      <c r="CW4" s="209"/>
      <c r="CX4" s="205"/>
      <c r="CY4" s="205">
        <f t="shared" si="133"/>
        <v>0</v>
      </c>
      <c r="CZ4" s="120"/>
      <c r="DA4" s="120"/>
      <c r="DB4" s="120"/>
      <c r="DC4" s="205"/>
      <c r="DD4" s="205"/>
      <c r="DE4" s="209"/>
      <c r="DF4" s="205"/>
      <c r="DG4" s="205">
        <f t="shared" si="134"/>
        <v>0</v>
      </c>
      <c r="DH4" s="205">
        <f t="shared" ref="DH4:DH79" si="150">SUM(CA4,CI4,CQ4,CY4,CZ4)</f>
        <v>0</v>
      </c>
      <c r="DI4" s="120"/>
      <c r="DJ4" s="120"/>
      <c r="DK4" s="120"/>
      <c r="DL4" s="120"/>
      <c r="DM4" s="120"/>
      <c r="DN4" s="209"/>
      <c r="DO4" s="205"/>
      <c r="DP4" s="205">
        <f t="shared" si="135"/>
        <v>0</v>
      </c>
      <c r="DQ4" s="120"/>
      <c r="DR4" s="120"/>
      <c r="DS4" s="120"/>
      <c r="DT4" s="120"/>
      <c r="DU4" s="120"/>
      <c r="DV4" s="209"/>
      <c r="DW4" s="205"/>
      <c r="DX4" s="205">
        <f t="shared" si="136"/>
        <v>0</v>
      </c>
      <c r="DY4" s="120"/>
      <c r="DZ4" s="120"/>
      <c r="EA4" s="120"/>
      <c r="EB4" s="120"/>
      <c r="EC4" s="120"/>
      <c r="ED4" s="209"/>
      <c r="EE4" s="205"/>
      <c r="EF4" s="205">
        <f t="shared" si="137"/>
        <v>0</v>
      </c>
      <c r="EG4" s="120"/>
      <c r="EH4" s="120"/>
      <c r="EI4" s="120"/>
      <c r="EJ4" s="205"/>
      <c r="EK4" s="205"/>
      <c r="EL4" s="209"/>
      <c r="EM4" s="205"/>
      <c r="EN4" s="205">
        <f t="shared" si="138"/>
        <v>0</v>
      </c>
      <c r="EO4" s="205">
        <f t="shared" ref="EO4:EO79" si="151">SUM(DA4:DF4,DP4,DX4,EF4,EG4:EI4)</f>
        <v>0</v>
      </c>
      <c r="EP4" s="120"/>
      <c r="EQ4" s="250">
        <v>5000</v>
      </c>
      <c r="ER4" s="120"/>
      <c r="ES4" s="120"/>
      <c r="ET4" s="120"/>
      <c r="EU4" s="209"/>
      <c r="EV4" s="205"/>
      <c r="EW4" s="205">
        <f t="shared" si="139"/>
        <v>5000</v>
      </c>
      <c r="EX4" s="120"/>
      <c r="EY4" s="120"/>
      <c r="EZ4" s="120"/>
      <c r="FA4" s="120"/>
      <c r="FB4" s="120"/>
      <c r="FC4" s="209"/>
      <c r="FD4" s="205"/>
      <c r="FE4" s="205">
        <f t="shared" si="140"/>
        <v>0</v>
      </c>
      <c r="FF4" s="120"/>
      <c r="FG4" s="120"/>
      <c r="FH4" s="120"/>
      <c r="FI4" s="120"/>
      <c r="FJ4" s="120"/>
      <c r="FK4" s="209"/>
      <c r="FL4" s="205"/>
      <c r="FM4" s="205">
        <f t="shared" si="141"/>
        <v>0</v>
      </c>
      <c r="FN4" s="120"/>
      <c r="FO4" s="120"/>
      <c r="FP4" s="120"/>
      <c r="FQ4" s="120"/>
      <c r="FR4" s="205"/>
      <c r="FS4" s="209"/>
      <c r="FT4" s="205"/>
      <c r="FU4" s="205">
        <f t="shared" si="142"/>
        <v>0</v>
      </c>
      <c r="FV4" s="205">
        <f t="shared" ref="FV4:FV79" si="152">SUM(EJ4:EK4,EW4,FE4,FM4,FU4)</f>
        <v>5000</v>
      </c>
      <c r="FW4" s="120"/>
      <c r="FX4" s="120"/>
      <c r="FY4" s="120"/>
      <c r="FZ4" s="120"/>
      <c r="GA4" s="120"/>
      <c r="GB4" s="209"/>
      <c r="GC4" s="205"/>
      <c r="GD4" s="205">
        <f t="shared" si="143"/>
        <v>0</v>
      </c>
      <c r="GE4" s="120"/>
      <c r="GF4" s="120"/>
      <c r="GG4" s="120"/>
      <c r="GH4" s="120"/>
      <c r="GI4" s="120"/>
      <c r="GJ4" s="209"/>
      <c r="GK4" s="205"/>
      <c r="GL4" s="205">
        <f t="shared" si="144"/>
        <v>0</v>
      </c>
      <c r="GM4" s="120"/>
      <c r="GN4" s="120"/>
      <c r="GO4" s="120"/>
      <c r="GP4" s="120"/>
      <c r="GQ4" s="120"/>
      <c r="GR4" s="209"/>
      <c r="GS4" s="205"/>
      <c r="GT4" s="205">
        <f t="shared" si="145"/>
        <v>0</v>
      </c>
      <c r="GU4" s="120"/>
      <c r="GV4" s="120"/>
      <c r="GW4" s="120"/>
      <c r="GX4" s="120"/>
      <c r="GY4" s="120"/>
      <c r="GZ4" s="209"/>
      <c r="HA4" s="205"/>
      <c r="HB4" s="205">
        <f t="shared" si="146"/>
        <v>0</v>
      </c>
      <c r="HC4" s="120"/>
      <c r="HD4" s="120"/>
      <c r="HE4" s="120"/>
      <c r="HF4" s="120"/>
      <c r="HG4" s="120"/>
      <c r="HH4" s="209"/>
      <c r="HI4" s="205"/>
      <c r="HJ4" s="205">
        <f t="shared" si="147"/>
        <v>0</v>
      </c>
      <c r="HK4" s="205">
        <f t="shared" ref="HK4:HK79" si="153">SUM(GD4,GL4,GT4,HB4,HC4)</f>
        <v>0</v>
      </c>
      <c r="HL4" s="124"/>
      <c r="HM4" s="120"/>
      <c r="HN4" s="120"/>
      <c r="HO4" s="217">
        <v>5000</v>
      </c>
      <c r="HP4" s="120"/>
      <c r="HQ4" s="205"/>
      <c r="HR4" s="205"/>
      <c r="HS4" s="205">
        <f t="shared" ref="HS4:HS79" si="154">SUM(HL4:HR4)</f>
        <v>5000</v>
      </c>
      <c r="HT4" s="120"/>
      <c r="HU4" s="120"/>
      <c r="HV4" s="120"/>
      <c r="HW4" s="120"/>
      <c r="HX4" s="120"/>
      <c r="HY4" s="205"/>
      <c r="HZ4" s="205"/>
      <c r="IA4" s="205">
        <f t="shared" ref="IA4:IA79" si="155">SUM(HT4:HZ4)</f>
        <v>0</v>
      </c>
      <c r="IB4" s="120"/>
      <c r="IC4" s="120"/>
      <c r="ID4" s="120"/>
      <c r="IE4" s="120"/>
      <c r="IF4" s="120"/>
      <c r="IG4" s="205"/>
      <c r="IH4" s="205"/>
      <c r="II4" s="205">
        <f t="shared" ref="II4:II75" si="156">SUM(IB4:IH4)</f>
        <v>0</v>
      </c>
      <c r="IJ4" s="120"/>
      <c r="IK4" s="120"/>
      <c r="IL4" s="120"/>
      <c r="IM4" s="120"/>
      <c r="IN4" s="120"/>
      <c r="IO4" s="205"/>
      <c r="IP4" s="205"/>
      <c r="IQ4" s="205">
        <f t="shared" ref="IQ4:IQ79" si="157">SUM(IJ4:IP4)</f>
        <v>0</v>
      </c>
      <c r="IR4" s="205">
        <f t="shared" ref="IR4:IR79" si="158">SUM(IJ4:IM4,II4,IA4,HS4,HD4:HG4,HH4:HI4)</f>
        <v>5000</v>
      </c>
      <c r="IS4" s="120"/>
      <c r="IT4" s="120"/>
      <c r="IU4" s="120"/>
      <c r="IV4" s="120"/>
      <c r="IW4" s="120"/>
      <c r="IX4" s="205"/>
      <c r="IY4" s="205"/>
      <c r="IZ4" s="205">
        <f t="shared" ref="IZ4:IZ79" si="159">SUM(IS4:IY4)</f>
        <v>0</v>
      </c>
      <c r="JA4" s="120"/>
      <c r="JB4" s="120"/>
      <c r="JC4" s="120"/>
      <c r="JD4" s="120"/>
      <c r="JE4" s="120"/>
      <c r="JF4" s="205"/>
      <c r="JG4" s="205"/>
      <c r="JH4" s="205">
        <f t="shared" ref="JH4:JH79" si="160">SUM(JA4:JG4)</f>
        <v>0</v>
      </c>
      <c r="JI4" s="120"/>
      <c r="JJ4" s="120"/>
      <c r="JK4" s="120"/>
      <c r="JL4" s="120"/>
      <c r="JM4" s="120"/>
      <c r="JN4" s="205"/>
      <c r="JO4" s="205"/>
      <c r="JP4" s="205">
        <f t="shared" ref="JP4:JP79" si="161">SUM(JI4:JO4)</f>
        <v>0</v>
      </c>
      <c r="JQ4" s="120"/>
      <c r="JR4" s="120"/>
      <c r="JS4" s="120"/>
      <c r="JT4" s="120"/>
      <c r="JU4" s="120"/>
      <c r="JV4" s="205"/>
      <c r="JW4" s="205"/>
      <c r="JX4" s="205">
        <f t="shared" ref="JX4:JX79" si="162">SUM(JQ4:JW4)</f>
        <v>0</v>
      </c>
      <c r="JY4" s="205">
        <f t="shared" ref="JY4:JY67" si="163">SUM(JX4,JP4,JH4,IZ4,IN4:IP4)</f>
        <v>0</v>
      </c>
      <c r="JZ4" s="120"/>
      <c r="KA4" s="120"/>
      <c r="KB4" s="120"/>
      <c r="KC4" s="120"/>
      <c r="KD4" s="120"/>
      <c r="KE4" s="205"/>
      <c r="KF4" s="205"/>
      <c r="KG4" s="205">
        <f t="shared" ref="KG4:KG79" si="164">SUM(JZ4:KF4)</f>
        <v>0</v>
      </c>
      <c r="KH4" s="120"/>
      <c r="KI4" s="120"/>
      <c r="KJ4" s="120"/>
      <c r="KK4" s="206">
        <v>3200</v>
      </c>
      <c r="KL4" s="120"/>
      <c r="KM4" s="205"/>
      <c r="KN4" s="205"/>
      <c r="KO4" s="205">
        <f t="shared" ref="KO4:KO79" si="165">SUM(KH4:KN4)</f>
        <v>3200</v>
      </c>
      <c r="KP4" s="120"/>
      <c r="KQ4" s="120"/>
      <c r="KR4" s="120"/>
      <c r="KS4" s="120"/>
      <c r="KT4" s="120"/>
      <c r="KU4" s="205"/>
      <c r="KV4" s="205"/>
      <c r="KW4" s="205">
        <f t="shared" ref="KW4:KW79" si="166">SUM(KP4:KV4)</f>
        <v>0</v>
      </c>
      <c r="KX4" s="120"/>
      <c r="KY4" s="120"/>
      <c r="KZ4" s="120"/>
      <c r="LA4" s="120"/>
      <c r="LB4" s="120"/>
      <c r="LC4" s="205"/>
      <c r="LD4" s="205"/>
      <c r="LE4" s="205">
        <f t="shared" ref="LE4:LE79" si="167">SUM(KX4:LD4)</f>
        <v>0</v>
      </c>
      <c r="LF4" s="205"/>
      <c r="LG4" s="120"/>
      <c r="LH4" s="120"/>
      <c r="LI4" s="120"/>
      <c r="LJ4" s="120"/>
      <c r="LK4" s="205"/>
      <c r="LL4" s="205"/>
      <c r="LM4" s="205">
        <f t="shared" ref="LM4:LM79" si="168">SUM(LF4:LL4)</f>
        <v>0</v>
      </c>
      <c r="LN4" s="205">
        <f t="shared" ref="LN4:LN79" si="169">SUM(LF4:LG4,LE4,KW4,KO4,KG4)</f>
        <v>3200</v>
      </c>
      <c r="LO4" s="205"/>
      <c r="LP4" s="120"/>
      <c r="LQ4" s="120"/>
      <c r="LR4" s="120"/>
      <c r="LS4" s="205"/>
      <c r="LT4" s="205"/>
      <c r="LU4" s="205"/>
      <c r="LV4" s="205">
        <f t="shared" ref="LV4:LV79" si="170">SUM(LO4:LU4)</f>
        <v>0</v>
      </c>
      <c r="LW4" s="120"/>
      <c r="LX4" s="120"/>
      <c r="LY4" s="120"/>
      <c r="LZ4" s="120"/>
      <c r="MA4" s="120"/>
      <c r="MB4" s="205"/>
      <c r="MC4" s="205"/>
      <c r="MD4" s="205">
        <f t="shared" ref="MD4:MD79" si="171">SUM(LW4:MC4)</f>
        <v>0</v>
      </c>
      <c r="ME4" s="120"/>
      <c r="MF4" s="120"/>
      <c r="MG4" s="120"/>
      <c r="MH4" s="201">
        <v>4200</v>
      </c>
      <c r="MI4" s="205"/>
      <c r="MJ4" s="205"/>
      <c r="MK4" s="205"/>
      <c r="ML4" s="205">
        <f t="shared" ref="ML4:ML79" si="172">SUM(ME4:MK4)</f>
        <v>4200</v>
      </c>
      <c r="MM4" s="120"/>
      <c r="MN4" s="120"/>
      <c r="MO4" s="120"/>
      <c r="MP4" s="120"/>
      <c r="MQ4" s="120"/>
      <c r="MR4" s="205"/>
      <c r="MS4" s="205"/>
      <c r="MT4" s="205">
        <f t="shared" ref="MT4:MT79" si="173">SUM(MM4:MS4)</f>
        <v>0</v>
      </c>
      <c r="MU4" s="205">
        <f t="shared" ref="MU4:MU79" si="174">SUM(LH4:LL4,LV4,MD4,ML4,MM4:MQ4)</f>
        <v>4200</v>
      </c>
      <c r="MV4" s="120"/>
      <c r="MW4" s="120"/>
      <c r="MX4" s="120"/>
      <c r="MY4" s="120"/>
      <c r="MZ4" s="120"/>
      <c r="NA4" s="205"/>
      <c r="NB4" s="205"/>
      <c r="NC4" s="205">
        <f t="shared" ref="NC4:NC79" si="175">SUM(MV4:NB4)</f>
        <v>0</v>
      </c>
      <c r="ND4" s="120"/>
      <c r="NE4" s="120"/>
      <c r="NF4" s="120"/>
      <c r="NG4" s="120"/>
      <c r="NH4" s="120"/>
      <c r="NI4" s="205"/>
      <c r="NJ4" s="205"/>
      <c r="NK4" s="205">
        <f t="shared" ref="NK4:NK79" si="176">SUM(ND4:NJ4)</f>
        <v>0</v>
      </c>
      <c r="NL4" s="120"/>
      <c r="NM4" s="120"/>
      <c r="NN4" s="120"/>
      <c r="NO4" s="120"/>
      <c r="NP4" s="120"/>
      <c r="NQ4" s="205"/>
      <c r="NR4" s="205"/>
      <c r="NS4" s="205">
        <f t="shared" ref="NS4:NS79" si="177">SUM(NL4:NR4)</f>
        <v>0</v>
      </c>
      <c r="NT4" s="120"/>
      <c r="NU4" s="120"/>
      <c r="NV4" s="120"/>
      <c r="NW4" s="120"/>
      <c r="NX4" s="120"/>
      <c r="NY4" s="205"/>
      <c r="NZ4" s="205"/>
      <c r="OA4" s="205">
        <f t="shared" ref="OA4:OA79" si="178">SUM(NT4:NZ4)</f>
        <v>0</v>
      </c>
      <c r="OB4" s="205">
        <f t="shared" ref="OB4:OB79" si="179">SUM(MR4:MS4,NC4,NK4,NS4,OA4)</f>
        <v>0</v>
      </c>
      <c r="OC4" s="120"/>
      <c r="OD4" s="120"/>
      <c r="OE4" s="120"/>
      <c r="OF4" s="120"/>
      <c r="OG4" s="120"/>
      <c r="OH4" s="205"/>
      <c r="OI4" s="205"/>
      <c r="OJ4" s="205">
        <f t="shared" ref="OJ4:OJ79" si="180">SUM(OC4:OI4)</f>
        <v>0</v>
      </c>
      <c r="OK4" s="120"/>
      <c r="OL4" s="120"/>
      <c r="OM4" s="120"/>
      <c r="ON4" s="120"/>
      <c r="OO4" s="120"/>
      <c r="OP4" s="205"/>
      <c r="OQ4" s="205"/>
      <c r="OR4" s="205">
        <f t="shared" ref="OR4:OR79" si="181">SUM(OK4:OQ4)</f>
        <v>0</v>
      </c>
      <c r="OS4" s="120"/>
      <c r="OT4" s="120"/>
      <c r="OU4" s="120"/>
      <c r="OV4" s="120"/>
      <c r="OW4" s="120"/>
      <c r="OX4" s="205"/>
      <c r="OY4" s="205"/>
      <c r="OZ4" s="205">
        <f t="shared" ref="OZ4:OZ79" si="182">SUM(OS4:OY4)</f>
        <v>0</v>
      </c>
      <c r="PA4" s="120"/>
      <c r="PB4" s="120"/>
      <c r="PC4" s="120"/>
      <c r="PD4" s="205"/>
      <c r="PE4" s="217"/>
      <c r="PF4" s="205"/>
      <c r="PG4" s="205"/>
      <c r="PH4" s="205">
        <f t="shared" ref="PH4:PH79" si="183">SUM(PA4:PG4)</f>
        <v>0</v>
      </c>
      <c r="PI4" s="120"/>
      <c r="PJ4" s="120"/>
      <c r="PK4" s="120"/>
      <c r="PL4" s="205"/>
      <c r="PM4" s="217"/>
      <c r="PN4" s="205"/>
      <c r="PO4" s="205"/>
      <c r="PP4" s="205">
        <f t="shared" ref="PP4:PP79" si="184">SUM(PI4:PO4)</f>
        <v>0</v>
      </c>
      <c r="PQ4" s="205">
        <f t="shared" ref="PQ4:PQ79" si="185">SUM(OJ4,OR4,OZ4,PH4,PI4:PK4)</f>
        <v>0</v>
      </c>
      <c r="PR4" s="124">
        <v>4800</v>
      </c>
      <c r="PS4" s="207"/>
      <c r="PT4" s="207"/>
      <c r="PU4" s="207"/>
      <c r="PV4" s="207"/>
      <c r="PW4" s="272"/>
      <c r="PX4" s="272"/>
      <c r="PY4" s="205">
        <f t="shared" ref="PY4:PY67" si="186">SUM(PR4:PX4)</f>
        <v>4800</v>
      </c>
      <c r="PZ4" s="207"/>
      <c r="QA4" s="207"/>
      <c r="QB4" s="207"/>
      <c r="QC4" s="207"/>
      <c r="QD4" s="207"/>
      <c r="QE4" s="272"/>
      <c r="QF4" s="272"/>
      <c r="QG4" s="205">
        <f t="shared" ref="QG4:QG67" si="187">SUM(PZ4:QF4)</f>
        <v>0</v>
      </c>
      <c r="QH4" s="207"/>
      <c r="QI4" s="207"/>
      <c r="QJ4" s="294"/>
      <c r="QK4" s="207"/>
      <c r="QL4" s="207"/>
      <c r="QM4" s="272"/>
      <c r="QN4" s="272"/>
      <c r="QO4" s="205">
        <f t="shared" ref="QO4:QO67" si="188">SUM(QH4:QN4)</f>
        <v>0</v>
      </c>
      <c r="QP4" s="207"/>
      <c r="QQ4" s="207"/>
      <c r="QR4" s="207"/>
      <c r="QS4" s="207"/>
      <c r="QT4" s="207"/>
      <c r="QU4" s="272"/>
      <c r="QV4" s="272"/>
      <c r="QW4" s="205">
        <f t="shared" ref="QW4:QW45" si="189">SUM(QP4:QV4)</f>
        <v>0</v>
      </c>
      <c r="QX4" s="205">
        <f t="shared" ref="QX4:QX67" si="190">SUM(QW4,QO4,QG4,PY4,PL4,PM4,PN4,PO4)</f>
        <v>4800</v>
      </c>
      <c r="QY4" s="207"/>
      <c r="QZ4" s="207"/>
      <c r="RA4" s="207"/>
      <c r="RB4" s="207"/>
      <c r="RC4" s="207"/>
      <c r="RD4" s="272"/>
      <c r="RE4" s="272"/>
      <c r="RF4" s="205">
        <f t="shared" ref="RF4:RF67" si="191">SUM(QY4:RE4)</f>
        <v>0</v>
      </c>
      <c r="RG4" s="207"/>
      <c r="RH4" s="207"/>
      <c r="RI4" s="207"/>
      <c r="RJ4" s="207"/>
      <c r="RK4" s="207"/>
      <c r="RL4" s="272"/>
      <c r="RM4" s="272"/>
      <c r="RN4" s="205">
        <f t="shared" ref="RN4:RN63" si="192">SUM(RG4:RM4)</f>
        <v>0</v>
      </c>
      <c r="RO4" s="272"/>
      <c r="RP4" s="272"/>
      <c r="RQ4" s="272"/>
      <c r="RR4" s="272"/>
      <c r="RS4" s="272"/>
      <c r="RT4" s="272"/>
      <c r="RU4" s="272"/>
      <c r="RV4" s="205">
        <f t="shared" ref="RV4:RV67" si="193">SUM(RO4:RU4)</f>
        <v>0</v>
      </c>
      <c r="RW4" s="207"/>
      <c r="RX4" s="207"/>
      <c r="RY4" s="207"/>
      <c r="RZ4" s="207"/>
      <c r="SA4" s="272"/>
      <c r="SB4" s="272"/>
      <c r="SC4" s="272"/>
      <c r="SD4" s="205">
        <f t="shared" ref="SD4:SD67" si="194">SUM(RW4:SC4)</f>
        <v>0</v>
      </c>
      <c r="SE4" s="205">
        <f t="shared" ref="SE4:SE67" si="195">SUM(SD4,RV4,RN4,RF4,QV4)</f>
        <v>0</v>
      </c>
      <c r="SF4" s="207"/>
      <c r="SG4" s="124">
        <v>8000</v>
      </c>
      <c r="SH4" s="207"/>
      <c r="SI4" s="207"/>
      <c r="SJ4" s="207"/>
      <c r="SK4" s="272"/>
      <c r="SL4" s="272"/>
      <c r="SM4" s="205">
        <f t="shared" ref="SM4:SM67" si="196">SUM(SF4:SL4)</f>
        <v>8000</v>
      </c>
      <c r="SN4" s="207"/>
      <c r="SO4" s="207"/>
      <c r="SP4" s="207"/>
      <c r="SQ4" s="207"/>
      <c r="SR4" s="207"/>
      <c r="SS4" s="272"/>
      <c r="ST4" s="272"/>
      <c r="SU4" s="205">
        <f t="shared" ref="SU4:SU67" si="197">SUM(SN4:ST4)</f>
        <v>0</v>
      </c>
      <c r="SV4" s="207"/>
      <c r="SW4" s="207"/>
      <c r="SX4" s="207"/>
      <c r="SY4" s="207"/>
      <c r="SZ4" s="207"/>
      <c r="TA4" s="272"/>
      <c r="TB4" s="272"/>
      <c r="TC4" s="205">
        <f t="shared" ref="TC4:TC67" si="198">SUM(SV4:TB4)</f>
        <v>0</v>
      </c>
      <c r="TD4" s="207"/>
      <c r="TE4" s="207"/>
      <c r="TF4" s="207"/>
      <c r="TG4" s="207"/>
      <c r="TH4" s="207"/>
      <c r="TI4" s="272"/>
      <c r="TJ4" s="272"/>
      <c r="TK4" s="205">
        <f t="shared" ref="TK4:TK67" si="199">SUM(TD4:TJ4)</f>
        <v>0</v>
      </c>
      <c r="TL4" s="207"/>
      <c r="TM4" s="207"/>
      <c r="TN4" s="207"/>
      <c r="TO4" s="207"/>
      <c r="TP4" s="272"/>
      <c r="TQ4" s="272"/>
      <c r="TR4" s="272"/>
      <c r="TS4" s="205">
        <f t="shared" ref="TS4:TS67" si="200">SUM(TL4:TR4)</f>
        <v>0</v>
      </c>
      <c r="TT4" s="205">
        <f t="shared" ref="TT4:TT67" si="201">SUM(TL4:TM4,TK4,TC4,SU4,SM4,SC4)</f>
        <v>8000</v>
      </c>
      <c r="TU4" s="272"/>
      <c r="TV4" s="207"/>
      <c r="TW4" s="207"/>
      <c r="TX4" s="207"/>
      <c r="TY4" s="207"/>
      <c r="TZ4" s="272"/>
      <c r="UA4" s="272"/>
      <c r="UB4" s="205">
        <f t="shared" ref="UB4:UB67" si="202">SUM(TU4:UA4)</f>
        <v>0</v>
      </c>
      <c r="UC4" s="207"/>
      <c r="UD4" s="207"/>
      <c r="UE4" s="207"/>
      <c r="UF4" s="207"/>
      <c r="UG4" s="207"/>
      <c r="UH4" s="272"/>
      <c r="UI4" s="272"/>
      <c r="UJ4" s="205">
        <f t="shared" ref="UJ4:UJ67" si="203">SUM(UC4:UI4)</f>
        <v>0</v>
      </c>
      <c r="UK4" s="207"/>
      <c r="UL4" s="207"/>
      <c r="UM4" s="201">
        <v>4000</v>
      </c>
      <c r="UN4" s="207"/>
      <c r="UO4" s="207"/>
      <c r="UP4" s="272"/>
      <c r="UQ4" s="272"/>
      <c r="UR4" s="205">
        <f>SUM(UM4:UQ4)</f>
        <v>4000</v>
      </c>
      <c r="US4" s="207"/>
      <c r="UT4" s="207"/>
      <c r="UU4" s="207"/>
      <c r="UV4" s="207"/>
      <c r="UW4" s="272"/>
      <c r="UX4" s="272"/>
      <c r="UY4" s="272"/>
      <c r="UZ4" s="205">
        <f t="shared" ref="UZ4:UZ67" si="204">SUM(US4:UY4)</f>
        <v>0</v>
      </c>
      <c r="VA4" s="205">
        <f t="shared" ref="VA4:VA67" si="205">SUM(TN4:TR4,UB4,UJ4,UR4,US4:UV4)</f>
        <v>4000</v>
      </c>
      <c r="VB4" s="207"/>
      <c r="VC4" s="207"/>
      <c r="VD4" s="207"/>
      <c r="VE4" s="207"/>
      <c r="VF4" s="207"/>
      <c r="VG4" s="272"/>
      <c r="VH4" s="272"/>
      <c r="VI4" s="205">
        <f t="shared" ref="VI4:VI67" si="206">SUM(VB4:VH4)</f>
        <v>0</v>
      </c>
      <c r="VJ4" s="207"/>
      <c r="VK4" s="207"/>
      <c r="VL4" s="207"/>
      <c r="VM4" s="207"/>
      <c r="VN4" s="207"/>
      <c r="VO4" s="272"/>
      <c r="VP4" s="272"/>
      <c r="VQ4" s="205">
        <f t="shared" ref="VQ4:VQ67" si="207">SUM(VJ4:VP4)</f>
        <v>0</v>
      </c>
      <c r="VR4" s="207"/>
      <c r="VS4" s="207"/>
      <c r="VT4" s="207"/>
      <c r="VU4" s="207"/>
      <c r="VV4" s="207"/>
      <c r="VW4" s="272"/>
      <c r="VX4" s="272"/>
      <c r="VY4" s="205">
        <f t="shared" ref="VY4:VY67" si="208">SUM(VR4:VX4)</f>
        <v>0</v>
      </c>
      <c r="VZ4" s="207"/>
      <c r="WA4" s="207"/>
      <c r="WB4" s="207"/>
      <c r="WC4" s="207"/>
      <c r="WD4" s="207"/>
      <c r="WE4" s="272"/>
      <c r="WF4" s="272"/>
      <c r="WG4" s="205">
        <f t="shared" ref="WG4:WG67" si="209">SUM(VZ4:WF4)</f>
        <v>0</v>
      </c>
      <c r="WH4" s="205">
        <f t="shared" ref="WH4:WH67" si="210">SUM(WG4,VY4,VQ4,VI4,UW4:UY4)</f>
        <v>0</v>
      </c>
      <c r="WI4" s="207"/>
      <c r="WJ4" s="207"/>
      <c r="WK4" s="207"/>
      <c r="WL4" s="207"/>
      <c r="WM4" s="207"/>
      <c r="WN4" s="272"/>
      <c r="WO4" s="272"/>
      <c r="WP4" s="205">
        <f t="shared" ref="WP4:WP67" si="211">SUM(WI4:WO4)</f>
        <v>0</v>
      </c>
      <c r="WQ4" s="207"/>
      <c r="WR4" s="207"/>
      <c r="WS4" s="207"/>
      <c r="WT4" s="207"/>
      <c r="WU4" s="207"/>
      <c r="WV4" s="272"/>
      <c r="WW4" s="272"/>
      <c r="WX4" s="205">
        <f t="shared" ref="WX4:WX63" si="212">SUM(WQ4:WW4)</f>
        <v>0</v>
      </c>
      <c r="WY4" s="207"/>
      <c r="WZ4" s="207"/>
      <c r="XA4" s="207"/>
      <c r="XB4" s="207"/>
      <c r="XC4" s="272"/>
      <c r="XD4" s="272"/>
      <c r="XE4" s="272"/>
      <c r="XF4" s="205">
        <f t="shared" ref="XF4:XF67" si="213">SUM(WY4:XE4)</f>
        <v>0</v>
      </c>
      <c r="XG4" s="207"/>
      <c r="XH4" s="207"/>
      <c r="XI4" s="207"/>
      <c r="XJ4" s="207"/>
      <c r="XK4" s="207"/>
      <c r="XL4" s="272"/>
      <c r="XM4" s="272"/>
      <c r="XN4" s="205">
        <f t="shared" ref="XN4:XN67" si="214">SUM(XG4:XM4)</f>
        <v>0</v>
      </c>
      <c r="XO4" s="207"/>
      <c r="XP4" s="207"/>
      <c r="XQ4" s="207"/>
      <c r="XR4" s="207"/>
      <c r="XS4" s="207"/>
      <c r="XT4" s="272"/>
      <c r="XU4" s="272"/>
      <c r="XV4" s="205">
        <f t="shared" ref="XV4:XV67" si="215">SUM(XO4:XU4)</f>
        <v>0</v>
      </c>
      <c r="XW4" s="205">
        <f t="shared" ref="XW4:XW67" si="216">SUM(XO4:XP4,XN4,XF4,WX4,WP4)</f>
        <v>0</v>
      </c>
      <c r="XX4" s="207"/>
      <c r="XY4" s="207"/>
      <c r="XZ4" s="207"/>
      <c r="YA4" s="207"/>
      <c r="YB4" s="207"/>
      <c r="YC4" s="272"/>
      <c r="YD4" s="272"/>
      <c r="YE4" s="205">
        <f t="shared" ref="YE4:YE67" si="217">SUM(XX4:YD4)</f>
        <v>0</v>
      </c>
      <c r="YF4" s="207"/>
      <c r="YG4" s="207"/>
      <c r="YH4" s="207"/>
      <c r="YI4" s="207"/>
      <c r="YJ4" s="207"/>
      <c r="YK4" s="272"/>
      <c r="YL4" s="272"/>
      <c r="YM4" s="205">
        <f t="shared" ref="YM4:YM67" si="218">SUM(YF4:YL4)</f>
        <v>0</v>
      </c>
      <c r="YN4" s="207"/>
      <c r="YO4" s="207"/>
      <c r="YP4" s="207"/>
      <c r="YQ4" s="207"/>
      <c r="YR4" s="207"/>
      <c r="YS4" s="272"/>
      <c r="YT4" s="272"/>
      <c r="YU4" s="205">
        <f t="shared" si="148"/>
        <v>0</v>
      </c>
      <c r="YV4" s="207"/>
      <c r="YW4" s="207"/>
      <c r="YX4" s="207"/>
      <c r="YY4" s="207"/>
      <c r="YZ4" s="207"/>
      <c r="ZA4" s="272"/>
      <c r="ZB4" s="272"/>
      <c r="ZC4" s="205">
        <f t="shared" ref="ZC4:ZC67" si="219">SUM(YV4:ZB4)</f>
        <v>0</v>
      </c>
      <c r="ZD4" s="205">
        <f t="shared" si="149"/>
        <v>0</v>
      </c>
      <c r="ZE4" s="207"/>
      <c r="ZF4" s="207"/>
      <c r="ZG4" s="207"/>
      <c r="ZH4" s="207"/>
      <c r="ZI4" s="207"/>
      <c r="ZJ4" s="272"/>
      <c r="ZK4" s="272"/>
      <c r="ZL4" s="205">
        <f t="shared" ref="ZL4:ZL67" si="220">SUM(ZE4:ZK4)</f>
        <v>0</v>
      </c>
      <c r="ZM4" s="207"/>
      <c r="ZN4" s="207"/>
      <c r="ZO4" s="207"/>
      <c r="ZP4" s="207"/>
      <c r="ZQ4" s="207"/>
      <c r="ZR4" s="272"/>
      <c r="ZS4" s="272"/>
      <c r="ZT4" s="205">
        <f t="shared" ref="ZT4:ZT67" si="221">SUM(ZM4:ZS4)</f>
        <v>0</v>
      </c>
      <c r="ZU4" s="207"/>
      <c r="ZV4" s="207"/>
      <c r="ZW4" s="207"/>
      <c r="ZX4" s="207"/>
      <c r="ZY4" s="207"/>
      <c r="ZZ4" s="272"/>
      <c r="AAA4" s="272"/>
      <c r="AAB4" s="205">
        <f t="shared" ref="AAB4:AAB67" si="222">SUM(ZU4:AAA4)</f>
        <v>0</v>
      </c>
      <c r="AAC4" s="207"/>
      <c r="AAD4" s="207"/>
      <c r="AAE4" s="207"/>
      <c r="AAF4" s="207"/>
      <c r="AAG4" s="207"/>
      <c r="AAH4" s="272"/>
      <c r="AAI4" s="272"/>
      <c r="AAJ4" s="205">
        <f t="shared" ref="AAJ4:AAJ67" si="223">SUM(AAC4:AAI4)</f>
        <v>0</v>
      </c>
      <c r="AAK4" s="207"/>
      <c r="AAL4" s="207"/>
      <c r="AAM4" s="207"/>
      <c r="AAN4" s="207"/>
      <c r="AAO4" s="207"/>
      <c r="AAP4" s="272"/>
      <c r="AAQ4" s="272"/>
      <c r="AAR4" s="205">
        <f t="shared" ref="AAR4:AAR67" si="224">SUM(AAK4:AAQ4)</f>
        <v>0</v>
      </c>
      <c r="AAS4" s="205">
        <f t="shared" ref="AAS4:AAS67" si="225">SUM(AAK4:AAL4,AAJ4,AAB4,ZT4,ZL4)</f>
        <v>0</v>
      </c>
    </row>
    <row r="5" spans="1:721" ht="69.95" customHeight="1">
      <c r="B5" s="155">
        <v>3620101102</v>
      </c>
      <c r="C5" s="323"/>
      <c r="D5" s="203" t="s">
        <v>7</v>
      </c>
      <c r="E5" s="130" t="s">
        <v>4</v>
      </c>
      <c r="F5" s="120"/>
      <c r="G5" s="120"/>
      <c r="H5" s="120"/>
      <c r="I5" s="123">
        <v>450</v>
      </c>
      <c r="J5" s="120"/>
      <c r="K5" s="209"/>
      <c r="L5" s="205"/>
      <c r="M5" s="205">
        <f t="shared" si="121"/>
        <v>450</v>
      </c>
      <c r="N5" s="120"/>
      <c r="O5" s="120"/>
      <c r="P5" s="120"/>
      <c r="Q5" s="120"/>
      <c r="R5" s="120"/>
      <c r="S5" s="209"/>
      <c r="T5" s="205"/>
      <c r="U5" s="205">
        <f t="shared" si="122"/>
        <v>0</v>
      </c>
      <c r="V5" s="120"/>
      <c r="W5" s="120"/>
      <c r="X5" s="120"/>
      <c r="Y5" s="120"/>
      <c r="Z5" s="120"/>
      <c r="AA5" s="209"/>
      <c r="AB5" s="205"/>
      <c r="AC5" s="205">
        <f t="shared" si="123"/>
        <v>0</v>
      </c>
      <c r="AD5" s="205"/>
      <c r="AE5" s="205"/>
      <c r="AF5" s="205"/>
      <c r="AG5" s="205"/>
      <c r="AH5" s="205"/>
      <c r="AI5" s="209"/>
      <c r="AJ5" s="205"/>
      <c r="AK5" s="205">
        <f t="shared" si="124"/>
        <v>0</v>
      </c>
      <c r="AL5" s="205" t="e">
        <f>SUM(#REF!,M5,U5,AC5,AD5:AH5)</f>
        <v>#REF!</v>
      </c>
      <c r="AM5" s="120"/>
      <c r="AN5" s="120"/>
      <c r="AO5" s="120"/>
      <c r="AP5" s="120"/>
      <c r="AQ5" s="120"/>
      <c r="AR5" s="209"/>
      <c r="AS5" s="205"/>
      <c r="AT5" s="205">
        <f t="shared" si="125"/>
        <v>0</v>
      </c>
      <c r="AU5" s="120"/>
      <c r="AV5" s="120"/>
      <c r="AW5" s="120"/>
      <c r="AX5" s="120"/>
      <c r="AY5" s="120"/>
      <c r="AZ5" s="209"/>
      <c r="BA5" s="205"/>
      <c r="BB5" s="205">
        <f t="shared" si="126"/>
        <v>0</v>
      </c>
      <c r="BC5" s="120"/>
      <c r="BD5" s="120"/>
      <c r="BE5" s="217">
        <v>650</v>
      </c>
      <c r="BF5" s="120"/>
      <c r="BG5" s="120"/>
      <c r="BH5" s="209"/>
      <c r="BI5" s="205"/>
      <c r="BJ5" s="205">
        <f t="shared" si="127"/>
        <v>650</v>
      </c>
      <c r="BK5" s="120"/>
      <c r="BL5" s="120"/>
      <c r="BM5" s="120"/>
      <c r="BN5" s="120"/>
      <c r="BO5" s="205"/>
      <c r="BP5" s="209"/>
      <c r="BQ5" s="205"/>
      <c r="BR5" s="205">
        <f t="shared" si="128"/>
        <v>0</v>
      </c>
      <c r="BS5" s="205">
        <f t="shared" si="129"/>
        <v>650</v>
      </c>
      <c r="BT5" s="250">
        <v>800</v>
      </c>
      <c r="BU5" s="120"/>
      <c r="BV5" s="120"/>
      <c r="BW5" s="120"/>
      <c r="BX5" s="120"/>
      <c r="BY5" s="209"/>
      <c r="BZ5" s="205"/>
      <c r="CA5" s="205">
        <f t="shared" si="130"/>
        <v>800</v>
      </c>
      <c r="CB5" s="120"/>
      <c r="CC5" s="120"/>
      <c r="CD5" s="120"/>
      <c r="CE5" s="120"/>
      <c r="CF5" s="120"/>
      <c r="CG5" s="209"/>
      <c r="CH5" s="205"/>
      <c r="CI5" s="205">
        <f t="shared" si="131"/>
        <v>0</v>
      </c>
      <c r="CJ5" s="120"/>
      <c r="CK5" s="120"/>
      <c r="CL5" s="120"/>
      <c r="CM5" s="120"/>
      <c r="CN5" s="120"/>
      <c r="CO5" s="209"/>
      <c r="CP5" s="205"/>
      <c r="CQ5" s="205">
        <f t="shared" si="132"/>
        <v>0</v>
      </c>
      <c r="CR5" s="120"/>
      <c r="CS5" s="120"/>
      <c r="CT5" s="120"/>
      <c r="CU5" s="120"/>
      <c r="CV5" s="120"/>
      <c r="CW5" s="209"/>
      <c r="CX5" s="205"/>
      <c r="CY5" s="205">
        <f t="shared" si="133"/>
        <v>0</v>
      </c>
      <c r="CZ5" s="120"/>
      <c r="DA5" s="120"/>
      <c r="DB5" s="120"/>
      <c r="DC5" s="205"/>
      <c r="DD5" s="205"/>
      <c r="DE5" s="209"/>
      <c r="DF5" s="205"/>
      <c r="DG5" s="205">
        <f t="shared" si="134"/>
        <v>0</v>
      </c>
      <c r="DH5" s="205">
        <f t="shared" si="150"/>
        <v>800</v>
      </c>
      <c r="DI5" s="120"/>
      <c r="DJ5" s="120"/>
      <c r="DK5" s="120"/>
      <c r="DL5" s="120"/>
      <c r="DM5" s="120"/>
      <c r="DN5" s="209"/>
      <c r="DO5" s="205"/>
      <c r="DP5" s="205">
        <f t="shared" si="135"/>
        <v>0</v>
      </c>
      <c r="DQ5" s="217">
        <v>450</v>
      </c>
      <c r="DR5" s="120"/>
      <c r="DS5" s="120"/>
      <c r="DT5" s="120"/>
      <c r="DU5" s="120"/>
      <c r="DV5" s="209"/>
      <c r="DW5" s="205"/>
      <c r="DX5" s="205">
        <f t="shared" si="136"/>
        <v>450</v>
      </c>
      <c r="DY5" s="120"/>
      <c r="DZ5" s="120"/>
      <c r="EA5" s="120"/>
      <c r="EB5" s="120"/>
      <c r="EC5" s="120"/>
      <c r="ED5" s="209"/>
      <c r="EE5" s="205"/>
      <c r="EF5" s="205">
        <f t="shared" si="137"/>
        <v>0</v>
      </c>
      <c r="EG5" s="120"/>
      <c r="EH5" s="120"/>
      <c r="EI5" s="120"/>
      <c r="EJ5" s="205"/>
      <c r="EK5" s="205"/>
      <c r="EL5" s="209"/>
      <c r="EM5" s="205"/>
      <c r="EN5" s="205">
        <f t="shared" si="138"/>
        <v>0</v>
      </c>
      <c r="EO5" s="205">
        <f t="shared" si="151"/>
        <v>450</v>
      </c>
      <c r="EP5" s="120"/>
      <c r="EQ5" s="250">
        <v>3300</v>
      </c>
      <c r="ER5" s="120"/>
      <c r="ES5" s="120"/>
      <c r="ET5" s="120"/>
      <c r="EU5" s="209"/>
      <c r="EV5" s="205"/>
      <c r="EW5" s="205">
        <f t="shared" si="139"/>
        <v>3300</v>
      </c>
      <c r="EX5" s="120"/>
      <c r="EY5" s="120"/>
      <c r="EZ5" s="120"/>
      <c r="FA5" s="120"/>
      <c r="FB5" s="120"/>
      <c r="FC5" s="209"/>
      <c r="FD5" s="205"/>
      <c r="FE5" s="205">
        <f t="shared" si="140"/>
        <v>0</v>
      </c>
      <c r="FF5" s="120"/>
      <c r="FG5" s="120"/>
      <c r="FH5" s="195">
        <v>500</v>
      </c>
      <c r="FI5" s="120"/>
      <c r="FJ5" s="120"/>
      <c r="FK5" s="209"/>
      <c r="FL5" s="205"/>
      <c r="FM5" s="205">
        <f t="shared" si="141"/>
        <v>500</v>
      </c>
      <c r="FN5" s="120"/>
      <c r="FO5" s="120"/>
      <c r="FP5" s="120"/>
      <c r="FQ5" s="120"/>
      <c r="FR5" s="205"/>
      <c r="FS5" s="209"/>
      <c r="FT5" s="205"/>
      <c r="FU5" s="205">
        <f t="shared" si="142"/>
        <v>0</v>
      </c>
      <c r="FV5" s="205">
        <f t="shared" si="152"/>
        <v>3800</v>
      </c>
      <c r="FW5" s="120"/>
      <c r="FX5" s="120"/>
      <c r="FY5" s="120"/>
      <c r="FZ5" s="120"/>
      <c r="GA5" s="120"/>
      <c r="GB5" s="209"/>
      <c r="GC5" s="205"/>
      <c r="GD5" s="205">
        <f t="shared" si="143"/>
        <v>0</v>
      </c>
      <c r="GE5" s="120"/>
      <c r="GF5" s="120"/>
      <c r="GG5" s="120"/>
      <c r="GH5" s="120"/>
      <c r="GI5" s="120"/>
      <c r="GJ5" s="209"/>
      <c r="GK5" s="205"/>
      <c r="GL5" s="205">
        <f t="shared" si="144"/>
        <v>0</v>
      </c>
      <c r="GM5" s="120"/>
      <c r="GN5" s="120"/>
      <c r="GO5" s="120"/>
      <c r="GP5" s="120"/>
      <c r="GQ5" s="120"/>
      <c r="GR5" s="209"/>
      <c r="GS5" s="205"/>
      <c r="GT5" s="205">
        <f t="shared" si="145"/>
        <v>0</v>
      </c>
      <c r="GU5" s="120"/>
      <c r="GV5" s="120"/>
      <c r="GW5" s="120"/>
      <c r="GX5" s="120"/>
      <c r="GY5" s="120"/>
      <c r="GZ5" s="209"/>
      <c r="HA5" s="205"/>
      <c r="HB5" s="205">
        <f t="shared" si="146"/>
        <v>0</v>
      </c>
      <c r="HC5" s="250">
        <v>400</v>
      </c>
      <c r="HD5" s="120"/>
      <c r="HE5" s="120"/>
      <c r="HF5" s="120"/>
      <c r="HG5" s="120"/>
      <c r="HH5" s="209"/>
      <c r="HI5" s="205"/>
      <c r="HJ5" s="205">
        <f t="shared" si="147"/>
        <v>400</v>
      </c>
      <c r="HK5" s="205">
        <f t="shared" si="153"/>
        <v>400</v>
      </c>
      <c r="HL5" s="124"/>
      <c r="HM5" s="120"/>
      <c r="HN5" s="120"/>
      <c r="HO5" s="120"/>
      <c r="HP5" s="120"/>
      <c r="HQ5" s="205"/>
      <c r="HR5" s="205"/>
      <c r="HS5" s="205">
        <f t="shared" si="154"/>
        <v>0</v>
      </c>
      <c r="HT5" s="120"/>
      <c r="HU5" s="120"/>
      <c r="HV5" s="120"/>
      <c r="HW5" s="120"/>
      <c r="HX5" s="120"/>
      <c r="HY5" s="205"/>
      <c r="HZ5" s="205"/>
      <c r="IA5" s="205">
        <f t="shared" si="155"/>
        <v>0</v>
      </c>
      <c r="IB5" s="120"/>
      <c r="IC5" s="120"/>
      <c r="ID5" s="120"/>
      <c r="IE5" s="120"/>
      <c r="IF5" s="120"/>
      <c r="IG5" s="205"/>
      <c r="IH5" s="205"/>
      <c r="II5" s="205">
        <f t="shared" si="156"/>
        <v>0</v>
      </c>
      <c r="IJ5" s="120"/>
      <c r="IK5" s="120"/>
      <c r="IL5" s="120"/>
      <c r="IM5" s="120"/>
      <c r="IN5" s="120"/>
      <c r="IO5" s="205"/>
      <c r="IP5" s="205"/>
      <c r="IQ5" s="205">
        <f t="shared" si="157"/>
        <v>0</v>
      </c>
      <c r="IR5" s="205">
        <f t="shared" si="158"/>
        <v>0</v>
      </c>
      <c r="IS5" s="120"/>
      <c r="IT5" s="120"/>
      <c r="IU5" s="120"/>
      <c r="IV5" s="120"/>
      <c r="IW5" s="120"/>
      <c r="IX5" s="205"/>
      <c r="IY5" s="205"/>
      <c r="IZ5" s="205">
        <f t="shared" si="159"/>
        <v>0</v>
      </c>
      <c r="JA5" s="120"/>
      <c r="JB5" s="120"/>
      <c r="JC5" s="120"/>
      <c r="JD5" s="120"/>
      <c r="JE5" s="120"/>
      <c r="JF5" s="205"/>
      <c r="JG5" s="205"/>
      <c r="JH5" s="205">
        <f t="shared" si="160"/>
        <v>0</v>
      </c>
      <c r="JI5" s="120"/>
      <c r="JJ5" s="120"/>
      <c r="JK5" s="120"/>
      <c r="JL5" s="120"/>
      <c r="JM5" s="120"/>
      <c r="JN5" s="205"/>
      <c r="JO5" s="205"/>
      <c r="JP5" s="205">
        <f t="shared" si="161"/>
        <v>0</v>
      </c>
      <c r="JQ5" s="120"/>
      <c r="JR5" s="120"/>
      <c r="JS5" s="120"/>
      <c r="JT5" s="120"/>
      <c r="JU5" s="120"/>
      <c r="JV5" s="205"/>
      <c r="JW5" s="205"/>
      <c r="JX5" s="205">
        <f t="shared" si="162"/>
        <v>0</v>
      </c>
      <c r="JY5" s="205">
        <f t="shared" si="163"/>
        <v>0</v>
      </c>
      <c r="JZ5" s="120"/>
      <c r="KA5" s="120"/>
      <c r="KB5" s="120"/>
      <c r="KC5" s="120"/>
      <c r="KD5" s="120"/>
      <c r="KE5" s="205"/>
      <c r="KF5" s="205"/>
      <c r="KG5" s="205">
        <f t="shared" si="164"/>
        <v>0</v>
      </c>
      <c r="KH5" s="120"/>
      <c r="KI5" s="120"/>
      <c r="KJ5" s="120"/>
      <c r="KK5" s="120"/>
      <c r="KL5" s="120"/>
      <c r="KM5" s="206">
        <v>5800</v>
      </c>
      <c r="KN5" s="205"/>
      <c r="KO5" s="205">
        <f t="shared" si="165"/>
        <v>5800</v>
      </c>
      <c r="KP5" s="120"/>
      <c r="KQ5" s="120"/>
      <c r="KR5" s="120"/>
      <c r="KS5" s="120"/>
      <c r="KT5" s="120"/>
      <c r="KU5" s="205"/>
      <c r="KV5" s="205"/>
      <c r="KW5" s="205">
        <f t="shared" si="166"/>
        <v>0</v>
      </c>
      <c r="KX5" s="120"/>
      <c r="KY5" s="120"/>
      <c r="KZ5" s="120"/>
      <c r="LA5" s="120"/>
      <c r="LB5" s="120"/>
      <c r="LC5" s="205"/>
      <c r="LD5" s="205"/>
      <c r="LE5" s="205">
        <f t="shared" si="167"/>
        <v>0</v>
      </c>
      <c r="LF5" s="205"/>
      <c r="LG5" s="120"/>
      <c r="LH5" s="120"/>
      <c r="LI5" s="120"/>
      <c r="LJ5" s="120"/>
      <c r="LK5" s="205"/>
      <c r="LL5" s="205"/>
      <c r="LM5" s="205">
        <f t="shared" si="168"/>
        <v>0</v>
      </c>
      <c r="LN5" s="205">
        <f t="shared" si="169"/>
        <v>5800</v>
      </c>
      <c r="LO5" s="205"/>
      <c r="LP5" s="120"/>
      <c r="LQ5" s="120"/>
      <c r="LR5" s="120"/>
      <c r="LS5" s="205"/>
      <c r="LT5" s="205"/>
      <c r="LU5" s="205"/>
      <c r="LV5" s="205">
        <f t="shared" si="170"/>
        <v>0</v>
      </c>
      <c r="LW5" s="120"/>
      <c r="LX5" s="120"/>
      <c r="LY5" s="120"/>
      <c r="LZ5" s="120"/>
      <c r="MA5" s="120"/>
      <c r="MB5" s="205"/>
      <c r="MC5" s="205"/>
      <c r="MD5" s="205">
        <f t="shared" si="171"/>
        <v>0</v>
      </c>
      <c r="ME5" s="120"/>
      <c r="MF5" s="120"/>
      <c r="MG5" s="120"/>
      <c r="MH5" s="120"/>
      <c r="MI5" s="205"/>
      <c r="MJ5" s="205"/>
      <c r="MK5" s="205"/>
      <c r="ML5" s="205">
        <f t="shared" si="172"/>
        <v>0</v>
      </c>
      <c r="MM5" s="120"/>
      <c r="MN5" s="120"/>
      <c r="MO5" s="120"/>
      <c r="MP5" s="120"/>
      <c r="MQ5" s="120"/>
      <c r="MR5" s="205"/>
      <c r="MS5" s="205"/>
      <c r="MT5" s="205">
        <f t="shared" si="173"/>
        <v>0</v>
      </c>
      <c r="MU5" s="205">
        <f t="shared" si="174"/>
        <v>0</v>
      </c>
      <c r="MV5" s="120"/>
      <c r="MW5" s="120"/>
      <c r="MX5" s="120"/>
      <c r="MY5" s="120"/>
      <c r="MZ5" s="120"/>
      <c r="NA5" s="205"/>
      <c r="NB5" s="205"/>
      <c r="NC5" s="205">
        <f t="shared" si="175"/>
        <v>0</v>
      </c>
      <c r="ND5" s="120"/>
      <c r="NE5" s="120"/>
      <c r="NF5" s="120"/>
      <c r="NG5" s="120"/>
      <c r="NH5" s="120"/>
      <c r="NI5" s="205"/>
      <c r="NJ5" s="205"/>
      <c r="NK5" s="205">
        <f t="shared" si="176"/>
        <v>0</v>
      </c>
      <c r="NL5" s="120"/>
      <c r="NM5" s="120"/>
      <c r="NN5" s="120"/>
      <c r="NO5" s="120"/>
      <c r="NP5" s="120"/>
      <c r="NQ5" s="205"/>
      <c r="NR5" s="205"/>
      <c r="NS5" s="205">
        <f t="shared" si="177"/>
        <v>0</v>
      </c>
      <c r="NT5" s="120"/>
      <c r="NU5" s="120"/>
      <c r="NV5" s="120"/>
      <c r="NW5" s="120"/>
      <c r="NX5" s="120"/>
      <c r="NY5" s="205"/>
      <c r="NZ5" s="205"/>
      <c r="OA5" s="205">
        <f t="shared" si="178"/>
        <v>0</v>
      </c>
      <c r="OB5" s="205">
        <f t="shared" si="179"/>
        <v>0</v>
      </c>
      <c r="OC5" s="120"/>
      <c r="OD5" s="120"/>
      <c r="OE5" s="120"/>
      <c r="OF5" s="120"/>
      <c r="OG5" s="120"/>
      <c r="OH5" s="205"/>
      <c r="OI5" s="205"/>
      <c r="OJ5" s="205">
        <f t="shared" si="180"/>
        <v>0</v>
      </c>
      <c r="OK5" s="120"/>
      <c r="OL5" s="120"/>
      <c r="OM5" s="120"/>
      <c r="ON5" s="120"/>
      <c r="OO5" s="120"/>
      <c r="OP5" s="205"/>
      <c r="OQ5" s="205"/>
      <c r="OR5" s="205">
        <f t="shared" si="181"/>
        <v>0</v>
      </c>
      <c r="OS5" s="120"/>
      <c r="OT5" s="120"/>
      <c r="OU5" s="120"/>
      <c r="OV5" s="120"/>
      <c r="OW5" s="120"/>
      <c r="OX5" s="205"/>
      <c r="OY5" s="205"/>
      <c r="OZ5" s="205">
        <f t="shared" si="182"/>
        <v>0</v>
      </c>
      <c r="PA5" s="120"/>
      <c r="PB5" s="120"/>
      <c r="PC5" s="120"/>
      <c r="PD5" s="205"/>
      <c r="PE5" s="217"/>
      <c r="PF5" s="205"/>
      <c r="PG5" s="205"/>
      <c r="PH5" s="205">
        <f t="shared" si="183"/>
        <v>0</v>
      </c>
      <c r="PI5" s="120"/>
      <c r="PJ5" s="120"/>
      <c r="PK5" s="120"/>
      <c r="PL5" s="205"/>
      <c r="PM5" s="217"/>
      <c r="PN5" s="205"/>
      <c r="PO5" s="205"/>
      <c r="PP5" s="205">
        <f t="shared" si="184"/>
        <v>0</v>
      </c>
      <c r="PQ5" s="205">
        <f t="shared" si="185"/>
        <v>0</v>
      </c>
      <c r="PR5" s="207"/>
      <c r="PS5" s="207"/>
      <c r="PT5" s="207"/>
      <c r="PU5" s="207"/>
      <c r="PV5" s="207"/>
      <c r="PW5" s="272"/>
      <c r="PX5" s="272"/>
      <c r="PY5" s="205">
        <f t="shared" si="186"/>
        <v>0</v>
      </c>
      <c r="PZ5" s="207"/>
      <c r="QA5" s="207"/>
      <c r="QB5" s="207"/>
      <c r="QC5" s="207"/>
      <c r="QD5" s="207"/>
      <c r="QE5" s="272"/>
      <c r="QF5" s="272"/>
      <c r="QG5" s="205">
        <f t="shared" si="187"/>
        <v>0</v>
      </c>
      <c r="QH5" s="207"/>
      <c r="QI5" s="207"/>
      <c r="QJ5" s="294"/>
      <c r="QK5" s="207"/>
      <c r="QL5" s="207"/>
      <c r="QM5" s="272"/>
      <c r="QN5" s="272"/>
      <c r="QO5" s="205">
        <f t="shared" si="188"/>
        <v>0</v>
      </c>
      <c r="QP5" s="207"/>
      <c r="QQ5" s="207"/>
      <c r="QR5" s="207"/>
      <c r="QS5" s="207"/>
      <c r="QT5" s="207"/>
      <c r="QU5" s="272"/>
      <c r="QV5" s="272"/>
      <c r="QW5" s="205">
        <f t="shared" si="189"/>
        <v>0</v>
      </c>
      <c r="QX5" s="205">
        <f t="shared" si="190"/>
        <v>0</v>
      </c>
      <c r="QY5" s="207"/>
      <c r="QZ5" s="207"/>
      <c r="RA5" s="207"/>
      <c r="RB5" s="207"/>
      <c r="RC5" s="207"/>
      <c r="RD5" s="272"/>
      <c r="RE5" s="272"/>
      <c r="RF5" s="205">
        <f t="shared" si="191"/>
        <v>0</v>
      </c>
      <c r="RG5" s="207"/>
      <c r="RH5" s="207"/>
      <c r="RI5" s="207"/>
      <c r="RJ5" s="207"/>
      <c r="RK5" s="207"/>
      <c r="RL5" s="272"/>
      <c r="RM5" s="272"/>
      <c r="RN5" s="205">
        <f t="shared" si="192"/>
        <v>0</v>
      </c>
      <c r="RO5" s="272"/>
      <c r="RP5" s="272"/>
      <c r="RQ5" s="272"/>
      <c r="RR5" s="272"/>
      <c r="RS5" s="272"/>
      <c r="RT5" s="272"/>
      <c r="RU5" s="272"/>
      <c r="RV5" s="205">
        <f t="shared" si="193"/>
        <v>0</v>
      </c>
      <c r="RW5" s="207"/>
      <c r="RX5" s="207"/>
      <c r="RY5" s="207"/>
      <c r="RZ5" s="207"/>
      <c r="SA5" s="272"/>
      <c r="SB5" s="272"/>
      <c r="SC5" s="272"/>
      <c r="SD5" s="205">
        <f t="shared" si="194"/>
        <v>0</v>
      </c>
      <c r="SE5" s="205">
        <f t="shared" si="195"/>
        <v>0</v>
      </c>
      <c r="SF5" s="120"/>
      <c r="SG5" s="124">
        <v>650</v>
      </c>
      <c r="SH5" s="207"/>
      <c r="SI5" s="207"/>
      <c r="SJ5" s="207"/>
      <c r="SK5" s="272"/>
      <c r="SL5" s="272"/>
      <c r="SM5" s="205">
        <f t="shared" si="196"/>
        <v>650</v>
      </c>
      <c r="SN5" s="207"/>
      <c r="SO5" s="207"/>
      <c r="SP5" s="207"/>
      <c r="SQ5" s="207"/>
      <c r="SR5" s="207"/>
      <c r="SS5" s="272"/>
      <c r="ST5" s="272"/>
      <c r="SU5" s="205">
        <f t="shared" si="197"/>
        <v>0</v>
      </c>
      <c r="SV5" s="207"/>
      <c r="SW5" s="207"/>
      <c r="SX5" s="207"/>
      <c r="SY5" s="207"/>
      <c r="SZ5" s="207"/>
      <c r="TA5" s="272"/>
      <c r="TB5" s="272"/>
      <c r="TC5" s="205">
        <f t="shared" si="198"/>
        <v>0</v>
      </c>
      <c r="TD5" s="207"/>
      <c r="TE5" s="207"/>
      <c r="TF5" s="207"/>
      <c r="TG5" s="207"/>
      <c r="TH5" s="207"/>
      <c r="TI5" s="272"/>
      <c r="TJ5" s="272"/>
      <c r="TK5" s="205">
        <f t="shared" si="199"/>
        <v>0</v>
      </c>
      <c r="TL5" s="207"/>
      <c r="TM5" s="207"/>
      <c r="TN5" s="207"/>
      <c r="TO5" s="207"/>
      <c r="TP5" s="272"/>
      <c r="TQ5" s="272"/>
      <c r="TR5" s="272"/>
      <c r="TS5" s="205">
        <f t="shared" si="200"/>
        <v>0</v>
      </c>
      <c r="TT5" s="205">
        <f t="shared" si="201"/>
        <v>650</v>
      </c>
      <c r="TU5" s="272"/>
      <c r="TV5" s="207"/>
      <c r="TW5" s="207"/>
      <c r="TX5" s="207"/>
      <c r="TY5" s="207"/>
      <c r="TZ5" s="272"/>
      <c r="UA5" s="272"/>
      <c r="UB5" s="205">
        <f t="shared" si="202"/>
        <v>0</v>
      </c>
      <c r="UC5" s="207"/>
      <c r="UD5" s="207"/>
      <c r="UE5" s="207"/>
      <c r="UF5" s="207"/>
      <c r="UG5" s="207"/>
      <c r="UH5" s="272"/>
      <c r="UI5" s="272"/>
      <c r="UJ5" s="205">
        <f t="shared" si="203"/>
        <v>0</v>
      </c>
      <c r="UK5" s="207"/>
      <c r="UL5" s="201">
        <v>2900</v>
      </c>
      <c r="UM5" s="207"/>
      <c r="UN5" s="207"/>
      <c r="UO5" s="207"/>
      <c r="UP5" s="272"/>
      <c r="UQ5" s="272"/>
      <c r="UR5" s="205">
        <f t="shared" ref="UR5:UR26" si="226">SUM(UL5:UQ5)</f>
        <v>2900</v>
      </c>
      <c r="US5" s="207"/>
      <c r="UT5" s="207"/>
      <c r="UU5" s="207"/>
      <c r="UV5" s="207"/>
      <c r="UW5" s="272"/>
      <c r="UX5" s="272"/>
      <c r="UY5" s="272"/>
      <c r="UZ5" s="205">
        <f t="shared" si="204"/>
        <v>0</v>
      </c>
      <c r="VA5" s="205">
        <f t="shared" si="205"/>
        <v>2900</v>
      </c>
      <c r="VB5" s="207"/>
      <c r="VC5" s="207"/>
      <c r="VD5" s="207"/>
      <c r="VE5" s="207"/>
      <c r="VF5" s="207"/>
      <c r="VG5" s="272"/>
      <c r="VH5" s="272"/>
      <c r="VI5" s="205">
        <f t="shared" si="206"/>
        <v>0</v>
      </c>
      <c r="VJ5" s="207"/>
      <c r="VK5" s="207"/>
      <c r="VL5" s="207"/>
      <c r="VM5" s="207"/>
      <c r="VN5" s="207"/>
      <c r="VO5" s="272"/>
      <c r="VP5" s="272"/>
      <c r="VQ5" s="205">
        <f t="shared" si="207"/>
        <v>0</v>
      </c>
      <c r="VR5" s="207"/>
      <c r="VS5" s="207"/>
      <c r="VT5" s="207"/>
      <c r="VU5" s="207"/>
      <c r="VV5" s="207"/>
      <c r="VW5" s="272"/>
      <c r="VX5" s="272"/>
      <c r="VY5" s="205">
        <f t="shared" si="208"/>
        <v>0</v>
      </c>
      <c r="VZ5" s="207"/>
      <c r="WA5" s="195">
        <v>550</v>
      </c>
      <c r="WB5" s="207"/>
      <c r="WC5" s="207"/>
      <c r="WD5" s="207"/>
      <c r="WE5" s="272"/>
      <c r="WF5" s="272"/>
      <c r="WG5" s="205">
        <f t="shared" si="209"/>
        <v>550</v>
      </c>
      <c r="WH5" s="205">
        <f t="shared" si="210"/>
        <v>550</v>
      </c>
      <c r="WI5" s="207"/>
      <c r="WJ5" s="207"/>
      <c r="WK5" s="207"/>
      <c r="WL5" s="207"/>
      <c r="WM5" s="207"/>
      <c r="WN5" s="272"/>
      <c r="WO5" s="272"/>
      <c r="WP5" s="205">
        <f t="shared" si="211"/>
        <v>0</v>
      </c>
      <c r="WQ5" s="207"/>
      <c r="WR5" s="207"/>
      <c r="WS5" s="207"/>
      <c r="WT5" s="207"/>
      <c r="WU5" s="207"/>
      <c r="WV5" s="272"/>
      <c r="WW5" s="272"/>
      <c r="WX5" s="205">
        <f t="shared" si="212"/>
        <v>0</v>
      </c>
      <c r="WY5" s="207"/>
      <c r="WZ5" s="207"/>
      <c r="XA5" s="207"/>
      <c r="XB5" s="207"/>
      <c r="XC5" s="272"/>
      <c r="XD5" s="272"/>
      <c r="XE5" s="272"/>
      <c r="XF5" s="205">
        <f t="shared" si="213"/>
        <v>0</v>
      </c>
      <c r="XG5" s="207"/>
      <c r="XH5" s="207"/>
      <c r="XI5" s="207"/>
      <c r="XJ5" s="207"/>
      <c r="XK5" s="207"/>
      <c r="XL5" s="272"/>
      <c r="XM5" s="272"/>
      <c r="XN5" s="205">
        <f t="shared" si="214"/>
        <v>0</v>
      </c>
      <c r="XO5" s="207"/>
      <c r="XP5" s="207"/>
      <c r="XQ5" s="207"/>
      <c r="XR5" s="207"/>
      <c r="XS5" s="207"/>
      <c r="XT5" s="272"/>
      <c r="XU5" s="272"/>
      <c r="XV5" s="205">
        <f t="shared" si="215"/>
        <v>0</v>
      </c>
      <c r="XW5" s="205">
        <f t="shared" si="216"/>
        <v>0</v>
      </c>
      <c r="XX5" s="207"/>
      <c r="XY5" s="207"/>
      <c r="XZ5" s="207"/>
      <c r="YA5" s="207"/>
      <c r="YB5" s="207"/>
      <c r="YC5" s="272"/>
      <c r="YD5" s="272"/>
      <c r="YE5" s="205">
        <f t="shared" si="217"/>
        <v>0</v>
      </c>
      <c r="YF5" s="207"/>
      <c r="YG5" s="207"/>
      <c r="YH5" s="207"/>
      <c r="YI5" s="207"/>
      <c r="YJ5" s="207"/>
      <c r="YK5" s="272"/>
      <c r="YL5" s="272"/>
      <c r="YM5" s="205">
        <f t="shared" si="218"/>
        <v>0</v>
      </c>
      <c r="YN5" s="207"/>
      <c r="YO5" s="207"/>
      <c r="YP5" s="207"/>
      <c r="YQ5" s="207"/>
      <c r="YR5" s="207"/>
      <c r="YS5" s="272"/>
      <c r="YT5" s="272"/>
      <c r="YU5" s="205">
        <f t="shared" si="148"/>
        <v>0</v>
      </c>
      <c r="YV5" s="207"/>
      <c r="YW5" s="207"/>
      <c r="YX5" s="207"/>
      <c r="YY5" s="207"/>
      <c r="YZ5" s="207"/>
      <c r="ZA5" s="272"/>
      <c r="ZB5" s="272"/>
      <c r="ZC5" s="205">
        <f t="shared" si="219"/>
        <v>0</v>
      </c>
      <c r="ZD5" s="205">
        <f t="shared" si="149"/>
        <v>0</v>
      </c>
      <c r="ZE5" s="207"/>
      <c r="ZF5" s="207"/>
      <c r="ZG5" s="207"/>
      <c r="ZH5" s="207"/>
      <c r="ZI5" s="207"/>
      <c r="ZJ5" s="272"/>
      <c r="ZK5" s="272"/>
      <c r="ZL5" s="205">
        <f t="shared" si="220"/>
        <v>0</v>
      </c>
      <c r="ZM5" s="207"/>
      <c r="ZN5" s="207"/>
      <c r="ZO5" s="207"/>
      <c r="ZP5" s="207"/>
      <c r="ZQ5" s="207"/>
      <c r="ZR5" s="272"/>
      <c r="ZS5" s="272"/>
      <c r="ZT5" s="205">
        <f t="shared" si="221"/>
        <v>0</v>
      </c>
      <c r="ZU5" s="207"/>
      <c r="ZV5" s="207"/>
      <c r="ZW5" s="207"/>
      <c r="ZX5" s="207"/>
      <c r="ZY5" s="207"/>
      <c r="ZZ5" s="272"/>
      <c r="AAA5" s="272"/>
      <c r="AAB5" s="205">
        <f t="shared" si="222"/>
        <v>0</v>
      </c>
      <c r="AAC5" s="207"/>
      <c r="AAD5" s="207"/>
      <c r="AAE5" s="207"/>
      <c r="AAF5" s="207"/>
      <c r="AAG5" s="207"/>
      <c r="AAH5" s="272"/>
      <c r="AAI5" s="272"/>
      <c r="AAJ5" s="205">
        <f t="shared" si="223"/>
        <v>0</v>
      </c>
      <c r="AAK5" s="207"/>
      <c r="AAL5" s="207"/>
      <c r="AAM5" s="207"/>
      <c r="AAN5" s="207"/>
      <c r="AAO5" s="207"/>
      <c r="AAP5" s="272"/>
      <c r="AAQ5" s="272"/>
      <c r="AAR5" s="205">
        <f t="shared" si="224"/>
        <v>0</v>
      </c>
      <c r="AAS5" s="205">
        <f t="shared" si="225"/>
        <v>0</v>
      </c>
    </row>
    <row r="6" spans="1:721" ht="69.95" customHeight="1">
      <c r="B6" s="155">
        <v>3620102801</v>
      </c>
      <c r="C6" s="323"/>
      <c r="D6" s="156" t="s">
        <v>68</v>
      </c>
      <c r="E6" s="130" t="s">
        <v>4</v>
      </c>
      <c r="F6" s="120"/>
      <c r="G6" s="120"/>
      <c r="H6" s="120"/>
      <c r="I6" s="120"/>
      <c r="J6" s="120"/>
      <c r="K6" s="209"/>
      <c r="L6" s="205"/>
      <c r="M6" s="205">
        <f t="shared" si="121"/>
        <v>0</v>
      </c>
      <c r="N6" s="120"/>
      <c r="O6" s="120"/>
      <c r="P6" s="120"/>
      <c r="Q6" s="120"/>
      <c r="R6" s="120"/>
      <c r="S6" s="209"/>
      <c r="T6" s="205"/>
      <c r="U6" s="205">
        <f t="shared" si="122"/>
        <v>0</v>
      </c>
      <c r="V6" s="120"/>
      <c r="W6" s="120"/>
      <c r="X6" s="120"/>
      <c r="Y6" s="120"/>
      <c r="Z6" s="120"/>
      <c r="AA6" s="209"/>
      <c r="AB6" s="205"/>
      <c r="AC6" s="205">
        <f t="shared" si="123"/>
        <v>0</v>
      </c>
      <c r="AD6" s="205"/>
      <c r="AE6" s="205"/>
      <c r="AF6" s="205"/>
      <c r="AG6" s="205"/>
      <c r="AH6" s="205"/>
      <c r="AI6" s="209"/>
      <c r="AJ6" s="205"/>
      <c r="AK6" s="205">
        <f t="shared" si="124"/>
        <v>0</v>
      </c>
      <c r="AL6" s="205" t="e">
        <f>SUM(#REF!,M6,U6,AC6,AD6:AH6)</f>
        <v>#REF!</v>
      </c>
      <c r="AM6" s="120"/>
      <c r="AN6" s="120"/>
      <c r="AO6" s="120"/>
      <c r="AP6" s="120"/>
      <c r="AQ6" s="120"/>
      <c r="AR6" s="209"/>
      <c r="AS6" s="205"/>
      <c r="AT6" s="205">
        <f t="shared" si="125"/>
        <v>0</v>
      </c>
      <c r="AU6" s="120"/>
      <c r="AV6" s="120"/>
      <c r="AW6" s="120"/>
      <c r="AX6" s="120"/>
      <c r="AY6" s="120"/>
      <c r="AZ6" s="209"/>
      <c r="BA6" s="205"/>
      <c r="BB6" s="205">
        <f t="shared" si="126"/>
        <v>0</v>
      </c>
      <c r="BC6" s="120"/>
      <c r="BD6" s="120"/>
      <c r="BE6" s="217">
        <v>400</v>
      </c>
      <c r="BF6" s="120"/>
      <c r="BG6" s="120"/>
      <c r="BH6" s="209"/>
      <c r="BI6" s="205"/>
      <c r="BJ6" s="205">
        <f t="shared" si="127"/>
        <v>400</v>
      </c>
      <c r="BK6" s="120"/>
      <c r="BL6" s="120"/>
      <c r="BM6" s="120"/>
      <c r="BN6" s="120"/>
      <c r="BO6" s="205"/>
      <c r="BP6" s="209"/>
      <c r="BQ6" s="205"/>
      <c r="BR6" s="205">
        <f t="shared" si="128"/>
        <v>0</v>
      </c>
      <c r="BS6" s="205">
        <f t="shared" si="129"/>
        <v>400</v>
      </c>
      <c r="BT6" s="120"/>
      <c r="BU6" s="120"/>
      <c r="BV6" s="120"/>
      <c r="BW6" s="120"/>
      <c r="BX6" s="120"/>
      <c r="BY6" s="209"/>
      <c r="BZ6" s="205"/>
      <c r="CA6" s="205">
        <f t="shared" si="130"/>
        <v>0</v>
      </c>
      <c r="CB6" s="120"/>
      <c r="CC6" s="120"/>
      <c r="CD6" s="120"/>
      <c r="CE6" s="120"/>
      <c r="CF6" s="120"/>
      <c r="CG6" s="209"/>
      <c r="CH6" s="205"/>
      <c r="CI6" s="205">
        <f t="shared" si="131"/>
        <v>0</v>
      </c>
      <c r="CJ6" s="120"/>
      <c r="CK6" s="120"/>
      <c r="CL6" s="120"/>
      <c r="CM6" s="120"/>
      <c r="CN6" s="120"/>
      <c r="CO6" s="209"/>
      <c r="CP6" s="205"/>
      <c r="CQ6" s="205">
        <f t="shared" si="132"/>
        <v>0</v>
      </c>
      <c r="CR6" s="120"/>
      <c r="CS6" s="120"/>
      <c r="CT6" s="120"/>
      <c r="CU6" s="120"/>
      <c r="CV6" s="120"/>
      <c r="CW6" s="209"/>
      <c r="CX6" s="205"/>
      <c r="CY6" s="205">
        <f t="shared" si="133"/>
        <v>0</v>
      </c>
      <c r="CZ6" s="120"/>
      <c r="DA6" s="120"/>
      <c r="DB6" s="120"/>
      <c r="DC6" s="205"/>
      <c r="DD6" s="205"/>
      <c r="DE6" s="209"/>
      <c r="DF6" s="205"/>
      <c r="DG6" s="205">
        <f t="shared" si="134"/>
        <v>0</v>
      </c>
      <c r="DH6" s="205">
        <f t="shared" si="150"/>
        <v>0</v>
      </c>
      <c r="DI6" s="120"/>
      <c r="DJ6" s="120"/>
      <c r="DK6" s="120"/>
      <c r="DL6" s="120"/>
      <c r="DM6" s="120"/>
      <c r="DN6" s="209"/>
      <c r="DO6" s="205"/>
      <c r="DP6" s="205">
        <f t="shared" si="135"/>
        <v>0</v>
      </c>
      <c r="DQ6" s="217">
        <v>320</v>
      </c>
      <c r="DR6" s="120"/>
      <c r="DS6" s="120"/>
      <c r="DT6" s="120"/>
      <c r="DU6" s="120"/>
      <c r="DV6" s="209"/>
      <c r="DW6" s="205"/>
      <c r="DX6" s="205">
        <f t="shared" si="136"/>
        <v>320</v>
      </c>
      <c r="DY6" s="120"/>
      <c r="DZ6" s="120"/>
      <c r="EA6" s="120"/>
      <c r="EB6" s="120"/>
      <c r="EC6" s="120"/>
      <c r="ED6" s="209"/>
      <c r="EE6" s="205"/>
      <c r="EF6" s="205">
        <f t="shared" si="137"/>
        <v>0</v>
      </c>
      <c r="EG6" s="120"/>
      <c r="EH6" s="120"/>
      <c r="EI6" s="120"/>
      <c r="EJ6" s="205"/>
      <c r="EK6" s="205"/>
      <c r="EL6" s="209"/>
      <c r="EM6" s="205"/>
      <c r="EN6" s="205">
        <f t="shared" si="138"/>
        <v>0</v>
      </c>
      <c r="EO6" s="205">
        <f t="shared" si="151"/>
        <v>320</v>
      </c>
      <c r="EP6" s="120"/>
      <c r="EQ6" s="120"/>
      <c r="ER6" s="120"/>
      <c r="ES6" s="120"/>
      <c r="ET6" s="120"/>
      <c r="EU6" s="209"/>
      <c r="EV6" s="205"/>
      <c r="EW6" s="205">
        <f t="shared" si="139"/>
        <v>0</v>
      </c>
      <c r="EX6" s="120"/>
      <c r="EY6" s="120"/>
      <c r="EZ6" s="120"/>
      <c r="FA6" s="120"/>
      <c r="FB6" s="120"/>
      <c r="FC6" s="209"/>
      <c r="FD6" s="205"/>
      <c r="FE6" s="205">
        <f t="shared" si="140"/>
        <v>0</v>
      </c>
      <c r="FF6" s="120"/>
      <c r="FG6" s="120"/>
      <c r="FH6" s="120"/>
      <c r="FI6" s="120"/>
      <c r="FJ6" s="120"/>
      <c r="FK6" s="209"/>
      <c r="FL6" s="205"/>
      <c r="FM6" s="205">
        <f t="shared" si="141"/>
        <v>0</v>
      </c>
      <c r="FN6" s="120"/>
      <c r="FO6" s="120"/>
      <c r="FP6" s="120"/>
      <c r="FQ6" s="120"/>
      <c r="FR6" s="205"/>
      <c r="FS6" s="209"/>
      <c r="FT6" s="205"/>
      <c r="FU6" s="205">
        <f t="shared" si="142"/>
        <v>0</v>
      </c>
      <c r="FV6" s="205">
        <f t="shared" si="152"/>
        <v>0</v>
      </c>
      <c r="FW6" s="120"/>
      <c r="FX6" s="120"/>
      <c r="FY6" s="120"/>
      <c r="FZ6" s="120"/>
      <c r="GA6" s="120"/>
      <c r="GB6" s="209"/>
      <c r="GC6" s="205"/>
      <c r="GD6" s="205">
        <f t="shared" si="143"/>
        <v>0</v>
      </c>
      <c r="GE6" s="120"/>
      <c r="GF6" s="120"/>
      <c r="GG6" s="120"/>
      <c r="GH6" s="120"/>
      <c r="GI6" s="120"/>
      <c r="GJ6" s="209"/>
      <c r="GK6" s="205"/>
      <c r="GL6" s="205">
        <f t="shared" si="144"/>
        <v>0</v>
      </c>
      <c r="GM6" s="120"/>
      <c r="GN6" s="120"/>
      <c r="GO6" s="120"/>
      <c r="GP6" s="120"/>
      <c r="GQ6" s="120"/>
      <c r="GR6" s="209"/>
      <c r="GS6" s="205"/>
      <c r="GT6" s="205">
        <f t="shared" si="145"/>
        <v>0</v>
      </c>
      <c r="GU6" s="120"/>
      <c r="GV6" s="120"/>
      <c r="GW6" s="120"/>
      <c r="GX6" s="120"/>
      <c r="GY6" s="120"/>
      <c r="GZ6" s="209"/>
      <c r="HA6" s="205"/>
      <c r="HB6" s="205">
        <f t="shared" si="146"/>
        <v>0</v>
      </c>
      <c r="HC6" s="120"/>
      <c r="HD6" s="120"/>
      <c r="HE6" s="120"/>
      <c r="HF6" s="120"/>
      <c r="HG6" s="120"/>
      <c r="HH6" s="209"/>
      <c r="HI6" s="205"/>
      <c r="HJ6" s="205">
        <f t="shared" si="147"/>
        <v>0</v>
      </c>
      <c r="HK6" s="205">
        <f t="shared" si="153"/>
        <v>0</v>
      </c>
      <c r="HL6" s="124"/>
      <c r="HM6" s="120"/>
      <c r="HN6" s="120"/>
      <c r="HO6" s="120"/>
      <c r="HP6" s="120"/>
      <c r="HQ6" s="205"/>
      <c r="HR6" s="205"/>
      <c r="HS6" s="205">
        <f t="shared" si="154"/>
        <v>0</v>
      </c>
      <c r="HT6" s="123">
        <v>500</v>
      </c>
      <c r="HU6" s="120"/>
      <c r="HV6" s="120"/>
      <c r="HW6" s="120"/>
      <c r="HX6" s="120"/>
      <c r="HY6" s="205"/>
      <c r="HZ6" s="205"/>
      <c r="IA6" s="205">
        <f t="shared" si="155"/>
        <v>500</v>
      </c>
      <c r="IB6" s="120"/>
      <c r="IC6" s="120"/>
      <c r="ID6" s="120"/>
      <c r="IE6" s="120"/>
      <c r="IF6" s="120"/>
      <c r="IG6" s="205"/>
      <c r="IH6" s="205"/>
      <c r="II6" s="205">
        <f t="shared" si="156"/>
        <v>0</v>
      </c>
      <c r="IJ6" s="120"/>
      <c r="IK6" s="120"/>
      <c r="IL6" s="120"/>
      <c r="IM6" s="120"/>
      <c r="IN6" s="120"/>
      <c r="IO6" s="205"/>
      <c r="IP6" s="205"/>
      <c r="IQ6" s="205">
        <f t="shared" si="157"/>
        <v>0</v>
      </c>
      <c r="IR6" s="205">
        <f t="shared" si="158"/>
        <v>500</v>
      </c>
      <c r="IS6" s="120"/>
      <c r="IT6" s="120"/>
      <c r="IU6" s="120"/>
      <c r="IV6" s="120"/>
      <c r="IW6" s="120"/>
      <c r="IX6" s="205"/>
      <c r="IY6" s="205"/>
      <c r="IZ6" s="205">
        <f t="shared" si="159"/>
        <v>0</v>
      </c>
      <c r="JA6" s="120"/>
      <c r="JB6" s="120"/>
      <c r="JC6" s="120"/>
      <c r="JD6" s="120"/>
      <c r="JE6" s="120"/>
      <c r="JF6" s="205"/>
      <c r="JG6" s="205"/>
      <c r="JH6" s="205">
        <f t="shared" si="160"/>
        <v>0</v>
      </c>
      <c r="JI6" s="120"/>
      <c r="JJ6" s="120"/>
      <c r="JK6" s="120"/>
      <c r="JL6" s="120"/>
      <c r="JM6" s="120"/>
      <c r="JN6" s="205"/>
      <c r="JO6" s="205"/>
      <c r="JP6" s="205">
        <f t="shared" si="161"/>
        <v>0</v>
      </c>
      <c r="JQ6" s="120"/>
      <c r="JR6" s="120"/>
      <c r="JS6" s="120"/>
      <c r="JT6" s="120"/>
      <c r="JU6" s="120"/>
      <c r="JV6" s="205"/>
      <c r="JW6" s="205"/>
      <c r="JX6" s="205">
        <f t="shared" si="162"/>
        <v>0</v>
      </c>
      <c r="JY6" s="205">
        <f t="shared" si="163"/>
        <v>0</v>
      </c>
      <c r="JZ6" s="120"/>
      <c r="KA6" s="120"/>
      <c r="KB6" s="120"/>
      <c r="KC6" s="120"/>
      <c r="KD6" s="120"/>
      <c r="KE6" s="205"/>
      <c r="KF6" s="205"/>
      <c r="KG6" s="205">
        <f t="shared" si="164"/>
        <v>0</v>
      </c>
      <c r="KH6" s="120"/>
      <c r="KI6" s="120"/>
      <c r="KJ6" s="120"/>
      <c r="KK6" s="120"/>
      <c r="KL6" s="120"/>
      <c r="KM6" s="206">
        <v>800</v>
      </c>
      <c r="KN6" s="205"/>
      <c r="KO6" s="205">
        <f t="shared" si="165"/>
        <v>800</v>
      </c>
      <c r="KP6" s="120"/>
      <c r="KQ6" s="120"/>
      <c r="KR6" s="120"/>
      <c r="KS6" s="120"/>
      <c r="KT6" s="120"/>
      <c r="KU6" s="205"/>
      <c r="KV6" s="205"/>
      <c r="KW6" s="205">
        <f t="shared" si="166"/>
        <v>0</v>
      </c>
      <c r="KX6" s="120"/>
      <c r="KY6" s="120"/>
      <c r="KZ6" s="120"/>
      <c r="LA6" s="120"/>
      <c r="LB6" s="120"/>
      <c r="LC6" s="205"/>
      <c r="LD6" s="205"/>
      <c r="LE6" s="205">
        <f t="shared" si="167"/>
        <v>0</v>
      </c>
      <c r="LF6" s="205"/>
      <c r="LG6" s="120"/>
      <c r="LH6" s="120"/>
      <c r="LI6" s="120"/>
      <c r="LJ6" s="120"/>
      <c r="LK6" s="205"/>
      <c r="LL6" s="205"/>
      <c r="LM6" s="205">
        <f t="shared" si="168"/>
        <v>0</v>
      </c>
      <c r="LN6" s="205">
        <f t="shared" si="169"/>
        <v>800</v>
      </c>
      <c r="LO6" s="205"/>
      <c r="LP6" s="120"/>
      <c r="LQ6" s="120"/>
      <c r="LR6" s="120"/>
      <c r="LS6" s="205"/>
      <c r="LT6" s="205"/>
      <c r="LU6" s="205"/>
      <c r="LV6" s="205">
        <f t="shared" si="170"/>
        <v>0</v>
      </c>
      <c r="LW6" s="120"/>
      <c r="LX6" s="120"/>
      <c r="LY6" s="120"/>
      <c r="LZ6" s="120"/>
      <c r="MA6" s="120"/>
      <c r="MB6" s="205"/>
      <c r="MC6" s="205"/>
      <c r="MD6" s="205">
        <f t="shared" si="171"/>
        <v>0</v>
      </c>
      <c r="ME6" s="120"/>
      <c r="MF6" s="217">
        <v>450</v>
      </c>
      <c r="MG6" s="120"/>
      <c r="MH6" s="120"/>
      <c r="MI6" s="205"/>
      <c r="MJ6" s="205"/>
      <c r="MK6" s="205"/>
      <c r="ML6" s="205">
        <f t="shared" si="172"/>
        <v>450</v>
      </c>
      <c r="MM6" s="120"/>
      <c r="MN6" s="120"/>
      <c r="MO6" s="120"/>
      <c r="MP6" s="120"/>
      <c r="MQ6" s="120"/>
      <c r="MR6" s="205"/>
      <c r="MS6" s="205"/>
      <c r="MT6" s="205">
        <f t="shared" si="173"/>
        <v>0</v>
      </c>
      <c r="MU6" s="205">
        <f t="shared" si="174"/>
        <v>450</v>
      </c>
      <c r="MV6" s="120"/>
      <c r="MW6" s="120"/>
      <c r="MX6" s="120"/>
      <c r="MY6" s="120"/>
      <c r="MZ6" s="120"/>
      <c r="NA6" s="205"/>
      <c r="NB6" s="205"/>
      <c r="NC6" s="205">
        <f t="shared" si="175"/>
        <v>0</v>
      </c>
      <c r="ND6" s="120"/>
      <c r="NE6" s="120"/>
      <c r="NF6" s="120"/>
      <c r="NG6" s="120"/>
      <c r="NH6" s="120"/>
      <c r="NI6" s="205"/>
      <c r="NJ6" s="205"/>
      <c r="NK6" s="205">
        <f t="shared" si="176"/>
        <v>0</v>
      </c>
      <c r="NL6" s="120"/>
      <c r="NM6" s="120"/>
      <c r="NN6" s="120"/>
      <c r="NO6" s="120"/>
      <c r="NP6" s="120"/>
      <c r="NQ6" s="205"/>
      <c r="NR6" s="205"/>
      <c r="NS6" s="205">
        <f t="shared" si="177"/>
        <v>0</v>
      </c>
      <c r="NT6" s="120"/>
      <c r="NU6" s="120"/>
      <c r="NV6" s="120"/>
      <c r="NW6" s="120"/>
      <c r="NX6" s="120"/>
      <c r="NY6" s="205"/>
      <c r="NZ6" s="205"/>
      <c r="OA6" s="205">
        <f t="shared" si="178"/>
        <v>0</v>
      </c>
      <c r="OB6" s="205">
        <f t="shared" si="179"/>
        <v>0</v>
      </c>
      <c r="OC6" s="120"/>
      <c r="OD6" s="120"/>
      <c r="OE6" s="120"/>
      <c r="OF6" s="120"/>
      <c r="OG6" s="120"/>
      <c r="OH6" s="205"/>
      <c r="OI6" s="205"/>
      <c r="OJ6" s="205">
        <f t="shared" si="180"/>
        <v>0</v>
      </c>
      <c r="OK6" s="120"/>
      <c r="OL6" s="120"/>
      <c r="OM6" s="120"/>
      <c r="ON6" s="120"/>
      <c r="OO6" s="120"/>
      <c r="OP6" s="205"/>
      <c r="OQ6" s="205"/>
      <c r="OR6" s="205">
        <f t="shared" si="181"/>
        <v>0</v>
      </c>
      <c r="OS6" s="120"/>
      <c r="OT6" s="120"/>
      <c r="OU6" s="120"/>
      <c r="OV6" s="120"/>
      <c r="OW6" s="120"/>
      <c r="OX6" s="205"/>
      <c r="OY6" s="205"/>
      <c r="OZ6" s="205">
        <f t="shared" si="182"/>
        <v>0</v>
      </c>
      <c r="PA6" s="120"/>
      <c r="PB6" s="120"/>
      <c r="PC6" s="120"/>
      <c r="PD6" s="205"/>
      <c r="PE6" s="217"/>
      <c r="PF6" s="205"/>
      <c r="PG6" s="205"/>
      <c r="PH6" s="205">
        <f t="shared" si="183"/>
        <v>0</v>
      </c>
      <c r="PI6" s="120"/>
      <c r="PJ6" s="120"/>
      <c r="PK6" s="120"/>
      <c r="PL6" s="205"/>
      <c r="PM6" s="217"/>
      <c r="PN6" s="205"/>
      <c r="PO6" s="205"/>
      <c r="PP6" s="205">
        <f t="shared" si="184"/>
        <v>0</v>
      </c>
      <c r="PQ6" s="205">
        <f t="shared" si="185"/>
        <v>0</v>
      </c>
      <c r="PR6" s="124">
        <v>1000</v>
      </c>
      <c r="PS6" s="207"/>
      <c r="PT6" s="207"/>
      <c r="PU6" s="207"/>
      <c r="PV6" s="207"/>
      <c r="PW6" s="272"/>
      <c r="PX6" s="272"/>
      <c r="PY6" s="205">
        <f t="shared" si="186"/>
        <v>1000</v>
      </c>
      <c r="PZ6" s="207"/>
      <c r="QA6" s="207"/>
      <c r="QB6" s="207"/>
      <c r="QC6" s="207"/>
      <c r="QD6" s="207"/>
      <c r="QE6" s="272"/>
      <c r="QF6" s="272"/>
      <c r="QG6" s="205">
        <f t="shared" si="187"/>
        <v>0</v>
      </c>
      <c r="QH6" s="207"/>
      <c r="QI6" s="207"/>
      <c r="QJ6" s="294"/>
      <c r="QK6" s="207"/>
      <c r="QL6" s="207"/>
      <c r="QM6" s="272"/>
      <c r="QN6" s="272"/>
      <c r="QO6" s="205">
        <f t="shared" si="188"/>
        <v>0</v>
      </c>
      <c r="QP6" s="207"/>
      <c r="QQ6" s="207"/>
      <c r="QR6" s="207"/>
      <c r="QS6" s="207"/>
      <c r="QT6" s="207"/>
      <c r="QU6" s="272"/>
      <c r="QV6" s="272"/>
      <c r="QW6" s="205">
        <f t="shared" si="189"/>
        <v>0</v>
      </c>
      <c r="QX6" s="205">
        <f t="shared" si="190"/>
        <v>1000</v>
      </c>
      <c r="QY6" s="207"/>
      <c r="QZ6" s="207"/>
      <c r="RA6" s="207"/>
      <c r="RB6" s="207"/>
      <c r="RC6" s="207"/>
      <c r="RD6" s="272"/>
      <c r="RE6" s="272"/>
      <c r="RF6" s="205">
        <f t="shared" si="191"/>
        <v>0</v>
      </c>
      <c r="RG6" s="207"/>
      <c r="RH6" s="207"/>
      <c r="RI6" s="207"/>
      <c r="RJ6" s="207"/>
      <c r="RK6" s="207"/>
      <c r="RL6" s="272"/>
      <c r="RM6" s="272"/>
      <c r="RN6" s="205">
        <f t="shared" si="192"/>
        <v>0</v>
      </c>
      <c r="RO6" s="272"/>
      <c r="RP6" s="272"/>
      <c r="RQ6" s="272"/>
      <c r="RR6" s="272"/>
      <c r="RS6" s="272"/>
      <c r="RT6" s="272"/>
      <c r="RU6" s="272"/>
      <c r="RV6" s="205">
        <f t="shared" si="193"/>
        <v>0</v>
      </c>
      <c r="RW6" s="207"/>
      <c r="RX6" s="207"/>
      <c r="RY6" s="207"/>
      <c r="RZ6" s="207"/>
      <c r="SA6" s="272"/>
      <c r="SB6" s="272"/>
      <c r="SC6" s="272"/>
      <c r="SD6" s="205">
        <f t="shared" si="194"/>
        <v>0</v>
      </c>
      <c r="SE6" s="205">
        <f t="shared" si="195"/>
        <v>0</v>
      </c>
      <c r="SF6" s="207"/>
      <c r="SG6" s="207"/>
      <c r="SH6" s="207"/>
      <c r="SI6" s="207"/>
      <c r="SJ6" s="207"/>
      <c r="SK6" s="272"/>
      <c r="SL6" s="272"/>
      <c r="SM6" s="205">
        <f t="shared" si="196"/>
        <v>0</v>
      </c>
      <c r="SN6" s="207"/>
      <c r="SO6" s="207"/>
      <c r="SP6" s="207"/>
      <c r="SQ6" s="207"/>
      <c r="SR6" s="207"/>
      <c r="SS6" s="272"/>
      <c r="ST6" s="272"/>
      <c r="SU6" s="205">
        <f t="shared" si="197"/>
        <v>0</v>
      </c>
      <c r="SV6" s="207"/>
      <c r="SW6" s="207"/>
      <c r="SX6" s="207"/>
      <c r="SY6" s="207"/>
      <c r="SZ6" s="207"/>
      <c r="TA6" s="272"/>
      <c r="TB6" s="272"/>
      <c r="TC6" s="205">
        <f t="shared" si="198"/>
        <v>0</v>
      </c>
      <c r="TD6" s="207"/>
      <c r="TE6" s="207"/>
      <c r="TF6" s="207"/>
      <c r="TG6" s="207"/>
      <c r="TH6" s="207"/>
      <c r="TI6" s="272"/>
      <c r="TJ6" s="272"/>
      <c r="TK6" s="205">
        <f t="shared" si="199"/>
        <v>0</v>
      </c>
      <c r="TL6" s="207"/>
      <c r="TM6" s="207"/>
      <c r="TN6" s="207"/>
      <c r="TO6" s="207"/>
      <c r="TP6" s="272"/>
      <c r="TQ6" s="272"/>
      <c r="TR6" s="272"/>
      <c r="TS6" s="205">
        <f t="shared" si="200"/>
        <v>0</v>
      </c>
      <c r="TT6" s="205">
        <f t="shared" si="201"/>
        <v>0</v>
      </c>
      <c r="TU6" s="272"/>
      <c r="TV6" s="207"/>
      <c r="TW6" s="207"/>
      <c r="TX6" s="207"/>
      <c r="TY6" s="207"/>
      <c r="TZ6" s="272"/>
      <c r="UA6" s="272"/>
      <c r="UB6" s="205">
        <f t="shared" si="202"/>
        <v>0</v>
      </c>
      <c r="UC6" s="207"/>
      <c r="UD6" s="207"/>
      <c r="UE6" s="207"/>
      <c r="UF6" s="207"/>
      <c r="UG6" s="207"/>
      <c r="UH6" s="272"/>
      <c r="UI6" s="272"/>
      <c r="UJ6" s="205">
        <f t="shared" si="203"/>
        <v>0</v>
      </c>
      <c r="UK6" s="207"/>
      <c r="UL6" s="201">
        <v>1400</v>
      </c>
      <c r="UM6" s="207"/>
      <c r="UN6" s="207"/>
      <c r="UO6" s="207"/>
      <c r="UP6" s="272"/>
      <c r="UQ6" s="272"/>
      <c r="UR6" s="205">
        <f t="shared" si="226"/>
        <v>1400</v>
      </c>
      <c r="US6" s="207"/>
      <c r="UT6" s="207"/>
      <c r="UU6" s="207"/>
      <c r="UV6" s="207"/>
      <c r="UW6" s="272"/>
      <c r="UX6" s="272"/>
      <c r="UY6" s="272"/>
      <c r="UZ6" s="205">
        <f t="shared" si="204"/>
        <v>0</v>
      </c>
      <c r="VA6" s="205">
        <f t="shared" si="205"/>
        <v>1400</v>
      </c>
      <c r="VB6" s="207"/>
      <c r="VC6" s="207"/>
      <c r="VD6" s="207"/>
      <c r="VE6" s="207"/>
      <c r="VF6" s="207"/>
      <c r="VG6" s="272"/>
      <c r="VH6" s="272"/>
      <c r="VI6" s="205">
        <f t="shared" si="206"/>
        <v>0</v>
      </c>
      <c r="VJ6" s="207"/>
      <c r="VK6" s="207"/>
      <c r="VL6" s="207"/>
      <c r="VM6" s="207"/>
      <c r="VN6" s="207"/>
      <c r="VO6" s="272"/>
      <c r="VP6" s="272"/>
      <c r="VQ6" s="205">
        <f t="shared" si="207"/>
        <v>0</v>
      </c>
      <c r="VR6" s="207"/>
      <c r="VS6" s="207"/>
      <c r="VT6" s="207"/>
      <c r="VU6" s="207"/>
      <c r="VV6" s="207"/>
      <c r="VW6" s="272"/>
      <c r="VX6" s="272"/>
      <c r="VY6" s="205">
        <f t="shared" si="208"/>
        <v>0</v>
      </c>
      <c r="VZ6" s="207"/>
      <c r="WA6" s="207"/>
      <c r="WB6" s="207"/>
      <c r="WC6" s="207"/>
      <c r="WD6" s="207"/>
      <c r="WE6" s="272"/>
      <c r="WF6" s="272"/>
      <c r="WG6" s="205">
        <f t="shared" si="209"/>
        <v>0</v>
      </c>
      <c r="WH6" s="205">
        <f t="shared" si="210"/>
        <v>0</v>
      </c>
      <c r="WI6" s="207"/>
      <c r="WJ6" s="207"/>
      <c r="WK6" s="207"/>
      <c r="WL6" s="207"/>
      <c r="WM6" s="207"/>
      <c r="WN6" s="272"/>
      <c r="WO6" s="272"/>
      <c r="WP6" s="205">
        <f t="shared" si="211"/>
        <v>0</v>
      </c>
      <c r="WQ6" s="207"/>
      <c r="WR6" s="207"/>
      <c r="WS6" s="207"/>
      <c r="WT6" s="207"/>
      <c r="WU6" s="207"/>
      <c r="WV6" s="272"/>
      <c r="WW6" s="272"/>
      <c r="WX6" s="205">
        <f t="shared" si="212"/>
        <v>0</v>
      </c>
      <c r="WY6" s="207"/>
      <c r="WZ6" s="207"/>
      <c r="XA6" s="207"/>
      <c r="XB6" s="207"/>
      <c r="XC6" s="272"/>
      <c r="XD6" s="272"/>
      <c r="XE6" s="272"/>
      <c r="XF6" s="205">
        <f t="shared" si="213"/>
        <v>0</v>
      </c>
      <c r="XG6" s="207"/>
      <c r="XH6" s="207"/>
      <c r="XI6" s="207"/>
      <c r="XJ6" s="207"/>
      <c r="XK6" s="207"/>
      <c r="XL6" s="272"/>
      <c r="XM6" s="272"/>
      <c r="XN6" s="205">
        <f t="shared" si="214"/>
        <v>0</v>
      </c>
      <c r="XO6" s="207"/>
      <c r="XP6" s="207"/>
      <c r="XQ6" s="207"/>
      <c r="XR6" s="207"/>
      <c r="XS6" s="207"/>
      <c r="XT6" s="272"/>
      <c r="XU6" s="272"/>
      <c r="XV6" s="205">
        <f t="shared" si="215"/>
        <v>0</v>
      </c>
      <c r="XW6" s="205">
        <f t="shared" si="216"/>
        <v>0</v>
      </c>
      <c r="XX6" s="207"/>
      <c r="XY6" s="207"/>
      <c r="XZ6" s="207"/>
      <c r="YA6" s="207"/>
      <c r="YB6" s="207"/>
      <c r="YC6" s="272"/>
      <c r="YD6" s="272"/>
      <c r="YE6" s="205">
        <f t="shared" si="217"/>
        <v>0</v>
      </c>
      <c r="YF6" s="207"/>
      <c r="YG6" s="207"/>
      <c r="YH6" s="207"/>
      <c r="YI6" s="207"/>
      <c r="YJ6" s="207"/>
      <c r="YK6" s="272"/>
      <c r="YL6" s="272"/>
      <c r="YM6" s="205">
        <f t="shared" si="218"/>
        <v>0</v>
      </c>
      <c r="YN6" s="207"/>
      <c r="YO6" s="207"/>
      <c r="YP6" s="207"/>
      <c r="YQ6" s="207"/>
      <c r="YR6" s="207"/>
      <c r="YS6" s="272"/>
      <c r="YT6" s="272"/>
      <c r="YU6" s="205">
        <f t="shared" si="148"/>
        <v>0</v>
      </c>
      <c r="YV6" s="207"/>
      <c r="YW6" s="207"/>
      <c r="YX6" s="207"/>
      <c r="YY6" s="207"/>
      <c r="YZ6" s="207"/>
      <c r="ZA6" s="272"/>
      <c r="ZB6" s="272"/>
      <c r="ZC6" s="205">
        <f t="shared" si="219"/>
        <v>0</v>
      </c>
      <c r="ZD6" s="205">
        <f t="shared" si="149"/>
        <v>0</v>
      </c>
      <c r="ZE6" s="207"/>
      <c r="ZF6" s="207"/>
      <c r="ZG6" s="207"/>
      <c r="ZH6" s="207"/>
      <c r="ZI6" s="207"/>
      <c r="ZJ6" s="272"/>
      <c r="ZK6" s="272"/>
      <c r="ZL6" s="205">
        <f t="shared" si="220"/>
        <v>0</v>
      </c>
      <c r="ZM6" s="207"/>
      <c r="ZN6" s="207"/>
      <c r="ZO6" s="207"/>
      <c r="ZP6" s="207"/>
      <c r="ZQ6" s="207"/>
      <c r="ZR6" s="272"/>
      <c r="ZS6" s="272"/>
      <c r="ZT6" s="205">
        <f t="shared" si="221"/>
        <v>0</v>
      </c>
      <c r="ZU6" s="207"/>
      <c r="ZV6" s="207"/>
      <c r="ZW6" s="207"/>
      <c r="ZX6" s="207"/>
      <c r="ZY6" s="207"/>
      <c r="ZZ6" s="272"/>
      <c r="AAA6" s="272"/>
      <c r="AAB6" s="205">
        <f t="shared" si="222"/>
        <v>0</v>
      </c>
      <c r="AAC6" s="207"/>
      <c r="AAD6" s="207"/>
      <c r="AAE6" s="207"/>
      <c r="AAF6" s="207"/>
      <c r="AAG6" s="207"/>
      <c r="AAH6" s="272"/>
      <c r="AAI6" s="272"/>
      <c r="AAJ6" s="205">
        <f t="shared" si="223"/>
        <v>0</v>
      </c>
      <c r="AAK6" s="207"/>
      <c r="AAL6" s="207"/>
      <c r="AAM6" s="207"/>
      <c r="AAN6" s="207"/>
      <c r="AAO6" s="207"/>
      <c r="AAP6" s="272"/>
      <c r="AAQ6" s="272"/>
      <c r="AAR6" s="205">
        <f t="shared" si="224"/>
        <v>0</v>
      </c>
      <c r="AAS6" s="205">
        <f t="shared" si="225"/>
        <v>0</v>
      </c>
    </row>
    <row r="7" spans="1:721" ht="69.95" customHeight="1">
      <c r="B7" s="155">
        <v>3620101112</v>
      </c>
      <c r="C7" s="323"/>
      <c r="D7" s="158" t="s">
        <v>606</v>
      </c>
      <c r="E7" s="130" t="s">
        <v>4</v>
      </c>
      <c r="F7" s="120"/>
      <c r="G7" s="120"/>
      <c r="H7" s="120"/>
      <c r="I7" s="120"/>
      <c r="J7" s="120"/>
      <c r="K7" s="209"/>
      <c r="L7" s="205"/>
      <c r="M7" s="205">
        <f t="shared" si="121"/>
        <v>0</v>
      </c>
      <c r="N7" s="120"/>
      <c r="O7" s="120"/>
      <c r="P7" s="120"/>
      <c r="Q7" s="120"/>
      <c r="R7" s="120"/>
      <c r="S7" s="209"/>
      <c r="T7" s="205"/>
      <c r="U7" s="205">
        <f t="shared" si="122"/>
        <v>0</v>
      </c>
      <c r="V7" s="120"/>
      <c r="W7" s="120"/>
      <c r="X7" s="120"/>
      <c r="Y7" s="120"/>
      <c r="Z7" s="120"/>
      <c r="AA7" s="209"/>
      <c r="AB7" s="205"/>
      <c r="AC7" s="205">
        <f t="shared" si="123"/>
        <v>0</v>
      </c>
      <c r="AD7" s="205"/>
      <c r="AE7" s="205"/>
      <c r="AF7" s="205"/>
      <c r="AG7" s="205"/>
      <c r="AH7" s="205"/>
      <c r="AI7" s="209"/>
      <c r="AJ7" s="205"/>
      <c r="AK7" s="205">
        <f t="shared" si="124"/>
        <v>0</v>
      </c>
      <c r="AL7" s="205" t="e">
        <f>SUM(#REF!,M7,U7,AC7,AD7:AH7)</f>
        <v>#REF!</v>
      </c>
      <c r="AM7" s="120"/>
      <c r="AN7" s="120"/>
      <c r="AO7" s="120"/>
      <c r="AP7" s="120"/>
      <c r="AQ7" s="120"/>
      <c r="AR7" s="209"/>
      <c r="AS7" s="205"/>
      <c r="AT7" s="205">
        <f t="shared" si="125"/>
        <v>0</v>
      </c>
      <c r="AU7" s="120"/>
      <c r="AV7" s="120"/>
      <c r="AW7" s="120"/>
      <c r="AX7" s="120"/>
      <c r="AY7" s="120"/>
      <c r="AZ7" s="209"/>
      <c r="BA7" s="205"/>
      <c r="BB7" s="205">
        <f t="shared" si="126"/>
        <v>0</v>
      </c>
      <c r="BC7" s="120"/>
      <c r="BD7" s="120"/>
      <c r="BE7" s="120"/>
      <c r="BF7" s="120"/>
      <c r="BG7" s="120"/>
      <c r="BH7" s="209"/>
      <c r="BI7" s="205"/>
      <c r="BJ7" s="205">
        <f t="shared" si="127"/>
        <v>0</v>
      </c>
      <c r="BK7" s="120"/>
      <c r="BL7" s="120"/>
      <c r="BM7" s="120"/>
      <c r="BN7" s="120"/>
      <c r="BO7" s="205"/>
      <c r="BP7" s="209"/>
      <c r="BQ7" s="205"/>
      <c r="BR7" s="205">
        <f t="shared" si="128"/>
        <v>0</v>
      </c>
      <c r="BS7" s="205">
        <f t="shared" si="129"/>
        <v>0</v>
      </c>
      <c r="BT7" s="120"/>
      <c r="BU7" s="120"/>
      <c r="BV7" s="120"/>
      <c r="BW7" s="120"/>
      <c r="BX7" s="120"/>
      <c r="BY7" s="209"/>
      <c r="BZ7" s="205"/>
      <c r="CA7" s="205">
        <f t="shared" si="130"/>
        <v>0</v>
      </c>
      <c r="CB7" s="120"/>
      <c r="CC7" s="120"/>
      <c r="CD7" s="120"/>
      <c r="CE7" s="120"/>
      <c r="CF7" s="120"/>
      <c r="CG7" s="209"/>
      <c r="CH7" s="205"/>
      <c r="CI7" s="205">
        <f t="shared" si="131"/>
        <v>0</v>
      </c>
      <c r="CJ7" s="120"/>
      <c r="CK7" s="120"/>
      <c r="CL7" s="120"/>
      <c r="CM7" s="120"/>
      <c r="CN7" s="120"/>
      <c r="CO7" s="209"/>
      <c r="CP7" s="205"/>
      <c r="CQ7" s="205">
        <f t="shared" si="132"/>
        <v>0</v>
      </c>
      <c r="CR7" s="120"/>
      <c r="CS7" s="120"/>
      <c r="CT7" s="120"/>
      <c r="CU7" s="120"/>
      <c r="CV7" s="120"/>
      <c r="CW7" s="209"/>
      <c r="CX7" s="205"/>
      <c r="CY7" s="205">
        <f t="shared" si="133"/>
        <v>0</v>
      </c>
      <c r="CZ7" s="120"/>
      <c r="DA7" s="120"/>
      <c r="DB7" s="120"/>
      <c r="DC7" s="205"/>
      <c r="DD7" s="205"/>
      <c r="DE7" s="209"/>
      <c r="DF7" s="205"/>
      <c r="DG7" s="205">
        <f t="shared" si="134"/>
        <v>0</v>
      </c>
      <c r="DH7" s="205">
        <f t="shared" si="150"/>
        <v>0</v>
      </c>
      <c r="DI7" s="120"/>
      <c r="DJ7" s="120"/>
      <c r="DK7" s="120"/>
      <c r="DL7" s="120"/>
      <c r="DM7" s="120"/>
      <c r="DN7" s="209"/>
      <c r="DO7" s="205"/>
      <c r="DP7" s="205">
        <f t="shared" si="135"/>
        <v>0</v>
      </c>
      <c r="DQ7" s="217">
        <v>80</v>
      </c>
      <c r="DR7" s="120" t="s">
        <v>216</v>
      </c>
      <c r="DS7" s="120"/>
      <c r="DT7" s="120"/>
      <c r="DU7" s="120"/>
      <c r="DV7" s="209"/>
      <c r="DW7" s="205"/>
      <c r="DX7" s="205">
        <f t="shared" si="136"/>
        <v>80</v>
      </c>
      <c r="DY7" s="120"/>
      <c r="DZ7" s="120"/>
      <c r="EA7" s="120"/>
      <c r="EB7" s="120"/>
      <c r="EC7" s="120"/>
      <c r="ED7" s="209"/>
      <c r="EE7" s="205"/>
      <c r="EF7" s="205">
        <f t="shared" si="137"/>
        <v>0</v>
      </c>
      <c r="EG7" s="120"/>
      <c r="EH7" s="120"/>
      <c r="EI7" s="120"/>
      <c r="EJ7" s="205"/>
      <c r="EK7" s="205"/>
      <c r="EL7" s="209"/>
      <c r="EM7" s="205"/>
      <c r="EN7" s="205">
        <f t="shared" si="138"/>
        <v>0</v>
      </c>
      <c r="EO7" s="205">
        <f t="shared" si="151"/>
        <v>80</v>
      </c>
      <c r="EP7" s="120"/>
      <c r="EQ7" s="120"/>
      <c r="ER7" s="120"/>
      <c r="ES7" s="120"/>
      <c r="ET7" s="120"/>
      <c r="EU7" s="209"/>
      <c r="EV7" s="205"/>
      <c r="EW7" s="205">
        <f t="shared" si="139"/>
        <v>0</v>
      </c>
      <c r="EX7" s="120"/>
      <c r="EY7" s="120"/>
      <c r="EZ7" s="120"/>
      <c r="FA7" s="120"/>
      <c r="FB7" s="120"/>
      <c r="FC7" s="209"/>
      <c r="FD7" s="205"/>
      <c r="FE7" s="205">
        <f t="shared" si="140"/>
        <v>0</v>
      </c>
      <c r="FF7" s="120"/>
      <c r="FG7" s="120"/>
      <c r="FH7" s="120"/>
      <c r="FI7" s="120"/>
      <c r="FJ7" s="120"/>
      <c r="FK7" s="209"/>
      <c r="FL7" s="205"/>
      <c r="FM7" s="205">
        <f t="shared" si="141"/>
        <v>0</v>
      </c>
      <c r="FN7" s="120"/>
      <c r="FO7" s="120"/>
      <c r="FP7" s="120"/>
      <c r="FQ7" s="120"/>
      <c r="FR7" s="205"/>
      <c r="FS7" s="209"/>
      <c r="FT7" s="205"/>
      <c r="FU7" s="205">
        <f t="shared" si="142"/>
        <v>0</v>
      </c>
      <c r="FV7" s="205">
        <f t="shared" si="152"/>
        <v>0</v>
      </c>
      <c r="FW7" s="120"/>
      <c r="FX7" s="120"/>
      <c r="FY7" s="120"/>
      <c r="FZ7" s="120"/>
      <c r="GA7" s="120"/>
      <c r="GB7" s="209"/>
      <c r="GC7" s="205"/>
      <c r="GD7" s="205">
        <f t="shared" si="143"/>
        <v>0</v>
      </c>
      <c r="GE7" s="120"/>
      <c r="GF7" s="120"/>
      <c r="GG7" s="120"/>
      <c r="GH7" s="120"/>
      <c r="GI7" s="120"/>
      <c r="GJ7" s="209"/>
      <c r="GK7" s="205"/>
      <c r="GL7" s="205">
        <f t="shared" si="144"/>
        <v>0</v>
      </c>
      <c r="GM7" s="120"/>
      <c r="GN7" s="120"/>
      <c r="GO7" s="120"/>
      <c r="GP7" s="120"/>
      <c r="GQ7" s="120"/>
      <c r="GR7" s="209"/>
      <c r="GS7" s="205"/>
      <c r="GT7" s="205">
        <f t="shared" si="145"/>
        <v>0</v>
      </c>
      <c r="GU7" s="120"/>
      <c r="GV7" s="120"/>
      <c r="GW7" s="120"/>
      <c r="GX7" s="120"/>
      <c r="GY7" s="120"/>
      <c r="GZ7" s="209"/>
      <c r="HA7" s="205"/>
      <c r="HB7" s="205">
        <f t="shared" si="146"/>
        <v>0</v>
      </c>
      <c r="HC7" s="120"/>
      <c r="HD7" s="120"/>
      <c r="HE7" s="120"/>
      <c r="HF7" s="120"/>
      <c r="HG7" s="120"/>
      <c r="HH7" s="209"/>
      <c r="HI7" s="205"/>
      <c r="HJ7" s="205">
        <f t="shared" si="147"/>
        <v>0</v>
      </c>
      <c r="HK7" s="205">
        <f t="shared" si="153"/>
        <v>0</v>
      </c>
      <c r="HL7" s="124"/>
      <c r="HM7" s="120"/>
      <c r="HN7" s="120"/>
      <c r="HO7" s="120"/>
      <c r="HP7" s="120"/>
      <c r="HQ7" s="205"/>
      <c r="HR7" s="205"/>
      <c r="HS7" s="205">
        <f t="shared" si="154"/>
        <v>0</v>
      </c>
      <c r="HT7" s="120"/>
      <c r="HU7" s="120"/>
      <c r="HV7" s="120"/>
      <c r="HW7" s="120"/>
      <c r="HX7" s="120"/>
      <c r="HY7" s="205"/>
      <c r="HZ7" s="205"/>
      <c r="IA7" s="205">
        <f t="shared" si="155"/>
        <v>0</v>
      </c>
      <c r="IB7" s="120"/>
      <c r="IC7" s="120"/>
      <c r="ID7" s="120"/>
      <c r="IE7" s="120"/>
      <c r="IF7" s="120"/>
      <c r="IG7" s="205"/>
      <c r="IH7" s="205"/>
      <c r="II7" s="205">
        <f t="shared" si="156"/>
        <v>0</v>
      </c>
      <c r="IJ7" s="120"/>
      <c r="IK7" s="120"/>
      <c r="IL7" s="120"/>
      <c r="IM7" s="120"/>
      <c r="IN7" s="120"/>
      <c r="IO7" s="205"/>
      <c r="IP7" s="205"/>
      <c r="IQ7" s="205">
        <f t="shared" si="157"/>
        <v>0</v>
      </c>
      <c r="IR7" s="205">
        <f t="shared" si="158"/>
        <v>0</v>
      </c>
      <c r="IS7" s="120"/>
      <c r="IT7" s="120"/>
      <c r="IU7" s="120"/>
      <c r="IV7" s="120"/>
      <c r="IW7" s="120"/>
      <c r="IX7" s="205"/>
      <c r="IY7" s="205"/>
      <c r="IZ7" s="205">
        <f t="shared" si="159"/>
        <v>0</v>
      </c>
      <c r="JA7" s="120"/>
      <c r="JB7" s="120"/>
      <c r="JC7" s="120"/>
      <c r="JD7" s="120"/>
      <c r="JE7" s="120"/>
      <c r="JF7" s="205"/>
      <c r="JG7" s="205"/>
      <c r="JH7" s="205">
        <f t="shared" si="160"/>
        <v>0</v>
      </c>
      <c r="JI7" s="120"/>
      <c r="JJ7" s="120"/>
      <c r="JK7" s="120"/>
      <c r="JL7" s="120"/>
      <c r="JM7" s="120"/>
      <c r="JN7" s="205"/>
      <c r="JO7" s="205"/>
      <c r="JP7" s="205">
        <f t="shared" si="161"/>
        <v>0</v>
      </c>
      <c r="JQ7" s="120"/>
      <c r="JR7" s="120"/>
      <c r="JS7" s="120"/>
      <c r="JT7" s="120"/>
      <c r="JU7" s="120"/>
      <c r="JV7" s="205"/>
      <c r="JW7" s="205"/>
      <c r="JX7" s="205">
        <f t="shared" si="162"/>
        <v>0</v>
      </c>
      <c r="JY7" s="205">
        <f t="shared" si="163"/>
        <v>0</v>
      </c>
      <c r="JZ7" s="120"/>
      <c r="KA7" s="120"/>
      <c r="KB7" s="120"/>
      <c r="KC7" s="120"/>
      <c r="KD7" s="120"/>
      <c r="KE7" s="205"/>
      <c r="KF7" s="205"/>
      <c r="KG7" s="205">
        <f t="shared" si="164"/>
        <v>0</v>
      </c>
      <c r="KH7" s="120"/>
      <c r="KI7" s="120"/>
      <c r="KJ7" s="120"/>
      <c r="KK7" s="120"/>
      <c r="KL7" s="120"/>
      <c r="KM7" s="205"/>
      <c r="KN7" s="205"/>
      <c r="KO7" s="205">
        <f t="shared" si="165"/>
        <v>0</v>
      </c>
      <c r="KP7" s="120"/>
      <c r="KQ7" s="120"/>
      <c r="KR7" s="120"/>
      <c r="KS7" s="120"/>
      <c r="KT7" s="120"/>
      <c r="KU7" s="205"/>
      <c r="KV7" s="205"/>
      <c r="KW7" s="205">
        <f t="shared" si="166"/>
        <v>0</v>
      </c>
      <c r="KX7" s="120"/>
      <c r="KY7" s="120"/>
      <c r="KZ7" s="120"/>
      <c r="LA7" s="120"/>
      <c r="LB7" s="120"/>
      <c r="LC7" s="205"/>
      <c r="LD7" s="205"/>
      <c r="LE7" s="205">
        <f t="shared" si="167"/>
        <v>0</v>
      </c>
      <c r="LF7" s="205"/>
      <c r="LG7" s="120"/>
      <c r="LH7" s="120"/>
      <c r="LI7" s="120"/>
      <c r="LJ7" s="120"/>
      <c r="LK7" s="205"/>
      <c r="LL7" s="205"/>
      <c r="LM7" s="205">
        <f t="shared" si="168"/>
        <v>0</v>
      </c>
      <c r="LN7" s="205">
        <f t="shared" si="169"/>
        <v>0</v>
      </c>
      <c r="LO7" s="205"/>
      <c r="LP7" s="120"/>
      <c r="LQ7" s="120"/>
      <c r="LR7" s="120"/>
      <c r="LS7" s="205"/>
      <c r="LT7" s="205"/>
      <c r="LU7" s="205"/>
      <c r="LV7" s="205">
        <f t="shared" si="170"/>
        <v>0</v>
      </c>
      <c r="LW7" s="120"/>
      <c r="LX7" s="120"/>
      <c r="LY7" s="120"/>
      <c r="LZ7" s="120"/>
      <c r="MA7" s="120"/>
      <c r="MB7" s="205"/>
      <c r="MC7" s="205"/>
      <c r="MD7" s="205">
        <f t="shared" si="171"/>
        <v>0</v>
      </c>
      <c r="ME7" s="120"/>
      <c r="MF7" s="120"/>
      <c r="MG7" s="120"/>
      <c r="MH7" s="120"/>
      <c r="MI7" s="205"/>
      <c r="MJ7" s="205"/>
      <c r="MK7" s="205"/>
      <c r="ML7" s="205">
        <f t="shared" si="172"/>
        <v>0</v>
      </c>
      <c r="MM7" s="120"/>
      <c r="MN7" s="120"/>
      <c r="MO7" s="120"/>
      <c r="MP7" s="120"/>
      <c r="MQ7" s="120"/>
      <c r="MR7" s="205"/>
      <c r="MS7" s="205"/>
      <c r="MT7" s="205">
        <f t="shared" si="173"/>
        <v>0</v>
      </c>
      <c r="MU7" s="205">
        <f t="shared" si="174"/>
        <v>0</v>
      </c>
      <c r="MV7" s="120"/>
      <c r="MW7" s="120"/>
      <c r="MX7" s="120"/>
      <c r="MY7" s="120"/>
      <c r="MZ7" s="120"/>
      <c r="NA7" s="205"/>
      <c r="NB7" s="205"/>
      <c r="NC7" s="205">
        <f t="shared" si="175"/>
        <v>0</v>
      </c>
      <c r="ND7" s="120"/>
      <c r="NE7" s="120"/>
      <c r="NF7" s="120"/>
      <c r="NG7" s="120"/>
      <c r="NH7" s="120"/>
      <c r="NI7" s="205"/>
      <c r="NJ7" s="205"/>
      <c r="NK7" s="205">
        <f t="shared" si="176"/>
        <v>0</v>
      </c>
      <c r="NL7" s="120"/>
      <c r="NM7" s="120"/>
      <c r="NN7" s="120"/>
      <c r="NO7" s="120"/>
      <c r="NP7" s="120"/>
      <c r="NQ7" s="205"/>
      <c r="NR7" s="205"/>
      <c r="NS7" s="205">
        <f t="shared" si="177"/>
        <v>0</v>
      </c>
      <c r="NT7" s="120"/>
      <c r="NU7" s="120"/>
      <c r="NV7" s="120"/>
      <c r="NW7" s="120"/>
      <c r="NX7" s="120"/>
      <c r="NY7" s="205"/>
      <c r="NZ7" s="205"/>
      <c r="OA7" s="205">
        <f t="shared" si="178"/>
        <v>0</v>
      </c>
      <c r="OB7" s="205">
        <f t="shared" si="179"/>
        <v>0</v>
      </c>
      <c r="OC7" s="120"/>
      <c r="OD7" s="120"/>
      <c r="OE7" s="120"/>
      <c r="OF7" s="120"/>
      <c r="OG7" s="120"/>
      <c r="OH7" s="205"/>
      <c r="OI7" s="205"/>
      <c r="OJ7" s="205">
        <f t="shared" si="180"/>
        <v>0</v>
      </c>
      <c r="OK7" s="120"/>
      <c r="OL7" s="120"/>
      <c r="OM7" s="120"/>
      <c r="ON7" s="120"/>
      <c r="OO7" s="120"/>
      <c r="OP7" s="205"/>
      <c r="OQ7" s="205"/>
      <c r="OR7" s="205">
        <f t="shared" si="181"/>
        <v>0</v>
      </c>
      <c r="OS7" s="120"/>
      <c r="OT7" s="120"/>
      <c r="OU7" s="120"/>
      <c r="OV7" s="120"/>
      <c r="OW7" s="120"/>
      <c r="OX7" s="205"/>
      <c r="OY7" s="205"/>
      <c r="OZ7" s="205">
        <f t="shared" si="182"/>
        <v>0</v>
      </c>
      <c r="PA7" s="120"/>
      <c r="PB7" s="120"/>
      <c r="PC7" s="120"/>
      <c r="PD7" s="205"/>
      <c r="PE7" s="217"/>
      <c r="PF7" s="205"/>
      <c r="PG7" s="205"/>
      <c r="PH7" s="205">
        <f t="shared" si="183"/>
        <v>0</v>
      </c>
      <c r="PI7" s="120"/>
      <c r="PJ7" s="120"/>
      <c r="PK7" s="120"/>
      <c r="PL7" s="205"/>
      <c r="PM7" s="217"/>
      <c r="PN7" s="205"/>
      <c r="PO7" s="205"/>
      <c r="PP7" s="205">
        <f t="shared" si="184"/>
        <v>0</v>
      </c>
      <c r="PQ7" s="205">
        <f t="shared" si="185"/>
        <v>0</v>
      </c>
      <c r="PR7" s="207"/>
      <c r="PS7" s="207"/>
      <c r="PT7" s="207"/>
      <c r="PU7" s="207"/>
      <c r="PV7" s="207"/>
      <c r="PW7" s="272"/>
      <c r="PX7" s="272"/>
      <c r="PY7" s="205">
        <f t="shared" si="186"/>
        <v>0</v>
      </c>
      <c r="PZ7" s="207"/>
      <c r="QA7" s="207"/>
      <c r="QB7" s="207"/>
      <c r="QC7" s="207"/>
      <c r="QD7" s="207"/>
      <c r="QE7" s="272"/>
      <c r="QF7" s="272"/>
      <c r="QG7" s="205">
        <f t="shared" si="187"/>
        <v>0</v>
      </c>
      <c r="QH7" s="207"/>
      <c r="QI7" s="207"/>
      <c r="QJ7" s="294"/>
      <c r="QK7" s="207"/>
      <c r="QL7" s="207"/>
      <c r="QM7" s="272"/>
      <c r="QN7" s="272"/>
      <c r="QO7" s="205">
        <f t="shared" si="188"/>
        <v>0</v>
      </c>
      <c r="QP7" s="207"/>
      <c r="QQ7" s="207"/>
      <c r="QR7" s="207"/>
      <c r="QS7" s="207"/>
      <c r="QT7" s="207"/>
      <c r="QU7" s="272"/>
      <c r="QV7" s="272"/>
      <c r="QW7" s="205">
        <f t="shared" si="189"/>
        <v>0</v>
      </c>
      <c r="QX7" s="205">
        <f t="shared" si="190"/>
        <v>0</v>
      </c>
      <c r="QY7" s="207"/>
      <c r="QZ7" s="207"/>
      <c r="RA7" s="207"/>
      <c r="RB7" s="207"/>
      <c r="RC7" s="207"/>
      <c r="RD7" s="272"/>
      <c r="RE7" s="272"/>
      <c r="RF7" s="205">
        <f t="shared" si="191"/>
        <v>0</v>
      </c>
      <c r="RG7" s="207"/>
      <c r="RH7" s="207"/>
      <c r="RI7" s="207"/>
      <c r="RJ7" s="207"/>
      <c r="RK7" s="207"/>
      <c r="RL7" s="272"/>
      <c r="RM7" s="272"/>
      <c r="RN7" s="205">
        <f t="shared" si="192"/>
        <v>0</v>
      </c>
      <c r="RO7" s="272"/>
      <c r="RP7" s="272"/>
      <c r="RQ7" s="272"/>
      <c r="RR7" s="272"/>
      <c r="RS7" s="272"/>
      <c r="RT7" s="272"/>
      <c r="RU7" s="272"/>
      <c r="RV7" s="205">
        <f t="shared" si="193"/>
        <v>0</v>
      </c>
      <c r="RW7" s="207"/>
      <c r="RX7" s="207"/>
      <c r="RY7" s="207"/>
      <c r="RZ7" s="207"/>
      <c r="SA7" s="272"/>
      <c r="SB7" s="272"/>
      <c r="SC7" s="272"/>
      <c r="SD7" s="205">
        <f t="shared" si="194"/>
        <v>0</v>
      </c>
      <c r="SE7" s="205">
        <f t="shared" si="195"/>
        <v>0</v>
      </c>
      <c r="SF7" s="207"/>
      <c r="SG7" s="207"/>
      <c r="SH7" s="207"/>
      <c r="SI7" s="207"/>
      <c r="SJ7" s="207"/>
      <c r="SK7" s="272"/>
      <c r="SL7" s="272"/>
      <c r="SM7" s="205">
        <f t="shared" si="196"/>
        <v>0</v>
      </c>
      <c r="SN7" s="207"/>
      <c r="SO7" s="207"/>
      <c r="SP7" s="207"/>
      <c r="SQ7" s="207"/>
      <c r="SR7" s="207"/>
      <c r="SS7" s="272"/>
      <c r="ST7" s="272"/>
      <c r="SU7" s="205">
        <f t="shared" si="197"/>
        <v>0</v>
      </c>
      <c r="SV7" s="207"/>
      <c r="SW7" s="207"/>
      <c r="SX7" s="207"/>
      <c r="SY7" s="207"/>
      <c r="SZ7" s="207"/>
      <c r="TA7" s="272"/>
      <c r="TB7" s="272"/>
      <c r="TC7" s="205">
        <f t="shared" si="198"/>
        <v>0</v>
      </c>
      <c r="TD7" s="207"/>
      <c r="TE7" s="207"/>
      <c r="TF7" s="207"/>
      <c r="TG7" s="207"/>
      <c r="TH7" s="207"/>
      <c r="TI7" s="272"/>
      <c r="TJ7" s="272"/>
      <c r="TK7" s="205">
        <f t="shared" si="199"/>
        <v>0</v>
      </c>
      <c r="TL7" s="207"/>
      <c r="TM7" s="207"/>
      <c r="TN7" s="207"/>
      <c r="TO7" s="207"/>
      <c r="TP7" s="272"/>
      <c r="TQ7" s="272"/>
      <c r="TR7" s="272"/>
      <c r="TS7" s="205">
        <f t="shared" si="200"/>
        <v>0</v>
      </c>
      <c r="TT7" s="205">
        <f t="shared" si="201"/>
        <v>0</v>
      </c>
      <c r="TU7" s="272"/>
      <c r="TV7" s="207"/>
      <c r="TW7" s="207"/>
      <c r="TX7" s="207"/>
      <c r="TY7" s="207"/>
      <c r="TZ7" s="272"/>
      <c r="UA7" s="272"/>
      <c r="UB7" s="205">
        <f t="shared" si="202"/>
        <v>0</v>
      </c>
      <c r="UC7" s="207"/>
      <c r="UD7" s="207"/>
      <c r="UE7" s="207"/>
      <c r="UF7" s="207"/>
      <c r="UG7" s="207"/>
      <c r="UH7" s="272"/>
      <c r="UI7" s="272"/>
      <c r="UJ7" s="205">
        <f t="shared" si="203"/>
        <v>0</v>
      </c>
      <c r="UK7" s="207"/>
      <c r="UL7" s="207"/>
      <c r="UM7" s="207"/>
      <c r="UN7" s="207"/>
      <c r="UO7" s="207"/>
      <c r="UP7" s="272"/>
      <c r="UQ7" s="272"/>
      <c r="UR7" s="205">
        <f t="shared" si="226"/>
        <v>0</v>
      </c>
      <c r="US7" s="207"/>
      <c r="UT7" s="207"/>
      <c r="UU7" s="207"/>
      <c r="UV7" s="207"/>
      <c r="UW7" s="272"/>
      <c r="UX7" s="272"/>
      <c r="UY7" s="272"/>
      <c r="UZ7" s="205">
        <f t="shared" si="204"/>
        <v>0</v>
      </c>
      <c r="VA7" s="205">
        <f t="shared" si="205"/>
        <v>0</v>
      </c>
      <c r="VB7" s="207"/>
      <c r="VC7" s="207"/>
      <c r="VD7" s="207"/>
      <c r="VE7" s="207"/>
      <c r="VF7" s="207"/>
      <c r="VG7" s="272"/>
      <c r="VH7" s="272"/>
      <c r="VI7" s="205">
        <f t="shared" si="206"/>
        <v>0</v>
      </c>
      <c r="VJ7" s="207"/>
      <c r="VK7" s="207"/>
      <c r="VL7" s="207"/>
      <c r="VM7" s="207"/>
      <c r="VN7" s="207"/>
      <c r="VO7" s="272"/>
      <c r="VP7" s="272"/>
      <c r="VQ7" s="205">
        <f t="shared" si="207"/>
        <v>0</v>
      </c>
      <c r="VR7" s="207"/>
      <c r="VS7" s="207"/>
      <c r="VT7" s="207"/>
      <c r="VU7" s="207"/>
      <c r="VV7" s="207"/>
      <c r="VW7" s="272"/>
      <c r="VX7" s="272"/>
      <c r="VY7" s="205">
        <f t="shared" si="208"/>
        <v>0</v>
      </c>
      <c r="VZ7" s="207"/>
      <c r="WA7" s="207"/>
      <c r="WB7" s="207"/>
      <c r="WC7" s="207"/>
      <c r="WD7" s="207"/>
      <c r="WE7" s="272"/>
      <c r="WF7" s="272"/>
      <c r="WG7" s="205">
        <f t="shared" si="209"/>
        <v>0</v>
      </c>
      <c r="WH7" s="205">
        <f t="shared" si="210"/>
        <v>0</v>
      </c>
      <c r="WI7" s="207"/>
      <c r="WJ7" s="207"/>
      <c r="WK7" s="207"/>
      <c r="WL7" s="207"/>
      <c r="WM7" s="207"/>
      <c r="WN7" s="272"/>
      <c r="WO7" s="272"/>
      <c r="WP7" s="205">
        <f t="shared" si="211"/>
        <v>0</v>
      </c>
      <c r="WQ7" s="207"/>
      <c r="WR7" s="207"/>
      <c r="WS7" s="207"/>
      <c r="WT7" s="207"/>
      <c r="WU7" s="207"/>
      <c r="WV7" s="272"/>
      <c r="WW7" s="272"/>
      <c r="WX7" s="205">
        <f t="shared" si="212"/>
        <v>0</v>
      </c>
      <c r="WY7" s="207"/>
      <c r="WZ7" s="207"/>
      <c r="XA7" s="207"/>
      <c r="XB7" s="207"/>
      <c r="XC7" s="272"/>
      <c r="XD7" s="272"/>
      <c r="XE7" s="272"/>
      <c r="XF7" s="205">
        <f t="shared" si="213"/>
        <v>0</v>
      </c>
      <c r="XG7" s="207"/>
      <c r="XH7" s="207"/>
      <c r="XI7" s="207"/>
      <c r="XJ7" s="207"/>
      <c r="XK7" s="207"/>
      <c r="XL7" s="272"/>
      <c r="XM7" s="272"/>
      <c r="XN7" s="205">
        <f t="shared" si="214"/>
        <v>0</v>
      </c>
      <c r="XO7" s="207"/>
      <c r="XP7" s="207"/>
      <c r="XQ7" s="207"/>
      <c r="XR7" s="207"/>
      <c r="XS7" s="207"/>
      <c r="XT7" s="272"/>
      <c r="XU7" s="272"/>
      <c r="XV7" s="205">
        <f t="shared" si="215"/>
        <v>0</v>
      </c>
      <c r="XW7" s="205">
        <f t="shared" si="216"/>
        <v>0</v>
      </c>
      <c r="XX7" s="207"/>
      <c r="XY7" s="207"/>
      <c r="XZ7" s="207"/>
      <c r="YA7" s="207"/>
      <c r="YB7" s="207"/>
      <c r="YC7" s="272"/>
      <c r="YD7" s="272"/>
      <c r="YE7" s="205">
        <f t="shared" si="217"/>
        <v>0</v>
      </c>
      <c r="YF7" s="207"/>
      <c r="YG7" s="207"/>
      <c r="YH7" s="207"/>
      <c r="YI7" s="207"/>
      <c r="YJ7" s="207"/>
      <c r="YK7" s="272"/>
      <c r="YL7" s="272"/>
      <c r="YM7" s="205">
        <f t="shared" si="218"/>
        <v>0</v>
      </c>
      <c r="YN7" s="207"/>
      <c r="YO7" s="207"/>
      <c r="YP7" s="207"/>
      <c r="YQ7" s="207"/>
      <c r="YR7" s="207"/>
      <c r="YS7" s="272"/>
      <c r="YT7" s="272"/>
      <c r="YU7" s="205">
        <f t="shared" si="148"/>
        <v>0</v>
      </c>
      <c r="YV7" s="207"/>
      <c r="YW7" s="207"/>
      <c r="YX7" s="207"/>
      <c r="YY7" s="207"/>
      <c r="YZ7" s="207"/>
      <c r="ZA7" s="272"/>
      <c r="ZB7" s="272"/>
      <c r="ZC7" s="205">
        <f t="shared" si="219"/>
        <v>0</v>
      </c>
      <c r="ZD7" s="205">
        <f t="shared" si="149"/>
        <v>0</v>
      </c>
      <c r="ZE7" s="207"/>
      <c r="ZF7" s="207"/>
      <c r="ZG7" s="207"/>
      <c r="ZH7" s="207"/>
      <c r="ZI7" s="207"/>
      <c r="ZJ7" s="272"/>
      <c r="ZK7" s="272"/>
      <c r="ZL7" s="205">
        <f t="shared" si="220"/>
        <v>0</v>
      </c>
      <c r="ZM7" s="207"/>
      <c r="ZN7" s="207"/>
      <c r="ZO7" s="207"/>
      <c r="ZP7" s="207"/>
      <c r="ZQ7" s="207"/>
      <c r="ZR7" s="272"/>
      <c r="ZS7" s="272"/>
      <c r="ZT7" s="205">
        <f t="shared" si="221"/>
        <v>0</v>
      </c>
      <c r="ZU7" s="207"/>
      <c r="ZV7" s="207"/>
      <c r="ZW7" s="207"/>
      <c r="ZX7" s="207"/>
      <c r="ZY7" s="207"/>
      <c r="ZZ7" s="272"/>
      <c r="AAA7" s="272"/>
      <c r="AAB7" s="205">
        <f t="shared" si="222"/>
        <v>0</v>
      </c>
      <c r="AAC7" s="207"/>
      <c r="AAD7" s="207"/>
      <c r="AAE7" s="207"/>
      <c r="AAF7" s="207"/>
      <c r="AAG7" s="207"/>
      <c r="AAH7" s="272"/>
      <c r="AAI7" s="272"/>
      <c r="AAJ7" s="205">
        <f t="shared" si="223"/>
        <v>0</v>
      </c>
      <c r="AAK7" s="207"/>
      <c r="AAL7" s="207"/>
      <c r="AAM7" s="207"/>
      <c r="AAN7" s="207"/>
      <c r="AAO7" s="207"/>
      <c r="AAP7" s="272"/>
      <c r="AAQ7" s="272"/>
      <c r="AAR7" s="205">
        <f t="shared" si="224"/>
        <v>0</v>
      </c>
      <c r="AAS7" s="205">
        <f t="shared" si="225"/>
        <v>0</v>
      </c>
    </row>
    <row r="8" spans="1:721" ht="69.95" customHeight="1">
      <c r="A8" s="119" t="s">
        <v>547</v>
      </c>
      <c r="B8" s="155">
        <v>3620101401</v>
      </c>
      <c r="C8" s="323"/>
      <c r="D8" s="203" t="s">
        <v>13</v>
      </c>
      <c r="E8" s="130" t="s">
        <v>4</v>
      </c>
      <c r="F8" s="120"/>
      <c r="G8" s="120"/>
      <c r="H8" s="201">
        <v>1400</v>
      </c>
      <c r="I8" s="120"/>
      <c r="J8" s="120"/>
      <c r="K8" s="209"/>
      <c r="L8" s="205"/>
      <c r="M8" s="205">
        <f t="shared" si="121"/>
        <v>1400</v>
      </c>
      <c r="N8" s="120"/>
      <c r="O8" s="120"/>
      <c r="P8" s="120"/>
      <c r="Q8" s="120"/>
      <c r="R8" s="120"/>
      <c r="S8" s="209"/>
      <c r="T8" s="205"/>
      <c r="U8" s="205">
        <f t="shared" si="122"/>
        <v>0</v>
      </c>
      <c r="V8" s="120"/>
      <c r="W8" s="120"/>
      <c r="X8" s="120"/>
      <c r="Y8" s="120"/>
      <c r="Z8" s="120"/>
      <c r="AA8" s="209"/>
      <c r="AB8" s="205"/>
      <c r="AC8" s="205">
        <f t="shared" si="123"/>
        <v>0</v>
      </c>
      <c r="AD8" s="205"/>
      <c r="AE8" s="205"/>
      <c r="AF8" s="205"/>
      <c r="AG8" s="205"/>
      <c r="AH8" s="205"/>
      <c r="AI8" s="209"/>
      <c r="AJ8" s="205"/>
      <c r="AK8" s="205">
        <f t="shared" si="124"/>
        <v>0</v>
      </c>
      <c r="AL8" s="205" t="e">
        <f>SUM(#REF!,M8,U8,AC8,AD8:AH8)</f>
        <v>#REF!</v>
      </c>
      <c r="AM8" s="120"/>
      <c r="AN8" s="120"/>
      <c r="AO8" s="120"/>
      <c r="AP8" s="120"/>
      <c r="AQ8" s="120"/>
      <c r="AR8" s="209"/>
      <c r="AS8" s="205"/>
      <c r="AT8" s="205">
        <f t="shared" si="125"/>
        <v>0</v>
      </c>
      <c r="AU8" s="120"/>
      <c r="AV8" s="120"/>
      <c r="AW8" s="120"/>
      <c r="AX8" s="120"/>
      <c r="AY8" s="120"/>
      <c r="AZ8" s="209"/>
      <c r="BA8" s="205"/>
      <c r="BB8" s="205">
        <f t="shared" si="126"/>
        <v>0</v>
      </c>
      <c r="BC8" s="120"/>
      <c r="BD8" s="120"/>
      <c r="BE8" s="120"/>
      <c r="BF8" s="217">
        <v>2800</v>
      </c>
      <c r="BG8" s="120"/>
      <c r="BH8" s="209"/>
      <c r="BI8" s="205"/>
      <c r="BJ8" s="205">
        <f t="shared" si="127"/>
        <v>2800</v>
      </c>
      <c r="BK8" s="120"/>
      <c r="BL8" s="120"/>
      <c r="BM8" s="201">
        <v>400</v>
      </c>
      <c r="BN8" s="120"/>
      <c r="BO8" s="205"/>
      <c r="BP8" s="209"/>
      <c r="BQ8" s="205"/>
      <c r="BR8" s="205">
        <f t="shared" si="128"/>
        <v>400</v>
      </c>
      <c r="BS8" s="205">
        <f t="shared" si="129"/>
        <v>3200</v>
      </c>
      <c r="BT8" s="120"/>
      <c r="BU8" s="120"/>
      <c r="BV8" s="120"/>
      <c r="BW8" s="120"/>
      <c r="BX8" s="120"/>
      <c r="BY8" s="209"/>
      <c r="BZ8" s="205"/>
      <c r="CA8" s="205">
        <f t="shared" si="130"/>
        <v>0</v>
      </c>
      <c r="CB8" s="120"/>
      <c r="CC8" s="120"/>
      <c r="CD8" s="120"/>
      <c r="CE8" s="120"/>
      <c r="CF8" s="120"/>
      <c r="CG8" s="209"/>
      <c r="CH8" s="205"/>
      <c r="CI8" s="205">
        <f t="shared" si="131"/>
        <v>0</v>
      </c>
      <c r="CJ8" s="120"/>
      <c r="CK8" s="120"/>
      <c r="CL8" s="120"/>
      <c r="CM8" s="120"/>
      <c r="CN8" s="120"/>
      <c r="CO8" s="209"/>
      <c r="CP8" s="205"/>
      <c r="CQ8" s="205">
        <f t="shared" si="132"/>
        <v>0</v>
      </c>
      <c r="CR8" s="120"/>
      <c r="CS8" s="120"/>
      <c r="CT8" s="120"/>
      <c r="CU8" s="120"/>
      <c r="CV8" s="120"/>
      <c r="CW8" s="209"/>
      <c r="CX8" s="205"/>
      <c r="CY8" s="205">
        <f t="shared" si="133"/>
        <v>0</v>
      </c>
      <c r="CZ8" s="120"/>
      <c r="DA8" s="120"/>
      <c r="DB8" s="120"/>
      <c r="DC8" s="205"/>
      <c r="DD8" s="205"/>
      <c r="DE8" s="209"/>
      <c r="DF8" s="205"/>
      <c r="DG8" s="205">
        <f t="shared" si="134"/>
        <v>0</v>
      </c>
      <c r="DH8" s="205">
        <f t="shared" si="150"/>
        <v>0</v>
      </c>
      <c r="DI8" s="120"/>
      <c r="DJ8" s="120"/>
      <c r="DK8" s="120"/>
      <c r="DL8" s="120"/>
      <c r="DM8" s="120"/>
      <c r="DN8" s="209"/>
      <c r="DO8" s="205"/>
      <c r="DP8" s="205">
        <f t="shared" si="135"/>
        <v>0</v>
      </c>
      <c r="DQ8" s="120"/>
      <c r="DR8" s="120"/>
      <c r="DS8" s="120"/>
      <c r="DT8" s="120"/>
      <c r="DU8" s="120"/>
      <c r="DV8" s="209"/>
      <c r="DW8" s="205"/>
      <c r="DX8" s="205">
        <f t="shared" si="136"/>
        <v>0</v>
      </c>
      <c r="DY8" s="120"/>
      <c r="DZ8" s="120"/>
      <c r="EA8" s="120"/>
      <c r="EB8" s="120"/>
      <c r="EC8" s="120"/>
      <c r="ED8" s="209"/>
      <c r="EE8" s="205"/>
      <c r="EF8" s="205">
        <f t="shared" si="137"/>
        <v>0</v>
      </c>
      <c r="EG8" s="120"/>
      <c r="EH8" s="120"/>
      <c r="EI8" s="120"/>
      <c r="EJ8" s="205"/>
      <c r="EK8" s="205"/>
      <c r="EL8" s="209"/>
      <c r="EM8" s="205"/>
      <c r="EN8" s="205">
        <f t="shared" si="138"/>
        <v>0</v>
      </c>
      <c r="EO8" s="205">
        <f t="shared" si="151"/>
        <v>0</v>
      </c>
      <c r="EP8" s="250">
        <v>480</v>
      </c>
      <c r="EQ8" s="120"/>
      <c r="ER8" s="120"/>
      <c r="ES8" s="120"/>
      <c r="ET8" s="120"/>
      <c r="EU8" s="209"/>
      <c r="EV8" s="205"/>
      <c r="EW8" s="205">
        <f t="shared" si="139"/>
        <v>480</v>
      </c>
      <c r="EX8" s="120"/>
      <c r="EY8" s="120"/>
      <c r="EZ8" s="120"/>
      <c r="FA8" s="120"/>
      <c r="FB8" s="120"/>
      <c r="FC8" s="209"/>
      <c r="FD8" s="205"/>
      <c r="FE8" s="205">
        <f t="shared" si="140"/>
        <v>0</v>
      </c>
      <c r="FF8" s="120"/>
      <c r="FG8" s="120"/>
      <c r="FH8" s="120"/>
      <c r="FI8" s="120"/>
      <c r="FJ8" s="120"/>
      <c r="FK8" s="209"/>
      <c r="FL8" s="205"/>
      <c r="FM8" s="205">
        <f t="shared" si="141"/>
        <v>0</v>
      </c>
      <c r="FN8" s="120"/>
      <c r="FO8" s="120"/>
      <c r="FP8" s="120"/>
      <c r="FQ8" s="120"/>
      <c r="FR8" s="205"/>
      <c r="FS8" s="209"/>
      <c r="FT8" s="205"/>
      <c r="FU8" s="205">
        <f t="shared" si="142"/>
        <v>0</v>
      </c>
      <c r="FV8" s="205">
        <f t="shared" si="152"/>
        <v>480</v>
      </c>
      <c r="FW8" s="120"/>
      <c r="FX8" s="120"/>
      <c r="FY8" s="120"/>
      <c r="FZ8" s="120"/>
      <c r="GA8" s="120"/>
      <c r="GB8" s="209"/>
      <c r="GC8" s="205"/>
      <c r="GD8" s="205">
        <f t="shared" si="143"/>
        <v>0</v>
      </c>
      <c r="GE8" s="120"/>
      <c r="GF8" s="120"/>
      <c r="GG8" s="120"/>
      <c r="GH8" s="120"/>
      <c r="GI8" s="120"/>
      <c r="GJ8" s="209"/>
      <c r="GK8" s="205"/>
      <c r="GL8" s="205">
        <f t="shared" si="144"/>
        <v>0</v>
      </c>
      <c r="GM8" s="120"/>
      <c r="GN8" s="120"/>
      <c r="GO8" s="120"/>
      <c r="GP8" s="120"/>
      <c r="GQ8" s="120"/>
      <c r="GR8" s="209"/>
      <c r="GS8" s="205"/>
      <c r="GT8" s="205">
        <f t="shared" si="145"/>
        <v>0</v>
      </c>
      <c r="GU8" s="120"/>
      <c r="GV8" s="120"/>
      <c r="GW8" s="120"/>
      <c r="GX8" s="120"/>
      <c r="GY8" s="120"/>
      <c r="GZ8" s="209"/>
      <c r="HA8" s="205"/>
      <c r="HB8" s="205">
        <f t="shared" si="146"/>
        <v>0</v>
      </c>
      <c r="HC8" s="120"/>
      <c r="HD8" s="120"/>
      <c r="HE8" s="120"/>
      <c r="HF8" s="120"/>
      <c r="HG8" s="120"/>
      <c r="HH8" s="209"/>
      <c r="HI8" s="205"/>
      <c r="HJ8" s="205">
        <f t="shared" si="147"/>
        <v>0</v>
      </c>
      <c r="HK8" s="205">
        <f t="shared" si="153"/>
        <v>0</v>
      </c>
      <c r="HL8" s="124"/>
      <c r="HM8" s="120"/>
      <c r="HN8" s="217">
        <v>1500</v>
      </c>
      <c r="HO8" s="120"/>
      <c r="HP8" s="120"/>
      <c r="HQ8" s="205"/>
      <c r="HR8" s="205"/>
      <c r="HS8" s="205">
        <f t="shared" si="154"/>
        <v>1500</v>
      </c>
      <c r="HT8" s="120"/>
      <c r="HU8" s="120"/>
      <c r="HV8" s="120"/>
      <c r="HW8" s="120"/>
      <c r="HX8" s="120"/>
      <c r="HY8" s="205"/>
      <c r="HZ8" s="205"/>
      <c r="IA8" s="205">
        <f t="shared" si="155"/>
        <v>0</v>
      </c>
      <c r="IB8" s="120"/>
      <c r="IC8" s="120"/>
      <c r="ID8" s="120"/>
      <c r="IE8" s="120"/>
      <c r="IF8" s="120"/>
      <c r="IG8" s="205"/>
      <c r="IH8" s="205"/>
      <c r="II8" s="205">
        <f t="shared" si="156"/>
        <v>0</v>
      </c>
      <c r="IJ8" s="120"/>
      <c r="IK8" s="120"/>
      <c r="IL8" s="120"/>
      <c r="IM8" s="120"/>
      <c r="IN8" s="120"/>
      <c r="IO8" s="205"/>
      <c r="IP8" s="205"/>
      <c r="IQ8" s="205">
        <f t="shared" si="157"/>
        <v>0</v>
      </c>
      <c r="IR8" s="205">
        <f t="shared" si="158"/>
        <v>1500</v>
      </c>
      <c r="IS8" s="217">
        <v>1870</v>
      </c>
      <c r="IT8" s="120"/>
      <c r="IU8" s="120"/>
      <c r="IV8" s="120"/>
      <c r="IW8" s="120"/>
      <c r="IX8" s="205"/>
      <c r="IY8" s="205"/>
      <c r="IZ8" s="205">
        <f t="shared" si="159"/>
        <v>1870</v>
      </c>
      <c r="JA8" s="120"/>
      <c r="JB8" s="120"/>
      <c r="JC8" s="120"/>
      <c r="JD8" s="120"/>
      <c r="JE8" s="120"/>
      <c r="JF8" s="205"/>
      <c r="JG8" s="205"/>
      <c r="JH8" s="205">
        <f t="shared" si="160"/>
        <v>0</v>
      </c>
      <c r="JI8" s="120"/>
      <c r="JJ8" s="120"/>
      <c r="JK8" s="120"/>
      <c r="JL8" s="120"/>
      <c r="JM8" s="120"/>
      <c r="JN8" s="205"/>
      <c r="JO8" s="205"/>
      <c r="JP8" s="205">
        <f t="shared" si="161"/>
        <v>0</v>
      </c>
      <c r="JQ8" s="120"/>
      <c r="JR8" s="120"/>
      <c r="JS8" s="120"/>
      <c r="JT8" s="120"/>
      <c r="JU8" s="120"/>
      <c r="JV8" s="205"/>
      <c r="JW8" s="205"/>
      <c r="JX8" s="205">
        <f t="shared" si="162"/>
        <v>0</v>
      </c>
      <c r="JY8" s="205">
        <f t="shared" si="163"/>
        <v>1870</v>
      </c>
      <c r="JZ8" s="120"/>
      <c r="KA8" s="120"/>
      <c r="KB8" s="120"/>
      <c r="KC8" s="120"/>
      <c r="KD8" s="120"/>
      <c r="KE8" s="205"/>
      <c r="KF8" s="205"/>
      <c r="KG8" s="205">
        <f t="shared" si="164"/>
        <v>0</v>
      </c>
      <c r="KH8" s="120"/>
      <c r="KI8" s="120"/>
      <c r="KJ8" s="120"/>
      <c r="KK8" s="120"/>
      <c r="KL8" s="120"/>
      <c r="KM8" s="205"/>
      <c r="KN8" s="205"/>
      <c r="KO8" s="205">
        <f t="shared" si="165"/>
        <v>0</v>
      </c>
      <c r="KP8" s="201">
        <v>10700</v>
      </c>
      <c r="KQ8" s="120"/>
      <c r="KR8" s="120"/>
      <c r="KS8" s="120"/>
      <c r="KT8" s="120"/>
      <c r="KU8" s="205"/>
      <c r="KV8" s="205"/>
      <c r="KW8" s="205">
        <f t="shared" si="166"/>
        <v>10700</v>
      </c>
      <c r="KX8" s="120"/>
      <c r="KY8" s="120"/>
      <c r="KZ8" s="120"/>
      <c r="LA8" s="120"/>
      <c r="LB8" s="120"/>
      <c r="LC8" s="205"/>
      <c r="LD8" s="205"/>
      <c r="LE8" s="205">
        <f t="shared" si="167"/>
        <v>0</v>
      </c>
      <c r="LF8" s="205"/>
      <c r="LG8" s="120"/>
      <c r="LH8" s="120"/>
      <c r="LI8" s="120"/>
      <c r="LJ8" s="120"/>
      <c r="LK8" s="205"/>
      <c r="LL8" s="205"/>
      <c r="LM8" s="205">
        <f t="shared" si="168"/>
        <v>0</v>
      </c>
      <c r="LN8" s="205">
        <f t="shared" si="169"/>
        <v>10700</v>
      </c>
      <c r="LO8" s="205"/>
      <c r="LP8" s="120"/>
      <c r="LQ8" s="120"/>
      <c r="LR8" s="120"/>
      <c r="LS8" s="205"/>
      <c r="LT8" s="205"/>
      <c r="LU8" s="205"/>
      <c r="LV8" s="205">
        <f t="shared" si="170"/>
        <v>0</v>
      </c>
      <c r="LW8" s="120"/>
      <c r="LX8" s="120"/>
      <c r="LY8" s="120"/>
      <c r="LZ8" s="120"/>
      <c r="MA8" s="120"/>
      <c r="MB8" s="205"/>
      <c r="MC8" s="205"/>
      <c r="MD8" s="205">
        <f t="shared" si="171"/>
        <v>0</v>
      </c>
      <c r="ME8" s="120"/>
      <c r="MF8" s="120"/>
      <c r="MG8" s="201">
        <v>2500</v>
      </c>
      <c r="MH8" s="120"/>
      <c r="MI8" s="205"/>
      <c r="MJ8" s="205"/>
      <c r="MK8" s="205"/>
      <c r="ML8" s="205">
        <f t="shared" si="172"/>
        <v>2500</v>
      </c>
      <c r="MM8" s="124">
        <v>2060</v>
      </c>
      <c r="MN8" s="120"/>
      <c r="MO8" s="120"/>
      <c r="MP8" s="120"/>
      <c r="MQ8" s="120"/>
      <c r="MR8" s="205"/>
      <c r="MS8" s="205"/>
      <c r="MT8" s="205">
        <f t="shared" si="173"/>
        <v>2060</v>
      </c>
      <c r="MU8" s="205">
        <f t="shared" si="174"/>
        <v>4560</v>
      </c>
      <c r="MV8" s="120"/>
      <c r="MW8" s="120"/>
      <c r="MX8" s="120"/>
      <c r="MY8" s="120"/>
      <c r="MZ8" s="120"/>
      <c r="NA8" s="205"/>
      <c r="NB8" s="205"/>
      <c r="NC8" s="205">
        <f t="shared" si="175"/>
        <v>0</v>
      </c>
      <c r="ND8" s="120"/>
      <c r="NE8" s="120"/>
      <c r="NF8" s="120"/>
      <c r="NG8" s="120"/>
      <c r="NH8" s="120"/>
      <c r="NI8" s="205"/>
      <c r="NJ8" s="205"/>
      <c r="NK8" s="205">
        <f t="shared" si="176"/>
        <v>0</v>
      </c>
      <c r="NL8" s="120"/>
      <c r="NM8" s="120"/>
      <c r="NN8" s="120"/>
      <c r="NO8" s="120"/>
      <c r="NP8" s="120"/>
      <c r="NQ8" s="205"/>
      <c r="NR8" s="205"/>
      <c r="NS8" s="205">
        <f t="shared" si="177"/>
        <v>0</v>
      </c>
      <c r="NT8" s="120"/>
      <c r="NU8" s="120"/>
      <c r="NV8" s="120"/>
      <c r="NW8" s="120"/>
      <c r="NX8" s="120"/>
      <c r="NY8" s="205"/>
      <c r="NZ8" s="205"/>
      <c r="OA8" s="205">
        <f t="shared" si="178"/>
        <v>0</v>
      </c>
      <c r="OB8" s="205">
        <f t="shared" si="179"/>
        <v>0</v>
      </c>
      <c r="OC8" s="120"/>
      <c r="OD8" s="120"/>
      <c r="OE8" s="120"/>
      <c r="OF8" s="120"/>
      <c r="OG8" s="120"/>
      <c r="OH8" s="205"/>
      <c r="OI8" s="205"/>
      <c r="OJ8" s="205">
        <f t="shared" si="180"/>
        <v>0</v>
      </c>
      <c r="OK8" s="120"/>
      <c r="OL8" s="120"/>
      <c r="OM8" s="120"/>
      <c r="ON8" s="120"/>
      <c r="OO8" s="120"/>
      <c r="OP8" s="205"/>
      <c r="OQ8" s="205"/>
      <c r="OR8" s="205">
        <f t="shared" si="181"/>
        <v>0</v>
      </c>
      <c r="OS8" s="120"/>
      <c r="OT8" s="120"/>
      <c r="OU8" s="120"/>
      <c r="OV8" s="120"/>
      <c r="OW8" s="120"/>
      <c r="OX8" s="205"/>
      <c r="OY8" s="205"/>
      <c r="OZ8" s="205">
        <f t="shared" si="182"/>
        <v>0</v>
      </c>
      <c r="PA8" s="120"/>
      <c r="PB8" s="120"/>
      <c r="PC8" s="120"/>
      <c r="PD8" s="205"/>
      <c r="PE8" s="217"/>
      <c r="PF8" s="205"/>
      <c r="PG8" s="205"/>
      <c r="PH8" s="205">
        <f t="shared" si="183"/>
        <v>0</v>
      </c>
      <c r="PI8" s="120"/>
      <c r="PJ8" s="120"/>
      <c r="PK8" s="120"/>
      <c r="PL8" s="205"/>
      <c r="PM8" s="217"/>
      <c r="PN8" s="205"/>
      <c r="PO8" s="205"/>
      <c r="PP8" s="205">
        <f t="shared" si="184"/>
        <v>0</v>
      </c>
      <c r="PQ8" s="205">
        <f t="shared" si="185"/>
        <v>0</v>
      </c>
      <c r="PR8" s="207"/>
      <c r="PS8" s="207"/>
      <c r="PT8" s="207"/>
      <c r="PU8" s="207"/>
      <c r="PV8" s="207"/>
      <c r="PW8" s="272"/>
      <c r="PX8" s="272"/>
      <c r="PY8" s="205">
        <f t="shared" si="186"/>
        <v>0</v>
      </c>
      <c r="PZ8" s="207"/>
      <c r="QA8" s="207"/>
      <c r="QB8" s="207"/>
      <c r="QC8" s="207"/>
      <c r="QD8" s="207"/>
      <c r="QE8" s="272"/>
      <c r="QF8" s="272"/>
      <c r="QG8" s="205">
        <f t="shared" si="187"/>
        <v>0</v>
      </c>
      <c r="QH8" s="217">
        <v>210</v>
      </c>
      <c r="QI8" s="207"/>
      <c r="QJ8" s="294"/>
      <c r="QK8" s="207"/>
      <c r="QL8" s="207"/>
      <c r="QM8" s="272"/>
      <c r="QN8" s="272"/>
      <c r="QO8" s="205">
        <f t="shared" si="188"/>
        <v>210</v>
      </c>
      <c r="QP8" s="207"/>
      <c r="QQ8" s="124">
        <v>1450</v>
      </c>
      <c r="QR8" s="207"/>
      <c r="QS8" s="207"/>
      <c r="QT8" s="207"/>
      <c r="QU8" s="272"/>
      <c r="QV8" s="272"/>
      <c r="QW8" s="205">
        <f t="shared" si="189"/>
        <v>1450</v>
      </c>
      <c r="QX8" s="205">
        <f t="shared" si="190"/>
        <v>1660</v>
      </c>
      <c r="QY8" s="207"/>
      <c r="QZ8" s="207"/>
      <c r="RA8" s="207"/>
      <c r="RB8" s="207"/>
      <c r="RC8" s="207"/>
      <c r="RD8" s="272"/>
      <c r="RE8" s="272"/>
      <c r="RF8" s="205">
        <f t="shared" si="191"/>
        <v>0</v>
      </c>
      <c r="RG8" s="207"/>
      <c r="RH8" s="207"/>
      <c r="RI8" s="207"/>
      <c r="RJ8" s="207"/>
      <c r="RK8" s="207"/>
      <c r="RL8" s="272"/>
      <c r="RM8" s="272"/>
      <c r="RN8" s="205">
        <f t="shared" si="192"/>
        <v>0</v>
      </c>
      <c r="RO8" s="272"/>
      <c r="RP8" s="272"/>
      <c r="RQ8" s="272"/>
      <c r="RR8" s="272"/>
      <c r="RS8" s="272"/>
      <c r="RT8" s="272"/>
      <c r="RU8" s="272"/>
      <c r="RV8" s="205">
        <f t="shared" si="193"/>
        <v>0</v>
      </c>
      <c r="RW8" s="207"/>
      <c r="RX8" s="207"/>
      <c r="RY8" s="207"/>
      <c r="RZ8" s="207"/>
      <c r="SA8" s="272"/>
      <c r="SB8" s="272"/>
      <c r="SC8" s="272"/>
      <c r="SD8" s="205">
        <f t="shared" si="194"/>
        <v>0</v>
      </c>
      <c r="SE8" s="205">
        <f t="shared" si="195"/>
        <v>0</v>
      </c>
      <c r="SF8" s="120"/>
      <c r="SG8" s="207"/>
      <c r="SH8" s="195">
        <v>2120</v>
      </c>
      <c r="SI8" s="207"/>
      <c r="SJ8" s="207"/>
      <c r="SK8" s="272"/>
      <c r="SL8" s="272"/>
      <c r="SM8" s="205">
        <f t="shared" si="196"/>
        <v>2120</v>
      </c>
      <c r="SN8" s="207"/>
      <c r="SO8" s="207"/>
      <c r="SP8" s="207"/>
      <c r="SQ8" s="207"/>
      <c r="SR8" s="207"/>
      <c r="SS8" s="272"/>
      <c r="ST8" s="272"/>
      <c r="SU8" s="205">
        <f t="shared" si="197"/>
        <v>0</v>
      </c>
      <c r="SV8" s="207"/>
      <c r="SW8" s="207"/>
      <c r="SX8" s="207"/>
      <c r="SY8" s="207"/>
      <c r="SZ8" s="207"/>
      <c r="TA8" s="272"/>
      <c r="TB8" s="272"/>
      <c r="TC8" s="205">
        <f t="shared" si="198"/>
        <v>0</v>
      </c>
      <c r="TD8" s="207"/>
      <c r="TE8" s="207"/>
      <c r="TF8" s="207"/>
      <c r="TG8" s="207"/>
      <c r="TH8" s="207"/>
      <c r="TI8" s="272"/>
      <c r="TJ8" s="272"/>
      <c r="TK8" s="205">
        <f t="shared" si="199"/>
        <v>0</v>
      </c>
      <c r="TL8" s="207"/>
      <c r="TM8" s="201">
        <v>370</v>
      </c>
      <c r="TN8" s="207"/>
      <c r="TO8" s="207"/>
      <c r="TP8" s="272"/>
      <c r="TQ8" s="272"/>
      <c r="TR8" s="272"/>
      <c r="TS8" s="205">
        <f t="shared" si="200"/>
        <v>370</v>
      </c>
      <c r="TT8" s="205">
        <f t="shared" si="201"/>
        <v>2490</v>
      </c>
      <c r="TU8" s="272"/>
      <c r="TV8" s="207"/>
      <c r="TW8" s="207"/>
      <c r="TX8" s="207"/>
      <c r="TY8" s="207"/>
      <c r="TZ8" s="272"/>
      <c r="UA8" s="272"/>
      <c r="UB8" s="205">
        <f t="shared" si="202"/>
        <v>0</v>
      </c>
      <c r="UC8" s="207"/>
      <c r="UD8" s="207"/>
      <c r="UE8" s="207"/>
      <c r="UF8" s="207"/>
      <c r="UG8" s="207"/>
      <c r="UH8" s="272"/>
      <c r="UI8" s="272"/>
      <c r="UJ8" s="205">
        <f t="shared" si="203"/>
        <v>0</v>
      </c>
      <c r="UK8" s="207"/>
      <c r="UL8" s="207"/>
      <c r="UM8" s="207"/>
      <c r="UN8" s="207"/>
      <c r="UO8" s="207"/>
      <c r="UP8" s="272"/>
      <c r="UQ8" s="272"/>
      <c r="UR8" s="205">
        <f t="shared" si="226"/>
        <v>0</v>
      </c>
      <c r="US8" s="207"/>
      <c r="UT8" s="201">
        <v>10000</v>
      </c>
      <c r="UU8" s="207"/>
      <c r="UV8" s="207"/>
      <c r="UW8" s="272"/>
      <c r="UX8" s="272"/>
      <c r="UY8" s="272"/>
      <c r="UZ8" s="205">
        <f t="shared" si="204"/>
        <v>10000</v>
      </c>
      <c r="VA8" s="205">
        <f t="shared" si="205"/>
        <v>10000</v>
      </c>
      <c r="VB8" s="207"/>
      <c r="VC8" s="207"/>
      <c r="VD8" s="207"/>
      <c r="VE8" s="207"/>
      <c r="VF8" s="207"/>
      <c r="VG8" s="272"/>
      <c r="VH8" s="272"/>
      <c r="VI8" s="205">
        <f t="shared" si="206"/>
        <v>0</v>
      </c>
      <c r="VJ8" s="201">
        <v>10000</v>
      </c>
      <c r="VK8" s="207"/>
      <c r="VL8" s="207"/>
      <c r="VM8" s="207"/>
      <c r="VN8" s="207"/>
      <c r="VO8" s="272"/>
      <c r="VP8" s="272"/>
      <c r="VQ8" s="205">
        <f t="shared" si="207"/>
        <v>10000</v>
      </c>
      <c r="VR8" s="207"/>
      <c r="VS8" s="195">
        <v>3200</v>
      </c>
      <c r="VT8" s="207"/>
      <c r="VU8" s="207"/>
      <c r="VV8" s="207"/>
      <c r="VW8" s="272"/>
      <c r="VX8" s="272"/>
      <c r="VY8" s="205">
        <f t="shared" si="208"/>
        <v>3200</v>
      </c>
      <c r="VZ8" s="207"/>
      <c r="WA8" s="195">
        <v>2220</v>
      </c>
      <c r="WB8" s="207"/>
      <c r="WC8" s="207"/>
      <c r="WD8" s="207"/>
      <c r="WE8" s="272"/>
      <c r="WF8" s="272"/>
      <c r="WG8" s="205">
        <f t="shared" si="209"/>
        <v>2220</v>
      </c>
      <c r="WH8" s="205">
        <f t="shared" si="210"/>
        <v>15420</v>
      </c>
      <c r="WI8" s="207"/>
      <c r="WJ8" s="207"/>
      <c r="WK8" s="207"/>
      <c r="WL8" s="207"/>
      <c r="WM8" s="207"/>
      <c r="WN8" s="272"/>
      <c r="WO8" s="272"/>
      <c r="WP8" s="205">
        <f t="shared" si="211"/>
        <v>0</v>
      </c>
      <c r="WQ8" s="207"/>
      <c r="WR8" s="207"/>
      <c r="WS8" s="207"/>
      <c r="WT8" s="207"/>
      <c r="WU8" s="207"/>
      <c r="WV8" s="272"/>
      <c r="WW8" s="272"/>
      <c r="WX8" s="205">
        <f t="shared" si="212"/>
        <v>0</v>
      </c>
      <c r="WY8" s="207"/>
      <c r="WZ8" s="207"/>
      <c r="XA8" s="207"/>
      <c r="XB8" s="207"/>
      <c r="XC8" s="272"/>
      <c r="XD8" s="272"/>
      <c r="XE8" s="272"/>
      <c r="XF8" s="205">
        <f t="shared" si="213"/>
        <v>0</v>
      </c>
      <c r="XG8" s="207"/>
      <c r="XH8" s="207"/>
      <c r="XI8" s="207"/>
      <c r="XJ8" s="207"/>
      <c r="XK8" s="207"/>
      <c r="XL8" s="272"/>
      <c r="XM8" s="272"/>
      <c r="XN8" s="205">
        <f t="shared" si="214"/>
        <v>0</v>
      </c>
      <c r="XO8" s="207"/>
      <c r="XP8" s="207"/>
      <c r="XQ8" s="207"/>
      <c r="XR8" s="207"/>
      <c r="XS8" s="207"/>
      <c r="XT8" s="272"/>
      <c r="XU8" s="272"/>
      <c r="XV8" s="205">
        <f t="shared" si="215"/>
        <v>0</v>
      </c>
      <c r="XW8" s="205">
        <f t="shared" si="216"/>
        <v>0</v>
      </c>
      <c r="XX8" s="207"/>
      <c r="XY8" s="207"/>
      <c r="XZ8" s="207"/>
      <c r="YA8" s="207"/>
      <c r="YB8" s="207"/>
      <c r="YC8" s="272"/>
      <c r="YD8" s="272"/>
      <c r="YE8" s="205">
        <f t="shared" si="217"/>
        <v>0</v>
      </c>
      <c r="YF8" s="207"/>
      <c r="YG8" s="207"/>
      <c r="YH8" s="207"/>
      <c r="YI8" s="207"/>
      <c r="YJ8" s="207"/>
      <c r="YK8" s="272"/>
      <c r="YL8" s="272"/>
      <c r="YM8" s="205">
        <f t="shared" si="218"/>
        <v>0</v>
      </c>
      <c r="YN8" s="207"/>
      <c r="YO8" s="207"/>
      <c r="YP8" s="207"/>
      <c r="YQ8" s="207"/>
      <c r="YR8" s="207"/>
      <c r="YS8" s="272"/>
      <c r="YT8" s="272"/>
      <c r="YU8" s="205">
        <f t="shared" si="148"/>
        <v>0</v>
      </c>
      <c r="YV8" s="207"/>
      <c r="YW8" s="207"/>
      <c r="YX8" s="207"/>
      <c r="YY8" s="207"/>
      <c r="YZ8" s="207"/>
      <c r="ZA8" s="272"/>
      <c r="ZB8" s="272"/>
      <c r="ZC8" s="205">
        <f t="shared" si="219"/>
        <v>0</v>
      </c>
      <c r="ZD8" s="205">
        <f t="shared" si="149"/>
        <v>0</v>
      </c>
      <c r="ZE8" s="207"/>
      <c r="ZF8" s="207"/>
      <c r="ZG8" s="207"/>
      <c r="ZH8" s="207"/>
      <c r="ZI8" s="207"/>
      <c r="ZJ8" s="272"/>
      <c r="ZK8" s="272"/>
      <c r="ZL8" s="205">
        <f t="shared" si="220"/>
        <v>0</v>
      </c>
      <c r="ZM8" s="207"/>
      <c r="ZN8" s="207"/>
      <c r="ZO8" s="207"/>
      <c r="ZP8" s="207"/>
      <c r="ZQ8" s="207"/>
      <c r="ZR8" s="272"/>
      <c r="ZS8" s="272"/>
      <c r="ZT8" s="205">
        <f t="shared" si="221"/>
        <v>0</v>
      </c>
      <c r="ZU8" s="207"/>
      <c r="ZV8" s="207"/>
      <c r="ZW8" s="207"/>
      <c r="ZX8" s="207"/>
      <c r="ZY8" s="207"/>
      <c r="ZZ8" s="272"/>
      <c r="AAA8" s="272"/>
      <c r="AAB8" s="205">
        <f t="shared" si="222"/>
        <v>0</v>
      </c>
      <c r="AAC8" s="207"/>
      <c r="AAD8" s="207"/>
      <c r="AAE8" s="207"/>
      <c r="AAF8" s="207"/>
      <c r="AAG8" s="207"/>
      <c r="AAH8" s="272"/>
      <c r="AAI8" s="272"/>
      <c r="AAJ8" s="205">
        <f t="shared" si="223"/>
        <v>0</v>
      </c>
      <c r="AAK8" s="207"/>
      <c r="AAL8" s="207"/>
      <c r="AAM8" s="207"/>
      <c r="AAN8" s="207"/>
      <c r="AAO8" s="207"/>
      <c r="AAP8" s="272"/>
      <c r="AAQ8" s="272"/>
      <c r="AAR8" s="205">
        <f t="shared" si="224"/>
        <v>0</v>
      </c>
      <c r="AAS8" s="205">
        <f t="shared" si="225"/>
        <v>0</v>
      </c>
    </row>
    <row r="9" spans="1:721" ht="69.95" customHeight="1">
      <c r="A9" s="119" t="s">
        <v>547</v>
      </c>
      <c r="B9" s="155">
        <v>3620101412</v>
      </c>
      <c r="C9" s="323"/>
      <c r="D9" s="158" t="s">
        <v>219</v>
      </c>
      <c r="E9" s="130" t="s">
        <v>4</v>
      </c>
      <c r="F9" s="120"/>
      <c r="G9" s="120"/>
      <c r="H9" s="120"/>
      <c r="I9" s="120"/>
      <c r="J9" s="120"/>
      <c r="K9" s="209"/>
      <c r="L9" s="205"/>
      <c r="M9" s="205">
        <f t="shared" si="121"/>
        <v>0</v>
      </c>
      <c r="N9" s="120"/>
      <c r="O9" s="120"/>
      <c r="P9" s="120"/>
      <c r="Q9" s="120"/>
      <c r="R9" s="120"/>
      <c r="S9" s="209"/>
      <c r="T9" s="205"/>
      <c r="U9" s="205">
        <f t="shared" si="122"/>
        <v>0</v>
      </c>
      <c r="V9" s="120"/>
      <c r="W9" s="120"/>
      <c r="X9" s="120"/>
      <c r="Y9" s="120"/>
      <c r="Z9" s="120"/>
      <c r="AA9" s="209"/>
      <c r="AB9" s="205"/>
      <c r="AC9" s="205">
        <f t="shared" si="123"/>
        <v>0</v>
      </c>
      <c r="AD9" s="205"/>
      <c r="AE9" s="205"/>
      <c r="AF9" s="205"/>
      <c r="AG9" s="205"/>
      <c r="AH9" s="205"/>
      <c r="AI9" s="209"/>
      <c r="AJ9" s="205"/>
      <c r="AK9" s="205">
        <f t="shared" si="124"/>
        <v>0</v>
      </c>
      <c r="AL9" s="205" t="e">
        <f>SUM(#REF!,M9,U9,AC9,AD9:AH9)</f>
        <v>#REF!</v>
      </c>
      <c r="AM9" s="120"/>
      <c r="AN9" s="120"/>
      <c r="AO9" s="120"/>
      <c r="AP9" s="120"/>
      <c r="AQ9" s="120"/>
      <c r="AR9" s="209"/>
      <c r="AS9" s="205"/>
      <c r="AT9" s="205">
        <f t="shared" si="125"/>
        <v>0</v>
      </c>
      <c r="AU9" s="120"/>
      <c r="AV9" s="120"/>
      <c r="AW9" s="120"/>
      <c r="AX9" s="120"/>
      <c r="AY9" s="120"/>
      <c r="AZ9" s="209"/>
      <c r="BA9" s="205"/>
      <c r="BB9" s="205">
        <f t="shared" si="126"/>
        <v>0</v>
      </c>
      <c r="BC9" s="120"/>
      <c r="BD9" s="120"/>
      <c r="BE9" s="120"/>
      <c r="BF9" s="217">
        <v>2880</v>
      </c>
      <c r="BG9" s="120"/>
      <c r="BH9" s="209"/>
      <c r="BI9" s="205"/>
      <c r="BJ9" s="205">
        <f t="shared" si="127"/>
        <v>2880</v>
      </c>
      <c r="BK9" s="120"/>
      <c r="BL9" s="120"/>
      <c r="BM9" s="120"/>
      <c r="BN9" s="120"/>
      <c r="BO9" s="205"/>
      <c r="BP9" s="209"/>
      <c r="BQ9" s="205"/>
      <c r="BR9" s="205">
        <f t="shared" si="128"/>
        <v>0</v>
      </c>
      <c r="BS9" s="205">
        <f t="shared" si="129"/>
        <v>2880</v>
      </c>
      <c r="BT9" s="120"/>
      <c r="BU9" s="120"/>
      <c r="BV9" s="120"/>
      <c r="BW9" s="120"/>
      <c r="BX9" s="120"/>
      <c r="BY9" s="209"/>
      <c r="BZ9" s="205"/>
      <c r="CA9" s="205">
        <f t="shared" si="130"/>
        <v>0</v>
      </c>
      <c r="CB9" s="120"/>
      <c r="CC9" s="120"/>
      <c r="CD9" s="120"/>
      <c r="CE9" s="120"/>
      <c r="CF9" s="120"/>
      <c r="CG9" s="209"/>
      <c r="CH9" s="205"/>
      <c r="CI9" s="205">
        <f t="shared" si="131"/>
        <v>0</v>
      </c>
      <c r="CJ9" s="120"/>
      <c r="CK9" s="120"/>
      <c r="CL9" s="120"/>
      <c r="CM9" s="120"/>
      <c r="CN9" s="120"/>
      <c r="CO9" s="209"/>
      <c r="CP9" s="205"/>
      <c r="CQ9" s="205">
        <f t="shared" si="132"/>
        <v>0</v>
      </c>
      <c r="CR9" s="120"/>
      <c r="CS9" s="120"/>
      <c r="CT9" s="120"/>
      <c r="CU9" s="120"/>
      <c r="CV9" s="120"/>
      <c r="CW9" s="209"/>
      <c r="CX9" s="205"/>
      <c r="CY9" s="205">
        <f t="shared" si="133"/>
        <v>0</v>
      </c>
      <c r="CZ9" s="120"/>
      <c r="DA9" s="120"/>
      <c r="DB9" s="120"/>
      <c r="DC9" s="205"/>
      <c r="DD9" s="205"/>
      <c r="DE9" s="209"/>
      <c r="DF9" s="205"/>
      <c r="DG9" s="205">
        <f t="shared" si="134"/>
        <v>0</v>
      </c>
      <c r="DH9" s="205">
        <f t="shared" si="150"/>
        <v>0</v>
      </c>
      <c r="DI9" s="120"/>
      <c r="DJ9" s="120"/>
      <c r="DK9" s="120"/>
      <c r="DL9" s="120"/>
      <c r="DM9" s="120"/>
      <c r="DN9" s="209"/>
      <c r="DO9" s="205"/>
      <c r="DP9" s="205">
        <f t="shared" si="135"/>
        <v>0</v>
      </c>
      <c r="DQ9" s="120"/>
      <c r="DR9" s="120"/>
      <c r="DS9" s="120"/>
      <c r="DT9" s="120"/>
      <c r="DU9" s="120"/>
      <c r="DV9" s="209"/>
      <c r="DW9" s="205"/>
      <c r="DX9" s="205">
        <f t="shared" si="136"/>
        <v>0</v>
      </c>
      <c r="DY9" s="120"/>
      <c r="DZ9" s="120"/>
      <c r="EA9" s="120"/>
      <c r="EB9" s="120"/>
      <c r="EC9" s="120"/>
      <c r="ED9" s="209"/>
      <c r="EE9" s="205"/>
      <c r="EF9" s="205">
        <f t="shared" si="137"/>
        <v>0</v>
      </c>
      <c r="EG9" s="120"/>
      <c r="EH9" s="120"/>
      <c r="EI9" s="120"/>
      <c r="EJ9" s="205"/>
      <c r="EK9" s="205"/>
      <c r="EL9" s="209"/>
      <c r="EM9" s="205"/>
      <c r="EN9" s="205">
        <f t="shared" si="138"/>
        <v>0</v>
      </c>
      <c r="EO9" s="205">
        <f t="shared" si="151"/>
        <v>0</v>
      </c>
      <c r="EP9" s="250">
        <v>4320</v>
      </c>
      <c r="EQ9" s="120"/>
      <c r="ER9" s="120"/>
      <c r="ES9" s="120"/>
      <c r="ET9" s="120"/>
      <c r="EU9" s="209"/>
      <c r="EV9" s="205"/>
      <c r="EW9" s="205">
        <f t="shared" si="139"/>
        <v>4320</v>
      </c>
      <c r="EX9" s="120"/>
      <c r="EY9" s="120"/>
      <c r="EZ9" s="120"/>
      <c r="FA9" s="120"/>
      <c r="FB9" s="120"/>
      <c r="FC9" s="209"/>
      <c r="FD9" s="205"/>
      <c r="FE9" s="205">
        <f t="shared" si="140"/>
        <v>0</v>
      </c>
      <c r="FF9" s="120"/>
      <c r="FG9" s="120"/>
      <c r="FH9" s="120"/>
      <c r="FI9" s="120"/>
      <c r="FJ9" s="120"/>
      <c r="FK9" s="209"/>
      <c r="FL9" s="205"/>
      <c r="FM9" s="205">
        <f t="shared" si="141"/>
        <v>0</v>
      </c>
      <c r="FN9" s="120"/>
      <c r="FO9" s="120"/>
      <c r="FP9" s="120"/>
      <c r="FQ9" s="120"/>
      <c r="FR9" s="205"/>
      <c r="FS9" s="209"/>
      <c r="FT9" s="205"/>
      <c r="FU9" s="205">
        <f t="shared" si="142"/>
        <v>0</v>
      </c>
      <c r="FV9" s="205">
        <f t="shared" si="152"/>
        <v>4320</v>
      </c>
      <c r="FW9" s="120"/>
      <c r="FX9" s="120"/>
      <c r="FY9" s="120"/>
      <c r="FZ9" s="120"/>
      <c r="GA9" s="120"/>
      <c r="GB9" s="209"/>
      <c r="GC9" s="205"/>
      <c r="GD9" s="205">
        <f t="shared" si="143"/>
        <v>0</v>
      </c>
      <c r="GE9" s="120"/>
      <c r="GF9" s="120"/>
      <c r="GG9" s="120"/>
      <c r="GH9" s="120"/>
      <c r="GI9" s="120"/>
      <c r="GJ9" s="209"/>
      <c r="GK9" s="205"/>
      <c r="GL9" s="205">
        <f t="shared" si="144"/>
        <v>0</v>
      </c>
      <c r="GM9" s="120"/>
      <c r="GN9" s="120"/>
      <c r="GO9" s="120"/>
      <c r="GP9" s="120"/>
      <c r="GQ9" s="120"/>
      <c r="GR9" s="209"/>
      <c r="GS9" s="205"/>
      <c r="GT9" s="205">
        <f t="shared" si="145"/>
        <v>0</v>
      </c>
      <c r="GU9" s="120"/>
      <c r="GV9" s="120"/>
      <c r="GW9" s="120"/>
      <c r="GX9" s="120"/>
      <c r="GY9" s="120"/>
      <c r="GZ9" s="209"/>
      <c r="HA9" s="205"/>
      <c r="HB9" s="205">
        <f t="shared" si="146"/>
        <v>0</v>
      </c>
      <c r="HC9" s="120"/>
      <c r="HD9" s="120"/>
      <c r="HE9" s="120"/>
      <c r="HF9" s="120"/>
      <c r="HG9" s="120"/>
      <c r="HH9" s="209"/>
      <c r="HI9" s="205"/>
      <c r="HJ9" s="205">
        <f t="shared" si="147"/>
        <v>0</v>
      </c>
      <c r="HK9" s="205">
        <f t="shared" si="153"/>
        <v>0</v>
      </c>
      <c r="HL9" s="124"/>
      <c r="HM9" s="120"/>
      <c r="HN9" s="120"/>
      <c r="HO9" s="120"/>
      <c r="HP9" s="120"/>
      <c r="HQ9" s="205"/>
      <c r="HR9" s="205"/>
      <c r="HS9" s="205">
        <f t="shared" si="154"/>
        <v>0</v>
      </c>
      <c r="HT9" s="120"/>
      <c r="HU9" s="120"/>
      <c r="HV9" s="120"/>
      <c r="HW9" s="120"/>
      <c r="HX9" s="120"/>
      <c r="HY9" s="205"/>
      <c r="HZ9" s="205"/>
      <c r="IA9" s="205">
        <f t="shared" si="155"/>
        <v>0</v>
      </c>
      <c r="IB9" s="120"/>
      <c r="IC9" s="120"/>
      <c r="ID9" s="120"/>
      <c r="IE9" s="120"/>
      <c r="IF9" s="120"/>
      <c r="IG9" s="205"/>
      <c r="IH9" s="205"/>
      <c r="II9" s="205">
        <f t="shared" si="156"/>
        <v>0</v>
      </c>
      <c r="IJ9" s="120"/>
      <c r="IK9" s="120"/>
      <c r="IL9" s="120"/>
      <c r="IM9" s="120"/>
      <c r="IN9" s="120"/>
      <c r="IO9" s="205"/>
      <c r="IP9" s="205"/>
      <c r="IQ9" s="205">
        <f t="shared" si="157"/>
        <v>0</v>
      </c>
      <c r="IR9" s="205">
        <f t="shared" si="158"/>
        <v>0</v>
      </c>
      <c r="IS9" s="217">
        <v>3080</v>
      </c>
      <c r="IT9" s="120"/>
      <c r="IU9" s="120"/>
      <c r="IV9" s="120"/>
      <c r="IW9" s="120"/>
      <c r="IX9" s="205"/>
      <c r="IY9" s="205"/>
      <c r="IZ9" s="205">
        <f t="shared" si="159"/>
        <v>3080</v>
      </c>
      <c r="JA9" s="120"/>
      <c r="JB9" s="120"/>
      <c r="JC9" s="120"/>
      <c r="JD9" s="120"/>
      <c r="JE9" s="120"/>
      <c r="JF9" s="205"/>
      <c r="JG9" s="205"/>
      <c r="JH9" s="205">
        <f t="shared" si="160"/>
        <v>0</v>
      </c>
      <c r="JI9" s="120"/>
      <c r="JJ9" s="120"/>
      <c r="JK9" s="120"/>
      <c r="JL9" s="120"/>
      <c r="JM9" s="120"/>
      <c r="JN9" s="205"/>
      <c r="JO9" s="205"/>
      <c r="JP9" s="205">
        <f t="shared" si="161"/>
        <v>0</v>
      </c>
      <c r="JQ9" s="120"/>
      <c r="JR9" s="120"/>
      <c r="JS9" s="120"/>
      <c r="JT9" s="120"/>
      <c r="JU9" s="120"/>
      <c r="JV9" s="205"/>
      <c r="JW9" s="205"/>
      <c r="JX9" s="205">
        <f t="shared" si="162"/>
        <v>0</v>
      </c>
      <c r="JY9" s="205">
        <f t="shared" si="163"/>
        <v>3080</v>
      </c>
      <c r="JZ9" s="120"/>
      <c r="KA9" s="120"/>
      <c r="KB9" s="120"/>
      <c r="KC9" s="120"/>
      <c r="KD9" s="120"/>
      <c r="KE9" s="205"/>
      <c r="KF9" s="205"/>
      <c r="KG9" s="205">
        <f t="shared" si="164"/>
        <v>0</v>
      </c>
      <c r="KH9" s="120"/>
      <c r="KI9" s="120"/>
      <c r="KJ9" s="120"/>
      <c r="KK9" s="120"/>
      <c r="KL9" s="120"/>
      <c r="KM9" s="205"/>
      <c r="KN9" s="205"/>
      <c r="KO9" s="205">
        <f t="shared" si="165"/>
        <v>0</v>
      </c>
      <c r="KP9" s="120"/>
      <c r="KQ9" s="120"/>
      <c r="KR9" s="120"/>
      <c r="KS9" s="120"/>
      <c r="KT9" s="120"/>
      <c r="KU9" s="205"/>
      <c r="KV9" s="205"/>
      <c r="KW9" s="205">
        <f t="shared" si="166"/>
        <v>0</v>
      </c>
      <c r="KX9" s="120"/>
      <c r="KY9" s="120"/>
      <c r="KZ9" s="120"/>
      <c r="LA9" s="120" t="s">
        <v>216</v>
      </c>
      <c r="LB9" s="120"/>
      <c r="LC9" s="205"/>
      <c r="LD9" s="205"/>
      <c r="LE9" s="205">
        <f t="shared" si="167"/>
        <v>0</v>
      </c>
      <c r="LF9" s="205"/>
      <c r="LG9" s="120"/>
      <c r="LH9" s="120"/>
      <c r="LI9" s="120"/>
      <c r="LJ9" s="120"/>
      <c r="LK9" s="205"/>
      <c r="LL9" s="205"/>
      <c r="LM9" s="205">
        <f t="shared" si="168"/>
        <v>0</v>
      </c>
      <c r="LN9" s="205">
        <f t="shared" si="169"/>
        <v>0</v>
      </c>
      <c r="LO9" s="205"/>
      <c r="LP9" s="120"/>
      <c r="LQ9" s="120"/>
      <c r="LR9" s="120"/>
      <c r="LS9" s="205"/>
      <c r="LT9" s="205"/>
      <c r="LU9" s="205"/>
      <c r="LV9" s="205">
        <f t="shared" si="170"/>
        <v>0</v>
      </c>
      <c r="LW9" s="120"/>
      <c r="LX9" s="120"/>
      <c r="LY9" s="120"/>
      <c r="LZ9" s="120"/>
      <c r="MA9" s="120"/>
      <c r="MB9" s="205"/>
      <c r="MC9" s="205"/>
      <c r="MD9" s="205">
        <f t="shared" si="171"/>
        <v>0</v>
      </c>
      <c r="ME9" s="120"/>
      <c r="MF9" s="120"/>
      <c r="MG9" s="120"/>
      <c r="MH9" s="120"/>
      <c r="MI9" s="205"/>
      <c r="MJ9" s="205"/>
      <c r="MK9" s="205"/>
      <c r="ML9" s="205">
        <f t="shared" si="172"/>
        <v>0</v>
      </c>
      <c r="MM9" s="124">
        <v>3240</v>
      </c>
      <c r="MN9" s="120"/>
      <c r="MO9" s="120"/>
      <c r="MP9" s="120"/>
      <c r="MQ9" s="120"/>
      <c r="MR9" s="205"/>
      <c r="MS9" s="205"/>
      <c r="MT9" s="205">
        <f t="shared" si="173"/>
        <v>3240</v>
      </c>
      <c r="MU9" s="205">
        <f t="shared" si="174"/>
        <v>3240</v>
      </c>
      <c r="MV9" s="120"/>
      <c r="MW9" s="120"/>
      <c r="MX9" s="120"/>
      <c r="MY9" s="120"/>
      <c r="MZ9" s="120"/>
      <c r="NA9" s="205"/>
      <c r="NB9" s="205"/>
      <c r="NC9" s="205">
        <f t="shared" si="175"/>
        <v>0</v>
      </c>
      <c r="ND9" s="120"/>
      <c r="NE9" s="120"/>
      <c r="NF9" s="120"/>
      <c r="NG9" s="120"/>
      <c r="NH9" s="120"/>
      <c r="NI9" s="205"/>
      <c r="NJ9" s="205"/>
      <c r="NK9" s="205">
        <f t="shared" si="176"/>
        <v>0</v>
      </c>
      <c r="NL9" s="120"/>
      <c r="NM9" s="120"/>
      <c r="NN9" s="120"/>
      <c r="NO9" s="120"/>
      <c r="NP9" s="120"/>
      <c r="NQ9" s="205"/>
      <c r="NR9" s="205"/>
      <c r="NS9" s="205">
        <f t="shared" si="177"/>
        <v>0</v>
      </c>
      <c r="NT9" s="120"/>
      <c r="NU9" s="120"/>
      <c r="NV9" s="120"/>
      <c r="NW9" s="120"/>
      <c r="NX9" s="120"/>
      <c r="NY9" s="205"/>
      <c r="NZ9" s="205"/>
      <c r="OA9" s="205">
        <f t="shared" si="178"/>
        <v>0</v>
      </c>
      <c r="OB9" s="205">
        <f t="shared" si="179"/>
        <v>0</v>
      </c>
      <c r="OC9" s="120"/>
      <c r="OD9" s="120"/>
      <c r="OE9" s="120"/>
      <c r="OF9" s="120"/>
      <c r="OG9" s="120"/>
      <c r="OH9" s="205"/>
      <c r="OI9" s="205"/>
      <c r="OJ9" s="205">
        <f t="shared" si="180"/>
        <v>0</v>
      </c>
      <c r="OK9" s="120"/>
      <c r="OL9" s="120"/>
      <c r="OM9" s="120"/>
      <c r="ON9" s="120"/>
      <c r="OO9" s="120"/>
      <c r="OP9" s="205"/>
      <c r="OQ9" s="205"/>
      <c r="OR9" s="205">
        <f t="shared" si="181"/>
        <v>0</v>
      </c>
      <c r="OS9" s="120"/>
      <c r="OT9" s="120"/>
      <c r="OU9" s="120"/>
      <c r="OV9" s="120"/>
      <c r="OW9" s="120"/>
      <c r="OX9" s="205"/>
      <c r="OY9" s="205"/>
      <c r="OZ9" s="205">
        <f t="shared" si="182"/>
        <v>0</v>
      </c>
      <c r="PA9" s="120"/>
      <c r="PB9" s="120"/>
      <c r="PC9" s="120"/>
      <c r="PD9" s="205"/>
      <c r="PE9" s="217"/>
      <c r="PF9" s="205"/>
      <c r="PG9" s="205"/>
      <c r="PH9" s="205">
        <f t="shared" si="183"/>
        <v>0</v>
      </c>
      <c r="PI9" s="195">
        <v>3250</v>
      </c>
      <c r="PJ9" s="120"/>
      <c r="PK9" s="120"/>
      <c r="PL9" s="205"/>
      <c r="PM9" s="217"/>
      <c r="PN9" s="205"/>
      <c r="PO9" s="205"/>
      <c r="PP9" s="205">
        <f t="shared" si="184"/>
        <v>3250</v>
      </c>
      <c r="PQ9" s="205">
        <f t="shared" si="185"/>
        <v>3250</v>
      </c>
      <c r="PR9" s="207"/>
      <c r="PS9" s="207"/>
      <c r="PT9" s="207"/>
      <c r="PU9" s="207"/>
      <c r="PV9" s="207"/>
      <c r="PW9" s="272"/>
      <c r="PX9" s="272"/>
      <c r="PY9" s="205">
        <f t="shared" si="186"/>
        <v>0</v>
      </c>
      <c r="PZ9" s="207"/>
      <c r="QA9" s="207"/>
      <c r="QB9" s="207"/>
      <c r="QC9" s="207"/>
      <c r="QD9" s="207"/>
      <c r="QE9" s="272"/>
      <c r="QF9" s="272"/>
      <c r="QG9" s="205">
        <f t="shared" si="187"/>
        <v>0</v>
      </c>
      <c r="QH9" s="207"/>
      <c r="QI9" s="207"/>
      <c r="QJ9" s="294"/>
      <c r="QK9" s="207"/>
      <c r="QL9" s="207"/>
      <c r="QM9" s="272"/>
      <c r="QN9" s="272"/>
      <c r="QO9" s="205">
        <f t="shared" si="188"/>
        <v>0</v>
      </c>
      <c r="QP9" s="207"/>
      <c r="QQ9" s="207"/>
      <c r="QR9" s="207"/>
      <c r="QS9" s="207"/>
      <c r="QT9" s="207"/>
      <c r="QU9" s="272"/>
      <c r="QV9" s="272"/>
      <c r="QW9" s="205">
        <f t="shared" si="189"/>
        <v>0</v>
      </c>
      <c r="QX9" s="205">
        <f t="shared" si="190"/>
        <v>0</v>
      </c>
      <c r="QY9" s="207"/>
      <c r="QZ9" s="207"/>
      <c r="RA9" s="207"/>
      <c r="RB9" s="207"/>
      <c r="RC9" s="207"/>
      <c r="RD9" s="272"/>
      <c r="RE9" s="272"/>
      <c r="RF9" s="205">
        <f t="shared" si="191"/>
        <v>0</v>
      </c>
      <c r="RG9" s="207"/>
      <c r="RH9" s="207"/>
      <c r="RI9" s="207"/>
      <c r="RJ9" s="207"/>
      <c r="RK9" s="207"/>
      <c r="RL9" s="272"/>
      <c r="RM9" s="272"/>
      <c r="RN9" s="205">
        <f t="shared" si="192"/>
        <v>0</v>
      </c>
      <c r="RO9" s="272"/>
      <c r="RP9" s="272"/>
      <c r="RQ9" s="272"/>
      <c r="RR9" s="272"/>
      <c r="RS9" s="272"/>
      <c r="RT9" s="272"/>
      <c r="RU9" s="272"/>
      <c r="RV9" s="205">
        <f t="shared" si="193"/>
        <v>0</v>
      </c>
      <c r="RW9" s="207"/>
      <c r="RX9" s="207"/>
      <c r="RY9" s="207"/>
      <c r="RZ9" s="207"/>
      <c r="SA9" s="272"/>
      <c r="SB9" s="272"/>
      <c r="SC9" s="272"/>
      <c r="SD9" s="205">
        <f t="shared" si="194"/>
        <v>0</v>
      </c>
      <c r="SE9" s="205">
        <f t="shared" si="195"/>
        <v>0</v>
      </c>
      <c r="SF9" s="120"/>
      <c r="SG9" s="207"/>
      <c r="SH9" s="195">
        <v>1980</v>
      </c>
      <c r="SI9" s="207"/>
      <c r="SJ9" s="207"/>
      <c r="SK9" s="272"/>
      <c r="SL9" s="272"/>
      <c r="SM9" s="205">
        <f t="shared" si="196"/>
        <v>1980</v>
      </c>
      <c r="SN9" s="207"/>
      <c r="SO9" s="207"/>
      <c r="SP9" s="207"/>
      <c r="SQ9" s="207"/>
      <c r="SR9" s="207"/>
      <c r="SS9" s="272"/>
      <c r="ST9" s="272"/>
      <c r="SU9" s="205">
        <f t="shared" si="197"/>
        <v>0</v>
      </c>
      <c r="SV9" s="207"/>
      <c r="SW9" s="207"/>
      <c r="SX9" s="207"/>
      <c r="SY9" s="207"/>
      <c r="SZ9" s="207"/>
      <c r="TA9" s="272"/>
      <c r="TB9" s="272"/>
      <c r="TC9" s="205">
        <f t="shared" si="198"/>
        <v>0</v>
      </c>
      <c r="TD9" s="207"/>
      <c r="TE9" s="207"/>
      <c r="TF9" s="207"/>
      <c r="TG9" s="207"/>
      <c r="TH9" s="207"/>
      <c r="TI9" s="272"/>
      <c r="TJ9" s="272"/>
      <c r="TK9" s="205">
        <f t="shared" si="199"/>
        <v>0</v>
      </c>
      <c r="TL9" s="207"/>
      <c r="TM9" s="201">
        <v>1980</v>
      </c>
      <c r="TN9" s="207"/>
      <c r="TO9" s="207"/>
      <c r="TP9" s="272"/>
      <c r="TQ9" s="272"/>
      <c r="TR9" s="272"/>
      <c r="TS9" s="205">
        <f t="shared" si="200"/>
        <v>1980</v>
      </c>
      <c r="TT9" s="205">
        <f t="shared" si="201"/>
        <v>3960</v>
      </c>
      <c r="TU9" s="272"/>
      <c r="TV9" s="207"/>
      <c r="TW9" s="207"/>
      <c r="TX9" s="207"/>
      <c r="TY9" s="207"/>
      <c r="TZ9" s="272"/>
      <c r="UA9" s="272"/>
      <c r="UB9" s="205">
        <f t="shared" si="202"/>
        <v>0</v>
      </c>
      <c r="UC9" s="207"/>
      <c r="UD9" s="207"/>
      <c r="UE9" s="207"/>
      <c r="UF9" s="207"/>
      <c r="UG9" s="207"/>
      <c r="UH9" s="272"/>
      <c r="UI9" s="272"/>
      <c r="UJ9" s="205">
        <f t="shared" si="203"/>
        <v>0</v>
      </c>
      <c r="UK9" s="207"/>
      <c r="UL9" s="207"/>
      <c r="UM9" s="207"/>
      <c r="UN9" s="207"/>
      <c r="UO9" s="207"/>
      <c r="UP9" s="272"/>
      <c r="UQ9" s="272"/>
      <c r="UR9" s="205">
        <f t="shared" si="226"/>
        <v>0</v>
      </c>
      <c r="US9" s="207"/>
      <c r="UT9" s="207"/>
      <c r="UU9" s="207"/>
      <c r="UV9" s="207"/>
      <c r="UW9" s="272"/>
      <c r="UX9" s="272"/>
      <c r="UY9" s="272"/>
      <c r="UZ9" s="205">
        <f t="shared" si="204"/>
        <v>0</v>
      </c>
      <c r="VA9" s="205">
        <f t="shared" si="205"/>
        <v>0</v>
      </c>
      <c r="VB9" s="207"/>
      <c r="VC9" s="207"/>
      <c r="VD9" s="207"/>
      <c r="VE9" s="207"/>
      <c r="VF9" s="207"/>
      <c r="VG9" s="272"/>
      <c r="VH9" s="272"/>
      <c r="VI9" s="205">
        <f t="shared" si="206"/>
        <v>0</v>
      </c>
      <c r="VJ9" s="207"/>
      <c r="VK9" s="207"/>
      <c r="VL9" s="207"/>
      <c r="VM9" s="207"/>
      <c r="VN9" s="207"/>
      <c r="VO9" s="272"/>
      <c r="VP9" s="272"/>
      <c r="VQ9" s="205">
        <f t="shared" si="207"/>
        <v>0</v>
      </c>
      <c r="VR9" s="207"/>
      <c r="VS9" s="207"/>
      <c r="VT9" s="207"/>
      <c r="VU9" s="207"/>
      <c r="VV9" s="207"/>
      <c r="VW9" s="272"/>
      <c r="VX9" s="272"/>
      <c r="VY9" s="205">
        <f t="shared" si="208"/>
        <v>0</v>
      </c>
      <c r="VZ9" s="207"/>
      <c r="WA9" s="195">
        <v>2880</v>
      </c>
      <c r="WB9" s="207"/>
      <c r="WC9" s="207"/>
      <c r="WD9" s="207"/>
      <c r="WE9" s="272"/>
      <c r="WF9" s="272"/>
      <c r="WG9" s="205">
        <f t="shared" si="209"/>
        <v>2880</v>
      </c>
      <c r="WH9" s="205">
        <f t="shared" si="210"/>
        <v>2880</v>
      </c>
      <c r="WI9" s="207"/>
      <c r="WJ9" s="207"/>
      <c r="WK9" s="207"/>
      <c r="WL9" s="207"/>
      <c r="WM9" s="207"/>
      <c r="WN9" s="272"/>
      <c r="WO9" s="272"/>
      <c r="WP9" s="205">
        <f t="shared" si="211"/>
        <v>0</v>
      </c>
      <c r="WQ9" s="207"/>
      <c r="WR9" s="207"/>
      <c r="WS9" s="207"/>
      <c r="WT9" s="207"/>
      <c r="WU9" s="207"/>
      <c r="WV9" s="272"/>
      <c r="WW9" s="272"/>
      <c r="WX9" s="205">
        <f t="shared" si="212"/>
        <v>0</v>
      </c>
      <c r="WY9" s="207"/>
      <c r="WZ9" s="207"/>
      <c r="XA9" s="207"/>
      <c r="XB9" s="207"/>
      <c r="XC9" s="272"/>
      <c r="XD9" s="272"/>
      <c r="XE9" s="272"/>
      <c r="XF9" s="205">
        <f t="shared" si="213"/>
        <v>0</v>
      </c>
      <c r="XG9" s="207"/>
      <c r="XH9" s="207"/>
      <c r="XI9" s="207"/>
      <c r="XJ9" s="207"/>
      <c r="XK9" s="207"/>
      <c r="XL9" s="272"/>
      <c r="XM9" s="272"/>
      <c r="XN9" s="205">
        <f t="shared" si="214"/>
        <v>0</v>
      </c>
      <c r="XO9" s="207"/>
      <c r="XP9" s="207"/>
      <c r="XQ9" s="207"/>
      <c r="XR9" s="207"/>
      <c r="XS9" s="207"/>
      <c r="XT9" s="272"/>
      <c r="XU9" s="272"/>
      <c r="XV9" s="205">
        <f t="shared" si="215"/>
        <v>0</v>
      </c>
      <c r="XW9" s="205">
        <f t="shared" si="216"/>
        <v>0</v>
      </c>
      <c r="XX9" s="207"/>
      <c r="XY9" s="207"/>
      <c r="XZ9" s="207"/>
      <c r="YA9" s="207"/>
      <c r="YB9" s="207"/>
      <c r="YC9" s="272"/>
      <c r="YD9" s="272"/>
      <c r="YE9" s="205">
        <f t="shared" si="217"/>
        <v>0</v>
      </c>
      <c r="YF9" s="207"/>
      <c r="YG9" s="207"/>
      <c r="YH9" s="207"/>
      <c r="YI9" s="207"/>
      <c r="YJ9" s="207"/>
      <c r="YK9" s="272"/>
      <c r="YL9" s="272"/>
      <c r="YM9" s="205">
        <f t="shared" si="218"/>
        <v>0</v>
      </c>
      <c r="YN9" s="207"/>
      <c r="YO9" s="195">
        <v>2600</v>
      </c>
      <c r="YP9" s="207"/>
      <c r="YQ9" s="207"/>
      <c r="YR9" s="207"/>
      <c r="YS9" s="272"/>
      <c r="YT9" s="272"/>
      <c r="YU9" s="205">
        <f t="shared" si="148"/>
        <v>2600</v>
      </c>
      <c r="YV9" s="207"/>
      <c r="YW9" s="207"/>
      <c r="YX9" s="207"/>
      <c r="YY9" s="207"/>
      <c r="YZ9" s="207"/>
      <c r="ZA9" s="272"/>
      <c r="ZB9" s="272"/>
      <c r="ZC9" s="205">
        <f t="shared" si="219"/>
        <v>0</v>
      </c>
      <c r="ZD9" s="205">
        <f t="shared" si="149"/>
        <v>2600</v>
      </c>
      <c r="ZE9" s="207"/>
      <c r="ZF9" s="207"/>
      <c r="ZG9" s="207"/>
      <c r="ZH9" s="207"/>
      <c r="ZI9" s="207"/>
      <c r="ZJ9" s="272"/>
      <c r="ZK9" s="272"/>
      <c r="ZL9" s="205">
        <f t="shared" si="220"/>
        <v>0</v>
      </c>
      <c r="ZM9" s="207"/>
      <c r="ZN9" s="207"/>
      <c r="ZO9" s="207"/>
      <c r="ZP9" s="207"/>
      <c r="ZQ9" s="207"/>
      <c r="ZR9" s="272"/>
      <c r="ZS9" s="272"/>
      <c r="ZT9" s="205">
        <f t="shared" si="221"/>
        <v>0</v>
      </c>
      <c r="ZU9" s="207"/>
      <c r="ZV9" s="207"/>
      <c r="ZW9" s="207"/>
      <c r="ZX9" s="207"/>
      <c r="ZY9" s="207"/>
      <c r="ZZ9" s="272"/>
      <c r="AAA9" s="272"/>
      <c r="AAB9" s="205">
        <f t="shared" si="222"/>
        <v>0</v>
      </c>
      <c r="AAC9" s="207"/>
      <c r="AAD9" s="207"/>
      <c r="AAE9" s="207"/>
      <c r="AAF9" s="207"/>
      <c r="AAG9" s="207"/>
      <c r="AAH9" s="272"/>
      <c r="AAI9" s="272"/>
      <c r="AAJ9" s="205">
        <f t="shared" si="223"/>
        <v>0</v>
      </c>
      <c r="AAK9" s="207"/>
      <c r="AAL9" s="207"/>
      <c r="AAM9" s="207"/>
      <c r="AAN9" s="207"/>
      <c r="AAO9" s="207"/>
      <c r="AAP9" s="272"/>
      <c r="AAQ9" s="272"/>
      <c r="AAR9" s="205">
        <f t="shared" si="224"/>
        <v>0</v>
      </c>
      <c r="AAS9" s="205">
        <f t="shared" si="225"/>
        <v>0</v>
      </c>
    </row>
    <row r="10" spans="1:721" ht="69.95" customHeight="1">
      <c r="A10" s="119" t="s">
        <v>547</v>
      </c>
      <c r="B10" s="155">
        <v>3620102401</v>
      </c>
      <c r="C10" s="323"/>
      <c r="D10" s="156" t="s">
        <v>67</v>
      </c>
      <c r="E10" s="130" t="s">
        <v>4</v>
      </c>
      <c r="F10" s="120"/>
      <c r="G10" s="120"/>
      <c r="H10" s="120"/>
      <c r="I10" s="120"/>
      <c r="J10" s="120"/>
      <c r="K10" s="209"/>
      <c r="L10" s="205"/>
      <c r="M10" s="205">
        <f t="shared" si="121"/>
        <v>0</v>
      </c>
      <c r="N10" s="120"/>
      <c r="O10" s="120"/>
      <c r="P10" s="120"/>
      <c r="Q10" s="120"/>
      <c r="R10" s="120"/>
      <c r="S10" s="209"/>
      <c r="T10" s="205"/>
      <c r="U10" s="205">
        <f t="shared" si="122"/>
        <v>0</v>
      </c>
      <c r="V10" s="120"/>
      <c r="W10" s="120"/>
      <c r="X10" s="120"/>
      <c r="Y10" s="120"/>
      <c r="Z10" s="120"/>
      <c r="AA10" s="209"/>
      <c r="AB10" s="205"/>
      <c r="AC10" s="205">
        <f t="shared" si="123"/>
        <v>0</v>
      </c>
      <c r="AD10" s="205"/>
      <c r="AE10" s="205"/>
      <c r="AF10" s="205"/>
      <c r="AG10" s="205"/>
      <c r="AH10" s="205"/>
      <c r="AI10" s="209"/>
      <c r="AJ10" s="205"/>
      <c r="AK10" s="205">
        <f t="shared" si="124"/>
        <v>0</v>
      </c>
      <c r="AL10" s="205" t="e">
        <f>SUM(#REF!,M10,U10,AC10,AD10:AH10)</f>
        <v>#REF!</v>
      </c>
      <c r="AM10" s="120"/>
      <c r="AN10" s="120"/>
      <c r="AO10" s="120"/>
      <c r="AP10" s="120"/>
      <c r="AQ10" s="120"/>
      <c r="AR10" s="209"/>
      <c r="AS10" s="205"/>
      <c r="AT10" s="205">
        <f t="shared" si="125"/>
        <v>0</v>
      </c>
      <c r="AU10" s="120"/>
      <c r="AV10" s="120"/>
      <c r="AW10" s="120"/>
      <c r="AX10" s="120"/>
      <c r="AY10" s="120"/>
      <c r="AZ10" s="209"/>
      <c r="BA10" s="205"/>
      <c r="BB10" s="205">
        <f t="shared" si="126"/>
        <v>0</v>
      </c>
      <c r="BC10" s="120"/>
      <c r="BD10" s="120"/>
      <c r="BE10" s="120"/>
      <c r="BF10" s="120"/>
      <c r="BG10" s="120"/>
      <c r="BH10" s="209"/>
      <c r="BI10" s="205"/>
      <c r="BJ10" s="205">
        <f t="shared" si="127"/>
        <v>0</v>
      </c>
      <c r="BK10" s="120"/>
      <c r="BL10" s="120"/>
      <c r="BM10" s="120"/>
      <c r="BN10" s="120"/>
      <c r="BO10" s="205"/>
      <c r="BP10" s="209"/>
      <c r="BQ10" s="205"/>
      <c r="BR10" s="205">
        <f t="shared" si="128"/>
        <v>0</v>
      </c>
      <c r="BS10" s="205">
        <f t="shared" si="129"/>
        <v>0</v>
      </c>
      <c r="BT10" s="120"/>
      <c r="BU10" s="120"/>
      <c r="BV10" s="120"/>
      <c r="BW10" s="120"/>
      <c r="BX10" s="120"/>
      <c r="BY10" s="209"/>
      <c r="BZ10" s="205"/>
      <c r="CA10" s="205">
        <f t="shared" si="130"/>
        <v>0</v>
      </c>
      <c r="CB10" s="120"/>
      <c r="CC10" s="120"/>
      <c r="CD10" s="120"/>
      <c r="CE10" s="120"/>
      <c r="CF10" s="120"/>
      <c r="CG10" s="209"/>
      <c r="CH10" s="205"/>
      <c r="CI10" s="205">
        <f t="shared" si="131"/>
        <v>0</v>
      </c>
      <c r="CJ10" s="120"/>
      <c r="CK10" s="120"/>
      <c r="CL10" s="120"/>
      <c r="CM10" s="120"/>
      <c r="CN10" s="120"/>
      <c r="CO10" s="209"/>
      <c r="CP10" s="205"/>
      <c r="CQ10" s="205">
        <f t="shared" si="132"/>
        <v>0</v>
      </c>
      <c r="CR10" s="120"/>
      <c r="CS10" s="120"/>
      <c r="CT10" s="120"/>
      <c r="CU10" s="120"/>
      <c r="CV10" s="120"/>
      <c r="CW10" s="209"/>
      <c r="CX10" s="205"/>
      <c r="CY10" s="205">
        <f t="shared" si="133"/>
        <v>0</v>
      </c>
      <c r="CZ10" s="120"/>
      <c r="DA10" s="120"/>
      <c r="DB10" s="120"/>
      <c r="DC10" s="205"/>
      <c r="DD10" s="205"/>
      <c r="DE10" s="209"/>
      <c r="DF10" s="205"/>
      <c r="DG10" s="205">
        <f t="shared" si="134"/>
        <v>0</v>
      </c>
      <c r="DH10" s="205">
        <f t="shared" si="150"/>
        <v>0</v>
      </c>
      <c r="DI10" s="120"/>
      <c r="DJ10" s="120"/>
      <c r="DK10" s="120"/>
      <c r="DL10" s="120"/>
      <c r="DM10" s="120"/>
      <c r="DN10" s="209"/>
      <c r="DO10" s="205"/>
      <c r="DP10" s="205">
        <f t="shared" si="135"/>
        <v>0</v>
      </c>
      <c r="DQ10" s="120"/>
      <c r="DR10" s="120"/>
      <c r="DS10" s="120"/>
      <c r="DT10" s="120"/>
      <c r="DU10" s="120"/>
      <c r="DV10" s="209"/>
      <c r="DW10" s="205"/>
      <c r="DX10" s="205">
        <f t="shared" si="136"/>
        <v>0</v>
      </c>
      <c r="DY10" s="120"/>
      <c r="DZ10" s="120"/>
      <c r="EA10" s="120"/>
      <c r="EB10" s="120"/>
      <c r="EC10" s="120"/>
      <c r="ED10" s="209"/>
      <c r="EE10" s="205"/>
      <c r="EF10" s="205">
        <f t="shared" si="137"/>
        <v>0</v>
      </c>
      <c r="EG10" s="120"/>
      <c r="EH10" s="120"/>
      <c r="EI10" s="120"/>
      <c r="EJ10" s="205"/>
      <c r="EK10" s="205"/>
      <c r="EL10" s="209"/>
      <c r="EM10" s="205"/>
      <c r="EN10" s="205">
        <f t="shared" si="138"/>
        <v>0</v>
      </c>
      <c r="EO10" s="205">
        <f t="shared" si="151"/>
        <v>0</v>
      </c>
      <c r="EP10" s="250">
        <v>400</v>
      </c>
      <c r="EQ10" s="120"/>
      <c r="ER10" s="120"/>
      <c r="ES10" s="120"/>
      <c r="ET10" s="120"/>
      <c r="EU10" s="209"/>
      <c r="EV10" s="205"/>
      <c r="EW10" s="205">
        <f t="shared" si="139"/>
        <v>400</v>
      </c>
      <c r="EX10" s="120"/>
      <c r="EY10" s="120"/>
      <c r="EZ10" s="120"/>
      <c r="FA10" s="120"/>
      <c r="FB10" s="120"/>
      <c r="FC10" s="209"/>
      <c r="FD10" s="205"/>
      <c r="FE10" s="205">
        <f t="shared" si="140"/>
        <v>0</v>
      </c>
      <c r="FF10" s="120"/>
      <c r="FG10" s="120"/>
      <c r="FH10" s="120"/>
      <c r="FI10" s="120"/>
      <c r="FJ10" s="120"/>
      <c r="FK10" s="209"/>
      <c r="FL10" s="205"/>
      <c r="FM10" s="205">
        <f t="shared" si="141"/>
        <v>0</v>
      </c>
      <c r="FN10" s="120"/>
      <c r="FO10" s="120"/>
      <c r="FP10" s="120"/>
      <c r="FQ10" s="120"/>
      <c r="FR10" s="205"/>
      <c r="FS10" s="209"/>
      <c r="FT10" s="205"/>
      <c r="FU10" s="205">
        <f t="shared" si="142"/>
        <v>0</v>
      </c>
      <c r="FV10" s="205">
        <f t="shared" si="152"/>
        <v>400</v>
      </c>
      <c r="FW10" s="120"/>
      <c r="FX10" s="120"/>
      <c r="FY10" s="120"/>
      <c r="FZ10" s="120"/>
      <c r="GA10" s="120"/>
      <c r="GB10" s="209"/>
      <c r="GC10" s="205"/>
      <c r="GD10" s="205">
        <f t="shared" si="143"/>
        <v>0</v>
      </c>
      <c r="GE10" s="120"/>
      <c r="GF10" s="120"/>
      <c r="GG10" s="120"/>
      <c r="GH10" s="120"/>
      <c r="GI10" s="120"/>
      <c r="GJ10" s="209"/>
      <c r="GK10" s="205"/>
      <c r="GL10" s="205">
        <f t="shared" si="144"/>
        <v>0</v>
      </c>
      <c r="GM10" s="120"/>
      <c r="GN10" s="120"/>
      <c r="GO10" s="120"/>
      <c r="GP10" s="120"/>
      <c r="GQ10" s="120"/>
      <c r="GR10" s="209"/>
      <c r="GS10" s="205"/>
      <c r="GT10" s="205">
        <f t="shared" si="145"/>
        <v>0</v>
      </c>
      <c r="GU10" s="120"/>
      <c r="GV10" s="120"/>
      <c r="GW10" s="120"/>
      <c r="GX10" s="120"/>
      <c r="GY10" s="120"/>
      <c r="GZ10" s="209"/>
      <c r="HA10" s="205"/>
      <c r="HB10" s="205">
        <f t="shared" si="146"/>
        <v>0</v>
      </c>
      <c r="HC10" s="120"/>
      <c r="HD10" s="120"/>
      <c r="HE10" s="120"/>
      <c r="HF10" s="120"/>
      <c r="HG10" s="120"/>
      <c r="HH10" s="209"/>
      <c r="HI10" s="205"/>
      <c r="HJ10" s="205">
        <f t="shared" si="147"/>
        <v>0</v>
      </c>
      <c r="HK10" s="205">
        <f t="shared" si="153"/>
        <v>0</v>
      </c>
      <c r="HL10" s="124"/>
      <c r="HM10" s="120"/>
      <c r="HN10" s="217">
        <v>1200</v>
      </c>
      <c r="HO10" s="120"/>
      <c r="HP10" s="120"/>
      <c r="HQ10" s="205"/>
      <c r="HR10" s="205"/>
      <c r="HS10" s="205">
        <f t="shared" si="154"/>
        <v>1200</v>
      </c>
      <c r="HT10" s="120"/>
      <c r="HU10" s="120"/>
      <c r="HV10" s="120"/>
      <c r="HW10" s="120"/>
      <c r="HX10" s="120"/>
      <c r="HY10" s="205"/>
      <c r="HZ10" s="205"/>
      <c r="IA10" s="205">
        <f t="shared" si="155"/>
        <v>0</v>
      </c>
      <c r="IB10" s="120"/>
      <c r="IC10" s="120"/>
      <c r="ID10" s="120"/>
      <c r="IE10" s="120"/>
      <c r="IF10" s="120"/>
      <c r="IG10" s="205"/>
      <c r="IH10" s="205"/>
      <c r="II10" s="205">
        <f t="shared" si="156"/>
        <v>0</v>
      </c>
      <c r="IJ10" s="120"/>
      <c r="IK10" s="120"/>
      <c r="IL10" s="120"/>
      <c r="IM10" s="120"/>
      <c r="IN10" s="120"/>
      <c r="IO10" s="205"/>
      <c r="IP10" s="205"/>
      <c r="IQ10" s="205">
        <f t="shared" si="157"/>
        <v>0</v>
      </c>
      <c r="IR10" s="205">
        <f t="shared" si="158"/>
        <v>1200</v>
      </c>
      <c r="IS10" s="120"/>
      <c r="IT10" s="120"/>
      <c r="IU10" s="120"/>
      <c r="IV10" s="120"/>
      <c r="IW10" s="120"/>
      <c r="IX10" s="205"/>
      <c r="IY10" s="205"/>
      <c r="IZ10" s="205">
        <f t="shared" si="159"/>
        <v>0</v>
      </c>
      <c r="JA10" s="120"/>
      <c r="JB10" s="120"/>
      <c r="JC10" s="120"/>
      <c r="JD10" s="120"/>
      <c r="JE10" s="120"/>
      <c r="JF10" s="205"/>
      <c r="JG10" s="205"/>
      <c r="JH10" s="205">
        <f t="shared" si="160"/>
        <v>0</v>
      </c>
      <c r="JI10" s="120"/>
      <c r="JJ10" s="120"/>
      <c r="JK10" s="120"/>
      <c r="JL10" s="120"/>
      <c r="JM10" s="120"/>
      <c r="JN10" s="205"/>
      <c r="JO10" s="205"/>
      <c r="JP10" s="205">
        <f t="shared" si="161"/>
        <v>0</v>
      </c>
      <c r="JQ10" s="120"/>
      <c r="JR10" s="120"/>
      <c r="JS10" s="120"/>
      <c r="JT10" s="120"/>
      <c r="JU10" s="120"/>
      <c r="JV10" s="205"/>
      <c r="JW10" s="205"/>
      <c r="JX10" s="205">
        <f t="shared" si="162"/>
        <v>0</v>
      </c>
      <c r="JY10" s="205">
        <f t="shared" si="163"/>
        <v>0</v>
      </c>
      <c r="JZ10" s="120"/>
      <c r="KA10" s="120"/>
      <c r="KB10" s="120"/>
      <c r="KC10" s="120"/>
      <c r="KD10" s="120"/>
      <c r="KE10" s="205"/>
      <c r="KF10" s="205"/>
      <c r="KG10" s="205">
        <f t="shared" si="164"/>
        <v>0</v>
      </c>
      <c r="KH10" s="120"/>
      <c r="KI10" s="120"/>
      <c r="KJ10" s="120"/>
      <c r="KK10" s="120"/>
      <c r="KL10" s="120"/>
      <c r="KM10" s="205"/>
      <c r="KN10" s="205"/>
      <c r="KO10" s="205">
        <f t="shared" si="165"/>
        <v>0</v>
      </c>
      <c r="KP10" s="201">
        <v>1800</v>
      </c>
      <c r="KQ10" s="120"/>
      <c r="KR10" s="120"/>
      <c r="KS10" s="120"/>
      <c r="KT10" s="120"/>
      <c r="KU10" s="205"/>
      <c r="KV10" s="205"/>
      <c r="KW10" s="205">
        <f t="shared" si="166"/>
        <v>1800</v>
      </c>
      <c r="KX10" s="120"/>
      <c r="KY10" s="120"/>
      <c r="KZ10" s="120"/>
      <c r="LA10" s="120"/>
      <c r="LB10" s="120"/>
      <c r="LC10" s="205"/>
      <c r="LD10" s="205"/>
      <c r="LE10" s="205">
        <f t="shared" si="167"/>
        <v>0</v>
      </c>
      <c r="LF10" s="205"/>
      <c r="LG10" s="120"/>
      <c r="LH10" s="120"/>
      <c r="LI10" s="120"/>
      <c r="LJ10" s="120"/>
      <c r="LK10" s="205"/>
      <c r="LL10" s="205"/>
      <c r="LM10" s="205">
        <f t="shared" si="168"/>
        <v>0</v>
      </c>
      <c r="LN10" s="205">
        <f t="shared" si="169"/>
        <v>1800</v>
      </c>
      <c r="LO10" s="205"/>
      <c r="LP10" s="120"/>
      <c r="LQ10" s="120"/>
      <c r="LR10" s="120"/>
      <c r="LS10" s="205"/>
      <c r="LT10" s="205"/>
      <c r="LU10" s="205"/>
      <c r="LV10" s="205">
        <f t="shared" si="170"/>
        <v>0</v>
      </c>
      <c r="LW10" s="120"/>
      <c r="LX10" s="120"/>
      <c r="LY10" s="120"/>
      <c r="LZ10" s="120"/>
      <c r="MA10" s="120"/>
      <c r="MB10" s="205"/>
      <c r="MC10" s="205"/>
      <c r="MD10" s="205">
        <f t="shared" si="171"/>
        <v>0</v>
      </c>
      <c r="ME10" s="120"/>
      <c r="MF10" s="120"/>
      <c r="MG10" s="201">
        <v>2200</v>
      </c>
      <c r="MH10" s="120"/>
      <c r="MI10" s="205"/>
      <c r="MJ10" s="205"/>
      <c r="MK10" s="205"/>
      <c r="ML10" s="205">
        <f t="shared" si="172"/>
        <v>2200</v>
      </c>
      <c r="MM10" s="120"/>
      <c r="MN10" s="120"/>
      <c r="MO10" s="120"/>
      <c r="MP10" s="120"/>
      <c r="MQ10" s="120"/>
      <c r="MR10" s="205"/>
      <c r="MS10" s="205"/>
      <c r="MT10" s="205">
        <f t="shared" si="173"/>
        <v>0</v>
      </c>
      <c r="MU10" s="205">
        <f t="shared" si="174"/>
        <v>2200</v>
      </c>
      <c r="MV10" s="120"/>
      <c r="MW10" s="120"/>
      <c r="MX10" s="120"/>
      <c r="MY10" s="120"/>
      <c r="MZ10" s="120"/>
      <c r="NA10" s="205"/>
      <c r="NB10" s="205"/>
      <c r="NC10" s="205">
        <f t="shared" si="175"/>
        <v>0</v>
      </c>
      <c r="ND10" s="120"/>
      <c r="NE10" s="120"/>
      <c r="NF10" s="120"/>
      <c r="NG10" s="120"/>
      <c r="NH10" s="120"/>
      <c r="NI10" s="205"/>
      <c r="NJ10" s="205"/>
      <c r="NK10" s="205">
        <f t="shared" si="176"/>
        <v>0</v>
      </c>
      <c r="NL10" s="120"/>
      <c r="NM10" s="120"/>
      <c r="NN10" s="120"/>
      <c r="NO10" s="120"/>
      <c r="NP10" s="120"/>
      <c r="NQ10" s="205"/>
      <c r="NR10" s="205"/>
      <c r="NS10" s="205">
        <f t="shared" si="177"/>
        <v>0</v>
      </c>
      <c r="NT10" s="120"/>
      <c r="NU10" s="120"/>
      <c r="NV10" s="120"/>
      <c r="NW10" s="120"/>
      <c r="NX10" s="120"/>
      <c r="NY10" s="205"/>
      <c r="NZ10" s="205"/>
      <c r="OA10" s="205">
        <f t="shared" si="178"/>
        <v>0</v>
      </c>
      <c r="OB10" s="205">
        <f t="shared" si="179"/>
        <v>0</v>
      </c>
      <c r="OC10" s="120"/>
      <c r="OD10" s="120"/>
      <c r="OE10" s="120"/>
      <c r="OF10" s="120"/>
      <c r="OG10" s="120"/>
      <c r="OH10" s="205"/>
      <c r="OI10" s="205"/>
      <c r="OJ10" s="205">
        <f t="shared" si="180"/>
        <v>0</v>
      </c>
      <c r="OK10" s="120"/>
      <c r="OL10" s="120"/>
      <c r="OM10" s="120"/>
      <c r="ON10" s="120"/>
      <c r="OO10" s="120"/>
      <c r="OP10" s="205"/>
      <c r="OQ10" s="205"/>
      <c r="OR10" s="205">
        <f t="shared" si="181"/>
        <v>0</v>
      </c>
      <c r="OS10" s="120"/>
      <c r="OT10" s="120"/>
      <c r="OU10" s="120"/>
      <c r="OV10" s="120"/>
      <c r="OW10" s="120"/>
      <c r="OX10" s="205"/>
      <c r="OY10" s="205"/>
      <c r="OZ10" s="205">
        <f t="shared" si="182"/>
        <v>0</v>
      </c>
      <c r="PA10" s="120"/>
      <c r="PB10" s="120"/>
      <c r="PC10" s="120"/>
      <c r="PD10" s="205"/>
      <c r="PE10" s="217"/>
      <c r="PF10" s="205"/>
      <c r="PG10" s="205"/>
      <c r="PH10" s="205">
        <f t="shared" si="183"/>
        <v>0</v>
      </c>
      <c r="PI10" s="195">
        <v>2900</v>
      </c>
      <c r="PJ10" s="120"/>
      <c r="PK10" s="120"/>
      <c r="PL10" s="205"/>
      <c r="PM10" s="217"/>
      <c r="PN10" s="205"/>
      <c r="PO10" s="205"/>
      <c r="PP10" s="205">
        <f t="shared" si="184"/>
        <v>2900</v>
      </c>
      <c r="PQ10" s="205">
        <f t="shared" si="185"/>
        <v>2900</v>
      </c>
      <c r="PR10" s="207"/>
      <c r="PS10" s="207"/>
      <c r="PT10" s="207"/>
      <c r="PU10" s="207"/>
      <c r="PV10" s="207"/>
      <c r="PW10" s="272"/>
      <c r="PX10" s="272"/>
      <c r="PY10" s="205">
        <f t="shared" si="186"/>
        <v>0</v>
      </c>
      <c r="PZ10" s="207"/>
      <c r="QA10" s="207"/>
      <c r="QB10" s="207"/>
      <c r="QC10" s="207"/>
      <c r="QD10" s="207"/>
      <c r="QE10" s="272"/>
      <c r="QF10" s="272"/>
      <c r="QG10" s="205">
        <f t="shared" si="187"/>
        <v>0</v>
      </c>
      <c r="QH10" s="217">
        <v>600</v>
      </c>
      <c r="QI10" s="207"/>
      <c r="QJ10" s="294"/>
      <c r="QK10" s="207"/>
      <c r="QL10" s="207"/>
      <c r="QM10" s="272"/>
      <c r="QN10" s="272"/>
      <c r="QO10" s="205">
        <f t="shared" si="188"/>
        <v>600</v>
      </c>
      <c r="QP10" s="207"/>
      <c r="QQ10" s="207"/>
      <c r="QR10" s="207"/>
      <c r="QS10" s="207"/>
      <c r="QT10" s="207"/>
      <c r="QU10" s="272"/>
      <c r="QV10" s="272"/>
      <c r="QW10" s="205">
        <f t="shared" si="189"/>
        <v>0</v>
      </c>
      <c r="QX10" s="205">
        <f t="shared" si="190"/>
        <v>600</v>
      </c>
      <c r="QY10" s="207"/>
      <c r="QZ10" s="207"/>
      <c r="RA10" s="207"/>
      <c r="RB10" s="207"/>
      <c r="RC10" s="207"/>
      <c r="RD10" s="272"/>
      <c r="RE10" s="272"/>
      <c r="RF10" s="205">
        <f t="shared" si="191"/>
        <v>0</v>
      </c>
      <c r="RG10" s="207"/>
      <c r="RH10" s="207"/>
      <c r="RI10" s="207"/>
      <c r="RJ10" s="207"/>
      <c r="RK10" s="207"/>
      <c r="RL10" s="272"/>
      <c r="RM10" s="272"/>
      <c r="RN10" s="205">
        <f t="shared" si="192"/>
        <v>0</v>
      </c>
      <c r="RO10" s="272"/>
      <c r="RP10" s="272"/>
      <c r="RQ10" s="272"/>
      <c r="RR10" s="272"/>
      <c r="RS10" s="272"/>
      <c r="RT10" s="272"/>
      <c r="RU10" s="272"/>
      <c r="RV10" s="205">
        <f t="shared" si="193"/>
        <v>0</v>
      </c>
      <c r="RW10" s="207"/>
      <c r="RX10" s="207"/>
      <c r="RY10" s="207"/>
      <c r="RZ10" s="207"/>
      <c r="SA10" s="272"/>
      <c r="SB10" s="272"/>
      <c r="SC10" s="272"/>
      <c r="SD10" s="205">
        <f t="shared" si="194"/>
        <v>0</v>
      </c>
      <c r="SE10" s="205">
        <f t="shared" si="195"/>
        <v>0</v>
      </c>
      <c r="SF10" s="120"/>
      <c r="SG10" s="207"/>
      <c r="SH10" s="195">
        <v>2700</v>
      </c>
      <c r="SI10" s="207"/>
      <c r="SJ10" s="207"/>
      <c r="SK10" s="272"/>
      <c r="SL10" s="272"/>
      <c r="SM10" s="205">
        <f t="shared" si="196"/>
        <v>2700</v>
      </c>
      <c r="SN10" s="207"/>
      <c r="SO10" s="207"/>
      <c r="SP10" s="207"/>
      <c r="SQ10" s="207"/>
      <c r="SR10" s="207"/>
      <c r="SS10" s="272"/>
      <c r="ST10" s="272"/>
      <c r="SU10" s="205">
        <f t="shared" si="197"/>
        <v>0</v>
      </c>
      <c r="SV10" s="207"/>
      <c r="SW10" s="207"/>
      <c r="SX10" s="207"/>
      <c r="SY10" s="207"/>
      <c r="SZ10" s="207"/>
      <c r="TA10" s="272"/>
      <c r="TB10" s="272"/>
      <c r="TC10" s="205">
        <f t="shared" si="198"/>
        <v>0</v>
      </c>
      <c r="TD10" s="207"/>
      <c r="TE10" s="207"/>
      <c r="TF10" s="207"/>
      <c r="TG10" s="207"/>
      <c r="TH10" s="207"/>
      <c r="TI10" s="272"/>
      <c r="TJ10" s="272"/>
      <c r="TK10" s="205">
        <f t="shared" si="199"/>
        <v>0</v>
      </c>
      <c r="TL10" s="207"/>
      <c r="TM10" s="207"/>
      <c r="TN10" s="207"/>
      <c r="TO10" s="207"/>
      <c r="TP10" s="272"/>
      <c r="TQ10" s="272"/>
      <c r="TR10" s="272"/>
      <c r="TS10" s="205">
        <f t="shared" si="200"/>
        <v>0</v>
      </c>
      <c r="TT10" s="205">
        <f t="shared" si="201"/>
        <v>2700</v>
      </c>
      <c r="TU10" s="272"/>
      <c r="TV10" s="207"/>
      <c r="TW10" s="207"/>
      <c r="TX10" s="207"/>
      <c r="TY10" s="207"/>
      <c r="TZ10" s="272"/>
      <c r="UA10" s="272"/>
      <c r="UB10" s="205">
        <f t="shared" si="202"/>
        <v>0</v>
      </c>
      <c r="UC10" s="207"/>
      <c r="UD10" s="207"/>
      <c r="UE10" s="207"/>
      <c r="UF10" s="207"/>
      <c r="UG10" s="207"/>
      <c r="UH10" s="272"/>
      <c r="UI10" s="272"/>
      <c r="UJ10" s="205">
        <f t="shared" si="203"/>
        <v>0</v>
      </c>
      <c r="UK10" s="207"/>
      <c r="UL10" s="201">
        <v>800</v>
      </c>
      <c r="UM10" s="207"/>
      <c r="UN10" s="207"/>
      <c r="UO10" s="207"/>
      <c r="UP10" s="272"/>
      <c r="UQ10" s="272"/>
      <c r="UR10" s="205">
        <f t="shared" si="226"/>
        <v>800</v>
      </c>
      <c r="US10" s="207"/>
      <c r="UT10" s="207"/>
      <c r="UU10" s="207"/>
      <c r="UV10" s="207"/>
      <c r="UW10" s="272"/>
      <c r="UX10" s="272"/>
      <c r="UY10" s="272"/>
      <c r="UZ10" s="205">
        <f t="shared" si="204"/>
        <v>0</v>
      </c>
      <c r="VA10" s="205">
        <f t="shared" si="205"/>
        <v>800</v>
      </c>
      <c r="VB10" s="207"/>
      <c r="VC10" s="207"/>
      <c r="VD10" s="207"/>
      <c r="VE10" s="207"/>
      <c r="VF10" s="207"/>
      <c r="VG10" s="272"/>
      <c r="VH10" s="272"/>
      <c r="VI10" s="205">
        <f t="shared" si="206"/>
        <v>0</v>
      </c>
      <c r="VJ10" s="207"/>
      <c r="VK10" s="207"/>
      <c r="VL10" s="207"/>
      <c r="VM10" s="207"/>
      <c r="VN10" s="207"/>
      <c r="VO10" s="272"/>
      <c r="VP10" s="272"/>
      <c r="VQ10" s="205">
        <f t="shared" si="207"/>
        <v>0</v>
      </c>
      <c r="VR10" s="207"/>
      <c r="VS10" s="207"/>
      <c r="VT10" s="207"/>
      <c r="VU10" s="207"/>
      <c r="VV10" s="207"/>
      <c r="VW10" s="272"/>
      <c r="VX10" s="272"/>
      <c r="VY10" s="205">
        <f t="shared" si="208"/>
        <v>0</v>
      </c>
      <c r="VZ10" s="207"/>
      <c r="WA10" s="207"/>
      <c r="WB10" s="207"/>
      <c r="WC10" s="207"/>
      <c r="WD10" s="207"/>
      <c r="WE10" s="272"/>
      <c r="WF10" s="272"/>
      <c r="WG10" s="205">
        <f t="shared" si="209"/>
        <v>0</v>
      </c>
      <c r="WH10" s="205">
        <f t="shared" si="210"/>
        <v>0</v>
      </c>
      <c r="WI10" s="207"/>
      <c r="WJ10" s="207"/>
      <c r="WK10" s="207"/>
      <c r="WL10" s="207"/>
      <c r="WM10" s="207"/>
      <c r="WN10" s="272"/>
      <c r="WO10" s="272"/>
      <c r="WP10" s="205">
        <f t="shared" si="211"/>
        <v>0</v>
      </c>
      <c r="WQ10" s="207"/>
      <c r="WR10" s="207"/>
      <c r="WS10" s="207"/>
      <c r="WT10" s="207"/>
      <c r="WU10" s="207"/>
      <c r="WV10" s="272"/>
      <c r="WW10" s="272"/>
      <c r="WX10" s="205">
        <f t="shared" si="212"/>
        <v>0</v>
      </c>
      <c r="WY10" s="207"/>
      <c r="WZ10" s="207"/>
      <c r="XA10" s="207"/>
      <c r="XB10" s="207"/>
      <c r="XC10" s="272"/>
      <c r="XD10" s="272"/>
      <c r="XE10" s="272"/>
      <c r="XF10" s="205">
        <f t="shared" si="213"/>
        <v>0</v>
      </c>
      <c r="XG10" s="207"/>
      <c r="XH10" s="207"/>
      <c r="XI10" s="207"/>
      <c r="XJ10" s="207"/>
      <c r="XK10" s="207"/>
      <c r="XL10" s="272"/>
      <c r="XM10" s="272"/>
      <c r="XN10" s="205">
        <f t="shared" si="214"/>
        <v>0</v>
      </c>
      <c r="XO10" s="207"/>
      <c r="XP10" s="207"/>
      <c r="XQ10" s="207"/>
      <c r="XR10" s="207"/>
      <c r="XS10" s="207"/>
      <c r="XT10" s="272"/>
      <c r="XU10" s="272"/>
      <c r="XV10" s="205">
        <f t="shared" si="215"/>
        <v>0</v>
      </c>
      <c r="XW10" s="205">
        <f t="shared" si="216"/>
        <v>0</v>
      </c>
      <c r="XX10" s="207"/>
      <c r="XY10" s="207"/>
      <c r="XZ10" s="207"/>
      <c r="YA10" s="207"/>
      <c r="YB10" s="207"/>
      <c r="YC10" s="272"/>
      <c r="YD10" s="272"/>
      <c r="YE10" s="205">
        <f t="shared" si="217"/>
        <v>0</v>
      </c>
      <c r="YF10" s="207"/>
      <c r="YG10" s="207"/>
      <c r="YH10" s="207"/>
      <c r="YI10" s="207"/>
      <c r="YJ10" s="207"/>
      <c r="YK10" s="272"/>
      <c r="YL10" s="272"/>
      <c r="YM10" s="205">
        <f t="shared" si="218"/>
        <v>0</v>
      </c>
      <c r="YN10" s="207"/>
      <c r="YO10" s="207"/>
      <c r="YP10" s="207"/>
      <c r="YQ10" s="207"/>
      <c r="YR10" s="207"/>
      <c r="YS10" s="272"/>
      <c r="YT10" s="272"/>
      <c r="YU10" s="205">
        <f t="shared" si="148"/>
        <v>0</v>
      </c>
      <c r="YV10" s="207"/>
      <c r="YW10" s="207"/>
      <c r="YX10" s="207"/>
      <c r="YY10" s="207"/>
      <c r="YZ10" s="207"/>
      <c r="ZA10" s="272"/>
      <c r="ZB10" s="272"/>
      <c r="ZC10" s="205">
        <f t="shared" si="219"/>
        <v>0</v>
      </c>
      <c r="ZD10" s="205">
        <f t="shared" si="149"/>
        <v>0</v>
      </c>
      <c r="ZE10" s="207"/>
      <c r="ZF10" s="207"/>
      <c r="ZG10" s="207"/>
      <c r="ZH10" s="207"/>
      <c r="ZI10" s="207"/>
      <c r="ZJ10" s="272"/>
      <c r="ZK10" s="272"/>
      <c r="ZL10" s="205">
        <f t="shared" si="220"/>
        <v>0</v>
      </c>
      <c r="ZM10" s="207"/>
      <c r="ZN10" s="207"/>
      <c r="ZO10" s="207"/>
      <c r="ZP10" s="207"/>
      <c r="ZQ10" s="207"/>
      <c r="ZR10" s="272"/>
      <c r="ZS10" s="272"/>
      <c r="ZT10" s="205">
        <f t="shared" si="221"/>
        <v>0</v>
      </c>
      <c r="ZU10" s="207"/>
      <c r="ZV10" s="207"/>
      <c r="ZW10" s="207"/>
      <c r="ZX10" s="207"/>
      <c r="ZY10" s="207"/>
      <c r="ZZ10" s="272"/>
      <c r="AAA10" s="272"/>
      <c r="AAB10" s="205">
        <f t="shared" si="222"/>
        <v>0</v>
      </c>
      <c r="AAC10" s="207"/>
      <c r="AAD10" s="207"/>
      <c r="AAE10" s="207"/>
      <c r="AAF10" s="207"/>
      <c r="AAG10" s="207"/>
      <c r="AAH10" s="272"/>
      <c r="AAI10" s="272"/>
      <c r="AAJ10" s="205">
        <f t="shared" si="223"/>
        <v>0</v>
      </c>
      <c r="AAK10" s="207"/>
      <c r="AAL10" s="207"/>
      <c r="AAM10" s="207"/>
      <c r="AAN10" s="207"/>
      <c r="AAO10" s="207"/>
      <c r="AAP10" s="272"/>
      <c r="AAQ10" s="272"/>
      <c r="AAR10" s="205">
        <f t="shared" si="224"/>
        <v>0</v>
      </c>
      <c r="AAS10" s="205">
        <f t="shared" si="225"/>
        <v>0</v>
      </c>
    </row>
    <row r="11" spans="1:721" ht="69.95" customHeight="1">
      <c r="A11" s="119"/>
      <c r="B11" s="155">
        <v>3620101202</v>
      </c>
      <c r="C11" s="323"/>
      <c r="D11" s="203" t="s">
        <v>10</v>
      </c>
      <c r="E11" s="130" t="s">
        <v>4</v>
      </c>
      <c r="F11" s="120"/>
      <c r="G11" s="120"/>
      <c r="H11" s="120"/>
      <c r="I11" s="120"/>
      <c r="J11" s="120"/>
      <c r="K11" s="209"/>
      <c r="L11" s="205"/>
      <c r="M11" s="205">
        <f t="shared" si="121"/>
        <v>0</v>
      </c>
      <c r="N11" s="120"/>
      <c r="O11" s="120"/>
      <c r="P11" s="120"/>
      <c r="Q11" s="120"/>
      <c r="R11" s="120"/>
      <c r="S11" s="209"/>
      <c r="T11" s="205"/>
      <c r="U11" s="205">
        <f t="shared" si="122"/>
        <v>0</v>
      </c>
      <c r="V11" s="120"/>
      <c r="W11" s="120"/>
      <c r="X11" s="120"/>
      <c r="Y11" s="120"/>
      <c r="Z11" s="120"/>
      <c r="AA11" s="209"/>
      <c r="AB11" s="205"/>
      <c r="AC11" s="205">
        <f t="shared" si="123"/>
        <v>0</v>
      </c>
      <c r="AD11" s="205"/>
      <c r="AE11" s="205"/>
      <c r="AF11" s="205"/>
      <c r="AG11" s="205"/>
      <c r="AH11" s="205"/>
      <c r="AI11" s="209"/>
      <c r="AJ11" s="205"/>
      <c r="AK11" s="205">
        <f t="shared" si="124"/>
        <v>0</v>
      </c>
      <c r="AL11" s="205" t="e">
        <f>SUM(#REF!,M11,U11,AC11,AD11:AH11)</f>
        <v>#REF!</v>
      </c>
      <c r="AM11" s="120"/>
      <c r="AN11" s="120"/>
      <c r="AO11" s="120"/>
      <c r="AP11" s="120"/>
      <c r="AQ11" s="120"/>
      <c r="AR11" s="209"/>
      <c r="AS11" s="205"/>
      <c r="AT11" s="205">
        <f t="shared" si="125"/>
        <v>0</v>
      </c>
      <c r="AU11" s="120"/>
      <c r="AV11" s="120"/>
      <c r="AW11" s="120"/>
      <c r="AX11" s="120"/>
      <c r="AY11" s="120"/>
      <c r="AZ11" s="209"/>
      <c r="BA11" s="205"/>
      <c r="BB11" s="205">
        <f t="shared" si="126"/>
        <v>0</v>
      </c>
      <c r="BC11" s="120"/>
      <c r="BD11" s="120"/>
      <c r="BE11" s="120"/>
      <c r="BF11" s="120"/>
      <c r="BG11" s="120"/>
      <c r="BH11" s="209"/>
      <c r="BI11" s="205"/>
      <c r="BJ11" s="205">
        <f t="shared" si="127"/>
        <v>0</v>
      </c>
      <c r="BK11" s="120"/>
      <c r="BL11" s="120"/>
      <c r="BM11" s="120"/>
      <c r="BN11" s="120"/>
      <c r="BO11" s="205"/>
      <c r="BP11" s="209"/>
      <c r="BQ11" s="205"/>
      <c r="BR11" s="205">
        <f t="shared" si="128"/>
        <v>0</v>
      </c>
      <c r="BS11" s="205">
        <f t="shared" si="129"/>
        <v>0</v>
      </c>
      <c r="BT11" s="120"/>
      <c r="BU11" s="120"/>
      <c r="BV11" s="120"/>
      <c r="BW11" s="120"/>
      <c r="BX11" s="120"/>
      <c r="BY11" s="209"/>
      <c r="BZ11" s="205"/>
      <c r="CA11" s="205">
        <f t="shared" si="130"/>
        <v>0</v>
      </c>
      <c r="CB11" s="120"/>
      <c r="CC11" s="120"/>
      <c r="CD11" s="120"/>
      <c r="CE11" s="120"/>
      <c r="CF11" s="120"/>
      <c r="CG11" s="209"/>
      <c r="CH11" s="205"/>
      <c r="CI11" s="205">
        <f t="shared" si="131"/>
        <v>0</v>
      </c>
      <c r="CJ11" s="120"/>
      <c r="CK11" s="120"/>
      <c r="CL11" s="120"/>
      <c r="CM11" s="120"/>
      <c r="CN11" s="120"/>
      <c r="CO11" s="209"/>
      <c r="CP11" s="205"/>
      <c r="CQ11" s="205">
        <f t="shared" si="132"/>
        <v>0</v>
      </c>
      <c r="CR11" s="120"/>
      <c r="CS11" s="120"/>
      <c r="CT11" s="120"/>
      <c r="CU11" s="120"/>
      <c r="CV11" s="120"/>
      <c r="CW11" s="209"/>
      <c r="CX11" s="205"/>
      <c r="CY11" s="205">
        <f t="shared" si="133"/>
        <v>0</v>
      </c>
      <c r="CZ11" s="120"/>
      <c r="DA11" s="120"/>
      <c r="DB11" s="120"/>
      <c r="DC11" s="205"/>
      <c r="DD11" s="205"/>
      <c r="DE11" s="209"/>
      <c r="DF11" s="205"/>
      <c r="DG11" s="205">
        <f t="shared" si="134"/>
        <v>0</v>
      </c>
      <c r="DH11" s="205">
        <f t="shared" si="150"/>
        <v>0</v>
      </c>
      <c r="DI11" s="120"/>
      <c r="DJ11" s="120"/>
      <c r="DK11" s="120"/>
      <c r="DL11" s="120"/>
      <c r="DM11" s="120"/>
      <c r="DN11" s="209"/>
      <c r="DO11" s="205"/>
      <c r="DP11" s="205">
        <f t="shared" si="135"/>
        <v>0</v>
      </c>
      <c r="DQ11" s="120"/>
      <c r="DR11" s="120"/>
      <c r="DS11" s="120"/>
      <c r="DT11" s="120"/>
      <c r="DU11" s="120"/>
      <c r="DV11" s="209"/>
      <c r="DW11" s="205"/>
      <c r="DX11" s="205">
        <f t="shared" si="136"/>
        <v>0</v>
      </c>
      <c r="DY11" s="120"/>
      <c r="DZ11" s="120"/>
      <c r="EA11" s="120"/>
      <c r="EB11" s="120"/>
      <c r="EC11" s="120"/>
      <c r="ED11" s="209"/>
      <c r="EE11" s="205"/>
      <c r="EF11" s="205">
        <f t="shared" si="137"/>
        <v>0</v>
      </c>
      <c r="EG11" s="120"/>
      <c r="EH11" s="120"/>
      <c r="EI11" s="120"/>
      <c r="EJ11" s="205"/>
      <c r="EK11" s="205"/>
      <c r="EL11" s="209"/>
      <c r="EM11" s="205"/>
      <c r="EN11" s="205">
        <f t="shared" si="138"/>
        <v>0</v>
      </c>
      <c r="EO11" s="205">
        <f t="shared" si="151"/>
        <v>0</v>
      </c>
      <c r="EP11" s="120"/>
      <c r="EQ11" s="120"/>
      <c r="ER11" s="120"/>
      <c r="ES11" s="120"/>
      <c r="ET11" s="120"/>
      <c r="EU11" s="209"/>
      <c r="EV11" s="205"/>
      <c r="EW11" s="205">
        <f t="shared" si="139"/>
        <v>0</v>
      </c>
      <c r="EX11" s="120"/>
      <c r="EY11" s="120"/>
      <c r="EZ11" s="120"/>
      <c r="FA11" s="120"/>
      <c r="FB11" s="120"/>
      <c r="FC11" s="209"/>
      <c r="FD11" s="205"/>
      <c r="FE11" s="205">
        <f t="shared" si="140"/>
        <v>0</v>
      </c>
      <c r="FF11" s="120"/>
      <c r="FG11" s="120"/>
      <c r="FH11" s="120"/>
      <c r="FI11" s="120"/>
      <c r="FJ11" s="120"/>
      <c r="FK11" s="209"/>
      <c r="FL11" s="205"/>
      <c r="FM11" s="205">
        <f t="shared" si="141"/>
        <v>0</v>
      </c>
      <c r="FN11" s="120"/>
      <c r="FO11" s="120"/>
      <c r="FP11" s="120"/>
      <c r="FQ11" s="120"/>
      <c r="FR11" s="205"/>
      <c r="FS11" s="209"/>
      <c r="FT11" s="205"/>
      <c r="FU11" s="205">
        <f t="shared" si="142"/>
        <v>0</v>
      </c>
      <c r="FV11" s="205">
        <f t="shared" si="152"/>
        <v>0</v>
      </c>
      <c r="FW11" s="120"/>
      <c r="FX11" s="120"/>
      <c r="FY11" s="120"/>
      <c r="FZ11" s="120"/>
      <c r="GA11" s="120"/>
      <c r="GB11" s="209"/>
      <c r="GC11" s="205"/>
      <c r="GD11" s="205">
        <f t="shared" si="143"/>
        <v>0</v>
      </c>
      <c r="GE11" s="120"/>
      <c r="GF11" s="120"/>
      <c r="GG11" s="120"/>
      <c r="GH11" s="120"/>
      <c r="GI11" s="120"/>
      <c r="GJ11" s="209"/>
      <c r="GK11" s="205"/>
      <c r="GL11" s="205">
        <f t="shared" si="144"/>
        <v>0</v>
      </c>
      <c r="GM11" s="120"/>
      <c r="GN11" s="120"/>
      <c r="GO11" s="120"/>
      <c r="GP11" s="120"/>
      <c r="GQ11" s="120"/>
      <c r="GR11" s="209"/>
      <c r="GS11" s="205"/>
      <c r="GT11" s="205">
        <f t="shared" si="145"/>
        <v>0</v>
      </c>
      <c r="GU11" s="120"/>
      <c r="GV11" s="120"/>
      <c r="GW11" s="120"/>
      <c r="GX11" s="120"/>
      <c r="GY11" s="120"/>
      <c r="GZ11" s="209"/>
      <c r="HA11" s="205"/>
      <c r="HB11" s="205">
        <f t="shared" si="146"/>
        <v>0</v>
      </c>
      <c r="HC11" s="120"/>
      <c r="HD11" s="120"/>
      <c r="HE11" s="120"/>
      <c r="HF11" s="120"/>
      <c r="HG11" s="120"/>
      <c r="HH11" s="209"/>
      <c r="HI11" s="205"/>
      <c r="HJ11" s="205">
        <f t="shared" si="147"/>
        <v>0</v>
      </c>
      <c r="HK11" s="205">
        <f t="shared" si="153"/>
        <v>0</v>
      </c>
      <c r="HL11" s="124"/>
      <c r="HM11" s="120"/>
      <c r="HN11" s="120"/>
      <c r="HO11" s="120"/>
      <c r="HP11" s="120"/>
      <c r="HQ11" s="205"/>
      <c r="HR11" s="205"/>
      <c r="HS11" s="205">
        <f t="shared" si="154"/>
        <v>0</v>
      </c>
      <c r="HT11" s="120"/>
      <c r="HU11" s="120"/>
      <c r="HV11" s="120"/>
      <c r="HW11" s="120"/>
      <c r="HX11" s="120"/>
      <c r="HY11" s="205"/>
      <c r="HZ11" s="205"/>
      <c r="IA11" s="205">
        <f t="shared" si="155"/>
        <v>0</v>
      </c>
      <c r="IB11" s="120"/>
      <c r="IC11" s="120"/>
      <c r="ID11" s="120"/>
      <c r="IE11" s="120"/>
      <c r="IF11" s="120"/>
      <c r="IG11" s="205"/>
      <c r="IH11" s="205"/>
      <c r="II11" s="205">
        <f t="shared" si="156"/>
        <v>0</v>
      </c>
      <c r="IJ11" s="120"/>
      <c r="IK11" s="120"/>
      <c r="IL11" s="120"/>
      <c r="IM11" s="120"/>
      <c r="IN11" s="120"/>
      <c r="IO11" s="205"/>
      <c r="IP11" s="205"/>
      <c r="IQ11" s="205">
        <f t="shared" si="157"/>
        <v>0</v>
      </c>
      <c r="IR11" s="205">
        <f t="shared" si="158"/>
        <v>0</v>
      </c>
      <c r="IS11" s="120"/>
      <c r="IT11" s="120"/>
      <c r="IU11" s="120"/>
      <c r="IV11" s="120"/>
      <c r="IW11" s="120"/>
      <c r="IX11" s="205"/>
      <c r="IY11" s="205"/>
      <c r="IZ11" s="205">
        <f t="shared" si="159"/>
        <v>0</v>
      </c>
      <c r="JA11" s="120"/>
      <c r="JB11" s="120"/>
      <c r="JC11" s="120"/>
      <c r="JD11" s="120"/>
      <c r="JE11" s="120"/>
      <c r="JF11" s="205"/>
      <c r="JG11" s="205"/>
      <c r="JH11" s="205">
        <f t="shared" si="160"/>
        <v>0</v>
      </c>
      <c r="JI11" s="120"/>
      <c r="JJ11" s="120"/>
      <c r="JK11" s="120"/>
      <c r="JL11" s="120"/>
      <c r="JM11" s="120"/>
      <c r="JN11" s="205"/>
      <c r="JO11" s="205"/>
      <c r="JP11" s="205">
        <f t="shared" si="161"/>
        <v>0</v>
      </c>
      <c r="JQ11" s="120"/>
      <c r="JR11" s="120"/>
      <c r="JS11" s="120"/>
      <c r="JT11" s="120"/>
      <c r="JU11" s="120"/>
      <c r="JV11" s="205"/>
      <c r="JW11" s="205"/>
      <c r="JX11" s="205">
        <f t="shared" si="162"/>
        <v>0</v>
      </c>
      <c r="JY11" s="205">
        <f t="shared" si="163"/>
        <v>0</v>
      </c>
      <c r="JZ11" s="120"/>
      <c r="KA11" s="120"/>
      <c r="KB11" s="120"/>
      <c r="KC11" s="120"/>
      <c r="KD11" s="120"/>
      <c r="KE11" s="205"/>
      <c r="KF11" s="205"/>
      <c r="KG11" s="205">
        <f t="shared" si="164"/>
        <v>0</v>
      </c>
      <c r="KH11" s="120"/>
      <c r="KI11" s="120"/>
      <c r="KJ11" s="120"/>
      <c r="KK11" s="206">
        <v>10800</v>
      </c>
      <c r="KL11" s="120"/>
      <c r="KM11" s="205"/>
      <c r="KN11" s="205"/>
      <c r="KO11" s="205">
        <f t="shared" si="165"/>
        <v>10800</v>
      </c>
      <c r="KP11" s="120"/>
      <c r="KQ11" s="120"/>
      <c r="KR11" s="120"/>
      <c r="KS11" s="120"/>
      <c r="KT11" s="120"/>
      <c r="KU11" s="205"/>
      <c r="KV11" s="205"/>
      <c r="KW11" s="205">
        <f t="shared" si="166"/>
        <v>0</v>
      </c>
      <c r="KX11" s="120"/>
      <c r="KY11" s="120"/>
      <c r="KZ11" s="120"/>
      <c r="LA11" s="120"/>
      <c r="LB11" s="120"/>
      <c r="LC11" s="205"/>
      <c r="LD11" s="205"/>
      <c r="LE11" s="205">
        <f t="shared" si="167"/>
        <v>0</v>
      </c>
      <c r="LF11" s="205"/>
      <c r="LG11" s="120"/>
      <c r="LH11" s="120"/>
      <c r="LI11" s="120"/>
      <c r="LJ11" s="120"/>
      <c r="LK11" s="205"/>
      <c r="LL11" s="205"/>
      <c r="LM11" s="205">
        <f t="shared" si="168"/>
        <v>0</v>
      </c>
      <c r="LN11" s="205">
        <f t="shared" si="169"/>
        <v>10800</v>
      </c>
      <c r="LO11" s="205"/>
      <c r="LP11" s="120"/>
      <c r="LQ11" s="120"/>
      <c r="LR11" s="120"/>
      <c r="LS11" s="205"/>
      <c r="LT11" s="205"/>
      <c r="LU11" s="205"/>
      <c r="LV11" s="205">
        <f t="shared" si="170"/>
        <v>0</v>
      </c>
      <c r="LW11" s="120"/>
      <c r="LX11" s="120"/>
      <c r="LY11" s="120"/>
      <c r="LZ11" s="120"/>
      <c r="MA11" s="120"/>
      <c r="MB11" s="205"/>
      <c r="MC11" s="205"/>
      <c r="MD11" s="205">
        <f t="shared" si="171"/>
        <v>0</v>
      </c>
      <c r="ME11" s="120"/>
      <c r="MF11" s="120"/>
      <c r="MG11" s="120"/>
      <c r="MH11" s="120"/>
      <c r="MI11" s="205"/>
      <c r="MJ11" s="205"/>
      <c r="MK11" s="205"/>
      <c r="ML11" s="205">
        <f t="shared" si="172"/>
        <v>0</v>
      </c>
      <c r="MM11" s="120"/>
      <c r="MN11" s="120"/>
      <c r="MO11" s="120"/>
      <c r="MP11" s="120"/>
      <c r="MQ11" s="120"/>
      <c r="MR11" s="205"/>
      <c r="MS11" s="205"/>
      <c r="MT11" s="205">
        <f t="shared" si="173"/>
        <v>0</v>
      </c>
      <c r="MU11" s="205">
        <f t="shared" si="174"/>
        <v>0</v>
      </c>
      <c r="MV11" s="120"/>
      <c r="MW11" s="120"/>
      <c r="MX11" s="120"/>
      <c r="MY11" s="120"/>
      <c r="MZ11" s="120"/>
      <c r="NA11" s="205"/>
      <c r="NB11" s="205"/>
      <c r="NC11" s="205">
        <f t="shared" si="175"/>
        <v>0</v>
      </c>
      <c r="ND11" s="120"/>
      <c r="NE11" s="120"/>
      <c r="NF11" s="120"/>
      <c r="NG11" s="120"/>
      <c r="NH11" s="120"/>
      <c r="NI11" s="205"/>
      <c r="NJ11" s="205"/>
      <c r="NK11" s="205">
        <f t="shared" si="176"/>
        <v>0</v>
      </c>
      <c r="NL11" s="120"/>
      <c r="NM11" s="120"/>
      <c r="NN11" s="120"/>
      <c r="NO11" s="120"/>
      <c r="NP11" s="120"/>
      <c r="NQ11" s="205"/>
      <c r="NR11" s="205"/>
      <c r="NS11" s="205">
        <f t="shared" si="177"/>
        <v>0</v>
      </c>
      <c r="NT11" s="120"/>
      <c r="NU11" s="120"/>
      <c r="NV11" s="120"/>
      <c r="NW11" s="120"/>
      <c r="NX11" s="120"/>
      <c r="NY11" s="205"/>
      <c r="NZ11" s="205"/>
      <c r="OA11" s="205">
        <f t="shared" si="178"/>
        <v>0</v>
      </c>
      <c r="OB11" s="205">
        <f t="shared" si="179"/>
        <v>0</v>
      </c>
      <c r="OC11" s="120"/>
      <c r="OD11" s="120"/>
      <c r="OE11" s="120"/>
      <c r="OF11" s="120"/>
      <c r="OG11" s="120"/>
      <c r="OH11" s="205"/>
      <c r="OI11" s="205"/>
      <c r="OJ11" s="205">
        <f t="shared" si="180"/>
        <v>0</v>
      </c>
      <c r="OK11" s="120"/>
      <c r="OL11" s="120"/>
      <c r="OM11" s="120"/>
      <c r="ON11" s="120"/>
      <c r="OO11" s="120"/>
      <c r="OP11" s="205"/>
      <c r="OQ11" s="205"/>
      <c r="OR11" s="205">
        <f t="shared" si="181"/>
        <v>0</v>
      </c>
      <c r="OS11" s="120"/>
      <c r="OT11" s="120"/>
      <c r="OU11" s="120"/>
      <c r="OV11" s="120"/>
      <c r="OW11" s="120"/>
      <c r="OX11" s="205"/>
      <c r="OY11" s="205"/>
      <c r="OZ11" s="205">
        <f t="shared" si="182"/>
        <v>0</v>
      </c>
      <c r="PA11" s="120"/>
      <c r="PB11" s="120"/>
      <c r="PC11" s="120"/>
      <c r="PD11" s="205"/>
      <c r="PE11" s="217"/>
      <c r="PF11" s="205"/>
      <c r="PG11" s="205"/>
      <c r="PH11" s="205">
        <f t="shared" si="183"/>
        <v>0</v>
      </c>
      <c r="PI11" s="120"/>
      <c r="PJ11" s="120"/>
      <c r="PK11" s="120"/>
      <c r="PL11" s="205"/>
      <c r="PM11" s="217"/>
      <c r="PN11" s="205"/>
      <c r="PO11" s="205"/>
      <c r="PP11" s="205">
        <f t="shared" si="184"/>
        <v>0</v>
      </c>
      <c r="PQ11" s="205">
        <f t="shared" si="185"/>
        <v>0</v>
      </c>
      <c r="PR11" s="207"/>
      <c r="PS11" s="207"/>
      <c r="PT11" s="207"/>
      <c r="PU11" s="207"/>
      <c r="PV11" s="207"/>
      <c r="PW11" s="272"/>
      <c r="PX11" s="272"/>
      <c r="PY11" s="205">
        <f t="shared" si="186"/>
        <v>0</v>
      </c>
      <c r="PZ11" s="207"/>
      <c r="QA11" s="207"/>
      <c r="QB11" s="207"/>
      <c r="QC11" s="207"/>
      <c r="QD11" s="207"/>
      <c r="QE11" s="272"/>
      <c r="QF11" s="272"/>
      <c r="QG11" s="205">
        <f t="shared" si="187"/>
        <v>0</v>
      </c>
      <c r="QH11" s="207"/>
      <c r="QI11" s="207"/>
      <c r="QJ11" s="294"/>
      <c r="QK11" s="207"/>
      <c r="QL11" s="207"/>
      <c r="QM11" s="272"/>
      <c r="QN11" s="272"/>
      <c r="QO11" s="205">
        <f t="shared" si="188"/>
        <v>0</v>
      </c>
      <c r="QP11" s="124">
        <v>500</v>
      </c>
      <c r="QQ11" s="207"/>
      <c r="QR11" s="207"/>
      <c r="QS11" s="207"/>
      <c r="QT11" s="207"/>
      <c r="QU11" s="272"/>
      <c r="QV11" s="272"/>
      <c r="QW11" s="205">
        <f t="shared" si="189"/>
        <v>500</v>
      </c>
      <c r="QX11" s="205">
        <f t="shared" si="190"/>
        <v>500</v>
      </c>
      <c r="QY11" s="207"/>
      <c r="QZ11" s="207"/>
      <c r="RA11" s="207"/>
      <c r="RB11" s="207"/>
      <c r="RC11" s="207"/>
      <c r="RD11" s="272"/>
      <c r="RE11" s="272"/>
      <c r="RF11" s="205">
        <f t="shared" si="191"/>
        <v>0</v>
      </c>
      <c r="RG11" s="207"/>
      <c r="RH11" s="207"/>
      <c r="RI11" s="207"/>
      <c r="RJ11" s="207"/>
      <c r="RK11" s="207"/>
      <c r="RL11" s="272"/>
      <c r="RM11" s="272"/>
      <c r="RN11" s="205">
        <f t="shared" si="192"/>
        <v>0</v>
      </c>
      <c r="RO11" s="272"/>
      <c r="RP11" s="272"/>
      <c r="RQ11" s="272"/>
      <c r="RR11" s="272"/>
      <c r="RS11" s="272"/>
      <c r="RT11" s="272"/>
      <c r="RU11" s="272"/>
      <c r="RV11" s="205">
        <f t="shared" si="193"/>
        <v>0</v>
      </c>
      <c r="RW11" s="207"/>
      <c r="RX11" s="207"/>
      <c r="RY11" s="207"/>
      <c r="RZ11" s="207"/>
      <c r="SA11" s="272"/>
      <c r="SB11" s="272"/>
      <c r="SC11" s="272"/>
      <c r="SD11" s="205">
        <f t="shared" si="194"/>
        <v>0</v>
      </c>
      <c r="SE11" s="205">
        <f t="shared" si="195"/>
        <v>0</v>
      </c>
      <c r="SF11" s="207"/>
      <c r="SG11" s="207"/>
      <c r="SH11" s="207"/>
      <c r="SI11" s="207"/>
      <c r="SJ11" s="207"/>
      <c r="SK11" s="272"/>
      <c r="SL11" s="272"/>
      <c r="SM11" s="205">
        <f t="shared" si="196"/>
        <v>0</v>
      </c>
      <c r="SN11" s="207"/>
      <c r="SO11" s="207"/>
      <c r="SP11" s="207"/>
      <c r="SQ11" s="207"/>
      <c r="SR11" s="207"/>
      <c r="SS11" s="272"/>
      <c r="ST11" s="272"/>
      <c r="SU11" s="205">
        <f t="shared" si="197"/>
        <v>0</v>
      </c>
      <c r="SV11" s="207"/>
      <c r="SW11" s="207"/>
      <c r="SX11" s="207"/>
      <c r="SY11" s="207"/>
      <c r="SZ11" s="207"/>
      <c r="TA11" s="272"/>
      <c r="TB11" s="272"/>
      <c r="TC11" s="205">
        <f t="shared" si="198"/>
        <v>0</v>
      </c>
      <c r="TD11" s="207"/>
      <c r="TE11" s="207"/>
      <c r="TF11" s="207"/>
      <c r="TG11" s="207"/>
      <c r="TH11" s="207"/>
      <c r="TI11" s="272"/>
      <c r="TJ11" s="272"/>
      <c r="TK11" s="205">
        <f t="shared" si="199"/>
        <v>0</v>
      </c>
      <c r="TL11" s="207"/>
      <c r="TM11" s="207"/>
      <c r="TN11" s="207"/>
      <c r="TO11" s="207"/>
      <c r="TP11" s="272"/>
      <c r="TQ11" s="272"/>
      <c r="TR11" s="272"/>
      <c r="TS11" s="205">
        <f t="shared" si="200"/>
        <v>0</v>
      </c>
      <c r="TT11" s="205">
        <f t="shared" si="201"/>
        <v>0</v>
      </c>
      <c r="TU11" s="272"/>
      <c r="TV11" s="207"/>
      <c r="TW11" s="207"/>
      <c r="TX11" s="207"/>
      <c r="TY11" s="207"/>
      <c r="TZ11" s="272"/>
      <c r="UA11" s="272"/>
      <c r="UB11" s="205">
        <f t="shared" si="202"/>
        <v>0</v>
      </c>
      <c r="UC11" s="207"/>
      <c r="UD11" s="207"/>
      <c r="UE11" s="207"/>
      <c r="UF11" s="207"/>
      <c r="UG11" s="207"/>
      <c r="UH11" s="272"/>
      <c r="UI11" s="272"/>
      <c r="UJ11" s="205">
        <f t="shared" si="203"/>
        <v>0</v>
      </c>
      <c r="UK11" s="207"/>
      <c r="UL11" s="207"/>
      <c r="UM11" s="201">
        <v>1500</v>
      </c>
      <c r="UN11" s="207"/>
      <c r="UO11" s="207"/>
      <c r="UP11" s="272"/>
      <c r="UQ11" s="272"/>
      <c r="UR11" s="205">
        <f t="shared" si="226"/>
        <v>1500</v>
      </c>
      <c r="US11" s="207"/>
      <c r="UT11" s="207"/>
      <c r="UU11" s="207"/>
      <c r="UV11" s="207"/>
      <c r="UW11" s="272"/>
      <c r="UX11" s="272"/>
      <c r="UY11" s="272"/>
      <c r="UZ11" s="205">
        <f t="shared" si="204"/>
        <v>0</v>
      </c>
      <c r="VA11" s="205">
        <f t="shared" si="205"/>
        <v>1500</v>
      </c>
      <c r="VB11" s="207"/>
      <c r="VC11" s="207"/>
      <c r="VD11" s="207"/>
      <c r="VE11" s="207"/>
      <c r="VF11" s="207"/>
      <c r="VG11" s="272"/>
      <c r="VH11" s="272"/>
      <c r="VI11" s="205">
        <f t="shared" si="206"/>
        <v>0</v>
      </c>
      <c r="VJ11" s="207"/>
      <c r="VK11" s="207"/>
      <c r="VL11" s="207"/>
      <c r="VM11" s="207"/>
      <c r="VN11" s="207"/>
      <c r="VO11" s="272"/>
      <c r="VP11" s="272"/>
      <c r="VQ11" s="205">
        <f t="shared" si="207"/>
        <v>0</v>
      </c>
      <c r="VR11" s="207"/>
      <c r="VS11" s="207"/>
      <c r="VT11" s="207"/>
      <c r="VU11" s="207"/>
      <c r="VV11" s="207"/>
      <c r="VW11" s="272"/>
      <c r="VX11" s="272"/>
      <c r="VY11" s="205">
        <f t="shared" si="208"/>
        <v>0</v>
      </c>
      <c r="VZ11" s="207"/>
      <c r="WA11" s="207"/>
      <c r="WB11" s="207"/>
      <c r="WC11" s="207"/>
      <c r="WD11" s="207"/>
      <c r="WE11" s="272"/>
      <c r="WF11" s="272"/>
      <c r="WG11" s="205">
        <f t="shared" si="209"/>
        <v>0</v>
      </c>
      <c r="WH11" s="205">
        <f t="shared" si="210"/>
        <v>0</v>
      </c>
      <c r="WI11" s="207"/>
      <c r="WJ11" s="207"/>
      <c r="WK11" s="207"/>
      <c r="WL11" s="207"/>
      <c r="WM11" s="207"/>
      <c r="WN11" s="272"/>
      <c r="WO11" s="272"/>
      <c r="WP11" s="205">
        <f t="shared" si="211"/>
        <v>0</v>
      </c>
      <c r="WQ11" s="207"/>
      <c r="WR11" s="207"/>
      <c r="WS11" s="207"/>
      <c r="WT11" s="207"/>
      <c r="WU11" s="207"/>
      <c r="WV11" s="272"/>
      <c r="WW11" s="272"/>
      <c r="WX11" s="205">
        <f t="shared" si="212"/>
        <v>0</v>
      </c>
      <c r="WY11" s="207"/>
      <c r="WZ11" s="207"/>
      <c r="XA11" s="207"/>
      <c r="XB11" s="207"/>
      <c r="XC11" s="272"/>
      <c r="XD11" s="272"/>
      <c r="XE11" s="272"/>
      <c r="XF11" s="205">
        <f t="shared" si="213"/>
        <v>0</v>
      </c>
      <c r="XG11" s="207"/>
      <c r="XH11" s="207"/>
      <c r="XI11" s="207"/>
      <c r="XJ11" s="207"/>
      <c r="XK11" s="207"/>
      <c r="XL11" s="272"/>
      <c r="XM11" s="272"/>
      <c r="XN11" s="205">
        <f t="shared" si="214"/>
        <v>0</v>
      </c>
      <c r="XO11" s="207"/>
      <c r="XP11" s="207"/>
      <c r="XQ11" s="207"/>
      <c r="XR11" s="207"/>
      <c r="XS11" s="207"/>
      <c r="XT11" s="272"/>
      <c r="XU11" s="272"/>
      <c r="XV11" s="205">
        <f t="shared" si="215"/>
        <v>0</v>
      </c>
      <c r="XW11" s="205">
        <f t="shared" si="216"/>
        <v>0</v>
      </c>
      <c r="XX11" s="207"/>
      <c r="XY11" s="207"/>
      <c r="XZ11" s="207"/>
      <c r="YA11" s="207"/>
      <c r="YB11" s="207"/>
      <c r="YC11" s="272"/>
      <c r="YD11" s="272"/>
      <c r="YE11" s="205">
        <f t="shared" si="217"/>
        <v>0</v>
      </c>
      <c r="YF11" s="207"/>
      <c r="YG11" s="207"/>
      <c r="YH11" s="207"/>
      <c r="YI11" s="207"/>
      <c r="YJ11" s="207"/>
      <c r="YK11" s="272"/>
      <c r="YL11" s="272"/>
      <c r="YM11" s="205">
        <f t="shared" si="218"/>
        <v>0</v>
      </c>
      <c r="YN11" s="207"/>
      <c r="YO11" s="207"/>
      <c r="YP11" s="207"/>
      <c r="YQ11" s="207"/>
      <c r="YR11" s="207"/>
      <c r="YS11" s="272"/>
      <c r="YT11" s="272"/>
      <c r="YU11" s="205">
        <f t="shared" si="148"/>
        <v>0</v>
      </c>
      <c r="YV11" s="207"/>
      <c r="YW11" s="207"/>
      <c r="YX11" s="207"/>
      <c r="YY11" s="207"/>
      <c r="YZ11" s="207"/>
      <c r="ZA11" s="272"/>
      <c r="ZB11" s="272"/>
      <c r="ZC11" s="205">
        <f t="shared" si="219"/>
        <v>0</v>
      </c>
      <c r="ZD11" s="205">
        <f t="shared" si="149"/>
        <v>0</v>
      </c>
      <c r="ZE11" s="207"/>
      <c r="ZF11" s="207"/>
      <c r="ZG11" s="207"/>
      <c r="ZH11" s="207"/>
      <c r="ZI11" s="207"/>
      <c r="ZJ11" s="272"/>
      <c r="ZK11" s="272"/>
      <c r="ZL11" s="205">
        <f t="shared" si="220"/>
        <v>0</v>
      </c>
      <c r="ZM11" s="207"/>
      <c r="ZN11" s="207"/>
      <c r="ZO11" s="207"/>
      <c r="ZP11" s="207"/>
      <c r="ZQ11" s="207"/>
      <c r="ZR11" s="272"/>
      <c r="ZS11" s="272"/>
      <c r="ZT11" s="205">
        <f t="shared" si="221"/>
        <v>0</v>
      </c>
      <c r="ZU11" s="207"/>
      <c r="ZV11" s="207"/>
      <c r="ZW11" s="207"/>
      <c r="ZX11" s="207"/>
      <c r="ZY11" s="207"/>
      <c r="ZZ11" s="272"/>
      <c r="AAA11" s="272"/>
      <c r="AAB11" s="205">
        <f t="shared" si="222"/>
        <v>0</v>
      </c>
      <c r="AAC11" s="207"/>
      <c r="AAD11" s="207"/>
      <c r="AAE11" s="207"/>
      <c r="AAF11" s="207"/>
      <c r="AAG11" s="207"/>
      <c r="AAH11" s="272"/>
      <c r="AAI11" s="272"/>
      <c r="AAJ11" s="205">
        <f t="shared" si="223"/>
        <v>0</v>
      </c>
      <c r="AAK11" s="207"/>
      <c r="AAL11" s="207"/>
      <c r="AAM11" s="207"/>
      <c r="AAN11" s="207"/>
      <c r="AAO11" s="207"/>
      <c r="AAP11" s="272"/>
      <c r="AAQ11" s="272"/>
      <c r="AAR11" s="205">
        <f t="shared" si="224"/>
        <v>0</v>
      </c>
      <c r="AAS11" s="205">
        <f t="shared" si="225"/>
        <v>0</v>
      </c>
    </row>
    <row r="12" spans="1:721" ht="69.95" customHeight="1">
      <c r="B12" s="155">
        <v>3620101206</v>
      </c>
      <c r="C12" s="323"/>
      <c r="D12" s="158" t="s">
        <v>507</v>
      </c>
      <c r="E12" s="130" t="s">
        <v>4</v>
      </c>
      <c r="F12" s="120"/>
      <c r="G12" s="120"/>
      <c r="H12" s="120"/>
      <c r="I12" s="120"/>
      <c r="J12" s="120"/>
      <c r="K12" s="209"/>
      <c r="L12" s="205"/>
      <c r="M12" s="205">
        <f t="shared" si="121"/>
        <v>0</v>
      </c>
      <c r="N12" s="120"/>
      <c r="O12" s="120"/>
      <c r="P12" s="120"/>
      <c r="Q12" s="120"/>
      <c r="R12" s="120"/>
      <c r="S12" s="209"/>
      <c r="T12" s="205"/>
      <c r="U12" s="205">
        <f t="shared" si="122"/>
        <v>0</v>
      </c>
      <c r="V12" s="120"/>
      <c r="W12" s="120"/>
      <c r="X12" s="120"/>
      <c r="Y12" s="120"/>
      <c r="Z12" s="120"/>
      <c r="AA12" s="209"/>
      <c r="AB12" s="205"/>
      <c r="AC12" s="205">
        <f t="shared" si="123"/>
        <v>0</v>
      </c>
      <c r="AD12" s="205"/>
      <c r="AE12" s="205"/>
      <c r="AF12" s="205"/>
      <c r="AG12" s="205"/>
      <c r="AH12" s="205"/>
      <c r="AI12" s="209"/>
      <c r="AJ12" s="205"/>
      <c r="AK12" s="205">
        <f t="shared" si="124"/>
        <v>0</v>
      </c>
      <c r="AL12" s="205" t="e">
        <f>SUM(#REF!,M12,U12,AC12,AD12:AH12)</f>
        <v>#REF!</v>
      </c>
      <c r="AM12" s="120"/>
      <c r="AN12" s="120"/>
      <c r="AO12" s="120"/>
      <c r="AP12" s="120"/>
      <c r="AQ12" s="120"/>
      <c r="AR12" s="209"/>
      <c r="AS12" s="205"/>
      <c r="AT12" s="205">
        <f t="shared" si="125"/>
        <v>0</v>
      </c>
      <c r="AU12" s="120"/>
      <c r="AV12" s="120"/>
      <c r="AW12" s="120"/>
      <c r="AX12" s="120"/>
      <c r="AY12" s="120"/>
      <c r="AZ12" s="209"/>
      <c r="BA12" s="205"/>
      <c r="BB12" s="205">
        <f t="shared" si="126"/>
        <v>0</v>
      </c>
      <c r="BC12" s="120"/>
      <c r="BD12" s="120"/>
      <c r="BE12" s="217">
        <v>1300</v>
      </c>
      <c r="BF12" s="120"/>
      <c r="BG12" s="120"/>
      <c r="BH12" s="209"/>
      <c r="BI12" s="205"/>
      <c r="BJ12" s="205">
        <f t="shared" si="127"/>
        <v>1300</v>
      </c>
      <c r="BK12" s="120"/>
      <c r="BL12" s="120"/>
      <c r="BM12" s="120"/>
      <c r="BN12" s="120"/>
      <c r="BO12" s="205"/>
      <c r="BP12" s="209"/>
      <c r="BQ12" s="205"/>
      <c r="BR12" s="205">
        <f t="shared" si="128"/>
        <v>0</v>
      </c>
      <c r="BS12" s="205">
        <f t="shared" si="129"/>
        <v>1300</v>
      </c>
      <c r="BT12" s="120"/>
      <c r="BU12" s="120"/>
      <c r="BV12" s="120"/>
      <c r="BW12" s="120"/>
      <c r="BX12" s="120"/>
      <c r="BY12" s="209"/>
      <c r="BZ12" s="205"/>
      <c r="CA12" s="205">
        <f t="shared" si="130"/>
        <v>0</v>
      </c>
      <c r="CB12" s="120"/>
      <c r="CC12" s="120"/>
      <c r="CD12" s="120"/>
      <c r="CE12" s="120"/>
      <c r="CF12" s="120"/>
      <c r="CG12" s="209"/>
      <c r="CH12" s="205"/>
      <c r="CI12" s="205">
        <f t="shared" si="131"/>
        <v>0</v>
      </c>
      <c r="CJ12" s="120"/>
      <c r="CK12" s="120"/>
      <c r="CL12" s="120"/>
      <c r="CM12" s="120"/>
      <c r="CN12" s="120"/>
      <c r="CO12" s="209"/>
      <c r="CP12" s="205"/>
      <c r="CQ12" s="205">
        <f t="shared" si="132"/>
        <v>0</v>
      </c>
      <c r="CR12" s="120"/>
      <c r="CS12" s="120"/>
      <c r="CT12" s="120"/>
      <c r="CU12" s="120"/>
      <c r="CV12" s="120"/>
      <c r="CW12" s="209"/>
      <c r="CX12" s="205"/>
      <c r="CY12" s="205">
        <f t="shared" si="133"/>
        <v>0</v>
      </c>
      <c r="CZ12" s="120"/>
      <c r="DA12" s="120"/>
      <c r="DB12" s="120"/>
      <c r="DC12" s="205"/>
      <c r="DD12" s="205"/>
      <c r="DE12" s="209"/>
      <c r="DF12" s="205"/>
      <c r="DG12" s="205">
        <f t="shared" si="134"/>
        <v>0</v>
      </c>
      <c r="DH12" s="205">
        <f t="shared" si="150"/>
        <v>0</v>
      </c>
      <c r="DI12" s="120"/>
      <c r="DJ12" s="120"/>
      <c r="DK12" s="120"/>
      <c r="DL12" s="120"/>
      <c r="DM12" s="120"/>
      <c r="DN12" s="209"/>
      <c r="DO12" s="205"/>
      <c r="DP12" s="205">
        <f t="shared" si="135"/>
        <v>0</v>
      </c>
      <c r="DQ12" s="120"/>
      <c r="DR12" s="120"/>
      <c r="DS12" s="120"/>
      <c r="DT12" s="120"/>
      <c r="DU12" s="120"/>
      <c r="DV12" s="209"/>
      <c r="DW12" s="205"/>
      <c r="DX12" s="205">
        <f t="shared" si="136"/>
        <v>0</v>
      </c>
      <c r="DY12" s="120"/>
      <c r="DZ12" s="120"/>
      <c r="EA12" s="120"/>
      <c r="EB12" s="120"/>
      <c r="EC12" s="120"/>
      <c r="ED12" s="209"/>
      <c r="EE12" s="205"/>
      <c r="EF12" s="205">
        <f t="shared" si="137"/>
        <v>0</v>
      </c>
      <c r="EG12" s="120"/>
      <c r="EH12" s="120"/>
      <c r="EI12" s="120"/>
      <c r="EJ12" s="205"/>
      <c r="EK12" s="205"/>
      <c r="EL12" s="209"/>
      <c r="EM12" s="205"/>
      <c r="EN12" s="205">
        <f t="shared" si="138"/>
        <v>0</v>
      </c>
      <c r="EO12" s="205">
        <f t="shared" si="151"/>
        <v>0</v>
      </c>
      <c r="EP12" s="250">
        <v>1250</v>
      </c>
      <c r="EQ12" s="120"/>
      <c r="ER12" s="120"/>
      <c r="ES12" s="120"/>
      <c r="ET12" s="120"/>
      <c r="EU12" s="209"/>
      <c r="EV12" s="205"/>
      <c r="EW12" s="205">
        <f t="shared" si="139"/>
        <v>1250</v>
      </c>
      <c r="EX12" s="120"/>
      <c r="EY12" s="120"/>
      <c r="EZ12" s="120"/>
      <c r="FA12" s="120"/>
      <c r="FB12" s="120"/>
      <c r="FC12" s="209"/>
      <c r="FD12" s="205"/>
      <c r="FE12" s="205">
        <f t="shared" si="140"/>
        <v>0</v>
      </c>
      <c r="FF12" s="120"/>
      <c r="FG12" s="120"/>
      <c r="FH12" s="120"/>
      <c r="FI12" s="120"/>
      <c r="FJ12" s="120"/>
      <c r="FK12" s="209"/>
      <c r="FL12" s="205"/>
      <c r="FM12" s="205">
        <f t="shared" si="141"/>
        <v>0</v>
      </c>
      <c r="FN12" s="120"/>
      <c r="FO12" s="120"/>
      <c r="FP12" s="120"/>
      <c r="FQ12" s="120"/>
      <c r="FR12" s="205"/>
      <c r="FS12" s="209"/>
      <c r="FT12" s="205"/>
      <c r="FU12" s="205">
        <f t="shared" si="142"/>
        <v>0</v>
      </c>
      <c r="FV12" s="205">
        <f t="shared" si="152"/>
        <v>1250</v>
      </c>
      <c r="FW12" s="120"/>
      <c r="FX12" s="120"/>
      <c r="FY12" s="120"/>
      <c r="FZ12" s="120"/>
      <c r="GA12" s="120"/>
      <c r="GB12" s="209"/>
      <c r="GC12" s="205"/>
      <c r="GD12" s="205">
        <f t="shared" si="143"/>
        <v>0</v>
      </c>
      <c r="GE12" s="120"/>
      <c r="GF12" s="120"/>
      <c r="GG12" s="120"/>
      <c r="GH12" s="120"/>
      <c r="GI12" s="120"/>
      <c r="GJ12" s="209"/>
      <c r="GK12" s="205"/>
      <c r="GL12" s="205">
        <f t="shared" si="144"/>
        <v>0</v>
      </c>
      <c r="GM12" s="120"/>
      <c r="GN12" s="120"/>
      <c r="GO12" s="120"/>
      <c r="GP12" s="120"/>
      <c r="GQ12" s="120"/>
      <c r="GR12" s="209"/>
      <c r="GS12" s="205"/>
      <c r="GT12" s="205">
        <f t="shared" si="145"/>
        <v>0</v>
      </c>
      <c r="GU12" s="120"/>
      <c r="GV12" s="120"/>
      <c r="GW12" s="120"/>
      <c r="GX12" s="120"/>
      <c r="GY12" s="120"/>
      <c r="GZ12" s="209"/>
      <c r="HA12" s="205"/>
      <c r="HB12" s="205">
        <f t="shared" si="146"/>
        <v>0</v>
      </c>
      <c r="HC12" s="120"/>
      <c r="HD12" s="120"/>
      <c r="HE12" s="120"/>
      <c r="HF12" s="120"/>
      <c r="HG12" s="120"/>
      <c r="HH12" s="209"/>
      <c r="HI12" s="205"/>
      <c r="HJ12" s="205">
        <f t="shared" si="147"/>
        <v>0</v>
      </c>
      <c r="HK12" s="205">
        <f t="shared" si="153"/>
        <v>0</v>
      </c>
      <c r="HL12" s="124"/>
      <c r="HM12" s="120"/>
      <c r="HN12" s="120"/>
      <c r="HO12" s="120"/>
      <c r="HP12" s="120"/>
      <c r="HQ12" s="205"/>
      <c r="HR12" s="205"/>
      <c r="HS12" s="205">
        <f t="shared" si="154"/>
        <v>0</v>
      </c>
      <c r="HT12" s="195">
        <v>1250</v>
      </c>
      <c r="HU12" s="120"/>
      <c r="HV12" s="120"/>
      <c r="HW12" s="120"/>
      <c r="HX12" s="120"/>
      <c r="HY12" s="205"/>
      <c r="HZ12" s="205"/>
      <c r="IA12" s="205">
        <f t="shared" si="155"/>
        <v>1250</v>
      </c>
      <c r="IB12" s="120"/>
      <c r="IC12" s="120"/>
      <c r="ID12" s="120"/>
      <c r="IE12" s="120"/>
      <c r="IF12" s="120"/>
      <c r="IG12" s="205"/>
      <c r="IH12" s="205"/>
      <c r="II12" s="205">
        <f t="shared" si="156"/>
        <v>0</v>
      </c>
      <c r="IJ12" s="120"/>
      <c r="IK12" s="120"/>
      <c r="IL12" s="120"/>
      <c r="IM12" s="120"/>
      <c r="IN12" s="120"/>
      <c r="IO12" s="205"/>
      <c r="IP12" s="205"/>
      <c r="IQ12" s="205">
        <f t="shared" si="157"/>
        <v>0</v>
      </c>
      <c r="IR12" s="205">
        <f t="shared" si="158"/>
        <v>1250</v>
      </c>
      <c r="IS12" s="120"/>
      <c r="IT12" s="120"/>
      <c r="IU12" s="120"/>
      <c r="IV12" s="120"/>
      <c r="IW12" s="120"/>
      <c r="IX12" s="205"/>
      <c r="IY12" s="205"/>
      <c r="IZ12" s="205">
        <f t="shared" si="159"/>
        <v>0</v>
      </c>
      <c r="JA12" s="120"/>
      <c r="JB12" s="120"/>
      <c r="JC12" s="120"/>
      <c r="JD12" s="120"/>
      <c r="JE12" s="120"/>
      <c r="JF12" s="205"/>
      <c r="JG12" s="205"/>
      <c r="JH12" s="205">
        <f t="shared" si="160"/>
        <v>0</v>
      </c>
      <c r="JI12" s="120"/>
      <c r="JJ12" s="120"/>
      <c r="JK12" s="120"/>
      <c r="JL12" s="120"/>
      <c r="JM12" s="120"/>
      <c r="JN12" s="205"/>
      <c r="JO12" s="205"/>
      <c r="JP12" s="205">
        <f t="shared" si="161"/>
        <v>0</v>
      </c>
      <c r="JQ12" s="120"/>
      <c r="JR12" s="120"/>
      <c r="JS12" s="120"/>
      <c r="JT12" s="120"/>
      <c r="JU12" s="120"/>
      <c r="JV12" s="205"/>
      <c r="JW12" s="205"/>
      <c r="JX12" s="205">
        <f t="shared" si="162"/>
        <v>0</v>
      </c>
      <c r="JY12" s="205">
        <f t="shared" si="163"/>
        <v>0</v>
      </c>
      <c r="JZ12" s="120"/>
      <c r="KA12" s="120"/>
      <c r="KB12" s="120"/>
      <c r="KC12" s="120"/>
      <c r="KD12" s="120"/>
      <c r="KE12" s="205"/>
      <c r="KF12" s="205"/>
      <c r="KG12" s="205">
        <f t="shared" si="164"/>
        <v>0</v>
      </c>
      <c r="KH12" s="120"/>
      <c r="KI12" s="120"/>
      <c r="KJ12" s="120"/>
      <c r="KK12" s="120"/>
      <c r="KL12" s="120"/>
      <c r="KM12" s="205"/>
      <c r="KN12" s="205"/>
      <c r="KO12" s="205">
        <f t="shared" si="165"/>
        <v>0</v>
      </c>
      <c r="KP12" s="120"/>
      <c r="KQ12" s="120"/>
      <c r="KR12" s="120"/>
      <c r="KS12" s="120"/>
      <c r="KT12" s="120"/>
      <c r="KU12" s="205"/>
      <c r="KV12" s="205"/>
      <c r="KW12" s="205">
        <f t="shared" si="166"/>
        <v>0</v>
      </c>
      <c r="KX12" s="120"/>
      <c r="KY12" s="120"/>
      <c r="KZ12" s="120"/>
      <c r="LA12" s="120"/>
      <c r="LB12" s="120"/>
      <c r="LC12" s="205"/>
      <c r="LD12" s="205"/>
      <c r="LE12" s="205">
        <f t="shared" si="167"/>
        <v>0</v>
      </c>
      <c r="LF12" s="205"/>
      <c r="LG12" s="120"/>
      <c r="LH12" s="120"/>
      <c r="LI12" s="120"/>
      <c r="LJ12" s="120"/>
      <c r="LK12" s="205"/>
      <c r="LL12" s="205"/>
      <c r="LM12" s="205">
        <f t="shared" si="168"/>
        <v>0</v>
      </c>
      <c r="LN12" s="205">
        <f t="shared" si="169"/>
        <v>0</v>
      </c>
      <c r="LO12" s="205"/>
      <c r="LP12" s="120"/>
      <c r="LQ12" s="120"/>
      <c r="LR12" s="120"/>
      <c r="LS12" s="205"/>
      <c r="LT12" s="205"/>
      <c r="LU12" s="205"/>
      <c r="LV12" s="205">
        <f t="shared" si="170"/>
        <v>0</v>
      </c>
      <c r="LW12" s="120"/>
      <c r="LX12" s="120"/>
      <c r="LY12" s="120"/>
      <c r="LZ12" s="120"/>
      <c r="MA12" s="120"/>
      <c r="MB12" s="205"/>
      <c r="MC12" s="205"/>
      <c r="MD12" s="205">
        <f t="shared" si="171"/>
        <v>0</v>
      </c>
      <c r="ME12" s="120"/>
      <c r="MF12" s="120"/>
      <c r="MG12" s="120"/>
      <c r="MH12" s="120"/>
      <c r="MI12" s="205"/>
      <c r="MJ12" s="205"/>
      <c r="MK12" s="205"/>
      <c r="ML12" s="205">
        <f t="shared" si="172"/>
        <v>0</v>
      </c>
      <c r="MM12" s="124">
        <v>1250</v>
      </c>
      <c r="MN12" s="120"/>
      <c r="MO12" s="120"/>
      <c r="MP12" s="120"/>
      <c r="MQ12" s="120"/>
      <c r="MR12" s="205"/>
      <c r="MS12" s="205"/>
      <c r="MT12" s="205">
        <f t="shared" si="173"/>
        <v>1250</v>
      </c>
      <c r="MU12" s="205">
        <f t="shared" si="174"/>
        <v>1250</v>
      </c>
      <c r="MV12" s="120"/>
      <c r="MW12" s="120"/>
      <c r="MX12" s="120"/>
      <c r="MY12" s="120"/>
      <c r="MZ12" s="120"/>
      <c r="NA12" s="205"/>
      <c r="NB12" s="205"/>
      <c r="NC12" s="205">
        <f t="shared" si="175"/>
        <v>0</v>
      </c>
      <c r="ND12" s="120"/>
      <c r="NE12" s="120"/>
      <c r="NF12" s="120"/>
      <c r="NG12" s="120"/>
      <c r="NH12" s="120"/>
      <c r="NI12" s="205"/>
      <c r="NJ12" s="205"/>
      <c r="NK12" s="205">
        <f t="shared" si="176"/>
        <v>0</v>
      </c>
      <c r="NL12" s="120"/>
      <c r="NM12" s="120"/>
      <c r="NN12" s="120"/>
      <c r="NO12" s="120"/>
      <c r="NP12" s="120"/>
      <c r="NQ12" s="205"/>
      <c r="NR12" s="205"/>
      <c r="NS12" s="205">
        <f t="shared" si="177"/>
        <v>0</v>
      </c>
      <c r="NT12" s="120"/>
      <c r="NU12" s="120"/>
      <c r="NV12" s="120"/>
      <c r="NW12" s="120"/>
      <c r="NX12" s="120"/>
      <c r="NY12" s="205"/>
      <c r="NZ12" s="205"/>
      <c r="OA12" s="205">
        <f t="shared" si="178"/>
        <v>0</v>
      </c>
      <c r="OB12" s="205">
        <f t="shared" si="179"/>
        <v>0</v>
      </c>
      <c r="OC12" s="120"/>
      <c r="OD12" s="120"/>
      <c r="OE12" s="120"/>
      <c r="OF12" s="120"/>
      <c r="OG12" s="120"/>
      <c r="OH12" s="205"/>
      <c r="OI12" s="205"/>
      <c r="OJ12" s="205">
        <f t="shared" si="180"/>
        <v>0</v>
      </c>
      <c r="OK12" s="120"/>
      <c r="OL12" s="120"/>
      <c r="OM12" s="120"/>
      <c r="ON12" s="120"/>
      <c r="OO12" s="120"/>
      <c r="OP12" s="205"/>
      <c r="OQ12" s="205"/>
      <c r="OR12" s="205">
        <f t="shared" si="181"/>
        <v>0</v>
      </c>
      <c r="OS12" s="120"/>
      <c r="OT12" s="120"/>
      <c r="OU12" s="120"/>
      <c r="OV12" s="120"/>
      <c r="OW12" s="120"/>
      <c r="OX12" s="205"/>
      <c r="OY12" s="205"/>
      <c r="OZ12" s="205">
        <f t="shared" si="182"/>
        <v>0</v>
      </c>
      <c r="PA12" s="120"/>
      <c r="PB12" s="120"/>
      <c r="PC12" s="120"/>
      <c r="PD12" s="205"/>
      <c r="PE12" s="217"/>
      <c r="PF12" s="205"/>
      <c r="PG12" s="205"/>
      <c r="PH12" s="205">
        <f t="shared" si="183"/>
        <v>0</v>
      </c>
      <c r="PI12" s="195">
        <v>700</v>
      </c>
      <c r="PJ12" s="120"/>
      <c r="PK12" s="120"/>
      <c r="PL12" s="205"/>
      <c r="PM12" s="217"/>
      <c r="PN12" s="205"/>
      <c r="PO12" s="205"/>
      <c r="PP12" s="205">
        <f t="shared" si="184"/>
        <v>700</v>
      </c>
      <c r="PQ12" s="205">
        <f t="shared" si="185"/>
        <v>700</v>
      </c>
      <c r="PR12" s="207"/>
      <c r="PS12" s="207"/>
      <c r="PT12" s="207"/>
      <c r="PU12" s="207"/>
      <c r="PV12" s="207"/>
      <c r="PW12" s="272"/>
      <c r="PX12" s="272"/>
      <c r="PY12" s="205">
        <f t="shared" si="186"/>
        <v>0</v>
      </c>
      <c r="PZ12" s="207"/>
      <c r="QA12" s="207"/>
      <c r="QB12" s="207"/>
      <c r="QC12" s="207"/>
      <c r="QD12" s="207"/>
      <c r="QE12" s="272"/>
      <c r="QF12" s="272"/>
      <c r="QG12" s="205">
        <f t="shared" si="187"/>
        <v>0</v>
      </c>
      <c r="QH12" s="207"/>
      <c r="QI12" s="207"/>
      <c r="QJ12" s="294"/>
      <c r="QK12" s="207"/>
      <c r="QL12" s="207"/>
      <c r="QM12" s="272"/>
      <c r="QN12" s="272"/>
      <c r="QO12" s="205">
        <f t="shared" si="188"/>
        <v>0</v>
      </c>
      <c r="QP12" s="207"/>
      <c r="QQ12" s="207"/>
      <c r="QR12" s="207"/>
      <c r="QS12" s="207"/>
      <c r="QT12" s="207"/>
      <c r="QU12" s="272"/>
      <c r="QV12" s="272"/>
      <c r="QW12" s="205">
        <f t="shared" si="189"/>
        <v>0</v>
      </c>
      <c r="QX12" s="205">
        <f t="shared" si="190"/>
        <v>0</v>
      </c>
      <c r="QY12" s="207"/>
      <c r="QZ12" s="207"/>
      <c r="RA12" s="207"/>
      <c r="RB12" s="207"/>
      <c r="RC12" s="207"/>
      <c r="RD12" s="272"/>
      <c r="RE12" s="272"/>
      <c r="RF12" s="205">
        <f t="shared" si="191"/>
        <v>0</v>
      </c>
      <c r="RG12" s="207"/>
      <c r="RH12" s="207"/>
      <c r="RI12" s="207"/>
      <c r="RJ12" s="207"/>
      <c r="RK12" s="207"/>
      <c r="RL12" s="272"/>
      <c r="RM12" s="272"/>
      <c r="RN12" s="205">
        <f t="shared" si="192"/>
        <v>0</v>
      </c>
      <c r="RO12" s="272"/>
      <c r="RP12" s="272"/>
      <c r="RQ12" s="272"/>
      <c r="RR12" s="272"/>
      <c r="RS12" s="272"/>
      <c r="RT12" s="272"/>
      <c r="RU12" s="272"/>
      <c r="RV12" s="205">
        <f t="shared" si="193"/>
        <v>0</v>
      </c>
      <c r="RW12" s="207"/>
      <c r="RX12" s="207"/>
      <c r="RY12" s="207"/>
      <c r="RZ12" s="207"/>
      <c r="SA12" s="272"/>
      <c r="SB12" s="272"/>
      <c r="SC12" s="272"/>
      <c r="SD12" s="205">
        <f t="shared" si="194"/>
        <v>0</v>
      </c>
      <c r="SE12" s="205">
        <f t="shared" si="195"/>
        <v>0</v>
      </c>
      <c r="SF12" s="207"/>
      <c r="SG12" s="207"/>
      <c r="SH12" s="195">
        <v>900</v>
      </c>
      <c r="SI12" s="207"/>
      <c r="SJ12" s="207"/>
      <c r="SK12" s="272"/>
      <c r="SL12" s="272"/>
      <c r="SM12" s="205">
        <f t="shared" si="196"/>
        <v>900</v>
      </c>
      <c r="SN12" s="207"/>
      <c r="SO12" s="207"/>
      <c r="SP12" s="207"/>
      <c r="SQ12" s="207"/>
      <c r="SR12" s="207"/>
      <c r="SS12" s="272"/>
      <c r="ST12" s="272"/>
      <c r="SU12" s="205">
        <f t="shared" si="197"/>
        <v>0</v>
      </c>
      <c r="SV12" s="207"/>
      <c r="SW12" s="207"/>
      <c r="SX12" s="207"/>
      <c r="SY12" s="207"/>
      <c r="SZ12" s="207"/>
      <c r="TA12" s="272"/>
      <c r="TB12" s="272"/>
      <c r="TC12" s="205">
        <f t="shared" si="198"/>
        <v>0</v>
      </c>
      <c r="TD12" s="207"/>
      <c r="TE12" s="207"/>
      <c r="TF12" s="207"/>
      <c r="TG12" s="207"/>
      <c r="TH12" s="207"/>
      <c r="TI12" s="272"/>
      <c r="TJ12" s="272"/>
      <c r="TK12" s="205">
        <f t="shared" si="199"/>
        <v>0</v>
      </c>
      <c r="TL12" s="207"/>
      <c r="TM12" s="201">
        <v>950</v>
      </c>
      <c r="TN12" s="207"/>
      <c r="TO12" s="207"/>
      <c r="TP12" s="272"/>
      <c r="TQ12" s="272"/>
      <c r="TR12" s="272"/>
      <c r="TS12" s="205">
        <f t="shared" si="200"/>
        <v>950</v>
      </c>
      <c r="TT12" s="205">
        <f t="shared" si="201"/>
        <v>1850</v>
      </c>
      <c r="TU12" s="272"/>
      <c r="TV12" s="207"/>
      <c r="TW12" s="207"/>
      <c r="TX12" s="207"/>
      <c r="TY12" s="207"/>
      <c r="TZ12" s="272"/>
      <c r="UA12" s="272"/>
      <c r="UB12" s="205">
        <f t="shared" si="202"/>
        <v>0</v>
      </c>
      <c r="UC12" s="207"/>
      <c r="UD12" s="207"/>
      <c r="UE12" s="207"/>
      <c r="UF12" s="207"/>
      <c r="UG12" s="207"/>
      <c r="UH12" s="272"/>
      <c r="UI12" s="272"/>
      <c r="UJ12" s="205">
        <f t="shared" si="203"/>
        <v>0</v>
      </c>
      <c r="UK12" s="207"/>
      <c r="UL12" s="207"/>
      <c r="UM12" s="207"/>
      <c r="UN12" s="207"/>
      <c r="UO12" s="207"/>
      <c r="UP12" s="272"/>
      <c r="UQ12" s="272"/>
      <c r="UR12" s="205">
        <f t="shared" si="226"/>
        <v>0</v>
      </c>
      <c r="US12" s="207"/>
      <c r="UT12" s="207"/>
      <c r="UU12" s="207"/>
      <c r="UV12" s="207"/>
      <c r="UW12" s="272"/>
      <c r="UX12" s="272"/>
      <c r="UY12" s="272"/>
      <c r="UZ12" s="205">
        <f t="shared" si="204"/>
        <v>0</v>
      </c>
      <c r="VA12" s="205">
        <f t="shared" si="205"/>
        <v>0</v>
      </c>
      <c r="VB12" s="207"/>
      <c r="VC12" s="207"/>
      <c r="VD12" s="207"/>
      <c r="VE12" s="207"/>
      <c r="VF12" s="207"/>
      <c r="VG12" s="272"/>
      <c r="VH12" s="272"/>
      <c r="VI12" s="205">
        <f t="shared" si="206"/>
        <v>0</v>
      </c>
      <c r="VJ12" s="207"/>
      <c r="VK12" s="207"/>
      <c r="VL12" s="207"/>
      <c r="VM12" s="207"/>
      <c r="VN12" s="207"/>
      <c r="VO12" s="272"/>
      <c r="VP12" s="272"/>
      <c r="VQ12" s="205">
        <f t="shared" si="207"/>
        <v>0</v>
      </c>
      <c r="VR12" s="207"/>
      <c r="VS12" s="207"/>
      <c r="VT12" s="207"/>
      <c r="VU12" s="207"/>
      <c r="VV12" s="207"/>
      <c r="VW12" s="272"/>
      <c r="VX12" s="272"/>
      <c r="VY12" s="205">
        <f t="shared" si="208"/>
        <v>0</v>
      </c>
      <c r="VZ12" s="207"/>
      <c r="WA12" s="195">
        <v>1100</v>
      </c>
      <c r="WB12" s="207"/>
      <c r="WC12" s="207"/>
      <c r="WD12" s="207"/>
      <c r="WE12" s="272"/>
      <c r="WF12" s="272"/>
      <c r="WG12" s="205">
        <f t="shared" si="209"/>
        <v>1100</v>
      </c>
      <c r="WH12" s="205">
        <f t="shared" si="210"/>
        <v>1100</v>
      </c>
      <c r="WI12" s="207"/>
      <c r="WJ12" s="207"/>
      <c r="WK12" s="207"/>
      <c r="WL12" s="207"/>
      <c r="WM12" s="207"/>
      <c r="WN12" s="272"/>
      <c r="WO12" s="272"/>
      <c r="WP12" s="205">
        <f t="shared" si="211"/>
        <v>0</v>
      </c>
      <c r="WQ12" s="207"/>
      <c r="WR12" s="207"/>
      <c r="WS12" s="207"/>
      <c r="WT12" s="207"/>
      <c r="WU12" s="207"/>
      <c r="WV12" s="272"/>
      <c r="WW12" s="272"/>
      <c r="WX12" s="205">
        <f t="shared" si="212"/>
        <v>0</v>
      </c>
      <c r="WY12" s="207"/>
      <c r="WZ12" s="207"/>
      <c r="XA12" s="207"/>
      <c r="XB12" s="207"/>
      <c r="XC12" s="272"/>
      <c r="XD12" s="272"/>
      <c r="XE12" s="272"/>
      <c r="XF12" s="205">
        <f t="shared" si="213"/>
        <v>0</v>
      </c>
      <c r="XG12" s="207"/>
      <c r="XH12" s="207"/>
      <c r="XI12" s="207"/>
      <c r="XJ12" s="207"/>
      <c r="XK12" s="207"/>
      <c r="XL12" s="272"/>
      <c r="XM12" s="272"/>
      <c r="XN12" s="205">
        <f t="shared" si="214"/>
        <v>0</v>
      </c>
      <c r="XO12" s="207"/>
      <c r="XP12" s="207"/>
      <c r="XQ12" s="207"/>
      <c r="XR12" s="207"/>
      <c r="XS12" s="207"/>
      <c r="XT12" s="272"/>
      <c r="XU12" s="272"/>
      <c r="XV12" s="205">
        <f t="shared" si="215"/>
        <v>0</v>
      </c>
      <c r="XW12" s="205">
        <f t="shared" si="216"/>
        <v>0</v>
      </c>
      <c r="XX12" s="207"/>
      <c r="XY12" s="207"/>
      <c r="XZ12" s="207"/>
      <c r="YA12" s="207"/>
      <c r="YB12" s="207"/>
      <c r="YC12" s="272"/>
      <c r="YD12" s="272"/>
      <c r="YE12" s="205">
        <f t="shared" si="217"/>
        <v>0</v>
      </c>
      <c r="YF12" s="207"/>
      <c r="YG12" s="207"/>
      <c r="YH12" s="207"/>
      <c r="YI12" s="207"/>
      <c r="YJ12" s="207"/>
      <c r="YK12" s="272"/>
      <c r="YL12" s="272"/>
      <c r="YM12" s="205">
        <f t="shared" si="218"/>
        <v>0</v>
      </c>
      <c r="YN12" s="195">
        <v>900</v>
      </c>
      <c r="YO12" s="207"/>
      <c r="YP12" s="207"/>
      <c r="YQ12" s="207"/>
      <c r="YR12" s="207"/>
      <c r="YS12" s="272"/>
      <c r="YT12" s="272"/>
      <c r="YU12" s="205">
        <f t="shared" si="148"/>
        <v>900</v>
      </c>
      <c r="YV12" s="207"/>
      <c r="YW12" s="207"/>
      <c r="YX12" s="207"/>
      <c r="YY12" s="207"/>
      <c r="YZ12" s="207"/>
      <c r="ZA12" s="272"/>
      <c r="ZB12" s="272"/>
      <c r="ZC12" s="205">
        <f t="shared" si="219"/>
        <v>0</v>
      </c>
      <c r="ZD12" s="205">
        <f t="shared" si="149"/>
        <v>900</v>
      </c>
      <c r="ZE12" s="207"/>
      <c r="ZF12" s="207"/>
      <c r="ZG12" s="207"/>
      <c r="ZH12" s="207"/>
      <c r="ZI12" s="207"/>
      <c r="ZJ12" s="272"/>
      <c r="ZK12" s="272"/>
      <c r="ZL12" s="205">
        <f t="shared" si="220"/>
        <v>0</v>
      </c>
      <c r="ZM12" s="207"/>
      <c r="ZN12" s="207"/>
      <c r="ZO12" s="207"/>
      <c r="ZP12" s="207"/>
      <c r="ZQ12" s="207"/>
      <c r="ZR12" s="272"/>
      <c r="ZS12" s="272"/>
      <c r="ZT12" s="205">
        <f t="shared" si="221"/>
        <v>0</v>
      </c>
      <c r="ZU12" s="207"/>
      <c r="ZV12" s="207"/>
      <c r="ZW12" s="207"/>
      <c r="ZX12" s="207"/>
      <c r="ZY12" s="207"/>
      <c r="ZZ12" s="272"/>
      <c r="AAA12" s="272"/>
      <c r="AAB12" s="205">
        <f t="shared" si="222"/>
        <v>0</v>
      </c>
      <c r="AAC12" s="207"/>
      <c r="AAD12" s="207"/>
      <c r="AAE12" s="207"/>
      <c r="AAF12" s="207"/>
      <c r="AAG12" s="207"/>
      <c r="AAH12" s="272"/>
      <c r="AAI12" s="272"/>
      <c r="AAJ12" s="205">
        <f t="shared" si="223"/>
        <v>0</v>
      </c>
      <c r="AAK12" s="207"/>
      <c r="AAL12" s="207"/>
      <c r="AAM12" s="207"/>
      <c r="AAN12" s="207"/>
      <c r="AAO12" s="207"/>
      <c r="AAP12" s="272"/>
      <c r="AAQ12" s="272"/>
      <c r="AAR12" s="205">
        <f t="shared" si="224"/>
        <v>0</v>
      </c>
      <c r="AAS12" s="205">
        <f t="shared" si="225"/>
        <v>0</v>
      </c>
    </row>
    <row r="13" spans="1:721" ht="69.95" customHeight="1">
      <c r="B13" s="155">
        <v>3620102201</v>
      </c>
      <c r="C13" s="323"/>
      <c r="D13" s="156" t="s">
        <v>71</v>
      </c>
      <c r="E13" s="130" t="s">
        <v>4</v>
      </c>
      <c r="F13" s="120"/>
      <c r="G13" s="120"/>
      <c r="H13" s="120"/>
      <c r="I13" s="120"/>
      <c r="J13" s="120"/>
      <c r="K13" s="209"/>
      <c r="L13" s="205"/>
      <c r="M13" s="205">
        <f t="shared" si="121"/>
        <v>0</v>
      </c>
      <c r="N13" s="120"/>
      <c r="O13" s="120"/>
      <c r="P13" s="120"/>
      <c r="Q13" s="120"/>
      <c r="R13" s="120"/>
      <c r="S13" s="209"/>
      <c r="T13" s="205"/>
      <c r="U13" s="205">
        <f t="shared" si="122"/>
        <v>0</v>
      </c>
      <c r="V13" s="120"/>
      <c r="W13" s="120"/>
      <c r="X13" s="120"/>
      <c r="Y13" s="120"/>
      <c r="Z13" s="120"/>
      <c r="AA13" s="209"/>
      <c r="AB13" s="205"/>
      <c r="AC13" s="205">
        <f t="shared" si="123"/>
        <v>0</v>
      </c>
      <c r="AD13" s="205"/>
      <c r="AE13" s="205"/>
      <c r="AF13" s="205"/>
      <c r="AG13" s="205"/>
      <c r="AH13" s="205"/>
      <c r="AI13" s="209"/>
      <c r="AJ13" s="205"/>
      <c r="AK13" s="205">
        <f t="shared" si="124"/>
        <v>0</v>
      </c>
      <c r="AL13" s="205" t="e">
        <f>SUM(#REF!,M13,U13,AC13,AD13:AH13)</f>
        <v>#REF!</v>
      </c>
      <c r="AM13" s="120"/>
      <c r="AN13" s="120"/>
      <c r="AO13" s="120"/>
      <c r="AP13" s="120"/>
      <c r="AQ13" s="120"/>
      <c r="AR13" s="209"/>
      <c r="AS13" s="205"/>
      <c r="AT13" s="205">
        <f t="shared" si="125"/>
        <v>0</v>
      </c>
      <c r="AU13" s="120"/>
      <c r="AV13" s="120"/>
      <c r="AW13" s="120"/>
      <c r="AX13" s="120"/>
      <c r="AY13" s="120"/>
      <c r="AZ13" s="209"/>
      <c r="BA13" s="205"/>
      <c r="BB13" s="205">
        <f t="shared" si="126"/>
        <v>0</v>
      </c>
      <c r="BC13" s="120"/>
      <c r="BD13" s="120"/>
      <c r="BE13" s="120"/>
      <c r="BF13" s="120"/>
      <c r="BG13" s="120"/>
      <c r="BH13" s="209"/>
      <c r="BI13" s="205"/>
      <c r="BJ13" s="205">
        <f t="shared" si="127"/>
        <v>0</v>
      </c>
      <c r="BK13" s="120"/>
      <c r="BL13" s="120"/>
      <c r="BM13" s="120"/>
      <c r="BN13" s="120"/>
      <c r="BO13" s="205"/>
      <c r="BP13" s="209"/>
      <c r="BQ13" s="205"/>
      <c r="BR13" s="205">
        <f t="shared" si="128"/>
        <v>0</v>
      </c>
      <c r="BS13" s="205">
        <f t="shared" si="129"/>
        <v>0</v>
      </c>
      <c r="BT13" s="120"/>
      <c r="BU13" s="120"/>
      <c r="BV13" s="120"/>
      <c r="BW13" s="120"/>
      <c r="BX13" s="120"/>
      <c r="BY13" s="209"/>
      <c r="BZ13" s="205"/>
      <c r="CA13" s="205">
        <f t="shared" si="130"/>
        <v>0</v>
      </c>
      <c r="CB13" s="120"/>
      <c r="CC13" s="120"/>
      <c r="CD13" s="120"/>
      <c r="CE13" s="120"/>
      <c r="CF13" s="120"/>
      <c r="CG13" s="209"/>
      <c r="CH13" s="205"/>
      <c r="CI13" s="205">
        <f t="shared" si="131"/>
        <v>0</v>
      </c>
      <c r="CJ13" s="120"/>
      <c r="CK13" s="120"/>
      <c r="CL13" s="120"/>
      <c r="CM13" s="120"/>
      <c r="CN13" s="120"/>
      <c r="CO13" s="209"/>
      <c r="CP13" s="205"/>
      <c r="CQ13" s="205">
        <f t="shared" si="132"/>
        <v>0</v>
      </c>
      <c r="CR13" s="120"/>
      <c r="CS13" s="120"/>
      <c r="CT13" s="120"/>
      <c r="CU13" s="120"/>
      <c r="CV13" s="120"/>
      <c r="CW13" s="209"/>
      <c r="CX13" s="205"/>
      <c r="CY13" s="205">
        <f t="shared" si="133"/>
        <v>0</v>
      </c>
      <c r="CZ13" s="120"/>
      <c r="DA13" s="120"/>
      <c r="DB13" s="120"/>
      <c r="DC13" s="205"/>
      <c r="DD13" s="205"/>
      <c r="DE13" s="209"/>
      <c r="DF13" s="205"/>
      <c r="DG13" s="205">
        <f t="shared" si="134"/>
        <v>0</v>
      </c>
      <c r="DH13" s="205">
        <f t="shared" si="150"/>
        <v>0</v>
      </c>
      <c r="DI13" s="120"/>
      <c r="DJ13" s="120"/>
      <c r="DK13" s="120"/>
      <c r="DL13" s="120"/>
      <c r="DM13" s="120"/>
      <c r="DN13" s="209"/>
      <c r="DO13" s="205"/>
      <c r="DP13" s="205">
        <f t="shared" si="135"/>
        <v>0</v>
      </c>
      <c r="DQ13" s="120"/>
      <c r="DR13" s="120"/>
      <c r="DS13" s="120"/>
      <c r="DT13" s="120"/>
      <c r="DU13" s="120"/>
      <c r="DV13" s="209"/>
      <c r="DW13" s="205"/>
      <c r="DX13" s="205">
        <f t="shared" si="136"/>
        <v>0</v>
      </c>
      <c r="DY13" s="120"/>
      <c r="DZ13" s="120"/>
      <c r="EA13" s="120"/>
      <c r="EB13" s="120"/>
      <c r="EC13" s="120"/>
      <c r="ED13" s="209"/>
      <c r="EE13" s="205"/>
      <c r="EF13" s="205">
        <f t="shared" si="137"/>
        <v>0</v>
      </c>
      <c r="EG13" s="120"/>
      <c r="EH13" s="120"/>
      <c r="EI13" s="120"/>
      <c r="EJ13" s="205"/>
      <c r="EK13" s="205"/>
      <c r="EL13" s="209"/>
      <c r="EM13" s="205"/>
      <c r="EN13" s="205">
        <f t="shared" si="138"/>
        <v>0</v>
      </c>
      <c r="EO13" s="205">
        <f t="shared" si="151"/>
        <v>0</v>
      </c>
      <c r="EP13" s="120"/>
      <c r="EQ13" s="120"/>
      <c r="ER13" s="120"/>
      <c r="ES13" s="120"/>
      <c r="ET13" s="120"/>
      <c r="EU13" s="209"/>
      <c r="EV13" s="205"/>
      <c r="EW13" s="205">
        <f t="shared" si="139"/>
        <v>0</v>
      </c>
      <c r="EX13" s="120"/>
      <c r="EY13" s="120"/>
      <c r="EZ13" s="120"/>
      <c r="FA13" s="120"/>
      <c r="FB13" s="120"/>
      <c r="FC13" s="209"/>
      <c r="FD13" s="205"/>
      <c r="FE13" s="205">
        <f t="shared" si="140"/>
        <v>0</v>
      </c>
      <c r="FF13" s="120"/>
      <c r="FG13" s="120"/>
      <c r="FH13" s="120"/>
      <c r="FI13" s="120"/>
      <c r="FJ13" s="120"/>
      <c r="FK13" s="209"/>
      <c r="FL13" s="205"/>
      <c r="FM13" s="205">
        <f t="shared" si="141"/>
        <v>0</v>
      </c>
      <c r="FN13" s="120"/>
      <c r="FO13" s="120"/>
      <c r="FP13" s="120"/>
      <c r="FQ13" s="120"/>
      <c r="FR13" s="205"/>
      <c r="FS13" s="209"/>
      <c r="FT13" s="205"/>
      <c r="FU13" s="205">
        <f t="shared" si="142"/>
        <v>0</v>
      </c>
      <c r="FV13" s="205">
        <f t="shared" si="152"/>
        <v>0</v>
      </c>
      <c r="FW13" s="120"/>
      <c r="FX13" s="120"/>
      <c r="FY13" s="120"/>
      <c r="FZ13" s="120"/>
      <c r="GA13" s="120"/>
      <c r="GB13" s="209"/>
      <c r="GC13" s="205"/>
      <c r="GD13" s="205">
        <f t="shared" si="143"/>
        <v>0</v>
      </c>
      <c r="GE13" s="120"/>
      <c r="GF13" s="120"/>
      <c r="GG13" s="120"/>
      <c r="GH13" s="120"/>
      <c r="GI13" s="120"/>
      <c r="GJ13" s="209"/>
      <c r="GK13" s="205"/>
      <c r="GL13" s="205">
        <f t="shared" si="144"/>
        <v>0</v>
      </c>
      <c r="GM13" s="120"/>
      <c r="GN13" s="120"/>
      <c r="GO13" s="120"/>
      <c r="GP13" s="120"/>
      <c r="GQ13" s="120"/>
      <c r="GR13" s="209"/>
      <c r="GS13" s="205"/>
      <c r="GT13" s="205">
        <f t="shared" si="145"/>
        <v>0</v>
      </c>
      <c r="GU13" s="120"/>
      <c r="GV13" s="120"/>
      <c r="GW13" s="120"/>
      <c r="GX13" s="120"/>
      <c r="GY13" s="120"/>
      <c r="GZ13" s="209"/>
      <c r="HA13" s="205"/>
      <c r="HB13" s="205">
        <f t="shared" si="146"/>
        <v>0</v>
      </c>
      <c r="HC13" s="120"/>
      <c r="HD13" s="120"/>
      <c r="HE13" s="120"/>
      <c r="HF13" s="120"/>
      <c r="HG13" s="120"/>
      <c r="HH13" s="209"/>
      <c r="HI13" s="205"/>
      <c r="HJ13" s="205">
        <f t="shared" si="147"/>
        <v>0</v>
      </c>
      <c r="HK13" s="205">
        <f t="shared" si="153"/>
        <v>0</v>
      </c>
      <c r="HL13" s="124"/>
      <c r="HM13" s="120"/>
      <c r="HN13" s="120"/>
      <c r="HO13" s="120"/>
      <c r="HP13" s="120"/>
      <c r="HQ13" s="205"/>
      <c r="HR13" s="205"/>
      <c r="HS13" s="205">
        <f t="shared" si="154"/>
        <v>0</v>
      </c>
      <c r="HT13" s="195">
        <v>200</v>
      </c>
      <c r="HU13" s="120"/>
      <c r="HV13" s="120"/>
      <c r="HW13" s="120"/>
      <c r="HX13" s="120"/>
      <c r="HY13" s="205"/>
      <c r="HZ13" s="205"/>
      <c r="IA13" s="205">
        <f t="shared" si="155"/>
        <v>200</v>
      </c>
      <c r="IB13" s="120"/>
      <c r="IC13" s="120"/>
      <c r="ID13" s="120"/>
      <c r="IE13" s="120"/>
      <c r="IF13" s="120"/>
      <c r="IG13" s="205"/>
      <c r="IH13" s="205"/>
      <c r="II13" s="205">
        <f t="shared" si="156"/>
        <v>0</v>
      </c>
      <c r="IJ13" s="120"/>
      <c r="IK13" s="120"/>
      <c r="IL13" s="120"/>
      <c r="IM13" s="120"/>
      <c r="IN13" s="120"/>
      <c r="IO13" s="205"/>
      <c r="IP13" s="205"/>
      <c r="IQ13" s="205">
        <f t="shared" si="157"/>
        <v>0</v>
      </c>
      <c r="IR13" s="205">
        <f t="shared" si="158"/>
        <v>200</v>
      </c>
      <c r="IS13" s="120"/>
      <c r="IT13" s="120"/>
      <c r="IU13" s="120"/>
      <c r="IV13" s="120"/>
      <c r="IW13" s="120"/>
      <c r="IX13" s="205"/>
      <c r="IY13" s="205"/>
      <c r="IZ13" s="205">
        <f t="shared" si="159"/>
        <v>0</v>
      </c>
      <c r="JA13" s="120"/>
      <c r="JB13" s="120"/>
      <c r="JC13" s="120"/>
      <c r="JD13" s="120"/>
      <c r="JE13" s="120"/>
      <c r="JF13" s="205"/>
      <c r="JG13" s="205"/>
      <c r="JH13" s="205">
        <f t="shared" si="160"/>
        <v>0</v>
      </c>
      <c r="JI13" s="120"/>
      <c r="JJ13" s="120"/>
      <c r="JK13" s="120"/>
      <c r="JL13" s="120"/>
      <c r="JM13" s="120"/>
      <c r="JN13" s="205"/>
      <c r="JO13" s="205"/>
      <c r="JP13" s="205">
        <f t="shared" si="161"/>
        <v>0</v>
      </c>
      <c r="JQ13" s="120"/>
      <c r="JR13" s="120"/>
      <c r="JS13" s="120"/>
      <c r="JT13" s="120"/>
      <c r="JU13" s="120"/>
      <c r="JV13" s="205"/>
      <c r="JW13" s="205"/>
      <c r="JX13" s="205">
        <f t="shared" si="162"/>
        <v>0</v>
      </c>
      <c r="JY13" s="205">
        <f t="shared" si="163"/>
        <v>0</v>
      </c>
      <c r="JZ13" s="120"/>
      <c r="KA13" s="120"/>
      <c r="KB13" s="120"/>
      <c r="KC13" s="120"/>
      <c r="KD13" s="120"/>
      <c r="KE13" s="205"/>
      <c r="KF13" s="205"/>
      <c r="KG13" s="205">
        <f t="shared" si="164"/>
        <v>0</v>
      </c>
      <c r="KH13" s="120"/>
      <c r="KI13" s="120"/>
      <c r="KJ13" s="120"/>
      <c r="KK13" s="120"/>
      <c r="KL13" s="120"/>
      <c r="KM13" s="205"/>
      <c r="KN13" s="205"/>
      <c r="KO13" s="205">
        <f t="shared" si="165"/>
        <v>0</v>
      </c>
      <c r="KP13" s="120"/>
      <c r="KQ13" s="120"/>
      <c r="KR13" s="120"/>
      <c r="KS13" s="120"/>
      <c r="KT13" s="120"/>
      <c r="KU13" s="205"/>
      <c r="KV13" s="205"/>
      <c r="KW13" s="205">
        <f t="shared" si="166"/>
        <v>0</v>
      </c>
      <c r="KX13" s="120"/>
      <c r="KY13" s="120"/>
      <c r="KZ13" s="120"/>
      <c r="LA13" s="120"/>
      <c r="LB13" s="120"/>
      <c r="LC13" s="205"/>
      <c r="LD13" s="205"/>
      <c r="LE13" s="205">
        <f t="shared" si="167"/>
        <v>0</v>
      </c>
      <c r="LF13" s="205"/>
      <c r="LG13" s="120"/>
      <c r="LH13" s="120"/>
      <c r="LI13" s="120"/>
      <c r="LJ13" s="120"/>
      <c r="LK13" s="205"/>
      <c r="LL13" s="205"/>
      <c r="LM13" s="205">
        <f t="shared" si="168"/>
        <v>0</v>
      </c>
      <c r="LN13" s="205">
        <f t="shared" si="169"/>
        <v>0</v>
      </c>
      <c r="LO13" s="205"/>
      <c r="LP13" s="120"/>
      <c r="LQ13" s="120"/>
      <c r="LR13" s="120"/>
      <c r="LS13" s="205"/>
      <c r="LT13" s="205"/>
      <c r="LU13" s="205"/>
      <c r="LV13" s="205">
        <f t="shared" si="170"/>
        <v>0</v>
      </c>
      <c r="LW13" s="120"/>
      <c r="LX13" s="120"/>
      <c r="LY13" s="120"/>
      <c r="LZ13" s="120"/>
      <c r="MA13" s="120"/>
      <c r="MB13" s="205"/>
      <c r="MC13" s="205"/>
      <c r="MD13" s="205">
        <f t="shared" si="171"/>
        <v>0</v>
      </c>
      <c r="ME13" s="120"/>
      <c r="MF13" s="120"/>
      <c r="MG13" s="120"/>
      <c r="MH13" s="120"/>
      <c r="MI13" s="205"/>
      <c r="MJ13" s="205"/>
      <c r="MK13" s="205"/>
      <c r="ML13" s="205">
        <f t="shared" si="172"/>
        <v>0</v>
      </c>
      <c r="MM13" s="120"/>
      <c r="MN13" s="120"/>
      <c r="MO13" s="120"/>
      <c r="MP13" s="120"/>
      <c r="MQ13" s="120"/>
      <c r="MR13" s="205"/>
      <c r="MS13" s="205"/>
      <c r="MT13" s="205">
        <f t="shared" si="173"/>
        <v>0</v>
      </c>
      <c r="MU13" s="205">
        <f t="shared" si="174"/>
        <v>0</v>
      </c>
      <c r="MV13" s="120"/>
      <c r="MW13" s="120"/>
      <c r="MX13" s="120"/>
      <c r="MY13" s="120"/>
      <c r="MZ13" s="120"/>
      <c r="NA13" s="205"/>
      <c r="NB13" s="205"/>
      <c r="NC13" s="205">
        <f t="shared" si="175"/>
        <v>0</v>
      </c>
      <c r="ND13" s="120"/>
      <c r="NE13" s="120"/>
      <c r="NF13" s="120"/>
      <c r="NG13" s="120"/>
      <c r="NH13" s="120"/>
      <c r="NI13" s="205"/>
      <c r="NJ13" s="205"/>
      <c r="NK13" s="205">
        <f t="shared" si="176"/>
        <v>0</v>
      </c>
      <c r="NL13" s="120"/>
      <c r="NM13" s="120"/>
      <c r="NN13" s="120"/>
      <c r="NO13" s="120"/>
      <c r="NP13" s="120"/>
      <c r="NQ13" s="205"/>
      <c r="NR13" s="205"/>
      <c r="NS13" s="205">
        <f t="shared" si="177"/>
        <v>0</v>
      </c>
      <c r="NT13" s="120"/>
      <c r="NU13" s="120"/>
      <c r="NV13" s="120"/>
      <c r="NW13" s="120"/>
      <c r="NX13" s="120"/>
      <c r="NY13" s="205"/>
      <c r="NZ13" s="205"/>
      <c r="OA13" s="205">
        <f t="shared" si="178"/>
        <v>0</v>
      </c>
      <c r="OB13" s="205">
        <f t="shared" si="179"/>
        <v>0</v>
      </c>
      <c r="OC13" s="120"/>
      <c r="OD13" s="120"/>
      <c r="OE13" s="120"/>
      <c r="OF13" s="120"/>
      <c r="OG13" s="120"/>
      <c r="OH13" s="205"/>
      <c r="OI13" s="205"/>
      <c r="OJ13" s="205">
        <f t="shared" si="180"/>
        <v>0</v>
      </c>
      <c r="OK13" s="120"/>
      <c r="OL13" s="120"/>
      <c r="OM13" s="120"/>
      <c r="ON13" s="120"/>
      <c r="OO13" s="120"/>
      <c r="OP13" s="205"/>
      <c r="OQ13" s="205"/>
      <c r="OR13" s="205">
        <f t="shared" si="181"/>
        <v>0</v>
      </c>
      <c r="OS13" s="120"/>
      <c r="OT13" s="120"/>
      <c r="OU13" s="120"/>
      <c r="OV13" s="120"/>
      <c r="OW13" s="120"/>
      <c r="OX13" s="205"/>
      <c r="OY13" s="205"/>
      <c r="OZ13" s="205">
        <f t="shared" si="182"/>
        <v>0</v>
      </c>
      <c r="PA13" s="120"/>
      <c r="PB13" s="120"/>
      <c r="PC13" s="120"/>
      <c r="PD13" s="205"/>
      <c r="PE13" s="217"/>
      <c r="PF13" s="205"/>
      <c r="PG13" s="205"/>
      <c r="PH13" s="205">
        <f t="shared" si="183"/>
        <v>0</v>
      </c>
      <c r="PI13" s="120"/>
      <c r="PJ13" s="120"/>
      <c r="PK13" s="120"/>
      <c r="PL13" s="205"/>
      <c r="PM13" s="217"/>
      <c r="PN13" s="205"/>
      <c r="PO13" s="205"/>
      <c r="PP13" s="205">
        <f t="shared" si="184"/>
        <v>0</v>
      </c>
      <c r="PQ13" s="205">
        <f t="shared" si="185"/>
        <v>0</v>
      </c>
      <c r="PR13" s="207"/>
      <c r="PS13" s="207"/>
      <c r="PT13" s="207"/>
      <c r="PU13" s="207"/>
      <c r="PV13" s="207"/>
      <c r="PW13" s="272"/>
      <c r="PX13" s="272"/>
      <c r="PY13" s="205">
        <f t="shared" si="186"/>
        <v>0</v>
      </c>
      <c r="PZ13" s="207"/>
      <c r="QA13" s="207"/>
      <c r="QB13" s="207"/>
      <c r="QC13" s="207"/>
      <c r="QD13" s="207"/>
      <c r="QE13" s="272"/>
      <c r="QF13" s="272"/>
      <c r="QG13" s="205">
        <f t="shared" si="187"/>
        <v>0</v>
      </c>
      <c r="QH13" s="207"/>
      <c r="QI13" s="207"/>
      <c r="QJ13" s="294"/>
      <c r="QK13" s="207"/>
      <c r="QL13" s="207"/>
      <c r="QM13" s="272"/>
      <c r="QN13" s="272"/>
      <c r="QO13" s="205">
        <f t="shared" si="188"/>
        <v>0</v>
      </c>
      <c r="QP13" s="207"/>
      <c r="QQ13" s="207"/>
      <c r="QR13" s="207"/>
      <c r="QS13" s="207"/>
      <c r="QT13" s="207"/>
      <c r="QU13" s="272"/>
      <c r="QV13" s="272"/>
      <c r="QW13" s="205">
        <f t="shared" si="189"/>
        <v>0</v>
      </c>
      <c r="QX13" s="205">
        <f t="shared" si="190"/>
        <v>0</v>
      </c>
      <c r="QY13" s="207"/>
      <c r="QZ13" s="207"/>
      <c r="RA13" s="207"/>
      <c r="RB13" s="207"/>
      <c r="RC13" s="207"/>
      <c r="RD13" s="272"/>
      <c r="RE13" s="272"/>
      <c r="RF13" s="205">
        <f t="shared" si="191"/>
        <v>0</v>
      </c>
      <c r="RG13" s="207"/>
      <c r="RH13" s="207"/>
      <c r="RI13" s="207"/>
      <c r="RJ13" s="207"/>
      <c r="RK13" s="207"/>
      <c r="RL13" s="272"/>
      <c r="RM13" s="272"/>
      <c r="RN13" s="205">
        <f t="shared" si="192"/>
        <v>0</v>
      </c>
      <c r="RO13" s="272"/>
      <c r="RP13" s="272"/>
      <c r="RQ13" s="272"/>
      <c r="RR13" s="272"/>
      <c r="RS13" s="272"/>
      <c r="RT13" s="272"/>
      <c r="RU13" s="272"/>
      <c r="RV13" s="205">
        <f t="shared" si="193"/>
        <v>0</v>
      </c>
      <c r="RW13" s="207"/>
      <c r="RX13" s="207"/>
      <c r="RY13" s="207"/>
      <c r="RZ13" s="207"/>
      <c r="SA13" s="272"/>
      <c r="SB13" s="272"/>
      <c r="SC13" s="272"/>
      <c r="SD13" s="205">
        <f t="shared" si="194"/>
        <v>0</v>
      </c>
      <c r="SE13" s="205">
        <f t="shared" si="195"/>
        <v>0</v>
      </c>
      <c r="SF13" s="207"/>
      <c r="SG13" s="207"/>
      <c r="SH13" s="207"/>
      <c r="SI13" s="207"/>
      <c r="SJ13" s="207"/>
      <c r="SK13" s="272"/>
      <c r="SL13" s="272"/>
      <c r="SM13" s="205">
        <f t="shared" si="196"/>
        <v>0</v>
      </c>
      <c r="SN13" s="207"/>
      <c r="SO13" s="207"/>
      <c r="SP13" s="207"/>
      <c r="SQ13" s="207"/>
      <c r="SR13" s="207"/>
      <c r="SS13" s="272"/>
      <c r="ST13" s="272"/>
      <c r="SU13" s="205">
        <f t="shared" si="197"/>
        <v>0</v>
      </c>
      <c r="SV13" s="207"/>
      <c r="SW13" s="207"/>
      <c r="SX13" s="207"/>
      <c r="SY13" s="207"/>
      <c r="SZ13" s="207"/>
      <c r="TA13" s="272"/>
      <c r="TB13" s="272"/>
      <c r="TC13" s="205">
        <f t="shared" si="198"/>
        <v>0</v>
      </c>
      <c r="TD13" s="207"/>
      <c r="TE13" s="207"/>
      <c r="TF13" s="207"/>
      <c r="TG13" s="207"/>
      <c r="TH13" s="207"/>
      <c r="TI13" s="272"/>
      <c r="TJ13" s="272"/>
      <c r="TK13" s="205">
        <f t="shared" si="199"/>
        <v>0</v>
      </c>
      <c r="TL13" s="207"/>
      <c r="TM13" s="207"/>
      <c r="TN13" s="207"/>
      <c r="TO13" s="207"/>
      <c r="TP13" s="272"/>
      <c r="TQ13" s="272"/>
      <c r="TR13" s="272"/>
      <c r="TS13" s="205">
        <f t="shared" si="200"/>
        <v>0</v>
      </c>
      <c r="TT13" s="205">
        <f t="shared" si="201"/>
        <v>0</v>
      </c>
      <c r="TU13" s="272"/>
      <c r="TV13" s="207"/>
      <c r="TW13" s="207"/>
      <c r="TX13" s="207"/>
      <c r="TY13" s="207"/>
      <c r="TZ13" s="272"/>
      <c r="UA13" s="272"/>
      <c r="UB13" s="205">
        <f t="shared" si="202"/>
        <v>0</v>
      </c>
      <c r="UC13" s="207"/>
      <c r="UD13" s="207"/>
      <c r="UE13" s="207"/>
      <c r="UF13" s="207"/>
      <c r="UG13" s="207"/>
      <c r="UH13" s="272"/>
      <c r="UI13" s="272"/>
      <c r="UJ13" s="205">
        <f t="shared" si="203"/>
        <v>0</v>
      </c>
      <c r="UK13" s="207"/>
      <c r="UL13" s="207"/>
      <c r="UM13" s="207"/>
      <c r="UN13" s="207"/>
      <c r="UO13" s="207"/>
      <c r="UP13" s="272"/>
      <c r="UQ13" s="272"/>
      <c r="UR13" s="205">
        <f t="shared" si="226"/>
        <v>0</v>
      </c>
      <c r="US13" s="207"/>
      <c r="UT13" s="207"/>
      <c r="UU13" s="207"/>
      <c r="UV13" s="207"/>
      <c r="UW13" s="272"/>
      <c r="UX13" s="272"/>
      <c r="UY13" s="272"/>
      <c r="UZ13" s="205">
        <f t="shared" si="204"/>
        <v>0</v>
      </c>
      <c r="VA13" s="205">
        <f t="shared" si="205"/>
        <v>0</v>
      </c>
      <c r="VB13" s="207"/>
      <c r="VC13" s="207"/>
      <c r="VD13" s="207"/>
      <c r="VE13" s="207"/>
      <c r="VF13" s="207"/>
      <c r="VG13" s="272"/>
      <c r="VH13" s="272"/>
      <c r="VI13" s="205">
        <f t="shared" si="206"/>
        <v>0</v>
      </c>
      <c r="VJ13" s="207"/>
      <c r="VK13" s="207"/>
      <c r="VL13" s="207"/>
      <c r="VM13" s="207"/>
      <c r="VN13" s="207"/>
      <c r="VO13" s="272"/>
      <c r="VP13" s="272"/>
      <c r="VQ13" s="205">
        <f t="shared" si="207"/>
        <v>0</v>
      </c>
      <c r="VR13" s="207"/>
      <c r="VS13" s="207"/>
      <c r="VT13" s="207"/>
      <c r="VU13" s="207"/>
      <c r="VV13" s="207"/>
      <c r="VW13" s="272"/>
      <c r="VX13" s="272"/>
      <c r="VY13" s="205">
        <f t="shared" si="208"/>
        <v>0</v>
      </c>
      <c r="VZ13" s="207"/>
      <c r="WA13" s="207"/>
      <c r="WB13" s="207"/>
      <c r="WC13" s="207"/>
      <c r="WD13" s="207"/>
      <c r="WE13" s="272"/>
      <c r="WF13" s="272"/>
      <c r="WG13" s="205">
        <f t="shared" si="209"/>
        <v>0</v>
      </c>
      <c r="WH13" s="205">
        <f t="shared" si="210"/>
        <v>0</v>
      </c>
      <c r="WI13" s="207"/>
      <c r="WJ13" s="207"/>
      <c r="WK13" s="207"/>
      <c r="WL13" s="207"/>
      <c r="WM13" s="207"/>
      <c r="WN13" s="272"/>
      <c r="WO13" s="272"/>
      <c r="WP13" s="205">
        <f t="shared" si="211"/>
        <v>0</v>
      </c>
      <c r="WQ13" s="207"/>
      <c r="WR13" s="207"/>
      <c r="WS13" s="207"/>
      <c r="WT13" s="207"/>
      <c r="WU13" s="207"/>
      <c r="WV13" s="272"/>
      <c r="WW13" s="272"/>
      <c r="WX13" s="205">
        <f t="shared" si="212"/>
        <v>0</v>
      </c>
      <c r="WY13" s="207"/>
      <c r="WZ13" s="207"/>
      <c r="XA13" s="207"/>
      <c r="XB13" s="207"/>
      <c r="XC13" s="272"/>
      <c r="XD13" s="272"/>
      <c r="XE13" s="272"/>
      <c r="XF13" s="205">
        <f t="shared" si="213"/>
        <v>0</v>
      </c>
      <c r="XG13" s="207"/>
      <c r="XH13" s="207"/>
      <c r="XI13" s="207"/>
      <c r="XJ13" s="207"/>
      <c r="XK13" s="207"/>
      <c r="XL13" s="272"/>
      <c r="XM13" s="272"/>
      <c r="XN13" s="205">
        <f t="shared" si="214"/>
        <v>0</v>
      </c>
      <c r="XO13" s="207"/>
      <c r="XP13" s="207"/>
      <c r="XQ13" s="207"/>
      <c r="XR13" s="207"/>
      <c r="XS13" s="207"/>
      <c r="XT13" s="272"/>
      <c r="XU13" s="272"/>
      <c r="XV13" s="205">
        <f t="shared" si="215"/>
        <v>0</v>
      </c>
      <c r="XW13" s="205">
        <f t="shared" si="216"/>
        <v>0</v>
      </c>
      <c r="XX13" s="207"/>
      <c r="XY13" s="207"/>
      <c r="XZ13" s="207"/>
      <c r="YA13" s="207"/>
      <c r="YB13" s="207"/>
      <c r="YC13" s="272"/>
      <c r="YD13" s="272"/>
      <c r="YE13" s="205">
        <f t="shared" si="217"/>
        <v>0</v>
      </c>
      <c r="YF13" s="207"/>
      <c r="YG13" s="207"/>
      <c r="YH13" s="207"/>
      <c r="YI13" s="207"/>
      <c r="YJ13" s="207"/>
      <c r="YK13" s="272"/>
      <c r="YL13" s="272"/>
      <c r="YM13" s="205">
        <f t="shared" si="218"/>
        <v>0</v>
      </c>
      <c r="YN13" s="207"/>
      <c r="YO13" s="207"/>
      <c r="YP13" s="207"/>
      <c r="YQ13" s="207"/>
      <c r="YR13" s="207"/>
      <c r="YS13" s="272"/>
      <c r="YT13" s="272"/>
      <c r="YU13" s="205">
        <f t="shared" si="148"/>
        <v>0</v>
      </c>
      <c r="YV13" s="207"/>
      <c r="YW13" s="207"/>
      <c r="YX13" s="207"/>
      <c r="YY13" s="207"/>
      <c r="YZ13" s="207"/>
      <c r="ZA13" s="272"/>
      <c r="ZB13" s="272"/>
      <c r="ZC13" s="205">
        <f t="shared" si="219"/>
        <v>0</v>
      </c>
      <c r="ZD13" s="205">
        <f t="shared" si="149"/>
        <v>0</v>
      </c>
      <c r="ZE13" s="207"/>
      <c r="ZF13" s="207"/>
      <c r="ZG13" s="207"/>
      <c r="ZH13" s="207"/>
      <c r="ZI13" s="207"/>
      <c r="ZJ13" s="272"/>
      <c r="ZK13" s="272"/>
      <c r="ZL13" s="205">
        <f t="shared" si="220"/>
        <v>0</v>
      </c>
      <c r="ZM13" s="207"/>
      <c r="ZN13" s="207"/>
      <c r="ZO13" s="207"/>
      <c r="ZP13" s="207"/>
      <c r="ZQ13" s="207"/>
      <c r="ZR13" s="272"/>
      <c r="ZS13" s="272"/>
      <c r="ZT13" s="205">
        <f t="shared" si="221"/>
        <v>0</v>
      </c>
      <c r="ZU13" s="207"/>
      <c r="ZV13" s="207"/>
      <c r="ZW13" s="207"/>
      <c r="ZX13" s="207"/>
      <c r="ZY13" s="207"/>
      <c r="ZZ13" s="272"/>
      <c r="AAA13" s="272"/>
      <c r="AAB13" s="205">
        <f t="shared" si="222"/>
        <v>0</v>
      </c>
      <c r="AAC13" s="207"/>
      <c r="AAD13" s="207"/>
      <c r="AAE13" s="207"/>
      <c r="AAF13" s="207"/>
      <c r="AAG13" s="207"/>
      <c r="AAH13" s="272"/>
      <c r="AAI13" s="272"/>
      <c r="AAJ13" s="205">
        <f t="shared" si="223"/>
        <v>0</v>
      </c>
      <c r="AAK13" s="207"/>
      <c r="AAL13" s="207"/>
      <c r="AAM13" s="207"/>
      <c r="AAN13" s="207"/>
      <c r="AAO13" s="207"/>
      <c r="AAP13" s="272"/>
      <c r="AAQ13" s="272"/>
      <c r="AAR13" s="205">
        <f t="shared" si="224"/>
        <v>0</v>
      </c>
      <c r="AAS13" s="205">
        <f t="shared" si="225"/>
        <v>0</v>
      </c>
    </row>
    <row r="14" spans="1:721" ht="69.95" customHeight="1">
      <c r="B14" s="153">
        <v>3620101002</v>
      </c>
      <c r="C14" s="322"/>
      <c r="D14" s="203" t="s">
        <v>11</v>
      </c>
      <c r="E14" s="130" t="s">
        <v>4</v>
      </c>
      <c r="F14" s="120"/>
      <c r="G14" s="120"/>
      <c r="H14" s="120"/>
      <c r="I14" s="120"/>
      <c r="J14" s="120"/>
      <c r="K14" s="209"/>
      <c r="L14" s="205"/>
      <c r="M14" s="205">
        <f t="shared" si="121"/>
        <v>0</v>
      </c>
      <c r="N14" s="120"/>
      <c r="O14" s="120"/>
      <c r="P14" s="120"/>
      <c r="Q14" s="120"/>
      <c r="R14" s="120"/>
      <c r="S14" s="209"/>
      <c r="T14" s="205"/>
      <c r="U14" s="205">
        <f t="shared" si="122"/>
        <v>0</v>
      </c>
      <c r="V14" s="120"/>
      <c r="W14" s="120"/>
      <c r="X14" s="120"/>
      <c r="Y14" s="120"/>
      <c r="Z14" s="120"/>
      <c r="AA14" s="209"/>
      <c r="AB14" s="205"/>
      <c r="AC14" s="205">
        <f t="shared" si="123"/>
        <v>0</v>
      </c>
      <c r="AD14" s="205"/>
      <c r="AE14" s="205"/>
      <c r="AF14" s="205"/>
      <c r="AG14" s="205"/>
      <c r="AH14" s="205"/>
      <c r="AI14" s="209"/>
      <c r="AJ14" s="205"/>
      <c r="AK14" s="205">
        <f t="shared" si="124"/>
        <v>0</v>
      </c>
      <c r="AL14" s="205" t="e">
        <f>SUM(#REF!,M14,U14,AC14,AD14:AH14)</f>
        <v>#REF!</v>
      </c>
      <c r="AM14" s="120"/>
      <c r="AN14" s="120"/>
      <c r="AO14" s="120"/>
      <c r="AP14" s="120"/>
      <c r="AQ14" s="120"/>
      <c r="AR14" s="209"/>
      <c r="AS14" s="205"/>
      <c r="AT14" s="205">
        <f t="shared" si="125"/>
        <v>0</v>
      </c>
      <c r="AU14" s="120"/>
      <c r="AV14" s="120"/>
      <c r="AW14" s="120"/>
      <c r="AX14" s="120"/>
      <c r="AY14" s="120"/>
      <c r="AZ14" s="209"/>
      <c r="BA14" s="205"/>
      <c r="BB14" s="205">
        <f t="shared" si="126"/>
        <v>0</v>
      </c>
      <c r="BC14" s="120"/>
      <c r="BD14" s="120"/>
      <c r="BE14" s="217">
        <v>1400</v>
      </c>
      <c r="BF14" s="120"/>
      <c r="BG14" s="120"/>
      <c r="BH14" s="209"/>
      <c r="BI14" s="205"/>
      <c r="BJ14" s="205">
        <f t="shared" si="127"/>
        <v>1400</v>
      </c>
      <c r="BK14" s="120"/>
      <c r="BL14" s="120"/>
      <c r="BM14" s="120"/>
      <c r="BN14" s="120"/>
      <c r="BO14" s="205"/>
      <c r="BP14" s="209"/>
      <c r="BQ14" s="205"/>
      <c r="BR14" s="205">
        <f t="shared" si="128"/>
        <v>0</v>
      </c>
      <c r="BS14" s="205">
        <f t="shared" si="129"/>
        <v>1400</v>
      </c>
      <c r="BT14" s="250">
        <v>4000</v>
      </c>
      <c r="BU14" s="120"/>
      <c r="BV14" s="120"/>
      <c r="BW14" s="120"/>
      <c r="BX14" s="120"/>
      <c r="BY14" s="209"/>
      <c r="BZ14" s="205"/>
      <c r="CA14" s="205">
        <f t="shared" si="130"/>
        <v>4000</v>
      </c>
      <c r="CB14" s="120"/>
      <c r="CC14" s="201">
        <v>600</v>
      </c>
      <c r="CD14" s="120"/>
      <c r="CE14" s="120"/>
      <c r="CF14" s="120"/>
      <c r="CG14" s="209"/>
      <c r="CH14" s="205"/>
      <c r="CI14" s="205">
        <f t="shared" si="131"/>
        <v>600</v>
      </c>
      <c r="CJ14" s="120"/>
      <c r="CK14" s="120"/>
      <c r="CL14" s="120"/>
      <c r="CM14" s="120"/>
      <c r="CN14" s="120"/>
      <c r="CO14" s="209"/>
      <c r="CP14" s="205"/>
      <c r="CQ14" s="205">
        <f t="shared" si="132"/>
        <v>0</v>
      </c>
      <c r="CR14" s="120"/>
      <c r="CS14" s="120"/>
      <c r="CT14" s="217">
        <v>3200</v>
      </c>
      <c r="CU14" s="120"/>
      <c r="CV14" s="120"/>
      <c r="CW14" s="209"/>
      <c r="CX14" s="205"/>
      <c r="CY14" s="205">
        <f t="shared" si="133"/>
        <v>3200</v>
      </c>
      <c r="CZ14" s="120"/>
      <c r="DA14" s="120"/>
      <c r="DB14" s="120"/>
      <c r="DC14" s="205"/>
      <c r="DD14" s="205"/>
      <c r="DE14" s="209"/>
      <c r="DF14" s="205"/>
      <c r="DG14" s="205">
        <f t="shared" si="134"/>
        <v>0</v>
      </c>
      <c r="DH14" s="205">
        <f t="shared" si="150"/>
        <v>7800</v>
      </c>
      <c r="DI14" s="120"/>
      <c r="DJ14" s="120"/>
      <c r="DK14" s="120"/>
      <c r="DL14" s="120"/>
      <c r="DM14" s="120"/>
      <c r="DN14" s="209"/>
      <c r="DO14" s="205"/>
      <c r="DP14" s="205">
        <f t="shared" si="135"/>
        <v>0</v>
      </c>
      <c r="DQ14" s="217">
        <v>750</v>
      </c>
      <c r="DR14" s="120"/>
      <c r="DS14" s="120"/>
      <c r="DT14" s="120"/>
      <c r="DU14" s="120"/>
      <c r="DV14" s="209"/>
      <c r="DW14" s="205"/>
      <c r="DX14" s="205">
        <f t="shared" si="136"/>
        <v>750</v>
      </c>
      <c r="DY14" s="120"/>
      <c r="DZ14" s="120"/>
      <c r="EA14" s="120"/>
      <c r="EB14" s="120"/>
      <c r="EC14" s="120"/>
      <c r="ED14" s="209"/>
      <c r="EE14" s="205"/>
      <c r="EF14" s="205">
        <f t="shared" si="137"/>
        <v>0</v>
      </c>
      <c r="EG14" s="120"/>
      <c r="EH14" s="120"/>
      <c r="EI14" s="120"/>
      <c r="EJ14" s="205"/>
      <c r="EK14" s="205"/>
      <c r="EL14" s="209"/>
      <c r="EM14" s="205"/>
      <c r="EN14" s="205">
        <f t="shared" si="138"/>
        <v>0</v>
      </c>
      <c r="EO14" s="205">
        <f t="shared" si="151"/>
        <v>750</v>
      </c>
      <c r="EP14" s="120"/>
      <c r="EQ14" s="250">
        <v>600</v>
      </c>
      <c r="ER14" s="120"/>
      <c r="ES14" s="120"/>
      <c r="ET14" s="120"/>
      <c r="EU14" s="209"/>
      <c r="EV14" s="205"/>
      <c r="EW14" s="205">
        <f t="shared" si="139"/>
        <v>600</v>
      </c>
      <c r="EX14" s="120"/>
      <c r="EY14" s="120"/>
      <c r="EZ14" s="120"/>
      <c r="FA14" s="120"/>
      <c r="FB14" s="120"/>
      <c r="FC14" s="209"/>
      <c r="FD14" s="205"/>
      <c r="FE14" s="205">
        <f t="shared" si="140"/>
        <v>0</v>
      </c>
      <c r="FF14" s="195">
        <v>7900</v>
      </c>
      <c r="FG14" s="120"/>
      <c r="FH14" s="120"/>
      <c r="FI14" s="120"/>
      <c r="FJ14" s="120"/>
      <c r="FK14" s="209"/>
      <c r="FL14" s="205"/>
      <c r="FM14" s="205">
        <f t="shared" si="141"/>
        <v>7900</v>
      </c>
      <c r="FN14" s="120"/>
      <c r="FO14" s="120"/>
      <c r="FP14" s="120"/>
      <c r="FQ14" s="120"/>
      <c r="FR14" s="205"/>
      <c r="FS14" s="209"/>
      <c r="FT14" s="205"/>
      <c r="FU14" s="205">
        <f t="shared" si="142"/>
        <v>0</v>
      </c>
      <c r="FV14" s="205">
        <f t="shared" si="152"/>
        <v>8500</v>
      </c>
      <c r="FW14" s="120"/>
      <c r="FX14" s="120"/>
      <c r="FY14" s="120"/>
      <c r="FZ14" s="120"/>
      <c r="GA14" s="120"/>
      <c r="GB14" s="209"/>
      <c r="GC14" s="205"/>
      <c r="GD14" s="205">
        <f t="shared" si="143"/>
        <v>0</v>
      </c>
      <c r="GE14" s="120"/>
      <c r="GF14" s="120"/>
      <c r="GG14" s="120"/>
      <c r="GH14" s="120"/>
      <c r="GI14" s="120"/>
      <c r="GJ14" s="209"/>
      <c r="GK14" s="205"/>
      <c r="GL14" s="205">
        <f t="shared" si="144"/>
        <v>0</v>
      </c>
      <c r="GM14" s="120"/>
      <c r="GN14" s="120"/>
      <c r="GO14" s="120"/>
      <c r="GP14" s="120"/>
      <c r="GQ14" s="120"/>
      <c r="GR14" s="209"/>
      <c r="GS14" s="205"/>
      <c r="GT14" s="205">
        <f t="shared" si="145"/>
        <v>0</v>
      </c>
      <c r="GU14" s="124">
        <v>11500</v>
      </c>
      <c r="GV14" s="120"/>
      <c r="GW14" s="120"/>
      <c r="GX14" s="120"/>
      <c r="GY14" s="120"/>
      <c r="GZ14" s="209"/>
      <c r="HA14" s="205"/>
      <c r="HB14" s="205">
        <f t="shared" si="146"/>
        <v>11500</v>
      </c>
      <c r="HC14" s="120"/>
      <c r="HD14" s="120"/>
      <c r="HE14" s="120"/>
      <c r="HF14" s="120"/>
      <c r="HG14" s="120"/>
      <c r="HH14" s="209"/>
      <c r="HI14" s="205"/>
      <c r="HJ14" s="205">
        <f t="shared" si="147"/>
        <v>0</v>
      </c>
      <c r="HK14" s="205">
        <f t="shared" si="153"/>
        <v>11500</v>
      </c>
      <c r="HL14" s="124"/>
      <c r="HM14" s="120"/>
      <c r="HN14" s="217">
        <v>5700</v>
      </c>
      <c r="HO14" s="120"/>
      <c r="HP14" s="120"/>
      <c r="HQ14" s="205"/>
      <c r="HR14" s="205"/>
      <c r="HS14" s="205">
        <f t="shared" si="154"/>
        <v>5700</v>
      </c>
      <c r="HT14" s="120"/>
      <c r="HU14" s="120"/>
      <c r="HV14" s="120"/>
      <c r="HW14" s="120"/>
      <c r="HX14" s="120"/>
      <c r="HY14" s="205"/>
      <c r="HZ14" s="205"/>
      <c r="IA14" s="205">
        <f t="shared" si="155"/>
        <v>0</v>
      </c>
      <c r="IB14" s="120"/>
      <c r="IC14" s="120"/>
      <c r="ID14" s="120"/>
      <c r="IE14" s="120"/>
      <c r="IF14" s="120"/>
      <c r="IG14" s="205"/>
      <c r="IH14" s="205"/>
      <c r="II14" s="205">
        <f t="shared" si="156"/>
        <v>0</v>
      </c>
      <c r="IJ14" s="120"/>
      <c r="IK14" s="120"/>
      <c r="IL14" s="201">
        <v>1300</v>
      </c>
      <c r="IM14" s="120"/>
      <c r="IN14" s="120"/>
      <c r="IO14" s="205"/>
      <c r="IP14" s="205"/>
      <c r="IQ14" s="205">
        <f t="shared" si="157"/>
        <v>1300</v>
      </c>
      <c r="IR14" s="205">
        <f t="shared" si="158"/>
        <v>7000</v>
      </c>
      <c r="IS14" s="120"/>
      <c r="IT14" s="120"/>
      <c r="IU14" s="120"/>
      <c r="IV14" s="120"/>
      <c r="IW14" s="120"/>
      <c r="IX14" s="205"/>
      <c r="IY14" s="205"/>
      <c r="IZ14" s="205">
        <f t="shared" si="159"/>
        <v>0</v>
      </c>
      <c r="JA14" s="120"/>
      <c r="JB14" s="120"/>
      <c r="JC14" s="120"/>
      <c r="JD14" s="120"/>
      <c r="JE14" s="120"/>
      <c r="JF14" s="205"/>
      <c r="JG14" s="205"/>
      <c r="JH14" s="205">
        <f t="shared" si="160"/>
        <v>0</v>
      </c>
      <c r="JI14" s="120"/>
      <c r="JJ14" s="120"/>
      <c r="JK14" s="120"/>
      <c r="JL14" s="120"/>
      <c r="JM14" s="120"/>
      <c r="JN14" s="205"/>
      <c r="JO14" s="205"/>
      <c r="JP14" s="205">
        <f t="shared" si="161"/>
        <v>0</v>
      </c>
      <c r="JQ14" s="120"/>
      <c r="JR14" s="120"/>
      <c r="JS14" s="120"/>
      <c r="JT14" s="120"/>
      <c r="JU14" s="120"/>
      <c r="JV14" s="205"/>
      <c r="JW14" s="205"/>
      <c r="JX14" s="205">
        <f t="shared" si="162"/>
        <v>0</v>
      </c>
      <c r="JY14" s="205">
        <f t="shared" si="163"/>
        <v>0</v>
      </c>
      <c r="JZ14" s="120"/>
      <c r="KA14" s="120"/>
      <c r="KB14" s="120"/>
      <c r="KC14" s="120"/>
      <c r="KD14" s="120"/>
      <c r="KE14" s="205"/>
      <c r="KF14" s="205"/>
      <c r="KG14" s="205">
        <f t="shared" si="164"/>
        <v>0</v>
      </c>
      <c r="KH14" s="120"/>
      <c r="KI14" s="120"/>
      <c r="KJ14" s="206">
        <v>4700</v>
      </c>
      <c r="KK14" s="120"/>
      <c r="KL14" s="120"/>
      <c r="KM14" s="205"/>
      <c r="KN14" s="205"/>
      <c r="KO14" s="205">
        <f t="shared" si="165"/>
        <v>4700</v>
      </c>
      <c r="KP14" s="120"/>
      <c r="KQ14" s="120"/>
      <c r="KR14" s="120"/>
      <c r="KS14" s="120"/>
      <c r="KT14" s="120"/>
      <c r="KU14" s="205"/>
      <c r="KV14" s="205"/>
      <c r="KW14" s="205">
        <f t="shared" si="166"/>
        <v>0</v>
      </c>
      <c r="KX14" s="195">
        <v>5600</v>
      </c>
      <c r="KY14" s="120"/>
      <c r="KZ14" s="120"/>
      <c r="LA14" s="120"/>
      <c r="LB14" s="120"/>
      <c r="LC14" s="205"/>
      <c r="LD14" s="205"/>
      <c r="LE14" s="205">
        <f t="shared" si="167"/>
        <v>5600</v>
      </c>
      <c r="LF14" s="205"/>
      <c r="LG14" s="120"/>
      <c r="LH14" s="120"/>
      <c r="LI14" s="120"/>
      <c r="LJ14" s="120"/>
      <c r="LK14" s="205"/>
      <c r="LL14" s="205"/>
      <c r="LM14" s="205">
        <f t="shared" si="168"/>
        <v>0</v>
      </c>
      <c r="LN14" s="205">
        <f t="shared" si="169"/>
        <v>10300</v>
      </c>
      <c r="LO14" s="205"/>
      <c r="LP14" s="120"/>
      <c r="LQ14" s="120"/>
      <c r="LR14" s="120"/>
      <c r="LS14" s="205"/>
      <c r="LT14" s="205"/>
      <c r="LU14" s="205"/>
      <c r="LV14" s="205">
        <f t="shared" si="170"/>
        <v>0</v>
      </c>
      <c r="LW14" s="120"/>
      <c r="LX14" s="120"/>
      <c r="LY14" s="120"/>
      <c r="LZ14" s="120"/>
      <c r="MA14" s="120"/>
      <c r="MB14" s="205"/>
      <c r="MC14" s="205"/>
      <c r="MD14" s="205">
        <f t="shared" si="171"/>
        <v>0</v>
      </c>
      <c r="ME14" s="123">
        <v>2140</v>
      </c>
      <c r="MF14" s="120"/>
      <c r="MG14" s="120"/>
      <c r="MH14" s="120"/>
      <c r="MI14" s="205"/>
      <c r="MJ14" s="205"/>
      <c r="MK14" s="205"/>
      <c r="ML14" s="205">
        <f t="shared" si="172"/>
        <v>2140</v>
      </c>
      <c r="MM14" s="120"/>
      <c r="MN14" s="120"/>
      <c r="MO14" s="120"/>
      <c r="MP14" s="120"/>
      <c r="MQ14" s="120"/>
      <c r="MR14" s="205"/>
      <c r="MS14" s="205"/>
      <c r="MT14" s="205">
        <f t="shared" si="173"/>
        <v>0</v>
      </c>
      <c r="MU14" s="205">
        <f t="shared" si="174"/>
        <v>2140</v>
      </c>
      <c r="MV14" s="124">
        <v>13200</v>
      </c>
      <c r="MW14" s="120"/>
      <c r="MX14" s="120"/>
      <c r="MY14" s="120"/>
      <c r="MZ14" s="120"/>
      <c r="NA14" s="205"/>
      <c r="NB14" s="205"/>
      <c r="NC14" s="205">
        <f t="shared" si="175"/>
        <v>13200</v>
      </c>
      <c r="ND14" s="120"/>
      <c r="NE14" s="120"/>
      <c r="NF14" s="120"/>
      <c r="NG14" s="120"/>
      <c r="NH14" s="120"/>
      <c r="NI14" s="205"/>
      <c r="NJ14" s="205"/>
      <c r="NK14" s="205">
        <f t="shared" si="176"/>
        <v>0</v>
      </c>
      <c r="NL14" s="120"/>
      <c r="NM14" s="120"/>
      <c r="NN14" s="120"/>
      <c r="NO14" s="120"/>
      <c r="NP14" s="120"/>
      <c r="NQ14" s="205"/>
      <c r="NR14" s="205"/>
      <c r="NS14" s="205">
        <f t="shared" si="177"/>
        <v>0</v>
      </c>
      <c r="NT14" s="217">
        <v>7650</v>
      </c>
      <c r="NU14" s="120"/>
      <c r="NV14" s="120"/>
      <c r="NW14" s="120"/>
      <c r="NX14" s="120"/>
      <c r="NY14" s="205"/>
      <c r="NZ14" s="205"/>
      <c r="OA14" s="205">
        <f t="shared" si="178"/>
        <v>7650</v>
      </c>
      <c r="OB14" s="205">
        <f t="shared" si="179"/>
        <v>20850</v>
      </c>
      <c r="OC14" s="120"/>
      <c r="OD14" s="120"/>
      <c r="OE14" s="120"/>
      <c r="OF14" s="120"/>
      <c r="OG14" s="120"/>
      <c r="OH14" s="205"/>
      <c r="OI14" s="205"/>
      <c r="OJ14" s="205">
        <f t="shared" si="180"/>
        <v>0</v>
      </c>
      <c r="OK14" s="120"/>
      <c r="OL14" s="120"/>
      <c r="OM14" s="120"/>
      <c r="ON14" s="120"/>
      <c r="OO14" s="120"/>
      <c r="OP14" s="205"/>
      <c r="OQ14" s="205"/>
      <c r="OR14" s="205">
        <f t="shared" si="181"/>
        <v>0</v>
      </c>
      <c r="OS14" s="120"/>
      <c r="OT14" s="120"/>
      <c r="OU14" s="120"/>
      <c r="OV14" s="120"/>
      <c r="OW14" s="120"/>
      <c r="OX14" s="205"/>
      <c r="OY14" s="205"/>
      <c r="OZ14" s="205">
        <f t="shared" si="182"/>
        <v>0</v>
      </c>
      <c r="PA14" s="120"/>
      <c r="PB14" s="120"/>
      <c r="PC14" s="120"/>
      <c r="PD14" s="205"/>
      <c r="PE14" s="217"/>
      <c r="PF14" s="205"/>
      <c r="PG14" s="205"/>
      <c r="PH14" s="205">
        <f t="shared" si="183"/>
        <v>0</v>
      </c>
      <c r="PI14" s="120"/>
      <c r="PJ14" s="120"/>
      <c r="PK14" s="120"/>
      <c r="PL14" s="205"/>
      <c r="PM14" s="217"/>
      <c r="PN14" s="205"/>
      <c r="PO14" s="205"/>
      <c r="PP14" s="205">
        <f t="shared" si="184"/>
        <v>0</v>
      </c>
      <c r="PQ14" s="205">
        <f t="shared" si="185"/>
        <v>0</v>
      </c>
      <c r="PR14" s="124">
        <v>2200</v>
      </c>
      <c r="PS14" s="207"/>
      <c r="PT14" s="207"/>
      <c r="PU14" s="207"/>
      <c r="PV14" s="207"/>
      <c r="PW14" s="272"/>
      <c r="PX14" s="272"/>
      <c r="PY14" s="205">
        <f t="shared" si="186"/>
        <v>2200</v>
      </c>
      <c r="PZ14" s="207"/>
      <c r="QA14" s="207"/>
      <c r="QB14" s="207"/>
      <c r="QC14" s="207"/>
      <c r="QD14" s="207"/>
      <c r="QE14" s="272"/>
      <c r="QF14" s="272"/>
      <c r="QG14" s="205">
        <f t="shared" si="187"/>
        <v>0</v>
      </c>
      <c r="QH14" s="217">
        <v>150</v>
      </c>
      <c r="QI14" s="207"/>
      <c r="QJ14" s="294"/>
      <c r="QK14" s="207"/>
      <c r="QL14" s="207"/>
      <c r="QM14" s="272"/>
      <c r="QN14" s="272"/>
      <c r="QO14" s="205">
        <f t="shared" si="188"/>
        <v>150</v>
      </c>
      <c r="QP14" s="124">
        <v>550</v>
      </c>
      <c r="QQ14" s="207"/>
      <c r="QR14" s="207"/>
      <c r="QS14" s="207"/>
      <c r="QT14" s="207"/>
      <c r="QU14" s="272"/>
      <c r="QV14" s="272"/>
      <c r="QW14" s="205">
        <f t="shared" si="189"/>
        <v>550</v>
      </c>
      <c r="QX14" s="205">
        <f t="shared" si="190"/>
        <v>2900</v>
      </c>
      <c r="QY14" s="207"/>
      <c r="QZ14" s="207"/>
      <c r="RA14" s="207"/>
      <c r="RB14" s="207"/>
      <c r="RC14" s="207"/>
      <c r="RD14" s="272"/>
      <c r="RE14" s="272"/>
      <c r="RF14" s="205">
        <f t="shared" si="191"/>
        <v>0</v>
      </c>
      <c r="RG14" s="207"/>
      <c r="RH14" s="207"/>
      <c r="RI14" s="207"/>
      <c r="RJ14" s="207"/>
      <c r="RK14" s="207"/>
      <c r="RL14" s="272"/>
      <c r="RM14" s="272"/>
      <c r="RN14" s="205">
        <f t="shared" si="192"/>
        <v>0</v>
      </c>
      <c r="RO14" s="272"/>
      <c r="RP14" s="272"/>
      <c r="RQ14" s="272"/>
      <c r="RR14" s="272"/>
      <c r="RS14" s="272"/>
      <c r="RT14" s="272"/>
      <c r="RU14" s="272"/>
      <c r="RV14" s="205">
        <f t="shared" si="193"/>
        <v>0</v>
      </c>
      <c r="RW14" s="207"/>
      <c r="RX14" s="207"/>
      <c r="RY14" s="207"/>
      <c r="RZ14" s="207"/>
      <c r="SA14" s="272"/>
      <c r="SB14" s="272"/>
      <c r="SC14" s="272"/>
      <c r="SD14" s="205">
        <f t="shared" si="194"/>
        <v>0</v>
      </c>
      <c r="SE14" s="205">
        <f t="shared" si="195"/>
        <v>0</v>
      </c>
      <c r="SF14" s="207"/>
      <c r="SG14" s="124">
        <v>1000</v>
      </c>
      <c r="SH14" s="207"/>
      <c r="SI14" s="207"/>
      <c r="SJ14" s="207"/>
      <c r="SK14" s="272"/>
      <c r="SL14" s="272"/>
      <c r="SM14" s="205">
        <f t="shared" si="196"/>
        <v>1000</v>
      </c>
      <c r="SN14" s="207"/>
      <c r="SO14" s="207"/>
      <c r="SP14" s="207"/>
      <c r="SQ14" s="207"/>
      <c r="SR14" s="207"/>
      <c r="SS14" s="272"/>
      <c r="ST14" s="272"/>
      <c r="SU14" s="205">
        <f t="shared" si="197"/>
        <v>0</v>
      </c>
      <c r="SV14" s="207"/>
      <c r="SW14" s="207"/>
      <c r="SX14" s="207"/>
      <c r="SY14" s="217">
        <v>11500</v>
      </c>
      <c r="SZ14" s="207"/>
      <c r="TA14" s="272"/>
      <c r="TB14" s="272"/>
      <c r="TC14" s="205">
        <f t="shared" si="198"/>
        <v>11500</v>
      </c>
      <c r="TD14" s="207"/>
      <c r="TE14" s="207"/>
      <c r="TF14" s="207"/>
      <c r="TG14" s="207"/>
      <c r="TH14" s="207"/>
      <c r="TI14" s="272"/>
      <c r="TJ14" s="272"/>
      <c r="TK14" s="205">
        <f t="shared" si="199"/>
        <v>0</v>
      </c>
      <c r="TL14" s="207"/>
      <c r="TM14" s="201">
        <v>2350</v>
      </c>
      <c r="TN14" s="207"/>
      <c r="TO14" s="207"/>
      <c r="TP14" s="272"/>
      <c r="TQ14" s="272"/>
      <c r="TR14" s="272"/>
      <c r="TS14" s="205">
        <f t="shared" si="200"/>
        <v>2350</v>
      </c>
      <c r="TT14" s="205">
        <f t="shared" si="201"/>
        <v>14850</v>
      </c>
      <c r="TU14" s="272"/>
      <c r="TV14" s="207"/>
      <c r="TW14" s="207"/>
      <c r="TX14" s="207"/>
      <c r="TY14" s="207"/>
      <c r="TZ14" s="272"/>
      <c r="UA14" s="272"/>
      <c r="UB14" s="205">
        <f t="shared" si="202"/>
        <v>0</v>
      </c>
      <c r="UC14" s="207"/>
      <c r="UD14" s="207"/>
      <c r="UE14" s="380">
        <v>2550</v>
      </c>
      <c r="UF14" s="207"/>
      <c r="UG14" s="207"/>
      <c r="UH14" s="272"/>
      <c r="UI14" s="272"/>
      <c r="UJ14" s="205">
        <f t="shared" si="203"/>
        <v>2550</v>
      </c>
      <c r="UK14" s="207"/>
      <c r="UL14" s="207"/>
      <c r="UM14" s="207"/>
      <c r="UN14" s="201">
        <v>10000</v>
      </c>
      <c r="UO14" s="207"/>
      <c r="UP14" s="272"/>
      <c r="UQ14" s="272"/>
      <c r="UR14" s="205">
        <f t="shared" si="226"/>
        <v>10000</v>
      </c>
      <c r="US14" s="201">
        <v>10000</v>
      </c>
      <c r="UT14" s="207"/>
      <c r="UU14" s="207"/>
      <c r="UV14" s="207"/>
      <c r="UW14" s="272"/>
      <c r="UX14" s="272"/>
      <c r="UY14" s="272"/>
      <c r="UZ14" s="205">
        <f t="shared" si="204"/>
        <v>10000</v>
      </c>
      <c r="VA14" s="205">
        <f t="shared" si="205"/>
        <v>22550</v>
      </c>
      <c r="VB14" s="124">
        <v>10000</v>
      </c>
      <c r="VC14" s="124">
        <v>10000</v>
      </c>
      <c r="VD14" s="124">
        <v>10000</v>
      </c>
      <c r="VE14" s="207"/>
      <c r="VF14" s="207"/>
      <c r="VG14" s="272"/>
      <c r="VH14" s="272"/>
      <c r="VI14" s="205">
        <f t="shared" si="206"/>
        <v>30000</v>
      </c>
      <c r="VJ14" s="207"/>
      <c r="VK14" s="207"/>
      <c r="VL14" s="207"/>
      <c r="VM14" s="207"/>
      <c r="VN14" s="207"/>
      <c r="VO14" s="272"/>
      <c r="VP14" s="272"/>
      <c r="VQ14" s="205">
        <f t="shared" si="207"/>
        <v>0</v>
      </c>
      <c r="VR14" s="195">
        <v>10000</v>
      </c>
      <c r="VS14" s="195">
        <v>6700</v>
      </c>
      <c r="VT14" s="120"/>
      <c r="VU14" s="207"/>
      <c r="VV14" s="207"/>
      <c r="VW14" s="272"/>
      <c r="VX14" s="272"/>
      <c r="VY14" s="205">
        <f t="shared" si="208"/>
        <v>16700</v>
      </c>
      <c r="VZ14" s="207"/>
      <c r="WA14" s="207"/>
      <c r="WB14" s="207"/>
      <c r="WC14" s="207"/>
      <c r="WD14" s="207"/>
      <c r="WE14" s="272"/>
      <c r="WF14" s="272"/>
      <c r="WG14" s="205">
        <f t="shared" si="209"/>
        <v>0</v>
      </c>
      <c r="WH14" s="205">
        <f t="shared" si="210"/>
        <v>46700</v>
      </c>
      <c r="WI14" s="207"/>
      <c r="WJ14" s="207"/>
      <c r="WK14" s="207"/>
      <c r="WL14" s="207"/>
      <c r="WM14" s="207"/>
      <c r="WN14" s="272"/>
      <c r="WO14" s="272"/>
      <c r="WP14" s="205">
        <f t="shared" si="211"/>
        <v>0</v>
      </c>
      <c r="WQ14" s="207"/>
      <c r="WR14" s="207"/>
      <c r="WS14" s="207"/>
      <c r="WT14" s="207"/>
      <c r="WU14" s="207"/>
      <c r="WV14" s="272"/>
      <c r="WW14" s="272"/>
      <c r="WX14" s="205">
        <f t="shared" si="212"/>
        <v>0</v>
      </c>
      <c r="WY14" s="195">
        <v>7800</v>
      </c>
      <c r="WZ14" s="207"/>
      <c r="XA14" s="207"/>
      <c r="XB14" s="207"/>
      <c r="XC14" s="272"/>
      <c r="XD14" s="272"/>
      <c r="XE14" s="272"/>
      <c r="XF14" s="205">
        <f t="shared" si="213"/>
        <v>7800</v>
      </c>
      <c r="XG14" s="207"/>
      <c r="XH14" s="207"/>
      <c r="XI14" s="207"/>
      <c r="XJ14" s="207"/>
      <c r="XK14" s="207"/>
      <c r="XL14" s="272"/>
      <c r="XM14" s="272"/>
      <c r="XN14" s="205">
        <f t="shared" si="214"/>
        <v>0</v>
      </c>
      <c r="XO14" s="207"/>
      <c r="XP14" s="207"/>
      <c r="XQ14" s="207"/>
      <c r="XR14" s="207"/>
      <c r="XS14" s="207"/>
      <c r="XT14" s="272"/>
      <c r="XU14" s="272"/>
      <c r="XV14" s="205">
        <f t="shared" si="215"/>
        <v>0</v>
      </c>
      <c r="XW14" s="205">
        <f t="shared" si="216"/>
        <v>7800</v>
      </c>
      <c r="XX14" s="207"/>
      <c r="XY14" s="207"/>
      <c r="XZ14" s="207"/>
      <c r="YA14" s="207"/>
      <c r="YB14" s="207"/>
      <c r="YC14" s="272"/>
      <c r="YD14" s="272"/>
      <c r="YE14" s="205">
        <f t="shared" si="217"/>
        <v>0</v>
      </c>
      <c r="YF14" s="207"/>
      <c r="YG14" s="207"/>
      <c r="YH14" s="207"/>
      <c r="YI14" s="207"/>
      <c r="YJ14" s="207"/>
      <c r="YK14" s="272"/>
      <c r="YL14" s="272"/>
      <c r="YM14" s="205">
        <f t="shared" si="218"/>
        <v>0</v>
      </c>
      <c r="YN14" s="207"/>
      <c r="YO14" s="207"/>
      <c r="YP14" s="207"/>
      <c r="YQ14" s="207"/>
      <c r="YR14" s="207"/>
      <c r="YS14" s="272"/>
      <c r="YT14" s="272"/>
      <c r="YU14" s="205">
        <f t="shared" si="148"/>
        <v>0</v>
      </c>
      <c r="YV14" s="207"/>
      <c r="YW14" s="207"/>
      <c r="YX14" s="207"/>
      <c r="YY14" s="207"/>
      <c r="YZ14" s="207"/>
      <c r="ZA14" s="272"/>
      <c r="ZB14" s="272"/>
      <c r="ZC14" s="205">
        <f t="shared" si="219"/>
        <v>0</v>
      </c>
      <c r="ZD14" s="205">
        <f t="shared" si="149"/>
        <v>0</v>
      </c>
      <c r="ZE14" s="207"/>
      <c r="ZF14" s="207"/>
      <c r="ZG14" s="207"/>
      <c r="ZH14" s="207"/>
      <c r="ZI14" s="207"/>
      <c r="ZJ14" s="272"/>
      <c r="ZK14" s="272"/>
      <c r="ZL14" s="205">
        <f t="shared" si="220"/>
        <v>0</v>
      </c>
      <c r="ZM14" s="207"/>
      <c r="ZN14" s="207"/>
      <c r="ZO14" s="207"/>
      <c r="ZP14" s="207"/>
      <c r="ZQ14" s="207"/>
      <c r="ZR14" s="272"/>
      <c r="ZS14" s="272"/>
      <c r="ZT14" s="205">
        <f t="shared" si="221"/>
        <v>0</v>
      </c>
      <c r="ZU14" s="207"/>
      <c r="ZV14" s="207"/>
      <c r="ZW14" s="207"/>
      <c r="ZX14" s="207"/>
      <c r="ZY14" s="207"/>
      <c r="ZZ14" s="272"/>
      <c r="AAA14" s="272"/>
      <c r="AAB14" s="205">
        <f t="shared" si="222"/>
        <v>0</v>
      </c>
      <c r="AAC14" s="207"/>
      <c r="AAD14" s="207"/>
      <c r="AAE14" s="207"/>
      <c r="AAF14" s="207"/>
      <c r="AAG14" s="207"/>
      <c r="AAH14" s="272"/>
      <c r="AAI14" s="272"/>
      <c r="AAJ14" s="205">
        <f t="shared" si="223"/>
        <v>0</v>
      </c>
      <c r="AAK14" s="207"/>
      <c r="AAL14" s="207"/>
      <c r="AAM14" s="207"/>
      <c r="AAN14" s="207"/>
      <c r="AAO14" s="207"/>
      <c r="AAP14" s="272"/>
      <c r="AAQ14" s="272"/>
      <c r="AAR14" s="205">
        <f t="shared" si="224"/>
        <v>0</v>
      </c>
      <c r="AAS14" s="205">
        <f t="shared" si="225"/>
        <v>0</v>
      </c>
    </row>
    <row r="15" spans="1:721" ht="69.95" customHeight="1">
      <c r="B15" s="153">
        <v>3620101011</v>
      </c>
      <c r="C15" s="322"/>
      <c r="D15" s="158" t="s">
        <v>220</v>
      </c>
      <c r="E15" s="130" t="s">
        <v>4</v>
      </c>
      <c r="F15" s="120"/>
      <c r="G15" s="120"/>
      <c r="H15" s="120"/>
      <c r="I15" s="120"/>
      <c r="J15" s="120"/>
      <c r="K15" s="209"/>
      <c r="L15" s="205"/>
      <c r="M15" s="205">
        <f t="shared" si="121"/>
        <v>0</v>
      </c>
      <c r="N15" s="120"/>
      <c r="O15" s="120"/>
      <c r="P15" s="120"/>
      <c r="Q15" s="120"/>
      <c r="R15" s="120"/>
      <c r="S15" s="209"/>
      <c r="T15" s="205"/>
      <c r="U15" s="205">
        <f t="shared" si="122"/>
        <v>0</v>
      </c>
      <c r="V15" s="120"/>
      <c r="W15" s="120"/>
      <c r="X15" s="120"/>
      <c r="Y15" s="120"/>
      <c r="Z15" s="120"/>
      <c r="AA15" s="209"/>
      <c r="AB15" s="205"/>
      <c r="AC15" s="205">
        <f t="shared" si="123"/>
        <v>0</v>
      </c>
      <c r="AD15" s="205"/>
      <c r="AE15" s="205"/>
      <c r="AF15" s="205"/>
      <c r="AG15" s="205"/>
      <c r="AH15" s="205"/>
      <c r="AI15" s="209"/>
      <c r="AJ15" s="205"/>
      <c r="AK15" s="205">
        <f t="shared" si="124"/>
        <v>0</v>
      </c>
      <c r="AL15" s="205" t="e">
        <f>SUM(#REF!,M15,U15,AC15,AD15:AH15)</f>
        <v>#REF!</v>
      </c>
      <c r="AM15" s="120"/>
      <c r="AN15" s="120"/>
      <c r="AO15" s="120"/>
      <c r="AP15" s="120"/>
      <c r="AQ15" s="120"/>
      <c r="AR15" s="209"/>
      <c r="AS15" s="205"/>
      <c r="AT15" s="205">
        <f t="shared" si="125"/>
        <v>0</v>
      </c>
      <c r="AU15" s="120"/>
      <c r="AV15" s="120"/>
      <c r="AW15" s="120"/>
      <c r="AX15" s="120"/>
      <c r="AY15" s="120"/>
      <c r="AZ15" s="209"/>
      <c r="BA15" s="205"/>
      <c r="BB15" s="205">
        <f t="shared" si="126"/>
        <v>0</v>
      </c>
      <c r="BC15" s="120"/>
      <c r="BD15" s="120"/>
      <c r="BE15" s="120"/>
      <c r="BF15" s="120"/>
      <c r="BG15" s="120"/>
      <c r="BH15" s="209"/>
      <c r="BI15" s="205"/>
      <c r="BJ15" s="205">
        <f t="shared" si="127"/>
        <v>0</v>
      </c>
      <c r="BK15" s="120"/>
      <c r="BL15" s="120"/>
      <c r="BM15" s="120"/>
      <c r="BN15" s="120"/>
      <c r="BO15" s="205"/>
      <c r="BP15" s="209"/>
      <c r="BQ15" s="205"/>
      <c r="BR15" s="205">
        <f t="shared" si="128"/>
        <v>0</v>
      </c>
      <c r="BS15" s="205">
        <f t="shared" si="129"/>
        <v>0</v>
      </c>
      <c r="BT15" s="120"/>
      <c r="BU15" s="120"/>
      <c r="BV15" s="120"/>
      <c r="BW15" s="120"/>
      <c r="BX15" s="120"/>
      <c r="BY15" s="209"/>
      <c r="BZ15" s="205"/>
      <c r="CA15" s="205">
        <f t="shared" si="130"/>
        <v>0</v>
      </c>
      <c r="CB15" s="120"/>
      <c r="CC15" s="120"/>
      <c r="CD15" s="120"/>
      <c r="CE15" s="120"/>
      <c r="CF15" s="120"/>
      <c r="CG15" s="209"/>
      <c r="CH15" s="205"/>
      <c r="CI15" s="205">
        <f t="shared" si="131"/>
        <v>0</v>
      </c>
      <c r="CJ15" s="120"/>
      <c r="CK15" s="120"/>
      <c r="CL15" s="120"/>
      <c r="CM15" s="120"/>
      <c r="CN15" s="120"/>
      <c r="CO15" s="209"/>
      <c r="CP15" s="205"/>
      <c r="CQ15" s="205">
        <f t="shared" si="132"/>
        <v>0</v>
      </c>
      <c r="CR15" s="120"/>
      <c r="CS15" s="120"/>
      <c r="CT15" s="120"/>
      <c r="CU15" s="120"/>
      <c r="CV15" s="120"/>
      <c r="CW15" s="209"/>
      <c r="CX15" s="205"/>
      <c r="CY15" s="205">
        <f t="shared" si="133"/>
        <v>0</v>
      </c>
      <c r="CZ15" s="120"/>
      <c r="DA15" s="120"/>
      <c r="DB15" s="120"/>
      <c r="DC15" s="205"/>
      <c r="DD15" s="205"/>
      <c r="DE15" s="209"/>
      <c r="DF15" s="205"/>
      <c r="DG15" s="205">
        <f t="shared" si="134"/>
        <v>0</v>
      </c>
      <c r="DH15" s="205">
        <f t="shared" si="150"/>
        <v>0</v>
      </c>
      <c r="DI15" s="120"/>
      <c r="DJ15" s="120"/>
      <c r="DK15" s="120"/>
      <c r="DL15" s="120"/>
      <c r="DM15" s="120"/>
      <c r="DN15" s="209"/>
      <c r="DO15" s="205"/>
      <c r="DP15" s="205">
        <f t="shared" si="135"/>
        <v>0</v>
      </c>
      <c r="DQ15" s="120"/>
      <c r="DR15" s="120"/>
      <c r="DS15" s="120"/>
      <c r="DT15" s="120"/>
      <c r="DU15" s="120"/>
      <c r="DV15" s="209"/>
      <c r="DW15" s="205"/>
      <c r="DX15" s="205">
        <f t="shared" si="136"/>
        <v>0</v>
      </c>
      <c r="DY15" s="120"/>
      <c r="DZ15" s="120"/>
      <c r="EA15" s="120"/>
      <c r="EB15" s="120"/>
      <c r="EC15" s="120"/>
      <c r="ED15" s="209"/>
      <c r="EE15" s="205"/>
      <c r="EF15" s="205">
        <f t="shared" si="137"/>
        <v>0</v>
      </c>
      <c r="EG15" s="120"/>
      <c r="EH15" s="120"/>
      <c r="EI15" s="120"/>
      <c r="EJ15" s="205"/>
      <c r="EK15" s="205"/>
      <c r="EL15" s="209"/>
      <c r="EM15" s="205"/>
      <c r="EN15" s="205">
        <f t="shared" si="138"/>
        <v>0</v>
      </c>
      <c r="EO15" s="205">
        <f t="shared" si="151"/>
        <v>0</v>
      </c>
      <c r="EP15" s="120"/>
      <c r="EQ15" s="120"/>
      <c r="ER15" s="120"/>
      <c r="ES15" s="120"/>
      <c r="ET15" s="120"/>
      <c r="EU15" s="209"/>
      <c r="EV15" s="205"/>
      <c r="EW15" s="205">
        <f t="shared" si="139"/>
        <v>0</v>
      </c>
      <c r="EX15" s="120"/>
      <c r="EY15" s="120"/>
      <c r="EZ15" s="120"/>
      <c r="FA15" s="120"/>
      <c r="FB15" s="120"/>
      <c r="FC15" s="209"/>
      <c r="FD15" s="205"/>
      <c r="FE15" s="205">
        <f t="shared" si="140"/>
        <v>0</v>
      </c>
      <c r="FF15" s="120"/>
      <c r="FG15" s="120"/>
      <c r="FH15" s="120"/>
      <c r="FI15" s="120"/>
      <c r="FJ15" s="120"/>
      <c r="FK15" s="209"/>
      <c r="FL15" s="205"/>
      <c r="FM15" s="205">
        <f t="shared" si="141"/>
        <v>0</v>
      </c>
      <c r="FN15" s="120"/>
      <c r="FO15" s="120"/>
      <c r="FP15" s="120"/>
      <c r="FQ15" s="120"/>
      <c r="FR15" s="205"/>
      <c r="FS15" s="209"/>
      <c r="FT15" s="205"/>
      <c r="FU15" s="205">
        <f t="shared" si="142"/>
        <v>0</v>
      </c>
      <c r="FV15" s="205">
        <f t="shared" si="152"/>
        <v>0</v>
      </c>
      <c r="FW15" s="120"/>
      <c r="FX15" s="120"/>
      <c r="FY15" s="120"/>
      <c r="FZ15" s="120"/>
      <c r="GA15" s="120"/>
      <c r="GB15" s="209"/>
      <c r="GC15" s="205"/>
      <c r="GD15" s="205">
        <f t="shared" si="143"/>
        <v>0</v>
      </c>
      <c r="GE15" s="120"/>
      <c r="GF15" s="120"/>
      <c r="GG15" s="120"/>
      <c r="GH15" s="120"/>
      <c r="GI15" s="120"/>
      <c r="GJ15" s="209"/>
      <c r="GK15" s="205"/>
      <c r="GL15" s="205">
        <f t="shared" si="144"/>
        <v>0</v>
      </c>
      <c r="GM15" s="120"/>
      <c r="GN15" s="120"/>
      <c r="GO15" s="120"/>
      <c r="GP15" s="120"/>
      <c r="GQ15" s="120"/>
      <c r="GR15" s="209"/>
      <c r="GS15" s="205"/>
      <c r="GT15" s="205">
        <f t="shared" si="145"/>
        <v>0</v>
      </c>
      <c r="GU15" s="120"/>
      <c r="GV15" s="120"/>
      <c r="GW15" s="120"/>
      <c r="GX15" s="120"/>
      <c r="GY15" s="120"/>
      <c r="GZ15" s="209"/>
      <c r="HA15" s="205"/>
      <c r="HB15" s="205">
        <f t="shared" si="146"/>
        <v>0</v>
      </c>
      <c r="HC15" s="120"/>
      <c r="HD15" s="120"/>
      <c r="HE15" s="120"/>
      <c r="HF15" s="120"/>
      <c r="HG15" s="120"/>
      <c r="HH15" s="209"/>
      <c r="HI15" s="205"/>
      <c r="HJ15" s="205">
        <f t="shared" si="147"/>
        <v>0</v>
      </c>
      <c r="HK15" s="205">
        <f t="shared" si="153"/>
        <v>0</v>
      </c>
      <c r="HL15" s="124"/>
      <c r="HM15" s="120"/>
      <c r="HN15" s="120"/>
      <c r="HO15" s="120"/>
      <c r="HP15" s="120"/>
      <c r="HQ15" s="205"/>
      <c r="HR15" s="205"/>
      <c r="HS15" s="205">
        <f t="shared" si="154"/>
        <v>0</v>
      </c>
      <c r="HT15" s="120"/>
      <c r="HU15" s="120"/>
      <c r="HV15" s="120"/>
      <c r="HW15" s="120"/>
      <c r="HX15" s="120"/>
      <c r="HY15" s="205"/>
      <c r="HZ15" s="205"/>
      <c r="IA15" s="205">
        <f t="shared" si="155"/>
        <v>0</v>
      </c>
      <c r="IB15" s="120"/>
      <c r="IC15" s="120"/>
      <c r="ID15" s="120"/>
      <c r="IE15" s="120"/>
      <c r="IF15" s="120"/>
      <c r="IG15" s="205"/>
      <c r="IH15" s="205"/>
      <c r="II15" s="205">
        <f t="shared" si="156"/>
        <v>0</v>
      </c>
      <c r="IJ15" s="120"/>
      <c r="IK15" s="120"/>
      <c r="IL15" s="120"/>
      <c r="IM15" s="120"/>
      <c r="IN15" s="120"/>
      <c r="IO15" s="205"/>
      <c r="IP15" s="205"/>
      <c r="IQ15" s="205">
        <f t="shared" si="157"/>
        <v>0</v>
      </c>
      <c r="IR15" s="205">
        <f t="shared" si="158"/>
        <v>0</v>
      </c>
      <c r="IS15" s="120"/>
      <c r="IT15" s="120"/>
      <c r="IU15" s="120"/>
      <c r="IV15" s="120"/>
      <c r="IW15" s="120"/>
      <c r="IX15" s="205"/>
      <c r="IY15" s="205"/>
      <c r="IZ15" s="205">
        <f t="shared" si="159"/>
        <v>0</v>
      </c>
      <c r="JA15" s="120"/>
      <c r="JB15" s="120"/>
      <c r="JC15" s="120"/>
      <c r="JD15" s="120"/>
      <c r="JE15" s="120"/>
      <c r="JF15" s="205"/>
      <c r="JG15" s="205"/>
      <c r="JH15" s="205">
        <f t="shared" si="160"/>
        <v>0</v>
      </c>
      <c r="JI15" s="120"/>
      <c r="JJ15" s="120"/>
      <c r="JK15" s="120"/>
      <c r="JL15" s="120"/>
      <c r="JM15" s="120"/>
      <c r="JN15" s="205"/>
      <c r="JO15" s="205"/>
      <c r="JP15" s="205">
        <f t="shared" si="161"/>
        <v>0</v>
      </c>
      <c r="JQ15" s="120"/>
      <c r="JR15" s="120"/>
      <c r="JS15" s="120"/>
      <c r="JT15" s="120"/>
      <c r="JU15" s="120"/>
      <c r="JV15" s="205"/>
      <c r="JW15" s="205"/>
      <c r="JX15" s="205">
        <f t="shared" si="162"/>
        <v>0</v>
      </c>
      <c r="JY15" s="205">
        <f t="shared" si="163"/>
        <v>0</v>
      </c>
      <c r="JZ15" s="120"/>
      <c r="KA15" s="120"/>
      <c r="KB15" s="120"/>
      <c r="KC15" s="120"/>
      <c r="KD15" s="120"/>
      <c r="KE15" s="205"/>
      <c r="KF15" s="205"/>
      <c r="KG15" s="205">
        <f t="shared" si="164"/>
        <v>0</v>
      </c>
      <c r="KH15" s="120"/>
      <c r="KI15" s="120"/>
      <c r="KJ15" s="120"/>
      <c r="KK15" s="120"/>
      <c r="KL15" s="120"/>
      <c r="KM15" s="205"/>
      <c r="KN15" s="205"/>
      <c r="KO15" s="205">
        <f t="shared" si="165"/>
        <v>0</v>
      </c>
      <c r="KP15" s="120"/>
      <c r="KQ15" s="120"/>
      <c r="KR15" s="120"/>
      <c r="KS15" s="120"/>
      <c r="KT15" s="120"/>
      <c r="KU15" s="205"/>
      <c r="KV15" s="205"/>
      <c r="KW15" s="205">
        <f t="shared" si="166"/>
        <v>0</v>
      </c>
      <c r="KX15" s="120"/>
      <c r="KY15" s="120"/>
      <c r="KZ15" s="120"/>
      <c r="LA15" s="120"/>
      <c r="LB15" s="120"/>
      <c r="LC15" s="205"/>
      <c r="LD15" s="205"/>
      <c r="LE15" s="205">
        <f t="shared" si="167"/>
        <v>0</v>
      </c>
      <c r="LF15" s="205"/>
      <c r="LG15" s="120"/>
      <c r="LH15" s="120"/>
      <c r="LI15" s="120"/>
      <c r="LJ15" s="120"/>
      <c r="LK15" s="205"/>
      <c r="LL15" s="205"/>
      <c r="LM15" s="205">
        <f t="shared" si="168"/>
        <v>0</v>
      </c>
      <c r="LN15" s="205">
        <f t="shared" si="169"/>
        <v>0</v>
      </c>
      <c r="LO15" s="205"/>
      <c r="LP15" s="120"/>
      <c r="LQ15" s="120"/>
      <c r="LR15" s="120"/>
      <c r="LS15" s="205"/>
      <c r="LT15" s="205"/>
      <c r="LU15" s="205"/>
      <c r="LV15" s="205">
        <f t="shared" si="170"/>
        <v>0</v>
      </c>
      <c r="LW15" s="120"/>
      <c r="LX15" s="120"/>
      <c r="LY15" s="120"/>
      <c r="LZ15" s="120"/>
      <c r="MA15" s="120"/>
      <c r="MB15" s="205"/>
      <c r="MC15" s="205"/>
      <c r="MD15" s="205">
        <f t="shared" si="171"/>
        <v>0</v>
      </c>
      <c r="ME15" s="120"/>
      <c r="MF15" s="120"/>
      <c r="MG15" s="120"/>
      <c r="MH15" s="120"/>
      <c r="MI15" s="205"/>
      <c r="MJ15" s="205"/>
      <c r="MK15" s="205"/>
      <c r="ML15" s="205">
        <f t="shared" si="172"/>
        <v>0</v>
      </c>
      <c r="MM15" s="120"/>
      <c r="MN15" s="120"/>
      <c r="MO15" s="120"/>
      <c r="MP15" s="120"/>
      <c r="MQ15" s="120"/>
      <c r="MR15" s="205"/>
      <c r="MS15" s="205"/>
      <c r="MT15" s="205">
        <f t="shared" si="173"/>
        <v>0</v>
      </c>
      <c r="MU15" s="205">
        <f t="shared" si="174"/>
        <v>0</v>
      </c>
      <c r="MV15" s="120"/>
      <c r="MW15" s="120"/>
      <c r="MX15" s="120"/>
      <c r="MY15" s="120"/>
      <c r="MZ15" s="120"/>
      <c r="NA15" s="205"/>
      <c r="NB15" s="205"/>
      <c r="NC15" s="205">
        <f t="shared" si="175"/>
        <v>0</v>
      </c>
      <c r="ND15" s="120"/>
      <c r="NE15" s="120"/>
      <c r="NF15" s="120"/>
      <c r="NG15" s="120"/>
      <c r="NH15" s="120"/>
      <c r="NI15" s="205"/>
      <c r="NJ15" s="205"/>
      <c r="NK15" s="205">
        <f t="shared" si="176"/>
        <v>0</v>
      </c>
      <c r="NL15" s="120"/>
      <c r="NM15" s="120"/>
      <c r="NN15" s="120"/>
      <c r="NO15" s="120"/>
      <c r="NP15" s="120"/>
      <c r="NQ15" s="205"/>
      <c r="NR15" s="205"/>
      <c r="NS15" s="205">
        <f t="shared" si="177"/>
        <v>0</v>
      </c>
      <c r="NT15" s="120"/>
      <c r="NU15" s="120"/>
      <c r="NV15" s="120"/>
      <c r="NW15" s="120"/>
      <c r="NX15" s="120"/>
      <c r="NY15" s="205"/>
      <c r="NZ15" s="205"/>
      <c r="OA15" s="205">
        <f t="shared" si="178"/>
        <v>0</v>
      </c>
      <c r="OB15" s="205">
        <f t="shared" si="179"/>
        <v>0</v>
      </c>
      <c r="OC15" s="120"/>
      <c r="OD15" s="120"/>
      <c r="OE15" s="120"/>
      <c r="OF15" s="120"/>
      <c r="OG15" s="120"/>
      <c r="OH15" s="205"/>
      <c r="OI15" s="205"/>
      <c r="OJ15" s="205">
        <f t="shared" si="180"/>
        <v>0</v>
      </c>
      <c r="OK15" s="120"/>
      <c r="OL15" s="120"/>
      <c r="OM15" s="120"/>
      <c r="ON15" s="120"/>
      <c r="OO15" s="120"/>
      <c r="OP15" s="205"/>
      <c r="OQ15" s="205"/>
      <c r="OR15" s="205">
        <f t="shared" si="181"/>
        <v>0</v>
      </c>
      <c r="OS15" s="120"/>
      <c r="OT15" s="120"/>
      <c r="OU15" s="120"/>
      <c r="OV15" s="120"/>
      <c r="OW15" s="120"/>
      <c r="OX15" s="205"/>
      <c r="OY15" s="205"/>
      <c r="OZ15" s="205">
        <f t="shared" si="182"/>
        <v>0</v>
      </c>
      <c r="PA15" s="120"/>
      <c r="PB15" s="120"/>
      <c r="PC15" s="120"/>
      <c r="PD15" s="205"/>
      <c r="PE15" s="217"/>
      <c r="PF15" s="205"/>
      <c r="PG15" s="205"/>
      <c r="PH15" s="205">
        <f t="shared" si="183"/>
        <v>0</v>
      </c>
      <c r="PI15" s="120"/>
      <c r="PJ15" s="120"/>
      <c r="PK15" s="120"/>
      <c r="PL15" s="205"/>
      <c r="PM15" s="217"/>
      <c r="PN15" s="205"/>
      <c r="PO15" s="205"/>
      <c r="PP15" s="205">
        <f t="shared" si="184"/>
        <v>0</v>
      </c>
      <c r="PQ15" s="205">
        <f t="shared" si="185"/>
        <v>0</v>
      </c>
      <c r="PR15" s="207"/>
      <c r="PS15" s="207"/>
      <c r="PT15" s="207"/>
      <c r="PU15" s="207"/>
      <c r="PV15" s="207"/>
      <c r="PW15" s="272"/>
      <c r="PX15" s="272"/>
      <c r="PY15" s="205">
        <f t="shared" si="186"/>
        <v>0</v>
      </c>
      <c r="PZ15" s="207"/>
      <c r="QA15" s="207"/>
      <c r="QB15" s="207"/>
      <c r="QC15" s="207"/>
      <c r="QD15" s="207"/>
      <c r="QE15" s="272"/>
      <c r="QF15" s="272"/>
      <c r="QG15" s="205">
        <f t="shared" si="187"/>
        <v>0</v>
      </c>
      <c r="QH15" s="207"/>
      <c r="QI15" s="207"/>
      <c r="QJ15" s="294"/>
      <c r="QK15" s="207"/>
      <c r="QL15" s="207"/>
      <c r="QM15" s="272"/>
      <c r="QN15" s="272"/>
      <c r="QO15" s="205">
        <f t="shared" si="188"/>
        <v>0</v>
      </c>
      <c r="QP15" s="207"/>
      <c r="QQ15" s="207"/>
      <c r="QR15" s="207"/>
      <c r="QS15" s="207"/>
      <c r="QT15" s="207"/>
      <c r="QU15" s="272"/>
      <c r="QV15" s="272"/>
      <c r="QW15" s="205">
        <f t="shared" si="189"/>
        <v>0</v>
      </c>
      <c r="QX15" s="205">
        <f t="shared" si="190"/>
        <v>0</v>
      </c>
      <c r="QY15" s="207"/>
      <c r="QZ15" s="207"/>
      <c r="RA15" s="207"/>
      <c r="RB15" s="207"/>
      <c r="RC15" s="207"/>
      <c r="RD15" s="272"/>
      <c r="RE15" s="272"/>
      <c r="RF15" s="205">
        <f t="shared" si="191"/>
        <v>0</v>
      </c>
      <c r="RG15" s="207"/>
      <c r="RH15" s="207"/>
      <c r="RI15" s="207"/>
      <c r="RJ15" s="207"/>
      <c r="RK15" s="207"/>
      <c r="RL15" s="272"/>
      <c r="RM15" s="272"/>
      <c r="RN15" s="205">
        <f t="shared" si="192"/>
        <v>0</v>
      </c>
      <c r="RO15" s="272"/>
      <c r="RP15" s="272"/>
      <c r="RQ15" s="272"/>
      <c r="RR15" s="272"/>
      <c r="RS15" s="272"/>
      <c r="RT15" s="272"/>
      <c r="RU15" s="272"/>
      <c r="RV15" s="205">
        <f t="shared" si="193"/>
        <v>0</v>
      </c>
      <c r="RW15" s="207"/>
      <c r="RX15" s="207"/>
      <c r="RY15" s="207"/>
      <c r="RZ15" s="207"/>
      <c r="SA15" s="272"/>
      <c r="SB15" s="272"/>
      <c r="SC15" s="272"/>
      <c r="SD15" s="205">
        <f t="shared" si="194"/>
        <v>0</v>
      </c>
      <c r="SE15" s="205">
        <f t="shared" si="195"/>
        <v>0</v>
      </c>
      <c r="SF15" s="207"/>
      <c r="SG15" s="207"/>
      <c r="SH15" s="207"/>
      <c r="SI15" s="207"/>
      <c r="SJ15" s="207"/>
      <c r="SK15" s="272"/>
      <c r="SL15" s="272"/>
      <c r="SM15" s="205">
        <f t="shared" si="196"/>
        <v>0</v>
      </c>
      <c r="SN15" s="207"/>
      <c r="SO15" s="207"/>
      <c r="SP15" s="207"/>
      <c r="SQ15" s="207"/>
      <c r="SR15" s="207"/>
      <c r="SS15" s="272"/>
      <c r="ST15" s="272"/>
      <c r="SU15" s="205">
        <f t="shared" si="197"/>
        <v>0</v>
      </c>
      <c r="SV15" s="207"/>
      <c r="SW15" s="207"/>
      <c r="SX15" s="207"/>
      <c r="SY15" s="207"/>
      <c r="SZ15" s="207"/>
      <c r="TA15" s="272"/>
      <c r="TB15" s="272"/>
      <c r="TC15" s="205">
        <f t="shared" si="198"/>
        <v>0</v>
      </c>
      <c r="TD15" s="207"/>
      <c r="TE15" s="207"/>
      <c r="TF15" s="207"/>
      <c r="TG15" s="207"/>
      <c r="TH15" s="207"/>
      <c r="TI15" s="272"/>
      <c r="TJ15" s="272"/>
      <c r="TK15" s="205">
        <f t="shared" si="199"/>
        <v>0</v>
      </c>
      <c r="TL15" s="207"/>
      <c r="TM15" s="207"/>
      <c r="TN15" s="207"/>
      <c r="TO15" s="207"/>
      <c r="TP15" s="272"/>
      <c r="TQ15" s="272"/>
      <c r="TR15" s="272"/>
      <c r="TS15" s="205">
        <f t="shared" si="200"/>
        <v>0</v>
      </c>
      <c r="TT15" s="205">
        <f t="shared" si="201"/>
        <v>0</v>
      </c>
      <c r="TU15" s="272"/>
      <c r="TV15" s="207"/>
      <c r="TW15" s="207"/>
      <c r="TX15" s="207"/>
      <c r="TY15" s="207"/>
      <c r="TZ15" s="272"/>
      <c r="UA15" s="272"/>
      <c r="UB15" s="205">
        <f t="shared" si="202"/>
        <v>0</v>
      </c>
      <c r="UC15" s="207"/>
      <c r="UD15" s="207"/>
      <c r="UE15" s="207"/>
      <c r="UF15" s="207"/>
      <c r="UG15" s="207"/>
      <c r="UH15" s="272"/>
      <c r="UI15" s="272"/>
      <c r="UJ15" s="205">
        <f t="shared" si="203"/>
        <v>0</v>
      </c>
      <c r="UK15" s="207"/>
      <c r="UL15" s="207"/>
      <c r="UM15" s="207"/>
      <c r="UN15" s="207"/>
      <c r="UO15" s="207"/>
      <c r="UP15" s="272"/>
      <c r="UQ15" s="272"/>
      <c r="UR15" s="205">
        <f t="shared" si="226"/>
        <v>0</v>
      </c>
      <c r="US15" s="207"/>
      <c r="UT15" s="207"/>
      <c r="UU15" s="207"/>
      <c r="UV15" s="207"/>
      <c r="UW15" s="272"/>
      <c r="UX15" s="272"/>
      <c r="UY15" s="272"/>
      <c r="UZ15" s="205">
        <f t="shared" si="204"/>
        <v>0</v>
      </c>
      <c r="VA15" s="205">
        <f t="shared" si="205"/>
        <v>0</v>
      </c>
      <c r="VB15" s="207"/>
      <c r="VC15" s="207"/>
      <c r="VD15" s="207"/>
      <c r="VE15" s="207"/>
      <c r="VF15" s="207"/>
      <c r="VG15" s="272"/>
      <c r="VH15" s="272"/>
      <c r="VI15" s="205">
        <f t="shared" si="206"/>
        <v>0</v>
      </c>
      <c r="VJ15" s="207"/>
      <c r="VK15" s="207"/>
      <c r="VL15" s="207"/>
      <c r="VM15" s="207"/>
      <c r="VN15" s="207"/>
      <c r="VO15" s="272"/>
      <c r="VP15" s="272"/>
      <c r="VQ15" s="205">
        <f t="shared" si="207"/>
        <v>0</v>
      </c>
      <c r="VR15" s="207"/>
      <c r="VS15" s="207"/>
      <c r="VT15" s="207"/>
      <c r="VU15" s="207"/>
      <c r="VV15" s="207"/>
      <c r="VW15" s="272"/>
      <c r="VX15" s="272"/>
      <c r="VY15" s="205">
        <f t="shared" si="208"/>
        <v>0</v>
      </c>
      <c r="VZ15" s="207"/>
      <c r="WA15" s="207"/>
      <c r="WB15" s="207"/>
      <c r="WC15" s="207"/>
      <c r="WD15" s="207"/>
      <c r="WE15" s="272"/>
      <c r="WF15" s="272"/>
      <c r="WG15" s="205">
        <f t="shared" si="209"/>
        <v>0</v>
      </c>
      <c r="WH15" s="205">
        <f t="shared" si="210"/>
        <v>0</v>
      </c>
      <c r="WI15" s="207"/>
      <c r="WJ15" s="207"/>
      <c r="WK15" s="207"/>
      <c r="WL15" s="207"/>
      <c r="WM15" s="207"/>
      <c r="WN15" s="272"/>
      <c r="WO15" s="272"/>
      <c r="WP15" s="205">
        <f t="shared" si="211"/>
        <v>0</v>
      </c>
      <c r="WQ15" s="207"/>
      <c r="WR15" s="207"/>
      <c r="WS15" s="207"/>
      <c r="WT15" s="207"/>
      <c r="WU15" s="207"/>
      <c r="WV15" s="272"/>
      <c r="WW15" s="272"/>
      <c r="WX15" s="205">
        <f t="shared" si="212"/>
        <v>0</v>
      </c>
      <c r="WY15" s="207"/>
      <c r="WZ15" s="207"/>
      <c r="XA15" s="207"/>
      <c r="XB15" s="207"/>
      <c r="XC15" s="272"/>
      <c r="XD15" s="272"/>
      <c r="XE15" s="272"/>
      <c r="XF15" s="205">
        <f t="shared" si="213"/>
        <v>0</v>
      </c>
      <c r="XG15" s="207"/>
      <c r="XH15" s="207"/>
      <c r="XI15" s="207"/>
      <c r="XJ15" s="207"/>
      <c r="XK15" s="207"/>
      <c r="XL15" s="272"/>
      <c r="XM15" s="272"/>
      <c r="XN15" s="205">
        <f t="shared" si="214"/>
        <v>0</v>
      </c>
      <c r="XO15" s="207"/>
      <c r="XP15" s="207"/>
      <c r="XQ15" s="207"/>
      <c r="XR15" s="207"/>
      <c r="XS15" s="207"/>
      <c r="XT15" s="272"/>
      <c r="XU15" s="272"/>
      <c r="XV15" s="205">
        <f t="shared" si="215"/>
        <v>0</v>
      </c>
      <c r="XW15" s="205">
        <f t="shared" si="216"/>
        <v>0</v>
      </c>
      <c r="XX15" s="207"/>
      <c r="XY15" s="207"/>
      <c r="XZ15" s="207"/>
      <c r="YA15" s="207"/>
      <c r="YB15" s="207"/>
      <c r="YC15" s="272"/>
      <c r="YD15" s="272"/>
      <c r="YE15" s="205">
        <f t="shared" si="217"/>
        <v>0</v>
      </c>
      <c r="YF15" s="207"/>
      <c r="YG15" s="207"/>
      <c r="YH15" s="207"/>
      <c r="YI15" s="207"/>
      <c r="YJ15" s="207"/>
      <c r="YK15" s="272"/>
      <c r="YL15" s="272"/>
      <c r="YM15" s="205">
        <f t="shared" si="218"/>
        <v>0</v>
      </c>
      <c r="YN15" s="207"/>
      <c r="YO15" s="207"/>
      <c r="YP15" s="207"/>
      <c r="YQ15" s="207"/>
      <c r="YR15" s="207"/>
      <c r="YS15" s="272"/>
      <c r="YT15" s="272"/>
      <c r="YU15" s="205">
        <f t="shared" si="148"/>
        <v>0</v>
      </c>
      <c r="YV15" s="207"/>
      <c r="YW15" s="207"/>
      <c r="YX15" s="207"/>
      <c r="YY15" s="207"/>
      <c r="YZ15" s="207"/>
      <c r="ZA15" s="272"/>
      <c r="ZB15" s="272"/>
      <c r="ZC15" s="205">
        <f t="shared" si="219"/>
        <v>0</v>
      </c>
      <c r="ZD15" s="205">
        <f t="shared" si="149"/>
        <v>0</v>
      </c>
      <c r="ZE15" s="207"/>
      <c r="ZF15" s="207"/>
      <c r="ZG15" s="207"/>
      <c r="ZH15" s="207"/>
      <c r="ZI15" s="207"/>
      <c r="ZJ15" s="272"/>
      <c r="ZK15" s="272"/>
      <c r="ZL15" s="205">
        <f t="shared" si="220"/>
        <v>0</v>
      </c>
      <c r="ZM15" s="207"/>
      <c r="ZN15" s="207"/>
      <c r="ZO15" s="207"/>
      <c r="ZP15" s="207"/>
      <c r="ZQ15" s="207"/>
      <c r="ZR15" s="272"/>
      <c r="ZS15" s="272"/>
      <c r="ZT15" s="205">
        <f t="shared" si="221"/>
        <v>0</v>
      </c>
      <c r="ZU15" s="207"/>
      <c r="ZV15" s="207"/>
      <c r="ZW15" s="207"/>
      <c r="ZX15" s="207"/>
      <c r="ZY15" s="207"/>
      <c r="ZZ15" s="272"/>
      <c r="AAA15" s="272"/>
      <c r="AAB15" s="205">
        <f t="shared" si="222"/>
        <v>0</v>
      </c>
      <c r="AAC15" s="207"/>
      <c r="AAD15" s="207"/>
      <c r="AAE15" s="207"/>
      <c r="AAF15" s="207"/>
      <c r="AAG15" s="207"/>
      <c r="AAH15" s="272"/>
      <c r="AAI15" s="272"/>
      <c r="AAJ15" s="205">
        <f t="shared" si="223"/>
        <v>0</v>
      </c>
      <c r="AAK15" s="207"/>
      <c r="AAL15" s="207"/>
      <c r="AAM15" s="207"/>
      <c r="AAN15" s="207"/>
      <c r="AAO15" s="207"/>
      <c r="AAP15" s="272"/>
      <c r="AAQ15" s="272"/>
      <c r="AAR15" s="205">
        <f t="shared" si="224"/>
        <v>0</v>
      </c>
      <c r="AAS15" s="205">
        <f t="shared" si="225"/>
        <v>0</v>
      </c>
    </row>
    <row r="16" spans="1:721" ht="68.099999999999994" customHeight="1">
      <c r="B16" s="155">
        <v>3620102001</v>
      </c>
      <c r="C16" s="323"/>
      <c r="D16" s="156" t="s">
        <v>74</v>
      </c>
      <c r="E16" s="130" t="s">
        <v>4</v>
      </c>
      <c r="F16" s="120"/>
      <c r="G16" s="120"/>
      <c r="H16" s="120"/>
      <c r="I16" s="120"/>
      <c r="J16" s="120"/>
      <c r="K16" s="209"/>
      <c r="L16" s="205"/>
      <c r="M16" s="205">
        <f t="shared" si="121"/>
        <v>0</v>
      </c>
      <c r="N16" s="120"/>
      <c r="O16" s="120"/>
      <c r="P16" s="120"/>
      <c r="Q16" s="120"/>
      <c r="R16" s="120"/>
      <c r="S16" s="209"/>
      <c r="T16" s="205"/>
      <c r="U16" s="205">
        <f t="shared" si="122"/>
        <v>0</v>
      </c>
      <c r="V16" s="120"/>
      <c r="W16" s="120"/>
      <c r="X16" s="120"/>
      <c r="Y16" s="120"/>
      <c r="Z16" s="120"/>
      <c r="AA16" s="209"/>
      <c r="AB16" s="205"/>
      <c r="AC16" s="205">
        <f t="shared" si="123"/>
        <v>0</v>
      </c>
      <c r="AD16" s="205"/>
      <c r="AE16" s="205"/>
      <c r="AF16" s="205"/>
      <c r="AG16" s="205"/>
      <c r="AH16" s="205"/>
      <c r="AI16" s="209"/>
      <c r="AJ16" s="205"/>
      <c r="AK16" s="205">
        <f t="shared" si="124"/>
        <v>0</v>
      </c>
      <c r="AL16" s="205" t="e">
        <f>SUM(#REF!,M16,U16,AC16,AD16:AH16)</f>
        <v>#REF!</v>
      </c>
      <c r="AM16" s="120"/>
      <c r="AN16" s="120"/>
      <c r="AO16" s="120"/>
      <c r="AP16" s="120"/>
      <c r="AQ16" s="120"/>
      <c r="AR16" s="209"/>
      <c r="AS16" s="205"/>
      <c r="AT16" s="205">
        <f t="shared" si="125"/>
        <v>0</v>
      </c>
      <c r="AU16" s="120"/>
      <c r="AV16" s="120"/>
      <c r="AW16" s="120"/>
      <c r="AX16" s="120"/>
      <c r="AY16" s="120"/>
      <c r="AZ16" s="209"/>
      <c r="BA16" s="205"/>
      <c r="BB16" s="205">
        <f t="shared" si="126"/>
        <v>0</v>
      </c>
      <c r="BC16" s="120"/>
      <c r="BD16" s="120"/>
      <c r="BE16" s="120"/>
      <c r="BF16" s="120"/>
      <c r="BG16" s="120"/>
      <c r="BH16" s="209"/>
      <c r="BI16" s="205"/>
      <c r="BJ16" s="205">
        <f t="shared" si="127"/>
        <v>0</v>
      </c>
      <c r="BK16" s="120"/>
      <c r="BL16" s="120"/>
      <c r="BM16" s="120"/>
      <c r="BN16" s="120"/>
      <c r="BO16" s="205"/>
      <c r="BP16" s="209"/>
      <c r="BQ16" s="205"/>
      <c r="BR16" s="205">
        <f t="shared" si="128"/>
        <v>0</v>
      </c>
      <c r="BS16" s="205">
        <f t="shared" si="129"/>
        <v>0</v>
      </c>
      <c r="BT16" s="120"/>
      <c r="BU16" s="120"/>
      <c r="BV16" s="120"/>
      <c r="BW16" s="120"/>
      <c r="BX16" s="120"/>
      <c r="BY16" s="209"/>
      <c r="BZ16" s="205"/>
      <c r="CA16" s="205">
        <f t="shared" si="130"/>
        <v>0</v>
      </c>
      <c r="CB16" s="120"/>
      <c r="CC16" s="120"/>
      <c r="CD16" s="120"/>
      <c r="CE16" s="120"/>
      <c r="CF16" s="120"/>
      <c r="CG16" s="209"/>
      <c r="CH16" s="205"/>
      <c r="CI16" s="205">
        <f t="shared" si="131"/>
        <v>0</v>
      </c>
      <c r="CJ16" s="120"/>
      <c r="CK16" s="120"/>
      <c r="CL16" s="120"/>
      <c r="CM16" s="120"/>
      <c r="CN16" s="120"/>
      <c r="CO16" s="209"/>
      <c r="CP16" s="205"/>
      <c r="CQ16" s="205">
        <f t="shared" si="132"/>
        <v>0</v>
      </c>
      <c r="CR16" s="120"/>
      <c r="CS16" s="120"/>
      <c r="CT16" s="120"/>
      <c r="CU16" s="120"/>
      <c r="CV16" s="120"/>
      <c r="CW16" s="209"/>
      <c r="CX16" s="205"/>
      <c r="CY16" s="205">
        <f t="shared" si="133"/>
        <v>0</v>
      </c>
      <c r="CZ16" s="120"/>
      <c r="DA16" s="120"/>
      <c r="DB16" s="120"/>
      <c r="DC16" s="205"/>
      <c r="DD16" s="205"/>
      <c r="DE16" s="209"/>
      <c r="DF16" s="205"/>
      <c r="DG16" s="205">
        <f t="shared" si="134"/>
        <v>0</v>
      </c>
      <c r="DH16" s="205">
        <f t="shared" si="150"/>
        <v>0</v>
      </c>
      <c r="DI16" s="120"/>
      <c r="DJ16" s="120"/>
      <c r="DK16" s="120"/>
      <c r="DL16" s="120"/>
      <c r="DM16" s="120"/>
      <c r="DN16" s="209"/>
      <c r="DO16" s="205"/>
      <c r="DP16" s="205">
        <f t="shared" si="135"/>
        <v>0</v>
      </c>
      <c r="DQ16" s="217">
        <v>600</v>
      </c>
      <c r="DR16" s="120"/>
      <c r="DS16" s="120"/>
      <c r="DT16" s="120"/>
      <c r="DU16" s="120"/>
      <c r="DV16" s="209"/>
      <c r="DW16" s="205"/>
      <c r="DX16" s="205">
        <f t="shared" si="136"/>
        <v>600</v>
      </c>
      <c r="DY16" s="120"/>
      <c r="DZ16" s="120"/>
      <c r="EA16" s="120"/>
      <c r="EB16" s="120"/>
      <c r="EC16" s="120"/>
      <c r="ED16" s="209"/>
      <c r="EE16" s="205"/>
      <c r="EF16" s="205">
        <f t="shared" si="137"/>
        <v>0</v>
      </c>
      <c r="EG16" s="120"/>
      <c r="EH16" s="120"/>
      <c r="EI16" s="120"/>
      <c r="EJ16" s="205"/>
      <c r="EK16" s="205"/>
      <c r="EL16" s="209"/>
      <c r="EM16" s="205"/>
      <c r="EN16" s="205">
        <f t="shared" si="138"/>
        <v>0</v>
      </c>
      <c r="EO16" s="205">
        <f t="shared" si="151"/>
        <v>600</v>
      </c>
      <c r="EP16" s="120"/>
      <c r="EQ16" s="120"/>
      <c r="ER16" s="120"/>
      <c r="ES16" s="120"/>
      <c r="ET16" s="120"/>
      <c r="EU16" s="209"/>
      <c r="EV16" s="205"/>
      <c r="EW16" s="205">
        <f t="shared" si="139"/>
        <v>0</v>
      </c>
      <c r="EX16" s="120"/>
      <c r="EY16" s="120"/>
      <c r="EZ16" s="120"/>
      <c r="FA16" s="120"/>
      <c r="FB16" s="120"/>
      <c r="FC16" s="209"/>
      <c r="FD16" s="205"/>
      <c r="FE16" s="205">
        <f t="shared" si="140"/>
        <v>0</v>
      </c>
      <c r="FF16" s="120"/>
      <c r="FG16" s="120"/>
      <c r="FH16" s="120"/>
      <c r="FI16" s="120"/>
      <c r="FJ16" s="120"/>
      <c r="FK16" s="209"/>
      <c r="FL16" s="205"/>
      <c r="FM16" s="205">
        <f t="shared" si="141"/>
        <v>0</v>
      </c>
      <c r="FN16" s="120"/>
      <c r="FO16" s="120"/>
      <c r="FP16" s="120"/>
      <c r="FQ16" s="120"/>
      <c r="FR16" s="205"/>
      <c r="FS16" s="209"/>
      <c r="FT16" s="205"/>
      <c r="FU16" s="205">
        <f t="shared" si="142"/>
        <v>0</v>
      </c>
      <c r="FV16" s="205">
        <f t="shared" si="152"/>
        <v>0</v>
      </c>
      <c r="FW16" s="120"/>
      <c r="FX16" s="120"/>
      <c r="FY16" s="120"/>
      <c r="FZ16" s="120"/>
      <c r="GA16" s="120"/>
      <c r="GB16" s="209"/>
      <c r="GC16" s="205"/>
      <c r="GD16" s="205">
        <f t="shared" si="143"/>
        <v>0</v>
      </c>
      <c r="GE16" s="120"/>
      <c r="GF16" s="120"/>
      <c r="GG16" s="120"/>
      <c r="GH16" s="120"/>
      <c r="GI16" s="120"/>
      <c r="GJ16" s="209"/>
      <c r="GK16" s="205"/>
      <c r="GL16" s="205">
        <f t="shared" si="144"/>
        <v>0</v>
      </c>
      <c r="GM16" s="120"/>
      <c r="GN16" s="120"/>
      <c r="GO16" s="120"/>
      <c r="GP16" s="120"/>
      <c r="GQ16" s="120"/>
      <c r="GR16" s="209"/>
      <c r="GS16" s="205"/>
      <c r="GT16" s="205">
        <f t="shared" si="145"/>
        <v>0</v>
      </c>
      <c r="GU16" s="120"/>
      <c r="GV16" s="120"/>
      <c r="GW16" s="120"/>
      <c r="GX16" s="120"/>
      <c r="GY16" s="120"/>
      <c r="GZ16" s="209"/>
      <c r="HA16" s="205"/>
      <c r="HB16" s="205">
        <f t="shared" si="146"/>
        <v>0</v>
      </c>
      <c r="HC16" s="120"/>
      <c r="HD16" s="120"/>
      <c r="HE16" s="120"/>
      <c r="HF16" s="120"/>
      <c r="HG16" s="120"/>
      <c r="HH16" s="209"/>
      <c r="HI16" s="205"/>
      <c r="HJ16" s="205">
        <f t="shared" si="147"/>
        <v>0</v>
      </c>
      <c r="HK16" s="205">
        <f t="shared" si="153"/>
        <v>0</v>
      </c>
      <c r="HL16" s="124"/>
      <c r="HM16" s="120"/>
      <c r="HN16" s="217">
        <v>300</v>
      </c>
      <c r="HO16" s="120"/>
      <c r="HP16" s="120"/>
      <c r="HQ16" s="205"/>
      <c r="HR16" s="205"/>
      <c r="HS16" s="205">
        <f t="shared" si="154"/>
        <v>300</v>
      </c>
      <c r="HT16" s="120"/>
      <c r="HU16" s="120"/>
      <c r="HV16" s="120"/>
      <c r="HW16" s="120"/>
      <c r="HX16" s="120"/>
      <c r="HY16" s="205"/>
      <c r="HZ16" s="205"/>
      <c r="IA16" s="205">
        <f t="shared" si="155"/>
        <v>0</v>
      </c>
      <c r="IB16" s="120"/>
      <c r="IC16" s="120"/>
      <c r="ID16" s="120"/>
      <c r="IE16" s="120"/>
      <c r="IF16" s="120"/>
      <c r="IG16" s="205"/>
      <c r="IH16" s="205"/>
      <c r="II16" s="205">
        <f t="shared" si="156"/>
        <v>0</v>
      </c>
      <c r="IJ16" s="120"/>
      <c r="IK16" s="120"/>
      <c r="IL16" s="120"/>
      <c r="IM16" s="120"/>
      <c r="IN16" s="120"/>
      <c r="IO16" s="205"/>
      <c r="IP16" s="205"/>
      <c r="IQ16" s="205">
        <f t="shared" si="157"/>
        <v>0</v>
      </c>
      <c r="IR16" s="205">
        <f t="shared" si="158"/>
        <v>300</v>
      </c>
      <c r="IS16" s="120"/>
      <c r="IT16" s="120"/>
      <c r="IU16" s="120"/>
      <c r="IV16" s="120"/>
      <c r="IW16" s="120"/>
      <c r="IX16" s="205"/>
      <c r="IY16" s="205"/>
      <c r="IZ16" s="205">
        <f t="shared" si="159"/>
        <v>0</v>
      </c>
      <c r="JA16" s="120"/>
      <c r="JB16" s="120"/>
      <c r="JC16" s="120"/>
      <c r="JD16" s="120"/>
      <c r="JE16" s="120"/>
      <c r="JF16" s="205"/>
      <c r="JG16" s="205"/>
      <c r="JH16" s="205">
        <f t="shared" si="160"/>
        <v>0</v>
      </c>
      <c r="JI16" s="120"/>
      <c r="JJ16" s="120"/>
      <c r="JK16" s="120"/>
      <c r="JL16" s="120"/>
      <c r="JM16" s="120"/>
      <c r="JN16" s="205"/>
      <c r="JO16" s="205"/>
      <c r="JP16" s="205">
        <f t="shared" si="161"/>
        <v>0</v>
      </c>
      <c r="JQ16" s="120"/>
      <c r="JR16" s="120"/>
      <c r="JS16" s="120"/>
      <c r="JT16" s="120"/>
      <c r="JU16" s="120"/>
      <c r="JV16" s="205"/>
      <c r="JW16" s="205"/>
      <c r="JX16" s="205">
        <f t="shared" si="162"/>
        <v>0</v>
      </c>
      <c r="JY16" s="205">
        <f t="shared" si="163"/>
        <v>0</v>
      </c>
      <c r="JZ16" s="120"/>
      <c r="KA16" s="120"/>
      <c r="KB16" s="120"/>
      <c r="KC16" s="120"/>
      <c r="KD16" s="120"/>
      <c r="KE16" s="205"/>
      <c r="KF16" s="205"/>
      <c r="KG16" s="205">
        <f t="shared" si="164"/>
        <v>0</v>
      </c>
      <c r="KH16" s="120"/>
      <c r="KI16" s="120"/>
      <c r="KJ16" s="206">
        <v>300</v>
      </c>
      <c r="KK16" s="120"/>
      <c r="KL16" s="120"/>
      <c r="KM16" s="205"/>
      <c r="KN16" s="205"/>
      <c r="KO16" s="205">
        <f t="shared" si="165"/>
        <v>300</v>
      </c>
      <c r="KP16" s="120"/>
      <c r="KQ16" s="120"/>
      <c r="KR16" s="120"/>
      <c r="KS16" s="120"/>
      <c r="KT16" s="120"/>
      <c r="KU16" s="205"/>
      <c r="KV16" s="205"/>
      <c r="KW16" s="205">
        <f t="shared" si="166"/>
        <v>0</v>
      </c>
      <c r="KX16" s="120"/>
      <c r="KY16" s="120"/>
      <c r="KZ16" s="120"/>
      <c r="LA16" s="120"/>
      <c r="LB16" s="120"/>
      <c r="LC16" s="205"/>
      <c r="LD16" s="205"/>
      <c r="LE16" s="205">
        <f t="shared" si="167"/>
        <v>0</v>
      </c>
      <c r="LF16" s="205"/>
      <c r="LG16" s="120"/>
      <c r="LH16" s="120"/>
      <c r="LI16" s="120"/>
      <c r="LJ16" s="120"/>
      <c r="LK16" s="205"/>
      <c r="LL16" s="205"/>
      <c r="LM16" s="205">
        <f t="shared" si="168"/>
        <v>0</v>
      </c>
      <c r="LN16" s="205">
        <f t="shared" si="169"/>
        <v>300</v>
      </c>
      <c r="LO16" s="205"/>
      <c r="LP16" s="120"/>
      <c r="LQ16" s="120"/>
      <c r="LR16" s="120"/>
      <c r="LS16" s="205"/>
      <c r="LT16" s="205"/>
      <c r="LU16" s="205"/>
      <c r="LV16" s="205">
        <f t="shared" si="170"/>
        <v>0</v>
      </c>
      <c r="LW16" s="120"/>
      <c r="LX16" s="120"/>
      <c r="LY16" s="120"/>
      <c r="LZ16" s="120"/>
      <c r="MA16" s="120"/>
      <c r="MB16" s="205"/>
      <c r="MC16" s="205"/>
      <c r="MD16" s="205">
        <f t="shared" si="171"/>
        <v>0</v>
      </c>
      <c r="ME16" s="123">
        <v>1400</v>
      </c>
      <c r="MF16" s="120"/>
      <c r="MG16" s="120"/>
      <c r="MH16" s="120"/>
      <c r="MI16" s="205"/>
      <c r="MJ16" s="205"/>
      <c r="MK16" s="205"/>
      <c r="ML16" s="205">
        <f t="shared" si="172"/>
        <v>1400</v>
      </c>
      <c r="MM16" s="120"/>
      <c r="MN16" s="120"/>
      <c r="MO16" s="120"/>
      <c r="MP16" s="120"/>
      <c r="MQ16" s="120"/>
      <c r="MR16" s="205"/>
      <c r="MS16" s="205"/>
      <c r="MT16" s="205">
        <f t="shared" si="173"/>
        <v>0</v>
      </c>
      <c r="MU16" s="205">
        <f t="shared" si="174"/>
        <v>1400</v>
      </c>
      <c r="MV16" s="120"/>
      <c r="MW16" s="120"/>
      <c r="MX16" s="120"/>
      <c r="MY16" s="120"/>
      <c r="MZ16" s="120"/>
      <c r="NA16" s="205"/>
      <c r="NB16" s="205"/>
      <c r="NC16" s="205">
        <f t="shared" si="175"/>
        <v>0</v>
      </c>
      <c r="ND16" s="120"/>
      <c r="NE16" s="120"/>
      <c r="NF16" s="120"/>
      <c r="NG16" s="120"/>
      <c r="NH16" s="120"/>
      <c r="NI16" s="205"/>
      <c r="NJ16" s="205"/>
      <c r="NK16" s="205">
        <f t="shared" si="176"/>
        <v>0</v>
      </c>
      <c r="NL16" s="120"/>
      <c r="NM16" s="120"/>
      <c r="NN16" s="120"/>
      <c r="NO16" s="120"/>
      <c r="NP16" s="120"/>
      <c r="NQ16" s="205"/>
      <c r="NR16" s="205"/>
      <c r="NS16" s="205">
        <f t="shared" si="177"/>
        <v>0</v>
      </c>
      <c r="NT16" s="120"/>
      <c r="NU16" s="120"/>
      <c r="NV16" s="120"/>
      <c r="NW16" s="120"/>
      <c r="NX16" s="120"/>
      <c r="NY16" s="205"/>
      <c r="NZ16" s="205"/>
      <c r="OA16" s="205">
        <f t="shared" si="178"/>
        <v>0</v>
      </c>
      <c r="OB16" s="205">
        <f t="shared" si="179"/>
        <v>0</v>
      </c>
      <c r="OC16" s="120"/>
      <c r="OD16" s="120"/>
      <c r="OE16" s="120"/>
      <c r="OF16" s="120"/>
      <c r="OG16" s="120"/>
      <c r="OH16" s="205"/>
      <c r="OI16" s="205"/>
      <c r="OJ16" s="205">
        <f t="shared" si="180"/>
        <v>0</v>
      </c>
      <c r="OK16" s="120"/>
      <c r="OL16" s="120"/>
      <c r="OM16" s="120"/>
      <c r="ON16" s="120"/>
      <c r="OO16" s="120"/>
      <c r="OP16" s="205"/>
      <c r="OQ16" s="205"/>
      <c r="OR16" s="205">
        <f t="shared" si="181"/>
        <v>0</v>
      </c>
      <c r="OS16" s="120"/>
      <c r="OT16" s="120"/>
      <c r="OU16" s="120"/>
      <c r="OV16" s="120"/>
      <c r="OW16" s="120"/>
      <c r="OX16" s="205"/>
      <c r="OY16" s="205"/>
      <c r="OZ16" s="205">
        <f t="shared" si="182"/>
        <v>0</v>
      </c>
      <c r="PA16" s="120"/>
      <c r="PB16" s="120"/>
      <c r="PC16" s="120"/>
      <c r="PD16" s="205"/>
      <c r="PE16" s="217"/>
      <c r="PF16" s="205"/>
      <c r="PG16" s="205"/>
      <c r="PH16" s="205">
        <f t="shared" si="183"/>
        <v>0</v>
      </c>
      <c r="PI16" s="120"/>
      <c r="PJ16" s="120"/>
      <c r="PK16" s="120"/>
      <c r="PL16" s="205"/>
      <c r="PM16" s="217"/>
      <c r="PN16" s="205"/>
      <c r="PO16" s="205"/>
      <c r="PP16" s="205">
        <f t="shared" si="184"/>
        <v>0</v>
      </c>
      <c r="PQ16" s="205">
        <f t="shared" si="185"/>
        <v>0</v>
      </c>
      <c r="PR16" s="124">
        <v>400</v>
      </c>
      <c r="PS16" s="207"/>
      <c r="PT16" s="207"/>
      <c r="PU16" s="207"/>
      <c r="PV16" s="207"/>
      <c r="PW16" s="272"/>
      <c r="PX16" s="272"/>
      <c r="PY16" s="205">
        <f t="shared" si="186"/>
        <v>400</v>
      </c>
      <c r="PZ16" s="207"/>
      <c r="QA16" s="207"/>
      <c r="QB16" s="207"/>
      <c r="QC16" s="207"/>
      <c r="QD16" s="207"/>
      <c r="QE16" s="272"/>
      <c r="QF16" s="272"/>
      <c r="QG16" s="205">
        <f t="shared" si="187"/>
        <v>0</v>
      </c>
      <c r="QH16" s="217">
        <v>600</v>
      </c>
      <c r="QI16" s="207"/>
      <c r="QJ16" s="294"/>
      <c r="QK16" s="207"/>
      <c r="QL16" s="207"/>
      <c r="QM16" s="272"/>
      <c r="QN16" s="272"/>
      <c r="QO16" s="205">
        <f t="shared" si="188"/>
        <v>600</v>
      </c>
      <c r="QP16" s="207"/>
      <c r="QQ16" s="207"/>
      <c r="QR16" s="207"/>
      <c r="QS16" s="207"/>
      <c r="QT16" s="207"/>
      <c r="QU16" s="272"/>
      <c r="QV16" s="272"/>
      <c r="QW16" s="205">
        <f t="shared" si="189"/>
        <v>0</v>
      </c>
      <c r="QX16" s="205">
        <f t="shared" si="190"/>
        <v>1000</v>
      </c>
      <c r="QY16" s="207"/>
      <c r="QZ16" s="207"/>
      <c r="RA16" s="207"/>
      <c r="RB16" s="207"/>
      <c r="RC16" s="207"/>
      <c r="RD16" s="272"/>
      <c r="RE16" s="272"/>
      <c r="RF16" s="205">
        <f t="shared" si="191"/>
        <v>0</v>
      </c>
      <c r="RG16" s="207"/>
      <c r="RH16" s="207"/>
      <c r="RI16" s="207"/>
      <c r="RJ16" s="207"/>
      <c r="RK16" s="207"/>
      <c r="RL16" s="272"/>
      <c r="RM16" s="272"/>
      <c r="RN16" s="205">
        <f t="shared" si="192"/>
        <v>0</v>
      </c>
      <c r="RO16" s="272"/>
      <c r="RP16" s="272"/>
      <c r="RQ16" s="272"/>
      <c r="RR16" s="272"/>
      <c r="RS16" s="272"/>
      <c r="RT16" s="272"/>
      <c r="RU16" s="272"/>
      <c r="RV16" s="205">
        <f t="shared" si="193"/>
        <v>0</v>
      </c>
      <c r="RW16" s="207"/>
      <c r="RX16" s="207"/>
      <c r="RY16" s="207"/>
      <c r="RZ16" s="207"/>
      <c r="SA16" s="272"/>
      <c r="SB16" s="272"/>
      <c r="SC16" s="272"/>
      <c r="SD16" s="205">
        <f t="shared" si="194"/>
        <v>0</v>
      </c>
      <c r="SE16" s="205">
        <f t="shared" si="195"/>
        <v>0</v>
      </c>
      <c r="SF16" s="207"/>
      <c r="SG16" s="124">
        <v>1300</v>
      </c>
      <c r="SH16" s="207"/>
      <c r="SI16" s="207"/>
      <c r="SJ16" s="207"/>
      <c r="SK16" s="272"/>
      <c r="SL16" s="272"/>
      <c r="SM16" s="205">
        <f t="shared" si="196"/>
        <v>1300</v>
      </c>
      <c r="SN16" s="207"/>
      <c r="SO16" s="207"/>
      <c r="SP16" s="207"/>
      <c r="SQ16" s="207"/>
      <c r="SR16" s="207"/>
      <c r="SS16" s="272"/>
      <c r="ST16" s="272"/>
      <c r="SU16" s="205">
        <f t="shared" si="197"/>
        <v>0</v>
      </c>
      <c r="SV16" s="207"/>
      <c r="SW16" s="207"/>
      <c r="SX16" s="207"/>
      <c r="SY16" s="207"/>
      <c r="SZ16" s="207"/>
      <c r="TA16" s="272"/>
      <c r="TB16" s="272"/>
      <c r="TC16" s="205">
        <f t="shared" si="198"/>
        <v>0</v>
      </c>
      <c r="TD16" s="207"/>
      <c r="TE16" s="207"/>
      <c r="TF16" s="207"/>
      <c r="TG16" s="207"/>
      <c r="TH16" s="207"/>
      <c r="TI16" s="272"/>
      <c r="TJ16" s="272"/>
      <c r="TK16" s="205">
        <f t="shared" si="199"/>
        <v>0</v>
      </c>
      <c r="TL16" s="207"/>
      <c r="TM16" s="207"/>
      <c r="TN16" s="207"/>
      <c r="TO16" s="207"/>
      <c r="TP16" s="272"/>
      <c r="TQ16" s="272"/>
      <c r="TR16" s="272"/>
      <c r="TS16" s="205">
        <f t="shared" si="200"/>
        <v>0</v>
      </c>
      <c r="TT16" s="205">
        <f t="shared" si="201"/>
        <v>1300</v>
      </c>
      <c r="TU16" s="272"/>
      <c r="TV16" s="207"/>
      <c r="TW16" s="207"/>
      <c r="TX16" s="207"/>
      <c r="TY16" s="207"/>
      <c r="TZ16" s="272"/>
      <c r="UA16" s="272"/>
      <c r="UB16" s="205">
        <f t="shared" si="202"/>
        <v>0</v>
      </c>
      <c r="UC16" s="207"/>
      <c r="UD16" s="207"/>
      <c r="UE16" s="380">
        <v>700</v>
      </c>
      <c r="UF16" s="207"/>
      <c r="UG16" s="207"/>
      <c r="UH16" s="272"/>
      <c r="UI16" s="272"/>
      <c r="UJ16" s="205">
        <f t="shared" si="203"/>
        <v>700</v>
      </c>
      <c r="UK16" s="207"/>
      <c r="UL16" s="207"/>
      <c r="UM16" s="207"/>
      <c r="UN16" s="207"/>
      <c r="UO16" s="207"/>
      <c r="UP16" s="272"/>
      <c r="UQ16" s="272"/>
      <c r="UR16" s="205">
        <f t="shared" si="226"/>
        <v>0</v>
      </c>
      <c r="US16" s="207"/>
      <c r="UT16" s="207"/>
      <c r="UU16" s="207"/>
      <c r="UV16" s="207"/>
      <c r="UW16" s="272"/>
      <c r="UX16" s="272"/>
      <c r="UY16" s="272"/>
      <c r="UZ16" s="205">
        <f t="shared" si="204"/>
        <v>0</v>
      </c>
      <c r="VA16" s="205">
        <f t="shared" si="205"/>
        <v>700</v>
      </c>
      <c r="VB16" s="207"/>
      <c r="VC16" s="207"/>
      <c r="VD16" s="207"/>
      <c r="VE16" s="207"/>
      <c r="VF16" s="207"/>
      <c r="VG16" s="272"/>
      <c r="VH16" s="272"/>
      <c r="VI16" s="205">
        <f t="shared" si="206"/>
        <v>0</v>
      </c>
      <c r="VJ16" s="207"/>
      <c r="VK16" s="207"/>
      <c r="VL16" s="207"/>
      <c r="VM16" s="207"/>
      <c r="VN16" s="207"/>
      <c r="VO16" s="272"/>
      <c r="VP16" s="272"/>
      <c r="VQ16" s="205">
        <f t="shared" si="207"/>
        <v>0</v>
      </c>
      <c r="VR16" s="207"/>
      <c r="VS16" s="207"/>
      <c r="VT16" s="207"/>
      <c r="VU16" s="207"/>
      <c r="VV16" s="207"/>
      <c r="VW16" s="272"/>
      <c r="VX16" s="272"/>
      <c r="VY16" s="205">
        <f t="shared" si="208"/>
        <v>0</v>
      </c>
      <c r="VZ16" s="207"/>
      <c r="WA16" s="207"/>
      <c r="WB16" s="207"/>
      <c r="WC16" s="207"/>
      <c r="WD16" s="207"/>
      <c r="WE16" s="272"/>
      <c r="WF16" s="272"/>
      <c r="WG16" s="205">
        <f t="shared" si="209"/>
        <v>0</v>
      </c>
      <c r="WH16" s="205">
        <f t="shared" si="210"/>
        <v>0</v>
      </c>
      <c r="WI16" s="207"/>
      <c r="WJ16" s="207"/>
      <c r="WK16" s="207"/>
      <c r="WL16" s="207"/>
      <c r="WM16" s="207"/>
      <c r="WN16" s="272"/>
      <c r="WO16" s="272"/>
      <c r="WP16" s="205">
        <f t="shared" si="211"/>
        <v>0</v>
      </c>
      <c r="WQ16" s="207"/>
      <c r="WR16" s="207"/>
      <c r="WS16" s="207"/>
      <c r="WT16" s="207"/>
      <c r="WU16" s="207"/>
      <c r="WV16" s="272"/>
      <c r="WW16" s="272"/>
      <c r="WX16" s="205">
        <f t="shared" si="212"/>
        <v>0</v>
      </c>
      <c r="WY16" s="207"/>
      <c r="WZ16" s="207"/>
      <c r="XA16" s="207"/>
      <c r="XB16" s="207"/>
      <c r="XC16" s="272"/>
      <c r="XD16" s="272"/>
      <c r="XE16" s="272"/>
      <c r="XF16" s="205">
        <f t="shared" si="213"/>
        <v>0</v>
      </c>
      <c r="XG16" s="207"/>
      <c r="XH16" s="207"/>
      <c r="XI16" s="207"/>
      <c r="XJ16" s="207"/>
      <c r="XK16" s="207"/>
      <c r="XL16" s="272"/>
      <c r="XM16" s="272"/>
      <c r="XN16" s="205">
        <f t="shared" si="214"/>
        <v>0</v>
      </c>
      <c r="XO16" s="207"/>
      <c r="XP16" s="207"/>
      <c r="XQ16" s="207"/>
      <c r="XR16" s="207"/>
      <c r="XS16" s="207"/>
      <c r="XT16" s="272"/>
      <c r="XU16" s="272"/>
      <c r="XV16" s="205">
        <f t="shared" si="215"/>
        <v>0</v>
      </c>
      <c r="XW16" s="205">
        <f t="shared" si="216"/>
        <v>0</v>
      </c>
      <c r="XX16" s="207"/>
      <c r="XY16" s="207"/>
      <c r="XZ16" s="207"/>
      <c r="YA16" s="207"/>
      <c r="YB16" s="207"/>
      <c r="YC16" s="272"/>
      <c r="YD16" s="272"/>
      <c r="YE16" s="205">
        <f t="shared" si="217"/>
        <v>0</v>
      </c>
      <c r="YF16" s="207"/>
      <c r="YG16" s="207"/>
      <c r="YH16" s="207"/>
      <c r="YI16" s="207"/>
      <c r="YJ16" s="207"/>
      <c r="YK16" s="272"/>
      <c r="YL16" s="272"/>
      <c r="YM16" s="205">
        <f t="shared" si="218"/>
        <v>0</v>
      </c>
      <c r="YN16" s="207"/>
      <c r="YO16" s="207"/>
      <c r="YP16" s="207"/>
      <c r="YQ16" s="207"/>
      <c r="YR16" s="207"/>
      <c r="YS16" s="272"/>
      <c r="YT16" s="272"/>
      <c r="YU16" s="205">
        <f t="shared" si="148"/>
        <v>0</v>
      </c>
      <c r="YV16" s="207"/>
      <c r="YW16" s="207"/>
      <c r="YX16" s="207"/>
      <c r="YY16" s="207"/>
      <c r="YZ16" s="207"/>
      <c r="ZA16" s="272"/>
      <c r="ZB16" s="272"/>
      <c r="ZC16" s="205">
        <f t="shared" si="219"/>
        <v>0</v>
      </c>
      <c r="ZD16" s="205">
        <f t="shared" si="149"/>
        <v>0</v>
      </c>
      <c r="ZE16" s="207"/>
      <c r="ZF16" s="207"/>
      <c r="ZG16" s="207"/>
      <c r="ZH16" s="207"/>
      <c r="ZI16" s="207"/>
      <c r="ZJ16" s="272"/>
      <c r="ZK16" s="272"/>
      <c r="ZL16" s="205">
        <f t="shared" si="220"/>
        <v>0</v>
      </c>
      <c r="ZM16" s="207"/>
      <c r="ZN16" s="207"/>
      <c r="ZO16" s="207"/>
      <c r="ZP16" s="207"/>
      <c r="ZQ16" s="207"/>
      <c r="ZR16" s="272"/>
      <c r="ZS16" s="272"/>
      <c r="ZT16" s="205">
        <f t="shared" si="221"/>
        <v>0</v>
      </c>
      <c r="ZU16" s="207"/>
      <c r="ZV16" s="207"/>
      <c r="ZW16" s="207"/>
      <c r="ZX16" s="207"/>
      <c r="ZY16" s="207"/>
      <c r="ZZ16" s="272"/>
      <c r="AAA16" s="272"/>
      <c r="AAB16" s="205">
        <f t="shared" si="222"/>
        <v>0</v>
      </c>
      <c r="AAC16" s="207"/>
      <c r="AAD16" s="207"/>
      <c r="AAE16" s="207"/>
      <c r="AAF16" s="207"/>
      <c r="AAG16" s="207"/>
      <c r="AAH16" s="272"/>
      <c r="AAI16" s="272"/>
      <c r="AAJ16" s="205">
        <f t="shared" si="223"/>
        <v>0</v>
      </c>
      <c r="AAK16" s="207"/>
      <c r="AAL16" s="207"/>
      <c r="AAM16" s="207"/>
      <c r="AAN16" s="207"/>
      <c r="AAO16" s="207"/>
      <c r="AAP16" s="272"/>
      <c r="AAQ16" s="272"/>
      <c r="AAR16" s="205">
        <f t="shared" si="224"/>
        <v>0</v>
      </c>
      <c r="AAS16" s="205">
        <f t="shared" si="225"/>
        <v>0</v>
      </c>
    </row>
    <row r="17" spans="1:721" ht="63.95" customHeight="1">
      <c r="B17" s="155">
        <v>3620101601</v>
      </c>
      <c r="C17" s="323"/>
      <c r="D17" s="203" t="s">
        <v>9</v>
      </c>
      <c r="E17" s="130" t="s">
        <v>4</v>
      </c>
      <c r="F17" s="120"/>
      <c r="G17" s="120"/>
      <c r="H17" s="120"/>
      <c r="I17" s="120"/>
      <c r="J17" s="120"/>
      <c r="K17" s="209"/>
      <c r="L17" s="205"/>
      <c r="M17" s="205">
        <f t="shared" si="121"/>
        <v>0</v>
      </c>
      <c r="N17" s="120"/>
      <c r="O17" s="120"/>
      <c r="P17" s="120"/>
      <c r="Q17" s="120"/>
      <c r="R17" s="120"/>
      <c r="S17" s="209"/>
      <c r="T17" s="205"/>
      <c r="U17" s="205">
        <f t="shared" si="122"/>
        <v>0</v>
      </c>
      <c r="V17" s="120"/>
      <c r="W17" s="120"/>
      <c r="X17" s="120"/>
      <c r="Y17" s="120"/>
      <c r="Z17" s="120"/>
      <c r="AA17" s="209"/>
      <c r="AB17" s="205"/>
      <c r="AC17" s="205">
        <f t="shared" si="123"/>
        <v>0</v>
      </c>
      <c r="AD17" s="205"/>
      <c r="AE17" s="205"/>
      <c r="AF17" s="205"/>
      <c r="AG17" s="205"/>
      <c r="AH17" s="205"/>
      <c r="AI17" s="209"/>
      <c r="AJ17" s="205"/>
      <c r="AK17" s="205">
        <f t="shared" si="124"/>
        <v>0</v>
      </c>
      <c r="AL17" s="205" t="e">
        <f>SUM(#REF!,M17,U17,AC17,AD17:AH17)</f>
        <v>#REF!</v>
      </c>
      <c r="AM17" s="120"/>
      <c r="AN17" s="120"/>
      <c r="AO17" s="120"/>
      <c r="AP17" s="120"/>
      <c r="AQ17" s="120"/>
      <c r="AR17" s="209"/>
      <c r="AS17" s="205"/>
      <c r="AT17" s="205">
        <f t="shared" si="125"/>
        <v>0</v>
      </c>
      <c r="AU17" s="120"/>
      <c r="AV17" s="120"/>
      <c r="AW17" s="120"/>
      <c r="AX17" s="120"/>
      <c r="AY17" s="120"/>
      <c r="AZ17" s="209"/>
      <c r="BA17" s="205"/>
      <c r="BB17" s="205">
        <f t="shared" si="126"/>
        <v>0</v>
      </c>
      <c r="BC17" s="120"/>
      <c r="BD17" s="120"/>
      <c r="BE17" s="217">
        <v>840</v>
      </c>
      <c r="BF17" s="120"/>
      <c r="BG17" s="120"/>
      <c r="BH17" s="209"/>
      <c r="BI17" s="205"/>
      <c r="BJ17" s="205">
        <f t="shared" si="127"/>
        <v>840</v>
      </c>
      <c r="BK17" s="120"/>
      <c r="BL17" s="120"/>
      <c r="BM17" s="120"/>
      <c r="BN17" s="120"/>
      <c r="BO17" s="205"/>
      <c r="BP17" s="209"/>
      <c r="BQ17" s="205"/>
      <c r="BR17" s="205">
        <f t="shared" si="128"/>
        <v>0</v>
      </c>
      <c r="BS17" s="205">
        <f t="shared" si="129"/>
        <v>840</v>
      </c>
      <c r="BT17" s="120"/>
      <c r="BU17" s="120"/>
      <c r="BV17" s="120"/>
      <c r="BW17" s="120"/>
      <c r="BX17" s="120"/>
      <c r="BY17" s="209"/>
      <c r="BZ17" s="205"/>
      <c r="CA17" s="205">
        <f t="shared" si="130"/>
        <v>0</v>
      </c>
      <c r="CB17" s="120"/>
      <c r="CC17" s="120"/>
      <c r="CD17" s="120"/>
      <c r="CE17" s="120"/>
      <c r="CF17" s="120"/>
      <c r="CG17" s="209"/>
      <c r="CH17" s="205"/>
      <c r="CI17" s="205">
        <f t="shared" si="131"/>
        <v>0</v>
      </c>
      <c r="CJ17" s="120"/>
      <c r="CK17" s="120"/>
      <c r="CL17" s="120"/>
      <c r="CM17" s="120"/>
      <c r="CN17" s="120"/>
      <c r="CO17" s="209"/>
      <c r="CP17" s="205"/>
      <c r="CQ17" s="205">
        <f t="shared" si="132"/>
        <v>0</v>
      </c>
      <c r="CR17" s="120"/>
      <c r="CS17" s="120"/>
      <c r="CT17" s="120"/>
      <c r="CU17" s="120"/>
      <c r="CV17" s="120"/>
      <c r="CW17" s="209"/>
      <c r="CX17" s="205"/>
      <c r="CY17" s="205">
        <f t="shared" si="133"/>
        <v>0</v>
      </c>
      <c r="CZ17" s="217">
        <v>450</v>
      </c>
      <c r="DA17" s="120"/>
      <c r="DB17" s="120"/>
      <c r="DC17" s="205"/>
      <c r="DD17" s="205"/>
      <c r="DE17" s="209"/>
      <c r="DF17" s="205"/>
      <c r="DG17" s="205">
        <f t="shared" si="134"/>
        <v>450</v>
      </c>
      <c r="DH17" s="205">
        <f t="shared" si="150"/>
        <v>450</v>
      </c>
      <c r="DI17" s="120"/>
      <c r="DJ17" s="120"/>
      <c r="DK17" s="120"/>
      <c r="DL17" s="120"/>
      <c r="DM17" s="120"/>
      <c r="DN17" s="209"/>
      <c r="DO17" s="205"/>
      <c r="DP17" s="205">
        <f t="shared" si="135"/>
        <v>0</v>
      </c>
      <c r="DQ17" s="217">
        <v>730</v>
      </c>
      <c r="DR17" s="120"/>
      <c r="DS17" s="120"/>
      <c r="DT17" s="120"/>
      <c r="DU17" s="120"/>
      <c r="DV17" s="209"/>
      <c r="DW17" s="205"/>
      <c r="DX17" s="205">
        <f t="shared" si="136"/>
        <v>730</v>
      </c>
      <c r="DY17" s="120"/>
      <c r="DZ17" s="120"/>
      <c r="EA17" s="120"/>
      <c r="EB17" s="120"/>
      <c r="EC17" s="120"/>
      <c r="ED17" s="209"/>
      <c r="EE17" s="205"/>
      <c r="EF17" s="205">
        <f t="shared" si="137"/>
        <v>0</v>
      </c>
      <c r="EG17" s="120"/>
      <c r="EH17" s="120"/>
      <c r="EI17" s="120"/>
      <c r="EJ17" s="205"/>
      <c r="EK17" s="205"/>
      <c r="EL17" s="209"/>
      <c r="EM17" s="205"/>
      <c r="EN17" s="205">
        <f t="shared" si="138"/>
        <v>0</v>
      </c>
      <c r="EO17" s="205">
        <f t="shared" si="151"/>
        <v>730</v>
      </c>
      <c r="EP17" s="120"/>
      <c r="EQ17" s="120"/>
      <c r="ER17" s="120"/>
      <c r="ES17" s="120"/>
      <c r="ET17" s="120"/>
      <c r="EU17" s="209"/>
      <c r="EV17" s="205"/>
      <c r="EW17" s="205">
        <f t="shared" si="139"/>
        <v>0</v>
      </c>
      <c r="EX17" s="120"/>
      <c r="EY17" s="120"/>
      <c r="EZ17" s="120"/>
      <c r="FA17" s="120"/>
      <c r="FB17" s="120"/>
      <c r="FC17" s="209"/>
      <c r="FD17" s="205"/>
      <c r="FE17" s="205">
        <f t="shared" si="140"/>
        <v>0</v>
      </c>
      <c r="FF17" s="195">
        <v>700</v>
      </c>
      <c r="FG17" s="120"/>
      <c r="FH17" s="120"/>
      <c r="FI17" s="120"/>
      <c r="FJ17" s="120"/>
      <c r="FK17" s="209"/>
      <c r="FL17" s="205"/>
      <c r="FM17" s="205">
        <f t="shared" si="141"/>
        <v>700</v>
      </c>
      <c r="FN17" s="120"/>
      <c r="FO17" s="120"/>
      <c r="FP17" s="120"/>
      <c r="FQ17" s="120"/>
      <c r="FR17" s="205"/>
      <c r="FS17" s="209"/>
      <c r="FT17" s="205"/>
      <c r="FU17" s="205">
        <f t="shared" si="142"/>
        <v>0</v>
      </c>
      <c r="FV17" s="205">
        <f t="shared" si="152"/>
        <v>700</v>
      </c>
      <c r="FW17" s="120"/>
      <c r="FX17" s="120"/>
      <c r="FY17" s="120"/>
      <c r="FZ17" s="120"/>
      <c r="GA17" s="120"/>
      <c r="GB17" s="209"/>
      <c r="GC17" s="205"/>
      <c r="GD17" s="205">
        <f t="shared" si="143"/>
        <v>0</v>
      </c>
      <c r="GE17" s="120"/>
      <c r="GF17" s="120"/>
      <c r="GG17" s="120"/>
      <c r="GH17" s="120"/>
      <c r="GI17" s="120"/>
      <c r="GJ17" s="209"/>
      <c r="GK17" s="205"/>
      <c r="GL17" s="205">
        <f t="shared" si="144"/>
        <v>0</v>
      </c>
      <c r="GM17" s="120"/>
      <c r="GN17" s="120"/>
      <c r="GO17" s="120"/>
      <c r="GP17" s="120"/>
      <c r="GQ17" s="120"/>
      <c r="GR17" s="209"/>
      <c r="GS17" s="205"/>
      <c r="GT17" s="205">
        <f t="shared" si="145"/>
        <v>0</v>
      </c>
      <c r="GU17" s="120"/>
      <c r="GV17" s="120"/>
      <c r="GW17" s="120"/>
      <c r="GX17" s="120"/>
      <c r="GY17" s="120"/>
      <c r="GZ17" s="209"/>
      <c r="HA17" s="205"/>
      <c r="HB17" s="205">
        <f t="shared" si="146"/>
        <v>0</v>
      </c>
      <c r="HC17" s="120"/>
      <c r="HD17" s="120"/>
      <c r="HE17" s="120"/>
      <c r="HF17" s="120"/>
      <c r="HG17" s="120"/>
      <c r="HH17" s="209"/>
      <c r="HI17" s="205"/>
      <c r="HJ17" s="205">
        <f t="shared" si="147"/>
        <v>0</v>
      </c>
      <c r="HK17" s="205">
        <f t="shared" si="153"/>
        <v>0</v>
      </c>
      <c r="HL17" s="124"/>
      <c r="HM17" s="120"/>
      <c r="HN17" s="123">
        <v>910</v>
      </c>
      <c r="HO17" s="120"/>
      <c r="HP17" s="120" t="s">
        <v>216</v>
      </c>
      <c r="HQ17" s="205"/>
      <c r="HR17" s="205"/>
      <c r="HS17" s="205">
        <f t="shared" si="154"/>
        <v>910</v>
      </c>
      <c r="HT17" s="120"/>
      <c r="HU17" s="120"/>
      <c r="HV17" s="120"/>
      <c r="HW17" s="120"/>
      <c r="HX17" s="120"/>
      <c r="HY17" s="205"/>
      <c r="HZ17" s="205"/>
      <c r="IA17" s="205">
        <f t="shared" si="155"/>
        <v>0</v>
      </c>
      <c r="IB17" s="120"/>
      <c r="IC17" s="120"/>
      <c r="ID17" s="120"/>
      <c r="IE17" s="120"/>
      <c r="IF17" s="120"/>
      <c r="IG17" s="205"/>
      <c r="IH17" s="205"/>
      <c r="II17" s="205">
        <f t="shared" si="156"/>
        <v>0</v>
      </c>
      <c r="IJ17" s="120"/>
      <c r="IK17" s="120"/>
      <c r="IL17" s="201">
        <v>650</v>
      </c>
      <c r="IM17" s="120"/>
      <c r="IN17" s="120"/>
      <c r="IO17" s="205"/>
      <c r="IP17" s="205"/>
      <c r="IQ17" s="205">
        <f t="shared" si="157"/>
        <v>650</v>
      </c>
      <c r="IR17" s="205">
        <f t="shared" si="158"/>
        <v>1560</v>
      </c>
      <c r="IS17" s="120"/>
      <c r="IT17" s="120"/>
      <c r="IU17" s="120"/>
      <c r="IV17" s="120"/>
      <c r="IW17" s="120"/>
      <c r="IX17" s="205"/>
      <c r="IY17" s="205"/>
      <c r="IZ17" s="205">
        <f t="shared" si="159"/>
        <v>0</v>
      </c>
      <c r="JA17" s="120"/>
      <c r="JB17" s="120"/>
      <c r="JC17" s="120"/>
      <c r="JD17" s="120"/>
      <c r="JE17" s="120"/>
      <c r="JF17" s="205"/>
      <c r="JG17" s="205"/>
      <c r="JH17" s="205">
        <f t="shared" si="160"/>
        <v>0</v>
      </c>
      <c r="JI17" s="120"/>
      <c r="JJ17" s="120"/>
      <c r="JK17" s="120"/>
      <c r="JL17" s="120"/>
      <c r="JM17" s="120"/>
      <c r="JN17" s="205"/>
      <c r="JO17" s="205"/>
      <c r="JP17" s="205">
        <f t="shared" si="161"/>
        <v>0</v>
      </c>
      <c r="JQ17" s="120"/>
      <c r="JR17" s="120"/>
      <c r="JS17" s="120"/>
      <c r="JT17" s="120"/>
      <c r="JU17" s="120"/>
      <c r="JV17" s="205"/>
      <c r="JW17" s="205"/>
      <c r="JX17" s="205">
        <f t="shared" si="162"/>
        <v>0</v>
      </c>
      <c r="JY17" s="205">
        <f t="shared" si="163"/>
        <v>0</v>
      </c>
      <c r="JZ17" s="120"/>
      <c r="KA17" s="120"/>
      <c r="KB17" s="120"/>
      <c r="KC17" s="120"/>
      <c r="KD17" s="120"/>
      <c r="KE17" s="205"/>
      <c r="KF17" s="205"/>
      <c r="KG17" s="205">
        <f t="shared" si="164"/>
        <v>0</v>
      </c>
      <c r="KH17" s="120"/>
      <c r="KI17" s="201">
        <v>4900</v>
      </c>
      <c r="KJ17" s="120"/>
      <c r="KK17" s="120"/>
      <c r="KL17" s="120"/>
      <c r="KM17" s="205"/>
      <c r="KN17" s="205"/>
      <c r="KO17" s="205">
        <f t="shared" si="165"/>
        <v>4900</v>
      </c>
      <c r="KP17" s="120"/>
      <c r="KQ17" s="120"/>
      <c r="KR17" s="120"/>
      <c r="KS17" s="120"/>
      <c r="KT17" s="120"/>
      <c r="KU17" s="205"/>
      <c r="KV17" s="205"/>
      <c r="KW17" s="205">
        <f t="shared" si="166"/>
        <v>0</v>
      </c>
      <c r="KX17" s="120"/>
      <c r="KY17" s="120"/>
      <c r="KZ17" s="120"/>
      <c r="LA17" s="120"/>
      <c r="LB17" s="120"/>
      <c r="LC17" s="205"/>
      <c r="LD17" s="205"/>
      <c r="LE17" s="205">
        <f t="shared" si="167"/>
        <v>0</v>
      </c>
      <c r="LF17" s="205"/>
      <c r="LG17" s="120"/>
      <c r="LH17" s="120"/>
      <c r="LI17" s="120"/>
      <c r="LJ17" s="120"/>
      <c r="LK17" s="205"/>
      <c r="LL17" s="205"/>
      <c r="LM17" s="205">
        <f t="shared" si="168"/>
        <v>0</v>
      </c>
      <c r="LN17" s="205">
        <f t="shared" si="169"/>
        <v>4900</v>
      </c>
      <c r="LO17" s="205"/>
      <c r="LP17" s="120"/>
      <c r="LQ17" s="120"/>
      <c r="LR17" s="120"/>
      <c r="LS17" s="205"/>
      <c r="LT17" s="205"/>
      <c r="LU17" s="205"/>
      <c r="LV17" s="205">
        <f t="shared" si="170"/>
        <v>0</v>
      </c>
      <c r="LW17" s="120"/>
      <c r="LX17" s="120"/>
      <c r="LY17" s="120"/>
      <c r="LZ17" s="120"/>
      <c r="MA17" s="120"/>
      <c r="MB17" s="205"/>
      <c r="MC17" s="205"/>
      <c r="MD17" s="205">
        <f t="shared" si="171"/>
        <v>0</v>
      </c>
      <c r="ME17" s="120"/>
      <c r="MF17" s="201">
        <v>400</v>
      </c>
      <c r="MG17" s="120"/>
      <c r="MH17" s="120"/>
      <c r="MI17" s="205"/>
      <c r="MJ17" s="205"/>
      <c r="MK17" s="205"/>
      <c r="ML17" s="205">
        <f t="shared" si="172"/>
        <v>400</v>
      </c>
      <c r="MM17" s="120"/>
      <c r="MN17" s="120"/>
      <c r="MO17" s="120"/>
      <c r="MP17" s="120"/>
      <c r="MQ17" s="120"/>
      <c r="MR17" s="205"/>
      <c r="MS17" s="205"/>
      <c r="MT17" s="205">
        <f t="shared" si="173"/>
        <v>0</v>
      </c>
      <c r="MU17" s="205">
        <f t="shared" si="174"/>
        <v>400</v>
      </c>
      <c r="MV17" s="120"/>
      <c r="MW17" s="120"/>
      <c r="MX17" s="120"/>
      <c r="MY17" s="123">
        <v>1200</v>
      </c>
      <c r="MZ17" s="120"/>
      <c r="NA17" s="205"/>
      <c r="NB17" s="205"/>
      <c r="NC17" s="205">
        <f t="shared" si="175"/>
        <v>1200</v>
      </c>
      <c r="ND17" s="120"/>
      <c r="NE17" s="120"/>
      <c r="NF17" s="120"/>
      <c r="NG17" s="120"/>
      <c r="NH17" s="120"/>
      <c r="NI17" s="205"/>
      <c r="NJ17" s="205"/>
      <c r="NK17" s="205">
        <f t="shared" si="176"/>
        <v>0</v>
      </c>
      <c r="NL17" s="124">
        <v>600</v>
      </c>
      <c r="NM17" s="120"/>
      <c r="NN17" s="120"/>
      <c r="NO17" s="120"/>
      <c r="NP17" s="120"/>
      <c r="NQ17" s="205"/>
      <c r="NR17" s="205"/>
      <c r="NS17" s="205">
        <f t="shared" si="177"/>
        <v>600</v>
      </c>
      <c r="NT17" s="120"/>
      <c r="NU17" s="120"/>
      <c r="NV17" s="120"/>
      <c r="NW17" s="120"/>
      <c r="NX17" s="120"/>
      <c r="NY17" s="205"/>
      <c r="NZ17" s="205"/>
      <c r="OA17" s="205">
        <f t="shared" si="178"/>
        <v>0</v>
      </c>
      <c r="OB17" s="205">
        <f t="shared" si="179"/>
        <v>1800</v>
      </c>
      <c r="OC17" s="120"/>
      <c r="OD17" s="120"/>
      <c r="OE17" s="120"/>
      <c r="OF17" s="120"/>
      <c r="OG17" s="120"/>
      <c r="OH17" s="205"/>
      <c r="OI17" s="205"/>
      <c r="OJ17" s="205">
        <f t="shared" si="180"/>
        <v>0</v>
      </c>
      <c r="OK17" s="120"/>
      <c r="OL17" s="120"/>
      <c r="OM17" s="120"/>
      <c r="ON17" s="120"/>
      <c r="OO17" s="120"/>
      <c r="OP17" s="205"/>
      <c r="OQ17" s="205"/>
      <c r="OR17" s="205">
        <f t="shared" si="181"/>
        <v>0</v>
      </c>
      <c r="OS17" s="120"/>
      <c r="OT17" s="120"/>
      <c r="OU17" s="120"/>
      <c r="OV17" s="120"/>
      <c r="OW17" s="120"/>
      <c r="OX17" s="205"/>
      <c r="OY17" s="205"/>
      <c r="OZ17" s="205">
        <f t="shared" si="182"/>
        <v>0</v>
      </c>
      <c r="PA17" s="120"/>
      <c r="PB17" s="120"/>
      <c r="PC17" s="120"/>
      <c r="PD17" s="205"/>
      <c r="PE17" s="217"/>
      <c r="PF17" s="205"/>
      <c r="PG17" s="205"/>
      <c r="PH17" s="205">
        <f t="shared" si="183"/>
        <v>0</v>
      </c>
      <c r="PI17" s="120"/>
      <c r="PJ17" s="120"/>
      <c r="PK17" s="120"/>
      <c r="PL17" s="205"/>
      <c r="PM17" s="217"/>
      <c r="PN17" s="205"/>
      <c r="PO17" s="205"/>
      <c r="PP17" s="205">
        <f t="shared" si="184"/>
        <v>0</v>
      </c>
      <c r="PQ17" s="205">
        <f t="shared" si="185"/>
        <v>0</v>
      </c>
      <c r="PR17" s="124">
        <v>350</v>
      </c>
      <c r="PS17" s="207"/>
      <c r="PT17" s="207"/>
      <c r="PU17" s="207"/>
      <c r="PV17" s="207"/>
      <c r="PW17" s="272"/>
      <c r="PX17" s="272"/>
      <c r="PY17" s="205">
        <f t="shared" si="186"/>
        <v>350</v>
      </c>
      <c r="PZ17" s="207"/>
      <c r="QA17" s="207"/>
      <c r="QB17" s="207"/>
      <c r="QC17" s="207"/>
      <c r="QD17" s="207"/>
      <c r="QE17" s="272"/>
      <c r="QF17" s="272"/>
      <c r="QG17" s="205">
        <f t="shared" si="187"/>
        <v>0</v>
      </c>
      <c r="QH17" s="207"/>
      <c r="QI17" s="207"/>
      <c r="QJ17" s="294"/>
      <c r="QK17" s="207"/>
      <c r="QL17" s="207"/>
      <c r="QM17" s="272"/>
      <c r="QN17" s="272"/>
      <c r="QO17" s="205">
        <f t="shared" si="188"/>
        <v>0</v>
      </c>
      <c r="QP17" s="124">
        <v>1150</v>
      </c>
      <c r="QQ17" s="207"/>
      <c r="QR17" s="207"/>
      <c r="QS17" s="207"/>
      <c r="QT17" s="207"/>
      <c r="QU17" s="272"/>
      <c r="QV17" s="272"/>
      <c r="QW17" s="205">
        <f t="shared" si="189"/>
        <v>1150</v>
      </c>
      <c r="QX17" s="205">
        <f t="shared" si="190"/>
        <v>1500</v>
      </c>
      <c r="QY17" s="207"/>
      <c r="QZ17" s="207"/>
      <c r="RA17" s="207"/>
      <c r="RB17" s="207"/>
      <c r="RC17" s="207"/>
      <c r="RD17" s="272"/>
      <c r="RE17" s="272"/>
      <c r="RF17" s="205">
        <f t="shared" si="191"/>
        <v>0</v>
      </c>
      <c r="RG17" s="207"/>
      <c r="RH17" s="207"/>
      <c r="RI17" s="207"/>
      <c r="RJ17" s="207"/>
      <c r="RK17" s="207"/>
      <c r="RL17" s="272"/>
      <c r="RM17" s="272"/>
      <c r="RN17" s="205">
        <f t="shared" si="192"/>
        <v>0</v>
      </c>
      <c r="RO17" s="272"/>
      <c r="RP17" s="272"/>
      <c r="RQ17" s="272"/>
      <c r="RR17" s="272"/>
      <c r="RS17" s="272"/>
      <c r="RT17" s="272"/>
      <c r="RU17" s="272"/>
      <c r="RV17" s="205">
        <f t="shared" si="193"/>
        <v>0</v>
      </c>
      <c r="RW17" s="195">
        <v>1900</v>
      </c>
      <c r="RX17" s="207"/>
      <c r="RY17" s="207"/>
      <c r="RZ17" s="207"/>
      <c r="SA17" s="272"/>
      <c r="SB17" s="272"/>
      <c r="SC17" s="272"/>
      <c r="SD17" s="205">
        <f t="shared" si="194"/>
        <v>1900</v>
      </c>
      <c r="SE17" s="205">
        <f t="shared" si="195"/>
        <v>1900</v>
      </c>
      <c r="SF17" s="120"/>
      <c r="SG17" s="207"/>
      <c r="SH17" s="207"/>
      <c r="SI17" s="207"/>
      <c r="SJ17" s="207"/>
      <c r="SK17" s="272"/>
      <c r="SL17" s="272"/>
      <c r="SM17" s="205">
        <f t="shared" si="196"/>
        <v>0</v>
      </c>
      <c r="SN17" s="207"/>
      <c r="SO17" s="207"/>
      <c r="SP17" s="207"/>
      <c r="SQ17" s="207"/>
      <c r="SR17" s="207"/>
      <c r="SS17" s="272"/>
      <c r="ST17" s="272"/>
      <c r="SU17" s="205">
        <f t="shared" si="197"/>
        <v>0</v>
      </c>
      <c r="SV17" s="207"/>
      <c r="SW17" s="207"/>
      <c r="SX17" s="207"/>
      <c r="SY17" s="207"/>
      <c r="SZ17" s="207"/>
      <c r="TA17" s="272"/>
      <c r="TB17" s="272"/>
      <c r="TC17" s="205">
        <f t="shared" si="198"/>
        <v>0</v>
      </c>
      <c r="TD17" s="207"/>
      <c r="TE17" s="207"/>
      <c r="TF17" s="207"/>
      <c r="TG17" s="207"/>
      <c r="TH17" s="207"/>
      <c r="TI17" s="272"/>
      <c r="TJ17" s="272"/>
      <c r="TK17" s="205">
        <f t="shared" si="199"/>
        <v>0</v>
      </c>
      <c r="TL17" s="207"/>
      <c r="TM17" s="201">
        <v>500</v>
      </c>
      <c r="TN17" s="207"/>
      <c r="TO17" s="207"/>
      <c r="TP17" s="272"/>
      <c r="TQ17" s="272"/>
      <c r="TR17" s="272"/>
      <c r="TS17" s="205">
        <f t="shared" si="200"/>
        <v>500</v>
      </c>
      <c r="TT17" s="205">
        <f t="shared" si="201"/>
        <v>500</v>
      </c>
      <c r="TU17" s="272"/>
      <c r="TV17" s="207"/>
      <c r="TW17" s="207"/>
      <c r="TX17" s="207"/>
      <c r="TY17" s="207"/>
      <c r="TZ17" s="272"/>
      <c r="UA17" s="272"/>
      <c r="UB17" s="205">
        <f t="shared" si="202"/>
        <v>0</v>
      </c>
      <c r="UC17" s="207"/>
      <c r="UD17" s="207"/>
      <c r="UE17" s="380">
        <v>1050</v>
      </c>
      <c r="UF17" s="207"/>
      <c r="UG17" s="207"/>
      <c r="UH17" s="272"/>
      <c r="UI17" s="272"/>
      <c r="UJ17" s="205">
        <f t="shared" si="203"/>
        <v>1050</v>
      </c>
      <c r="UK17" s="207"/>
      <c r="UL17" s="207"/>
      <c r="UM17" s="207"/>
      <c r="UN17" s="207"/>
      <c r="UO17" s="207"/>
      <c r="UP17" s="272"/>
      <c r="UQ17" s="272"/>
      <c r="UR17" s="205">
        <f t="shared" si="226"/>
        <v>0</v>
      </c>
      <c r="US17" s="207"/>
      <c r="UT17" s="207"/>
      <c r="UU17" s="201">
        <v>10000</v>
      </c>
      <c r="UV17" s="207"/>
      <c r="UW17" s="272"/>
      <c r="UX17" s="272"/>
      <c r="UY17" s="272"/>
      <c r="UZ17" s="205">
        <f t="shared" si="204"/>
        <v>10000</v>
      </c>
      <c r="VA17" s="205">
        <f t="shared" si="205"/>
        <v>11050</v>
      </c>
      <c r="VB17" s="207"/>
      <c r="VC17" s="207"/>
      <c r="VD17" s="207"/>
      <c r="VE17" s="207"/>
      <c r="VF17" s="207"/>
      <c r="VG17" s="272"/>
      <c r="VH17" s="272"/>
      <c r="VI17" s="205">
        <f t="shared" si="206"/>
        <v>0</v>
      </c>
      <c r="VJ17" s="207"/>
      <c r="VK17" s="201">
        <v>10000</v>
      </c>
      <c r="VL17" s="207"/>
      <c r="VM17" s="207"/>
      <c r="VN17" s="195">
        <v>10000</v>
      </c>
      <c r="VO17" s="272"/>
      <c r="VP17" s="272"/>
      <c r="VQ17" s="205">
        <f t="shared" si="207"/>
        <v>20000</v>
      </c>
      <c r="VR17" s="207"/>
      <c r="VS17" s="207"/>
      <c r="VT17" s="195">
        <v>10000</v>
      </c>
      <c r="VU17" s="207"/>
      <c r="VV17" s="207"/>
      <c r="VW17" s="272"/>
      <c r="VX17" s="272"/>
      <c r="VY17" s="205">
        <f t="shared" si="208"/>
        <v>10000</v>
      </c>
      <c r="VZ17" s="195">
        <v>12800</v>
      </c>
      <c r="WA17" s="207"/>
      <c r="WB17" s="207"/>
      <c r="WC17" s="207"/>
      <c r="WD17" s="207"/>
      <c r="WE17" s="272"/>
      <c r="WF17" s="272"/>
      <c r="WG17" s="205">
        <f t="shared" si="209"/>
        <v>12800</v>
      </c>
      <c r="WH17" s="205">
        <f t="shared" si="210"/>
        <v>42800</v>
      </c>
      <c r="WI17" s="207"/>
      <c r="WJ17" s="207"/>
      <c r="WK17" s="207"/>
      <c r="WL17" s="207"/>
      <c r="WM17" s="207"/>
      <c r="WN17" s="272"/>
      <c r="WO17" s="272"/>
      <c r="WP17" s="205">
        <f t="shared" si="211"/>
        <v>0</v>
      </c>
      <c r="WQ17" s="207"/>
      <c r="WR17" s="207"/>
      <c r="WS17" s="207"/>
      <c r="WT17" s="207"/>
      <c r="WU17" s="207"/>
      <c r="WV17" s="272"/>
      <c r="WW17" s="272"/>
      <c r="WX17" s="205">
        <f t="shared" si="212"/>
        <v>0</v>
      </c>
      <c r="WY17" s="207"/>
      <c r="WZ17" s="207"/>
      <c r="XA17" s="207"/>
      <c r="XB17" s="207"/>
      <c r="XC17" s="272"/>
      <c r="XD17" s="272"/>
      <c r="XE17" s="272"/>
      <c r="XF17" s="205">
        <f t="shared" si="213"/>
        <v>0</v>
      </c>
      <c r="XG17" s="207"/>
      <c r="XH17" s="207"/>
      <c r="XI17" s="207"/>
      <c r="XJ17" s="207"/>
      <c r="XK17" s="207"/>
      <c r="XL17" s="272"/>
      <c r="XM17" s="272"/>
      <c r="XN17" s="205">
        <f t="shared" si="214"/>
        <v>0</v>
      </c>
      <c r="XO17" s="207"/>
      <c r="XP17" s="207"/>
      <c r="XQ17" s="207"/>
      <c r="XR17" s="207"/>
      <c r="XS17" s="207"/>
      <c r="XT17" s="272"/>
      <c r="XU17" s="272"/>
      <c r="XV17" s="205">
        <f t="shared" si="215"/>
        <v>0</v>
      </c>
      <c r="XW17" s="205">
        <f t="shared" si="216"/>
        <v>0</v>
      </c>
      <c r="XX17" s="207"/>
      <c r="XY17" s="207"/>
      <c r="XZ17" s="207"/>
      <c r="YA17" s="207"/>
      <c r="YB17" s="207"/>
      <c r="YC17" s="272"/>
      <c r="YD17" s="272"/>
      <c r="YE17" s="205">
        <f t="shared" si="217"/>
        <v>0</v>
      </c>
      <c r="YF17" s="207"/>
      <c r="YG17" s="207"/>
      <c r="YH17" s="207"/>
      <c r="YI17" s="207"/>
      <c r="YJ17" s="207"/>
      <c r="YK17" s="272"/>
      <c r="YL17" s="272"/>
      <c r="YM17" s="205">
        <f t="shared" si="218"/>
        <v>0</v>
      </c>
      <c r="YN17" s="207"/>
      <c r="YO17" s="207"/>
      <c r="YP17" s="207"/>
      <c r="YQ17" s="207"/>
      <c r="YR17" s="207"/>
      <c r="YS17" s="272"/>
      <c r="YT17" s="272"/>
      <c r="YU17" s="205">
        <f t="shared" si="148"/>
        <v>0</v>
      </c>
      <c r="YV17" s="207"/>
      <c r="YW17" s="207"/>
      <c r="YX17" s="207"/>
      <c r="YY17" s="207"/>
      <c r="YZ17" s="207"/>
      <c r="ZA17" s="272"/>
      <c r="ZB17" s="272"/>
      <c r="ZC17" s="205">
        <f t="shared" si="219"/>
        <v>0</v>
      </c>
      <c r="ZD17" s="205">
        <f t="shared" si="149"/>
        <v>0</v>
      </c>
      <c r="ZE17" s="207"/>
      <c r="ZF17" s="207"/>
      <c r="ZG17" s="207"/>
      <c r="ZH17" s="207"/>
      <c r="ZI17" s="207"/>
      <c r="ZJ17" s="272"/>
      <c r="ZK17" s="272"/>
      <c r="ZL17" s="205">
        <f t="shared" si="220"/>
        <v>0</v>
      </c>
      <c r="ZM17" s="207"/>
      <c r="ZN17" s="207"/>
      <c r="ZO17" s="207"/>
      <c r="ZP17" s="207"/>
      <c r="ZQ17" s="207"/>
      <c r="ZR17" s="272"/>
      <c r="ZS17" s="272"/>
      <c r="ZT17" s="205">
        <f t="shared" si="221"/>
        <v>0</v>
      </c>
      <c r="ZU17" s="207"/>
      <c r="ZV17" s="207"/>
      <c r="ZW17" s="207"/>
      <c r="ZX17" s="207"/>
      <c r="ZY17" s="207"/>
      <c r="ZZ17" s="272"/>
      <c r="AAA17" s="272"/>
      <c r="AAB17" s="205">
        <f t="shared" si="222"/>
        <v>0</v>
      </c>
      <c r="AAC17" s="207"/>
      <c r="AAD17" s="207"/>
      <c r="AAE17" s="207"/>
      <c r="AAF17" s="207"/>
      <c r="AAG17" s="207"/>
      <c r="AAH17" s="272"/>
      <c r="AAI17" s="272"/>
      <c r="AAJ17" s="205">
        <f t="shared" si="223"/>
        <v>0</v>
      </c>
      <c r="AAK17" s="207"/>
      <c r="AAL17" s="207"/>
      <c r="AAM17" s="207"/>
      <c r="AAN17" s="207"/>
      <c r="AAO17" s="207"/>
      <c r="AAP17" s="272"/>
      <c r="AAQ17" s="272"/>
      <c r="AAR17" s="205">
        <f t="shared" si="224"/>
        <v>0</v>
      </c>
      <c r="AAS17" s="205">
        <f t="shared" si="225"/>
        <v>0</v>
      </c>
    </row>
    <row r="18" spans="1:721" ht="69.95" customHeight="1">
      <c r="B18" s="155">
        <v>3620101605</v>
      </c>
      <c r="C18" s="323"/>
      <c r="D18" s="158" t="s">
        <v>221</v>
      </c>
      <c r="E18" s="130" t="s">
        <v>4</v>
      </c>
      <c r="F18" s="120"/>
      <c r="G18" s="120"/>
      <c r="H18" s="120"/>
      <c r="I18" s="120"/>
      <c r="J18" s="120"/>
      <c r="K18" s="209"/>
      <c r="L18" s="205"/>
      <c r="M18" s="205">
        <f t="shared" si="121"/>
        <v>0</v>
      </c>
      <c r="N18" s="120"/>
      <c r="O18" s="120"/>
      <c r="P18" s="120"/>
      <c r="Q18" s="120"/>
      <c r="R18" s="120"/>
      <c r="S18" s="209"/>
      <c r="T18" s="205"/>
      <c r="U18" s="205">
        <f t="shared" si="122"/>
        <v>0</v>
      </c>
      <c r="V18" s="120"/>
      <c r="W18" s="120"/>
      <c r="X18" s="120"/>
      <c r="Y18" s="120"/>
      <c r="Z18" s="120"/>
      <c r="AA18" s="209"/>
      <c r="AB18" s="205"/>
      <c r="AC18" s="205">
        <f t="shared" si="123"/>
        <v>0</v>
      </c>
      <c r="AD18" s="205"/>
      <c r="AE18" s="205"/>
      <c r="AF18" s="205"/>
      <c r="AG18" s="205"/>
      <c r="AH18" s="205"/>
      <c r="AI18" s="209"/>
      <c r="AJ18" s="205"/>
      <c r="AK18" s="205">
        <f t="shared" si="124"/>
        <v>0</v>
      </c>
      <c r="AL18" s="205" t="e">
        <f>SUM(#REF!,M18,U18,AC18,AD18:AH18)</f>
        <v>#REF!</v>
      </c>
      <c r="AM18" s="120"/>
      <c r="AN18" s="120"/>
      <c r="AO18" s="120"/>
      <c r="AP18" s="120"/>
      <c r="AQ18" s="120"/>
      <c r="AR18" s="209"/>
      <c r="AS18" s="205"/>
      <c r="AT18" s="205">
        <f t="shared" si="125"/>
        <v>0</v>
      </c>
      <c r="AU18" s="120"/>
      <c r="AV18" s="120"/>
      <c r="AW18" s="120"/>
      <c r="AX18" s="120"/>
      <c r="AY18" s="120"/>
      <c r="AZ18" s="209"/>
      <c r="BA18" s="205"/>
      <c r="BB18" s="205">
        <f t="shared" si="126"/>
        <v>0</v>
      </c>
      <c r="BC18" s="120"/>
      <c r="BD18" s="120"/>
      <c r="BF18" s="120"/>
      <c r="BG18" s="120"/>
      <c r="BH18" s="209"/>
      <c r="BI18" s="205"/>
      <c r="BJ18" s="205">
        <f t="shared" si="127"/>
        <v>0</v>
      </c>
      <c r="BK18" s="120"/>
      <c r="BL18" s="120"/>
      <c r="BM18" s="120"/>
      <c r="BN18" s="120"/>
      <c r="BO18" s="205"/>
      <c r="BP18" s="209"/>
      <c r="BQ18" s="205"/>
      <c r="BR18" s="205">
        <f t="shared" si="128"/>
        <v>0</v>
      </c>
      <c r="BS18" s="205">
        <f t="shared" si="129"/>
        <v>0</v>
      </c>
      <c r="BT18" s="120"/>
      <c r="BU18" s="120"/>
      <c r="BV18" s="120"/>
      <c r="BW18" s="120"/>
      <c r="BX18" s="120"/>
      <c r="BY18" s="209"/>
      <c r="BZ18" s="205"/>
      <c r="CA18" s="205">
        <f t="shared" si="130"/>
        <v>0</v>
      </c>
      <c r="CB18" s="120"/>
      <c r="CC18" s="120"/>
      <c r="CD18" s="120"/>
      <c r="CE18" s="120"/>
      <c r="CF18" s="120"/>
      <c r="CG18" s="209"/>
      <c r="CH18" s="205"/>
      <c r="CI18" s="205">
        <f t="shared" si="131"/>
        <v>0</v>
      </c>
      <c r="CJ18" s="120"/>
      <c r="CK18" s="120"/>
      <c r="CL18" s="120"/>
      <c r="CM18" s="120"/>
      <c r="CN18" s="120"/>
      <c r="CO18" s="209"/>
      <c r="CP18" s="205"/>
      <c r="CQ18" s="205">
        <f t="shared" si="132"/>
        <v>0</v>
      </c>
      <c r="CR18" s="120"/>
      <c r="CS18" s="120"/>
      <c r="CT18" s="120"/>
      <c r="CU18" s="120"/>
      <c r="CV18" s="120"/>
      <c r="CW18" s="209"/>
      <c r="CX18" s="205"/>
      <c r="CY18" s="205">
        <f t="shared" si="133"/>
        <v>0</v>
      </c>
      <c r="CZ18" s="120"/>
      <c r="DA18" s="120"/>
      <c r="DB18" s="120"/>
      <c r="DC18" s="205"/>
      <c r="DD18" s="205"/>
      <c r="DE18" s="209"/>
      <c r="DF18" s="205"/>
      <c r="DG18" s="205">
        <f t="shared" si="134"/>
        <v>0</v>
      </c>
      <c r="DH18" s="205">
        <f t="shared" si="150"/>
        <v>0</v>
      </c>
      <c r="DI18" s="120"/>
      <c r="DJ18" s="120"/>
      <c r="DK18" s="120"/>
      <c r="DL18" s="120"/>
      <c r="DM18" s="120"/>
      <c r="DN18" s="209"/>
      <c r="DO18" s="205"/>
      <c r="DP18" s="205">
        <f t="shared" si="135"/>
        <v>0</v>
      </c>
      <c r="DQ18" s="217">
        <v>120</v>
      </c>
      <c r="DR18" s="120"/>
      <c r="DS18" s="120"/>
      <c r="DT18" s="120"/>
      <c r="DU18" s="120"/>
      <c r="DV18" s="209"/>
      <c r="DW18" s="205"/>
      <c r="DX18" s="205">
        <f t="shared" si="136"/>
        <v>120</v>
      </c>
      <c r="DY18" s="120"/>
      <c r="DZ18" s="120"/>
      <c r="EA18" s="120"/>
      <c r="EB18" s="120"/>
      <c r="EC18" s="120"/>
      <c r="ED18" s="209"/>
      <c r="EE18" s="205"/>
      <c r="EF18" s="205">
        <f t="shared" si="137"/>
        <v>0</v>
      </c>
      <c r="EG18" s="120"/>
      <c r="EH18" s="120"/>
      <c r="EI18" s="120"/>
      <c r="EJ18" s="205"/>
      <c r="EK18" s="205"/>
      <c r="EL18" s="209"/>
      <c r="EM18" s="205"/>
      <c r="EN18" s="205">
        <f t="shared" si="138"/>
        <v>0</v>
      </c>
      <c r="EO18" s="205">
        <f t="shared" si="151"/>
        <v>120</v>
      </c>
      <c r="EP18" s="120"/>
      <c r="EQ18" s="120"/>
      <c r="ER18" s="120"/>
      <c r="ES18" s="120"/>
      <c r="ET18" s="120"/>
      <c r="EU18" s="209"/>
      <c r="EV18" s="205"/>
      <c r="EW18" s="205">
        <f t="shared" si="139"/>
        <v>0</v>
      </c>
      <c r="EX18" s="120"/>
      <c r="EY18" s="120"/>
      <c r="EZ18" s="120"/>
      <c r="FA18" s="120"/>
      <c r="FB18" s="120"/>
      <c r="FC18" s="209"/>
      <c r="FD18" s="205"/>
      <c r="FE18" s="205">
        <f t="shared" si="140"/>
        <v>0</v>
      </c>
      <c r="FF18" s="120"/>
      <c r="FG18" s="120"/>
      <c r="FH18" s="120"/>
      <c r="FI18" s="120"/>
      <c r="FJ18" s="120"/>
      <c r="FK18" s="209"/>
      <c r="FL18" s="205"/>
      <c r="FM18" s="205">
        <f t="shared" si="141"/>
        <v>0</v>
      </c>
      <c r="FN18" s="120"/>
      <c r="FO18" s="120"/>
      <c r="FP18" s="120"/>
      <c r="FQ18" s="120"/>
      <c r="FR18" s="205"/>
      <c r="FS18" s="209"/>
      <c r="FT18" s="205"/>
      <c r="FU18" s="205">
        <f t="shared" si="142"/>
        <v>0</v>
      </c>
      <c r="FV18" s="205">
        <f t="shared" si="152"/>
        <v>0</v>
      </c>
      <c r="FW18" s="120"/>
      <c r="FX18" s="120"/>
      <c r="FY18" s="120"/>
      <c r="FZ18" s="120"/>
      <c r="GA18" s="120"/>
      <c r="GB18" s="209"/>
      <c r="GC18" s="205"/>
      <c r="GD18" s="205">
        <f t="shared" si="143"/>
        <v>0</v>
      </c>
      <c r="GE18" s="120"/>
      <c r="GF18" s="120"/>
      <c r="GG18" s="120"/>
      <c r="GH18" s="120"/>
      <c r="GI18" s="120"/>
      <c r="GJ18" s="209"/>
      <c r="GK18" s="205"/>
      <c r="GL18" s="205">
        <f t="shared" si="144"/>
        <v>0</v>
      </c>
      <c r="GM18" s="120"/>
      <c r="GN18" s="120"/>
      <c r="GO18" s="120"/>
      <c r="GP18" s="120"/>
      <c r="GQ18" s="120"/>
      <c r="GR18" s="209"/>
      <c r="GS18" s="205"/>
      <c r="GT18" s="205">
        <f t="shared" si="145"/>
        <v>0</v>
      </c>
      <c r="GU18" s="120"/>
      <c r="GV18" s="120"/>
      <c r="GW18" s="120"/>
      <c r="GX18" s="120"/>
      <c r="GY18" s="120"/>
      <c r="GZ18" s="209"/>
      <c r="HA18" s="205"/>
      <c r="HB18" s="205">
        <f t="shared" si="146"/>
        <v>0</v>
      </c>
      <c r="HC18" s="120"/>
      <c r="HD18" s="120"/>
      <c r="HE18" s="120"/>
      <c r="HF18" s="120"/>
      <c r="HG18" s="120"/>
      <c r="HH18" s="209"/>
      <c r="HI18" s="205"/>
      <c r="HJ18" s="205">
        <f t="shared" si="147"/>
        <v>0</v>
      </c>
      <c r="HK18" s="205">
        <f t="shared" si="153"/>
        <v>0</v>
      </c>
      <c r="HL18" s="124"/>
      <c r="HM18" s="120"/>
      <c r="HN18" s="120"/>
      <c r="HO18" s="120"/>
      <c r="HP18" s="120"/>
      <c r="HQ18" s="205"/>
      <c r="HR18" s="205"/>
      <c r="HS18" s="205">
        <f t="shared" si="154"/>
        <v>0</v>
      </c>
      <c r="HT18" s="120"/>
      <c r="HU18" s="120"/>
      <c r="HV18" s="120"/>
      <c r="HW18" s="120"/>
      <c r="HX18" s="120"/>
      <c r="HY18" s="205"/>
      <c r="HZ18" s="205"/>
      <c r="IA18" s="205">
        <f t="shared" si="155"/>
        <v>0</v>
      </c>
      <c r="IB18" s="120"/>
      <c r="IC18" s="120"/>
      <c r="ID18" s="120"/>
      <c r="IE18" s="120"/>
      <c r="IF18" s="120"/>
      <c r="IG18" s="205"/>
      <c r="IH18" s="205"/>
      <c r="II18" s="205">
        <f t="shared" si="156"/>
        <v>0</v>
      </c>
      <c r="IJ18" s="120"/>
      <c r="IK18" s="120"/>
      <c r="IL18" s="120"/>
      <c r="IM18" s="120"/>
      <c r="IN18" s="120"/>
      <c r="IO18" s="205"/>
      <c r="IP18" s="205"/>
      <c r="IQ18" s="205">
        <f t="shared" si="157"/>
        <v>0</v>
      </c>
      <c r="IR18" s="205">
        <f t="shared" si="158"/>
        <v>0</v>
      </c>
      <c r="IS18" s="120"/>
      <c r="IT18" s="120"/>
      <c r="IU18" s="120"/>
      <c r="IV18" s="120"/>
      <c r="IW18" s="120"/>
      <c r="IX18" s="205"/>
      <c r="IY18" s="205"/>
      <c r="IZ18" s="205">
        <f t="shared" si="159"/>
        <v>0</v>
      </c>
      <c r="JA18" s="120"/>
      <c r="JB18" s="120"/>
      <c r="JC18" s="120"/>
      <c r="JD18" s="120"/>
      <c r="JE18" s="120"/>
      <c r="JF18" s="205"/>
      <c r="JG18" s="205"/>
      <c r="JH18" s="205">
        <f t="shared" si="160"/>
        <v>0</v>
      </c>
      <c r="JI18" s="120"/>
      <c r="JJ18" s="120"/>
      <c r="JK18" s="120"/>
      <c r="JL18" s="120"/>
      <c r="JM18" s="120"/>
      <c r="JN18" s="205"/>
      <c r="JO18" s="205"/>
      <c r="JP18" s="205">
        <f t="shared" si="161"/>
        <v>0</v>
      </c>
      <c r="JQ18" s="120"/>
      <c r="JR18" s="120"/>
      <c r="JS18" s="120"/>
      <c r="JT18" s="120"/>
      <c r="JU18" s="120"/>
      <c r="JV18" s="205"/>
      <c r="JW18" s="205"/>
      <c r="JX18" s="205">
        <f t="shared" si="162"/>
        <v>0</v>
      </c>
      <c r="JY18" s="205">
        <f t="shared" si="163"/>
        <v>0</v>
      </c>
      <c r="JZ18" s="120"/>
      <c r="KA18" s="120"/>
      <c r="KB18" s="120"/>
      <c r="KC18" s="120"/>
      <c r="KD18" s="120"/>
      <c r="KE18" s="205"/>
      <c r="KF18" s="205"/>
      <c r="KG18" s="205">
        <f t="shared" si="164"/>
        <v>0</v>
      </c>
      <c r="KH18" s="120"/>
      <c r="KI18" s="120"/>
      <c r="KJ18" s="120"/>
      <c r="KK18" s="120"/>
      <c r="KL18" s="120"/>
      <c r="KM18" s="205"/>
      <c r="KN18" s="205"/>
      <c r="KO18" s="205">
        <f t="shared" si="165"/>
        <v>0</v>
      </c>
      <c r="KP18" s="120"/>
      <c r="KQ18" s="120"/>
      <c r="KR18" s="120"/>
      <c r="KS18" s="120"/>
      <c r="KT18" s="120"/>
      <c r="KU18" s="205"/>
      <c r="KV18" s="205"/>
      <c r="KW18" s="205">
        <f t="shared" si="166"/>
        <v>0</v>
      </c>
      <c r="KX18" s="120"/>
      <c r="KY18" s="120"/>
      <c r="KZ18" s="120"/>
      <c r="LA18" s="120"/>
      <c r="LB18" s="120"/>
      <c r="LC18" s="205"/>
      <c r="LD18" s="205"/>
      <c r="LE18" s="205">
        <f t="shared" si="167"/>
        <v>0</v>
      </c>
      <c r="LF18" s="205"/>
      <c r="LG18" s="120"/>
      <c r="LH18" s="120"/>
      <c r="LI18" s="120"/>
      <c r="LJ18" s="120"/>
      <c r="LK18" s="205"/>
      <c r="LL18" s="205"/>
      <c r="LM18" s="205">
        <f t="shared" si="168"/>
        <v>0</v>
      </c>
      <c r="LN18" s="205">
        <f t="shared" si="169"/>
        <v>0</v>
      </c>
      <c r="LO18" s="205"/>
      <c r="LP18" s="120"/>
      <c r="LQ18" s="120"/>
      <c r="LR18" s="120"/>
      <c r="LS18" s="205"/>
      <c r="LT18" s="205"/>
      <c r="LU18" s="205"/>
      <c r="LV18" s="205">
        <f t="shared" si="170"/>
        <v>0</v>
      </c>
      <c r="LW18" s="120"/>
      <c r="LX18" s="120"/>
      <c r="LY18" s="120"/>
      <c r="LZ18" s="120"/>
      <c r="MA18" s="120"/>
      <c r="MB18" s="205"/>
      <c r="MC18" s="205"/>
      <c r="MD18" s="205">
        <f t="shared" si="171"/>
        <v>0</v>
      </c>
      <c r="ME18" s="120"/>
      <c r="MF18" s="120"/>
      <c r="MG18" s="120"/>
      <c r="MH18" s="120"/>
      <c r="MI18" s="205"/>
      <c r="MJ18" s="205"/>
      <c r="MK18" s="205"/>
      <c r="ML18" s="205">
        <f t="shared" si="172"/>
        <v>0</v>
      </c>
      <c r="MM18" s="120"/>
      <c r="MN18" s="120"/>
      <c r="MO18" s="120"/>
      <c r="MP18" s="120"/>
      <c r="MQ18" s="120"/>
      <c r="MR18" s="205"/>
      <c r="MS18" s="205"/>
      <c r="MT18" s="205">
        <f t="shared" si="173"/>
        <v>0</v>
      </c>
      <c r="MU18" s="205">
        <f t="shared" si="174"/>
        <v>0</v>
      </c>
      <c r="MV18" s="120"/>
      <c r="MW18" s="120"/>
      <c r="MX18" s="120"/>
      <c r="MY18" s="120"/>
      <c r="MZ18" s="120"/>
      <c r="NA18" s="205"/>
      <c r="NB18" s="205"/>
      <c r="NC18" s="205">
        <f t="shared" si="175"/>
        <v>0</v>
      </c>
      <c r="ND18" s="120"/>
      <c r="NE18" s="120"/>
      <c r="NF18" s="120"/>
      <c r="NG18" s="120"/>
      <c r="NH18" s="120"/>
      <c r="NI18" s="205"/>
      <c r="NJ18" s="205"/>
      <c r="NK18" s="205">
        <f t="shared" si="176"/>
        <v>0</v>
      </c>
      <c r="NL18" s="120"/>
      <c r="NM18" s="120"/>
      <c r="NN18" s="120"/>
      <c r="NO18" s="120"/>
      <c r="NP18" s="120"/>
      <c r="NQ18" s="205"/>
      <c r="NR18" s="205"/>
      <c r="NS18" s="205">
        <f t="shared" si="177"/>
        <v>0</v>
      </c>
      <c r="NT18" s="120"/>
      <c r="NU18" s="120"/>
      <c r="NV18" s="120"/>
      <c r="NW18" s="120"/>
      <c r="NX18" s="120"/>
      <c r="NY18" s="205"/>
      <c r="NZ18" s="205"/>
      <c r="OA18" s="205">
        <f t="shared" si="178"/>
        <v>0</v>
      </c>
      <c r="OB18" s="205">
        <f t="shared" si="179"/>
        <v>0</v>
      </c>
      <c r="OC18" s="120"/>
      <c r="OD18" s="120"/>
      <c r="OE18" s="120"/>
      <c r="OF18" s="120"/>
      <c r="OG18" s="120"/>
      <c r="OH18" s="205"/>
      <c r="OI18" s="205"/>
      <c r="OJ18" s="205">
        <f t="shared" si="180"/>
        <v>0</v>
      </c>
      <c r="OK18" s="120"/>
      <c r="OL18" s="120"/>
      <c r="OM18" s="120"/>
      <c r="ON18" s="120"/>
      <c r="OO18" s="120"/>
      <c r="OP18" s="205"/>
      <c r="OQ18" s="205"/>
      <c r="OR18" s="205">
        <f t="shared" si="181"/>
        <v>0</v>
      </c>
      <c r="OS18" s="120"/>
      <c r="OT18" s="120"/>
      <c r="OU18" s="120"/>
      <c r="OV18" s="120"/>
      <c r="OW18" s="120"/>
      <c r="OX18" s="205"/>
      <c r="OY18" s="205"/>
      <c r="OZ18" s="205">
        <f t="shared" si="182"/>
        <v>0</v>
      </c>
      <c r="PA18" s="120"/>
      <c r="PB18" s="120"/>
      <c r="PC18" s="120"/>
      <c r="PD18" s="205"/>
      <c r="PE18" s="217"/>
      <c r="PF18" s="205"/>
      <c r="PG18" s="205"/>
      <c r="PH18" s="205">
        <f t="shared" si="183"/>
        <v>0</v>
      </c>
      <c r="PI18" s="120"/>
      <c r="PJ18" s="120"/>
      <c r="PK18" s="120"/>
      <c r="PL18" s="205"/>
      <c r="PM18" s="217"/>
      <c r="PN18" s="205"/>
      <c r="PO18" s="205"/>
      <c r="PP18" s="205">
        <f t="shared" si="184"/>
        <v>0</v>
      </c>
      <c r="PQ18" s="205">
        <f t="shared" si="185"/>
        <v>0</v>
      </c>
      <c r="PR18" s="207"/>
      <c r="PS18" s="207"/>
      <c r="PT18" s="207"/>
      <c r="PU18" s="207"/>
      <c r="PV18" s="207"/>
      <c r="PW18" s="272"/>
      <c r="PX18" s="272"/>
      <c r="PY18" s="205">
        <f t="shared" si="186"/>
        <v>0</v>
      </c>
      <c r="PZ18" s="207"/>
      <c r="QA18" s="207"/>
      <c r="QB18" s="207"/>
      <c r="QC18" s="207"/>
      <c r="QD18" s="207"/>
      <c r="QE18" s="272"/>
      <c r="QF18" s="272"/>
      <c r="QG18" s="205">
        <f t="shared" si="187"/>
        <v>0</v>
      </c>
      <c r="QH18" s="207"/>
      <c r="QI18" s="207"/>
      <c r="QJ18" s="294"/>
      <c r="QK18" s="207"/>
      <c r="QL18" s="207"/>
      <c r="QM18" s="272"/>
      <c r="QN18" s="272"/>
      <c r="QO18" s="205">
        <f t="shared" si="188"/>
        <v>0</v>
      </c>
      <c r="QP18" s="207"/>
      <c r="QQ18" s="207"/>
      <c r="QR18" s="207"/>
      <c r="QS18" s="207"/>
      <c r="QT18" s="207"/>
      <c r="QU18" s="272"/>
      <c r="QV18" s="272"/>
      <c r="QW18" s="205">
        <f t="shared" si="189"/>
        <v>0</v>
      </c>
      <c r="QX18" s="205">
        <f t="shared" si="190"/>
        <v>0</v>
      </c>
      <c r="QY18" s="207"/>
      <c r="QZ18" s="207"/>
      <c r="RA18" s="207"/>
      <c r="RB18" s="207"/>
      <c r="RC18" s="207"/>
      <c r="RD18" s="272"/>
      <c r="RE18" s="272"/>
      <c r="RF18" s="205">
        <f t="shared" si="191"/>
        <v>0</v>
      </c>
      <c r="RG18" s="207"/>
      <c r="RH18" s="207"/>
      <c r="RI18" s="207"/>
      <c r="RJ18" s="207"/>
      <c r="RK18" s="207"/>
      <c r="RL18" s="272"/>
      <c r="RM18" s="272"/>
      <c r="RN18" s="205">
        <f t="shared" si="192"/>
        <v>0</v>
      </c>
      <c r="RO18" s="272"/>
      <c r="RP18" s="272"/>
      <c r="RQ18" s="272"/>
      <c r="RR18" s="272"/>
      <c r="RS18" s="272"/>
      <c r="RT18" s="272"/>
      <c r="RU18" s="272"/>
      <c r="RV18" s="205">
        <f t="shared" si="193"/>
        <v>0</v>
      </c>
      <c r="RW18" s="207"/>
      <c r="RX18" s="207"/>
      <c r="RY18" s="207"/>
      <c r="RZ18" s="207"/>
      <c r="SA18" s="272"/>
      <c r="SB18" s="272"/>
      <c r="SC18" s="272"/>
      <c r="SD18" s="205">
        <f t="shared" si="194"/>
        <v>0</v>
      </c>
      <c r="SE18" s="205">
        <f t="shared" si="195"/>
        <v>0</v>
      </c>
      <c r="SF18" s="207"/>
      <c r="SG18" s="207"/>
      <c r="SH18" s="207"/>
      <c r="SI18" s="207"/>
      <c r="SJ18" s="207"/>
      <c r="SK18" s="272"/>
      <c r="SL18" s="272"/>
      <c r="SM18" s="205">
        <f t="shared" si="196"/>
        <v>0</v>
      </c>
      <c r="SN18" s="207"/>
      <c r="SO18" s="207"/>
      <c r="SP18" s="207"/>
      <c r="SQ18" s="207"/>
      <c r="SR18" s="207"/>
      <c r="SS18" s="272"/>
      <c r="ST18" s="272"/>
      <c r="SU18" s="205">
        <f t="shared" si="197"/>
        <v>0</v>
      </c>
      <c r="SV18" s="207"/>
      <c r="SW18" s="207"/>
      <c r="SX18" s="207"/>
      <c r="SY18" s="207"/>
      <c r="SZ18" s="207"/>
      <c r="TA18" s="272"/>
      <c r="TB18" s="272"/>
      <c r="TC18" s="205">
        <f t="shared" si="198"/>
        <v>0</v>
      </c>
      <c r="TD18" s="207"/>
      <c r="TE18" s="207"/>
      <c r="TF18" s="207"/>
      <c r="TG18" s="207"/>
      <c r="TH18" s="207"/>
      <c r="TI18" s="272"/>
      <c r="TJ18" s="272"/>
      <c r="TK18" s="205">
        <f t="shared" si="199"/>
        <v>0</v>
      </c>
      <c r="TL18" s="207"/>
      <c r="TM18" s="207"/>
      <c r="TN18" s="207"/>
      <c r="TO18" s="207"/>
      <c r="TP18" s="272"/>
      <c r="TQ18" s="272"/>
      <c r="TR18" s="272"/>
      <c r="TS18" s="205">
        <f t="shared" si="200"/>
        <v>0</v>
      </c>
      <c r="TT18" s="205">
        <f t="shared" si="201"/>
        <v>0</v>
      </c>
      <c r="TU18" s="272"/>
      <c r="TV18" s="207"/>
      <c r="TW18" s="207"/>
      <c r="TX18" s="207"/>
      <c r="TY18" s="207"/>
      <c r="TZ18" s="272"/>
      <c r="UA18" s="272"/>
      <c r="UB18" s="205">
        <f t="shared" si="202"/>
        <v>0</v>
      </c>
      <c r="UC18" s="207"/>
      <c r="UD18" s="207"/>
      <c r="UE18" s="207"/>
      <c r="UF18" s="207"/>
      <c r="UG18" s="207"/>
      <c r="UH18" s="272"/>
      <c r="UI18" s="272"/>
      <c r="UJ18" s="205">
        <f t="shared" si="203"/>
        <v>0</v>
      </c>
      <c r="UK18" s="207"/>
      <c r="UL18" s="207"/>
      <c r="UM18" s="207"/>
      <c r="UN18" s="207"/>
      <c r="UO18" s="207"/>
      <c r="UP18" s="272"/>
      <c r="UQ18" s="272"/>
      <c r="UR18" s="205">
        <f t="shared" si="226"/>
        <v>0</v>
      </c>
      <c r="US18" s="207"/>
      <c r="UT18" s="207"/>
      <c r="UU18" s="207"/>
      <c r="UV18" s="207"/>
      <c r="UW18" s="272"/>
      <c r="UX18" s="272"/>
      <c r="UY18" s="272"/>
      <c r="UZ18" s="205">
        <f t="shared" si="204"/>
        <v>0</v>
      </c>
      <c r="VA18" s="205">
        <f t="shared" si="205"/>
        <v>0</v>
      </c>
      <c r="VB18" s="207"/>
      <c r="VC18" s="207"/>
      <c r="VD18" s="207"/>
      <c r="VE18" s="207"/>
      <c r="VF18" s="207"/>
      <c r="VG18" s="272"/>
      <c r="VH18" s="272"/>
      <c r="VI18" s="205">
        <f t="shared" si="206"/>
        <v>0</v>
      </c>
      <c r="VJ18" s="207"/>
      <c r="VK18" s="207"/>
      <c r="VL18" s="207"/>
      <c r="VM18" s="207"/>
      <c r="VN18" s="207"/>
      <c r="VO18" s="272"/>
      <c r="VP18" s="272"/>
      <c r="VQ18" s="205">
        <f t="shared" si="207"/>
        <v>0</v>
      </c>
      <c r="VR18" s="207"/>
      <c r="VS18" s="207"/>
      <c r="VT18" s="207"/>
      <c r="VU18" s="207"/>
      <c r="VV18" s="207"/>
      <c r="VW18" s="272"/>
      <c r="VX18" s="272"/>
      <c r="VY18" s="205">
        <f t="shared" si="208"/>
        <v>0</v>
      </c>
      <c r="VZ18" s="207"/>
      <c r="WA18" s="207"/>
      <c r="WB18" s="207"/>
      <c r="WC18" s="207"/>
      <c r="WD18" s="207"/>
      <c r="WE18" s="272"/>
      <c r="WF18" s="272"/>
      <c r="WG18" s="205">
        <f t="shared" si="209"/>
        <v>0</v>
      </c>
      <c r="WH18" s="205">
        <f t="shared" si="210"/>
        <v>0</v>
      </c>
      <c r="WI18" s="207"/>
      <c r="WJ18" s="207"/>
      <c r="WK18" s="207"/>
      <c r="WL18" s="207"/>
      <c r="WM18" s="207"/>
      <c r="WN18" s="272"/>
      <c r="WO18" s="272"/>
      <c r="WP18" s="205">
        <f t="shared" si="211"/>
        <v>0</v>
      </c>
      <c r="WQ18" s="207"/>
      <c r="WR18" s="207"/>
      <c r="WS18" s="207"/>
      <c r="WT18" s="207"/>
      <c r="WU18" s="207"/>
      <c r="WV18" s="272"/>
      <c r="WW18" s="272"/>
      <c r="WX18" s="205">
        <f t="shared" si="212"/>
        <v>0</v>
      </c>
      <c r="WY18" s="207"/>
      <c r="WZ18" s="207"/>
      <c r="XA18" s="207"/>
      <c r="XB18" s="207"/>
      <c r="XC18" s="272"/>
      <c r="XD18" s="272"/>
      <c r="XE18" s="272"/>
      <c r="XF18" s="205">
        <f t="shared" si="213"/>
        <v>0</v>
      </c>
      <c r="XG18" s="207"/>
      <c r="XH18" s="207"/>
      <c r="XI18" s="207"/>
      <c r="XJ18" s="207"/>
      <c r="XK18" s="207"/>
      <c r="XL18" s="272"/>
      <c r="XM18" s="272"/>
      <c r="XN18" s="205">
        <f t="shared" si="214"/>
        <v>0</v>
      </c>
      <c r="XO18" s="207"/>
      <c r="XP18" s="207"/>
      <c r="XQ18" s="207"/>
      <c r="XR18" s="207"/>
      <c r="XS18" s="207"/>
      <c r="XT18" s="272"/>
      <c r="XU18" s="272"/>
      <c r="XV18" s="205">
        <f t="shared" si="215"/>
        <v>0</v>
      </c>
      <c r="XW18" s="205">
        <f t="shared" si="216"/>
        <v>0</v>
      </c>
      <c r="XX18" s="207"/>
      <c r="XY18" s="207"/>
      <c r="XZ18" s="207"/>
      <c r="YA18" s="207"/>
      <c r="YB18" s="207"/>
      <c r="YC18" s="272"/>
      <c r="YD18" s="272"/>
      <c r="YE18" s="205">
        <f t="shared" si="217"/>
        <v>0</v>
      </c>
      <c r="YF18" s="207"/>
      <c r="YG18" s="207"/>
      <c r="YH18" s="207"/>
      <c r="YI18" s="207"/>
      <c r="YJ18" s="207"/>
      <c r="YK18" s="272"/>
      <c r="YL18" s="272"/>
      <c r="YM18" s="205">
        <f t="shared" si="218"/>
        <v>0</v>
      </c>
      <c r="YN18" s="207"/>
      <c r="YO18" s="207"/>
      <c r="YP18" s="207"/>
      <c r="YQ18" s="207"/>
      <c r="YR18" s="207"/>
      <c r="YS18" s="272"/>
      <c r="YT18" s="272"/>
      <c r="YU18" s="205">
        <f t="shared" si="148"/>
        <v>0</v>
      </c>
      <c r="YV18" s="207"/>
      <c r="YW18" s="207"/>
      <c r="YX18" s="207"/>
      <c r="YY18" s="207"/>
      <c r="YZ18" s="207"/>
      <c r="ZA18" s="272"/>
      <c r="ZB18" s="272"/>
      <c r="ZC18" s="205">
        <f t="shared" si="219"/>
        <v>0</v>
      </c>
      <c r="ZD18" s="205">
        <f t="shared" si="149"/>
        <v>0</v>
      </c>
      <c r="ZE18" s="207"/>
      <c r="ZF18" s="207"/>
      <c r="ZG18" s="207"/>
      <c r="ZH18" s="207"/>
      <c r="ZI18" s="207"/>
      <c r="ZJ18" s="272"/>
      <c r="ZK18" s="272"/>
      <c r="ZL18" s="205">
        <f t="shared" si="220"/>
        <v>0</v>
      </c>
      <c r="ZM18" s="207"/>
      <c r="ZN18" s="207"/>
      <c r="ZO18" s="207"/>
      <c r="ZP18" s="207"/>
      <c r="ZQ18" s="207"/>
      <c r="ZR18" s="272"/>
      <c r="ZS18" s="272"/>
      <c r="ZT18" s="205">
        <f t="shared" si="221"/>
        <v>0</v>
      </c>
      <c r="ZU18" s="207"/>
      <c r="ZV18" s="207"/>
      <c r="ZW18" s="207"/>
      <c r="ZX18" s="207"/>
      <c r="ZY18" s="207"/>
      <c r="ZZ18" s="272"/>
      <c r="AAA18" s="272"/>
      <c r="AAB18" s="205">
        <f t="shared" si="222"/>
        <v>0</v>
      </c>
      <c r="AAC18" s="207"/>
      <c r="AAD18" s="207"/>
      <c r="AAE18" s="207"/>
      <c r="AAF18" s="207"/>
      <c r="AAG18" s="207"/>
      <c r="AAH18" s="272"/>
      <c r="AAI18" s="272"/>
      <c r="AAJ18" s="205">
        <f t="shared" si="223"/>
        <v>0</v>
      </c>
      <c r="AAK18" s="207"/>
      <c r="AAL18" s="207"/>
      <c r="AAM18" s="207"/>
      <c r="AAN18" s="207"/>
      <c r="AAO18" s="207"/>
      <c r="AAP18" s="272"/>
      <c r="AAQ18" s="272"/>
      <c r="AAR18" s="205">
        <f t="shared" si="224"/>
        <v>0</v>
      </c>
      <c r="AAS18" s="205">
        <f t="shared" si="225"/>
        <v>0</v>
      </c>
    </row>
    <row r="19" spans="1:721" ht="69.95" customHeight="1">
      <c r="B19" s="155">
        <v>3620102601</v>
      </c>
      <c r="C19" s="323"/>
      <c r="D19" s="156" t="s">
        <v>75</v>
      </c>
      <c r="E19" s="130" t="s">
        <v>4</v>
      </c>
      <c r="F19" s="120"/>
      <c r="G19" s="120"/>
      <c r="H19" s="201">
        <v>300</v>
      </c>
      <c r="I19" s="120"/>
      <c r="J19" s="120"/>
      <c r="K19" s="209"/>
      <c r="L19" s="205"/>
      <c r="M19" s="205">
        <f t="shared" si="121"/>
        <v>300</v>
      </c>
      <c r="N19" s="120"/>
      <c r="O19" s="120"/>
      <c r="P19" s="120"/>
      <c r="Q19" s="120"/>
      <c r="R19" s="120"/>
      <c r="S19" s="209"/>
      <c r="T19" s="205"/>
      <c r="U19" s="205">
        <f t="shared" si="122"/>
        <v>0</v>
      </c>
      <c r="V19" s="120"/>
      <c r="W19" s="120"/>
      <c r="X19" s="120"/>
      <c r="Y19" s="120"/>
      <c r="Z19" s="120"/>
      <c r="AA19" s="209"/>
      <c r="AB19" s="205"/>
      <c r="AC19" s="205">
        <f t="shared" si="123"/>
        <v>0</v>
      </c>
      <c r="AD19" s="205"/>
      <c r="AE19" s="205"/>
      <c r="AF19" s="205"/>
      <c r="AG19" s="205"/>
      <c r="AH19" s="205"/>
      <c r="AI19" s="209"/>
      <c r="AJ19" s="205"/>
      <c r="AK19" s="205">
        <f t="shared" si="124"/>
        <v>0</v>
      </c>
      <c r="AL19" s="205" t="e">
        <f>SUM(#REF!,M19,U19,AC19,AD19:AH19)</f>
        <v>#REF!</v>
      </c>
      <c r="AM19" s="120"/>
      <c r="AN19" s="120"/>
      <c r="AO19" s="120"/>
      <c r="AP19" s="120"/>
      <c r="AQ19" s="120"/>
      <c r="AR19" s="209"/>
      <c r="AS19" s="205"/>
      <c r="AT19" s="205">
        <f t="shared" si="125"/>
        <v>0</v>
      </c>
      <c r="AU19" s="120"/>
      <c r="AV19" s="120"/>
      <c r="AW19" s="120"/>
      <c r="AX19" s="120"/>
      <c r="AY19" s="120"/>
      <c r="AZ19" s="209"/>
      <c r="BA19" s="205"/>
      <c r="BB19" s="205">
        <f t="shared" si="126"/>
        <v>0</v>
      </c>
      <c r="BC19" s="120"/>
      <c r="BD19" s="120"/>
      <c r="BE19" s="217">
        <v>600</v>
      </c>
      <c r="BF19" s="120"/>
      <c r="BG19" s="120"/>
      <c r="BH19" s="209"/>
      <c r="BI19" s="205"/>
      <c r="BJ19" s="205">
        <f t="shared" si="127"/>
        <v>600</v>
      </c>
      <c r="BK19" s="120"/>
      <c r="BL19" s="120"/>
      <c r="BM19" s="120"/>
      <c r="BN19" s="120"/>
      <c r="BO19" s="205"/>
      <c r="BP19" s="209"/>
      <c r="BQ19" s="205"/>
      <c r="BR19" s="205">
        <f t="shared" si="128"/>
        <v>0</v>
      </c>
      <c r="BS19" s="205">
        <f t="shared" si="129"/>
        <v>600</v>
      </c>
      <c r="BT19" s="120"/>
      <c r="BU19" s="120"/>
      <c r="BV19" s="120"/>
      <c r="BW19" s="120"/>
      <c r="BX19" s="120"/>
      <c r="BY19" s="209"/>
      <c r="BZ19" s="205"/>
      <c r="CA19" s="205">
        <f t="shared" si="130"/>
        <v>0</v>
      </c>
      <c r="CB19" s="120"/>
      <c r="CC19" s="120"/>
      <c r="CD19" s="120"/>
      <c r="CE19" s="120"/>
      <c r="CF19" s="120"/>
      <c r="CG19" s="209"/>
      <c r="CH19" s="205"/>
      <c r="CI19" s="205">
        <f t="shared" si="131"/>
        <v>0</v>
      </c>
      <c r="CJ19" s="120"/>
      <c r="CK19" s="120"/>
      <c r="CL19" s="120"/>
      <c r="CM19" s="120"/>
      <c r="CN19" s="120"/>
      <c r="CO19" s="209"/>
      <c r="CP19" s="205"/>
      <c r="CQ19" s="205">
        <f t="shared" si="132"/>
        <v>0</v>
      </c>
      <c r="CR19" s="120"/>
      <c r="CS19" s="120"/>
      <c r="CT19" s="120"/>
      <c r="CU19" s="120"/>
      <c r="CV19" s="120"/>
      <c r="CW19" s="209"/>
      <c r="CX19" s="205"/>
      <c r="CY19" s="205">
        <f t="shared" si="133"/>
        <v>0</v>
      </c>
      <c r="CZ19" s="120"/>
      <c r="DA19" s="120"/>
      <c r="DB19" s="120"/>
      <c r="DC19" s="205"/>
      <c r="DD19" s="205"/>
      <c r="DE19" s="209"/>
      <c r="DF19" s="205"/>
      <c r="DG19" s="205">
        <f t="shared" si="134"/>
        <v>0</v>
      </c>
      <c r="DH19" s="205">
        <f t="shared" si="150"/>
        <v>0</v>
      </c>
      <c r="DI19" s="120"/>
      <c r="DJ19" s="120"/>
      <c r="DK19" s="120"/>
      <c r="DL19" s="120"/>
      <c r="DM19" s="120"/>
      <c r="DN19" s="209"/>
      <c r="DO19" s="205"/>
      <c r="DP19" s="205">
        <f t="shared" si="135"/>
        <v>0</v>
      </c>
      <c r="DQ19" s="217">
        <v>600</v>
      </c>
      <c r="DR19" s="120"/>
      <c r="DS19" s="120"/>
      <c r="DT19" s="120"/>
      <c r="DU19" s="120"/>
      <c r="DV19" s="209"/>
      <c r="DW19" s="205"/>
      <c r="DX19" s="205">
        <f t="shared" si="136"/>
        <v>600</v>
      </c>
      <c r="DY19" s="120"/>
      <c r="DZ19" s="120"/>
      <c r="EA19" s="120"/>
      <c r="EB19" s="120"/>
      <c r="EC19" s="120"/>
      <c r="ED19" s="209"/>
      <c r="EE19" s="205"/>
      <c r="EF19" s="205">
        <f t="shared" si="137"/>
        <v>0</v>
      </c>
      <c r="EG19" s="120"/>
      <c r="EH19" s="120"/>
      <c r="EI19" s="120"/>
      <c r="EJ19" s="205"/>
      <c r="EK19" s="205"/>
      <c r="EL19" s="209"/>
      <c r="EM19" s="205"/>
      <c r="EN19" s="205">
        <f t="shared" si="138"/>
        <v>0</v>
      </c>
      <c r="EO19" s="205">
        <f t="shared" si="151"/>
        <v>600</v>
      </c>
      <c r="EP19" s="120"/>
      <c r="EQ19" s="120"/>
      <c r="ER19" s="120"/>
      <c r="ES19" s="120"/>
      <c r="ET19" s="120"/>
      <c r="EU19" s="209"/>
      <c r="EV19" s="205"/>
      <c r="EW19" s="205">
        <f t="shared" si="139"/>
        <v>0</v>
      </c>
      <c r="EX19" s="120"/>
      <c r="EY19" s="120"/>
      <c r="EZ19" s="120" t="s">
        <v>713</v>
      </c>
      <c r="FA19" s="120"/>
      <c r="FB19" s="120"/>
      <c r="FC19" s="209"/>
      <c r="FD19" s="205"/>
      <c r="FE19" s="205">
        <f t="shared" si="140"/>
        <v>0</v>
      </c>
      <c r="FF19" s="120"/>
      <c r="FG19" s="120"/>
      <c r="FH19" s="120"/>
      <c r="FI19" s="120"/>
      <c r="FJ19" s="120"/>
      <c r="FK19" s="209"/>
      <c r="FL19" s="205"/>
      <c r="FM19" s="205">
        <f t="shared" si="141"/>
        <v>0</v>
      </c>
      <c r="FN19" s="120"/>
      <c r="FO19" s="120"/>
      <c r="FP19" s="120"/>
      <c r="FQ19" s="120"/>
      <c r="FR19" s="205"/>
      <c r="FS19" s="209"/>
      <c r="FT19" s="205"/>
      <c r="FU19" s="205">
        <f t="shared" si="142"/>
        <v>0</v>
      </c>
      <c r="FV19" s="205">
        <f t="shared" si="152"/>
        <v>0</v>
      </c>
      <c r="FW19" s="120"/>
      <c r="FX19" s="120"/>
      <c r="FY19" s="120"/>
      <c r="FZ19" s="120"/>
      <c r="GA19" s="120"/>
      <c r="GB19" s="209"/>
      <c r="GC19" s="205"/>
      <c r="GD19" s="205">
        <f t="shared" si="143"/>
        <v>0</v>
      </c>
      <c r="GE19" s="120"/>
      <c r="GF19" s="120"/>
      <c r="GG19" s="120"/>
      <c r="GH19" s="120"/>
      <c r="GI19" s="120"/>
      <c r="GJ19" s="209"/>
      <c r="GK19" s="205"/>
      <c r="GL19" s="205">
        <f t="shared" si="144"/>
        <v>0</v>
      </c>
      <c r="GM19" s="120"/>
      <c r="GN19" s="120"/>
      <c r="GO19" s="120"/>
      <c r="GP19" s="120"/>
      <c r="GQ19" s="120"/>
      <c r="GR19" s="209"/>
      <c r="GS19" s="205"/>
      <c r="GT19" s="205">
        <f t="shared" si="145"/>
        <v>0</v>
      </c>
      <c r="GU19" s="120"/>
      <c r="GV19" s="120"/>
      <c r="GW19" s="120"/>
      <c r="GX19" s="120"/>
      <c r="GY19" s="120"/>
      <c r="GZ19" s="209"/>
      <c r="HA19" s="205"/>
      <c r="HB19" s="205">
        <f t="shared" si="146"/>
        <v>0</v>
      </c>
      <c r="HC19" s="120"/>
      <c r="HD19" s="120"/>
      <c r="HE19" s="120"/>
      <c r="HF19" s="120"/>
      <c r="HG19" s="120"/>
      <c r="HH19" s="209"/>
      <c r="HI19" s="205"/>
      <c r="HJ19" s="205">
        <f t="shared" si="147"/>
        <v>0</v>
      </c>
      <c r="HK19" s="205">
        <f t="shared" si="153"/>
        <v>0</v>
      </c>
      <c r="HL19" s="124"/>
      <c r="HM19" s="120"/>
      <c r="HN19" s="123">
        <v>240</v>
      </c>
      <c r="HO19" s="120"/>
      <c r="HP19" s="120"/>
      <c r="HQ19" s="205"/>
      <c r="HR19" s="205"/>
      <c r="HS19" s="205">
        <f t="shared" si="154"/>
        <v>240</v>
      </c>
      <c r="HT19" s="120"/>
      <c r="HU19" s="120"/>
      <c r="HV19" s="120"/>
      <c r="HW19" s="120"/>
      <c r="HX19" s="120"/>
      <c r="HY19" s="205"/>
      <c r="HZ19" s="205"/>
      <c r="IA19" s="205">
        <f t="shared" si="155"/>
        <v>0</v>
      </c>
      <c r="IB19" s="120"/>
      <c r="IC19" s="120"/>
      <c r="ID19" s="120"/>
      <c r="IE19" s="120"/>
      <c r="IF19" s="120"/>
      <c r="IG19" s="205"/>
      <c r="IH19" s="205"/>
      <c r="II19" s="205">
        <f t="shared" si="156"/>
        <v>0</v>
      </c>
      <c r="IJ19" s="120"/>
      <c r="IK19" s="120"/>
      <c r="IL19" s="120"/>
      <c r="IM19" s="120"/>
      <c r="IN19" s="120"/>
      <c r="IO19" s="205"/>
      <c r="IP19" s="205"/>
      <c r="IQ19" s="205">
        <f t="shared" si="157"/>
        <v>0</v>
      </c>
      <c r="IR19" s="205">
        <f t="shared" si="158"/>
        <v>240</v>
      </c>
      <c r="IS19" s="120"/>
      <c r="IT19" s="120"/>
      <c r="IU19" s="120"/>
      <c r="IV19" s="120"/>
      <c r="IW19" s="120"/>
      <c r="IX19" s="205"/>
      <c r="IY19" s="205"/>
      <c r="IZ19" s="205">
        <f t="shared" si="159"/>
        <v>0</v>
      </c>
      <c r="JA19" s="120"/>
      <c r="JB19" s="120"/>
      <c r="JC19" s="120"/>
      <c r="JD19" s="120"/>
      <c r="JE19" s="120"/>
      <c r="JF19" s="205"/>
      <c r="JG19" s="205"/>
      <c r="JH19" s="205">
        <f t="shared" si="160"/>
        <v>0</v>
      </c>
      <c r="JI19" s="120"/>
      <c r="JJ19" s="120"/>
      <c r="JK19" s="120"/>
      <c r="JL19" s="120"/>
      <c r="JM19" s="120"/>
      <c r="JN19" s="205"/>
      <c r="JO19" s="205"/>
      <c r="JP19" s="205">
        <f t="shared" si="161"/>
        <v>0</v>
      </c>
      <c r="JQ19" s="120"/>
      <c r="JR19" s="120"/>
      <c r="JS19" s="120"/>
      <c r="JT19" s="120"/>
      <c r="JU19" s="120"/>
      <c r="JV19" s="205"/>
      <c r="JW19" s="205"/>
      <c r="JX19" s="205">
        <f t="shared" si="162"/>
        <v>0</v>
      </c>
      <c r="JY19" s="205">
        <f t="shared" si="163"/>
        <v>0</v>
      </c>
      <c r="JZ19" s="120"/>
      <c r="KA19" s="120"/>
      <c r="KB19" s="120"/>
      <c r="KC19" s="120"/>
      <c r="KD19" s="120"/>
      <c r="KE19" s="205"/>
      <c r="KF19" s="205"/>
      <c r="KG19" s="205">
        <f t="shared" si="164"/>
        <v>0</v>
      </c>
      <c r="KH19" s="120"/>
      <c r="KI19" s="201">
        <v>300</v>
      </c>
      <c r="KJ19" s="120"/>
      <c r="KK19" s="120"/>
      <c r="KL19" s="120"/>
      <c r="KM19" s="205"/>
      <c r="KN19" s="205"/>
      <c r="KO19" s="205">
        <f t="shared" si="165"/>
        <v>300</v>
      </c>
      <c r="KP19" s="120"/>
      <c r="KQ19" s="120"/>
      <c r="KR19" s="120"/>
      <c r="KS19" s="120"/>
      <c r="KT19" s="120"/>
      <c r="KU19" s="205"/>
      <c r="KV19" s="205"/>
      <c r="KW19" s="205">
        <f t="shared" si="166"/>
        <v>0</v>
      </c>
      <c r="KX19" s="120"/>
      <c r="KY19" s="120"/>
      <c r="KZ19" s="120"/>
      <c r="LA19" s="120"/>
      <c r="LB19" s="120"/>
      <c r="LC19" s="205"/>
      <c r="LD19" s="205"/>
      <c r="LE19" s="205">
        <f t="shared" si="167"/>
        <v>0</v>
      </c>
      <c r="LF19" s="205"/>
      <c r="LG19" s="120"/>
      <c r="LH19" s="120"/>
      <c r="LI19" s="120"/>
      <c r="LJ19" s="120"/>
      <c r="LK19" s="205"/>
      <c r="LL19" s="205"/>
      <c r="LM19" s="205">
        <f t="shared" si="168"/>
        <v>0</v>
      </c>
      <c r="LN19" s="205">
        <f t="shared" si="169"/>
        <v>300</v>
      </c>
      <c r="LO19" s="205"/>
      <c r="LP19" s="120"/>
      <c r="LQ19" s="120"/>
      <c r="LR19" s="120"/>
      <c r="LS19" s="205"/>
      <c r="LT19" s="205"/>
      <c r="LU19" s="205"/>
      <c r="LV19" s="205">
        <f t="shared" si="170"/>
        <v>0</v>
      </c>
      <c r="LW19" s="120"/>
      <c r="LX19" s="120"/>
      <c r="LY19" s="120"/>
      <c r="LZ19" s="120"/>
      <c r="MA19" s="120"/>
      <c r="MB19" s="205"/>
      <c r="MC19" s="205"/>
      <c r="MD19" s="205">
        <f t="shared" si="171"/>
        <v>0</v>
      </c>
      <c r="ME19" s="120"/>
      <c r="MF19" s="201">
        <v>600</v>
      </c>
      <c r="MG19" s="120"/>
      <c r="MH19" s="120"/>
      <c r="MI19" s="205"/>
      <c r="MJ19" s="205"/>
      <c r="MK19" s="205"/>
      <c r="ML19" s="205">
        <f t="shared" si="172"/>
        <v>600</v>
      </c>
      <c r="MM19" s="120"/>
      <c r="MN19" s="120"/>
      <c r="MO19" s="120"/>
      <c r="MP19" s="120"/>
      <c r="MQ19" s="120"/>
      <c r="MR19" s="205"/>
      <c r="MS19" s="205"/>
      <c r="MT19" s="205">
        <f t="shared" si="173"/>
        <v>0</v>
      </c>
      <c r="MU19" s="205">
        <f t="shared" si="174"/>
        <v>600</v>
      </c>
      <c r="MV19" s="120"/>
      <c r="MW19" s="120"/>
      <c r="MX19" s="120"/>
      <c r="MY19" s="120"/>
      <c r="MZ19" s="120"/>
      <c r="NA19" s="205"/>
      <c r="NB19" s="205"/>
      <c r="NC19" s="205">
        <f t="shared" si="175"/>
        <v>0</v>
      </c>
      <c r="ND19" s="120"/>
      <c r="NE19" s="120"/>
      <c r="NF19" s="120"/>
      <c r="NG19" s="120"/>
      <c r="NH19" s="120"/>
      <c r="NI19" s="205"/>
      <c r="NJ19" s="205"/>
      <c r="NK19" s="205">
        <f t="shared" si="176"/>
        <v>0</v>
      </c>
      <c r="NL19" s="120"/>
      <c r="NM19" s="120"/>
      <c r="NN19" s="120"/>
      <c r="NO19" s="120"/>
      <c r="NP19" s="120"/>
      <c r="NQ19" s="205"/>
      <c r="NR19" s="205"/>
      <c r="NS19" s="205">
        <f t="shared" si="177"/>
        <v>0</v>
      </c>
      <c r="NT19" s="120"/>
      <c r="NU19" s="120"/>
      <c r="NV19" s="120"/>
      <c r="NW19" s="120"/>
      <c r="NX19" s="120"/>
      <c r="NY19" s="205"/>
      <c r="NZ19" s="205"/>
      <c r="OA19" s="205">
        <f t="shared" si="178"/>
        <v>0</v>
      </c>
      <c r="OB19" s="205">
        <f t="shared" si="179"/>
        <v>0</v>
      </c>
      <c r="OC19" s="120"/>
      <c r="OD19" s="120"/>
      <c r="OE19" s="120"/>
      <c r="OF19" s="120"/>
      <c r="OG19" s="120"/>
      <c r="OH19" s="205"/>
      <c r="OI19" s="205"/>
      <c r="OJ19" s="205">
        <f t="shared" si="180"/>
        <v>0</v>
      </c>
      <c r="OK19" s="120"/>
      <c r="OL19" s="120"/>
      <c r="OM19" s="120"/>
      <c r="ON19" s="120"/>
      <c r="OO19" s="120"/>
      <c r="OP19" s="205"/>
      <c r="OQ19" s="205"/>
      <c r="OR19" s="205">
        <f t="shared" si="181"/>
        <v>0</v>
      </c>
      <c r="OS19" s="120"/>
      <c r="OT19" s="120"/>
      <c r="OU19" s="120"/>
      <c r="OV19" s="120"/>
      <c r="OW19" s="120"/>
      <c r="OX19" s="205"/>
      <c r="OY19" s="205"/>
      <c r="OZ19" s="205">
        <f t="shared" si="182"/>
        <v>0</v>
      </c>
      <c r="PA19" s="120"/>
      <c r="PB19" s="120"/>
      <c r="PC19" s="120"/>
      <c r="PD19" s="205"/>
      <c r="PE19" s="217"/>
      <c r="PF19" s="205"/>
      <c r="PG19" s="205"/>
      <c r="PH19" s="205">
        <f t="shared" si="183"/>
        <v>0</v>
      </c>
      <c r="PI19" s="120"/>
      <c r="PJ19" s="120"/>
      <c r="PK19" s="120"/>
      <c r="PL19" s="205"/>
      <c r="PM19" s="217"/>
      <c r="PN19" s="205"/>
      <c r="PO19" s="205"/>
      <c r="PP19" s="205">
        <f t="shared" si="184"/>
        <v>0</v>
      </c>
      <c r="PQ19" s="205">
        <f t="shared" si="185"/>
        <v>0</v>
      </c>
      <c r="PR19" s="124">
        <v>400</v>
      </c>
      <c r="PS19" s="207"/>
      <c r="PT19" s="207"/>
      <c r="PU19" s="207"/>
      <c r="PV19" s="207"/>
      <c r="PW19" s="272"/>
      <c r="PX19" s="272"/>
      <c r="PY19" s="205">
        <f t="shared" si="186"/>
        <v>400</v>
      </c>
      <c r="PZ19" s="207"/>
      <c r="QA19" s="207"/>
      <c r="QB19" s="207"/>
      <c r="QC19" s="207"/>
      <c r="QD19" s="207"/>
      <c r="QE19" s="272"/>
      <c r="QF19" s="272"/>
      <c r="QG19" s="205">
        <f t="shared" si="187"/>
        <v>0</v>
      </c>
      <c r="QH19" s="217">
        <v>650</v>
      </c>
      <c r="QI19" s="207"/>
      <c r="QJ19" s="294"/>
      <c r="QK19" s="207"/>
      <c r="QL19" s="207"/>
      <c r="QM19" s="272"/>
      <c r="QN19" s="272"/>
      <c r="QO19" s="205">
        <f t="shared" si="188"/>
        <v>650</v>
      </c>
      <c r="QP19" s="207"/>
      <c r="QQ19" s="207"/>
      <c r="QR19" s="207"/>
      <c r="QS19" s="207"/>
      <c r="QT19" s="207"/>
      <c r="QU19" s="272"/>
      <c r="QV19" s="272"/>
      <c r="QW19" s="205">
        <f t="shared" si="189"/>
        <v>0</v>
      </c>
      <c r="QX19" s="205">
        <f t="shared" si="190"/>
        <v>1050</v>
      </c>
      <c r="QY19" s="207"/>
      <c r="QZ19" s="207"/>
      <c r="RA19" s="207"/>
      <c r="RB19" s="207"/>
      <c r="RC19" s="207"/>
      <c r="RD19" s="272"/>
      <c r="RE19" s="272"/>
      <c r="RF19" s="205">
        <f t="shared" si="191"/>
        <v>0</v>
      </c>
      <c r="RG19" s="207"/>
      <c r="RH19" s="207"/>
      <c r="RI19" s="207"/>
      <c r="RJ19" s="207"/>
      <c r="RK19" s="207"/>
      <c r="RL19" s="272"/>
      <c r="RM19" s="272"/>
      <c r="RN19" s="205">
        <f t="shared" si="192"/>
        <v>0</v>
      </c>
      <c r="RO19" s="272"/>
      <c r="RP19" s="272"/>
      <c r="RQ19" s="272"/>
      <c r="RR19" s="272"/>
      <c r="RS19" s="272"/>
      <c r="RT19" s="272"/>
      <c r="RU19" s="272"/>
      <c r="RV19" s="205">
        <f t="shared" si="193"/>
        <v>0</v>
      </c>
      <c r="RW19" s="195">
        <v>800</v>
      </c>
      <c r="RX19" s="207"/>
      <c r="RY19" s="207"/>
      <c r="RZ19" s="207"/>
      <c r="SA19" s="272"/>
      <c r="SB19" s="272"/>
      <c r="SC19" s="272"/>
      <c r="SD19" s="205">
        <f t="shared" si="194"/>
        <v>800</v>
      </c>
      <c r="SE19" s="205">
        <f t="shared" si="195"/>
        <v>800</v>
      </c>
      <c r="SF19" s="120"/>
      <c r="SG19" s="207"/>
      <c r="SH19" s="207"/>
      <c r="SI19" s="207"/>
      <c r="SJ19" s="207"/>
      <c r="SK19" s="272"/>
      <c r="SL19" s="272"/>
      <c r="SM19" s="205">
        <f t="shared" si="196"/>
        <v>0</v>
      </c>
      <c r="SN19" s="207"/>
      <c r="SO19" s="207"/>
      <c r="SP19" s="207"/>
      <c r="SQ19" s="207"/>
      <c r="SR19" s="207"/>
      <c r="SS19" s="272"/>
      <c r="ST19" s="272"/>
      <c r="SU19" s="205">
        <f t="shared" si="197"/>
        <v>0</v>
      </c>
      <c r="SV19" s="207"/>
      <c r="SW19" s="207"/>
      <c r="SX19" s="207"/>
      <c r="SY19" s="207"/>
      <c r="SZ19" s="207"/>
      <c r="TA19" s="272"/>
      <c r="TB19" s="272"/>
      <c r="TC19" s="205">
        <f t="shared" si="198"/>
        <v>0</v>
      </c>
      <c r="TD19" s="207"/>
      <c r="TE19" s="207"/>
      <c r="TF19" s="207"/>
      <c r="TG19" s="207"/>
      <c r="TH19" s="207"/>
      <c r="TI19" s="272"/>
      <c r="TJ19" s="272"/>
      <c r="TK19" s="205">
        <f t="shared" si="199"/>
        <v>0</v>
      </c>
      <c r="TL19" s="207"/>
      <c r="TM19" s="207"/>
      <c r="TN19" s="207"/>
      <c r="TO19" s="207"/>
      <c r="TP19" s="272"/>
      <c r="TQ19" s="272"/>
      <c r="TR19" s="272"/>
      <c r="TS19" s="205">
        <f t="shared" si="200"/>
        <v>0</v>
      </c>
      <c r="TT19" s="205">
        <f t="shared" si="201"/>
        <v>0</v>
      </c>
      <c r="TU19" s="272"/>
      <c r="TV19" s="207"/>
      <c r="TW19" s="207"/>
      <c r="TX19" s="207"/>
      <c r="TY19" s="207"/>
      <c r="TZ19" s="272"/>
      <c r="UA19" s="272"/>
      <c r="UB19" s="205">
        <f t="shared" si="202"/>
        <v>0</v>
      </c>
      <c r="UC19" s="207"/>
      <c r="UD19" s="207"/>
      <c r="UE19" s="380">
        <v>600</v>
      </c>
      <c r="UF19" s="207"/>
      <c r="UG19" s="207"/>
      <c r="UH19" s="272"/>
      <c r="UI19" s="272"/>
      <c r="UJ19" s="205">
        <f t="shared" si="203"/>
        <v>600</v>
      </c>
      <c r="UK19" s="207"/>
      <c r="UL19" s="207"/>
      <c r="UM19" s="207"/>
      <c r="UN19" s="207"/>
      <c r="UO19" s="207"/>
      <c r="UP19" s="272"/>
      <c r="UQ19" s="272"/>
      <c r="UR19" s="205">
        <f t="shared" si="226"/>
        <v>0</v>
      </c>
      <c r="US19" s="207"/>
      <c r="UT19" s="207"/>
      <c r="UU19" s="207"/>
      <c r="UV19" s="207"/>
      <c r="UW19" s="272"/>
      <c r="UX19" s="272"/>
      <c r="UY19" s="272"/>
      <c r="UZ19" s="205">
        <f t="shared" si="204"/>
        <v>0</v>
      </c>
      <c r="VA19" s="205">
        <f t="shared" si="205"/>
        <v>600</v>
      </c>
      <c r="VB19" s="207"/>
      <c r="VC19" s="207"/>
      <c r="VD19" s="207"/>
      <c r="VE19" s="207"/>
      <c r="VF19" s="207"/>
      <c r="VG19" s="272"/>
      <c r="VH19" s="272"/>
      <c r="VI19" s="205">
        <f t="shared" si="206"/>
        <v>0</v>
      </c>
      <c r="VJ19" s="207"/>
      <c r="VK19" s="207"/>
      <c r="VL19" s="207"/>
      <c r="VM19" s="207"/>
      <c r="VN19" s="207"/>
      <c r="VO19" s="272"/>
      <c r="VP19" s="272"/>
      <c r="VQ19" s="205">
        <f t="shared" si="207"/>
        <v>0</v>
      </c>
      <c r="VR19" s="207"/>
      <c r="VS19" s="207"/>
      <c r="VT19" s="207"/>
      <c r="VU19" s="207"/>
      <c r="VV19" s="207"/>
      <c r="VW19" s="272"/>
      <c r="VX19" s="272"/>
      <c r="VY19" s="205">
        <f t="shared" si="208"/>
        <v>0</v>
      </c>
      <c r="VZ19" s="207"/>
      <c r="WA19" s="207"/>
      <c r="WB19" s="207"/>
      <c r="WC19" s="207"/>
      <c r="WD19" s="207"/>
      <c r="WE19" s="272"/>
      <c r="WF19" s="272"/>
      <c r="WG19" s="205">
        <f t="shared" si="209"/>
        <v>0</v>
      </c>
      <c r="WH19" s="205">
        <f t="shared" si="210"/>
        <v>0</v>
      </c>
      <c r="WI19" s="207"/>
      <c r="WJ19" s="207"/>
      <c r="WK19" s="207"/>
      <c r="WL19" s="207"/>
      <c r="WM19" s="207"/>
      <c r="WN19" s="272"/>
      <c r="WO19" s="272"/>
      <c r="WP19" s="205">
        <f t="shared" si="211"/>
        <v>0</v>
      </c>
      <c r="WQ19" s="207"/>
      <c r="WR19" s="207"/>
      <c r="WS19" s="207"/>
      <c r="WT19" s="207"/>
      <c r="WU19" s="207"/>
      <c r="WV19" s="272"/>
      <c r="WW19" s="272"/>
      <c r="WX19" s="205">
        <f t="shared" si="212"/>
        <v>0</v>
      </c>
      <c r="WY19" s="207"/>
      <c r="WZ19" s="207"/>
      <c r="XA19" s="207"/>
      <c r="XB19" s="207"/>
      <c r="XC19" s="272"/>
      <c r="XD19" s="272"/>
      <c r="XE19" s="272"/>
      <c r="XF19" s="205">
        <f t="shared" si="213"/>
        <v>0</v>
      </c>
      <c r="XG19" s="207"/>
      <c r="XH19" s="207"/>
      <c r="XI19" s="207"/>
      <c r="XJ19" s="207"/>
      <c r="XK19" s="207"/>
      <c r="XL19" s="272"/>
      <c r="XM19" s="272"/>
      <c r="XN19" s="205">
        <f t="shared" si="214"/>
        <v>0</v>
      </c>
      <c r="XO19" s="207"/>
      <c r="XP19" s="207"/>
      <c r="XQ19" s="207"/>
      <c r="XR19" s="207"/>
      <c r="XS19" s="207"/>
      <c r="XT19" s="272"/>
      <c r="XU19" s="272"/>
      <c r="XV19" s="205">
        <f t="shared" si="215"/>
        <v>0</v>
      </c>
      <c r="XW19" s="205">
        <f t="shared" si="216"/>
        <v>0</v>
      </c>
      <c r="XX19" s="207"/>
      <c r="XY19" s="207"/>
      <c r="XZ19" s="207"/>
      <c r="YA19" s="207"/>
      <c r="YB19" s="207"/>
      <c r="YC19" s="272"/>
      <c r="YD19" s="272"/>
      <c r="YE19" s="205">
        <f t="shared" si="217"/>
        <v>0</v>
      </c>
      <c r="YF19" s="207"/>
      <c r="YG19" s="207"/>
      <c r="YH19" s="207"/>
      <c r="YI19" s="207"/>
      <c r="YJ19" s="207"/>
      <c r="YK19" s="272"/>
      <c r="YL19" s="272"/>
      <c r="YM19" s="205">
        <f t="shared" si="218"/>
        <v>0</v>
      </c>
      <c r="YN19" s="207"/>
      <c r="YO19" s="207"/>
      <c r="YP19" s="207"/>
      <c r="YQ19" s="207"/>
      <c r="YR19" s="207"/>
      <c r="YS19" s="272"/>
      <c r="YT19" s="272"/>
      <c r="YU19" s="205">
        <f t="shared" si="148"/>
        <v>0</v>
      </c>
      <c r="YV19" s="207"/>
      <c r="YW19" s="207"/>
      <c r="YX19" s="207"/>
      <c r="YY19" s="207"/>
      <c r="YZ19" s="207"/>
      <c r="ZA19" s="272"/>
      <c r="ZB19" s="272"/>
      <c r="ZC19" s="205">
        <f t="shared" si="219"/>
        <v>0</v>
      </c>
      <c r="ZD19" s="205">
        <f t="shared" si="149"/>
        <v>0</v>
      </c>
      <c r="ZE19" s="207"/>
      <c r="ZF19" s="207"/>
      <c r="ZG19" s="207"/>
      <c r="ZH19" s="207"/>
      <c r="ZI19" s="207"/>
      <c r="ZJ19" s="272"/>
      <c r="ZK19" s="272"/>
      <c r="ZL19" s="205">
        <f t="shared" si="220"/>
        <v>0</v>
      </c>
      <c r="ZM19" s="207"/>
      <c r="ZN19" s="207"/>
      <c r="ZO19" s="207"/>
      <c r="ZP19" s="207"/>
      <c r="ZQ19" s="207"/>
      <c r="ZR19" s="272"/>
      <c r="ZS19" s="272"/>
      <c r="ZT19" s="205">
        <f t="shared" si="221"/>
        <v>0</v>
      </c>
      <c r="ZU19" s="207"/>
      <c r="ZV19" s="207"/>
      <c r="ZW19" s="207"/>
      <c r="ZX19" s="207"/>
      <c r="ZY19" s="207"/>
      <c r="ZZ19" s="272"/>
      <c r="AAA19" s="272"/>
      <c r="AAB19" s="205">
        <f t="shared" si="222"/>
        <v>0</v>
      </c>
      <c r="AAC19" s="207"/>
      <c r="AAD19" s="207"/>
      <c r="AAE19" s="207"/>
      <c r="AAF19" s="207"/>
      <c r="AAG19" s="207"/>
      <c r="AAH19" s="272"/>
      <c r="AAI19" s="272"/>
      <c r="AAJ19" s="205">
        <f t="shared" si="223"/>
        <v>0</v>
      </c>
      <c r="AAK19" s="207"/>
      <c r="AAL19" s="207"/>
      <c r="AAM19" s="207"/>
      <c r="AAN19" s="207"/>
      <c r="AAO19" s="207"/>
      <c r="AAP19" s="272"/>
      <c r="AAQ19" s="272"/>
      <c r="AAR19" s="205">
        <f t="shared" si="224"/>
        <v>0</v>
      </c>
      <c r="AAS19" s="205">
        <f t="shared" si="225"/>
        <v>0</v>
      </c>
    </row>
    <row r="20" spans="1:721" ht="69.95" customHeight="1">
      <c r="A20" s="117" t="s">
        <v>6</v>
      </c>
      <c r="B20" s="155">
        <v>3620101501</v>
      </c>
      <c r="C20" s="323"/>
      <c r="D20" s="203" t="s">
        <v>8</v>
      </c>
      <c r="E20" s="130" t="s">
        <v>4</v>
      </c>
      <c r="F20" s="120"/>
      <c r="G20" s="120"/>
      <c r="H20" s="201">
        <v>1780</v>
      </c>
      <c r="I20" s="120"/>
      <c r="J20" s="120"/>
      <c r="K20" s="209"/>
      <c r="L20" s="205"/>
      <c r="M20" s="205">
        <f t="shared" si="121"/>
        <v>1780</v>
      </c>
      <c r="N20" s="120"/>
      <c r="O20" s="120"/>
      <c r="P20" s="120"/>
      <c r="Q20" s="120"/>
      <c r="R20" s="120"/>
      <c r="S20" s="209"/>
      <c r="T20" s="205"/>
      <c r="U20" s="205">
        <f t="shared" si="122"/>
        <v>0</v>
      </c>
      <c r="V20" s="120"/>
      <c r="W20" s="120"/>
      <c r="X20" s="120"/>
      <c r="Y20" s="120"/>
      <c r="Z20" s="120"/>
      <c r="AA20" s="209"/>
      <c r="AB20" s="205"/>
      <c r="AC20" s="205">
        <f t="shared" si="123"/>
        <v>0</v>
      </c>
      <c r="AD20" s="205"/>
      <c r="AE20" s="205"/>
      <c r="AF20" s="205"/>
      <c r="AG20" s="205"/>
      <c r="AH20" s="205"/>
      <c r="AI20" s="209"/>
      <c r="AJ20" s="205"/>
      <c r="AK20" s="205">
        <f t="shared" si="124"/>
        <v>0</v>
      </c>
      <c r="AL20" s="205" t="e">
        <f>SUM(#REF!,M20,U20,AC20,AD20:AH20)</f>
        <v>#REF!</v>
      </c>
      <c r="AM20" s="120"/>
      <c r="AN20" s="120"/>
      <c r="AO20" s="120"/>
      <c r="AP20" s="120"/>
      <c r="AQ20" s="120"/>
      <c r="AR20" s="209"/>
      <c r="AS20" s="205"/>
      <c r="AT20" s="205">
        <f t="shared" si="125"/>
        <v>0</v>
      </c>
      <c r="AU20" s="120"/>
      <c r="AV20" s="120"/>
      <c r="AW20" s="120"/>
      <c r="AX20" s="120"/>
      <c r="AY20" s="120"/>
      <c r="AZ20" s="209"/>
      <c r="BA20" s="205"/>
      <c r="BB20" s="205">
        <f t="shared" si="126"/>
        <v>0</v>
      </c>
      <c r="BC20" s="120"/>
      <c r="BD20" s="120"/>
      <c r="BE20" s="217">
        <v>270</v>
      </c>
      <c r="BF20" s="120"/>
      <c r="BG20" s="120"/>
      <c r="BH20" s="209"/>
      <c r="BI20" s="205"/>
      <c r="BJ20" s="205">
        <f t="shared" si="127"/>
        <v>270</v>
      </c>
      <c r="BK20" s="120"/>
      <c r="BL20" s="120"/>
      <c r="BM20" s="120"/>
      <c r="BN20" s="120"/>
      <c r="BO20" s="205"/>
      <c r="BP20" s="209"/>
      <c r="BQ20" s="205"/>
      <c r="BR20" s="205">
        <f t="shared" si="128"/>
        <v>0</v>
      </c>
      <c r="BS20" s="205">
        <f t="shared" si="129"/>
        <v>270</v>
      </c>
      <c r="BT20" s="120"/>
      <c r="BU20" s="120"/>
      <c r="BV20" s="120"/>
      <c r="BW20" s="120"/>
      <c r="BX20" s="120"/>
      <c r="BY20" s="209"/>
      <c r="BZ20" s="205"/>
      <c r="CA20" s="205">
        <f t="shared" si="130"/>
        <v>0</v>
      </c>
      <c r="CB20" s="120"/>
      <c r="CC20" s="120"/>
      <c r="CD20" s="120"/>
      <c r="CE20" s="120"/>
      <c r="CF20" s="120"/>
      <c r="CG20" s="209"/>
      <c r="CH20" s="205"/>
      <c r="CI20" s="205">
        <f t="shared" si="131"/>
        <v>0</v>
      </c>
      <c r="CJ20" s="120"/>
      <c r="CK20" s="120"/>
      <c r="CL20" s="120"/>
      <c r="CM20" s="120"/>
      <c r="CN20" s="120"/>
      <c r="CO20" s="209"/>
      <c r="CP20" s="205"/>
      <c r="CQ20" s="205">
        <f t="shared" si="132"/>
        <v>0</v>
      </c>
      <c r="CR20" s="120"/>
      <c r="CS20" s="120"/>
      <c r="CT20" s="120"/>
      <c r="CU20" s="120"/>
      <c r="CV20" s="120"/>
      <c r="CW20" s="209"/>
      <c r="CX20" s="205"/>
      <c r="CY20" s="205">
        <f t="shared" si="133"/>
        <v>0</v>
      </c>
      <c r="CZ20" s="217">
        <v>450</v>
      </c>
      <c r="DA20" s="120"/>
      <c r="DB20" s="120"/>
      <c r="DC20" s="205"/>
      <c r="DD20" s="205"/>
      <c r="DE20" s="209"/>
      <c r="DF20" s="205"/>
      <c r="DG20" s="205">
        <f t="shared" si="134"/>
        <v>450</v>
      </c>
      <c r="DH20" s="205">
        <f t="shared" si="150"/>
        <v>450</v>
      </c>
      <c r="DI20" s="120"/>
      <c r="DJ20" s="120"/>
      <c r="DK20" s="120"/>
      <c r="DL20" s="120"/>
      <c r="DM20" s="120"/>
      <c r="DN20" s="209"/>
      <c r="DO20" s="205"/>
      <c r="DP20" s="205">
        <f t="shared" si="135"/>
        <v>0</v>
      </c>
      <c r="DQ20" s="217">
        <v>1080</v>
      </c>
      <c r="DR20" s="120"/>
      <c r="DS20" s="120"/>
      <c r="DT20" s="120"/>
      <c r="DU20" s="120"/>
      <c r="DV20" s="209"/>
      <c r="DW20" s="205"/>
      <c r="DX20" s="205">
        <f t="shared" si="136"/>
        <v>1080</v>
      </c>
      <c r="DY20" s="120"/>
      <c r="DZ20" s="120"/>
      <c r="EA20" s="120"/>
      <c r="EB20" s="120"/>
      <c r="EC20" s="120"/>
      <c r="ED20" s="209"/>
      <c r="EE20" s="205"/>
      <c r="EF20" s="205">
        <f t="shared" si="137"/>
        <v>0</v>
      </c>
      <c r="EG20" s="120"/>
      <c r="EH20" s="120"/>
      <c r="EI20" s="120"/>
      <c r="EJ20" s="205"/>
      <c r="EK20" s="205"/>
      <c r="EL20" s="209"/>
      <c r="EM20" s="205"/>
      <c r="EN20" s="205">
        <f t="shared" si="138"/>
        <v>0</v>
      </c>
      <c r="EO20" s="205">
        <f t="shared" si="151"/>
        <v>1080</v>
      </c>
      <c r="EP20" s="120"/>
      <c r="EQ20" s="250">
        <v>600</v>
      </c>
      <c r="ER20" s="120"/>
      <c r="ES20" s="120"/>
      <c r="ET20" s="120"/>
      <c r="EU20" s="209"/>
      <c r="EV20" s="205"/>
      <c r="EW20" s="205">
        <f t="shared" si="139"/>
        <v>600</v>
      </c>
      <c r="EX20" s="120"/>
      <c r="EY20" s="120"/>
      <c r="EZ20" s="120"/>
      <c r="FA20" s="120"/>
      <c r="FB20" s="120"/>
      <c r="FC20" s="209"/>
      <c r="FD20" s="205"/>
      <c r="FE20" s="205">
        <f t="shared" si="140"/>
        <v>0</v>
      </c>
      <c r="FF20" s="120"/>
      <c r="FG20" s="120"/>
      <c r="FH20" s="120"/>
      <c r="FI20" s="120"/>
      <c r="FJ20" s="120"/>
      <c r="FK20" s="209"/>
      <c r="FL20" s="205"/>
      <c r="FM20" s="205">
        <f t="shared" si="141"/>
        <v>0</v>
      </c>
      <c r="FN20" s="250">
        <v>1150</v>
      </c>
      <c r="FO20" s="120"/>
      <c r="FP20" s="120"/>
      <c r="FQ20" s="120"/>
      <c r="FR20" s="205"/>
      <c r="FS20" s="209"/>
      <c r="FT20" s="205"/>
      <c r="FU20" s="205">
        <f t="shared" si="142"/>
        <v>1150</v>
      </c>
      <c r="FV20" s="205">
        <f t="shared" si="152"/>
        <v>1750</v>
      </c>
      <c r="FW20" s="120"/>
      <c r="FX20" s="120"/>
      <c r="FY20" s="120"/>
      <c r="FZ20" s="120"/>
      <c r="GA20" s="120"/>
      <c r="GB20" s="209"/>
      <c r="GC20" s="205"/>
      <c r="GD20" s="205">
        <f t="shared" si="143"/>
        <v>0</v>
      </c>
      <c r="GE20" s="120"/>
      <c r="GF20" s="120"/>
      <c r="GG20" s="120"/>
      <c r="GH20" s="120"/>
      <c r="GI20" s="120"/>
      <c r="GJ20" s="209"/>
      <c r="GK20" s="205"/>
      <c r="GL20" s="205">
        <f t="shared" si="144"/>
        <v>0</v>
      </c>
      <c r="GM20" s="120"/>
      <c r="GN20" s="120"/>
      <c r="GO20" s="120"/>
      <c r="GP20" s="120"/>
      <c r="GQ20" s="120"/>
      <c r="GR20" s="209"/>
      <c r="GS20" s="205"/>
      <c r="GT20" s="205">
        <f t="shared" si="145"/>
        <v>0</v>
      </c>
      <c r="GU20" s="120"/>
      <c r="GV20" s="120"/>
      <c r="GW20" s="120"/>
      <c r="GX20" s="120"/>
      <c r="GY20" s="120"/>
      <c r="GZ20" s="209"/>
      <c r="HA20" s="205"/>
      <c r="HB20" s="205">
        <f t="shared" si="146"/>
        <v>0</v>
      </c>
      <c r="HC20" s="120"/>
      <c r="HD20" s="120"/>
      <c r="HE20" s="120"/>
      <c r="HF20" s="120"/>
      <c r="HG20" s="120"/>
      <c r="HH20" s="209"/>
      <c r="HI20" s="205"/>
      <c r="HJ20" s="205">
        <f t="shared" si="147"/>
        <v>0</v>
      </c>
      <c r="HK20" s="205">
        <f t="shared" si="153"/>
        <v>0</v>
      </c>
      <c r="HL20" s="124"/>
      <c r="HM20" s="120"/>
      <c r="HN20" s="120"/>
      <c r="HO20" s="123">
        <v>450</v>
      </c>
      <c r="HP20" s="120"/>
      <c r="HQ20" s="205"/>
      <c r="HR20" s="205"/>
      <c r="HS20" s="205">
        <f t="shared" si="154"/>
        <v>450</v>
      </c>
      <c r="HT20" s="120"/>
      <c r="HU20" s="120"/>
      <c r="HV20" s="120"/>
      <c r="HW20" s="120"/>
      <c r="HX20" s="120"/>
      <c r="HY20" s="205"/>
      <c r="HZ20" s="205"/>
      <c r="IA20" s="205">
        <f t="shared" si="155"/>
        <v>0</v>
      </c>
      <c r="IB20" s="120"/>
      <c r="IC20" s="120"/>
      <c r="ID20" s="120"/>
      <c r="IE20" s="120"/>
      <c r="IF20" s="120"/>
      <c r="IG20" s="205"/>
      <c r="IH20" s="205"/>
      <c r="II20" s="205">
        <f t="shared" si="156"/>
        <v>0</v>
      </c>
      <c r="IJ20" s="120"/>
      <c r="IK20" s="120"/>
      <c r="IL20" s="201">
        <v>1050</v>
      </c>
      <c r="IM20" s="120"/>
      <c r="IN20" s="120"/>
      <c r="IO20" s="205"/>
      <c r="IP20" s="205"/>
      <c r="IQ20" s="205">
        <f t="shared" si="157"/>
        <v>1050</v>
      </c>
      <c r="IR20" s="205">
        <f t="shared" si="158"/>
        <v>1500</v>
      </c>
      <c r="IS20" s="120"/>
      <c r="IT20" s="120"/>
      <c r="IU20" s="120"/>
      <c r="IV20" s="120"/>
      <c r="IW20" s="120"/>
      <c r="IX20" s="205"/>
      <c r="IY20" s="205"/>
      <c r="IZ20" s="205">
        <f t="shared" si="159"/>
        <v>0</v>
      </c>
      <c r="JA20" s="120"/>
      <c r="JB20" s="120"/>
      <c r="JC20" s="120"/>
      <c r="JD20" s="120"/>
      <c r="JE20" s="120"/>
      <c r="JF20" s="205"/>
      <c r="JG20" s="205"/>
      <c r="JH20" s="205">
        <f t="shared" si="160"/>
        <v>0</v>
      </c>
      <c r="JI20" s="120"/>
      <c r="JJ20" s="120"/>
      <c r="JK20" s="120"/>
      <c r="JL20" s="120"/>
      <c r="JM20" s="120"/>
      <c r="JN20" s="205"/>
      <c r="JO20" s="205"/>
      <c r="JP20" s="205">
        <f t="shared" si="161"/>
        <v>0</v>
      </c>
      <c r="JQ20" s="120"/>
      <c r="JR20" s="120"/>
      <c r="JS20" s="120"/>
      <c r="JT20" s="120"/>
      <c r="JU20" s="120"/>
      <c r="JV20" s="205"/>
      <c r="JW20" s="205"/>
      <c r="JX20" s="205">
        <f t="shared" si="162"/>
        <v>0</v>
      </c>
      <c r="JY20" s="205">
        <f t="shared" si="163"/>
        <v>0</v>
      </c>
      <c r="JZ20" s="120"/>
      <c r="KA20" s="120"/>
      <c r="KB20" s="120"/>
      <c r="KC20" s="120"/>
      <c r="KD20" s="120"/>
      <c r="KE20" s="205"/>
      <c r="KF20" s="205"/>
      <c r="KG20" s="205">
        <f t="shared" si="164"/>
        <v>0</v>
      </c>
      <c r="KH20" s="120"/>
      <c r="KI20" s="120"/>
      <c r="KJ20" s="120"/>
      <c r="KK20" s="120"/>
      <c r="KL20" s="206">
        <v>5280</v>
      </c>
      <c r="KM20" s="205"/>
      <c r="KN20" s="205"/>
      <c r="KO20" s="205">
        <f t="shared" si="165"/>
        <v>5280</v>
      </c>
      <c r="KP20" s="120"/>
      <c r="KQ20" s="120"/>
      <c r="KR20" s="120"/>
      <c r="KS20" s="120"/>
      <c r="KT20" s="120"/>
      <c r="KU20" s="205"/>
      <c r="KV20" s="205"/>
      <c r="KW20" s="205">
        <f t="shared" si="166"/>
        <v>0</v>
      </c>
      <c r="KX20" s="120"/>
      <c r="KY20" s="120"/>
      <c r="KZ20" s="120"/>
      <c r="LA20" s="120"/>
      <c r="LB20" s="120"/>
      <c r="LC20" s="205"/>
      <c r="LD20" s="205"/>
      <c r="LE20" s="205">
        <f t="shared" si="167"/>
        <v>0</v>
      </c>
      <c r="LF20" s="205"/>
      <c r="LG20" s="120"/>
      <c r="LH20" s="120"/>
      <c r="LI20" s="120"/>
      <c r="LJ20" s="120"/>
      <c r="LK20" s="205"/>
      <c r="LL20" s="205"/>
      <c r="LM20" s="205">
        <f t="shared" si="168"/>
        <v>0</v>
      </c>
      <c r="LN20" s="205">
        <f t="shared" si="169"/>
        <v>5280</v>
      </c>
      <c r="LO20" s="205"/>
      <c r="LP20" s="120"/>
      <c r="LQ20" s="120"/>
      <c r="LR20" s="120"/>
      <c r="LS20" s="205"/>
      <c r="LT20" s="205"/>
      <c r="LU20" s="205"/>
      <c r="LV20" s="205">
        <f t="shared" si="170"/>
        <v>0</v>
      </c>
      <c r="LW20" s="120"/>
      <c r="LX20" s="120"/>
      <c r="LY20" s="120"/>
      <c r="LZ20" s="120"/>
      <c r="MA20" s="120"/>
      <c r="MB20" s="205"/>
      <c r="MC20" s="205"/>
      <c r="MD20" s="205">
        <f t="shared" si="171"/>
        <v>0</v>
      </c>
      <c r="ME20" s="120"/>
      <c r="MF20" s="201">
        <v>400</v>
      </c>
      <c r="MG20" s="120"/>
      <c r="MH20" s="120"/>
      <c r="MI20" s="205"/>
      <c r="MJ20" s="205"/>
      <c r="MK20" s="205"/>
      <c r="ML20" s="205">
        <f t="shared" si="172"/>
        <v>400</v>
      </c>
      <c r="MM20" s="120"/>
      <c r="MN20" s="120"/>
      <c r="MO20" s="120"/>
      <c r="MP20" s="120"/>
      <c r="MQ20" s="120"/>
      <c r="MR20" s="205"/>
      <c r="MS20" s="205"/>
      <c r="MT20" s="205">
        <f t="shared" si="173"/>
        <v>0</v>
      </c>
      <c r="MU20" s="205">
        <f t="shared" si="174"/>
        <v>400</v>
      </c>
      <c r="MV20" s="120"/>
      <c r="MW20" s="120"/>
      <c r="MX20" s="120"/>
      <c r="MY20" s="120"/>
      <c r="MZ20" s="120"/>
      <c r="NA20" s="205"/>
      <c r="NB20" s="205"/>
      <c r="NC20" s="205">
        <f t="shared" si="175"/>
        <v>0</v>
      </c>
      <c r="ND20" s="120"/>
      <c r="NE20" s="120"/>
      <c r="NF20" s="120"/>
      <c r="NG20" s="120"/>
      <c r="NH20" s="120"/>
      <c r="NI20" s="205"/>
      <c r="NJ20" s="205"/>
      <c r="NK20" s="205">
        <f t="shared" si="176"/>
        <v>0</v>
      </c>
      <c r="NL20" s="120"/>
      <c r="NM20" s="120"/>
      <c r="NN20" s="120"/>
      <c r="NO20" s="120"/>
      <c r="NP20" s="120"/>
      <c r="NQ20" s="205"/>
      <c r="NR20" s="205"/>
      <c r="NS20" s="205">
        <f t="shared" si="177"/>
        <v>0</v>
      </c>
      <c r="NT20" s="120"/>
      <c r="NU20" s="120"/>
      <c r="NV20" s="120"/>
      <c r="NW20" s="120"/>
      <c r="NX20" s="120"/>
      <c r="NY20" s="205"/>
      <c r="NZ20" s="205"/>
      <c r="OA20" s="205">
        <f t="shared" si="178"/>
        <v>0</v>
      </c>
      <c r="OB20" s="205">
        <f t="shared" si="179"/>
        <v>0</v>
      </c>
      <c r="OC20" s="120"/>
      <c r="OD20" s="120"/>
      <c r="OE20" s="120"/>
      <c r="OF20" s="120"/>
      <c r="OG20" s="120"/>
      <c r="OH20" s="205"/>
      <c r="OI20" s="205"/>
      <c r="OJ20" s="205">
        <f t="shared" si="180"/>
        <v>0</v>
      </c>
      <c r="OK20" s="120"/>
      <c r="OL20" s="195">
        <v>250</v>
      </c>
      <c r="OM20" s="120"/>
      <c r="ON20" s="120"/>
      <c r="OO20" s="120"/>
      <c r="OP20" s="205"/>
      <c r="OQ20" s="205"/>
      <c r="OR20" s="205">
        <f t="shared" si="181"/>
        <v>250</v>
      </c>
      <c r="OS20" s="120"/>
      <c r="OT20" s="120"/>
      <c r="OU20" s="120"/>
      <c r="OV20" s="120"/>
      <c r="OW20" s="120"/>
      <c r="OX20" s="205"/>
      <c r="OY20" s="205"/>
      <c r="OZ20" s="205">
        <f t="shared" si="182"/>
        <v>0</v>
      </c>
      <c r="PA20" s="120"/>
      <c r="PB20" s="120"/>
      <c r="PC20" s="120"/>
      <c r="PD20" s="205"/>
      <c r="PE20" s="217"/>
      <c r="PF20" s="205"/>
      <c r="PG20" s="205"/>
      <c r="PH20" s="205">
        <f t="shared" si="183"/>
        <v>0</v>
      </c>
      <c r="PI20" s="120"/>
      <c r="PJ20" s="120"/>
      <c r="PK20" s="120"/>
      <c r="PL20" s="205"/>
      <c r="PM20" s="217"/>
      <c r="PN20" s="205"/>
      <c r="PO20" s="205"/>
      <c r="PP20" s="205">
        <f t="shared" si="184"/>
        <v>0</v>
      </c>
      <c r="PQ20" s="205">
        <f t="shared" si="185"/>
        <v>250</v>
      </c>
      <c r="PR20" s="207"/>
      <c r="PS20" s="207"/>
      <c r="PT20" s="207"/>
      <c r="PU20" s="207"/>
      <c r="PV20" s="207"/>
      <c r="PW20" s="272"/>
      <c r="PX20" s="272"/>
      <c r="PY20" s="205">
        <f t="shared" si="186"/>
        <v>0</v>
      </c>
      <c r="PZ20" s="207"/>
      <c r="QA20" s="207"/>
      <c r="QB20" s="207"/>
      <c r="QC20" s="207"/>
      <c r="QD20" s="207"/>
      <c r="QE20" s="272"/>
      <c r="QF20" s="272"/>
      <c r="QG20" s="205">
        <f t="shared" si="187"/>
        <v>0</v>
      </c>
      <c r="QH20" s="207"/>
      <c r="QI20" s="207"/>
      <c r="QJ20" s="294"/>
      <c r="QK20" s="207"/>
      <c r="QL20" s="207"/>
      <c r="QM20" s="272"/>
      <c r="QN20" s="272"/>
      <c r="QO20" s="205">
        <f t="shared" si="188"/>
        <v>0</v>
      </c>
      <c r="QP20" s="124">
        <v>550</v>
      </c>
      <c r="QQ20" s="207"/>
      <c r="QR20" s="207"/>
      <c r="QS20" s="207"/>
      <c r="QT20" s="207"/>
      <c r="QU20" s="272"/>
      <c r="QV20" s="272"/>
      <c r="QW20" s="205">
        <f t="shared" si="189"/>
        <v>550</v>
      </c>
      <c r="QX20" s="205">
        <f t="shared" si="190"/>
        <v>550</v>
      </c>
      <c r="QY20" s="207"/>
      <c r="QZ20" s="207"/>
      <c r="RA20" s="207"/>
      <c r="RB20" s="207"/>
      <c r="RC20" s="207"/>
      <c r="RD20" s="272"/>
      <c r="RE20" s="272"/>
      <c r="RF20" s="205">
        <f t="shared" si="191"/>
        <v>0</v>
      </c>
      <c r="RG20" s="207"/>
      <c r="RH20" s="207"/>
      <c r="RI20" s="207"/>
      <c r="RJ20" s="207"/>
      <c r="RK20" s="207"/>
      <c r="RL20" s="272"/>
      <c r="RM20" s="272"/>
      <c r="RN20" s="205">
        <f t="shared" si="192"/>
        <v>0</v>
      </c>
      <c r="RO20" s="272"/>
      <c r="RP20" s="272"/>
      <c r="RQ20" s="272"/>
      <c r="RR20" s="272"/>
      <c r="RS20" s="272"/>
      <c r="RT20" s="272"/>
      <c r="RU20" s="272"/>
      <c r="RV20" s="205">
        <f t="shared" si="193"/>
        <v>0</v>
      </c>
      <c r="RW20" s="195">
        <v>1250</v>
      </c>
      <c r="RX20" s="207"/>
      <c r="RY20" s="207"/>
      <c r="RZ20" s="207"/>
      <c r="SA20" s="272"/>
      <c r="SB20" s="272"/>
      <c r="SC20" s="272"/>
      <c r="SD20" s="205">
        <f t="shared" si="194"/>
        <v>1250</v>
      </c>
      <c r="SE20" s="205">
        <f t="shared" si="195"/>
        <v>1250</v>
      </c>
      <c r="SF20" s="207"/>
      <c r="SG20" s="207"/>
      <c r="SH20" s="207"/>
      <c r="SI20" s="207"/>
      <c r="SJ20" s="207"/>
      <c r="SK20" s="272"/>
      <c r="SL20" s="272"/>
      <c r="SM20" s="205">
        <f t="shared" si="196"/>
        <v>0</v>
      </c>
      <c r="SN20" s="207"/>
      <c r="SO20" s="207"/>
      <c r="SP20" s="207"/>
      <c r="SQ20" s="207"/>
      <c r="SR20" s="207"/>
      <c r="SS20" s="272"/>
      <c r="ST20" s="272"/>
      <c r="SU20" s="205">
        <f t="shared" si="197"/>
        <v>0</v>
      </c>
      <c r="SV20" s="207"/>
      <c r="SW20" s="207"/>
      <c r="SX20" s="207"/>
      <c r="SY20" s="207"/>
      <c r="SZ20" s="207"/>
      <c r="TA20" s="272"/>
      <c r="TB20" s="272"/>
      <c r="TC20" s="205">
        <f t="shared" si="198"/>
        <v>0</v>
      </c>
      <c r="TD20" s="207"/>
      <c r="TE20" s="207"/>
      <c r="TF20" s="207"/>
      <c r="TG20" s="207"/>
      <c r="TH20" s="207"/>
      <c r="TI20" s="272"/>
      <c r="TJ20" s="272"/>
      <c r="TK20" s="205">
        <f t="shared" si="199"/>
        <v>0</v>
      </c>
      <c r="TL20" s="207"/>
      <c r="TM20" s="207"/>
      <c r="TN20" s="207"/>
      <c r="TO20" s="207"/>
      <c r="TP20" s="272"/>
      <c r="TQ20" s="272"/>
      <c r="TR20" s="272"/>
      <c r="TS20" s="205">
        <f t="shared" si="200"/>
        <v>0</v>
      </c>
      <c r="TT20" s="205">
        <f t="shared" si="201"/>
        <v>0</v>
      </c>
      <c r="TU20" s="272"/>
      <c r="TV20" s="207"/>
      <c r="TW20" s="207"/>
      <c r="TX20" s="207"/>
      <c r="TY20" s="207"/>
      <c r="TZ20" s="272"/>
      <c r="UA20" s="272"/>
      <c r="UB20" s="205">
        <f t="shared" si="202"/>
        <v>0</v>
      </c>
      <c r="UC20" s="207"/>
      <c r="UD20" s="207"/>
      <c r="UE20" s="380">
        <v>4680</v>
      </c>
      <c r="UF20" s="207"/>
      <c r="UG20" s="207"/>
      <c r="UH20" s="272"/>
      <c r="UI20" s="272"/>
      <c r="UJ20" s="205">
        <f t="shared" si="203"/>
        <v>4680</v>
      </c>
      <c r="UK20" s="207"/>
      <c r="UL20" s="207"/>
      <c r="UM20" s="207"/>
      <c r="UN20" s="207"/>
      <c r="UO20" s="207"/>
      <c r="UP20" s="272"/>
      <c r="UQ20" s="272"/>
      <c r="UR20" s="205">
        <f t="shared" si="226"/>
        <v>0</v>
      </c>
      <c r="US20" s="207"/>
      <c r="UT20" s="207"/>
      <c r="UU20" s="207"/>
      <c r="UV20" s="207"/>
      <c r="UW20" s="272"/>
      <c r="UX20" s="272"/>
      <c r="UY20" s="272"/>
      <c r="UZ20" s="205">
        <f t="shared" si="204"/>
        <v>0</v>
      </c>
      <c r="VA20" s="205">
        <f t="shared" si="205"/>
        <v>4680</v>
      </c>
      <c r="VB20" s="207"/>
      <c r="VC20" s="207"/>
      <c r="VD20" s="207"/>
      <c r="VE20" s="207"/>
      <c r="VF20" s="207"/>
      <c r="VG20" s="272"/>
      <c r="VH20" s="272"/>
      <c r="VI20" s="205">
        <f t="shared" si="206"/>
        <v>0</v>
      </c>
      <c r="VJ20" s="207"/>
      <c r="VK20" s="207"/>
      <c r="VL20" s="207"/>
      <c r="VM20" s="207"/>
      <c r="VN20" s="207"/>
      <c r="VO20" s="272"/>
      <c r="VP20" s="272"/>
      <c r="VQ20" s="205">
        <f t="shared" si="207"/>
        <v>0</v>
      </c>
      <c r="VR20" s="207"/>
      <c r="VS20" s="207"/>
      <c r="VT20" s="207"/>
      <c r="VU20" s="207"/>
      <c r="VV20" s="207"/>
      <c r="VW20" s="272"/>
      <c r="VX20" s="272"/>
      <c r="VY20" s="205">
        <f t="shared" si="208"/>
        <v>0</v>
      </c>
      <c r="VZ20" s="207"/>
      <c r="WA20" s="207"/>
      <c r="WB20" s="120"/>
      <c r="WC20" s="207"/>
      <c r="WD20" s="207"/>
      <c r="WE20" s="272"/>
      <c r="WF20" s="272"/>
      <c r="WG20" s="205">
        <f t="shared" si="209"/>
        <v>0</v>
      </c>
      <c r="WH20" s="205">
        <f t="shared" si="210"/>
        <v>0</v>
      </c>
      <c r="WI20" s="195">
        <v>950</v>
      </c>
      <c r="WJ20" s="207"/>
      <c r="WK20" s="207"/>
      <c r="WL20" s="207"/>
      <c r="WM20" s="207"/>
      <c r="WN20" s="272"/>
      <c r="WO20" s="272"/>
      <c r="WP20" s="205">
        <f t="shared" si="211"/>
        <v>950</v>
      </c>
      <c r="WQ20" s="207"/>
      <c r="WR20" s="207"/>
      <c r="WS20" s="207"/>
      <c r="WT20" s="207"/>
      <c r="WU20" s="207"/>
      <c r="WV20" s="272"/>
      <c r="WW20" s="272"/>
      <c r="WX20" s="205">
        <f t="shared" si="212"/>
        <v>0</v>
      </c>
      <c r="WY20" s="207"/>
      <c r="WZ20" s="207"/>
      <c r="XA20" s="207"/>
      <c r="XB20" s="207"/>
      <c r="XC20" s="272"/>
      <c r="XD20" s="272"/>
      <c r="XE20" s="272"/>
      <c r="XF20" s="205">
        <f t="shared" si="213"/>
        <v>0</v>
      </c>
      <c r="XG20" s="207"/>
      <c r="XH20" s="207"/>
      <c r="XI20" s="207"/>
      <c r="XJ20" s="207"/>
      <c r="XK20" s="207"/>
      <c r="XL20" s="272"/>
      <c r="XM20" s="272"/>
      <c r="XN20" s="205">
        <f t="shared" si="214"/>
        <v>0</v>
      </c>
      <c r="XO20" s="207"/>
      <c r="XP20" s="207"/>
      <c r="XQ20" s="207"/>
      <c r="XR20" s="207"/>
      <c r="XS20" s="207"/>
      <c r="XT20" s="272"/>
      <c r="XU20" s="272"/>
      <c r="XV20" s="205">
        <f t="shared" si="215"/>
        <v>0</v>
      </c>
      <c r="XW20" s="205">
        <f t="shared" si="216"/>
        <v>950</v>
      </c>
      <c r="XX20" s="207"/>
      <c r="XY20" s="207"/>
      <c r="XZ20" s="207"/>
      <c r="YA20" s="207"/>
      <c r="YB20" s="207"/>
      <c r="YC20" s="272"/>
      <c r="YD20" s="272"/>
      <c r="YE20" s="205">
        <f t="shared" si="217"/>
        <v>0</v>
      </c>
      <c r="YF20" s="207"/>
      <c r="YG20" s="207"/>
      <c r="YH20" s="207"/>
      <c r="YI20" s="207"/>
      <c r="YJ20" s="207"/>
      <c r="YK20" s="272"/>
      <c r="YL20" s="272"/>
      <c r="YM20" s="205">
        <f t="shared" si="218"/>
        <v>0</v>
      </c>
      <c r="YN20" s="207"/>
      <c r="YO20" s="207"/>
      <c r="YP20" s="207"/>
      <c r="YQ20" s="207"/>
      <c r="YR20" s="207"/>
      <c r="YS20" s="272"/>
      <c r="YT20" s="272"/>
      <c r="YU20" s="205">
        <f t="shared" si="148"/>
        <v>0</v>
      </c>
      <c r="YV20" s="207"/>
      <c r="YW20" s="207"/>
      <c r="YX20" s="207"/>
      <c r="YY20" s="207"/>
      <c r="YZ20" s="207"/>
      <c r="ZA20" s="272"/>
      <c r="ZB20" s="272"/>
      <c r="ZC20" s="205">
        <f t="shared" si="219"/>
        <v>0</v>
      </c>
      <c r="ZD20" s="205">
        <f t="shared" si="149"/>
        <v>0</v>
      </c>
      <c r="ZE20" s="207"/>
      <c r="ZF20" s="207"/>
      <c r="ZG20" s="207"/>
      <c r="ZH20" s="207"/>
      <c r="ZI20" s="207"/>
      <c r="ZJ20" s="272"/>
      <c r="ZK20" s="272"/>
      <c r="ZL20" s="205">
        <f t="shared" si="220"/>
        <v>0</v>
      </c>
      <c r="ZM20" s="207"/>
      <c r="ZN20" s="207"/>
      <c r="ZO20" s="207"/>
      <c r="ZP20" s="207"/>
      <c r="ZQ20" s="207"/>
      <c r="ZR20" s="272"/>
      <c r="ZS20" s="272"/>
      <c r="ZT20" s="205">
        <f t="shared" si="221"/>
        <v>0</v>
      </c>
      <c r="ZU20" s="207"/>
      <c r="ZV20" s="207"/>
      <c r="ZW20" s="207"/>
      <c r="ZX20" s="207"/>
      <c r="ZY20" s="207"/>
      <c r="ZZ20" s="272"/>
      <c r="AAA20" s="272"/>
      <c r="AAB20" s="205">
        <f t="shared" si="222"/>
        <v>0</v>
      </c>
      <c r="AAC20" s="207"/>
      <c r="AAD20" s="207"/>
      <c r="AAE20" s="207"/>
      <c r="AAF20" s="207"/>
      <c r="AAG20" s="207"/>
      <c r="AAH20" s="272"/>
      <c r="AAI20" s="272"/>
      <c r="AAJ20" s="205">
        <f t="shared" si="223"/>
        <v>0</v>
      </c>
      <c r="AAK20" s="207"/>
      <c r="AAL20" s="207"/>
      <c r="AAM20" s="207"/>
      <c r="AAN20" s="207"/>
      <c r="AAO20" s="207"/>
      <c r="AAP20" s="272"/>
      <c r="AAQ20" s="272"/>
      <c r="AAR20" s="205">
        <f t="shared" si="224"/>
        <v>0</v>
      </c>
      <c r="AAS20" s="205">
        <f t="shared" si="225"/>
        <v>0</v>
      </c>
    </row>
    <row r="21" spans="1:721" ht="69.95" customHeight="1">
      <c r="A21" s="117" t="s">
        <v>6</v>
      </c>
      <c r="B21" s="155">
        <v>3620102802</v>
      </c>
      <c r="C21" s="323"/>
      <c r="D21" s="156" t="s">
        <v>70</v>
      </c>
      <c r="E21" s="130" t="s">
        <v>4</v>
      </c>
      <c r="F21" s="120"/>
      <c r="G21" s="120"/>
      <c r="H21" s="201">
        <v>320</v>
      </c>
      <c r="I21" s="120"/>
      <c r="J21" s="120"/>
      <c r="K21" s="209"/>
      <c r="L21" s="205"/>
      <c r="M21" s="205">
        <f t="shared" si="121"/>
        <v>320</v>
      </c>
      <c r="N21" s="120"/>
      <c r="O21" s="120"/>
      <c r="P21" s="120"/>
      <c r="Q21" s="120"/>
      <c r="R21" s="120"/>
      <c r="S21" s="209"/>
      <c r="T21" s="205"/>
      <c r="U21" s="205">
        <f t="shared" si="122"/>
        <v>0</v>
      </c>
      <c r="V21" s="120"/>
      <c r="W21" s="120"/>
      <c r="X21" s="120"/>
      <c r="Y21" s="120"/>
      <c r="Z21" s="120"/>
      <c r="AA21" s="209"/>
      <c r="AB21" s="205"/>
      <c r="AC21" s="205">
        <f t="shared" si="123"/>
        <v>0</v>
      </c>
      <c r="AD21" s="205"/>
      <c r="AE21" s="205"/>
      <c r="AF21" s="205"/>
      <c r="AG21" s="205"/>
      <c r="AH21" s="205"/>
      <c r="AI21" s="209"/>
      <c r="AJ21" s="205"/>
      <c r="AK21" s="205">
        <f t="shared" si="124"/>
        <v>0</v>
      </c>
      <c r="AL21" s="205" t="e">
        <f>SUM(#REF!,M21,U21,AC21,AD21:AH21)</f>
        <v>#REF!</v>
      </c>
      <c r="AM21" s="120"/>
      <c r="AN21" s="120"/>
      <c r="AO21" s="120"/>
      <c r="AP21" s="120"/>
      <c r="AQ21" s="120"/>
      <c r="AR21" s="209"/>
      <c r="AS21" s="205"/>
      <c r="AT21" s="205">
        <f t="shared" si="125"/>
        <v>0</v>
      </c>
      <c r="AU21" s="120"/>
      <c r="AV21" s="120"/>
      <c r="AW21" s="120"/>
      <c r="AX21" s="120"/>
      <c r="AY21" s="120"/>
      <c r="AZ21" s="209"/>
      <c r="BA21" s="205"/>
      <c r="BB21" s="205">
        <f t="shared" si="126"/>
        <v>0</v>
      </c>
      <c r="BC21" s="120"/>
      <c r="BD21" s="120"/>
      <c r="BE21" s="120"/>
      <c r="BF21" s="120"/>
      <c r="BG21" s="120"/>
      <c r="BH21" s="209"/>
      <c r="BI21" s="205"/>
      <c r="BJ21" s="205">
        <f t="shared" si="127"/>
        <v>0</v>
      </c>
      <c r="BK21" s="120"/>
      <c r="BL21" s="120"/>
      <c r="BM21" s="120"/>
      <c r="BN21" s="120"/>
      <c r="BO21" s="205"/>
      <c r="BP21" s="209"/>
      <c r="BQ21" s="205"/>
      <c r="BR21" s="205">
        <f t="shared" si="128"/>
        <v>0</v>
      </c>
      <c r="BS21" s="205">
        <f t="shared" si="129"/>
        <v>0</v>
      </c>
      <c r="BT21" s="120"/>
      <c r="BU21" s="120"/>
      <c r="BV21" s="120"/>
      <c r="BW21" s="120"/>
      <c r="BX21" s="120"/>
      <c r="BY21" s="209"/>
      <c r="BZ21" s="205"/>
      <c r="CA21" s="205">
        <f t="shared" si="130"/>
        <v>0</v>
      </c>
      <c r="CB21" s="120"/>
      <c r="CC21" s="120"/>
      <c r="CD21" s="120"/>
      <c r="CE21" s="120"/>
      <c r="CF21" s="120"/>
      <c r="CG21" s="209"/>
      <c r="CH21" s="205"/>
      <c r="CI21" s="205">
        <f t="shared" si="131"/>
        <v>0</v>
      </c>
      <c r="CJ21" s="120"/>
      <c r="CK21" s="120"/>
      <c r="CL21" s="120"/>
      <c r="CM21" s="120"/>
      <c r="CN21" s="120"/>
      <c r="CO21" s="209"/>
      <c r="CP21" s="205"/>
      <c r="CQ21" s="205">
        <f t="shared" si="132"/>
        <v>0</v>
      </c>
      <c r="CR21" s="120"/>
      <c r="CS21" s="120"/>
      <c r="CT21" s="120"/>
      <c r="CU21" s="120"/>
      <c r="CV21" s="120"/>
      <c r="CW21" s="209"/>
      <c r="CX21" s="205"/>
      <c r="CY21" s="205">
        <f t="shared" si="133"/>
        <v>0</v>
      </c>
      <c r="CZ21" s="120"/>
      <c r="DA21" s="120"/>
      <c r="DB21" s="120"/>
      <c r="DC21" s="205"/>
      <c r="DD21" s="205"/>
      <c r="DE21" s="209"/>
      <c r="DF21" s="205"/>
      <c r="DG21" s="205">
        <f t="shared" si="134"/>
        <v>0</v>
      </c>
      <c r="DH21" s="205">
        <f t="shared" si="150"/>
        <v>0</v>
      </c>
      <c r="DI21" s="120"/>
      <c r="DJ21" s="120"/>
      <c r="DK21" s="120"/>
      <c r="DL21" s="120"/>
      <c r="DM21" s="120"/>
      <c r="DN21" s="209"/>
      <c r="DO21" s="205"/>
      <c r="DP21" s="205">
        <f t="shared" si="135"/>
        <v>0</v>
      </c>
      <c r="DQ21" s="217">
        <v>320</v>
      </c>
      <c r="DR21" s="120"/>
      <c r="DS21" s="120"/>
      <c r="DT21" s="120"/>
      <c r="DU21" s="120"/>
      <c r="DV21" s="209"/>
      <c r="DW21" s="205"/>
      <c r="DX21" s="205">
        <f t="shared" si="136"/>
        <v>320</v>
      </c>
      <c r="DY21" s="120"/>
      <c r="DZ21" s="120"/>
      <c r="EA21" s="120"/>
      <c r="EB21" s="120"/>
      <c r="EC21" s="120"/>
      <c r="ED21" s="209"/>
      <c r="EE21" s="205"/>
      <c r="EF21" s="205">
        <f t="shared" si="137"/>
        <v>0</v>
      </c>
      <c r="EG21" s="120"/>
      <c r="EH21" s="120"/>
      <c r="EI21" s="120"/>
      <c r="EJ21" s="205"/>
      <c r="EK21" s="205"/>
      <c r="EL21" s="209"/>
      <c r="EM21" s="205"/>
      <c r="EN21" s="205">
        <f t="shared" si="138"/>
        <v>0</v>
      </c>
      <c r="EO21" s="205">
        <f t="shared" si="151"/>
        <v>320</v>
      </c>
      <c r="EP21" s="120"/>
      <c r="EQ21" s="120"/>
      <c r="ER21" s="120"/>
      <c r="ES21" s="120"/>
      <c r="ET21" s="120"/>
      <c r="EU21" s="209"/>
      <c r="EV21" s="205"/>
      <c r="EW21" s="205">
        <f t="shared" si="139"/>
        <v>0</v>
      </c>
      <c r="EX21" s="120"/>
      <c r="EY21" s="120"/>
      <c r="EZ21" s="120"/>
      <c r="FA21" s="120"/>
      <c r="FB21" s="120"/>
      <c r="FC21" s="209"/>
      <c r="FD21" s="205"/>
      <c r="FE21" s="205">
        <f t="shared" si="140"/>
        <v>0</v>
      </c>
      <c r="FF21" s="120"/>
      <c r="FG21" s="120"/>
      <c r="FH21" s="120"/>
      <c r="FI21" s="120"/>
      <c r="FJ21" s="120"/>
      <c r="FK21" s="209"/>
      <c r="FL21" s="205"/>
      <c r="FM21" s="205">
        <f t="shared" si="141"/>
        <v>0</v>
      </c>
      <c r="FN21" s="120"/>
      <c r="FO21" s="120"/>
      <c r="FP21" s="120"/>
      <c r="FQ21" s="120"/>
      <c r="FR21" s="205"/>
      <c r="FS21" s="209"/>
      <c r="FT21" s="205"/>
      <c r="FU21" s="205">
        <f t="shared" si="142"/>
        <v>0</v>
      </c>
      <c r="FV21" s="205">
        <f t="shared" si="152"/>
        <v>0</v>
      </c>
      <c r="FW21" s="120"/>
      <c r="FX21" s="120"/>
      <c r="FY21" s="120"/>
      <c r="FZ21" s="120"/>
      <c r="GA21" s="120"/>
      <c r="GB21" s="209"/>
      <c r="GC21" s="205"/>
      <c r="GD21" s="205">
        <f t="shared" si="143"/>
        <v>0</v>
      </c>
      <c r="GE21" s="120"/>
      <c r="GF21" s="120"/>
      <c r="GG21" s="120"/>
      <c r="GH21" s="120"/>
      <c r="GI21" s="120"/>
      <c r="GJ21" s="209"/>
      <c r="GK21" s="205"/>
      <c r="GL21" s="205">
        <f t="shared" si="144"/>
        <v>0</v>
      </c>
      <c r="GM21" s="120"/>
      <c r="GN21" s="120"/>
      <c r="GO21" s="120"/>
      <c r="GP21" s="120"/>
      <c r="GQ21" s="120"/>
      <c r="GR21" s="209"/>
      <c r="GS21" s="205"/>
      <c r="GT21" s="205">
        <f t="shared" si="145"/>
        <v>0</v>
      </c>
      <c r="GU21" s="120"/>
      <c r="GV21" s="120"/>
      <c r="GW21" s="120"/>
      <c r="GX21" s="120"/>
      <c r="GY21" s="120"/>
      <c r="GZ21" s="209"/>
      <c r="HA21" s="205"/>
      <c r="HB21" s="205">
        <f t="shared" si="146"/>
        <v>0</v>
      </c>
      <c r="HC21" s="120"/>
      <c r="HD21" s="120"/>
      <c r="HE21" s="120"/>
      <c r="HF21" s="120"/>
      <c r="HG21" s="120"/>
      <c r="HH21" s="209"/>
      <c r="HI21" s="205"/>
      <c r="HJ21" s="205">
        <f t="shared" si="147"/>
        <v>0</v>
      </c>
      <c r="HK21" s="205">
        <f t="shared" si="153"/>
        <v>0</v>
      </c>
      <c r="HL21" s="124"/>
      <c r="HM21" s="120"/>
      <c r="HN21" s="120"/>
      <c r="HO21" s="120"/>
      <c r="HP21" s="120"/>
      <c r="HQ21" s="205"/>
      <c r="HR21" s="205"/>
      <c r="HS21" s="205">
        <f t="shared" si="154"/>
        <v>0</v>
      </c>
      <c r="HT21" s="120"/>
      <c r="HU21" s="120"/>
      <c r="HV21" s="120"/>
      <c r="HW21" s="120"/>
      <c r="HX21" s="120"/>
      <c r="HY21" s="205"/>
      <c r="HZ21" s="205"/>
      <c r="IA21" s="205">
        <f t="shared" si="155"/>
        <v>0</v>
      </c>
      <c r="IB21" s="120"/>
      <c r="IC21" s="120"/>
      <c r="ID21" s="120"/>
      <c r="IE21" s="120"/>
      <c r="IF21" s="120"/>
      <c r="IG21" s="205"/>
      <c r="IH21" s="205"/>
      <c r="II21" s="205">
        <f t="shared" si="156"/>
        <v>0</v>
      </c>
      <c r="IJ21" s="120"/>
      <c r="IK21" s="120"/>
      <c r="IL21" s="120"/>
      <c r="IM21" s="120"/>
      <c r="IN21" s="120"/>
      <c r="IO21" s="205"/>
      <c r="IP21" s="205"/>
      <c r="IQ21" s="205">
        <f t="shared" si="157"/>
        <v>0</v>
      </c>
      <c r="IR21" s="205">
        <f t="shared" si="158"/>
        <v>0</v>
      </c>
      <c r="IS21" s="120"/>
      <c r="IT21" s="120"/>
      <c r="IU21" s="120"/>
      <c r="IV21" s="120"/>
      <c r="IW21" s="120"/>
      <c r="IX21" s="205"/>
      <c r="IY21" s="205"/>
      <c r="IZ21" s="205">
        <f t="shared" si="159"/>
        <v>0</v>
      </c>
      <c r="JA21" s="120"/>
      <c r="JB21" s="120"/>
      <c r="JC21" s="120"/>
      <c r="JD21" s="120"/>
      <c r="JE21" s="120"/>
      <c r="JF21" s="205"/>
      <c r="JG21" s="205"/>
      <c r="JH21" s="205">
        <f t="shared" si="160"/>
        <v>0</v>
      </c>
      <c r="JI21" s="120"/>
      <c r="JJ21" s="120"/>
      <c r="JK21" s="120"/>
      <c r="JL21" s="120"/>
      <c r="JM21" s="120"/>
      <c r="JN21" s="205"/>
      <c r="JO21" s="205"/>
      <c r="JP21" s="205">
        <f t="shared" si="161"/>
        <v>0</v>
      </c>
      <c r="JQ21" s="120"/>
      <c r="JR21" s="120"/>
      <c r="JS21" s="120"/>
      <c r="JT21" s="120"/>
      <c r="JU21" s="120"/>
      <c r="JV21" s="205"/>
      <c r="JW21" s="205"/>
      <c r="JX21" s="205">
        <f t="shared" si="162"/>
        <v>0</v>
      </c>
      <c r="JY21" s="205">
        <f t="shared" si="163"/>
        <v>0</v>
      </c>
      <c r="JZ21" s="120"/>
      <c r="KA21" s="120"/>
      <c r="KB21" s="120"/>
      <c r="KC21" s="120"/>
      <c r="KD21" s="120"/>
      <c r="KE21" s="205"/>
      <c r="KF21" s="205"/>
      <c r="KG21" s="205">
        <f t="shared" si="164"/>
        <v>0</v>
      </c>
      <c r="KH21" s="120"/>
      <c r="KI21" s="120"/>
      <c r="KJ21" s="120"/>
      <c r="KK21" s="120"/>
      <c r="KL21" s="206">
        <v>320</v>
      </c>
      <c r="KM21" s="205"/>
      <c r="KN21" s="205"/>
      <c r="KO21" s="205">
        <f t="shared" si="165"/>
        <v>320</v>
      </c>
      <c r="KP21" s="120"/>
      <c r="KQ21" s="120"/>
      <c r="KR21" s="120"/>
      <c r="KS21" s="120"/>
      <c r="KT21" s="120"/>
      <c r="KU21" s="205"/>
      <c r="KV21" s="205"/>
      <c r="KW21" s="205">
        <f t="shared" si="166"/>
        <v>0</v>
      </c>
      <c r="KX21" s="120"/>
      <c r="KY21" s="120"/>
      <c r="KZ21" s="120"/>
      <c r="LA21" s="120"/>
      <c r="LB21" s="120"/>
      <c r="LC21" s="205"/>
      <c r="LD21" s="205"/>
      <c r="LE21" s="205">
        <f t="shared" si="167"/>
        <v>0</v>
      </c>
      <c r="LF21" s="205"/>
      <c r="LG21" s="120"/>
      <c r="LH21" s="120"/>
      <c r="LI21" s="120"/>
      <c r="LJ21" s="120"/>
      <c r="LK21" s="205"/>
      <c r="LL21" s="205"/>
      <c r="LM21" s="205">
        <f t="shared" si="168"/>
        <v>0</v>
      </c>
      <c r="LN21" s="205">
        <f t="shared" si="169"/>
        <v>320</v>
      </c>
      <c r="LO21" s="205"/>
      <c r="LP21" s="120"/>
      <c r="LQ21" s="120"/>
      <c r="LR21" s="120"/>
      <c r="LS21" s="205"/>
      <c r="LT21" s="205"/>
      <c r="LU21" s="205"/>
      <c r="LV21" s="205">
        <f t="shared" si="170"/>
        <v>0</v>
      </c>
      <c r="LW21" s="120"/>
      <c r="LX21" s="120"/>
      <c r="LY21" s="120"/>
      <c r="LZ21" s="120"/>
      <c r="MA21" s="120"/>
      <c r="MB21" s="205"/>
      <c r="MC21" s="205"/>
      <c r="MD21" s="205">
        <f t="shared" si="171"/>
        <v>0</v>
      </c>
      <c r="ME21" s="120"/>
      <c r="MF21" s="201">
        <v>800</v>
      </c>
      <c r="MG21" s="120"/>
      <c r="MH21" s="120"/>
      <c r="MI21" s="205"/>
      <c r="MJ21" s="205"/>
      <c r="MK21" s="205"/>
      <c r="ML21" s="205">
        <f t="shared" si="172"/>
        <v>800</v>
      </c>
      <c r="MM21" s="120"/>
      <c r="MN21" s="120"/>
      <c r="MO21" s="120"/>
      <c r="MP21" s="120"/>
      <c r="MQ21" s="120"/>
      <c r="MR21" s="205"/>
      <c r="MS21" s="205"/>
      <c r="MT21" s="205">
        <f t="shared" si="173"/>
        <v>0</v>
      </c>
      <c r="MU21" s="205">
        <f t="shared" si="174"/>
        <v>800</v>
      </c>
      <c r="MV21" s="120"/>
      <c r="MW21" s="120"/>
      <c r="MX21" s="120"/>
      <c r="MY21" s="120"/>
      <c r="MZ21" s="120"/>
      <c r="NA21" s="205"/>
      <c r="NB21" s="205"/>
      <c r="NC21" s="205">
        <f t="shared" si="175"/>
        <v>0</v>
      </c>
      <c r="ND21" s="120"/>
      <c r="NE21" s="120"/>
      <c r="NF21" s="120"/>
      <c r="NG21" s="120"/>
      <c r="NH21" s="120"/>
      <c r="NI21" s="205"/>
      <c r="NJ21" s="205"/>
      <c r="NK21" s="205">
        <f t="shared" si="176"/>
        <v>0</v>
      </c>
      <c r="NL21" s="120"/>
      <c r="NM21" s="120"/>
      <c r="NN21" s="120"/>
      <c r="NO21" s="120"/>
      <c r="NP21" s="120"/>
      <c r="NQ21" s="205"/>
      <c r="NR21" s="205"/>
      <c r="NS21" s="205">
        <f t="shared" si="177"/>
        <v>0</v>
      </c>
      <c r="NT21" s="120"/>
      <c r="NU21" s="120"/>
      <c r="NV21" s="120"/>
      <c r="NW21" s="120"/>
      <c r="NX21" s="120"/>
      <c r="NY21" s="205"/>
      <c r="NZ21" s="205"/>
      <c r="OA21" s="205">
        <f t="shared" si="178"/>
        <v>0</v>
      </c>
      <c r="OB21" s="205">
        <f t="shared" si="179"/>
        <v>0</v>
      </c>
      <c r="OC21" s="120"/>
      <c r="OD21" s="120"/>
      <c r="OE21" s="120"/>
      <c r="OF21" s="120"/>
      <c r="OG21" s="120"/>
      <c r="OH21" s="205"/>
      <c r="OI21" s="205"/>
      <c r="OJ21" s="205">
        <f t="shared" si="180"/>
        <v>0</v>
      </c>
      <c r="OK21" s="120"/>
      <c r="OL21" s="120"/>
      <c r="OM21" s="120"/>
      <c r="ON21" s="120"/>
      <c r="OO21" s="120"/>
      <c r="OP21" s="205"/>
      <c r="OQ21" s="205"/>
      <c r="OR21" s="205">
        <f t="shared" si="181"/>
        <v>0</v>
      </c>
      <c r="OS21" s="120"/>
      <c r="OT21" s="120"/>
      <c r="OU21" s="120"/>
      <c r="OV21" s="120"/>
      <c r="OW21" s="120"/>
      <c r="OX21" s="205"/>
      <c r="OY21" s="205"/>
      <c r="OZ21" s="205">
        <f t="shared" si="182"/>
        <v>0</v>
      </c>
      <c r="PA21" s="120"/>
      <c r="PB21" s="120"/>
      <c r="PC21" s="120"/>
      <c r="PD21" s="205"/>
      <c r="PE21" s="217"/>
      <c r="PF21" s="205"/>
      <c r="PG21" s="205"/>
      <c r="PH21" s="205">
        <f t="shared" si="183"/>
        <v>0</v>
      </c>
      <c r="PI21" s="120"/>
      <c r="PJ21" s="120"/>
      <c r="PK21" s="120"/>
      <c r="PL21" s="205"/>
      <c r="PM21" s="217"/>
      <c r="PN21" s="205"/>
      <c r="PO21" s="205"/>
      <c r="PP21" s="205">
        <f t="shared" si="184"/>
        <v>0</v>
      </c>
      <c r="PQ21" s="205">
        <f t="shared" si="185"/>
        <v>0</v>
      </c>
      <c r="PR21" s="207"/>
      <c r="PS21" s="207"/>
      <c r="PT21" s="207"/>
      <c r="PU21" s="207"/>
      <c r="PV21" s="207"/>
      <c r="PW21" s="272"/>
      <c r="PX21" s="272"/>
      <c r="PY21" s="205">
        <f t="shared" si="186"/>
        <v>0</v>
      </c>
      <c r="PZ21" s="207"/>
      <c r="QA21" s="207"/>
      <c r="QB21" s="207"/>
      <c r="QC21" s="207"/>
      <c r="QD21" s="207"/>
      <c r="QE21" s="272"/>
      <c r="QF21" s="272"/>
      <c r="QG21" s="205">
        <f t="shared" si="187"/>
        <v>0</v>
      </c>
      <c r="QH21" s="207"/>
      <c r="QI21" s="207"/>
      <c r="QJ21" s="294"/>
      <c r="QK21" s="207"/>
      <c r="QL21" s="207"/>
      <c r="QM21" s="272"/>
      <c r="QN21" s="272"/>
      <c r="QO21" s="205">
        <f t="shared" si="188"/>
        <v>0</v>
      </c>
      <c r="QP21" s="207"/>
      <c r="QQ21" s="207"/>
      <c r="QR21" s="207"/>
      <c r="QS21" s="207"/>
      <c r="QT21" s="207"/>
      <c r="QU21" s="272"/>
      <c r="QV21" s="272"/>
      <c r="QW21" s="205">
        <f t="shared" si="189"/>
        <v>0</v>
      </c>
      <c r="QX21" s="205">
        <f t="shared" si="190"/>
        <v>0</v>
      </c>
      <c r="QY21" s="207"/>
      <c r="QZ21" s="207"/>
      <c r="RA21" s="207"/>
      <c r="RB21" s="207"/>
      <c r="RC21" s="207"/>
      <c r="RD21" s="272"/>
      <c r="RE21" s="272"/>
      <c r="RF21" s="205">
        <f t="shared" si="191"/>
        <v>0</v>
      </c>
      <c r="RG21" s="207"/>
      <c r="RH21" s="207"/>
      <c r="RI21" s="207"/>
      <c r="RJ21" s="207"/>
      <c r="RK21" s="207"/>
      <c r="RL21" s="272"/>
      <c r="RM21" s="272"/>
      <c r="RN21" s="205">
        <f t="shared" si="192"/>
        <v>0</v>
      </c>
      <c r="RO21" s="272"/>
      <c r="RP21" s="272"/>
      <c r="RQ21" s="272"/>
      <c r="RR21" s="272"/>
      <c r="RS21" s="272"/>
      <c r="RT21" s="272"/>
      <c r="RU21" s="272"/>
      <c r="RV21" s="205">
        <f t="shared" si="193"/>
        <v>0</v>
      </c>
      <c r="RW21" s="207"/>
      <c r="RX21" s="207"/>
      <c r="RY21" s="207"/>
      <c r="RZ21" s="207"/>
      <c r="SA21" s="272"/>
      <c r="SB21" s="272"/>
      <c r="SC21" s="272"/>
      <c r="SD21" s="205">
        <f t="shared" si="194"/>
        <v>0</v>
      </c>
      <c r="SE21" s="205">
        <f t="shared" si="195"/>
        <v>0</v>
      </c>
      <c r="SF21" s="207"/>
      <c r="SG21" s="207"/>
      <c r="SH21" s="207"/>
      <c r="SI21" s="207"/>
      <c r="SJ21" s="207"/>
      <c r="SK21" s="272"/>
      <c r="SL21" s="272"/>
      <c r="SM21" s="205">
        <f t="shared" si="196"/>
        <v>0</v>
      </c>
      <c r="SN21" s="207"/>
      <c r="SO21" s="207"/>
      <c r="SP21" s="207"/>
      <c r="SQ21" s="207"/>
      <c r="SR21" s="207"/>
      <c r="SS21" s="272"/>
      <c r="ST21" s="272"/>
      <c r="SU21" s="205">
        <f t="shared" si="197"/>
        <v>0</v>
      </c>
      <c r="SV21" s="207"/>
      <c r="SW21" s="207"/>
      <c r="SX21" s="207"/>
      <c r="SY21" s="207"/>
      <c r="SZ21" s="207"/>
      <c r="TA21" s="272"/>
      <c r="TB21" s="272"/>
      <c r="TC21" s="205">
        <f t="shared" si="198"/>
        <v>0</v>
      </c>
      <c r="TD21" s="207"/>
      <c r="TE21" s="207"/>
      <c r="TF21" s="207"/>
      <c r="TG21" s="207"/>
      <c r="TH21" s="207"/>
      <c r="TI21" s="272"/>
      <c r="TJ21" s="272"/>
      <c r="TK21" s="205">
        <f t="shared" si="199"/>
        <v>0</v>
      </c>
      <c r="TL21" s="207"/>
      <c r="TM21" s="207"/>
      <c r="TN21" s="207"/>
      <c r="TO21" s="207"/>
      <c r="TP21" s="272"/>
      <c r="TQ21" s="272"/>
      <c r="TR21" s="272"/>
      <c r="TS21" s="205">
        <f t="shared" si="200"/>
        <v>0</v>
      </c>
      <c r="TT21" s="205">
        <f t="shared" si="201"/>
        <v>0</v>
      </c>
      <c r="TU21" s="272"/>
      <c r="TV21" s="207"/>
      <c r="TW21" s="207"/>
      <c r="TX21" s="207"/>
      <c r="TY21" s="207"/>
      <c r="TZ21" s="272"/>
      <c r="UA21" s="272"/>
      <c r="UB21" s="205">
        <f t="shared" si="202"/>
        <v>0</v>
      </c>
      <c r="UC21" s="207"/>
      <c r="UD21" s="207"/>
      <c r="UE21" s="380">
        <v>320</v>
      </c>
      <c r="UF21" s="207"/>
      <c r="UG21" s="207"/>
      <c r="UH21" s="272"/>
      <c r="UI21" s="272"/>
      <c r="UJ21" s="205">
        <f t="shared" si="203"/>
        <v>320</v>
      </c>
      <c r="UK21" s="207"/>
      <c r="UL21" s="207"/>
      <c r="UM21" s="207"/>
      <c r="UN21" s="207"/>
      <c r="UO21" s="207"/>
      <c r="UP21" s="272"/>
      <c r="UQ21" s="272"/>
      <c r="UR21" s="205">
        <f t="shared" si="226"/>
        <v>0</v>
      </c>
      <c r="US21" s="207"/>
      <c r="UT21" s="207"/>
      <c r="UU21" s="207"/>
      <c r="UV21" s="207"/>
      <c r="UW21" s="272"/>
      <c r="UX21" s="272"/>
      <c r="UY21" s="272"/>
      <c r="UZ21" s="205">
        <f t="shared" si="204"/>
        <v>0</v>
      </c>
      <c r="VA21" s="205">
        <f t="shared" si="205"/>
        <v>320</v>
      </c>
      <c r="VB21" s="207"/>
      <c r="VC21" s="207"/>
      <c r="VD21" s="207"/>
      <c r="VE21" s="207"/>
      <c r="VF21" s="207"/>
      <c r="VG21" s="272"/>
      <c r="VH21" s="272"/>
      <c r="VI21" s="205">
        <f t="shared" si="206"/>
        <v>0</v>
      </c>
      <c r="VJ21" s="207"/>
      <c r="VK21" s="207"/>
      <c r="VL21" s="207"/>
      <c r="VM21" s="207"/>
      <c r="VN21" s="207"/>
      <c r="VO21" s="272"/>
      <c r="VP21" s="272"/>
      <c r="VQ21" s="205">
        <f t="shared" si="207"/>
        <v>0</v>
      </c>
      <c r="VR21" s="207"/>
      <c r="VS21" s="207"/>
      <c r="VT21" s="207"/>
      <c r="VU21" s="207"/>
      <c r="VV21" s="207"/>
      <c r="VW21" s="272"/>
      <c r="VX21" s="272"/>
      <c r="VY21" s="205">
        <f t="shared" si="208"/>
        <v>0</v>
      </c>
      <c r="VZ21" s="207"/>
      <c r="WA21" s="207"/>
      <c r="WB21" s="207"/>
      <c r="WC21" s="207"/>
      <c r="WD21" s="207"/>
      <c r="WE21" s="272"/>
      <c r="WF21" s="272"/>
      <c r="WG21" s="205">
        <f t="shared" si="209"/>
        <v>0</v>
      </c>
      <c r="WH21" s="205">
        <f t="shared" si="210"/>
        <v>0</v>
      </c>
      <c r="WI21" s="207"/>
      <c r="WJ21" s="207"/>
      <c r="WK21" s="207"/>
      <c r="WL21" s="207"/>
      <c r="WM21" s="207"/>
      <c r="WN21" s="272"/>
      <c r="WO21" s="272"/>
      <c r="WP21" s="205">
        <f t="shared" si="211"/>
        <v>0</v>
      </c>
      <c r="WQ21" s="207"/>
      <c r="WR21" s="207"/>
      <c r="WS21" s="207"/>
      <c r="WT21" s="207"/>
      <c r="WU21" s="207"/>
      <c r="WV21" s="272"/>
      <c r="WW21" s="272"/>
      <c r="WX21" s="205">
        <f t="shared" si="212"/>
        <v>0</v>
      </c>
      <c r="WY21" s="207"/>
      <c r="WZ21" s="207"/>
      <c r="XA21" s="207"/>
      <c r="XB21" s="207"/>
      <c r="XC21" s="272"/>
      <c r="XD21" s="272"/>
      <c r="XE21" s="272"/>
      <c r="XF21" s="205">
        <f t="shared" si="213"/>
        <v>0</v>
      </c>
      <c r="XG21" s="207"/>
      <c r="XH21" s="207"/>
      <c r="XI21" s="207"/>
      <c r="XJ21" s="207"/>
      <c r="XK21" s="207"/>
      <c r="XL21" s="272"/>
      <c r="XM21" s="272"/>
      <c r="XN21" s="205">
        <f t="shared" si="214"/>
        <v>0</v>
      </c>
      <c r="XO21" s="207"/>
      <c r="XP21" s="207"/>
      <c r="XQ21" s="207"/>
      <c r="XR21" s="207"/>
      <c r="XS21" s="207"/>
      <c r="XT21" s="272"/>
      <c r="XU21" s="272"/>
      <c r="XV21" s="205">
        <f t="shared" si="215"/>
        <v>0</v>
      </c>
      <c r="XW21" s="205">
        <f t="shared" si="216"/>
        <v>0</v>
      </c>
      <c r="XX21" s="207"/>
      <c r="XY21" s="207"/>
      <c r="XZ21" s="207"/>
      <c r="YA21" s="207"/>
      <c r="YB21" s="207"/>
      <c r="YC21" s="272"/>
      <c r="YD21" s="272"/>
      <c r="YE21" s="205">
        <f t="shared" si="217"/>
        <v>0</v>
      </c>
      <c r="YF21" s="207"/>
      <c r="YG21" s="207"/>
      <c r="YH21" s="207"/>
      <c r="YI21" s="207"/>
      <c r="YJ21" s="207"/>
      <c r="YK21" s="272"/>
      <c r="YL21" s="272"/>
      <c r="YM21" s="205">
        <f t="shared" si="218"/>
        <v>0</v>
      </c>
      <c r="YN21" s="207"/>
      <c r="YO21" s="207"/>
      <c r="YP21" s="207"/>
      <c r="YQ21" s="207"/>
      <c r="YR21" s="207"/>
      <c r="YS21" s="272"/>
      <c r="YT21" s="272"/>
      <c r="YU21" s="205">
        <f t="shared" si="148"/>
        <v>0</v>
      </c>
      <c r="YV21" s="207"/>
      <c r="YW21" s="207"/>
      <c r="YX21" s="207"/>
      <c r="YY21" s="207"/>
      <c r="YZ21" s="207"/>
      <c r="ZA21" s="272"/>
      <c r="ZB21" s="272"/>
      <c r="ZC21" s="205">
        <f t="shared" si="219"/>
        <v>0</v>
      </c>
      <c r="ZD21" s="205">
        <f t="shared" si="149"/>
        <v>0</v>
      </c>
      <c r="ZE21" s="207"/>
      <c r="ZF21" s="207"/>
      <c r="ZG21" s="207"/>
      <c r="ZH21" s="207"/>
      <c r="ZI21" s="207"/>
      <c r="ZJ21" s="272"/>
      <c r="ZK21" s="272"/>
      <c r="ZL21" s="205">
        <f t="shared" si="220"/>
        <v>0</v>
      </c>
      <c r="ZM21" s="207"/>
      <c r="ZN21" s="207"/>
      <c r="ZO21" s="207"/>
      <c r="ZP21" s="207"/>
      <c r="ZQ21" s="207"/>
      <c r="ZR21" s="272"/>
      <c r="ZS21" s="272"/>
      <c r="ZT21" s="205">
        <f t="shared" si="221"/>
        <v>0</v>
      </c>
      <c r="ZU21" s="207"/>
      <c r="ZV21" s="207"/>
      <c r="ZW21" s="207"/>
      <c r="ZX21" s="207"/>
      <c r="ZY21" s="207"/>
      <c r="ZZ21" s="272"/>
      <c r="AAA21" s="272"/>
      <c r="AAB21" s="205">
        <f t="shared" si="222"/>
        <v>0</v>
      </c>
      <c r="AAC21" s="207"/>
      <c r="AAD21" s="207"/>
      <c r="AAE21" s="207"/>
      <c r="AAF21" s="207"/>
      <c r="AAG21" s="207"/>
      <c r="AAH21" s="272"/>
      <c r="AAI21" s="272"/>
      <c r="AAJ21" s="205">
        <f t="shared" si="223"/>
        <v>0</v>
      </c>
      <c r="AAK21" s="207"/>
      <c r="AAL21" s="207"/>
      <c r="AAM21" s="207"/>
      <c r="AAN21" s="207"/>
      <c r="AAO21" s="207"/>
      <c r="AAP21" s="272"/>
      <c r="AAQ21" s="272"/>
      <c r="AAR21" s="205">
        <f t="shared" si="224"/>
        <v>0</v>
      </c>
      <c r="AAS21" s="205">
        <f t="shared" si="225"/>
        <v>0</v>
      </c>
    </row>
    <row r="22" spans="1:721" ht="69.95" customHeight="1">
      <c r="B22" s="157">
        <v>3620101508</v>
      </c>
      <c r="C22" s="324"/>
      <c r="D22" s="158" t="s">
        <v>488</v>
      </c>
      <c r="E22" s="130" t="s">
        <v>4</v>
      </c>
      <c r="F22" s="120"/>
      <c r="G22" s="120"/>
      <c r="H22" s="120"/>
      <c r="I22" s="120"/>
      <c r="J22" s="120"/>
      <c r="K22" s="209"/>
      <c r="L22" s="205"/>
      <c r="M22" s="205">
        <f t="shared" si="121"/>
        <v>0</v>
      </c>
      <c r="N22" s="120"/>
      <c r="O22" s="120"/>
      <c r="P22" s="120"/>
      <c r="Q22" s="120"/>
      <c r="R22" s="120"/>
      <c r="S22" s="209"/>
      <c r="T22" s="205"/>
      <c r="U22" s="205">
        <f t="shared" si="122"/>
        <v>0</v>
      </c>
      <c r="V22" s="120"/>
      <c r="W22" s="120"/>
      <c r="X22" s="120"/>
      <c r="Y22" s="120"/>
      <c r="Z22" s="120"/>
      <c r="AA22" s="209"/>
      <c r="AB22" s="205"/>
      <c r="AC22" s="205">
        <f t="shared" si="123"/>
        <v>0</v>
      </c>
      <c r="AD22" s="205"/>
      <c r="AE22" s="205"/>
      <c r="AF22" s="205"/>
      <c r="AG22" s="205"/>
      <c r="AH22" s="205"/>
      <c r="AI22" s="209"/>
      <c r="AJ22" s="205"/>
      <c r="AK22" s="205">
        <f t="shared" si="124"/>
        <v>0</v>
      </c>
      <c r="AL22" s="205" t="e">
        <f>SUM(#REF!,M22,U22,AC22,AD22:AH22)</f>
        <v>#REF!</v>
      </c>
      <c r="AM22" s="120"/>
      <c r="AN22" s="120"/>
      <c r="AO22" s="120"/>
      <c r="AP22" s="120"/>
      <c r="AQ22" s="120"/>
      <c r="AR22" s="209"/>
      <c r="AS22" s="205"/>
      <c r="AT22" s="205">
        <f t="shared" si="125"/>
        <v>0</v>
      </c>
      <c r="AU22" s="120"/>
      <c r="AV22" s="120"/>
      <c r="AW22" s="120"/>
      <c r="AX22" s="120"/>
      <c r="AY22" s="120"/>
      <c r="AZ22" s="209"/>
      <c r="BA22" s="205"/>
      <c r="BB22" s="205">
        <f t="shared" si="126"/>
        <v>0</v>
      </c>
      <c r="BC22" s="120"/>
      <c r="BD22" s="120"/>
      <c r="BE22" s="120"/>
      <c r="BF22" s="120"/>
      <c r="BG22" s="120"/>
      <c r="BH22" s="209"/>
      <c r="BI22" s="205"/>
      <c r="BJ22" s="205">
        <f t="shared" si="127"/>
        <v>0</v>
      </c>
      <c r="BK22" s="120"/>
      <c r="BL22" s="120"/>
      <c r="BM22" s="120"/>
      <c r="BN22" s="120"/>
      <c r="BO22" s="205"/>
      <c r="BP22" s="209"/>
      <c r="BQ22" s="205"/>
      <c r="BR22" s="205">
        <f t="shared" si="128"/>
        <v>0</v>
      </c>
      <c r="BS22" s="205">
        <f t="shared" si="129"/>
        <v>0</v>
      </c>
      <c r="BT22" s="120"/>
      <c r="BU22" s="120"/>
      <c r="BV22" s="120"/>
      <c r="BW22" s="120"/>
      <c r="BX22" s="120"/>
      <c r="BY22" s="209"/>
      <c r="BZ22" s="205"/>
      <c r="CA22" s="205">
        <f t="shared" si="130"/>
        <v>0</v>
      </c>
      <c r="CB22" s="120"/>
      <c r="CC22" s="120"/>
      <c r="CD22" s="120"/>
      <c r="CE22" s="120"/>
      <c r="CF22" s="120"/>
      <c r="CG22" s="209"/>
      <c r="CH22" s="205"/>
      <c r="CI22" s="205">
        <f t="shared" si="131"/>
        <v>0</v>
      </c>
      <c r="CJ22" s="120"/>
      <c r="CK22" s="120"/>
      <c r="CL22" s="120"/>
      <c r="CM22" s="120"/>
      <c r="CN22" s="120"/>
      <c r="CO22" s="209"/>
      <c r="CP22" s="205"/>
      <c r="CQ22" s="205">
        <f t="shared" si="132"/>
        <v>0</v>
      </c>
      <c r="CR22" s="120"/>
      <c r="CS22" s="120"/>
      <c r="CT22" s="120"/>
      <c r="CU22" s="120"/>
      <c r="CV22" s="120"/>
      <c r="CW22" s="209"/>
      <c r="CX22" s="205"/>
      <c r="CY22" s="205">
        <f t="shared" si="133"/>
        <v>0</v>
      </c>
      <c r="CZ22" s="120"/>
      <c r="DA22" s="120"/>
      <c r="DB22" s="120"/>
      <c r="DC22" s="205"/>
      <c r="DD22" s="205"/>
      <c r="DE22" s="209"/>
      <c r="DF22" s="205"/>
      <c r="DG22" s="205">
        <f t="shared" si="134"/>
        <v>0</v>
      </c>
      <c r="DH22" s="205">
        <f t="shared" si="150"/>
        <v>0</v>
      </c>
      <c r="DI22" s="120"/>
      <c r="DJ22" s="120"/>
      <c r="DK22" s="120"/>
      <c r="DL22" s="120"/>
      <c r="DM22" s="120"/>
      <c r="DN22" s="209"/>
      <c r="DO22" s="205"/>
      <c r="DP22" s="205">
        <f t="shared" si="135"/>
        <v>0</v>
      </c>
      <c r="DQ22" s="120"/>
      <c r="DR22" s="120"/>
      <c r="DS22" s="120"/>
      <c r="DT22" s="120"/>
      <c r="DU22" s="120"/>
      <c r="DV22" s="209"/>
      <c r="DW22" s="205"/>
      <c r="DX22" s="205">
        <f t="shared" si="136"/>
        <v>0</v>
      </c>
      <c r="DY22" s="120"/>
      <c r="DZ22" s="120"/>
      <c r="EA22" s="120"/>
      <c r="EB22" s="120"/>
      <c r="EC22" s="120"/>
      <c r="ED22" s="209"/>
      <c r="EE22" s="205"/>
      <c r="EF22" s="205">
        <f t="shared" si="137"/>
        <v>0</v>
      </c>
      <c r="EG22" s="120"/>
      <c r="EH22" s="120"/>
      <c r="EI22" s="120"/>
      <c r="EJ22" s="205"/>
      <c r="EK22" s="205"/>
      <c r="EL22" s="209"/>
      <c r="EM22" s="205"/>
      <c r="EN22" s="205">
        <f t="shared" si="138"/>
        <v>0</v>
      </c>
      <c r="EO22" s="205">
        <f t="shared" si="151"/>
        <v>0</v>
      </c>
      <c r="EP22" s="120"/>
      <c r="EQ22" s="120"/>
      <c r="ER22" s="120"/>
      <c r="ES22" s="120"/>
      <c r="ET22" s="120"/>
      <c r="EU22" s="209"/>
      <c r="EV22" s="205"/>
      <c r="EW22" s="205">
        <f t="shared" si="139"/>
        <v>0</v>
      </c>
      <c r="EX22" s="120"/>
      <c r="EY22" s="120"/>
      <c r="EZ22" s="120"/>
      <c r="FA22" s="120"/>
      <c r="FB22" s="120"/>
      <c r="FC22" s="209"/>
      <c r="FD22" s="205"/>
      <c r="FE22" s="205">
        <f t="shared" si="140"/>
        <v>0</v>
      </c>
      <c r="FF22" s="120"/>
      <c r="FG22" s="120"/>
      <c r="FH22" s="120"/>
      <c r="FI22" s="120"/>
      <c r="FJ22" s="120"/>
      <c r="FK22" s="209"/>
      <c r="FL22" s="205"/>
      <c r="FM22" s="205">
        <f t="shared" si="141"/>
        <v>0</v>
      </c>
      <c r="FN22" s="120"/>
      <c r="FO22" s="120"/>
      <c r="FP22" s="120"/>
      <c r="FQ22" s="120"/>
      <c r="FR22" s="205"/>
      <c r="FS22" s="209"/>
      <c r="FT22" s="205"/>
      <c r="FU22" s="205">
        <f t="shared" si="142"/>
        <v>0</v>
      </c>
      <c r="FV22" s="205">
        <f t="shared" si="152"/>
        <v>0</v>
      </c>
      <c r="FW22" s="120"/>
      <c r="FX22" s="120"/>
      <c r="FY22" s="120"/>
      <c r="FZ22" s="120"/>
      <c r="GA22" s="120"/>
      <c r="GB22" s="209"/>
      <c r="GC22" s="205"/>
      <c r="GD22" s="205">
        <f t="shared" si="143"/>
        <v>0</v>
      </c>
      <c r="GE22" s="120"/>
      <c r="GF22" s="120"/>
      <c r="GG22" s="120"/>
      <c r="GH22" s="120"/>
      <c r="GI22" s="120"/>
      <c r="GJ22" s="209"/>
      <c r="GK22" s="205"/>
      <c r="GL22" s="205">
        <f t="shared" si="144"/>
        <v>0</v>
      </c>
      <c r="GM22" s="120"/>
      <c r="GN22" s="120"/>
      <c r="GO22" s="120"/>
      <c r="GP22" s="120"/>
      <c r="GQ22" s="120"/>
      <c r="GR22" s="209"/>
      <c r="GS22" s="205"/>
      <c r="GT22" s="205">
        <f t="shared" si="145"/>
        <v>0</v>
      </c>
      <c r="GU22" s="120"/>
      <c r="GV22" s="120"/>
      <c r="GW22" s="120"/>
      <c r="GX22" s="120"/>
      <c r="GY22" s="120"/>
      <c r="GZ22" s="209"/>
      <c r="HA22" s="205"/>
      <c r="HB22" s="205">
        <f t="shared" si="146"/>
        <v>0</v>
      </c>
      <c r="HC22" s="120"/>
      <c r="HD22" s="120"/>
      <c r="HE22" s="120"/>
      <c r="HF22" s="120"/>
      <c r="HG22" s="120"/>
      <c r="HH22" s="209"/>
      <c r="HI22" s="205"/>
      <c r="HJ22" s="205">
        <f t="shared" si="147"/>
        <v>0</v>
      </c>
      <c r="HK22" s="205">
        <f t="shared" si="153"/>
        <v>0</v>
      </c>
      <c r="HL22" s="124"/>
      <c r="HM22" s="120"/>
      <c r="HN22" s="120"/>
      <c r="HO22" s="120"/>
      <c r="HP22" s="120"/>
      <c r="HQ22" s="205"/>
      <c r="HR22" s="205"/>
      <c r="HS22" s="205">
        <f t="shared" si="154"/>
        <v>0</v>
      </c>
      <c r="HT22" s="120"/>
      <c r="HU22" s="120"/>
      <c r="HV22" s="120"/>
      <c r="HW22" s="120"/>
      <c r="HX22" s="120"/>
      <c r="HY22" s="205"/>
      <c r="HZ22" s="205"/>
      <c r="IA22" s="205">
        <f t="shared" si="155"/>
        <v>0</v>
      </c>
      <c r="IB22" s="120"/>
      <c r="IC22" s="120"/>
      <c r="ID22" s="120"/>
      <c r="IE22" s="120"/>
      <c r="IF22" s="120"/>
      <c r="IG22" s="205"/>
      <c r="IH22" s="205"/>
      <c r="II22" s="205">
        <f t="shared" si="156"/>
        <v>0</v>
      </c>
      <c r="IJ22" s="120"/>
      <c r="IK22" s="120"/>
      <c r="IL22" s="120"/>
      <c r="IM22" s="120"/>
      <c r="IN22" s="120"/>
      <c r="IO22" s="205"/>
      <c r="IP22" s="205"/>
      <c r="IQ22" s="205">
        <f t="shared" si="157"/>
        <v>0</v>
      </c>
      <c r="IR22" s="205">
        <f t="shared" si="158"/>
        <v>0</v>
      </c>
      <c r="IS22" s="120"/>
      <c r="IT22" s="120"/>
      <c r="IU22" s="120"/>
      <c r="IV22" s="120"/>
      <c r="IW22" s="120"/>
      <c r="IX22" s="205"/>
      <c r="IY22" s="205"/>
      <c r="IZ22" s="205">
        <f t="shared" si="159"/>
        <v>0</v>
      </c>
      <c r="JA22" s="120"/>
      <c r="JB22" s="120"/>
      <c r="JC22" s="120"/>
      <c r="JD22" s="120"/>
      <c r="JE22" s="120"/>
      <c r="JF22" s="205"/>
      <c r="JG22" s="205"/>
      <c r="JH22" s="205">
        <f t="shared" si="160"/>
        <v>0</v>
      </c>
      <c r="JI22" s="120"/>
      <c r="JJ22" s="120"/>
      <c r="JK22" s="120"/>
      <c r="JL22" s="120"/>
      <c r="JM22" s="120"/>
      <c r="JN22" s="205"/>
      <c r="JO22" s="205"/>
      <c r="JP22" s="205">
        <f t="shared" si="161"/>
        <v>0</v>
      </c>
      <c r="JQ22" s="120"/>
      <c r="JR22" s="120"/>
      <c r="JS22" s="120"/>
      <c r="JT22" s="120"/>
      <c r="JU22" s="120"/>
      <c r="JV22" s="205"/>
      <c r="JW22" s="205"/>
      <c r="JX22" s="205">
        <f t="shared" si="162"/>
        <v>0</v>
      </c>
      <c r="JY22" s="205">
        <f t="shared" si="163"/>
        <v>0</v>
      </c>
      <c r="JZ22" s="120"/>
      <c r="KA22" s="120"/>
      <c r="KB22" s="120"/>
      <c r="KC22" s="120"/>
      <c r="KD22" s="120"/>
      <c r="KE22" s="205"/>
      <c r="KF22" s="205"/>
      <c r="KG22" s="205">
        <f t="shared" si="164"/>
        <v>0</v>
      </c>
      <c r="KH22" s="120"/>
      <c r="KI22" s="120"/>
      <c r="KJ22" s="120"/>
      <c r="KK22" s="120"/>
      <c r="KL22" s="120"/>
      <c r="KM22" s="205"/>
      <c r="KN22" s="205"/>
      <c r="KO22" s="205">
        <f t="shared" si="165"/>
        <v>0</v>
      </c>
      <c r="KP22" s="120"/>
      <c r="KQ22" s="120"/>
      <c r="KR22" s="120"/>
      <c r="KS22" s="120"/>
      <c r="KT22" s="120"/>
      <c r="KU22" s="205"/>
      <c r="KV22" s="205"/>
      <c r="KW22" s="205">
        <f t="shared" si="166"/>
        <v>0</v>
      </c>
      <c r="KX22" s="120"/>
      <c r="KY22" s="120"/>
      <c r="KZ22" s="120"/>
      <c r="LA22" s="120"/>
      <c r="LB22" s="120"/>
      <c r="LC22" s="205"/>
      <c r="LD22" s="205"/>
      <c r="LE22" s="205">
        <f t="shared" si="167"/>
        <v>0</v>
      </c>
      <c r="LF22" s="205"/>
      <c r="LG22" s="120"/>
      <c r="LH22" s="120"/>
      <c r="LI22" s="120"/>
      <c r="LJ22" s="120"/>
      <c r="LK22" s="205"/>
      <c r="LL22" s="205"/>
      <c r="LM22" s="205">
        <f t="shared" si="168"/>
        <v>0</v>
      </c>
      <c r="LN22" s="205">
        <f t="shared" si="169"/>
        <v>0</v>
      </c>
      <c r="LO22" s="205"/>
      <c r="LP22" s="120"/>
      <c r="LQ22" s="120"/>
      <c r="LR22" s="120"/>
      <c r="LS22" s="205"/>
      <c r="LT22" s="205"/>
      <c r="LU22" s="205"/>
      <c r="LV22" s="205">
        <f t="shared" si="170"/>
        <v>0</v>
      </c>
      <c r="LW22" s="120"/>
      <c r="LX22" s="120"/>
      <c r="LY22" s="120"/>
      <c r="LZ22" s="120"/>
      <c r="MA22" s="120"/>
      <c r="MB22" s="205"/>
      <c r="MC22" s="205"/>
      <c r="MD22" s="205">
        <f t="shared" si="171"/>
        <v>0</v>
      </c>
      <c r="ME22" s="120"/>
      <c r="MF22" s="120"/>
      <c r="MG22" s="120"/>
      <c r="MH22" s="120"/>
      <c r="MI22" s="205"/>
      <c r="MJ22" s="205"/>
      <c r="MK22" s="205"/>
      <c r="ML22" s="205">
        <f t="shared" si="172"/>
        <v>0</v>
      </c>
      <c r="MM22" s="120"/>
      <c r="MN22" s="120"/>
      <c r="MO22" s="120"/>
      <c r="MP22" s="120"/>
      <c r="MQ22" s="120"/>
      <c r="MR22" s="205"/>
      <c r="MS22" s="205"/>
      <c r="MT22" s="205">
        <f t="shared" si="173"/>
        <v>0</v>
      </c>
      <c r="MU22" s="205">
        <f t="shared" si="174"/>
        <v>0</v>
      </c>
      <c r="MV22" s="120"/>
      <c r="MW22" s="120"/>
      <c r="MX22" s="120"/>
      <c r="MY22" s="120"/>
      <c r="MZ22" s="120"/>
      <c r="NA22" s="205"/>
      <c r="NB22" s="205"/>
      <c r="NC22" s="205">
        <f t="shared" si="175"/>
        <v>0</v>
      </c>
      <c r="ND22" s="120"/>
      <c r="NE22" s="120"/>
      <c r="NF22" s="120"/>
      <c r="NG22" s="120"/>
      <c r="NH22" s="120"/>
      <c r="NI22" s="205"/>
      <c r="NJ22" s="205"/>
      <c r="NK22" s="205">
        <f t="shared" si="176"/>
        <v>0</v>
      </c>
      <c r="NL22" s="120"/>
      <c r="NM22" s="120"/>
      <c r="NN22" s="120"/>
      <c r="NO22" s="120"/>
      <c r="NP22" s="120"/>
      <c r="NQ22" s="205"/>
      <c r="NR22" s="205"/>
      <c r="NS22" s="205">
        <f t="shared" si="177"/>
        <v>0</v>
      </c>
      <c r="NT22" s="120"/>
      <c r="NU22" s="120"/>
      <c r="NV22" s="120"/>
      <c r="NW22" s="120"/>
      <c r="NX22" s="120"/>
      <c r="NY22" s="205"/>
      <c r="NZ22" s="205"/>
      <c r="OA22" s="205">
        <f t="shared" si="178"/>
        <v>0</v>
      </c>
      <c r="OB22" s="205">
        <f t="shared" si="179"/>
        <v>0</v>
      </c>
      <c r="OC22" s="120"/>
      <c r="OD22" s="120"/>
      <c r="OE22" s="120"/>
      <c r="OF22" s="120"/>
      <c r="OG22" s="120"/>
      <c r="OH22" s="205"/>
      <c r="OI22" s="205"/>
      <c r="OJ22" s="205">
        <f t="shared" si="180"/>
        <v>0</v>
      </c>
      <c r="OK22" s="120"/>
      <c r="OL22" s="120"/>
      <c r="OM22" s="120"/>
      <c r="ON22" s="120"/>
      <c r="OO22" s="120"/>
      <c r="OP22" s="205"/>
      <c r="OQ22" s="205"/>
      <c r="OR22" s="205">
        <f t="shared" si="181"/>
        <v>0</v>
      </c>
      <c r="OS22" s="120"/>
      <c r="OT22" s="120"/>
      <c r="OU22" s="120"/>
      <c r="OV22" s="120"/>
      <c r="OW22" s="120"/>
      <c r="OX22" s="205"/>
      <c r="OY22" s="205"/>
      <c r="OZ22" s="205">
        <f t="shared" si="182"/>
        <v>0</v>
      </c>
      <c r="PA22" s="120"/>
      <c r="PB22" s="120"/>
      <c r="PC22" s="120"/>
      <c r="PD22" s="205"/>
      <c r="PE22" s="217"/>
      <c r="PF22" s="205"/>
      <c r="PG22" s="205"/>
      <c r="PH22" s="205">
        <f t="shared" si="183"/>
        <v>0</v>
      </c>
      <c r="PI22" s="120"/>
      <c r="PJ22" s="120"/>
      <c r="PK22" s="120"/>
      <c r="PL22" s="205"/>
      <c r="PM22" s="217"/>
      <c r="PN22" s="205"/>
      <c r="PO22" s="205"/>
      <c r="PP22" s="205">
        <f t="shared" si="184"/>
        <v>0</v>
      </c>
      <c r="PQ22" s="205">
        <f t="shared" si="185"/>
        <v>0</v>
      </c>
      <c r="PR22" s="207"/>
      <c r="PS22" s="207"/>
      <c r="PT22" s="207"/>
      <c r="PU22" s="207"/>
      <c r="PV22" s="207"/>
      <c r="PW22" s="272"/>
      <c r="PX22" s="272"/>
      <c r="PY22" s="205">
        <f t="shared" si="186"/>
        <v>0</v>
      </c>
      <c r="PZ22" s="207"/>
      <c r="QA22" s="207"/>
      <c r="QB22" s="207"/>
      <c r="QC22" s="207"/>
      <c r="QD22" s="207"/>
      <c r="QE22" s="272"/>
      <c r="QF22" s="272"/>
      <c r="QG22" s="205">
        <f t="shared" si="187"/>
        <v>0</v>
      </c>
      <c r="QH22" s="207"/>
      <c r="QI22" s="207"/>
      <c r="QJ22" s="294"/>
      <c r="QK22" s="207"/>
      <c r="QL22" s="207"/>
      <c r="QM22" s="272"/>
      <c r="QN22" s="272"/>
      <c r="QO22" s="205">
        <f t="shared" si="188"/>
        <v>0</v>
      </c>
      <c r="QP22" s="207"/>
      <c r="QQ22" s="207"/>
      <c r="QR22" s="207"/>
      <c r="QS22" s="207"/>
      <c r="QT22" s="207"/>
      <c r="QU22" s="272"/>
      <c r="QV22" s="272"/>
      <c r="QW22" s="205">
        <f t="shared" si="189"/>
        <v>0</v>
      </c>
      <c r="QX22" s="205">
        <f t="shared" si="190"/>
        <v>0</v>
      </c>
      <c r="QY22" s="207"/>
      <c r="QZ22" s="207"/>
      <c r="RA22" s="207"/>
      <c r="RB22" s="207"/>
      <c r="RC22" s="207"/>
      <c r="RD22" s="272"/>
      <c r="RE22" s="272"/>
      <c r="RF22" s="205">
        <f t="shared" si="191"/>
        <v>0</v>
      </c>
      <c r="RG22" s="207"/>
      <c r="RH22" s="207"/>
      <c r="RI22" s="207"/>
      <c r="RJ22" s="207"/>
      <c r="RK22" s="207"/>
      <c r="RL22" s="272"/>
      <c r="RM22" s="272"/>
      <c r="RN22" s="205">
        <f t="shared" si="192"/>
        <v>0</v>
      </c>
      <c r="RO22" s="272"/>
      <c r="RP22" s="272"/>
      <c r="RQ22" s="272"/>
      <c r="RR22" s="272"/>
      <c r="RS22" s="272"/>
      <c r="RT22" s="272"/>
      <c r="RU22" s="272"/>
      <c r="RV22" s="205">
        <f t="shared" si="193"/>
        <v>0</v>
      </c>
      <c r="RW22" s="207"/>
      <c r="RX22" s="207"/>
      <c r="RY22" s="207"/>
      <c r="RZ22" s="207"/>
      <c r="SA22" s="272"/>
      <c r="SB22" s="272"/>
      <c r="SC22" s="272"/>
      <c r="SD22" s="205">
        <f t="shared" si="194"/>
        <v>0</v>
      </c>
      <c r="SE22" s="205">
        <f t="shared" si="195"/>
        <v>0</v>
      </c>
      <c r="SF22" s="207"/>
      <c r="SG22" s="207"/>
      <c r="SH22" s="207"/>
      <c r="SI22" s="207"/>
      <c r="SJ22" s="207"/>
      <c r="SK22" s="272"/>
      <c r="SL22" s="272"/>
      <c r="SM22" s="205">
        <f t="shared" si="196"/>
        <v>0</v>
      </c>
      <c r="SN22" s="207"/>
      <c r="SO22" s="207"/>
      <c r="SP22" s="207"/>
      <c r="SQ22" s="207"/>
      <c r="SR22" s="207"/>
      <c r="SS22" s="272"/>
      <c r="ST22" s="272"/>
      <c r="SU22" s="205">
        <f t="shared" si="197"/>
        <v>0</v>
      </c>
      <c r="SV22" s="207"/>
      <c r="SW22" s="207"/>
      <c r="SX22" s="207"/>
      <c r="SY22" s="207"/>
      <c r="SZ22" s="207"/>
      <c r="TA22" s="272"/>
      <c r="TB22" s="272"/>
      <c r="TC22" s="205">
        <f t="shared" si="198"/>
        <v>0</v>
      </c>
      <c r="TD22" s="207"/>
      <c r="TE22" s="207"/>
      <c r="TF22" s="207"/>
      <c r="TG22" s="207"/>
      <c r="TH22" s="207"/>
      <c r="TI22" s="272"/>
      <c r="TJ22" s="272"/>
      <c r="TK22" s="205">
        <f t="shared" si="199"/>
        <v>0</v>
      </c>
      <c r="TL22" s="207"/>
      <c r="TM22" s="207"/>
      <c r="TN22" s="207"/>
      <c r="TO22" s="207"/>
      <c r="TP22" s="272"/>
      <c r="TQ22" s="272"/>
      <c r="TR22" s="272"/>
      <c r="TS22" s="205">
        <f t="shared" si="200"/>
        <v>0</v>
      </c>
      <c r="TT22" s="205">
        <f t="shared" si="201"/>
        <v>0</v>
      </c>
      <c r="TU22" s="272"/>
      <c r="TV22" s="207"/>
      <c r="TW22" s="207"/>
      <c r="TX22" s="207"/>
      <c r="TY22" s="207"/>
      <c r="TZ22" s="272"/>
      <c r="UA22" s="272"/>
      <c r="UB22" s="205">
        <f t="shared" si="202"/>
        <v>0</v>
      </c>
      <c r="UC22" s="207"/>
      <c r="UD22" s="207"/>
      <c r="UE22" s="207"/>
      <c r="UF22" s="207"/>
      <c r="UG22" s="207"/>
      <c r="UH22" s="272"/>
      <c r="UI22" s="272"/>
      <c r="UJ22" s="205">
        <f t="shared" si="203"/>
        <v>0</v>
      </c>
      <c r="UK22" s="207"/>
      <c r="UL22" s="207"/>
      <c r="UM22" s="207"/>
      <c r="UN22" s="207"/>
      <c r="UO22" s="207"/>
      <c r="UP22" s="272"/>
      <c r="UQ22" s="272"/>
      <c r="UR22" s="205">
        <f t="shared" si="226"/>
        <v>0</v>
      </c>
      <c r="US22" s="207"/>
      <c r="UT22" s="207"/>
      <c r="UU22" s="207"/>
      <c r="UV22" s="207"/>
      <c r="UW22" s="272"/>
      <c r="UX22" s="272"/>
      <c r="UY22" s="272"/>
      <c r="UZ22" s="205">
        <f t="shared" si="204"/>
        <v>0</v>
      </c>
      <c r="VA22" s="205">
        <f t="shared" si="205"/>
        <v>0</v>
      </c>
      <c r="VB22" s="207"/>
      <c r="VC22" s="207"/>
      <c r="VD22" s="207"/>
      <c r="VE22" s="207"/>
      <c r="VF22" s="207"/>
      <c r="VG22" s="272"/>
      <c r="VH22" s="272"/>
      <c r="VI22" s="205">
        <f t="shared" si="206"/>
        <v>0</v>
      </c>
      <c r="VJ22" s="207"/>
      <c r="VK22" s="207"/>
      <c r="VL22" s="207"/>
      <c r="VM22" s="207"/>
      <c r="VN22" s="207"/>
      <c r="VO22" s="272"/>
      <c r="VP22" s="272"/>
      <c r="VQ22" s="205">
        <f t="shared" si="207"/>
        <v>0</v>
      </c>
      <c r="VR22" s="207"/>
      <c r="VS22" s="207"/>
      <c r="VT22" s="207"/>
      <c r="VU22" s="207"/>
      <c r="VV22" s="207"/>
      <c r="VW22" s="272"/>
      <c r="VX22" s="272"/>
      <c r="VY22" s="205">
        <f t="shared" si="208"/>
        <v>0</v>
      </c>
      <c r="VZ22" s="207"/>
      <c r="WA22" s="207"/>
      <c r="WB22" s="207"/>
      <c r="WC22" s="207"/>
      <c r="WD22" s="207"/>
      <c r="WE22" s="272"/>
      <c r="WF22" s="272"/>
      <c r="WG22" s="205">
        <f t="shared" si="209"/>
        <v>0</v>
      </c>
      <c r="WH22" s="205">
        <f t="shared" si="210"/>
        <v>0</v>
      </c>
      <c r="WI22" s="207"/>
      <c r="WJ22" s="207"/>
      <c r="WK22" s="207"/>
      <c r="WL22" s="207"/>
      <c r="WM22" s="207"/>
      <c r="WN22" s="272"/>
      <c r="WO22" s="272"/>
      <c r="WP22" s="205">
        <f t="shared" si="211"/>
        <v>0</v>
      </c>
      <c r="WQ22" s="207"/>
      <c r="WR22" s="207"/>
      <c r="WS22" s="207"/>
      <c r="WT22" s="207"/>
      <c r="WU22" s="207"/>
      <c r="WV22" s="272"/>
      <c r="WW22" s="272"/>
      <c r="WX22" s="205">
        <f t="shared" si="212"/>
        <v>0</v>
      </c>
      <c r="WY22" s="207"/>
      <c r="WZ22" s="207"/>
      <c r="XA22" s="207"/>
      <c r="XB22" s="207"/>
      <c r="XC22" s="272"/>
      <c r="XD22" s="272"/>
      <c r="XE22" s="272"/>
      <c r="XF22" s="205">
        <f t="shared" si="213"/>
        <v>0</v>
      </c>
      <c r="XG22" s="207"/>
      <c r="XH22" s="207"/>
      <c r="XI22" s="207"/>
      <c r="XJ22" s="207"/>
      <c r="XK22" s="207"/>
      <c r="XL22" s="272"/>
      <c r="XM22" s="272"/>
      <c r="XN22" s="205">
        <f t="shared" si="214"/>
        <v>0</v>
      </c>
      <c r="XO22" s="207"/>
      <c r="XP22" s="207"/>
      <c r="XQ22" s="207"/>
      <c r="XR22" s="207"/>
      <c r="XS22" s="207"/>
      <c r="XT22" s="272"/>
      <c r="XU22" s="272"/>
      <c r="XV22" s="205">
        <f t="shared" si="215"/>
        <v>0</v>
      </c>
      <c r="XW22" s="205">
        <f t="shared" si="216"/>
        <v>0</v>
      </c>
      <c r="XX22" s="207"/>
      <c r="XY22" s="207"/>
      <c r="XZ22" s="207"/>
      <c r="YA22" s="207"/>
      <c r="YB22" s="207"/>
      <c r="YC22" s="272"/>
      <c r="YD22" s="272"/>
      <c r="YE22" s="205">
        <f t="shared" si="217"/>
        <v>0</v>
      </c>
      <c r="YF22" s="207"/>
      <c r="YG22" s="207"/>
      <c r="YH22" s="207"/>
      <c r="YI22" s="207"/>
      <c r="YJ22" s="207"/>
      <c r="YK22" s="272"/>
      <c r="YL22" s="272"/>
      <c r="YM22" s="205">
        <f t="shared" si="218"/>
        <v>0</v>
      </c>
      <c r="YN22" s="207"/>
      <c r="YO22" s="207"/>
      <c r="YP22" s="207"/>
      <c r="YQ22" s="207"/>
      <c r="YR22" s="207"/>
      <c r="YS22" s="272"/>
      <c r="YT22" s="272"/>
      <c r="YU22" s="205">
        <f t="shared" si="148"/>
        <v>0</v>
      </c>
      <c r="YV22" s="207"/>
      <c r="YW22" s="207"/>
      <c r="YX22" s="207"/>
      <c r="YY22" s="207"/>
      <c r="YZ22" s="207"/>
      <c r="ZA22" s="272"/>
      <c r="ZB22" s="272"/>
      <c r="ZC22" s="205">
        <f t="shared" si="219"/>
        <v>0</v>
      </c>
      <c r="ZD22" s="205">
        <f t="shared" si="149"/>
        <v>0</v>
      </c>
      <c r="ZE22" s="207"/>
      <c r="ZF22" s="207"/>
      <c r="ZG22" s="207"/>
      <c r="ZH22" s="207"/>
      <c r="ZI22" s="207"/>
      <c r="ZJ22" s="272"/>
      <c r="ZK22" s="272"/>
      <c r="ZL22" s="205">
        <f t="shared" si="220"/>
        <v>0</v>
      </c>
      <c r="ZM22" s="207"/>
      <c r="ZN22" s="207"/>
      <c r="ZO22" s="207"/>
      <c r="ZP22" s="207"/>
      <c r="ZQ22" s="207"/>
      <c r="ZR22" s="272"/>
      <c r="ZS22" s="272"/>
      <c r="ZT22" s="205">
        <f t="shared" si="221"/>
        <v>0</v>
      </c>
      <c r="ZU22" s="207"/>
      <c r="ZV22" s="207"/>
      <c r="ZW22" s="207"/>
      <c r="ZX22" s="207"/>
      <c r="ZY22" s="207"/>
      <c r="ZZ22" s="272"/>
      <c r="AAA22" s="272"/>
      <c r="AAB22" s="205">
        <f t="shared" si="222"/>
        <v>0</v>
      </c>
      <c r="AAC22" s="207"/>
      <c r="AAD22" s="207"/>
      <c r="AAE22" s="207"/>
      <c r="AAF22" s="207"/>
      <c r="AAG22" s="207"/>
      <c r="AAH22" s="272"/>
      <c r="AAI22" s="272"/>
      <c r="AAJ22" s="205">
        <f t="shared" si="223"/>
        <v>0</v>
      </c>
      <c r="AAK22" s="207"/>
      <c r="AAL22" s="207"/>
      <c r="AAM22" s="207"/>
      <c r="AAN22" s="207"/>
      <c r="AAO22" s="207"/>
      <c r="AAP22" s="272"/>
      <c r="AAQ22" s="272"/>
      <c r="AAR22" s="205">
        <f t="shared" si="224"/>
        <v>0</v>
      </c>
      <c r="AAS22" s="205">
        <f t="shared" si="225"/>
        <v>0</v>
      </c>
    </row>
    <row r="23" spans="1:721" s="126" customFormat="1" ht="69.95" customHeight="1">
      <c r="A23" s="125" t="s">
        <v>79</v>
      </c>
      <c r="B23" s="155">
        <v>3620101405</v>
      </c>
      <c r="C23" s="323"/>
      <c r="D23" s="154" t="s">
        <v>24</v>
      </c>
      <c r="E23" s="130" t="s">
        <v>4</v>
      </c>
      <c r="F23" s="120"/>
      <c r="G23" s="120"/>
      <c r="H23" s="120"/>
      <c r="I23" s="120"/>
      <c r="J23" s="120"/>
      <c r="K23" s="209"/>
      <c r="L23" s="205"/>
      <c r="M23" s="205">
        <f t="shared" si="121"/>
        <v>0</v>
      </c>
      <c r="N23" s="120"/>
      <c r="O23" s="120"/>
      <c r="P23" s="120"/>
      <c r="Q23" s="120"/>
      <c r="R23" s="120"/>
      <c r="S23" s="209"/>
      <c r="T23" s="205"/>
      <c r="U23" s="205">
        <f t="shared" si="122"/>
        <v>0</v>
      </c>
      <c r="V23" s="120"/>
      <c r="W23" s="120"/>
      <c r="X23" s="120"/>
      <c r="Y23" s="120"/>
      <c r="Z23" s="120"/>
      <c r="AA23" s="209"/>
      <c r="AB23" s="205"/>
      <c r="AC23" s="205">
        <f t="shared" si="123"/>
        <v>0</v>
      </c>
      <c r="AD23" s="205"/>
      <c r="AE23" s="205"/>
      <c r="AF23" s="205"/>
      <c r="AG23" s="205"/>
      <c r="AH23" s="205"/>
      <c r="AI23" s="209"/>
      <c r="AJ23" s="205"/>
      <c r="AK23" s="205">
        <f t="shared" si="124"/>
        <v>0</v>
      </c>
      <c r="AL23" s="205" t="e">
        <f>SUM(#REF!,M23,U23,AC23,AD23:AH23)</f>
        <v>#REF!</v>
      </c>
      <c r="AM23" s="120"/>
      <c r="AN23" s="120"/>
      <c r="AO23" s="120"/>
      <c r="AP23" s="120"/>
      <c r="AQ23" s="120"/>
      <c r="AR23" s="209"/>
      <c r="AS23" s="205"/>
      <c r="AT23" s="205">
        <f t="shared" si="125"/>
        <v>0</v>
      </c>
      <c r="AU23" s="120"/>
      <c r="AV23" s="120"/>
      <c r="AW23" s="120"/>
      <c r="AX23" s="120"/>
      <c r="AY23" s="120"/>
      <c r="AZ23" s="209"/>
      <c r="BA23" s="205"/>
      <c r="BB23" s="205">
        <f t="shared" si="126"/>
        <v>0</v>
      </c>
      <c r="BC23" s="120"/>
      <c r="BD23" s="120"/>
      <c r="BE23" s="120"/>
      <c r="BF23" s="120"/>
      <c r="BG23" s="120"/>
      <c r="BH23" s="209"/>
      <c r="BI23" s="205"/>
      <c r="BJ23" s="205">
        <f t="shared" si="127"/>
        <v>0</v>
      </c>
      <c r="BK23" s="120"/>
      <c r="BL23" s="120"/>
      <c r="BM23" s="120"/>
      <c r="BN23" s="120"/>
      <c r="BO23" s="205"/>
      <c r="BP23" s="209"/>
      <c r="BQ23" s="205"/>
      <c r="BR23" s="205">
        <f t="shared" si="128"/>
        <v>0</v>
      </c>
      <c r="BS23" s="205">
        <f t="shared" si="129"/>
        <v>0</v>
      </c>
      <c r="BT23" s="120"/>
      <c r="BU23" s="120"/>
      <c r="BV23" s="120"/>
      <c r="BW23" s="120"/>
      <c r="BX23" s="120"/>
      <c r="BY23" s="209"/>
      <c r="BZ23" s="205"/>
      <c r="CA23" s="205">
        <f t="shared" si="130"/>
        <v>0</v>
      </c>
      <c r="CB23" s="120"/>
      <c r="CC23" s="120"/>
      <c r="CD23" s="120"/>
      <c r="CE23" s="120"/>
      <c r="CF23" s="120"/>
      <c r="CG23" s="209"/>
      <c r="CH23" s="205"/>
      <c r="CI23" s="205">
        <f t="shared" si="131"/>
        <v>0</v>
      </c>
      <c r="CJ23" s="120"/>
      <c r="CK23" s="120"/>
      <c r="CL23" s="120"/>
      <c r="CM23" s="120"/>
      <c r="CN23" s="120"/>
      <c r="CO23" s="209"/>
      <c r="CP23" s="205"/>
      <c r="CQ23" s="205">
        <f t="shared" si="132"/>
        <v>0</v>
      </c>
      <c r="CR23" s="120"/>
      <c r="CS23" s="120"/>
      <c r="CT23" s="120"/>
      <c r="CU23" s="120"/>
      <c r="CV23" s="120"/>
      <c r="CW23" s="209"/>
      <c r="CX23" s="205"/>
      <c r="CY23" s="205">
        <f t="shared" si="133"/>
        <v>0</v>
      </c>
      <c r="CZ23" s="120"/>
      <c r="DA23" s="120"/>
      <c r="DB23" s="120"/>
      <c r="DC23" s="205"/>
      <c r="DD23" s="205"/>
      <c r="DE23" s="209"/>
      <c r="DF23" s="205"/>
      <c r="DG23" s="205">
        <f t="shared" si="134"/>
        <v>0</v>
      </c>
      <c r="DH23" s="205">
        <f t="shared" si="150"/>
        <v>0</v>
      </c>
      <c r="DI23" s="120"/>
      <c r="DJ23" s="120"/>
      <c r="DK23" s="120"/>
      <c r="DL23" s="120"/>
      <c r="DM23" s="120"/>
      <c r="DN23" s="209"/>
      <c r="DO23" s="205"/>
      <c r="DP23" s="205">
        <f t="shared" si="135"/>
        <v>0</v>
      </c>
      <c r="DQ23" s="120"/>
      <c r="DR23" s="120"/>
      <c r="DS23" s="120"/>
      <c r="DT23" s="120"/>
      <c r="DU23" s="120"/>
      <c r="DV23" s="209"/>
      <c r="DW23" s="205"/>
      <c r="DX23" s="205">
        <f t="shared" si="136"/>
        <v>0</v>
      </c>
      <c r="DY23" s="120"/>
      <c r="DZ23" s="120"/>
      <c r="EA23" s="120"/>
      <c r="EB23" s="120"/>
      <c r="EC23" s="120"/>
      <c r="ED23" s="209"/>
      <c r="EE23" s="205"/>
      <c r="EF23" s="205">
        <f t="shared" si="137"/>
        <v>0</v>
      </c>
      <c r="EG23" s="120"/>
      <c r="EH23" s="120"/>
      <c r="EI23" s="120"/>
      <c r="EJ23" s="205"/>
      <c r="EK23" s="205"/>
      <c r="EL23" s="209"/>
      <c r="EM23" s="205"/>
      <c r="EN23" s="205">
        <f t="shared" si="138"/>
        <v>0</v>
      </c>
      <c r="EO23" s="205">
        <f t="shared" si="151"/>
        <v>0</v>
      </c>
      <c r="EP23" s="120"/>
      <c r="EQ23" s="120"/>
      <c r="ER23" s="120"/>
      <c r="ES23" s="120"/>
      <c r="ET23" s="120"/>
      <c r="EU23" s="209"/>
      <c r="EV23" s="205"/>
      <c r="EW23" s="205">
        <f t="shared" si="139"/>
        <v>0</v>
      </c>
      <c r="EX23" s="120"/>
      <c r="EY23" s="120"/>
      <c r="EZ23" s="120"/>
      <c r="FA23" s="120"/>
      <c r="FB23" s="120"/>
      <c r="FC23" s="209"/>
      <c r="FD23" s="205"/>
      <c r="FE23" s="205">
        <f t="shared" si="140"/>
        <v>0</v>
      </c>
      <c r="FF23" s="120"/>
      <c r="FG23" s="120"/>
      <c r="FH23" s="120"/>
      <c r="FI23" s="120"/>
      <c r="FJ23" s="120"/>
      <c r="FK23" s="209"/>
      <c r="FL23" s="205"/>
      <c r="FM23" s="205">
        <f t="shared" si="141"/>
        <v>0</v>
      </c>
      <c r="FN23" s="120"/>
      <c r="FO23" s="120"/>
      <c r="FP23" s="120"/>
      <c r="FQ23" s="120"/>
      <c r="FR23" s="205"/>
      <c r="FS23" s="209"/>
      <c r="FT23" s="205"/>
      <c r="FU23" s="205">
        <f t="shared" si="142"/>
        <v>0</v>
      </c>
      <c r="FV23" s="205">
        <f t="shared" si="152"/>
        <v>0</v>
      </c>
      <c r="FW23" s="120"/>
      <c r="FX23" s="120"/>
      <c r="FY23" s="120"/>
      <c r="FZ23" s="120"/>
      <c r="GA23" s="120"/>
      <c r="GB23" s="209"/>
      <c r="GC23" s="205"/>
      <c r="GD23" s="205">
        <f t="shared" si="143"/>
        <v>0</v>
      </c>
      <c r="GE23" s="120"/>
      <c r="GF23" s="120"/>
      <c r="GG23" s="120"/>
      <c r="GH23" s="120"/>
      <c r="GI23" s="120"/>
      <c r="GJ23" s="209"/>
      <c r="GK23" s="205"/>
      <c r="GL23" s="205">
        <f t="shared" si="144"/>
        <v>0</v>
      </c>
      <c r="GM23" s="120"/>
      <c r="GN23" s="120"/>
      <c r="GO23" s="120"/>
      <c r="GP23" s="120"/>
      <c r="GQ23" s="120"/>
      <c r="GR23" s="209"/>
      <c r="GS23" s="205"/>
      <c r="GT23" s="205">
        <f t="shared" si="145"/>
        <v>0</v>
      </c>
      <c r="GU23" s="120"/>
      <c r="GV23" s="120"/>
      <c r="GW23" s="120"/>
      <c r="GX23" s="120"/>
      <c r="GY23" s="120"/>
      <c r="GZ23" s="209"/>
      <c r="HA23" s="205"/>
      <c r="HB23" s="205">
        <f t="shared" si="146"/>
        <v>0</v>
      </c>
      <c r="HC23" s="120"/>
      <c r="HD23" s="120"/>
      <c r="HE23" s="120"/>
      <c r="HF23" s="120"/>
      <c r="HG23" s="120"/>
      <c r="HH23" s="209"/>
      <c r="HI23" s="205"/>
      <c r="HJ23" s="205">
        <f t="shared" si="147"/>
        <v>0</v>
      </c>
      <c r="HK23" s="205">
        <f t="shared" si="153"/>
        <v>0</v>
      </c>
      <c r="HL23" s="124"/>
      <c r="HM23" s="120"/>
      <c r="HN23" s="120"/>
      <c r="HO23" s="120"/>
      <c r="HP23" s="120"/>
      <c r="HQ23" s="205"/>
      <c r="HR23" s="205"/>
      <c r="HS23" s="205">
        <f t="shared" si="154"/>
        <v>0</v>
      </c>
      <c r="HT23" s="120"/>
      <c r="HU23" s="120"/>
      <c r="HV23" s="120"/>
      <c r="HW23" s="120"/>
      <c r="HX23" s="120"/>
      <c r="HY23" s="205"/>
      <c r="HZ23" s="205"/>
      <c r="IA23" s="205">
        <f t="shared" si="155"/>
        <v>0</v>
      </c>
      <c r="IB23" s="120"/>
      <c r="IC23" s="120"/>
      <c r="ID23" s="120"/>
      <c r="IE23" s="120"/>
      <c r="IF23" s="120"/>
      <c r="IG23" s="205"/>
      <c r="IH23" s="205"/>
      <c r="II23" s="205">
        <f t="shared" si="156"/>
        <v>0</v>
      </c>
      <c r="IJ23" s="120"/>
      <c r="IK23" s="120"/>
      <c r="IL23" s="120"/>
      <c r="IM23" s="120"/>
      <c r="IN23" s="120"/>
      <c r="IO23" s="205"/>
      <c r="IP23" s="205"/>
      <c r="IQ23" s="205">
        <f t="shared" si="157"/>
        <v>0</v>
      </c>
      <c r="IR23" s="205">
        <f t="shared" si="158"/>
        <v>0</v>
      </c>
      <c r="IS23" s="120"/>
      <c r="IT23" s="120"/>
      <c r="IU23" s="120"/>
      <c r="IV23" s="120"/>
      <c r="IW23" s="120"/>
      <c r="IX23" s="205"/>
      <c r="IY23" s="205"/>
      <c r="IZ23" s="205">
        <f t="shared" si="159"/>
        <v>0</v>
      </c>
      <c r="JA23" s="120"/>
      <c r="JB23" s="120"/>
      <c r="JC23" s="120"/>
      <c r="JD23" s="120"/>
      <c r="JE23" s="120"/>
      <c r="JF23" s="205"/>
      <c r="JG23" s="205"/>
      <c r="JH23" s="205">
        <f t="shared" si="160"/>
        <v>0</v>
      </c>
      <c r="JI23" s="120"/>
      <c r="JJ23" s="120"/>
      <c r="JK23" s="120"/>
      <c r="JL23" s="120"/>
      <c r="JM23" s="120"/>
      <c r="JN23" s="205"/>
      <c r="JO23" s="205"/>
      <c r="JP23" s="205">
        <f t="shared" si="161"/>
        <v>0</v>
      </c>
      <c r="JQ23" s="120"/>
      <c r="JR23" s="120"/>
      <c r="JS23" s="120"/>
      <c r="JT23" s="120"/>
      <c r="JU23" s="120"/>
      <c r="JV23" s="205"/>
      <c r="JW23" s="205"/>
      <c r="JX23" s="205">
        <f t="shared" si="162"/>
        <v>0</v>
      </c>
      <c r="JY23" s="205">
        <f t="shared" si="163"/>
        <v>0</v>
      </c>
      <c r="JZ23" s="120"/>
      <c r="KA23" s="120"/>
      <c r="KB23" s="120"/>
      <c r="KC23" s="120"/>
      <c r="KD23" s="120"/>
      <c r="KE23" s="205"/>
      <c r="KF23" s="205"/>
      <c r="KG23" s="205">
        <f t="shared" si="164"/>
        <v>0</v>
      </c>
      <c r="KH23" s="120"/>
      <c r="KI23" s="120"/>
      <c r="KJ23" s="120"/>
      <c r="KK23" s="120"/>
      <c r="KL23" s="120"/>
      <c r="KM23" s="205"/>
      <c r="KN23" s="205"/>
      <c r="KO23" s="205">
        <f t="shared" si="165"/>
        <v>0</v>
      </c>
      <c r="KP23" s="120"/>
      <c r="KQ23" s="120"/>
      <c r="KR23" s="120"/>
      <c r="KS23" s="120"/>
      <c r="KT23" s="120"/>
      <c r="KU23" s="205"/>
      <c r="KV23" s="205"/>
      <c r="KW23" s="205">
        <f t="shared" si="166"/>
        <v>0</v>
      </c>
      <c r="KX23" s="120"/>
      <c r="KY23" s="120"/>
      <c r="KZ23" s="120"/>
      <c r="LA23" s="120"/>
      <c r="LB23" s="120"/>
      <c r="LC23" s="205"/>
      <c r="LD23" s="205"/>
      <c r="LE23" s="205">
        <f t="shared" si="167"/>
        <v>0</v>
      </c>
      <c r="LF23" s="205"/>
      <c r="LG23" s="120"/>
      <c r="LH23" s="120"/>
      <c r="LI23" s="120"/>
      <c r="LJ23" s="120"/>
      <c r="LK23" s="205"/>
      <c r="LL23" s="205"/>
      <c r="LM23" s="205">
        <f t="shared" si="168"/>
        <v>0</v>
      </c>
      <c r="LN23" s="205">
        <f t="shared" si="169"/>
        <v>0</v>
      </c>
      <c r="LO23" s="205"/>
      <c r="LP23" s="120"/>
      <c r="LQ23" s="120"/>
      <c r="LR23" s="120"/>
      <c r="LS23" s="205"/>
      <c r="LT23" s="205"/>
      <c r="LU23" s="205"/>
      <c r="LV23" s="205">
        <f t="shared" si="170"/>
        <v>0</v>
      </c>
      <c r="LW23" s="120"/>
      <c r="LX23" s="120"/>
      <c r="LY23" s="120"/>
      <c r="LZ23" s="120"/>
      <c r="MA23" s="120"/>
      <c r="MB23" s="205"/>
      <c r="MC23" s="205"/>
      <c r="MD23" s="205">
        <f t="shared" si="171"/>
        <v>0</v>
      </c>
      <c r="ME23" s="120"/>
      <c r="MF23" s="120"/>
      <c r="MG23" s="120"/>
      <c r="MH23" s="120"/>
      <c r="MI23" s="205"/>
      <c r="MJ23" s="205"/>
      <c r="MK23" s="205"/>
      <c r="ML23" s="205">
        <f t="shared" si="172"/>
        <v>0</v>
      </c>
      <c r="MM23" s="120"/>
      <c r="MN23" s="120"/>
      <c r="MO23" s="120"/>
      <c r="MP23" s="120"/>
      <c r="MQ23" s="120"/>
      <c r="MR23" s="205"/>
      <c r="MS23" s="205"/>
      <c r="MT23" s="205">
        <f t="shared" si="173"/>
        <v>0</v>
      </c>
      <c r="MU23" s="205">
        <f t="shared" si="174"/>
        <v>0</v>
      </c>
      <c r="MV23" s="120"/>
      <c r="MW23" s="120"/>
      <c r="MX23" s="120"/>
      <c r="MY23" s="120"/>
      <c r="MZ23" s="120"/>
      <c r="NA23" s="205"/>
      <c r="NB23" s="205"/>
      <c r="NC23" s="205">
        <f t="shared" si="175"/>
        <v>0</v>
      </c>
      <c r="ND23" s="120"/>
      <c r="NE23" s="120"/>
      <c r="NF23" s="120"/>
      <c r="NG23" s="120"/>
      <c r="NH23" s="120"/>
      <c r="NI23" s="205"/>
      <c r="NJ23" s="205"/>
      <c r="NK23" s="205">
        <f t="shared" si="176"/>
        <v>0</v>
      </c>
      <c r="NL23" s="120"/>
      <c r="NM23" s="120"/>
      <c r="NN23" s="120"/>
      <c r="NO23" s="120"/>
      <c r="NP23" s="120"/>
      <c r="NQ23" s="205"/>
      <c r="NR23" s="205"/>
      <c r="NS23" s="205">
        <f t="shared" si="177"/>
        <v>0</v>
      </c>
      <c r="NT23" s="120"/>
      <c r="NU23" s="120"/>
      <c r="NV23" s="120"/>
      <c r="NW23" s="120"/>
      <c r="NX23" s="120"/>
      <c r="NY23" s="205"/>
      <c r="NZ23" s="205"/>
      <c r="OA23" s="205">
        <f t="shared" si="178"/>
        <v>0</v>
      </c>
      <c r="OB23" s="205">
        <f t="shared" si="179"/>
        <v>0</v>
      </c>
      <c r="OC23" s="120"/>
      <c r="OD23" s="120"/>
      <c r="OE23" s="120"/>
      <c r="OF23" s="120"/>
      <c r="OG23" s="120"/>
      <c r="OH23" s="205"/>
      <c r="OI23" s="205"/>
      <c r="OJ23" s="205">
        <f t="shared" si="180"/>
        <v>0</v>
      </c>
      <c r="OK23" s="120"/>
      <c r="OL23" s="120"/>
      <c r="OM23" s="120"/>
      <c r="ON23" s="120"/>
      <c r="OO23" s="120"/>
      <c r="OP23" s="205"/>
      <c r="OQ23" s="205"/>
      <c r="OR23" s="205">
        <f t="shared" si="181"/>
        <v>0</v>
      </c>
      <c r="OS23" s="120"/>
      <c r="OT23" s="120"/>
      <c r="OU23" s="120"/>
      <c r="OV23" s="120"/>
      <c r="OW23" s="120"/>
      <c r="OX23" s="205"/>
      <c r="OY23" s="205"/>
      <c r="OZ23" s="205">
        <f t="shared" si="182"/>
        <v>0</v>
      </c>
      <c r="PA23" s="120"/>
      <c r="PB23" s="120"/>
      <c r="PC23" s="120"/>
      <c r="PD23" s="205"/>
      <c r="PE23" s="217"/>
      <c r="PF23" s="205"/>
      <c r="PG23" s="205"/>
      <c r="PH23" s="205">
        <f t="shared" si="183"/>
        <v>0</v>
      </c>
      <c r="PI23" s="120"/>
      <c r="PJ23" s="120"/>
      <c r="PK23" s="120"/>
      <c r="PL23" s="205"/>
      <c r="PM23" s="217"/>
      <c r="PN23" s="205"/>
      <c r="PO23" s="205"/>
      <c r="PP23" s="205">
        <f t="shared" si="184"/>
        <v>0</v>
      </c>
      <c r="PQ23" s="205">
        <f t="shared" si="185"/>
        <v>0</v>
      </c>
      <c r="PR23" s="207"/>
      <c r="PS23" s="207"/>
      <c r="PT23" s="207"/>
      <c r="PU23" s="207"/>
      <c r="PV23" s="207"/>
      <c r="PW23" s="272"/>
      <c r="PX23" s="272"/>
      <c r="PY23" s="205">
        <f t="shared" si="186"/>
        <v>0</v>
      </c>
      <c r="PZ23" s="207"/>
      <c r="QA23" s="207"/>
      <c r="QB23" s="207"/>
      <c r="QC23" s="207"/>
      <c r="QD23" s="207"/>
      <c r="QE23" s="272"/>
      <c r="QF23" s="272"/>
      <c r="QG23" s="205">
        <f t="shared" si="187"/>
        <v>0</v>
      </c>
      <c r="QH23" s="207"/>
      <c r="QI23" s="207"/>
      <c r="QJ23" s="294"/>
      <c r="QK23" s="207"/>
      <c r="QL23" s="207"/>
      <c r="QM23" s="272"/>
      <c r="QN23" s="272"/>
      <c r="QO23" s="205">
        <f t="shared" si="188"/>
        <v>0</v>
      </c>
      <c r="QP23" s="207"/>
      <c r="QQ23" s="207"/>
      <c r="QR23" s="207"/>
      <c r="QS23" s="207"/>
      <c r="QT23" s="207"/>
      <c r="QU23" s="272"/>
      <c r="QV23" s="272"/>
      <c r="QW23" s="205">
        <f t="shared" si="189"/>
        <v>0</v>
      </c>
      <c r="QX23" s="205">
        <f t="shared" si="190"/>
        <v>0</v>
      </c>
      <c r="QY23" s="207"/>
      <c r="QZ23" s="207"/>
      <c r="RA23" s="207"/>
      <c r="RB23" s="207"/>
      <c r="RC23" s="207"/>
      <c r="RD23" s="272"/>
      <c r="RE23" s="272"/>
      <c r="RF23" s="205">
        <f t="shared" si="191"/>
        <v>0</v>
      </c>
      <c r="RG23" s="207"/>
      <c r="RH23" s="207"/>
      <c r="RI23" s="207"/>
      <c r="RJ23" s="207"/>
      <c r="RK23" s="207"/>
      <c r="RL23" s="272"/>
      <c r="RM23" s="272"/>
      <c r="RN23" s="205">
        <f t="shared" si="192"/>
        <v>0</v>
      </c>
      <c r="RO23" s="272"/>
      <c r="RP23" s="272"/>
      <c r="RQ23" s="272"/>
      <c r="RR23" s="272"/>
      <c r="RS23" s="272"/>
      <c r="RT23" s="272"/>
      <c r="RU23" s="272"/>
      <c r="RV23" s="205">
        <f t="shared" si="193"/>
        <v>0</v>
      </c>
      <c r="RW23" s="207"/>
      <c r="RX23" s="207"/>
      <c r="RY23" s="207"/>
      <c r="RZ23" s="207"/>
      <c r="SA23" s="272"/>
      <c r="SB23" s="272"/>
      <c r="SC23" s="272"/>
      <c r="SD23" s="205">
        <f t="shared" si="194"/>
        <v>0</v>
      </c>
      <c r="SE23" s="205">
        <f t="shared" si="195"/>
        <v>0</v>
      </c>
      <c r="SF23" s="207"/>
      <c r="SG23" s="207"/>
      <c r="SH23" s="207"/>
      <c r="SI23" s="207"/>
      <c r="SJ23" s="207"/>
      <c r="SK23" s="272"/>
      <c r="SL23" s="272"/>
      <c r="SM23" s="205">
        <f t="shared" si="196"/>
        <v>0</v>
      </c>
      <c r="SN23" s="207"/>
      <c r="SO23" s="207"/>
      <c r="SP23" s="207"/>
      <c r="SQ23" s="207"/>
      <c r="SR23" s="207"/>
      <c r="SS23" s="272"/>
      <c r="ST23" s="272"/>
      <c r="SU23" s="205">
        <f t="shared" si="197"/>
        <v>0</v>
      </c>
      <c r="SV23" s="207"/>
      <c r="SW23" s="207"/>
      <c r="SX23" s="207"/>
      <c r="SY23" s="207"/>
      <c r="SZ23" s="207"/>
      <c r="TA23" s="272"/>
      <c r="TB23" s="272"/>
      <c r="TC23" s="205">
        <f t="shared" si="198"/>
        <v>0</v>
      </c>
      <c r="TD23" s="207"/>
      <c r="TE23" s="207"/>
      <c r="TF23" s="207"/>
      <c r="TG23" s="207"/>
      <c r="TH23" s="207"/>
      <c r="TI23" s="272"/>
      <c r="TJ23" s="272"/>
      <c r="TK23" s="205">
        <f t="shared" si="199"/>
        <v>0</v>
      </c>
      <c r="TL23" s="207"/>
      <c r="TM23" s="207"/>
      <c r="TN23" s="207"/>
      <c r="TO23" s="207"/>
      <c r="TP23" s="272"/>
      <c r="TQ23" s="272"/>
      <c r="TR23" s="272"/>
      <c r="TS23" s="205">
        <f t="shared" si="200"/>
        <v>0</v>
      </c>
      <c r="TT23" s="205">
        <f t="shared" si="201"/>
        <v>0</v>
      </c>
      <c r="TU23" s="272"/>
      <c r="TV23" s="207"/>
      <c r="TW23" s="207"/>
      <c r="TX23" s="207"/>
      <c r="TY23" s="207"/>
      <c r="TZ23" s="272"/>
      <c r="UA23" s="272"/>
      <c r="UB23" s="205">
        <f t="shared" si="202"/>
        <v>0</v>
      </c>
      <c r="UC23" s="207"/>
      <c r="UD23" s="207"/>
      <c r="UE23" s="207"/>
      <c r="UF23" s="207"/>
      <c r="UG23" s="207"/>
      <c r="UH23" s="272"/>
      <c r="UI23" s="272"/>
      <c r="UJ23" s="205">
        <f t="shared" si="203"/>
        <v>0</v>
      </c>
      <c r="UK23" s="216"/>
      <c r="UL23" s="207"/>
      <c r="UM23" s="207"/>
      <c r="UN23" s="207"/>
      <c r="UO23" s="207"/>
      <c r="UP23" s="272"/>
      <c r="UQ23" s="272"/>
      <c r="UR23" s="205">
        <f t="shared" si="226"/>
        <v>0</v>
      </c>
      <c r="US23" s="207"/>
      <c r="UT23" s="207"/>
      <c r="UU23" s="207"/>
      <c r="UV23" s="207"/>
      <c r="UW23" s="272"/>
      <c r="UX23" s="272"/>
      <c r="UY23" s="272"/>
      <c r="UZ23" s="205">
        <f t="shared" si="204"/>
        <v>0</v>
      </c>
      <c r="VA23" s="205">
        <f t="shared" si="205"/>
        <v>0</v>
      </c>
      <c r="VB23" s="207"/>
      <c r="VC23" s="207"/>
      <c r="VD23" s="207"/>
      <c r="VE23" s="207"/>
      <c r="VF23" s="207"/>
      <c r="VG23" s="272"/>
      <c r="VH23" s="272"/>
      <c r="VI23" s="205">
        <f t="shared" si="206"/>
        <v>0</v>
      </c>
      <c r="VJ23" s="207"/>
      <c r="VK23" s="207"/>
      <c r="VL23" s="207"/>
      <c r="VM23" s="207"/>
      <c r="VN23" s="207"/>
      <c r="VO23" s="272"/>
      <c r="VP23" s="272"/>
      <c r="VQ23" s="205">
        <f t="shared" si="207"/>
        <v>0</v>
      </c>
      <c r="VR23" s="207"/>
      <c r="VS23" s="207"/>
      <c r="VT23" s="207"/>
      <c r="VU23" s="207"/>
      <c r="VV23" s="207"/>
      <c r="VW23" s="272"/>
      <c r="VX23" s="272"/>
      <c r="VY23" s="205">
        <f t="shared" si="208"/>
        <v>0</v>
      </c>
      <c r="VZ23" s="207"/>
      <c r="WA23" s="207"/>
      <c r="WB23" s="207"/>
      <c r="WC23" s="207"/>
      <c r="WD23" s="207"/>
      <c r="WE23" s="272"/>
      <c r="WF23" s="272"/>
      <c r="WG23" s="205">
        <f t="shared" si="209"/>
        <v>0</v>
      </c>
      <c r="WH23" s="205">
        <f t="shared" si="210"/>
        <v>0</v>
      </c>
      <c r="WI23" s="207"/>
      <c r="WJ23" s="207"/>
      <c r="WK23" s="207"/>
      <c r="WL23" s="207"/>
      <c r="WM23" s="207"/>
      <c r="WN23" s="272"/>
      <c r="WO23" s="272"/>
      <c r="WP23" s="205">
        <f t="shared" si="211"/>
        <v>0</v>
      </c>
      <c r="WQ23" s="207"/>
      <c r="WR23" s="207"/>
      <c r="WS23" s="207"/>
      <c r="WT23" s="207"/>
      <c r="WU23" s="207"/>
      <c r="WV23" s="272"/>
      <c r="WW23" s="272"/>
      <c r="WX23" s="205">
        <f t="shared" si="212"/>
        <v>0</v>
      </c>
      <c r="WY23" s="207"/>
      <c r="WZ23" s="207"/>
      <c r="XA23" s="207"/>
      <c r="XB23" s="207"/>
      <c r="XC23" s="272"/>
      <c r="XD23" s="272"/>
      <c r="XE23" s="272"/>
      <c r="XF23" s="205">
        <f t="shared" si="213"/>
        <v>0</v>
      </c>
      <c r="XG23" s="207"/>
      <c r="XH23" s="207"/>
      <c r="XI23" s="207"/>
      <c r="XJ23" s="207"/>
      <c r="XK23" s="207"/>
      <c r="XL23" s="272"/>
      <c r="XM23" s="272"/>
      <c r="XN23" s="205">
        <f t="shared" si="214"/>
        <v>0</v>
      </c>
      <c r="XO23" s="207"/>
      <c r="XP23" s="207"/>
      <c r="XQ23" s="207"/>
      <c r="XR23" s="207"/>
      <c r="XS23" s="207"/>
      <c r="XT23" s="272"/>
      <c r="XU23" s="272"/>
      <c r="XV23" s="205">
        <f t="shared" si="215"/>
        <v>0</v>
      </c>
      <c r="XW23" s="205">
        <f t="shared" si="216"/>
        <v>0</v>
      </c>
      <c r="XX23" s="207"/>
      <c r="XY23" s="207"/>
      <c r="XZ23" s="207"/>
      <c r="YA23" s="207"/>
      <c r="YB23" s="207"/>
      <c r="YC23" s="272"/>
      <c r="YD23" s="272"/>
      <c r="YE23" s="205">
        <f t="shared" si="217"/>
        <v>0</v>
      </c>
      <c r="YF23" s="207"/>
      <c r="YG23" s="207"/>
      <c r="YH23" s="207"/>
      <c r="YI23" s="207"/>
      <c r="YJ23" s="207"/>
      <c r="YK23" s="272"/>
      <c r="YL23" s="272"/>
      <c r="YM23" s="205">
        <f t="shared" si="218"/>
        <v>0</v>
      </c>
      <c r="YN23" s="207"/>
      <c r="YO23" s="207"/>
      <c r="YP23" s="207"/>
      <c r="YQ23" s="207"/>
      <c r="YR23" s="207"/>
      <c r="YS23" s="272"/>
      <c r="YT23" s="272"/>
      <c r="YU23" s="205">
        <f t="shared" si="148"/>
        <v>0</v>
      </c>
      <c r="YV23" s="207"/>
      <c r="YW23" s="207"/>
      <c r="YX23" s="207"/>
      <c r="YY23" s="207"/>
      <c r="YZ23" s="207"/>
      <c r="ZA23" s="272"/>
      <c r="ZB23" s="272"/>
      <c r="ZC23" s="205">
        <f t="shared" si="219"/>
        <v>0</v>
      </c>
      <c r="ZD23" s="205">
        <f t="shared" si="149"/>
        <v>0</v>
      </c>
      <c r="ZE23" s="207"/>
      <c r="ZF23" s="207"/>
      <c r="ZG23" s="207"/>
      <c r="ZH23" s="207"/>
      <c r="ZI23" s="207"/>
      <c r="ZJ23" s="272"/>
      <c r="ZK23" s="272"/>
      <c r="ZL23" s="205">
        <f t="shared" si="220"/>
        <v>0</v>
      </c>
      <c r="ZM23" s="207"/>
      <c r="ZN23" s="207"/>
      <c r="ZO23" s="207"/>
      <c r="ZP23" s="207"/>
      <c r="ZQ23" s="207"/>
      <c r="ZR23" s="272"/>
      <c r="ZS23" s="272"/>
      <c r="ZT23" s="205">
        <f t="shared" si="221"/>
        <v>0</v>
      </c>
      <c r="ZU23" s="207"/>
      <c r="ZV23" s="207"/>
      <c r="ZW23" s="207"/>
      <c r="ZX23" s="207"/>
      <c r="ZY23" s="207"/>
      <c r="ZZ23" s="272"/>
      <c r="AAA23" s="272"/>
      <c r="AAB23" s="205">
        <f t="shared" si="222"/>
        <v>0</v>
      </c>
      <c r="AAC23" s="207"/>
      <c r="AAD23" s="207"/>
      <c r="AAE23" s="207"/>
      <c r="AAF23" s="207"/>
      <c r="AAG23" s="207"/>
      <c r="AAH23" s="272"/>
      <c r="AAI23" s="272"/>
      <c r="AAJ23" s="205">
        <f t="shared" si="223"/>
        <v>0</v>
      </c>
      <c r="AAK23" s="207"/>
      <c r="AAL23" s="207"/>
      <c r="AAM23" s="207"/>
      <c r="AAN23" s="207"/>
      <c r="AAO23" s="207"/>
      <c r="AAP23" s="272"/>
      <c r="AAQ23" s="272"/>
      <c r="AAR23" s="205">
        <f t="shared" si="224"/>
        <v>0</v>
      </c>
      <c r="AAS23" s="205">
        <f t="shared" si="225"/>
        <v>0</v>
      </c>
    </row>
    <row r="24" spans="1:721" s="126" customFormat="1" ht="69.95" customHeight="1">
      <c r="A24" s="125" t="s">
        <v>79</v>
      </c>
      <c r="B24" s="155">
        <v>3620102402</v>
      </c>
      <c r="C24" s="323"/>
      <c r="D24" s="156" t="s">
        <v>72</v>
      </c>
      <c r="E24" s="130" t="s">
        <v>4</v>
      </c>
      <c r="F24" s="120"/>
      <c r="G24" s="120"/>
      <c r="H24" s="201">
        <v>900</v>
      </c>
      <c r="I24" s="120"/>
      <c r="J24" s="120"/>
      <c r="K24" s="209"/>
      <c r="L24" s="205"/>
      <c r="M24" s="205">
        <f t="shared" si="121"/>
        <v>900</v>
      </c>
      <c r="N24" s="124">
        <v>400</v>
      </c>
      <c r="O24" s="120"/>
      <c r="P24" s="120"/>
      <c r="Q24" s="120"/>
      <c r="R24" s="120"/>
      <c r="S24" s="209"/>
      <c r="T24" s="205"/>
      <c r="U24" s="205">
        <f t="shared" si="122"/>
        <v>400</v>
      </c>
      <c r="V24" s="120"/>
      <c r="W24" s="120"/>
      <c r="X24" s="120"/>
      <c r="Y24" s="120"/>
      <c r="Z24" s="120"/>
      <c r="AA24" s="209"/>
      <c r="AB24" s="205"/>
      <c r="AC24" s="205">
        <f t="shared" si="123"/>
        <v>0</v>
      </c>
      <c r="AD24" s="205"/>
      <c r="AE24" s="205"/>
      <c r="AF24" s="205"/>
      <c r="AG24" s="205"/>
      <c r="AH24" s="205"/>
      <c r="AI24" s="209"/>
      <c r="AJ24" s="205"/>
      <c r="AK24" s="205">
        <f t="shared" si="124"/>
        <v>0</v>
      </c>
      <c r="AL24" s="205" t="e">
        <f>SUM(#REF!,M24,U24,AC24,AD24:AH24)</f>
        <v>#REF!</v>
      </c>
      <c r="AM24" s="120"/>
      <c r="AN24" s="120"/>
      <c r="AO24" s="120"/>
      <c r="AP24" s="120"/>
      <c r="AQ24" s="120"/>
      <c r="AR24" s="209"/>
      <c r="AS24" s="205"/>
      <c r="AT24" s="205">
        <f t="shared" si="125"/>
        <v>0</v>
      </c>
      <c r="AU24" s="120"/>
      <c r="AV24" s="120"/>
      <c r="AW24" s="120"/>
      <c r="AX24" s="120"/>
      <c r="AY24" s="120"/>
      <c r="AZ24" s="209"/>
      <c r="BA24" s="205"/>
      <c r="BB24" s="205">
        <f t="shared" si="126"/>
        <v>0</v>
      </c>
      <c r="BC24" s="120"/>
      <c r="BD24" s="120"/>
      <c r="BE24" s="120"/>
      <c r="BF24" s="120"/>
      <c r="BG24" s="120"/>
      <c r="BH24" s="209"/>
      <c r="BI24" s="205"/>
      <c r="BJ24" s="205">
        <f t="shared" si="127"/>
        <v>0</v>
      </c>
      <c r="BK24" s="120"/>
      <c r="BL24" s="120"/>
      <c r="BM24" s="120"/>
      <c r="BN24" s="120"/>
      <c r="BO24" s="205"/>
      <c r="BP24" s="209"/>
      <c r="BQ24" s="205"/>
      <c r="BR24" s="205">
        <f t="shared" si="128"/>
        <v>0</v>
      </c>
      <c r="BS24" s="205">
        <f t="shared" si="129"/>
        <v>0</v>
      </c>
      <c r="BT24" s="120"/>
      <c r="BU24" s="250">
        <v>1400</v>
      </c>
      <c r="BV24" s="120"/>
      <c r="BW24" s="216"/>
      <c r="BX24" s="120"/>
      <c r="BY24" s="209"/>
      <c r="BZ24" s="205"/>
      <c r="CA24" s="205">
        <f t="shared" si="130"/>
        <v>1400</v>
      </c>
      <c r="CB24" s="120"/>
      <c r="CC24" s="120"/>
      <c r="CD24" s="120"/>
      <c r="CE24" s="120"/>
      <c r="CF24" s="120"/>
      <c r="CG24" s="209"/>
      <c r="CH24" s="205"/>
      <c r="CI24" s="205">
        <f t="shared" si="131"/>
        <v>0</v>
      </c>
      <c r="CJ24" s="120"/>
      <c r="CK24" s="120"/>
      <c r="CL24" s="120"/>
      <c r="CM24" s="120"/>
      <c r="CN24" s="120"/>
      <c r="CO24" s="209"/>
      <c r="CP24" s="205"/>
      <c r="CQ24" s="205">
        <f t="shared" si="132"/>
        <v>0</v>
      </c>
      <c r="CR24" s="120"/>
      <c r="CS24" s="120"/>
      <c r="CT24" s="120"/>
      <c r="CU24" s="120"/>
      <c r="CV24" s="120"/>
      <c r="CW24" s="209"/>
      <c r="CX24" s="205"/>
      <c r="CY24" s="205">
        <f t="shared" si="133"/>
        <v>0</v>
      </c>
      <c r="CZ24" s="120"/>
      <c r="DA24" s="120"/>
      <c r="DB24" s="120"/>
      <c r="DC24" s="205"/>
      <c r="DD24" s="205"/>
      <c r="DE24" s="209"/>
      <c r="DF24" s="205"/>
      <c r="DG24" s="205">
        <f t="shared" si="134"/>
        <v>0</v>
      </c>
      <c r="DH24" s="205">
        <f t="shared" si="150"/>
        <v>1400</v>
      </c>
      <c r="DI24" s="120"/>
      <c r="DJ24" s="120"/>
      <c r="DK24" s="120"/>
      <c r="DL24" s="120"/>
      <c r="DM24" s="120"/>
      <c r="DN24" s="209"/>
      <c r="DO24" s="205"/>
      <c r="DP24" s="205">
        <f t="shared" si="135"/>
        <v>0</v>
      </c>
      <c r="DQ24" s="120"/>
      <c r="DR24" s="120"/>
      <c r="DS24" s="120"/>
      <c r="DT24" s="120"/>
      <c r="DU24" s="120"/>
      <c r="DV24" s="209"/>
      <c r="DW24" s="205"/>
      <c r="DX24" s="205">
        <f t="shared" si="136"/>
        <v>0</v>
      </c>
      <c r="DY24" s="120"/>
      <c r="DZ24" s="120"/>
      <c r="EA24" s="120"/>
      <c r="EB24" s="120"/>
      <c r="EC24" s="120"/>
      <c r="ED24" s="209"/>
      <c r="EE24" s="205"/>
      <c r="EF24" s="205">
        <f t="shared" si="137"/>
        <v>0</v>
      </c>
      <c r="EG24" s="120"/>
      <c r="EH24" s="120"/>
      <c r="EI24" s="120"/>
      <c r="EJ24" s="205"/>
      <c r="EK24" s="205"/>
      <c r="EL24" s="209"/>
      <c r="EM24" s="205"/>
      <c r="EN24" s="205">
        <f t="shared" si="138"/>
        <v>0</v>
      </c>
      <c r="EO24" s="205">
        <f t="shared" si="151"/>
        <v>0</v>
      </c>
      <c r="EP24" s="250">
        <v>550</v>
      </c>
      <c r="EQ24" s="120"/>
      <c r="ER24" s="120"/>
      <c r="ES24" s="120"/>
      <c r="ET24" s="120"/>
      <c r="EU24" s="209"/>
      <c r="EV24" s="205"/>
      <c r="EW24" s="205">
        <f t="shared" si="139"/>
        <v>550</v>
      </c>
      <c r="EX24" s="120"/>
      <c r="EY24" s="120"/>
      <c r="EZ24" s="120"/>
      <c r="FA24" s="120"/>
      <c r="FB24" s="120"/>
      <c r="FC24" s="209"/>
      <c r="FD24" s="205"/>
      <c r="FE24" s="205">
        <f t="shared" si="140"/>
        <v>0</v>
      </c>
      <c r="FF24" s="120"/>
      <c r="FG24" s="120"/>
      <c r="FH24" s="120"/>
      <c r="FI24" s="120"/>
      <c r="FJ24" s="120"/>
      <c r="FK24" s="209"/>
      <c r="FL24" s="205"/>
      <c r="FM24" s="205">
        <f t="shared" si="141"/>
        <v>0</v>
      </c>
      <c r="FN24" s="120"/>
      <c r="FO24" s="120"/>
      <c r="FP24" s="120"/>
      <c r="FQ24" s="120"/>
      <c r="FR24" s="205"/>
      <c r="FS24" s="209"/>
      <c r="FT24" s="205"/>
      <c r="FU24" s="205">
        <f t="shared" si="142"/>
        <v>0</v>
      </c>
      <c r="FV24" s="205">
        <f t="shared" si="152"/>
        <v>550</v>
      </c>
      <c r="FW24" s="120"/>
      <c r="FX24" s="120"/>
      <c r="FY24" s="120"/>
      <c r="FZ24" s="120"/>
      <c r="GA24" s="120"/>
      <c r="GB24" s="209"/>
      <c r="GC24" s="205"/>
      <c r="GD24" s="205">
        <f t="shared" si="143"/>
        <v>0</v>
      </c>
      <c r="GE24" s="120"/>
      <c r="GF24" s="120"/>
      <c r="GG24" s="120"/>
      <c r="GH24" s="120"/>
      <c r="GI24" s="120"/>
      <c r="GJ24" s="209"/>
      <c r="GK24" s="205"/>
      <c r="GL24" s="205">
        <f t="shared" si="144"/>
        <v>0</v>
      </c>
      <c r="GM24" s="120"/>
      <c r="GN24" s="120"/>
      <c r="GO24" s="120"/>
      <c r="GP24" s="120"/>
      <c r="GQ24" s="120"/>
      <c r="GR24" s="209"/>
      <c r="GS24" s="205"/>
      <c r="GT24" s="205">
        <f t="shared" si="145"/>
        <v>0</v>
      </c>
      <c r="GU24" s="120"/>
      <c r="GV24" s="120"/>
      <c r="GW24" s="120"/>
      <c r="GX24" s="120"/>
      <c r="GY24" s="120"/>
      <c r="GZ24" s="209"/>
      <c r="HA24" s="205"/>
      <c r="HB24" s="205">
        <f t="shared" si="146"/>
        <v>0</v>
      </c>
      <c r="HC24" s="120"/>
      <c r="HD24" s="120"/>
      <c r="HE24" s="120"/>
      <c r="HF24" s="120"/>
      <c r="HG24" s="120"/>
      <c r="HH24" s="209"/>
      <c r="HI24" s="205"/>
      <c r="HJ24" s="205">
        <f t="shared" si="147"/>
        <v>0</v>
      </c>
      <c r="HK24" s="205">
        <f t="shared" si="153"/>
        <v>0</v>
      </c>
      <c r="HL24" s="124"/>
      <c r="HM24" s="120"/>
      <c r="HN24" s="120"/>
      <c r="HO24" s="217">
        <v>2200</v>
      </c>
      <c r="HP24" s="120"/>
      <c r="HQ24" s="205"/>
      <c r="HR24" s="205"/>
      <c r="HS24" s="205">
        <f t="shared" si="154"/>
        <v>2200</v>
      </c>
      <c r="HT24" s="120"/>
      <c r="HU24" s="120"/>
      <c r="HV24" s="120"/>
      <c r="HW24" s="120"/>
      <c r="HX24" s="120"/>
      <c r="HY24" s="205"/>
      <c r="HZ24" s="205"/>
      <c r="IA24" s="205">
        <f t="shared" si="155"/>
        <v>0</v>
      </c>
      <c r="IB24" s="120"/>
      <c r="IC24" s="120"/>
      <c r="ID24" s="120"/>
      <c r="IE24" s="120"/>
      <c r="IF24" s="120"/>
      <c r="IG24" s="205"/>
      <c r="IH24" s="205"/>
      <c r="II24" s="205">
        <f t="shared" si="156"/>
        <v>0</v>
      </c>
      <c r="IJ24" s="120"/>
      <c r="IK24" s="120"/>
      <c r="IL24" s="120"/>
      <c r="IM24" s="120"/>
      <c r="IN24" s="120"/>
      <c r="IO24" s="205"/>
      <c r="IP24" s="205"/>
      <c r="IQ24" s="205">
        <f t="shared" si="157"/>
        <v>0</v>
      </c>
      <c r="IR24" s="205">
        <f t="shared" si="158"/>
        <v>2200</v>
      </c>
      <c r="IS24" s="120"/>
      <c r="IT24" s="120"/>
      <c r="IU24" s="120"/>
      <c r="IV24" s="120"/>
      <c r="IW24" s="120"/>
      <c r="IX24" s="205"/>
      <c r="IY24" s="205"/>
      <c r="IZ24" s="205">
        <f t="shared" si="159"/>
        <v>0</v>
      </c>
      <c r="JA24" s="120"/>
      <c r="JB24" s="120"/>
      <c r="JC24" s="120"/>
      <c r="JD24" s="120"/>
      <c r="JE24" s="120"/>
      <c r="JF24" s="205"/>
      <c r="JG24" s="205"/>
      <c r="JH24" s="205">
        <f t="shared" si="160"/>
        <v>0</v>
      </c>
      <c r="JI24" s="120"/>
      <c r="JJ24" s="120"/>
      <c r="JK24" s="120"/>
      <c r="JL24" s="120"/>
      <c r="JM24" s="120"/>
      <c r="JN24" s="205"/>
      <c r="JO24" s="205"/>
      <c r="JP24" s="205">
        <f t="shared" si="161"/>
        <v>0</v>
      </c>
      <c r="JQ24" s="120"/>
      <c r="JR24" s="120"/>
      <c r="JS24" s="120"/>
      <c r="JT24" s="120"/>
      <c r="JU24" s="120"/>
      <c r="JV24" s="205"/>
      <c r="JW24" s="205"/>
      <c r="JX24" s="205">
        <f t="shared" si="162"/>
        <v>0</v>
      </c>
      <c r="JY24" s="205">
        <f t="shared" si="163"/>
        <v>0</v>
      </c>
      <c r="JZ24" s="120"/>
      <c r="KA24" s="120"/>
      <c r="KB24" s="120"/>
      <c r="KC24" s="120"/>
      <c r="KD24" s="120"/>
      <c r="KE24" s="205"/>
      <c r="KF24" s="205"/>
      <c r="KG24" s="205">
        <f t="shared" si="164"/>
        <v>0</v>
      </c>
      <c r="KH24" s="120"/>
      <c r="KI24" s="120"/>
      <c r="KJ24" s="206">
        <v>1800</v>
      </c>
      <c r="KK24" s="120"/>
      <c r="KL24" s="120"/>
      <c r="KM24" s="205"/>
      <c r="KN24" s="205"/>
      <c r="KO24" s="205">
        <f t="shared" si="165"/>
        <v>1800</v>
      </c>
      <c r="KP24" s="120"/>
      <c r="KQ24" s="120"/>
      <c r="KR24" s="120"/>
      <c r="KS24" s="120"/>
      <c r="KT24" s="120"/>
      <c r="KU24" s="205"/>
      <c r="KV24" s="205"/>
      <c r="KW24" s="205">
        <f t="shared" si="166"/>
        <v>0</v>
      </c>
      <c r="KX24" s="120"/>
      <c r="KY24" s="120"/>
      <c r="KZ24" s="120"/>
      <c r="LA24" s="120"/>
      <c r="LB24" s="120"/>
      <c r="LC24" s="205"/>
      <c r="LD24" s="205"/>
      <c r="LE24" s="205">
        <f t="shared" si="167"/>
        <v>0</v>
      </c>
      <c r="LF24" s="205"/>
      <c r="LG24" s="120"/>
      <c r="LH24" s="120"/>
      <c r="LI24" s="120"/>
      <c r="LJ24" s="120"/>
      <c r="LK24" s="205"/>
      <c r="LL24" s="205"/>
      <c r="LM24" s="205">
        <f t="shared" si="168"/>
        <v>0</v>
      </c>
      <c r="LN24" s="205">
        <f t="shared" si="169"/>
        <v>1800</v>
      </c>
      <c r="LO24" s="205"/>
      <c r="LP24" s="120"/>
      <c r="LQ24" s="120"/>
      <c r="LR24" s="120"/>
      <c r="LS24" s="205"/>
      <c r="LT24" s="205"/>
      <c r="LU24" s="205"/>
      <c r="LV24" s="205">
        <f t="shared" si="170"/>
        <v>0</v>
      </c>
      <c r="LW24" s="120"/>
      <c r="LX24" s="120"/>
      <c r="LY24" s="120"/>
      <c r="LZ24" s="120"/>
      <c r="MA24" s="120"/>
      <c r="MB24" s="205"/>
      <c r="MC24" s="205"/>
      <c r="MD24" s="205">
        <f t="shared" si="171"/>
        <v>0</v>
      </c>
      <c r="ME24" s="120"/>
      <c r="MF24" s="120"/>
      <c r="MG24" s="120"/>
      <c r="MH24" s="120"/>
      <c r="MI24" s="205"/>
      <c r="MJ24" s="205"/>
      <c r="MK24" s="205"/>
      <c r="ML24" s="205">
        <f t="shared" si="172"/>
        <v>0</v>
      </c>
      <c r="MM24" s="120"/>
      <c r="MN24" s="124">
        <v>3300</v>
      </c>
      <c r="MO24" s="120"/>
      <c r="MP24" s="120"/>
      <c r="MQ24" s="120"/>
      <c r="MR24" s="205"/>
      <c r="MS24" s="205"/>
      <c r="MT24" s="205">
        <f t="shared" si="173"/>
        <v>3300</v>
      </c>
      <c r="MU24" s="205">
        <f t="shared" si="174"/>
        <v>3300</v>
      </c>
      <c r="MV24" s="120"/>
      <c r="MW24" s="120"/>
      <c r="MX24" s="120"/>
      <c r="MY24" s="120"/>
      <c r="MZ24" s="120"/>
      <c r="NA24" s="205"/>
      <c r="NB24" s="205"/>
      <c r="NC24" s="205">
        <f t="shared" si="175"/>
        <v>0</v>
      </c>
      <c r="ND24" s="120"/>
      <c r="NE24" s="120"/>
      <c r="NF24" s="120"/>
      <c r="NG24" s="120"/>
      <c r="NH24" s="120"/>
      <c r="NI24" s="205"/>
      <c r="NJ24" s="205"/>
      <c r="NK24" s="205">
        <f t="shared" si="176"/>
        <v>0</v>
      </c>
      <c r="NL24" s="120"/>
      <c r="NM24" s="120"/>
      <c r="NN24" s="120"/>
      <c r="NO24" s="120"/>
      <c r="NP24" s="120"/>
      <c r="NQ24" s="205"/>
      <c r="NR24" s="205"/>
      <c r="NS24" s="205">
        <f t="shared" si="177"/>
        <v>0</v>
      </c>
      <c r="NT24" s="120"/>
      <c r="NU24" s="120"/>
      <c r="NV24" s="120"/>
      <c r="NW24" s="120"/>
      <c r="NX24" s="120"/>
      <c r="NY24" s="205"/>
      <c r="NZ24" s="205"/>
      <c r="OA24" s="205">
        <f t="shared" si="178"/>
        <v>0</v>
      </c>
      <c r="OB24" s="205">
        <f t="shared" si="179"/>
        <v>0</v>
      </c>
      <c r="OC24" s="120"/>
      <c r="OD24" s="120"/>
      <c r="OE24" s="120"/>
      <c r="OF24" s="120"/>
      <c r="OG24" s="120"/>
      <c r="OH24" s="205"/>
      <c r="OI24" s="205"/>
      <c r="OJ24" s="205">
        <f t="shared" si="180"/>
        <v>0</v>
      </c>
      <c r="OK24" s="120"/>
      <c r="OL24" s="120"/>
      <c r="OM24" s="120"/>
      <c r="ON24" s="120"/>
      <c r="OO24" s="120"/>
      <c r="OP24" s="205"/>
      <c r="OQ24" s="205"/>
      <c r="OR24" s="205">
        <f t="shared" si="181"/>
        <v>0</v>
      </c>
      <c r="OS24" s="120"/>
      <c r="OT24" s="120"/>
      <c r="OU24" s="120"/>
      <c r="OV24" s="120"/>
      <c r="OW24" s="120"/>
      <c r="OX24" s="205"/>
      <c r="OY24" s="205"/>
      <c r="OZ24" s="205">
        <f t="shared" si="182"/>
        <v>0</v>
      </c>
      <c r="PA24" s="120"/>
      <c r="PB24" s="120"/>
      <c r="PC24" s="120"/>
      <c r="PD24" s="205"/>
      <c r="PE24" s="217"/>
      <c r="PF24" s="205"/>
      <c r="PG24" s="205"/>
      <c r="PH24" s="205">
        <f t="shared" si="183"/>
        <v>0</v>
      </c>
      <c r="PI24" s="120"/>
      <c r="PJ24" s="120"/>
      <c r="PK24" s="120"/>
      <c r="PL24" s="205"/>
      <c r="PM24" s="217"/>
      <c r="PN24" s="205"/>
      <c r="PO24" s="205"/>
      <c r="PP24" s="205">
        <f t="shared" si="184"/>
        <v>0</v>
      </c>
      <c r="PQ24" s="205">
        <f t="shared" si="185"/>
        <v>0</v>
      </c>
      <c r="PR24" s="124">
        <v>2400</v>
      </c>
      <c r="PS24" s="207"/>
      <c r="PT24" s="207"/>
      <c r="PU24" s="207"/>
      <c r="PV24" s="207"/>
      <c r="PW24" s="272"/>
      <c r="PX24" s="272"/>
      <c r="PY24" s="205">
        <f t="shared" si="186"/>
        <v>2400</v>
      </c>
      <c r="PZ24" s="207"/>
      <c r="QA24" s="207"/>
      <c r="QB24" s="207"/>
      <c r="QC24" s="207"/>
      <c r="QD24" s="207"/>
      <c r="QE24" s="272"/>
      <c r="QF24" s="272"/>
      <c r="QG24" s="205">
        <f t="shared" si="187"/>
        <v>0</v>
      </c>
      <c r="QH24" s="217">
        <v>750</v>
      </c>
      <c r="QI24" s="207"/>
      <c r="QJ24" s="294"/>
      <c r="QK24" s="207"/>
      <c r="QL24" s="207"/>
      <c r="QM24" s="272"/>
      <c r="QN24" s="272"/>
      <c r="QO24" s="205">
        <f t="shared" si="188"/>
        <v>750</v>
      </c>
      <c r="QP24" s="207"/>
      <c r="QQ24" s="207"/>
      <c r="QR24" s="207"/>
      <c r="QS24" s="207"/>
      <c r="QT24" s="207"/>
      <c r="QU24" s="272"/>
      <c r="QV24" s="272"/>
      <c r="QW24" s="205">
        <f t="shared" si="189"/>
        <v>0</v>
      </c>
      <c r="QX24" s="205">
        <f t="shared" si="190"/>
        <v>3150</v>
      </c>
      <c r="QY24" s="207"/>
      <c r="QZ24" s="207"/>
      <c r="RA24" s="207"/>
      <c r="RB24" s="207"/>
      <c r="RC24" s="207"/>
      <c r="RD24" s="272"/>
      <c r="RE24" s="272"/>
      <c r="RF24" s="205">
        <f t="shared" si="191"/>
        <v>0</v>
      </c>
      <c r="RG24" s="207"/>
      <c r="RH24" s="207"/>
      <c r="RI24" s="207"/>
      <c r="RJ24" s="207"/>
      <c r="RK24" s="207"/>
      <c r="RL24" s="272"/>
      <c r="RM24" s="272"/>
      <c r="RN24" s="205">
        <f t="shared" si="192"/>
        <v>0</v>
      </c>
      <c r="RO24" s="272"/>
      <c r="RP24" s="272"/>
      <c r="RQ24" s="272"/>
      <c r="RR24" s="272"/>
      <c r="RS24" s="272"/>
      <c r="RT24" s="272"/>
      <c r="RU24" s="272"/>
      <c r="RV24" s="205">
        <f t="shared" si="193"/>
        <v>0</v>
      </c>
      <c r="RW24" s="207"/>
      <c r="RX24" s="207"/>
      <c r="RY24" s="217">
        <v>3200</v>
      </c>
      <c r="RZ24" s="207"/>
      <c r="SA24" s="272"/>
      <c r="SB24" s="272"/>
      <c r="SC24" s="272"/>
      <c r="SD24" s="205">
        <f t="shared" si="194"/>
        <v>3200</v>
      </c>
      <c r="SE24" s="205">
        <f t="shared" si="195"/>
        <v>3200</v>
      </c>
      <c r="SF24" s="207"/>
      <c r="SG24" s="207"/>
      <c r="SH24" s="207"/>
      <c r="SI24" s="207"/>
      <c r="SJ24" s="207"/>
      <c r="SK24" s="272"/>
      <c r="SL24" s="272"/>
      <c r="SM24" s="205">
        <f t="shared" si="196"/>
        <v>0</v>
      </c>
      <c r="SN24" s="207"/>
      <c r="SO24" s="207"/>
      <c r="SP24" s="207"/>
      <c r="SQ24" s="207"/>
      <c r="SR24" s="207"/>
      <c r="SS24" s="272"/>
      <c r="ST24" s="272"/>
      <c r="SU24" s="205">
        <f t="shared" si="197"/>
        <v>0</v>
      </c>
      <c r="SV24" s="207"/>
      <c r="SW24" s="207"/>
      <c r="SX24" s="207"/>
      <c r="SY24" s="207"/>
      <c r="SZ24" s="207"/>
      <c r="TA24" s="272"/>
      <c r="TB24" s="272"/>
      <c r="TC24" s="205">
        <f t="shared" si="198"/>
        <v>0</v>
      </c>
      <c r="TD24" s="207"/>
      <c r="TE24" s="207"/>
      <c r="TF24" s="207"/>
      <c r="TG24" s="207"/>
      <c r="TH24" s="207"/>
      <c r="TI24" s="272"/>
      <c r="TJ24" s="272"/>
      <c r="TK24" s="205">
        <f t="shared" si="199"/>
        <v>0</v>
      </c>
      <c r="TL24" s="207"/>
      <c r="TM24" s="207"/>
      <c r="TN24" s="207"/>
      <c r="TO24" s="207"/>
      <c r="TP24" s="272"/>
      <c r="TQ24" s="272"/>
      <c r="TR24" s="272"/>
      <c r="TS24" s="205">
        <f t="shared" si="200"/>
        <v>0</v>
      </c>
      <c r="TT24" s="205">
        <f t="shared" si="201"/>
        <v>0</v>
      </c>
      <c r="TU24" s="272"/>
      <c r="TV24" s="207"/>
      <c r="TW24" s="207"/>
      <c r="TX24" s="207"/>
      <c r="TY24" s="207"/>
      <c r="TZ24" s="272"/>
      <c r="UA24" s="272"/>
      <c r="UB24" s="205">
        <f t="shared" si="202"/>
        <v>0</v>
      </c>
      <c r="UC24" s="207"/>
      <c r="UD24" s="207"/>
      <c r="UE24" s="207"/>
      <c r="UF24" s="207"/>
      <c r="UG24" s="207"/>
      <c r="UH24" s="272"/>
      <c r="UI24" s="272"/>
      <c r="UJ24" s="205">
        <f t="shared" si="203"/>
        <v>0</v>
      </c>
      <c r="UK24" s="216"/>
      <c r="UL24" s="201">
        <v>1200</v>
      </c>
      <c r="UM24" s="207"/>
      <c r="UN24" s="207"/>
      <c r="UO24" s="207"/>
      <c r="UP24" s="272"/>
      <c r="UQ24" s="272"/>
      <c r="UR24" s="205">
        <f t="shared" si="226"/>
        <v>1200</v>
      </c>
      <c r="US24" s="207"/>
      <c r="UT24" s="207"/>
      <c r="UU24" s="207"/>
      <c r="UV24" s="207"/>
      <c r="UW24" s="272"/>
      <c r="UX24" s="272"/>
      <c r="UY24" s="272"/>
      <c r="UZ24" s="205">
        <f t="shared" si="204"/>
        <v>0</v>
      </c>
      <c r="VA24" s="205">
        <f t="shared" si="205"/>
        <v>1200</v>
      </c>
      <c r="VB24" s="207"/>
      <c r="VC24" s="207"/>
      <c r="VD24" s="207"/>
      <c r="VE24" s="207"/>
      <c r="VF24" s="207"/>
      <c r="VG24" s="272"/>
      <c r="VH24" s="272"/>
      <c r="VI24" s="205">
        <f t="shared" si="206"/>
        <v>0</v>
      </c>
      <c r="VJ24" s="207"/>
      <c r="VK24" s="207"/>
      <c r="VL24" s="207"/>
      <c r="VM24" s="207"/>
      <c r="VN24" s="207"/>
      <c r="VO24" s="272"/>
      <c r="VP24" s="272"/>
      <c r="VQ24" s="205">
        <f t="shared" si="207"/>
        <v>0</v>
      </c>
      <c r="VR24" s="207"/>
      <c r="VS24" s="207"/>
      <c r="VT24" s="207"/>
      <c r="VU24" s="207"/>
      <c r="VV24" s="207"/>
      <c r="VW24" s="272"/>
      <c r="VX24" s="272"/>
      <c r="VY24" s="205">
        <f t="shared" si="208"/>
        <v>0</v>
      </c>
      <c r="VZ24" s="207"/>
      <c r="WA24" s="207"/>
      <c r="WB24" s="207"/>
      <c r="WC24" s="207"/>
      <c r="WD24" s="207"/>
      <c r="WE24" s="272"/>
      <c r="WF24" s="272"/>
      <c r="WG24" s="205">
        <f t="shared" si="209"/>
        <v>0</v>
      </c>
      <c r="WH24" s="205">
        <f t="shared" si="210"/>
        <v>0</v>
      </c>
      <c r="WI24" s="207"/>
      <c r="WJ24" s="207"/>
      <c r="WK24" s="207"/>
      <c r="WL24" s="207"/>
      <c r="WM24" s="207"/>
      <c r="WN24" s="272"/>
      <c r="WO24" s="272"/>
      <c r="WP24" s="205">
        <f t="shared" si="211"/>
        <v>0</v>
      </c>
      <c r="WQ24" s="207"/>
      <c r="WR24" s="207"/>
      <c r="WS24" s="207"/>
      <c r="WT24" s="207"/>
      <c r="WU24" s="207"/>
      <c r="WV24" s="272"/>
      <c r="WW24" s="272"/>
      <c r="WX24" s="205">
        <f t="shared" si="212"/>
        <v>0</v>
      </c>
      <c r="WY24" s="207"/>
      <c r="WZ24" s="207"/>
      <c r="XA24" s="207"/>
      <c r="XB24" s="207"/>
      <c r="XC24" s="272"/>
      <c r="XD24" s="272"/>
      <c r="XE24" s="272"/>
      <c r="XF24" s="205">
        <f t="shared" si="213"/>
        <v>0</v>
      </c>
      <c r="XG24" s="207"/>
      <c r="XH24" s="207"/>
      <c r="XI24" s="207"/>
      <c r="XJ24" s="207"/>
      <c r="XK24" s="207"/>
      <c r="XL24" s="272"/>
      <c r="XM24" s="272"/>
      <c r="XN24" s="205">
        <f t="shared" si="214"/>
        <v>0</v>
      </c>
      <c r="XO24" s="207"/>
      <c r="XP24" s="207"/>
      <c r="XQ24" s="207"/>
      <c r="XR24" s="207"/>
      <c r="XS24" s="207"/>
      <c r="XT24" s="272"/>
      <c r="XU24" s="272"/>
      <c r="XV24" s="205">
        <f t="shared" si="215"/>
        <v>0</v>
      </c>
      <c r="XW24" s="205">
        <f t="shared" si="216"/>
        <v>0</v>
      </c>
      <c r="XX24" s="207"/>
      <c r="XY24" s="207"/>
      <c r="XZ24" s="207"/>
      <c r="YA24" s="207"/>
      <c r="YB24" s="207"/>
      <c r="YC24" s="272"/>
      <c r="YD24" s="272"/>
      <c r="YE24" s="205">
        <f t="shared" si="217"/>
        <v>0</v>
      </c>
      <c r="YF24" s="207"/>
      <c r="YG24" s="207"/>
      <c r="YH24" s="207"/>
      <c r="YI24" s="207"/>
      <c r="YJ24" s="207"/>
      <c r="YK24" s="272"/>
      <c r="YL24" s="272"/>
      <c r="YM24" s="205">
        <f t="shared" si="218"/>
        <v>0</v>
      </c>
      <c r="YN24" s="207"/>
      <c r="YO24" s="207"/>
      <c r="YP24" s="207"/>
      <c r="YQ24" s="207"/>
      <c r="YR24" s="207"/>
      <c r="YS24" s="272"/>
      <c r="YT24" s="272"/>
      <c r="YU24" s="205">
        <f t="shared" si="148"/>
        <v>0</v>
      </c>
      <c r="YV24" s="207"/>
      <c r="YW24" s="207"/>
      <c r="YX24" s="207"/>
      <c r="YY24" s="207"/>
      <c r="YZ24" s="207"/>
      <c r="ZA24" s="272"/>
      <c r="ZB24" s="272"/>
      <c r="ZC24" s="205">
        <f t="shared" si="219"/>
        <v>0</v>
      </c>
      <c r="ZD24" s="205">
        <f t="shared" si="149"/>
        <v>0</v>
      </c>
      <c r="ZE24" s="207"/>
      <c r="ZF24" s="207"/>
      <c r="ZG24" s="207"/>
      <c r="ZH24" s="207"/>
      <c r="ZI24" s="207"/>
      <c r="ZJ24" s="272"/>
      <c r="ZK24" s="272"/>
      <c r="ZL24" s="205">
        <f t="shared" si="220"/>
        <v>0</v>
      </c>
      <c r="ZM24" s="207"/>
      <c r="ZN24" s="207"/>
      <c r="ZO24" s="207"/>
      <c r="ZP24" s="207"/>
      <c r="ZQ24" s="207"/>
      <c r="ZR24" s="272"/>
      <c r="ZS24" s="272"/>
      <c r="ZT24" s="205">
        <f t="shared" si="221"/>
        <v>0</v>
      </c>
      <c r="ZU24" s="207"/>
      <c r="ZV24" s="207"/>
      <c r="ZW24" s="207"/>
      <c r="ZX24" s="207"/>
      <c r="ZY24" s="207"/>
      <c r="ZZ24" s="272"/>
      <c r="AAA24" s="272"/>
      <c r="AAB24" s="205">
        <f t="shared" si="222"/>
        <v>0</v>
      </c>
      <c r="AAC24" s="207"/>
      <c r="AAD24" s="207"/>
      <c r="AAE24" s="207"/>
      <c r="AAF24" s="207"/>
      <c r="AAG24" s="207"/>
      <c r="AAH24" s="272"/>
      <c r="AAI24" s="272"/>
      <c r="AAJ24" s="205">
        <f t="shared" si="223"/>
        <v>0</v>
      </c>
      <c r="AAK24" s="207"/>
      <c r="AAL24" s="207"/>
      <c r="AAM24" s="207"/>
      <c r="AAN24" s="207"/>
      <c r="AAO24" s="207"/>
      <c r="AAP24" s="272"/>
      <c r="AAQ24" s="272"/>
      <c r="AAR24" s="205">
        <f t="shared" si="224"/>
        <v>0</v>
      </c>
      <c r="AAS24" s="205">
        <f t="shared" si="225"/>
        <v>0</v>
      </c>
    </row>
    <row r="25" spans="1:721" s="126" customFormat="1" ht="69.95" customHeight="1">
      <c r="A25" s="119" t="s">
        <v>548</v>
      </c>
      <c r="B25" s="155">
        <v>3620101406</v>
      </c>
      <c r="C25" s="323"/>
      <c r="D25" s="203" t="s">
        <v>52</v>
      </c>
      <c r="E25" s="130" t="s">
        <v>4</v>
      </c>
      <c r="F25" s="120"/>
      <c r="G25" s="120"/>
      <c r="H25" s="120"/>
      <c r="I25" s="120"/>
      <c r="J25" s="120"/>
      <c r="K25" s="209"/>
      <c r="L25" s="205"/>
      <c r="M25" s="205">
        <f t="shared" si="121"/>
        <v>0</v>
      </c>
      <c r="N25" s="120"/>
      <c r="O25" s="120"/>
      <c r="P25" s="120"/>
      <c r="Q25" s="120"/>
      <c r="R25" s="120"/>
      <c r="S25" s="209"/>
      <c r="T25" s="205"/>
      <c r="U25" s="205">
        <f t="shared" si="122"/>
        <v>0</v>
      </c>
      <c r="V25" s="120"/>
      <c r="W25" s="201">
        <v>520</v>
      </c>
      <c r="X25" s="120"/>
      <c r="Y25" s="120"/>
      <c r="Z25" s="120"/>
      <c r="AA25" s="209"/>
      <c r="AB25" s="205"/>
      <c r="AC25" s="205">
        <f t="shared" si="123"/>
        <v>520</v>
      </c>
      <c r="AD25" s="205"/>
      <c r="AE25" s="205"/>
      <c r="AF25" s="205"/>
      <c r="AG25" s="205"/>
      <c r="AH25" s="205"/>
      <c r="AI25" s="209"/>
      <c r="AJ25" s="205"/>
      <c r="AK25" s="205">
        <f t="shared" si="124"/>
        <v>0</v>
      </c>
      <c r="AL25" s="205" t="e">
        <f>SUM(#REF!,M25,U25,AC25,AD25:AH25)</f>
        <v>#REF!</v>
      </c>
      <c r="AM25" s="120"/>
      <c r="AN25" s="120"/>
      <c r="AO25" s="120"/>
      <c r="AP25" s="120"/>
      <c r="AQ25" s="120"/>
      <c r="AR25" s="209"/>
      <c r="AS25" s="205"/>
      <c r="AT25" s="205">
        <f t="shared" si="125"/>
        <v>0</v>
      </c>
      <c r="AU25" s="120"/>
      <c r="AV25" s="120"/>
      <c r="AW25" s="120"/>
      <c r="AX25" s="120"/>
      <c r="AY25" s="120"/>
      <c r="AZ25" s="209"/>
      <c r="BA25" s="205"/>
      <c r="BB25" s="205">
        <f t="shared" si="126"/>
        <v>0</v>
      </c>
      <c r="BC25" s="120"/>
      <c r="BD25" s="120"/>
      <c r="BE25" s="120"/>
      <c r="BF25" s="120"/>
      <c r="BG25" s="120"/>
      <c r="BH25" s="209"/>
      <c r="BI25" s="205"/>
      <c r="BJ25" s="205">
        <f t="shared" si="127"/>
        <v>0</v>
      </c>
      <c r="BK25" s="120"/>
      <c r="BL25" s="120"/>
      <c r="BM25" s="120"/>
      <c r="BN25" s="120"/>
      <c r="BO25" s="205"/>
      <c r="BP25" s="209"/>
      <c r="BQ25" s="205"/>
      <c r="BR25" s="205">
        <f t="shared" si="128"/>
        <v>0</v>
      </c>
      <c r="BS25" s="205">
        <f t="shared" si="129"/>
        <v>0</v>
      </c>
      <c r="BT25" s="120"/>
      <c r="BU25" s="250">
        <v>740</v>
      </c>
      <c r="BV25" s="120"/>
      <c r="BW25" s="216"/>
      <c r="BX25" s="120"/>
      <c r="BY25" s="209"/>
      <c r="BZ25" s="205"/>
      <c r="CA25" s="205">
        <f t="shared" si="130"/>
        <v>740</v>
      </c>
      <c r="CB25" s="120"/>
      <c r="CC25" s="225">
        <v>4350</v>
      </c>
      <c r="CD25" s="120"/>
      <c r="CE25" s="120"/>
      <c r="CF25" s="120"/>
      <c r="CG25" s="209"/>
      <c r="CH25" s="205"/>
      <c r="CI25" s="205">
        <f t="shared" si="131"/>
        <v>4350</v>
      </c>
      <c r="CJ25" s="120"/>
      <c r="CK25" s="120"/>
      <c r="CL25" s="120"/>
      <c r="CM25" s="120"/>
      <c r="CN25" s="120"/>
      <c r="CO25" s="209"/>
      <c r="CP25" s="205"/>
      <c r="CQ25" s="205">
        <f t="shared" si="132"/>
        <v>0</v>
      </c>
      <c r="CR25" s="120"/>
      <c r="CS25" s="120"/>
      <c r="CT25" s="120"/>
      <c r="CU25" s="120"/>
      <c r="CV25" s="120"/>
      <c r="CW25" s="209"/>
      <c r="CX25" s="205"/>
      <c r="CY25" s="205">
        <f t="shared" si="133"/>
        <v>0</v>
      </c>
      <c r="CZ25" s="120"/>
      <c r="DA25" s="120"/>
      <c r="DB25" s="120"/>
      <c r="DC25" s="205"/>
      <c r="DD25" s="205"/>
      <c r="DE25" s="209"/>
      <c r="DF25" s="205"/>
      <c r="DG25" s="205">
        <f t="shared" si="134"/>
        <v>0</v>
      </c>
      <c r="DH25" s="205">
        <f t="shared" si="150"/>
        <v>5090</v>
      </c>
      <c r="DI25" s="120"/>
      <c r="DJ25" s="120"/>
      <c r="DK25" s="120"/>
      <c r="DL25" s="120"/>
      <c r="DM25" s="120"/>
      <c r="DN25" s="209"/>
      <c r="DO25" s="205"/>
      <c r="DP25" s="205">
        <f t="shared" si="135"/>
        <v>0</v>
      </c>
      <c r="DQ25" s="120"/>
      <c r="DR25" s="120"/>
      <c r="DS25" s="120"/>
      <c r="DT25" s="120"/>
      <c r="DU25" s="120"/>
      <c r="DV25" s="209"/>
      <c r="DW25" s="205"/>
      <c r="DX25" s="205">
        <f t="shared" si="136"/>
        <v>0</v>
      </c>
      <c r="DY25" s="120"/>
      <c r="DZ25" s="120"/>
      <c r="EA25" s="120"/>
      <c r="EB25" s="120"/>
      <c r="EC25" s="120"/>
      <c r="ED25" s="209"/>
      <c r="EE25" s="205"/>
      <c r="EF25" s="205">
        <f t="shared" si="137"/>
        <v>0</v>
      </c>
      <c r="EG25" s="120"/>
      <c r="EH25" s="120"/>
      <c r="EI25" s="120"/>
      <c r="EJ25" s="205"/>
      <c r="EK25" s="205"/>
      <c r="EL25" s="209"/>
      <c r="EM25" s="205"/>
      <c r="EN25" s="205">
        <f t="shared" si="138"/>
        <v>0</v>
      </c>
      <c r="EO25" s="205">
        <f t="shared" si="151"/>
        <v>0</v>
      </c>
      <c r="EP25" s="120"/>
      <c r="EQ25" s="120"/>
      <c r="ER25" s="120"/>
      <c r="ES25" s="120"/>
      <c r="ET25" s="120"/>
      <c r="EU25" s="209"/>
      <c r="EV25" s="205"/>
      <c r="EW25" s="205">
        <f t="shared" si="139"/>
        <v>0</v>
      </c>
      <c r="EX25" s="120"/>
      <c r="EY25" s="120"/>
      <c r="EZ25" s="120"/>
      <c r="FA25" s="120"/>
      <c r="FB25" s="120"/>
      <c r="FC25" s="209"/>
      <c r="FD25" s="205"/>
      <c r="FE25" s="205">
        <f t="shared" si="140"/>
        <v>0</v>
      </c>
      <c r="FF25" s="120"/>
      <c r="FG25" s="120"/>
      <c r="FH25" s="120"/>
      <c r="FI25" s="120"/>
      <c r="FJ25" s="120"/>
      <c r="FK25" s="209"/>
      <c r="FL25" s="205"/>
      <c r="FM25" s="205">
        <f t="shared" si="141"/>
        <v>0</v>
      </c>
      <c r="FN25" s="120"/>
      <c r="FO25" s="120"/>
      <c r="FP25" s="120"/>
      <c r="FQ25" s="120"/>
      <c r="FR25" s="205"/>
      <c r="FS25" s="209"/>
      <c r="FT25" s="205"/>
      <c r="FU25" s="205">
        <f>SUM(FO25:FT25)</f>
        <v>0</v>
      </c>
      <c r="FV25" s="205">
        <f t="shared" si="152"/>
        <v>0</v>
      </c>
      <c r="FW25" s="120"/>
      <c r="FX25" s="120"/>
      <c r="FY25" s="120"/>
      <c r="FZ25" s="120"/>
      <c r="GA25" s="120"/>
      <c r="GB25" s="209"/>
      <c r="GC25" s="205"/>
      <c r="GD25" s="205">
        <f t="shared" si="143"/>
        <v>0</v>
      </c>
      <c r="GE25" s="120"/>
      <c r="GF25" s="120"/>
      <c r="GG25" s="120"/>
      <c r="GH25" s="120"/>
      <c r="GI25" s="120"/>
      <c r="GJ25" s="209"/>
      <c r="GK25" s="205"/>
      <c r="GL25" s="205">
        <f t="shared" si="144"/>
        <v>0</v>
      </c>
      <c r="GM25" s="120"/>
      <c r="GN25" s="120"/>
      <c r="GO25" s="120"/>
      <c r="GP25" s="120"/>
      <c r="GQ25" s="120"/>
      <c r="GR25" s="209"/>
      <c r="GS25" s="205"/>
      <c r="GT25" s="205">
        <f t="shared" si="145"/>
        <v>0</v>
      </c>
      <c r="GU25" s="120"/>
      <c r="GV25" s="120"/>
      <c r="GW25" s="120"/>
      <c r="GX25" s="120"/>
      <c r="GY25" s="120"/>
      <c r="GZ25" s="209"/>
      <c r="HA25" s="205"/>
      <c r="HB25" s="205">
        <f t="shared" si="146"/>
        <v>0</v>
      </c>
      <c r="HC25" s="120"/>
      <c r="HD25" s="120"/>
      <c r="HE25" s="120"/>
      <c r="HF25" s="120"/>
      <c r="HG25" s="120"/>
      <c r="HH25" s="209"/>
      <c r="HI25" s="205"/>
      <c r="HJ25" s="205">
        <f t="shared" si="147"/>
        <v>0</v>
      </c>
      <c r="HK25" s="205">
        <f t="shared" si="153"/>
        <v>0</v>
      </c>
      <c r="HL25" s="124"/>
      <c r="HM25" s="120"/>
      <c r="HN25" s="120"/>
      <c r="HO25" s="120"/>
      <c r="HP25" s="120"/>
      <c r="HQ25" s="205"/>
      <c r="HR25" s="205"/>
      <c r="HS25" s="205">
        <f t="shared" si="154"/>
        <v>0</v>
      </c>
      <c r="HT25" s="120"/>
      <c r="HU25" s="120"/>
      <c r="HV25" s="120"/>
      <c r="HW25" s="120"/>
      <c r="HX25" s="120"/>
      <c r="HY25" s="205"/>
      <c r="HZ25" s="205"/>
      <c r="IA25" s="205">
        <f t="shared" si="155"/>
        <v>0</v>
      </c>
      <c r="IB25" s="217">
        <v>2000</v>
      </c>
      <c r="IC25" s="120"/>
      <c r="ID25" s="120"/>
      <c r="IE25" s="120"/>
      <c r="IF25" s="120"/>
      <c r="IG25" s="205"/>
      <c r="IH25" s="205"/>
      <c r="II25" s="205">
        <f t="shared" si="156"/>
        <v>2000</v>
      </c>
      <c r="IJ25" s="120"/>
      <c r="IK25" s="120"/>
      <c r="IL25" s="120"/>
      <c r="IM25" s="120"/>
      <c r="IN25" s="120"/>
      <c r="IO25" s="205"/>
      <c r="IP25" s="205"/>
      <c r="IQ25" s="205">
        <f t="shared" si="157"/>
        <v>0</v>
      </c>
      <c r="IR25" s="205">
        <f t="shared" si="158"/>
        <v>2000</v>
      </c>
      <c r="IS25" s="217">
        <v>1860</v>
      </c>
      <c r="IT25" s="120"/>
      <c r="IU25" s="120"/>
      <c r="IV25" s="120"/>
      <c r="IW25" s="120"/>
      <c r="IX25" s="205"/>
      <c r="IY25" s="205"/>
      <c r="IZ25" s="205">
        <f t="shared" si="159"/>
        <v>1860</v>
      </c>
      <c r="JA25" s="120"/>
      <c r="JB25" s="120"/>
      <c r="JC25" s="120"/>
      <c r="JD25" s="120"/>
      <c r="JE25" s="120"/>
      <c r="JF25" s="205"/>
      <c r="JG25" s="205"/>
      <c r="JH25" s="205">
        <f t="shared" si="160"/>
        <v>0</v>
      </c>
      <c r="JI25" s="120"/>
      <c r="JJ25" s="120"/>
      <c r="JK25" s="120"/>
      <c r="JL25" s="120"/>
      <c r="JM25" s="120"/>
      <c r="JN25" s="205"/>
      <c r="JO25" s="205"/>
      <c r="JP25" s="205">
        <f t="shared" si="161"/>
        <v>0</v>
      </c>
      <c r="JQ25" s="120"/>
      <c r="JR25" s="120"/>
      <c r="JS25" s="120"/>
      <c r="JT25" s="120"/>
      <c r="JU25" s="120"/>
      <c r="JV25" s="205"/>
      <c r="JW25" s="205"/>
      <c r="JX25" s="205">
        <f t="shared" si="162"/>
        <v>0</v>
      </c>
      <c r="JY25" s="205">
        <f t="shared" si="163"/>
        <v>1860</v>
      </c>
      <c r="JZ25" s="120"/>
      <c r="KA25" s="120"/>
      <c r="KB25" s="120"/>
      <c r="KC25" s="120"/>
      <c r="KD25" s="120"/>
      <c r="KE25" s="205"/>
      <c r="KF25" s="205"/>
      <c r="KG25" s="205">
        <f t="shared" si="164"/>
        <v>0</v>
      </c>
      <c r="KH25" s="120"/>
      <c r="KI25" s="120"/>
      <c r="KJ25" s="120"/>
      <c r="KK25" s="206">
        <v>600</v>
      </c>
      <c r="KL25" s="120"/>
      <c r="KM25" s="205"/>
      <c r="KN25" s="205"/>
      <c r="KO25" s="205">
        <f t="shared" si="165"/>
        <v>600</v>
      </c>
      <c r="KP25" s="120"/>
      <c r="KQ25" s="120"/>
      <c r="KR25" s="120"/>
      <c r="KS25" s="120"/>
      <c r="KT25" s="120"/>
      <c r="KU25" s="205"/>
      <c r="KV25" s="205"/>
      <c r="KW25" s="205">
        <f t="shared" si="166"/>
        <v>0</v>
      </c>
      <c r="KX25" s="120"/>
      <c r="KY25" s="120"/>
      <c r="KZ25" s="120"/>
      <c r="LA25" s="120"/>
      <c r="LB25" s="120"/>
      <c r="LC25" s="205"/>
      <c r="LD25" s="205"/>
      <c r="LE25" s="205">
        <f t="shared" si="167"/>
        <v>0</v>
      </c>
      <c r="LF25" s="205"/>
      <c r="LG25" s="120"/>
      <c r="LH25" s="120"/>
      <c r="LI25" s="120"/>
      <c r="LJ25" s="120"/>
      <c r="LK25" s="205"/>
      <c r="LL25" s="205"/>
      <c r="LM25" s="205">
        <f t="shared" si="168"/>
        <v>0</v>
      </c>
      <c r="LN25" s="205">
        <f t="shared" si="169"/>
        <v>600</v>
      </c>
      <c r="LO25" s="205"/>
      <c r="LP25" s="120"/>
      <c r="LQ25" s="120"/>
      <c r="LR25" s="120"/>
      <c r="LS25" s="205"/>
      <c r="LT25" s="205"/>
      <c r="LU25" s="205"/>
      <c r="LV25" s="205">
        <f t="shared" si="170"/>
        <v>0</v>
      </c>
      <c r="LW25" s="120"/>
      <c r="LX25" s="120"/>
      <c r="LY25" s="120"/>
      <c r="LZ25" s="120"/>
      <c r="MA25" s="120"/>
      <c r="MB25" s="205"/>
      <c r="MC25" s="205"/>
      <c r="MD25" s="205">
        <f t="shared" si="171"/>
        <v>0</v>
      </c>
      <c r="ME25" s="201">
        <v>4680</v>
      </c>
      <c r="MF25" s="120"/>
      <c r="MG25" s="120"/>
      <c r="MH25" s="120"/>
      <c r="MI25" s="205"/>
      <c r="MJ25" s="205"/>
      <c r="MK25" s="205"/>
      <c r="ML25" s="205">
        <f t="shared" si="172"/>
        <v>4680</v>
      </c>
      <c r="MM25" s="120"/>
      <c r="MN25" s="120"/>
      <c r="MO25" s="120"/>
      <c r="MP25" s="120"/>
      <c r="MQ25" s="120"/>
      <c r="MR25" s="205"/>
      <c r="MS25" s="205"/>
      <c r="MT25" s="205">
        <f t="shared" si="173"/>
        <v>0</v>
      </c>
      <c r="MU25" s="205">
        <f t="shared" si="174"/>
        <v>4680</v>
      </c>
      <c r="MV25" s="120"/>
      <c r="MW25" s="120"/>
      <c r="MX25" s="120"/>
      <c r="MY25" s="120"/>
      <c r="MZ25" s="120"/>
      <c r="NA25" s="205"/>
      <c r="NB25" s="205"/>
      <c r="NC25" s="205">
        <f t="shared" si="175"/>
        <v>0</v>
      </c>
      <c r="ND25" s="217">
        <v>650</v>
      </c>
      <c r="NE25" s="120"/>
      <c r="NF25" s="120"/>
      <c r="NG25" s="120"/>
      <c r="NH25" s="120"/>
      <c r="NI25" s="205"/>
      <c r="NJ25" s="205"/>
      <c r="NK25" s="205">
        <f t="shared" si="176"/>
        <v>650</v>
      </c>
      <c r="NL25" s="120"/>
      <c r="NM25" s="120"/>
      <c r="NN25" s="120"/>
      <c r="NO25" s="120"/>
      <c r="NP25" s="120"/>
      <c r="NQ25" s="205"/>
      <c r="NR25" s="205"/>
      <c r="NS25" s="205">
        <f t="shared" si="177"/>
        <v>0</v>
      </c>
      <c r="NT25" s="217">
        <v>1150</v>
      </c>
      <c r="NU25" s="120"/>
      <c r="NV25" s="120"/>
      <c r="NW25" s="120"/>
      <c r="NX25" s="120"/>
      <c r="NY25" s="205"/>
      <c r="NZ25" s="205"/>
      <c r="OA25" s="205">
        <f t="shared" si="178"/>
        <v>1150</v>
      </c>
      <c r="OB25" s="205">
        <f t="shared" si="179"/>
        <v>1800</v>
      </c>
      <c r="OC25" s="120"/>
      <c r="OD25" s="120"/>
      <c r="OE25" s="120"/>
      <c r="OF25" s="120"/>
      <c r="OG25" s="120"/>
      <c r="OH25" s="205"/>
      <c r="OI25" s="205"/>
      <c r="OJ25" s="205">
        <f t="shared" si="180"/>
        <v>0</v>
      </c>
      <c r="OK25" s="120"/>
      <c r="OL25" s="120"/>
      <c r="OM25" s="120"/>
      <c r="ON25" s="120"/>
      <c r="OO25" s="120"/>
      <c r="OP25" s="205"/>
      <c r="OQ25" s="205"/>
      <c r="OR25" s="205">
        <f t="shared" si="181"/>
        <v>0</v>
      </c>
      <c r="OS25" s="120"/>
      <c r="OT25" s="120"/>
      <c r="OU25" s="120"/>
      <c r="OV25" s="120"/>
      <c r="OW25" s="120"/>
      <c r="OX25" s="205"/>
      <c r="OY25" s="205"/>
      <c r="OZ25" s="205">
        <f t="shared" si="182"/>
        <v>0</v>
      </c>
      <c r="PA25" s="120"/>
      <c r="PB25" s="120"/>
      <c r="PC25" s="120"/>
      <c r="PD25" s="205"/>
      <c r="PE25" s="217"/>
      <c r="PF25" s="205"/>
      <c r="PG25" s="205"/>
      <c r="PH25" s="205">
        <f t="shared" si="183"/>
        <v>0</v>
      </c>
      <c r="PI25" s="195">
        <v>530</v>
      </c>
      <c r="PJ25" s="120"/>
      <c r="PK25" s="120"/>
      <c r="PL25" s="205"/>
      <c r="PM25" s="217"/>
      <c r="PN25" s="205"/>
      <c r="PO25" s="205"/>
      <c r="PP25" s="205">
        <f t="shared" si="184"/>
        <v>530</v>
      </c>
      <c r="PQ25" s="205">
        <f t="shared" si="185"/>
        <v>530</v>
      </c>
      <c r="PR25" s="207"/>
      <c r="PS25" s="207"/>
      <c r="PT25" s="207"/>
      <c r="PU25" s="207"/>
      <c r="PV25" s="207"/>
      <c r="PW25" s="272"/>
      <c r="PX25" s="272"/>
      <c r="PY25" s="205">
        <f t="shared" si="186"/>
        <v>0</v>
      </c>
      <c r="PZ25" s="207"/>
      <c r="QA25" s="207"/>
      <c r="QB25" s="207"/>
      <c r="QC25" s="207"/>
      <c r="QD25" s="207"/>
      <c r="QE25" s="272"/>
      <c r="QF25" s="272"/>
      <c r="QG25" s="205">
        <f t="shared" si="187"/>
        <v>0</v>
      </c>
      <c r="QH25" s="207"/>
      <c r="QI25" s="207"/>
      <c r="QJ25" s="294"/>
      <c r="QK25" s="207"/>
      <c r="QL25" s="207"/>
      <c r="QM25" s="272"/>
      <c r="QN25" s="272"/>
      <c r="QO25" s="205">
        <f t="shared" si="188"/>
        <v>0</v>
      </c>
      <c r="QP25" s="207"/>
      <c r="QQ25" s="207"/>
      <c r="QR25" s="207"/>
      <c r="QS25" s="207"/>
      <c r="QT25" s="207"/>
      <c r="QU25" s="272"/>
      <c r="QV25" s="272"/>
      <c r="QW25" s="205">
        <f t="shared" si="189"/>
        <v>0</v>
      </c>
      <c r="QX25" s="205">
        <f t="shared" si="190"/>
        <v>0</v>
      </c>
      <c r="QY25" s="207"/>
      <c r="QZ25" s="207"/>
      <c r="RA25" s="207"/>
      <c r="RB25" s="207"/>
      <c r="RC25" s="207"/>
      <c r="RD25" s="272"/>
      <c r="RE25" s="272"/>
      <c r="RF25" s="205">
        <f t="shared" si="191"/>
        <v>0</v>
      </c>
      <c r="RG25" s="207"/>
      <c r="RH25" s="207"/>
      <c r="RI25" s="207"/>
      <c r="RJ25" s="207"/>
      <c r="RK25" s="207"/>
      <c r="RL25" s="272"/>
      <c r="RM25" s="272"/>
      <c r="RN25" s="205">
        <f t="shared" si="192"/>
        <v>0</v>
      </c>
      <c r="RO25" s="272"/>
      <c r="RP25" s="272"/>
      <c r="RQ25" s="272"/>
      <c r="RR25" s="272"/>
      <c r="RS25" s="272"/>
      <c r="RT25" s="272"/>
      <c r="RU25" s="272"/>
      <c r="RV25" s="205">
        <f t="shared" si="193"/>
        <v>0</v>
      </c>
      <c r="RW25" s="195">
        <v>6800</v>
      </c>
      <c r="RX25" s="207"/>
      <c r="RY25" s="207"/>
      <c r="RZ25" s="207"/>
      <c r="SA25" s="272"/>
      <c r="SB25" s="272"/>
      <c r="SC25" s="272"/>
      <c r="SD25" s="205">
        <f t="shared" si="194"/>
        <v>6800</v>
      </c>
      <c r="SE25" s="205">
        <f t="shared" si="195"/>
        <v>6800</v>
      </c>
      <c r="SF25" s="207"/>
      <c r="SG25" s="207"/>
      <c r="SH25" s="207"/>
      <c r="SI25" s="207"/>
      <c r="SJ25" s="207"/>
      <c r="SK25" s="272"/>
      <c r="SL25" s="272"/>
      <c r="SM25" s="205">
        <f t="shared" si="196"/>
        <v>0</v>
      </c>
      <c r="SN25" s="207"/>
      <c r="SO25" s="207"/>
      <c r="SP25" s="207"/>
      <c r="SQ25" s="207"/>
      <c r="SR25" s="207"/>
      <c r="SS25" s="272"/>
      <c r="ST25" s="272"/>
      <c r="SU25" s="205">
        <f t="shared" si="197"/>
        <v>0</v>
      </c>
      <c r="SV25" s="207"/>
      <c r="SW25" s="207"/>
      <c r="SX25" s="207"/>
      <c r="SY25" s="207"/>
      <c r="SZ25" s="207"/>
      <c r="TA25" s="272"/>
      <c r="TB25" s="272"/>
      <c r="TC25" s="205">
        <f t="shared" si="198"/>
        <v>0</v>
      </c>
      <c r="TD25" s="123">
        <v>600</v>
      </c>
      <c r="TE25" s="207"/>
      <c r="TF25" s="207"/>
      <c r="TG25" s="207"/>
      <c r="TH25" s="207"/>
      <c r="TI25" s="272"/>
      <c r="TJ25" s="272"/>
      <c r="TK25" s="205">
        <f t="shared" si="199"/>
        <v>600</v>
      </c>
      <c r="TL25" s="207"/>
      <c r="TM25" s="207"/>
      <c r="TN25" s="207"/>
      <c r="TO25" s="207"/>
      <c r="TP25" s="272"/>
      <c r="TQ25" s="272"/>
      <c r="TR25" s="272"/>
      <c r="TS25" s="205">
        <f t="shared" si="200"/>
        <v>0</v>
      </c>
      <c r="TT25" s="205">
        <f t="shared" si="201"/>
        <v>600</v>
      </c>
      <c r="TU25" s="272"/>
      <c r="TV25" s="207"/>
      <c r="TW25" s="207"/>
      <c r="TX25" s="207"/>
      <c r="TY25" s="207"/>
      <c r="TZ25" s="272"/>
      <c r="UA25" s="272"/>
      <c r="UB25" s="205">
        <f t="shared" si="202"/>
        <v>0</v>
      </c>
      <c r="UC25" s="207"/>
      <c r="UD25" s="207"/>
      <c r="UE25" s="207"/>
      <c r="UF25" s="207"/>
      <c r="UG25" s="207"/>
      <c r="UH25" s="272"/>
      <c r="UI25" s="272"/>
      <c r="UJ25" s="205">
        <f t="shared" si="203"/>
        <v>0</v>
      </c>
      <c r="UK25" s="216"/>
      <c r="UL25" s="207"/>
      <c r="UM25" s="207"/>
      <c r="UN25" s="207"/>
      <c r="UO25" s="207"/>
      <c r="UP25" s="272"/>
      <c r="UQ25" s="272"/>
      <c r="UR25" s="205">
        <f t="shared" si="226"/>
        <v>0</v>
      </c>
      <c r="US25" s="207"/>
      <c r="UT25" s="207"/>
      <c r="UU25" s="207"/>
      <c r="UV25" s="207"/>
      <c r="UW25" s="272"/>
      <c r="UX25" s="272"/>
      <c r="UY25" s="272"/>
      <c r="UZ25" s="205">
        <f t="shared" si="204"/>
        <v>0</v>
      </c>
      <c r="VA25" s="205">
        <f t="shared" si="205"/>
        <v>0</v>
      </c>
      <c r="VB25" s="207"/>
      <c r="VC25" s="207"/>
      <c r="VD25" s="207"/>
      <c r="VE25" s="207"/>
      <c r="VF25" s="207"/>
      <c r="VG25" s="272"/>
      <c r="VH25" s="272"/>
      <c r="VI25" s="205">
        <f t="shared" si="206"/>
        <v>0</v>
      </c>
      <c r="VJ25" s="207"/>
      <c r="VK25" s="207"/>
      <c r="VL25" s="207"/>
      <c r="VM25" s="207"/>
      <c r="VN25" s="207"/>
      <c r="VO25" s="272"/>
      <c r="VP25" s="272"/>
      <c r="VQ25" s="205">
        <f t="shared" si="207"/>
        <v>0</v>
      </c>
      <c r="VR25" s="207"/>
      <c r="VS25" s="207"/>
      <c r="VT25" s="207"/>
      <c r="VU25" s="207"/>
      <c r="VV25" s="207"/>
      <c r="VW25" s="272"/>
      <c r="VX25" s="272"/>
      <c r="VY25" s="205">
        <f t="shared" si="208"/>
        <v>0</v>
      </c>
      <c r="VZ25" s="207"/>
      <c r="WA25" s="195">
        <v>2300</v>
      </c>
      <c r="WB25" s="207"/>
      <c r="WC25" s="207"/>
      <c r="WD25" s="207"/>
      <c r="WE25" s="272"/>
      <c r="WF25" s="272"/>
      <c r="WG25" s="205">
        <f t="shared" si="209"/>
        <v>2300</v>
      </c>
      <c r="WH25" s="205">
        <f t="shared" si="210"/>
        <v>2300</v>
      </c>
      <c r="WI25" s="207"/>
      <c r="WJ25" s="207"/>
      <c r="WK25" s="207"/>
      <c r="WL25" s="207"/>
      <c r="WM25" s="207"/>
      <c r="WN25" s="272"/>
      <c r="WO25" s="272"/>
      <c r="WP25" s="205">
        <f t="shared" si="211"/>
        <v>0</v>
      </c>
      <c r="WQ25" s="207"/>
      <c r="WR25" s="207"/>
      <c r="WS25" s="207"/>
      <c r="WT25" s="207"/>
      <c r="WU25" s="207"/>
      <c r="WV25" s="272"/>
      <c r="WW25" s="272"/>
      <c r="WX25" s="205">
        <f t="shared" si="212"/>
        <v>0</v>
      </c>
      <c r="WY25" s="207"/>
      <c r="WZ25" s="207"/>
      <c r="XA25" s="207"/>
      <c r="XB25" s="207"/>
      <c r="XC25" s="272"/>
      <c r="XD25" s="272"/>
      <c r="XE25" s="272"/>
      <c r="XF25" s="205">
        <f t="shared" si="213"/>
        <v>0</v>
      </c>
      <c r="XG25" s="207"/>
      <c r="XH25" s="207"/>
      <c r="XI25" s="207"/>
      <c r="XJ25" s="207"/>
      <c r="XK25" s="207"/>
      <c r="XL25" s="272"/>
      <c r="XM25" s="272"/>
      <c r="XN25" s="205">
        <f t="shared" si="214"/>
        <v>0</v>
      </c>
      <c r="XO25" s="207"/>
      <c r="XP25" s="207"/>
      <c r="XQ25" s="207"/>
      <c r="XR25" s="207"/>
      <c r="XS25" s="207"/>
      <c r="XT25" s="272"/>
      <c r="XU25" s="272"/>
      <c r="XV25" s="205">
        <f t="shared" si="215"/>
        <v>0</v>
      </c>
      <c r="XW25" s="205">
        <f t="shared" si="216"/>
        <v>0</v>
      </c>
      <c r="XX25" s="207"/>
      <c r="XY25" s="207"/>
      <c r="XZ25" s="207"/>
      <c r="YA25" s="207"/>
      <c r="YB25" s="207"/>
      <c r="YC25" s="272"/>
      <c r="YD25" s="272"/>
      <c r="YE25" s="205">
        <f t="shared" si="217"/>
        <v>0</v>
      </c>
      <c r="YF25" s="207"/>
      <c r="YG25" s="207"/>
      <c r="YH25" s="207"/>
      <c r="YI25" s="207"/>
      <c r="YJ25" s="207"/>
      <c r="YK25" s="272"/>
      <c r="YL25" s="272"/>
      <c r="YM25" s="205">
        <f t="shared" si="218"/>
        <v>0</v>
      </c>
      <c r="YN25" s="207"/>
      <c r="YO25" s="207"/>
      <c r="YP25" s="207"/>
      <c r="YQ25" s="207"/>
      <c r="YR25" s="207"/>
      <c r="YS25" s="272"/>
      <c r="YT25" s="272"/>
      <c r="YU25" s="205">
        <f t="shared" si="148"/>
        <v>0</v>
      </c>
      <c r="YV25" s="207"/>
      <c r="YW25" s="207"/>
      <c r="YX25" s="207"/>
      <c r="YY25" s="207"/>
      <c r="YZ25" s="207"/>
      <c r="ZA25" s="272"/>
      <c r="ZB25" s="272"/>
      <c r="ZC25" s="205">
        <f t="shared" si="219"/>
        <v>0</v>
      </c>
      <c r="ZD25" s="205">
        <f t="shared" si="149"/>
        <v>0</v>
      </c>
      <c r="ZE25" s="207"/>
      <c r="ZF25" s="207"/>
      <c r="ZG25" s="207"/>
      <c r="ZH25" s="207"/>
      <c r="ZI25" s="207"/>
      <c r="ZJ25" s="272"/>
      <c r="ZK25" s="272"/>
      <c r="ZL25" s="205">
        <f t="shared" si="220"/>
        <v>0</v>
      </c>
      <c r="ZM25" s="207"/>
      <c r="ZN25" s="207"/>
      <c r="ZO25" s="207"/>
      <c r="ZP25" s="207"/>
      <c r="ZQ25" s="207"/>
      <c r="ZR25" s="272"/>
      <c r="ZS25" s="272"/>
      <c r="ZT25" s="205">
        <f t="shared" si="221"/>
        <v>0</v>
      </c>
      <c r="ZU25" s="207"/>
      <c r="ZV25" s="207"/>
      <c r="ZW25" s="207"/>
      <c r="ZX25" s="207"/>
      <c r="ZY25" s="207"/>
      <c r="ZZ25" s="272"/>
      <c r="AAA25" s="272"/>
      <c r="AAB25" s="205">
        <f t="shared" si="222"/>
        <v>0</v>
      </c>
      <c r="AAC25" s="207"/>
      <c r="AAD25" s="207"/>
      <c r="AAE25" s="207"/>
      <c r="AAF25" s="207"/>
      <c r="AAG25" s="207"/>
      <c r="AAH25" s="272"/>
      <c r="AAI25" s="272"/>
      <c r="AAJ25" s="205">
        <f t="shared" si="223"/>
        <v>0</v>
      </c>
      <c r="AAK25" s="207"/>
      <c r="AAL25" s="207"/>
      <c r="AAM25" s="207"/>
      <c r="AAN25" s="207"/>
      <c r="AAO25" s="207"/>
      <c r="AAP25" s="272"/>
      <c r="AAQ25" s="272"/>
      <c r="AAR25" s="205">
        <f t="shared" si="224"/>
        <v>0</v>
      </c>
      <c r="AAS25" s="205">
        <f t="shared" si="225"/>
        <v>0</v>
      </c>
    </row>
    <row r="26" spans="1:721" s="126" customFormat="1" ht="69.95" customHeight="1">
      <c r="A26" s="119" t="s">
        <v>617</v>
      </c>
      <c r="B26" s="155">
        <v>3620102403</v>
      </c>
      <c r="C26" s="323"/>
      <c r="D26" s="156" t="s">
        <v>73</v>
      </c>
      <c r="E26" s="130" t="s">
        <v>4</v>
      </c>
      <c r="F26" s="120"/>
      <c r="G26" s="120"/>
      <c r="H26" s="120"/>
      <c r="I26" s="120"/>
      <c r="J26" s="120"/>
      <c r="K26" s="209"/>
      <c r="L26" s="205"/>
      <c r="M26" s="205">
        <f t="shared" si="121"/>
        <v>0</v>
      </c>
      <c r="N26" s="120"/>
      <c r="O26" s="120"/>
      <c r="P26" s="120"/>
      <c r="Q26" s="120"/>
      <c r="R26" s="120"/>
      <c r="S26" s="209"/>
      <c r="T26" s="205"/>
      <c r="U26" s="205">
        <f t="shared" si="122"/>
        <v>0</v>
      </c>
      <c r="V26" s="120"/>
      <c r="W26" s="120"/>
      <c r="X26" s="120"/>
      <c r="Y26" s="120"/>
      <c r="Z26" s="120"/>
      <c r="AA26" s="209"/>
      <c r="AB26" s="205"/>
      <c r="AC26" s="205">
        <f t="shared" si="123"/>
        <v>0</v>
      </c>
      <c r="AD26" s="205"/>
      <c r="AE26" s="205"/>
      <c r="AF26" s="205"/>
      <c r="AG26" s="205"/>
      <c r="AH26" s="205"/>
      <c r="AI26" s="209"/>
      <c r="AJ26" s="205"/>
      <c r="AK26" s="205">
        <f t="shared" si="124"/>
        <v>0</v>
      </c>
      <c r="AL26" s="205" t="e">
        <f>SUM(#REF!,M26,U26,AC26,AD26:AH26)</f>
        <v>#REF!</v>
      </c>
      <c r="AM26" s="120"/>
      <c r="AN26" s="120"/>
      <c r="AO26" s="120"/>
      <c r="AP26" s="120"/>
      <c r="AQ26" s="120"/>
      <c r="AR26" s="209"/>
      <c r="AS26" s="205"/>
      <c r="AT26" s="205">
        <f t="shared" si="125"/>
        <v>0</v>
      </c>
      <c r="AU26" s="120"/>
      <c r="AV26" s="120"/>
      <c r="AW26" s="120"/>
      <c r="AX26" s="120"/>
      <c r="AY26" s="120"/>
      <c r="AZ26" s="209"/>
      <c r="BA26" s="205"/>
      <c r="BB26" s="205">
        <f t="shared" si="126"/>
        <v>0</v>
      </c>
      <c r="BC26" s="120"/>
      <c r="BD26" s="120"/>
      <c r="BE26" s="120"/>
      <c r="BF26" s="120"/>
      <c r="BG26" s="120"/>
      <c r="BH26" s="209"/>
      <c r="BI26" s="205"/>
      <c r="BJ26" s="205">
        <f t="shared" si="127"/>
        <v>0</v>
      </c>
      <c r="BK26" s="120"/>
      <c r="BL26" s="120"/>
      <c r="BM26" s="120"/>
      <c r="BN26" s="120"/>
      <c r="BO26" s="205"/>
      <c r="BP26" s="209"/>
      <c r="BQ26" s="205"/>
      <c r="BR26" s="205">
        <f t="shared" si="128"/>
        <v>0</v>
      </c>
      <c r="BS26" s="205">
        <f t="shared" si="129"/>
        <v>0</v>
      </c>
      <c r="BT26" s="120"/>
      <c r="BU26" s="250">
        <v>600</v>
      </c>
      <c r="BV26" s="120"/>
      <c r="BW26" s="120"/>
      <c r="BX26" s="120"/>
      <c r="BY26" s="209"/>
      <c r="BZ26" s="205"/>
      <c r="CA26" s="205">
        <f t="shared" si="130"/>
        <v>600</v>
      </c>
      <c r="CB26" s="120"/>
      <c r="CC26" s="225">
        <v>500</v>
      </c>
      <c r="CD26" s="120"/>
      <c r="CE26" s="120"/>
      <c r="CF26" s="120"/>
      <c r="CG26" s="209"/>
      <c r="CH26" s="205"/>
      <c r="CI26" s="205">
        <f t="shared" si="131"/>
        <v>500</v>
      </c>
      <c r="CJ26" s="120"/>
      <c r="CK26" s="120"/>
      <c r="CL26" s="120"/>
      <c r="CM26" s="120"/>
      <c r="CN26" s="120"/>
      <c r="CO26" s="209"/>
      <c r="CP26" s="205"/>
      <c r="CQ26" s="205">
        <f t="shared" si="132"/>
        <v>0</v>
      </c>
      <c r="CR26" s="120"/>
      <c r="CS26" s="120"/>
      <c r="CT26" s="120"/>
      <c r="CU26" s="120"/>
      <c r="CV26" s="120"/>
      <c r="CW26" s="209"/>
      <c r="CX26" s="205"/>
      <c r="CY26" s="205">
        <f t="shared" si="133"/>
        <v>0</v>
      </c>
      <c r="CZ26" s="120"/>
      <c r="DA26" s="120"/>
      <c r="DB26" s="120"/>
      <c r="DC26" s="205"/>
      <c r="DD26" s="205"/>
      <c r="DE26" s="209"/>
      <c r="DF26" s="205"/>
      <c r="DG26" s="205">
        <f t="shared" si="134"/>
        <v>0</v>
      </c>
      <c r="DH26" s="205">
        <f t="shared" si="150"/>
        <v>1100</v>
      </c>
      <c r="DI26" s="120"/>
      <c r="DJ26" s="120"/>
      <c r="DK26" s="120"/>
      <c r="DL26" s="120"/>
      <c r="DM26" s="120"/>
      <c r="DN26" s="209"/>
      <c r="DO26" s="205"/>
      <c r="DP26" s="205">
        <f t="shared" si="135"/>
        <v>0</v>
      </c>
      <c r="DQ26" s="120"/>
      <c r="DR26" s="120"/>
      <c r="DS26" s="120"/>
      <c r="DT26" s="120"/>
      <c r="DU26" s="120"/>
      <c r="DV26" s="209"/>
      <c r="DW26" s="205"/>
      <c r="DX26" s="205">
        <f t="shared" si="136"/>
        <v>0</v>
      </c>
      <c r="DY26" s="120"/>
      <c r="DZ26" s="120"/>
      <c r="EA26" s="120"/>
      <c r="EB26" s="120"/>
      <c r="EC26" s="120"/>
      <c r="ED26" s="209"/>
      <c r="EE26" s="205"/>
      <c r="EF26" s="205">
        <f t="shared" si="137"/>
        <v>0</v>
      </c>
      <c r="EG26" s="120"/>
      <c r="EH26" s="120"/>
      <c r="EI26" s="120"/>
      <c r="EJ26" s="205"/>
      <c r="EK26" s="205"/>
      <c r="EL26" s="209"/>
      <c r="EM26" s="205"/>
      <c r="EN26" s="205">
        <f t="shared" si="138"/>
        <v>0</v>
      </c>
      <c r="EO26" s="205">
        <f t="shared" si="151"/>
        <v>0</v>
      </c>
      <c r="EP26" s="120"/>
      <c r="EQ26" s="120"/>
      <c r="ER26" s="250">
        <v>1540</v>
      </c>
      <c r="ES26" s="120"/>
      <c r="ET26" s="120"/>
      <c r="EU26" s="209"/>
      <c r="EV26" s="205"/>
      <c r="EW26" s="205">
        <f t="shared" si="139"/>
        <v>1540</v>
      </c>
      <c r="EX26" s="120"/>
      <c r="EY26" s="120"/>
      <c r="EZ26" s="120"/>
      <c r="FA26" s="120"/>
      <c r="FB26" s="120"/>
      <c r="FC26" s="209"/>
      <c r="FD26" s="205"/>
      <c r="FE26" s="205">
        <f t="shared" si="140"/>
        <v>0</v>
      </c>
      <c r="FF26" s="120"/>
      <c r="FG26" s="120"/>
      <c r="FH26" s="120"/>
      <c r="FI26" s="120"/>
      <c r="FJ26" s="120"/>
      <c r="FK26" s="209"/>
      <c r="FL26" s="205"/>
      <c r="FM26" s="205">
        <f t="shared" si="141"/>
        <v>0</v>
      </c>
      <c r="FN26" s="120"/>
      <c r="FO26" s="120"/>
      <c r="FP26" s="120"/>
      <c r="FQ26" s="120"/>
      <c r="FR26" s="205"/>
      <c r="FS26" s="209"/>
      <c r="FT26" s="205"/>
      <c r="FU26" s="205">
        <f>SUM(FO26:FT26)</f>
        <v>0</v>
      </c>
      <c r="FV26" s="205">
        <f t="shared" si="152"/>
        <v>1540</v>
      </c>
      <c r="FW26" s="120"/>
      <c r="FX26" s="120"/>
      <c r="FY26" s="120"/>
      <c r="FZ26" s="120"/>
      <c r="GA26" s="120"/>
      <c r="GB26" s="209"/>
      <c r="GC26" s="205"/>
      <c r="GD26" s="205">
        <f t="shared" si="143"/>
        <v>0</v>
      </c>
      <c r="GE26" s="120"/>
      <c r="GF26" s="120"/>
      <c r="GG26" s="120"/>
      <c r="GH26" s="120"/>
      <c r="GI26" s="120"/>
      <c r="GJ26" s="209"/>
      <c r="GK26" s="205"/>
      <c r="GL26" s="205">
        <f t="shared" si="144"/>
        <v>0</v>
      </c>
      <c r="GM26" s="120"/>
      <c r="GN26" s="120"/>
      <c r="GO26" s="120"/>
      <c r="GP26" s="120"/>
      <c r="GQ26" s="120"/>
      <c r="GR26" s="209"/>
      <c r="GS26" s="205"/>
      <c r="GT26" s="205">
        <f t="shared" si="145"/>
        <v>0</v>
      </c>
      <c r="GU26" s="120"/>
      <c r="GV26" s="120"/>
      <c r="GW26" s="120"/>
      <c r="GX26" s="120"/>
      <c r="GY26" s="120"/>
      <c r="GZ26" s="209"/>
      <c r="HA26" s="205"/>
      <c r="HB26" s="205">
        <f t="shared" si="146"/>
        <v>0</v>
      </c>
      <c r="HC26" s="120"/>
      <c r="HD26" s="120"/>
      <c r="HE26" s="120"/>
      <c r="HF26" s="120"/>
      <c r="HG26" s="120"/>
      <c r="HH26" s="209"/>
      <c r="HI26" s="205"/>
      <c r="HJ26" s="205">
        <f t="shared" si="147"/>
        <v>0</v>
      </c>
      <c r="HK26" s="205">
        <f t="shared" si="153"/>
        <v>0</v>
      </c>
      <c r="HL26" s="124"/>
      <c r="HM26" s="120"/>
      <c r="HN26" s="120"/>
      <c r="HO26" s="217">
        <v>1900</v>
      </c>
      <c r="HP26" s="120"/>
      <c r="HQ26" s="205"/>
      <c r="HR26" s="205"/>
      <c r="HS26" s="205">
        <f t="shared" si="154"/>
        <v>1900</v>
      </c>
      <c r="HT26" s="120"/>
      <c r="HU26" s="120"/>
      <c r="HV26" s="120"/>
      <c r="HW26" s="120"/>
      <c r="HX26" s="120"/>
      <c r="HY26" s="205"/>
      <c r="HZ26" s="205"/>
      <c r="IA26" s="205">
        <f t="shared" si="155"/>
        <v>0</v>
      </c>
      <c r="IB26" s="120"/>
      <c r="IC26" s="120"/>
      <c r="ID26" s="120"/>
      <c r="IE26" s="120"/>
      <c r="IF26" s="120"/>
      <c r="IG26" s="205"/>
      <c r="IH26" s="205"/>
      <c r="II26" s="205">
        <f t="shared" si="156"/>
        <v>0</v>
      </c>
      <c r="IJ26" s="120"/>
      <c r="IK26" s="120"/>
      <c r="IL26" s="120"/>
      <c r="IM26" s="120"/>
      <c r="IN26" s="120"/>
      <c r="IO26" s="205"/>
      <c r="IP26" s="205"/>
      <c r="IQ26" s="205">
        <f t="shared" si="157"/>
        <v>0</v>
      </c>
      <c r="IR26" s="205">
        <f t="shared" si="158"/>
        <v>1900</v>
      </c>
      <c r="IS26" s="120"/>
      <c r="IT26" s="120"/>
      <c r="IU26" s="120"/>
      <c r="IV26" s="120"/>
      <c r="IW26" s="120"/>
      <c r="IX26" s="205"/>
      <c r="IY26" s="205"/>
      <c r="IZ26" s="205">
        <f t="shared" si="159"/>
        <v>0</v>
      </c>
      <c r="JA26" s="120"/>
      <c r="JB26" s="120"/>
      <c r="JC26" s="120"/>
      <c r="JD26" s="120"/>
      <c r="JE26" s="120"/>
      <c r="JF26" s="205"/>
      <c r="JG26" s="205"/>
      <c r="JH26" s="205">
        <f t="shared" si="160"/>
        <v>0</v>
      </c>
      <c r="JI26" s="120"/>
      <c r="JJ26" s="120"/>
      <c r="JK26" s="120"/>
      <c r="JL26" s="120"/>
      <c r="JM26" s="120"/>
      <c r="JN26" s="205"/>
      <c r="JO26" s="205"/>
      <c r="JP26" s="205">
        <f t="shared" si="161"/>
        <v>0</v>
      </c>
      <c r="JQ26" s="120"/>
      <c r="JR26" s="120"/>
      <c r="JS26" s="120"/>
      <c r="JT26" s="120"/>
      <c r="JU26" s="120"/>
      <c r="JV26" s="205"/>
      <c r="JW26" s="205"/>
      <c r="JX26" s="205">
        <f t="shared" si="162"/>
        <v>0</v>
      </c>
      <c r="JY26" s="205">
        <f t="shared" si="163"/>
        <v>0</v>
      </c>
      <c r="JZ26" s="120"/>
      <c r="KA26" s="120"/>
      <c r="KB26" s="120"/>
      <c r="KC26" s="120"/>
      <c r="KD26" s="120"/>
      <c r="KE26" s="205"/>
      <c r="KF26" s="205"/>
      <c r="KG26" s="205">
        <f t="shared" si="164"/>
        <v>0</v>
      </c>
      <c r="KH26" s="120"/>
      <c r="KI26" s="120"/>
      <c r="KJ26" s="120"/>
      <c r="KK26" s="206">
        <v>900</v>
      </c>
      <c r="KL26" s="120"/>
      <c r="KM26" s="205"/>
      <c r="KN26" s="205"/>
      <c r="KO26" s="205">
        <f t="shared" si="165"/>
        <v>900</v>
      </c>
      <c r="KP26" s="120"/>
      <c r="KQ26" s="120"/>
      <c r="KR26" s="120"/>
      <c r="KS26" s="120"/>
      <c r="KT26" s="120"/>
      <c r="KU26" s="205"/>
      <c r="KV26" s="205"/>
      <c r="KW26" s="205">
        <f t="shared" si="166"/>
        <v>0</v>
      </c>
      <c r="KX26" s="120"/>
      <c r="KY26" s="120"/>
      <c r="KZ26" s="120"/>
      <c r="LA26" s="120"/>
      <c r="LB26" s="120"/>
      <c r="LC26" s="205"/>
      <c r="LD26" s="205"/>
      <c r="LE26" s="205">
        <f t="shared" si="167"/>
        <v>0</v>
      </c>
      <c r="LF26" s="205"/>
      <c r="LG26" s="120"/>
      <c r="LH26" s="120"/>
      <c r="LI26" s="120"/>
      <c r="LJ26" s="120"/>
      <c r="LK26" s="205"/>
      <c r="LL26" s="205"/>
      <c r="LM26" s="205">
        <f t="shared" si="168"/>
        <v>0</v>
      </c>
      <c r="LN26" s="205">
        <f t="shared" si="169"/>
        <v>900</v>
      </c>
      <c r="LO26" s="205"/>
      <c r="LP26" s="120"/>
      <c r="LQ26" s="120"/>
      <c r="LR26" s="120"/>
      <c r="LS26" s="205"/>
      <c r="LT26" s="205"/>
      <c r="LU26" s="205"/>
      <c r="LV26" s="205">
        <f t="shared" si="170"/>
        <v>0</v>
      </c>
      <c r="LW26" s="120"/>
      <c r="LX26" s="120"/>
      <c r="LY26" s="120"/>
      <c r="LZ26" s="120"/>
      <c r="MA26" s="120"/>
      <c r="MB26" s="205"/>
      <c r="MC26" s="205"/>
      <c r="MD26" s="205">
        <f t="shared" si="171"/>
        <v>0</v>
      </c>
      <c r="ME26" s="201">
        <v>1620</v>
      </c>
      <c r="MF26" s="120"/>
      <c r="MG26" s="120"/>
      <c r="MH26" s="120"/>
      <c r="MI26" s="205"/>
      <c r="MJ26" s="205"/>
      <c r="MK26" s="205"/>
      <c r="ML26" s="205">
        <f t="shared" si="172"/>
        <v>1620</v>
      </c>
      <c r="MM26" s="120"/>
      <c r="MN26" s="120"/>
      <c r="MO26" s="120"/>
      <c r="MP26" s="120"/>
      <c r="MQ26" s="120"/>
      <c r="MR26" s="205"/>
      <c r="MS26" s="205"/>
      <c r="MT26" s="205">
        <f t="shared" si="173"/>
        <v>0</v>
      </c>
      <c r="MU26" s="205">
        <f t="shared" si="174"/>
        <v>1620</v>
      </c>
      <c r="MV26" s="120"/>
      <c r="MW26" s="120"/>
      <c r="MX26" s="120"/>
      <c r="MY26" s="120"/>
      <c r="MZ26" s="120"/>
      <c r="NA26" s="205"/>
      <c r="NB26" s="205"/>
      <c r="NC26" s="205">
        <f t="shared" si="175"/>
        <v>0</v>
      </c>
      <c r="ND26" s="120"/>
      <c r="NE26" s="120"/>
      <c r="NF26" s="120"/>
      <c r="NG26" s="120"/>
      <c r="NH26" s="120"/>
      <c r="NI26" s="205"/>
      <c r="NJ26" s="205"/>
      <c r="NK26" s="205">
        <f t="shared" si="176"/>
        <v>0</v>
      </c>
      <c r="NL26" s="120"/>
      <c r="NM26" s="120"/>
      <c r="NN26" s="120"/>
      <c r="NO26" s="120"/>
      <c r="NP26" s="120"/>
      <c r="NQ26" s="205"/>
      <c r="NR26" s="205"/>
      <c r="NS26" s="205">
        <f t="shared" si="177"/>
        <v>0</v>
      </c>
      <c r="NT26" s="120"/>
      <c r="NU26" s="120"/>
      <c r="NV26" s="120"/>
      <c r="NW26" s="120"/>
      <c r="NX26" s="120"/>
      <c r="NY26" s="205"/>
      <c r="NZ26" s="205"/>
      <c r="OA26" s="205">
        <f t="shared" si="178"/>
        <v>0</v>
      </c>
      <c r="OB26" s="205">
        <f t="shared" si="179"/>
        <v>0</v>
      </c>
      <c r="OC26" s="120"/>
      <c r="OD26" s="120"/>
      <c r="OE26" s="120"/>
      <c r="OF26" s="120"/>
      <c r="OG26" s="120"/>
      <c r="OH26" s="205"/>
      <c r="OI26" s="205"/>
      <c r="OJ26" s="205">
        <f t="shared" si="180"/>
        <v>0</v>
      </c>
      <c r="OK26" s="120"/>
      <c r="OL26" s="120"/>
      <c r="OM26" s="120"/>
      <c r="ON26" s="120"/>
      <c r="OO26" s="120"/>
      <c r="OP26" s="205"/>
      <c r="OQ26" s="205"/>
      <c r="OR26" s="205">
        <f t="shared" si="181"/>
        <v>0</v>
      </c>
      <c r="OS26" s="120"/>
      <c r="OT26" s="120"/>
      <c r="OU26" s="120"/>
      <c r="OV26" s="120"/>
      <c r="OW26" s="120"/>
      <c r="OX26" s="205"/>
      <c r="OY26" s="205"/>
      <c r="OZ26" s="205">
        <f t="shared" si="182"/>
        <v>0</v>
      </c>
      <c r="PA26" s="120"/>
      <c r="PB26" s="120"/>
      <c r="PC26" s="120"/>
      <c r="PD26" s="205"/>
      <c r="PE26" s="217"/>
      <c r="PF26" s="205"/>
      <c r="PG26" s="205"/>
      <c r="PH26" s="205">
        <f t="shared" si="183"/>
        <v>0</v>
      </c>
      <c r="PI26" s="195">
        <v>500</v>
      </c>
      <c r="PJ26" s="120"/>
      <c r="PK26" s="120"/>
      <c r="PL26" s="205"/>
      <c r="PM26" s="217"/>
      <c r="PN26" s="205"/>
      <c r="PO26" s="205"/>
      <c r="PP26" s="205">
        <f t="shared" si="184"/>
        <v>500</v>
      </c>
      <c r="PQ26" s="205">
        <f t="shared" si="185"/>
        <v>500</v>
      </c>
      <c r="PR26" s="207"/>
      <c r="PS26" s="207"/>
      <c r="PT26" s="207"/>
      <c r="PU26" s="207"/>
      <c r="PV26" s="207"/>
      <c r="PW26" s="272"/>
      <c r="PX26" s="272"/>
      <c r="PY26" s="205">
        <f t="shared" si="186"/>
        <v>0</v>
      </c>
      <c r="PZ26" s="207"/>
      <c r="QA26" s="207"/>
      <c r="QB26" s="207"/>
      <c r="QC26" s="207"/>
      <c r="QD26" s="207"/>
      <c r="QE26" s="272"/>
      <c r="QF26" s="272"/>
      <c r="QG26" s="205">
        <f t="shared" si="187"/>
        <v>0</v>
      </c>
      <c r="QH26" s="207"/>
      <c r="QI26" s="207"/>
      <c r="QJ26" s="294"/>
      <c r="QK26" s="207"/>
      <c r="QL26" s="207"/>
      <c r="QM26" s="272"/>
      <c r="QN26" s="272"/>
      <c r="QO26" s="205">
        <f t="shared" si="188"/>
        <v>0</v>
      </c>
      <c r="QP26" s="207"/>
      <c r="QQ26" s="207"/>
      <c r="QR26" s="207"/>
      <c r="QS26" s="207"/>
      <c r="QT26" s="207"/>
      <c r="QU26" s="272"/>
      <c r="QV26" s="272"/>
      <c r="QW26" s="205">
        <f t="shared" si="189"/>
        <v>0</v>
      </c>
      <c r="QX26" s="205">
        <f t="shared" si="190"/>
        <v>0</v>
      </c>
      <c r="QY26" s="207"/>
      <c r="QZ26" s="207"/>
      <c r="RA26" s="207"/>
      <c r="RB26" s="207"/>
      <c r="RC26" s="207"/>
      <c r="RD26" s="272"/>
      <c r="RE26" s="272"/>
      <c r="RF26" s="205">
        <f t="shared" si="191"/>
        <v>0</v>
      </c>
      <c r="RG26" s="207"/>
      <c r="RH26" s="207"/>
      <c r="RI26" s="207"/>
      <c r="RJ26" s="207"/>
      <c r="RK26" s="207"/>
      <c r="RL26" s="272"/>
      <c r="RM26" s="272"/>
      <c r="RN26" s="205">
        <f t="shared" si="192"/>
        <v>0</v>
      </c>
      <c r="RO26" s="272"/>
      <c r="RP26" s="272"/>
      <c r="RQ26" s="272"/>
      <c r="RR26" s="272"/>
      <c r="RS26" s="272"/>
      <c r="RT26" s="272"/>
      <c r="RU26" s="272"/>
      <c r="RV26" s="205">
        <f t="shared" si="193"/>
        <v>0</v>
      </c>
      <c r="RW26" s="195">
        <v>500</v>
      </c>
      <c r="RX26" s="207"/>
      <c r="RY26" s="207"/>
      <c r="RZ26" s="207"/>
      <c r="SA26" s="272"/>
      <c r="SB26" s="272"/>
      <c r="SC26" s="272"/>
      <c r="SD26" s="205">
        <f t="shared" si="194"/>
        <v>500</v>
      </c>
      <c r="SE26" s="205">
        <f t="shared" si="195"/>
        <v>500</v>
      </c>
      <c r="SF26" s="207"/>
      <c r="SG26" s="207"/>
      <c r="SH26" s="207"/>
      <c r="SI26" s="207"/>
      <c r="SJ26" s="207"/>
      <c r="SK26" s="272"/>
      <c r="SL26" s="272"/>
      <c r="SM26" s="205">
        <f t="shared" si="196"/>
        <v>0</v>
      </c>
      <c r="SN26" s="207"/>
      <c r="SO26" s="207"/>
      <c r="SP26" s="207"/>
      <c r="SQ26" s="207"/>
      <c r="SR26" s="207"/>
      <c r="SS26" s="272"/>
      <c r="ST26" s="272"/>
      <c r="SU26" s="205">
        <f t="shared" si="197"/>
        <v>0</v>
      </c>
      <c r="SV26" s="207"/>
      <c r="SW26" s="207"/>
      <c r="SX26" s="207"/>
      <c r="SY26" s="207"/>
      <c r="SZ26" s="207"/>
      <c r="TA26" s="272"/>
      <c r="TB26" s="272"/>
      <c r="TC26" s="205">
        <f t="shared" si="198"/>
        <v>0</v>
      </c>
      <c r="TD26" s="207"/>
      <c r="TE26" s="207"/>
      <c r="TF26" s="207"/>
      <c r="TG26" s="207"/>
      <c r="TH26" s="207"/>
      <c r="TI26" s="272"/>
      <c r="TJ26" s="272"/>
      <c r="TK26" s="205">
        <f t="shared" si="199"/>
        <v>0</v>
      </c>
      <c r="TL26" s="207"/>
      <c r="TM26" s="207"/>
      <c r="TN26" s="207"/>
      <c r="TO26" s="207"/>
      <c r="TP26" s="272"/>
      <c r="TQ26" s="272"/>
      <c r="TR26" s="272"/>
      <c r="TS26" s="205">
        <f t="shared" si="200"/>
        <v>0</v>
      </c>
      <c r="TT26" s="205">
        <f t="shared" si="201"/>
        <v>0</v>
      </c>
      <c r="TU26" s="272"/>
      <c r="TV26" s="207"/>
      <c r="TW26" s="207"/>
      <c r="TX26" s="207"/>
      <c r="TY26" s="207"/>
      <c r="TZ26" s="272"/>
      <c r="UA26" s="272"/>
      <c r="UB26" s="205">
        <f t="shared" si="202"/>
        <v>0</v>
      </c>
      <c r="UC26" s="207"/>
      <c r="UD26" s="207"/>
      <c r="UE26" s="207"/>
      <c r="UF26" s="207"/>
      <c r="UG26" s="207"/>
      <c r="UH26" s="272"/>
      <c r="UI26" s="272"/>
      <c r="UJ26" s="205">
        <f t="shared" si="203"/>
        <v>0</v>
      </c>
      <c r="UK26" s="216"/>
      <c r="UL26" s="201">
        <v>500</v>
      </c>
      <c r="UM26" s="207"/>
      <c r="UN26" s="207"/>
      <c r="UO26" s="207"/>
      <c r="UP26" s="272"/>
      <c r="UQ26" s="272"/>
      <c r="UR26" s="205">
        <f t="shared" si="226"/>
        <v>500</v>
      </c>
      <c r="US26" s="207"/>
      <c r="UT26" s="207"/>
      <c r="UU26" s="207"/>
      <c r="UV26" s="207"/>
      <c r="UW26" s="272"/>
      <c r="UX26" s="272"/>
      <c r="UY26" s="272"/>
      <c r="UZ26" s="205">
        <f t="shared" si="204"/>
        <v>0</v>
      </c>
      <c r="VA26" s="205">
        <f t="shared" si="205"/>
        <v>500</v>
      </c>
      <c r="VB26" s="207"/>
      <c r="VC26" s="207"/>
      <c r="VD26" s="207"/>
      <c r="VE26" s="207"/>
      <c r="VF26" s="207"/>
      <c r="VG26" s="272"/>
      <c r="VH26" s="272"/>
      <c r="VI26" s="205">
        <f t="shared" si="206"/>
        <v>0</v>
      </c>
      <c r="VJ26" s="207"/>
      <c r="VK26" s="207"/>
      <c r="VL26" s="207"/>
      <c r="VM26" s="207"/>
      <c r="VN26" s="207"/>
      <c r="VO26" s="272"/>
      <c r="VP26" s="272"/>
      <c r="VQ26" s="205">
        <f t="shared" si="207"/>
        <v>0</v>
      </c>
      <c r="VR26" s="207"/>
      <c r="VS26" s="207"/>
      <c r="VT26" s="207"/>
      <c r="VU26" s="207"/>
      <c r="VV26" s="207"/>
      <c r="VW26" s="272"/>
      <c r="VX26" s="272"/>
      <c r="VY26" s="205">
        <f t="shared" si="208"/>
        <v>0</v>
      </c>
      <c r="VZ26" s="207"/>
      <c r="WA26" s="207"/>
      <c r="WB26" s="207"/>
      <c r="WC26" s="207"/>
      <c r="WD26" s="207"/>
      <c r="WE26" s="272"/>
      <c r="WF26" s="272"/>
      <c r="WG26" s="205">
        <f t="shared" si="209"/>
        <v>0</v>
      </c>
      <c r="WH26" s="205">
        <f t="shared" si="210"/>
        <v>0</v>
      </c>
      <c r="WI26" s="207"/>
      <c r="WJ26" s="207"/>
      <c r="WK26" s="207"/>
      <c r="WL26" s="207"/>
      <c r="WM26" s="207"/>
      <c r="WN26" s="272"/>
      <c r="WO26" s="272"/>
      <c r="WP26" s="205">
        <f t="shared" si="211"/>
        <v>0</v>
      </c>
      <c r="WQ26" s="207"/>
      <c r="WR26" s="207"/>
      <c r="WS26" s="207"/>
      <c r="WT26" s="207"/>
      <c r="WU26" s="207"/>
      <c r="WV26" s="272"/>
      <c r="WW26" s="272"/>
      <c r="WX26" s="205">
        <f t="shared" si="212"/>
        <v>0</v>
      </c>
      <c r="WY26" s="207"/>
      <c r="WZ26" s="207"/>
      <c r="XA26" s="207"/>
      <c r="XB26" s="207"/>
      <c r="XC26" s="272"/>
      <c r="XD26" s="272"/>
      <c r="XE26" s="272"/>
      <c r="XF26" s="205">
        <f t="shared" si="213"/>
        <v>0</v>
      </c>
      <c r="XG26" s="207"/>
      <c r="XH26" s="207"/>
      <c r="XI26" s="207"/>
      <c r="XJ26" s="207"/>
      <c r="XK26" s="207"/>
      <c r="XL26" s="272"/>
      <c r="XM26" s="272"/>
      <c r="XN26" s="205">
        <f t="shared" si="214"/>
        <v>0</v>
      </c>
      <c r="XO26" s="207"/>
      <c r="XP26" s="207"/>
      <c r="XQ26" s="207"/>
      <c r="XR26" s="207"/>
      <c r="XS26" s="207"/>
      <c r="XT26" s="272"/>
      <c r="XU26" s="272"/>
      <c r="XV26" s="205">
        <f t="shared" si="215"/>
        <v>0</v>
      </c>
      <c r="XW26" s="205">
        <f t="shared" si="216"/>
        <v>0</v>
      </c>
      <c r="XX26" s="207"/>
      <c r="XY26" s="207"/>
      <c r="XZ26" s="207"/>
      <c r="YA26" s="207"/>
      <c r="YB26" s="207"/>
      <c r="YC26" s="272"/>
      <c r="YD26" s="272"/>
      <c r="YE26" s="205">
        <f t="shared" si="217"/>
        <v>0</v>
      </c>
      <c r="YF26" s="207"/>
      <c r="YG26" s="207"/>
      <c r="YH26" s="207"/>
      <c r="YI26" s="207"/>
      <c r="YJ26" s="207"/>
      <c r="YK26" s="272"/>
      <c r="YL26" s="272"/>
      <c r="YM26" s="205">
        <f t="shared" si="218"/>
        <v>0</v>
      </c>
      <c r="YN26" s="207"/>
      <c r="YO26" s="207"/>
      <c r="YP26" s="207"/>
      <c r="YQ26" s="207"/>
      <c r="YR26" s="207"/>
      <c r="YS26" s="272"/>
      <c r="YT26" s="272"/>
      <c r="YU26" s="205">
        <f t="shared" si="148"/>
        <v>0</v>
      </c>
      <c r="YV26" s="207"/>
      <c r="YW26" s="207"/>
      <c r="YX26" s="207"/>
      <c r="YY26" s="207"/>
      <c r="YZ26" s="207"/>
      <c r="ZA26" s="272"/>
      <c r="ZB26" s="272"/>
      <c r="ZC26" s="205">
        <f t="shared" si="219"/>
        <v>0</v>
      </c>
      <c r="ZD26" s="205">
        <f t="shared" si="149"/>
        <v>0</v>
      </c>
      <c r="ZE26" s="207"/>
      <c r="ZF26" s="207"/>
      <c r="ZG26" s="207"/>
      <c r="ZH26" s="207"/>
      <c r="ZI26" s="207"/>
      <c r="ZJ26" s="272"/>
      <c r="ZK26" s="272"/>
      <c r="ZL26" s="205">
        <f t="shared" si="220"/>
        <v>0</v>
      </c>
      <c r="ZM26" s="207"/>
      <c r="ZN26" s="207"/>
      <c r="ZO26" s="207"/>
      <c r="ZP26" s="207"/>
      <c r="ZQ26" s="207"/>
      <c r="ZR26" s="272"/>
      <c r="ZS26" s="272"/>
      <c r="ZT26" s="205">
        <f t="shared" si="221"/>
        <v>0</v>
      </c>
      <c r="ZU26" s="207"/>
      <c r="ZV26" s="207"/>
      <c r="ZW26" s="207"/>
      <c r="ZX26" s="207"/>
      <c r="ZY26" s="207"/>
      <c r="ZZ26" s="272"/>
      <c r="AAA26" s="272"/>
      <c r="AAB26" s="205">
        <f t="shared" si="222"/>
        <v>0</v>
      </c>
      <c r="AAC26" s="207"/>
      <c r="AAD26" s="207"/>
      <c r="AAE26" s="207"/>
      <c r="AAF26" s="207"/>
      <c r="AAG26" s="207"/>
      <c r="AAH26" s="272"/>
      <c r="AAI26" s="272"/>
      <c r="AAJ26" s="205">
        <f t="shared" si="223"/>
        <v>0</v>
      </c>
      <c r="AAK26" s="207"/>
      <c r="AAL26" s="207"/>
      <c r="AAM26" s="207"/>
      <c r="AAN26" s="207"/>
      <c r="AAO26" s="207"/>
      <c r="AAP26" s="272"/>
      <c r="AAQ26" s="272"/>
      <c r="AAR26" s="205">
        <f t="shared" si="224"/>
        <v>0</v>
      </c>
      <c r="AAS26" s="205">
        <f t="shared" si="225"/>
        <v>0</v>
      </c>
    </row>
    <row r="27" spans="1:721" s="126" customFormat="1" ht="69.95" customHeight="1">
      <c r="A27" s="119" t="s">
        <v>548</v>
      </c>
      <c r="B27" s="157">
        <v>3620101415</v>
      </c>
      <c r="C27" s="324"/>
      <c r="D27" s="158" t="s">
        <v>217</v>
      </c>
      <c r="E27" s="130" t="s">
        <v>4</v>
      </c>
      <c r="F27" s="120"/>
      <c r="G27" s="120"/>
      <c r="H27" s="120"/>
      <c r="I27" s="120"/>
      <c r="J27" s="120"/>
      <c r="K27" s="209"/>
      <c r="L27" s="205"/>
      <c r="M27" s="205">
        <f t="shared" si="121"/>
        <v>0</v>
      </c>
      <c r="N27" s="120"/>
      <c r="O27" s="120"/>
      <c r="P27" s="120"/>
      <c r="Q27" s="120"/>
      <c r="R27" s="120"/>
      <c r="S27" s="209"/>
      <c r="T27" s="205"/>
      <c r="U27" s="205">
        <f t="shared" si="122"/>
        <v>0</v>
      </c>
      <c r="V27" s="120"/>
      <c r="W27" s="120"/>
      <c r="X27" s="120"/>
      <c r="Y27" s="120"/>
      <c r="Z27" s="120"/>
      <c r="AA27" s="209"/>
      <c r="AB27" s="205"/>
      <c r="AC27" s="205">
        <f t="shared" si="123"/>
        <v>0</v>
      </c>
      <c r="AD27" s="205"/>
      <c r="AE27" s="205"/>
      <c r="AF27" s="205"/>
      <c r="AG27" s="205"/>
      <c r="AH27" s="205"/>
      <c r="AI27" s="209"/>
      <c r="AJ27" s="205"/>
      <c r="AK27" s="205">
        <f t="shared" si="124"/>
        <v>0</v>
      </c>
      <c r="AL27" s="205" t="e">
        <f>SUM(#REF!,M27,U27,AC27,AD27:AH27)</f>
        <v>#REF!</v>
      </c>
      <c r="AM27" s="120"/>
      <c r="AN27" s="120"/>
      <c r="AO27" s="120"/>
      <c r="AP27" s="120"/>
      <c r="AQ27" s="120"/>
      <c r="AR27" s="209"/>
      <c r="AS27" s="205"/>
      <c r="AT27" s="205">
        <f t="shared" si="125"/>
        <v>0</v>
      </c>
      <c r="AU27" s="120"/>
      <c r="AV27" s="120"/>
      <c r="AW27" s="120"/>
      <c r="AX27" s="120"/>
      <c r="AY27" s="120"/>
      <c r="AZ27" s="209"/>
      <c r="BA27" s="205"/>
      <c r="BB27" s="205">
        <f t="shared" si="126"/>
        <v>0</v>
      </c>
      <c r="BC27" s="120"/>
      <c r="BD27" s="120"/>
      <c r="BE27" s="120"/>
      <c r="BF27" s="120"/>
      <c r="BG27" s="120"/>
      <c r="BH27" s="209"/>
      <c r="BI27" s="205"/>
      <c r="BJ27" s="205">
        <f t="shared" si="127"/>
        <v>0</v>
      </c>
      <c r="BK27" s="120"/>
      <c r="BL27" s="120"/>
      <c r="BM27" s="120"/>
      <c r="BN27" s="120"/>
      <c r="BO27" s="205"/>
      <c r="BP27" s="209"/>
      <c r="BQ27" s="205"/>
      <c r="BR27" s="205">
        <f t="shared" si="128"/>
        <v>0</v>
      </c>
      <c r="BS27" s="205">
        <f t="shared" si="129"/>
        <v>0</v>
      </c>
      <c r="BT27" s="120"/>
      <c r="BU27" s="250">
        <v>1260</v>
      </c>
      <c r="BV27" s="120"/>
      <c r="BW27" s="120"/>
      <c r="BX27" s="120"/>
      <c r="BY27" s="209"/>
      <c r="BZ27" s="205"/>
      <c r="CA27" s="205">
        <f t="shared" si="130"/>
        <v>1260</v>
      </c>
      <c r="CB27" s="120"/>
      <c r="CC27" s="120"/>
      <c r="CD27" s="120"/>
      <c r="CE27" s="120"/>
      <c r="CF27" s="120"/>
      <c r="CG27" s="209"/>
      <c r="CH27" s="205"/>
      <c r="CI27" s="205">
        <f t="shared" si="131"/>
        <v>0</v>
      </c>
      <c r="CJ27" s="120"/>
      <c r="CK27" s="120"/>
      <c r="CL27" s="120"/>
      <c r="CM27" s="120"/>
      <c r="CN27" s="120"/>
      <c r="CO27" s="209"/>
      <c r="CP27" s="205"/>
      <c r="CQ27" s="205">
        <f t="shared" si="132"/>
        <v>0</v>
      </c>
      <c r="CR27" s="120"/>
      <c r="CS27" s="120"/>
      <c r="CT27" s="120"/>
      <c r="CU27" s="120"/>
      <c r="CV27" s="120"/>
      <c r="CW27" s="209"/>
      <c r="CX27" s="205"/>
      <c r="CY27" s="205">
        <f t="shared" si="133"/>
        <v>0</v>
      </c>
      <c r="CZ27" s="120"/>
      <c r="DA27" s="120"/>
      <c r="DB27" s="120"/>
      <c r="DC27" s="205"/>
      <c r="DD27" s="205"/>
      <c r="DE27" s="209"/>
      <c r="DF27" s="205"/>
      <c r="DG27" s="205">
        <f t="shared" si="134"/>
        <v>0</v>
      </c>
      <c r="DH27" s="205">
        <f t="shared" si="150"/>
        <v>1260</v>
      </c>
      <c r="DI27" s="120"/>
      <c r="DJ27" s="120"/>
      <c r="DK27" s="120"/>
      <c r="DL27" s="120"/>
      <c r="DM27" s="120"/>
      <c r="DN27" s="209"/>
      <c r="DO27" s="205"/>
      <c r="DP27" s="205">
        <f t="shared" si="135"/>
        <v>0</v>
      </c>
      <c r="DQ27" s="120"/>
      <c r="DR27" s="120"/>
      <c r="DS27" s="120"/>
      <c r="DT27" s="120"/>
      <c r="DU27" s="120"/>
      <c r="DV27" s="209"/>
      <c r="DW27" s="205"/>
      <c r="DX27" s="205">
        <f t="shared" si="136"/>
        <v>0</v>
      </c>
      <c r="DY27" s="120"/>
      <c r="DZ27" s="120"/>
      <c r="EA27" s="120"/>
      <c r="EB27" s="120"/>
      <c r="EC27" s="120"/>
      <c r="ED27" s="209"/>
      <c r="EE27" s="205"/>
      <c r="EF27" s="205">
        <f t="shared" si="137"/>
        <v>0</v>
      </c>
      <c r="EG27" s="120"/>
      <c r="EH27" s="120"/>
      <c r="EI27" s="120"/>
      <c r="EJ27" s="205"/>
      <c r="EK27" s="205"/>
      <c r="EL27" s="209"/>
      <c r="EM27" s="205"/>
      <c r="EN27" s="205">
        <f t="shared" si="138"/>
        <v>0</v>
      </c>
      <c r="EO27" s="205">
        <f t="shared" si="151"/>
        <v>0</v>
      </c>
      <c r="EP27" s="120"/>
      <c r="EQ27" s="120"/>
      <c r="ER27" s="250">
        <v>1260</v>
      </c>
      <c r="ES27" s="120"/>
      <c r="ET27" s="120"/>
      <c r="EU27" s="209"/>
      <c r="EV27" s="205"/>
      <c r="EW27" s="205">
        <f t="shared" si="139"/>
        <v>1260</v>
      </c>
      <c r="EX27" s="120"/>
      <c r="EY27" s="120"/>
      <c r="EZ27" s="120"/>
      <c r="FA27" s="120"/>
      <c r="FB27" s="120"/>
      <c r="FC27" s="209"/>
      <c r="FD27" s="205"/>
      <c r="FE27" s="205">
        <f t="shared" si="140"/>
        <v>0</v>
      </c>
      <c r="FF27" s="120"/>
      <c r="FG27" s="120"/>
      <c r="FH27" s="120"/>
      <c r="FI27" s="120"/>
      <c r="FJ27" s="120"/>
      <c r="FK27" s="209"/>
      <c r="FL27" s="205"/>
      <c r="FM27" s="205">
        <f t="shared" si="141"/>
        <v>0</v>
      </c>
      <c r="FN27" s="120"/>
      <c r="FO27" s="120"/>
      <c r="FP27" s="120"/>
      <c r="FQ27" s="120"/>
      <c r="FR27" s="205"/>
      <c r="FS27" s="209"/>
      <c r="FT27" s="205"/>
      <c r="FU27" s="205">
        <f>SUM(FO27:FT27)</f>
        <v>0</v>
      </c>
      <c r="FV27" s="205">
        <f t="shared" si="152"/>
        <v>1260</v>
      </c>
      <c r="FW27" s="120"/>
      <c r="FX27" s="120"/>
      <c r="FY27" s="120"/>
      <c r="FZ27" s="120"/>
      <c r="GA27" s="120"/>
      <c r="GB27" s="209"/>
      <c r="GC27" s="205"/>
      <c r="GD27" s="205">
        <f t="shared" si="143"/>
        <v>0</v>
      </c>
      <c r="GE27" s="120"/>
      <c r="GF27" s="120"/>
      <c r="GG27" s="120"/>
      <c r="GH27" s="120"/>
      <c r="GI27" s="120"/>
      <c r="GJ27" s="209"/>
      <c r="GK27" s="205"/>
      <c r="GL27" s="205">
        <f t="shared" si="144"/>
        <v>0</v>
      </c>
      <c r="GM27" s="120"/>
      <c r="GN27" s="120"/>
      <c r="GO27" s="120"/>
      <c r="GP27" s="120"/>
      <c r="GQ27" s="120"/>
      <c r="GR27" s="209"/>
      <c r="GS27" s="205"/>
      <c r="GT27" s="205">
        <f t="shared" si="145"/>
        <v>0</v>
      </c>
      <c r="GU27" s="120"/>
      <c r="GV27" s="120"/>
      <c r="GW27" s="120"/>
      <c r="GX27" s="120"/>
      <c r="GY27" s="120"/>
      <c r="GZ27" s="209"/>
      <c r="HA27" s="205"/>
      <c r="HB27" s="205">
        <f t="shared" si="146"/>
        <v>0</v>
      </c>
      <c r="HC27" s="120" t="s">
        <v>758</v>
      </c>
      <c r="HD27" s="120"/>
      <c r="HE27" s="120"/>
      <c r="HF27" s="120"/>
      <c r="HG27" s="120"/>
      <c r="HH27" s="209"/>
      <c r="HI27" s="205"/>
      <c r="HJ27" s="205">
        <f t="shared" si="147"/>
        <v>0</v>
      </c>
      <c r="HK27" s="205">
        <f t="shared" si="153"/>
        <v>0</v>
      </c>
      <c r="HL27" s="124"/>
      <c r="HM27" s="120"/>
      <c r="HN27" s="120"/>
      <c r="HO27" s="120"/>
      <c r="HP27" s="120"/>
      <c r="HQ27" s="205"/>
      <c r="HR27" s="205"/>
      <c r="HS27" s="205">
        <f t="shared" si="154"/>
        <v>0</v>
      </c>
      <c r="HT27" s="120"/>
      <c r="HU27" s="120"/>
      <c r="HV27" s="120"/>
      <c r="HW27" s="120"/>
      <c r="HX27" s="120"/>
      <c r="HY27" s="205"/>
      <c r="HZ27" s="205"/>
      <c r="IA27" s="205">
        <f t="shared" si="155"/>
        <v>0</v>
      </c>
      <c r="IB27" s="120"/>
      <c r="IC27" s="120"/>
      <c r="ID27" s="120"/>
      <c r="IE27" s="120"/>
      <c r="IF27" s="120"/>
      <c r="IG27" s="205"/>
      <c r="IH27" s="205"/>
      <c r="II27" s="205">
        <f t="shared" si="156"/>
        <v>0</v>
      </c>
      <c r="IJ27" s="120"/>
      <c r="IK27" s="120"/>
      <c r="IL27" s="120"/>
      <c r="IM27" s="120"/>
      <c r="IN27" s="120"/>
      <c r="IO27" s="205"/>
      <c r="IP27" s="205"/>
      <c r="IQ27" s="205">
        <f t="shared" si="157"/>
        <v>0</v>
      </c>
      <c r="IR27" s="205">
        <f t="shared" si="158"/>
        <v>0</v>
      </c>
      <c r="IS27" s="217">
        <v>1440</v>
      </c>
      <c r="IT27" s="120"/>
      <c r="IU27" s="120"/>
      <c r="IV27" s="120"/>
      <c r="IW27" s="120"/>
      <c r="IX27" s="205"/>
      <c r="IY27" s="205"/>
      <c r="IZ27" s="205">
        <f t="shared" si="159"/>
        <v>1440</v>
      </c>
      <c r="JA27" s="120"/>
      <c r="JB27" s="120"/>
      <c r="JC27" s="120"/>
      <c r="JD27" s="120"/>
      <c r="JE27" s="120"/>
      <c r="JF27" s="205"/>
      <c r="JG27" s="205"/>
      <c r="JH27" s="205">
        <f t="shared" si="160"/>
        <v>0</v>
      </c>
      <c r="JI27" s="120"/>
      <c r="JJ27" s="120"/>
      <c r="JK27" s="120"/>
      <c r="JL27" s="120"/>
      <c r="JM27" s="120"/>
      <c r="JN27" s="205"/>
      <c r="JO27" s="205"/>
      <c r="JP27" s="205">
        <f t="shared" si="161"/>
        <v>0</v>
      </c>
      <c r="JQ27" s="120"/>
      <c r="JR27" s="120"/>
      <c r="JS27" s="120"/>
      <c r="JT27" s="120"/>
      <c r="JU27" s="120"/>
      <c r="JV27" s="205"/>
      <c r="JW27" s="205"/>
      <c r="JX27" s="205">
        <f t="shared" si="162"/>
        <v>0</v>
      </c>
      <c r="JY27" s="205">
        <f t="shared" si="163"/>
        <v>1440</v>
      </c>
      <c r="JZ27" s="120"/>
      <c r="KA27" s="120"/>
      <c r="KB27" s="120"/>
      <c r="KC27" s="120"/>
      <c r="KD27" s="120"/>
      <c r="KE27" s="205"/>
      <c r="KF27" s="205"/>
      <c r="KG27" s="205">
        <f t="shared" si="164"/>
        <v>0</v>
      </c>
      <c r="KH27" s="120"/>
      <c r="KI27" s="120"/>
      <c r="KJ27" s="120"/>
      <c r="KK27" s="120"/>
      <c r="KL27" s="120"/>
      <c r="KM27" s="205"/>
      <c r="KN27" s="205"/>
      <c r="KO27" s="205">
        <f t="shared" si="165"/>
        <v>0</v>
      </c>
      <c r="KP27" s="120"/>
      <c r="KQ27" s="120"/>
      <c r="KR27" s="120"/>
      <c r="KS27" s="120"/>
      <c r="KT27" s="120"/>
      <c r="KU27" s="205"/>
      <c r="KV27" s="205"/>
      <c r="KW27" s="205">
        <f t="shared" si="166"/>
        <v>0</v>
      </c>
      <c r="KX27" s="120"/>
      <c r="KY27" s="120"/>
      <c r="KZ27" s="120"/>
      <c r="LA27" s="120"/>
      <c r="LB27" s="120"/>
      <c r="LC27" s="205"/>
      <c r="LD27" s="205"/>
      <c r="LE27" s="205">
        <f t="shared" si="167"/>
        <v>0</v>
      </c>
      <c r="LF27" s="205"/>
      <c r="LG27" s="120"/>
      <c r="LH27" s="120"/>
      <c r="LI27" s="120"/>
      <c r="LJ27" s="120"/>
      <c r="LK27" s="205"/>
      <c r="LL27" s="205"/>
      <c r="LM27" s="205">
        <f t="shared" si="168"/>
        <v>0</v>
      </c>
      <c r="LN27" s="205">
        <f t="shared" si="169"/>
        <v>0</v>
      </c>
      <c r="LO27" s="205"/>
      <c r="LP27" s="120"/>
      <c r="LQ27" s="120"/>
      <c r="LR27" s="120"/>
      <c r="LS27" s="205"/>
      <c r="LT27" s="205"/>
      <c r="LU27" s="205"/>
      <c r="LV27" s="205">
        <f t="shared" si="170"/>
        <v>0</v>
      </c>
      <c r="LW27" s="120"/>
      <c r="LX27" s="120"/>
      <c r="LY27" s="120"/>
      <c r="LZ27" s="120"/>
      <c r="MA27" s="120"/>
      <c r="MB27" s="205"/>
      <c r="MC27" s="205"/>
      <c r="MD27" s="205">
        <f t="shared" si="171"/>
        <v>0</v>
      </c>
      <c r="ME27" s="120"/>
      <c r="MF27" s="120"/>
      <c r="MG27" s="120"/>
      <c r="MH27" s="120"/>
      <c r="MI27" s="205"/>
      <c r="MJ27" s="205"/>
      <c r="MK27" s="205"/>
      <c r="ML27" s="205">
        <f t="shared" si="172"/>
        <v>0</v>
      </c>
      <c r="MM27" s="124">
        <v>1450</v>
      </c>
      <c r="MN27" s="120"/>
      <c r="MO27" s="120"/>
      <c r="MP27" s="120"/>
      <c r="MQ27" s="120"/>
      <c r="MR27" s="205"/>
      <c r="MS27" s="205"/>
      <c r="MT27" s="205">
        <f t="shared" si="173"/>
        <v>1450</v>
      </c>
      <c r="MU27" s="205">
        <f t="shared" si="174"/>
        <v>1450</v>
      </c>
      <c r="MV27" s="120"/>
      <c r="MW27" s="120"/>
      <c r="MX27" s="120"/>
      <c r="MY27" s="120"/>
      <c r="MZ27" s="120"/>
      <c r="NA27" s="205"/>
      <c r="NB27" s="205"/>
      <c r="NC27" s="205">
        <f t="shared" si="175"/>
        <v>0</v>
      </c>
      <c r="ND27" s="120"/>
      <c r="NE27" s="120"/>
      <c r="NF27" s="120"/>
      <c r="NG27" s="120"/>
      <c r="NH27" s="120"/>
      <c r="NI27" s="205"/>
      <c r="NJ27" s="205"/>
      <c r="NK27" s="205">
        <f t="shared" si="176"/>
        <v>0</v>
      </c>
      <c r="NL27" s="120"/>
      <c r="NM27" s="120"/>
      <c r="NN27" s="120"/>
      <c r="NO27" s="120"/>
      <c r="NP27" s="120"/>
      <c r="NQ27" s="205"/>
      <c r="NR27" s="205"/>
      <c r="NS27" s="205">
        <f t="shared" si="177"/>
        <v>0</v>
      </c>
      <c r="NT27" s="120"/>
      <c r="NU27" s="120"/>
      <c r="NV27" s="120"/>
      <c r="NW27" s="120"/>
      <c r="NX27" s="120"/>
      <c r="NY27" s="205"/>
      <c r="NZ27" s="205"/>
      <c r="OA27" s="205">
        <f t="shared" si="178"/>
        <v>0</v>
      </c>
      <c r="OB27" s="205">
        <f t="shared" si="179"/>
        <v>0</v>
      </c>
      <c r="OC27" s="120"/>
      <c r="OD27" s="120"/>
      <c r="OE27" s="120"/>
      <c r="OF27" s="120"/>
      <c r="OG27" s="120"/>
      <c r="OH27" s="205"/>
      <c r="OI27" s="205"/>
      <c r="OJ27" s="205">
        <f t="shared" si="180"/>
        <v>0</v>
      </c>
      <c r="OK27" s="120"/>
      <c r="OL27" s="120"/>
      <c r="OM27" s="120"/>
      <c r="ON27" s="120"/>
      <c r="OO27" s="120"/>
      <c r="OP27" s="205"/>
      <c r="OQ27" s="205"/>
      <c r="OR27" s="205">
        <f t="shared" si="181"/>
        <v>0</v>
      </c>
      <c r="OS27" s="120"/>
      <c r="OT27" s="120"/>
      <c r="OU27" s="120"/>
      <c r="OV27" s="120"/>
      <c r="OW27" s="120"/>
      <c r="OX27" s="205"/>
      <c r="OY27" s="205"/>
      <c r="OZ27" s="205">
        <f t="shared" si="182"/>
        <v>0</v>
      </c>
      <c r="PA27" s="120"/>
      <c r="PB27" s="120"/>
      <c r="PC27" s="120"/>
      <c r="PD27" s="205"/>
      <c r="PE27" s="217"/>
      <c r="PF27" s="205"/>
      <c r="PG27" s="205"/>
      <c r="PH27" s="205">
        <f t="shared" si="183"/>
        <v>0</v>
      </c>
      <c r="PI27" s="195">
        <v>720</v>
      </c>
      <c r="PJ27" s="120"/>
      <c r="PK27" s="120"/>
      <c r="PL27" s="205"/>
      <c r="PM27" s="217"/>
      <c r="PN27" s="205"/>
      <c r="PO27" s="205"/>
      <c r="PP27" s="205">
        <f t="shared" si="184"/>
        <v>720</v>
      </c>
      <c r="PQ27" s="205">
        <f t="shared" si="185"/>
        <v>720</v>
      </c>
      <c r="PR27" s="207"/>
      <c r="PS27" s="207"/>
      <c r="PT27" s="207"/>
      <c r="PU27" s="207"/>
      <c r="PV27" s="207"/>
      <c r="PW27" s="272"/>
      <c r="PX27" s="272"/>
      <c r="PY27" s="205">
        <f t="shared" si="186"/>
        <v>0</v>
      </c>
      <c r="PZ27" s="207"/>
      <c r="QA27" s="207"/>
      <c r="QB27" s="207"/>
      <c r="QC27" s="207"/>
      <c r="QD27" s="207"/>
      <c r="QE27" s="272"/>
      <c r="QF27" s="272"/>
      <c r="QG27" s="205">
        <f t="shared" si="187"/>
        <v>0</v>
      </c>
      <c r="QH27" s="207"/>
      <c r="QI27" s="207"/>
      <c r="QJ27" s="294"/>
      <c r="QK27" s="207"/>
      <c r="QL27" s="207"/>
      <c r="QM27" s="272"/>
      <c r="QN27" s="272"/>
      <c r="QO27" s="205">
        <f t="shared" si="188"/>
        <v>0</v>
      </c>
      <c r="QP27" s="207"/>
      <c r="QQ27" s="207"/>
      <c r="QR27" s="207"/>
      <c r="QS27" s="207"/>
      <c r="QT27" s="207"/>
      <c r="QU27" s="272"/>
      <c r="QV27" s="272"/>
      <c r="QW27" s="205">
        <f t="shared" si="189"/>
        <v>0</v>
      </c>
      <c r="QX27" s="205">
        <f t="shared" si="190"/>
        <v>0</v>
      </c>
      <c r="QY27" s="207"/>
      <c r="QZ27" s="207"/>
      <c r="RA27" s="207"/>
      <c r="RB27" s="207"/>
      <c r="RC27" s="207"/>
      <c r="RD27" s="272"/>
      <c r="RE27" s="272"/>
      <c r="RF27" s="205">
        <f t="shared" si="191"/>
        <v>0</v>
      </c>
      <c r="RG27" s="207"/>
      <c r="RH27" s="207"/>
      <c r="RI27" s="207"/>
      <c r="RJ27" s="207"/>
      <c r="RK27" s="207"/>
      <c r="RL27" s="272"/>
      <c r="RM27" s="272"/>
      <c r="RN27" s="205">
        <f t="shared" si="192"/>
        <v>0</v>
      </c>
      <c r="RO27" s="272"/>
      <c r="RP27" s="272"/>
      <c r="RQ27" s="272"/>
      <c r="RR27" s="272"/>
      <c r="RS27" s="272"/>
      <c r="RT27" s="272"/>
      <c r="RU27" s="272"/>
      <c r="RV27" s="205">
        <f t="shared" si="193"/>
        <v>0</v>
      </c>
      <c r="RW27" s="207"/>
      <c r="RX27" s="207"/>
      <c r="RY27" s="207"/>
      <c r="RZ27" s="207"/>
      <c r="SA27" s="272"/>
      <c r="SB27" s="272"/>
      <c r="SC27" s="272"/>
      <c r="SD27" s="205">
        <f t="shared" si="194"/>
        <v>0</v>
      </c>
      <c r="SE27" s="205">
        <f t="shared" si="195"/>
        <v>0</v>
      </c>
      <c r="SF27" s="207"/>
      <c r="SG27" s="207"/>
      <c r="SH27" s="207"/>
      <c r="SI27" s="207"/>
      <c r="SJ27" s="207"/>
      <c r="SK27" s="272"/>
      <c r="SL27" s="272"/>
      <c r="SM27" s="205">
        <f t="shared" si="196"/>
        <v>0</v>
      </c>
      <c r="SN27" s="207"/>
      <c r="SO27" s="207"/>
      <c r="SP27" s="207"/>
      <c r="SQ27" s="207"/>
      <c r="SR27" s="207"/>
      <c r="SS27" s="272"/>
      <c r="ST27" s="272"/>
      <c r="SU27" s="205">
        <f t="shared" si="197"/>
        <v>0</v>
      </c>
      <c r="SV27" s="207"/>
      <c r="SW27" s="207"/>
      <c r="SX27" s="207"/>
      <c r="SY27" s="207"/>
      <c r="SZ27" s="207"/>
      <c r="TA27" s="272"/>
      <c r="TB27" s="272"/>
      <c r="TC27" s="205">
        <f t="shared" si="198"/>
        <v>0</v>
      </c>
      <c r="TD27" s="207"/>
      <c r="TE27" s="207"/>
      <c r="TF27" s="207"/>
      <c r="TG27" s="207"/>
      <c r="TH27" s="207"/>
      <c r="TI27" s="272"/>
      <c r="TJ27" s="272"/>
      <c r="TK27" s="205">
        <f t="shared" si="199"/>
        <v>0</v>
      </c>
      <c r="TL27" s="207"/>
      <c r="TM27" s="201">
        <v>1100</v>
      </c>
      <c r="TN27" s="207"/>
      <c r="TO27" s="207"/>
      <c r="TP27" s="272"/>
      <c r="TQ27" s="272"/>
      <c r="TR27" s="272"/>
      <c r="TS27" s="205">
        <f t="shared" si="200"/>
        <v>1100</v>
      </c>
      <c r="TT27" s="205">
        <f t="shared" si="201"/>
        <v>1100</v>
      </c>
      <c r="TU27" s="272"/>
      <c r="TV27" s="207"/>
      <c r="TW27" s="207"/>
      <c r="TX27" s="207"/>
      <c r="TY27" s="207"/>
      <c r="TZ27" s="272"/>
      <c r="UA27" s="272"/>
      <c r="UB27" s="205">
        <f t="shared" si="202"/>
        <v>0</v>
      </c>
      <c r="UC27" s="207"/>
      <c r="UD27" s="207"/>
      <c r="UE27" s="207"/>
      <c r="UF27" s="207"/>
      <c r="UG27" s="207"/>
      <c r="UH27" s="272"/>
      <c r="UI27" s="272"/>
      <c r="UJ27" s="205">
        <f t="shared" si="203"/>
        <v>0</v>
      </c>
      <c r="UK27" s="207"/>
      <c r="UL27" s="207"/>
      <c r="UM27" s="207"/>
      <c r="UN27" s="207"/>
      <c r="UO27" s="207"/>
      <c r="UP27" s="272"/>
      <c r="UQ27" s="272"/>
      <c r="UR27" s="205">
        <f t="shared" ref="UR27:UR67" si="227">SUM(UK27:UQ27)</f>
        <v>0</v>
      </c>
      <c r="US27" s="207"/>
      <c r="UT27" s="207"/>
      <c r="UU27" s="207"/>
      <c r="UV27" s="207"/>
      <c r="UW27" s="272"/>
      <c r="UX27" s="272"/>
      <c r="UY27" s="272"/>
      <c r="UZ27" s="205">
        <f t="shared" si="204"/>
        <v>0</v>
      </c>
      <c r="VA27" s="205">
        <f t="shared" si="205"/>
        <v>0</v>
      </c>
      <c r="VB27" s="207"/>
      <c r="VC27" s="207"/>
      <c r="VD27" s="207"/>
      <c r="VE27" s="207"/>
      <c r="VF27" s="207"/>
      <c r="VG27" s="272"/>
      <c r="VH27" s="272"/>
      <c r="VI27" s="205">
        <f t="shared" si="206"/>
        <v>0</v>
      </c>
      <c r="VJ27" s="207"/>
      <c r="VK27" s="207"/>
      <c r="VL27" s="207"/>
      <c r="VM27" s="207"/>
      <c r="VN27" s="207"/>
      <c r="VO27" s="272"/>
      <c r="VP27" s="272"/>
      <c r="VQ27" s="205">
        <f t="shared" si="207"/>
        <v>0</v>
      </c>
      <c r="VR27" s="207"/>
      <c r="VS27" s="207"/>
      <c r="VT27" s="207"/>
      <c r="VU27" s="207"/>
      <c r="VV27" s="207"/>
      <c r="VW27" s="272"/>
      <c r="VX27" s="272"/>
      <c r="VY27" s="205">
        <f t="shared" si="208"/>
        <v>0</v>
      </c>
      <c r="VZ27" s="207"/>
      <c r="WA27" s="195">
        <v>900</v>
      </c>
      <c r="WB27" s="207"/>
      <c r="WC27" s="207"/>
      <c r="WD27" s="207"/>
      <c r="WE27" s="272"/>
      <c r="WF27" s="272"/>
      <c r="WG27" s="205">
        <f t="shared" si="209"/>
        <v>900</v>
      </c>
      <c r="WH27" s="205">
        <f t="shared" si="210"/>
        <v>900</v>
      </c>
      <c r="WI27" s="207"/>
      <c r="WJ27" s="207"/>
      <c r="WK27" s="207"/>
      <c r="WL27" s="207"/>
      <c r="WM27" s="207"/>
      <c r="WN27" s="272"/>
      <c r="WO27" s="272"/>
      <c r="WP27" s="205">
        <f t="shared" si="211"/>
        <v>0</v>
      </c>
      <c r="WQ27" s="207"/>
      <c r="WR27" s="207"/>
      <c r="WS27" s="207"/>
      <c r="WT27" s="207"/>
      <c r="WU27" s="207"/>
      <c r="WV27" s="272"/>
      <c r="WW27" s="272"/>
      <c r="WX27" s="205">
        <f t="shared" si="212"/>
        <v>0</v>
      </c>
      <c r="WY27" s="207"/>
      <c r="WZ27" s="207"/>
      <c r="XA27" s="207"/>
      <c r="XB27" s="207"/>
      <c r="XC27" s="272"/>
      <c r="XD27" s="272"/>
      <c r="XE27" s="272"/>
      <c r="XF27" s="205">
        <f t="shared" si="213"/>
        <v>0</v>
      </c>
      <c r="XG27" s="207"/>
      <c r="XH27" s="207"/>
      <c r="XI27" s="207"/>
      <c r="XJ27" s="207"/>
      <c r="XK27" s="207"/>
      <c r="XL27" s="272"/>
      <c r="XM27" s="272"/>
      <c r="XN27" s="205">
        <f t="shared" si="214"/>
        <v>0</v>
      </c>
      <c r="XO27" s="207"/>
      <c r="XP27" s="207"/>
      <c r="XQ27" s="207"/>
      <c r="XR27" s="207"/>
      <c r="XS27" s="207"/>
      <c r="XT27" s="272"/>
      <c r="XU27" s="272"/>
      <c r="XV27" s="205">
        <f t="shared" si="215"/>
        <v>0</v>
      </c>
      <c r="XW27" s="205">
        <f t="shared" si="216"/>
        <v>0</v>
      </c>
      <c r="XX27" s="207"/>
      <c r="XY27" s="207"/>
      <c r="XZ27" s="207"/>
      <c r="YA27" s="207"/>
      <c r="YB27" s="207"/>
      <c r="YC27" s="272"/>
      <c r="YD27" s="272"/>
      <c r="YE27" s="205">
        <f t="shared" si="217"/>
        <v>0</v>
      </c>
      <c r="YF27" s="207"/>
      <c r="YG27" s="207"/>
      <c r="YH27" s="207"/>
      <c r="YI27" s="207"/>
      <c r="YJ27" s="207"/>
      <c r="YK27" s="272"/>
      <c r="YL27" s="272"/>
      <c r="YM27" s="205">
        <f t="shared" si="218"/>
        <v>0</v>
      </c>
      <c r="YN27" s="195">
        <v>1100</v>
      </c>
      <c r="YO27" s="207"/>
      <c r="YP27" s="207"/>
      <c r="YQ27" s="207"/>
      <c r="YR27" s="207"/>
      <c r="YS27" s="272"/>
      <c r="YT27" s="272"/>
      <c r="YU27" s="205">
        <f t="shared" si="148"/>
        <v>1100</v>
      </c>
      <c r="YV27" s="207"/>
      <c r="YW27" s="207"/>
      <c r="YX27" s="207"/>
      <c r="YY27" s="207"/>
      <c r="YZ27" s="207"/>
      <c r="ZA27" s="272"/>
      <c r="ZB27" s="272"/>
      <c r="ZC27" s="205">
        <f t="shared" si="219"/>
        <v>0</v>
      </c>
      <c r="ZD27" s="205">
        <f t="shared" si="149"/>
        <v>1100</v>
      </c>
      <c r="ZE27" s="207"/>
      <c r="ZF27" s="207"/>
      <c r="ZG27" s="207"/>
      <c r="ZH27" s="207"/>
      <c r="ZI27" s="207"/>
      <c r="ZJ27" s="272"/>
      <c r="ZK27" s="272"/>
      <c r="ZL27" s="205">
        <f t="shared" si="220"/>
        <v>0</v>
      </c>
      <c r="ZM27" s="207"/>
      <c r="ZN27" s="207"/>
      <c r="ZO27" s="207"/>
      <c r="ZP27" s="207"/>
      <c r="ZQ27" s="207"/>
      <c r="ZR27" s="272"/>
      <c r="ZS27" s="272"/>
      <c r="ZT27" s="205">
        <f t="shared" si="221"/>
        <v>0</v>
      </c>
      <c r="ZU27" s="207"/>
      <c r="ZV27" s="207"/>
      <c r="ZW27" s="207"/>
      <c r="ZX27" s="207"/>
      <c r="ZY27" s="207"/>
      <c r="ZZ27" s="272"/>
      <c r="AAA27" s="272"/>
      <c r="AAB27" s="205">
        <f t="shared" si="222"/>
        <v>0</v>
      </c>
      <c r="AAC27" s="207"/>
      <c r="AAD27" s="207"/>
      <c r="AAE27" s="207"/>
      <c r="AAF27" s="207"/>
      <c r="AAG27" s="207"/>
      <c r="AAH27" s="272"/>
      <c r="AAI27" s="272"/>
      <c r="AAJ27" s="205">
        <f t="shared" si="223"/>
        <v>0</v>
      </c>
      <c r="AAK27" s="207"/>
      <c r="AAL27" s="207"/>
      <c r="AAM27" s="207"/>
      <c r="AAN27" s="207"/>
      <c r="AAO27" s="207"/>
      <c r="AAP27" s="272"/>
      <c r="AAQ27" s="272"/>
      <c r="AAR27" s="205">
        <f t="shared" si="224"/>
        <v>0</v>
      </c>
      <c r="AAS27" s="205">
        <f t="shared" si="225"/>
        <v>0</v>
      </c>
    </row>
    <row r="28" spans="1:721" s="126" customFormat="1" ht="69.95" customHeight="1">
      <c r="A28" s="208" t="s">
        <v>594</v>
      </c>
      <c r="B28" s="155">
        <v>3620101411</v>
      </c>
      <c r="C28" s="323"/>
      <c r="D28" s="203" t="s">
        <v>317</v>
      </c>
      <c r="E28" s="130" t="s">
        <v>4</v>
      </c>
      <c r="F28" s="120"/>
      <c r="G28" s="120"/>
      <c r="H28" s="120"/>
      <c r="I28" s="120"/>
      <c r="J28" s="120"/>
      <c r="K28" s="209"/>
      <c r="L28" s="205"/>
      <c r="M28" s="205">
        <f t="shared" si="121"/>
        <v>0</v>
      </c>
      <c r="N28" s="120"/>
      <c r="O28" s="120"/>
      <c r="P28" s="120"/>
      <c r="Q28" s="120"/>
      <c r="R28" s="120"/>
      <c r="S28" s="209"/>
      <c r="T28" s="205"/>
      <c r="U28" s="205">
        <f t="shared" si="122"/>
        <v>0</v>
      </c>
      <c r="V28" s="120"/>
      <c r="W28" s="120"/>
      <c r="X28" s="120"/>
      <c r="Y28" s="120"/>
      <c r="Z28" s="120"/>
      <c r="AA28" s="209"/>
      <c r="AB28" s="205"/>
      <c r="AC28" s="205">
        <f t="shared" si="123"/>
        <v>0</v>
      </c>
      <c r="AD28" s="205"/>
      <c r="AE28" s="205"/>
      <c r="AF28" s="205"/>
      <c r="AG28" s="205"/>
      <c r="AH28" s="205"/>
      <c r="AI28" s="209"/>
      <c r="AJ28" s="205"/>
      <c r="AK28" s="205">
        <f t="shared" si="124"/>
        <v>0</v>
      </c>
      <c r="AL28" s="205" t="e">
        <f>SUM(#REF!,M28,U28,AC28,AD28:AH28)</f>
        <v>#REF!</v>
      </c>
      <c r="AM28" s="120"/>
      <c r="AN28" s="120"/>
      <c r="AO28" s="120"/>
      <c r="AP28" s="120"/>
      <c r="AQ28" s="120"/>
      <c r="AR28" s="209"/>
      <c r="AS28" s="205"/>
      <c r="AT28" s="205">
        <f t="shared" si="125"/>
        <v>0</v>
      </c>
      <c r="AU28" s="120"/>
      <c r="AV28" s="120"/>
      <c r="AW28" s="120"/>
      <c r="AX28" s="120"/>
      <c r="AY28" s="120"/>
      <c r="AZ28" s="209"/>
      <c r="BA28" s="205"/>
      <c r="BB28" s="205">
        <f t="shared" si="126"/>
        <v>0</v>
      </c>
      <c r="BC28" s="120"/>
      <c r="BD28" s="120"/>
      <c r="BE28" s="120"/>
      <c r="BF28" s="120"/>
      <c r="BG28" s="120"/>
      <c r="BH28" s="209"/>
      <c r="BI28" s="205"/>
      <c r="BJ28" s="205">
        <f t="shared" si="127"/>
        <v>0</v>
      </c>
      <c r="BK28" s="120"/>
      <c r="BL28" s="120"/>
      <c r="BM28" s="120"/>
      <c r="BN28" s="120"/>
      <c r="BO28" s="205"/>
      <c r="BP28" s="209"/>
      <c r="BQ28" s="205"/>
      <c r="BR28" s="205">
        <f t="shared" si="128"/>
        <v>0</v>
      </c>
      <c r="BS28" s="205">
        <f t="shared" si="129"/>
        <v>0</v>
      </c>
      <c r="BT28" s="120"/>
      <c r="BU28" s="120"/>
      <c r="BV28" s="250">
        <v>2000</v>
      </c>
      <c r="BW28" s="120"/>
      <c r="BX28" s="120"/>
      <c r="BY28" s="209"/>
      <c r="BZ28" s="205"/>
      <c r="CA28" s="205">
        <f t="shared" si="130"/>
        <v>2000</v>
      </c>
      <c r="CB28" s="120"/>
      <c r="CC28" s="120"/>
      <c r="CD28" s="120"/>
      <c r="CE28" s="120"/>
      <c r="CF28" s="120"/>
      <c r="CG28" s="209"/>
      <c r="CH28" s="205"/>
      <c r="CI28" s="205">
        <f t="shared" si="131"/>
        <v>0</v>
      </c>
      <c r="CJ28" s="195">
        <v>4000</v>
      </c>
      <c r="CK28" s="120"/>
      <c r="CL28" s="120"/>
      <c r="CM28" s="120"/>
      <c r="CN28" s="120"/>
      <c r="CO28" s="209"/>
      <c r="CP28" s="205"/>
      <c r="CQ28" s="205">
        <f t="shared" si="132"/>
        <v>4000</v>
      </c>
      <c r="CR28" s="120"/>
      <c r="CS28" s="120"/>
      <c r="CT28" s="120"/>
      <c r="CU28" s="120"/>
      <c r="CV28" s="120"/>
      <c r="CW28" s="209"/>
      <c r="CX28" s="205"/>
      <c r="CY28" s="205">
        <f t="shared" si="133"/>
        <v>0</v>
      </c>
      <c r="CZ28" s="120"/>
      <c r="DA28" s="120"/>
      <c r="DB28" s="120"/>
      <c r="DC28" s="205"/>
      <c r="DD28" s="205"/>
      <c r="DE28" s="209"/>
      <c r="DF28" s="205"/>
      <c r="DG28" s="205">
        <f t="shared" si="134"/>
        <v>0</v>
      </c>
      <c r="DH28" s="205">
        <f t="shared" si="150"/>
        <v>6000</v>
      </c>
      <c r="DI28" s="120"/>
      <c r="DJ28" s="120"/>
      <c r="DK28" s="120"/>
      <c r="DL28" s="120"/>
      <c r="DM28" s="120"/>
      <c r="DN28" s="209"/>
      <c r="DO28" s="205"/>
      <c r="DP28" s="205">
        <f t="shared" si="135"/>
        <v>0</v>
      </c>
      <c r="DR28" s="120"/>
      <c r="DS28" s="120"/>
      <c r="DT28" s="250">
        <v>3400</v>
      </c>
      <c r="DU28" s="120"/>
      <c r="DV28" s="209"/>
      <c r="DW28" s="205"/>
      <c r="DX28" s="205">
        <f>SUM(DR28:DW28)</f>
        <v>3400</v>
      </c>
      <c r="DY28" s="120"/>
      <c r="DZ28" s="120"/>
      <c r="EA28" s="120"/>
      <c r="EB28" s="120"/>
      <c r="EC28" s="120"/>
      <c r="ED28" s="209"/>
      <c r="EE28" s="205"/>
      <c r="EF28" s="205">
        <f t="shared" si="137"/>
        <v>0</v>
      </c>
      <c r="EG28" s="120"/>
      <c r="EH28" s="120"/>
      <c r="EI28" s="120"/>
      <c r="EJ28" s="205"/>
      <c r="EK28" s="205"/>
      <c r="EL28" s="209"/>
      <c r="EM28" s="205"/>
      <c r="EN28" s="205">
        <f t="shared" si="138"/>
        <v>0</v>
      </c>
      <c r="EO28" s="205">
        <f t="shared" si="151"/>
        <v>3400</v>
      </c>
      <c r="EP28" s="120"/>
      <c r="EQ28" s="120"/>
      <c r="ER28" s="120"/>
      <c r="ES28" s="120"/>
      <c r="ET28" s="120"/>
      <c r="EU28" s="209"/>
      <c r="EV28" s="205"/>
      <c r="EW28" s="205">
        <f t="shared" si="139"/>
        <v>0</v>
      </c>
      <c r="EX28" s="120"/>
      <c r="EY28" s="120"/>
      <c r="EZ28" s="120"/>
      <c r="FA28" s="120"/>
      <c r="FB28" s="120"/>
      <c r="FC28" s="209"/>
      <c r="FD28" s="205"/>
      <c r="FE28" s="205">
        <f t="shared" si="140"/>
        <v>0</v>
      </c>
      <c r="FF28" s="120"/>
      <c r="FG28" s="120"/>
      <c r="FH28" s="120"/>
      <c r="FI28" s="120"/>
      <c r="FJ28" s="120"/>
      <c r="FK28" s="209"/>
      <c r="FL28" s="205"/>
      <c r="FM28" s="205">
        <f t="shared" si="141"/>
        <v>0</v>
      </c>
      <c r="FN28" s="120"/>
      <c r="FO28" s="120"/>
      <c r="FP28" s="120"/>
      <c r="FQ28" s="120"/>
      <c r="FR28" s="205"/>
      <c r="FS28" s="209"/>
      <c r="FT28" s="205"/>
      <c r="FU28" s="205">
        <f>SUM(FO28:FT28)</f>
        <v>0</v>
      </c>
      <c r="FV28" s="205">
        <f t="shared" si="152"/>
        <v>0</v>
      </c>
      <c r="FW28" s="120"/>
      <c r="FX28" s="120"/>
      <c r="FY28" s="120"/>
      <c r="FZ28" s="120"/>
      <c r="GA28" s="120"/>
      <c r="GB28" s="209"/>
      <c r="GC28" s="205"/>
      <c r="GD28" s="205">
        <f t="shared" si="143"/>
        <v>0</v>
      </c>
      <c r="GE28" s="120"/>
      <c r="GF28" s="120"/>
      <c r="GG28" s="120"/>
      <c r="GH28" s="120"/>
      <c r="GI28" s="120"/>
      <c r="GJ28" s="209"/>
      <c r="GK28" s="205"/>
      <c r="GL28" s="205">
        <f t="shared" si="144"/>
        <v>0</v>
      </c>
      <c r="GM28" s="120"/>
      <c r="GN28" s="120"/>
      <c r="GO28" s="120"/>
      <c r="GP28" s="120"/>
      <c r="GQ28" s="120"/>
      <c r="GR28" s="209"/>
      <c r="GS28" s="205"/>
      <c r="GT28" s="205">
        <f t="shared" si="145"/>
        <v>0</v>
      </c>
      <c r="GU28" s="120"/>
      <c r="GV28" s="120"/>
      <c r="GW28" s="120"/>
      <c r="GX28" s="120"/>
      <c r="GY28" s="120"/>
      <c r="GZ28" s="209"/>
      <c r="HA28" s="205"/>
      <c r="HB28" s="205">
        <f t="shared" si="146"/>
        <v>0</v>
      </c>
      <c r="HC28" s="120"/>
      <c r="HD28" s="120"/>
      <c r="HE28" s="120"/>
      <c r="HF28" s="120"/>
      <c r="HG28" s="120"/>
      <c r="HH28" s="209"/>
      <c r="HI28" s="205"/>
      <c r="HJ28" s="205">
        <f t="shared" si="147"/>
        <v>0</v>
      </c>
      <c r="HK28" s="205">
        <f t="shared" si="153"/>
        <v>0</v>
      </c>
      <c r="HL28" s="124"/>
      <c r="HM28" s="120"/>
      <c r="HN28" s="120"/>
      <c r="HO28" s="120"/>
      <c r="HP28" s="120"/>
      <c r="HQ28" s="205"/>
      <c r="HR28" s="205"/>
      <c r="HS28" s="205">
        <f t="shared" si="154"/>
        <v>0</v>
      </c>
      <c r="HT28" s="120"/>
      <c r="HU28" s="120"/>
      <c r="HV28" s="120"/>
      <c r="HW28" s="120"/>
      <c r="HX28" s="120"/>
      <c r="HY28" s="205"/>
      <c r="HZ28" s="205"/>
      <c r="IA28" s="205">
        <f t="shared" si="155"/>
        <v>0</v>
      </c>
      <c r="IB28" s="123">
        <v>1000</v>
      </c>
      <c r="IC28" s="120"/>
      <c r="ID28" s="120"/>
      <c r="IE28" s="120"/>
      <c r="IF28" s="120"/>
      <c r="IG28" s="205"/>
      <c r="IH28" s="205"/>
      <c r="II28" s="205">
        <f t="shared" si="156"/>
        <v>1000</v>
      </c>
      <c r="IJ28" s="120"/>
      <c r="IK28" s="120"/>
      <c r="IL28" s="120"/>
      <c r="IM28" s="120"/>
      <c r="IN28" s="120"/>
      <c r="IO28" s="205"/>
      <c r="IP28" s="205"/>
      <c r="IQ28" s="205">
        <f t="shared" si="157"/>
        <v>0</v>
      </c>
      <c r="IR28" s="205">
        <f t="shared" si="158"/>
        <v>1000</v>
      </c>
      <c r="IS28" s="120"/>
      <c r="IT28" s="120"/>
      <c r="IU28" s="120"/>
      <c r="IV28" s="120"/>
      <c r="IW28" s="120"/>
      <c r="IX28" s="205"/>
      <c r="IY28" s="205"/>
      <c r="IZ28" s="205">
        <f t="shared" si="159"/>
        <v>0</v>
      </c>
      <c r="JA28" s="124">
        <v>6000</v>
      </c>
      <c r="JB28" s="120"/>
      <c r="JC28" s="120"/>
      <c r="JD28" s="120"/>
      <c r="JE28" s="120"/>
      <c r="JF28" s="205"/>
      <c r="JG28" s="205"/>
      <c r="JH28" s="205">
        <f t="shared" si="160"/>
        <v>6000</v>
      </c>
      <c r="JI28" s="120"/>
      <c r="JJ28" s="120"/>
      <c r="JK28" s="120"/>
      <c r="JL28" s="120"/>
      <c r="JM28" s="120"/>
      <c r="JN28" s="205"/>
      <c r="JO28" s="205"/>
      <c r="JP28" s="205">
        <f t="shared" si="161"/>
        <v>0</v>
      </c>
      <c r="JQ28" s="120"/>
      <c r="JR28" s="120"/>
      <c r="JS28" s="120"/>
      <c r="JT28" s="120"/>
      <c r="JU28" s="120"/>
      <c r="JV28" s="205"/>
      <c r="JW28" s="205"/>
      <c r="JX28" s="205">
        <f t="shared" si="162"/>
        <v>0</v>
      </c>
      <c r="JY28" s="205">
        <f t="shared" si="163"/>
        <v>6000</v>
      </c>
      <c r="JZ28" s="120"/>
      <c r="KA28" s="120"/>
      <c r="KB28" s="120"/>
      <c r="KC28" s="120"/>
      <c r="KD28" s="120"/>
      <c r="KE28" s="205"/>
      <c r="KF28" s="205"/>
      <c r="KG28" s="205">
        <f t="shared" si="164"/>
        <v>0</v>
      </c>
      <c r="KH28" s="120"/>
      <c r="KI28" s="201">
        <v>500</v>
      </c>
      <c r="KJ28" s="120"/>
      <c r="KK28" s="120"/>
      <c r="KL28" s="120"/>
      <c r="KM28" s="205"/>
      <c r="KN28" s="205"/>
      <c r="KO28" s="205">
        <f t="shared" si="165"/>
        <v>500</v>
      </c>
      <c r="KP28" s="120"/>
      <c r="KQ28" s="120"/>
      <c r="KR28" s="120"/>
      <c r="KS28" s="120"/>
      <c r="KT28" s="120"/>
      <c r="KU28" s="205"/>
      <c r="KV28" s="205"/>
      <c r="KW28" s="205">
        <f t="shared" si="166"/>
        <v>0</v>
      </c>
      <c r="KX28" s="120"/>
      <c r="KY28" s="120"/>
      <c r="KZ28" s="120"/>
      <c r="LA28" s="120"/>
      <c r="LB28" s="120"/>
      <c r="LC28" s="205"/>
      <c r="LD28" s="205"/>
      <c r="LE28" s="205">
        <f t="shared" si="167"/>
        <v>0</v>
      </c>
      <c r="LF28" s="205"/>
      <c r="LG28" s="120"/>
      <c r="LH28" s="120"/>
      <c r="LI28" s="120"/>
      <c r="LJ28" s="120"/>
      <c r="LK28" s="205"/>
      <c r="LL28" s="205"/>
      <c r="LM28" s="205">
        <f t="shared" si="168"/>
        <v>0</v>
      </c>
      <c r="LN28" s="205">
        <f t="shared" si="169"/>
        <v>500</v>
      </c>
      <c r="LO28" s="205"/>
      <c r="LP28" s="120"/>
      <c r="LQ28" s="120"/>
      <c r="LR28" s="120"/>
      <c r="LS28" s="205"/>
      <c r="LT28" s="205"/>
      <c r="LU28" s="205"/>
      <c r="LV28" s="205">
        <f t="shared" si="170"/>
        <v>0</v>
      </c>
      <c r="LW28" s="120"/>
      <c r="LX28" s="120"/>
      <c r="LY28" s="124">
        <v>290</v>
      </c>
      <c r="LZ28" s="120"/>
      <c r="MA28" s="120"/>
      <c r="MB28" s="205"/>
      <c r="MC28" s="205"/>
      <c r="MD28" s="205">
        <f t="shared" si="171"/>
        <v>290</v>
      </c>
      <c r="ME28" s="120"/>
      <c r="MF28" s="120"/>
      <c r="MG28" s="201">
        <v>6800</v>
      </c>
      <c r="MH28" s="120"/>
      <c r="MI28" s="205"/>
      <c r="MJ28" s="205"/>
      <c r="MK28" s="205"/>
      <c r="ML28" s="205">
        <f t="shared" si="172"/>
        <v>6800</v>
      </c>
      <c r="MM28" s="120"/>
      <c r="MN28" s="120"/>
      <c r="MO28" s="120"/>
      <c r="MP28" s="120"/>
      <c r="MQ28" s="120"/>
      <c r="MR28" s="205"/>
      <c r="MS28" s="205"/>
      <c r="MT28" s="205">
        <f t="shared" si="173"/>
        <v>0</v>
      </c>
      <c r="MU28" s="205">
        <f t="shared" si="174"/>
        <v>7090</v>
      </c>
      <c r="MV28" s="120"/>
      <c r="MW28" s="120"/>
      <c r="MX28" s="120"/>
      <c r="MY28" s="120"/>
      <c r="MZ28" s="120"/>
      <c r="NA28" s="205"/>
      <c r="NB28" s="205"/>
      <c r="NC28" s="205">
        <f t="shared" si="175"/>
        <v>0</v>
      </c>
      <c r="ND28" s="217">
        <v>400</v>
      </c>
      <c r="NE28" s="120"/>
      <c r="NF28" s="120"/>
      <c r="NG28" s="120"/>
      <c r="NH28" s="120"/>
      <c r="NI28" s="205"/>
      <c r="NJ28" s="205"/>
      <c r="NK28" s="205">
        <f t="shared" si="176"/>
        <v>400</v>
      </c>
      <c r="NL28" s="120"/>
      <c r="NM28" s="120"/>
      <c r="NN28" s="120"/>
      <c r="NO28" s="120"/>
      <c r="NP28" s="120"/>
      <c r="NQ28" s="205"/>
      <c r="NR28" s="205"/>
      <c r="NS28" s="205">
        <f t="shared" si="177"/>
        <v>0</v>
      </c>
      <c r="NT28" s="120"/>
      <c r="NU28" s="120"/>
      <c r="NV28" s="120"/>
      <c r="NW28" s="120"/>
      <c r="NX28" s="120"/>
      <c r="NY28" s="205"/>
      <c r="NZ28" s="205"/>
      <c r="OA28" s="205">
        <f t="shared" si="178"/>
        <v>0</v>
      </c>
      <c r="OB28" s="205">
        <f t="shared" si="179"/>
        <v>400</v>
      </c>
      <c r="OC28" s="120"/>
      <c r="OD28" s="120"/>
      <c r="OE28" s="120"/>
      <c r="OF28" s="120"/>
      <c r="OG28" s="120"/>
      <c r="OH28" s="205"/>
      <c r="OI28" s="205"/>
      <c r="OJ28" s="205">
        <f t="shared" si="180"/>
        <v>0</v>
      </c>
      <c r="OK28" s="120"/>
      <c r="OL28" s="120"/>
      <c r="OM28" s="120"/>
      <c r="ON28" s="120"/>
      <c r="OO28" s="120"/>
      <c r="OP28" s="205"/>
      <c r="OQ28" s="205"/>
      <c r="OR28" s="205">
        <f t="shared" si="181"/>
        <v>0</v>
      </c>
      <c r="OS28" s="120"/>
      <c r="OT28" s="120"/>
      <c r="OU28" s="120"/>
      <c r="OV28" s="120"/>
      <c r="OW28" s="120"/>
      <c r="OX28" s="205"/>
      <c r="OY28" s="205"/>
      <c r="OZ28" s="205">
        <f t="shared" si="182"/>
        <v>0</v>
      </c>
      <c r="PA28" s="120"/>
      <c r="PB28" s="120"/>
      <c r="PC28" s="120"/>
      <c r="PD28" s="205"/>
      <c r="PE28" s="217"/>
      <c r="PF28" s="205"/>
      <c r="PG28" s="205"/>
      <c r="PH28" s="205">
        <f t="shared" si="183"/>
        <v>0</v>
      </c>
      <c r="PI28" s="120"/>
      <c r="PJ28" s="120"/>
      <c r="PK28" s="120"/>
      <c r="PL28" s="205"/>
      <c r="PM28" s="217"/>
      <c r="PN28" s="205"/>
      <c r="PO28" s="205"/>
      <c r="PP28" s="205">
        <f t="shared" si="184"/>
        <v>0</v>
      </c>
      <c r="PQ28" s="205">
        <f t="shared" si="185"/>
        <v>0</v>
      </c>
      <c r="PR28" s="207"/>
      <c r="PS28" s="207"/>
      <c r="PT28" s="207"/>
      <c r="PU28" s="207"/>
      <c r="PV28" s="207"/>
      <c r="PW28" s="272"/>
      <c r="PX28" s="272"/>
      <c r="PY28" s="205">
        <f t="shared" si="186"/>
        <v>0</v>
      </c>
      <c r="PZ28" s="207"/>
      <c r="QA28" s="207"/>
      <c r="QB28" s="207"/>
      <c r="QC28" s="207"/>
      <c r="QD28" s="207"/>
      <c r="QE28" s="272"/>
      <c r="QF28" s="272"/>
      <c r="QG28" s="205">
        <f t="shared" si="187"/>
        <v>0</v>
      </c>
      <c r="QH28" s="207"/>
      <c r="QI28" s="207"/>
      <c r="QJ28" s="294"/>
      <c r="QK28" s="207"/>
      <c r="QL28" s="207"/>
      <c r="QM28" s="272"/>
      <c r="QN28" s="272"/>
      <c r="QO28" s="205">
        <f t="shared" si="188"/>
        <v>0</v>
      </c>
      <c r="QP28" s="207"/>
      <c r="QQ28" s="207"/>
      <c r="QR28" s="207"/>
      <c r="QS28" s="207"/>
      <c r="QT28" s="207"/>
      <c r="QU28" s="272"/>
      <c r="QV28" s="272"/>
      <c r="QW28" s="205">
        <f t="shared" si="189"/>
        <v>0</v>
      </c>
      <c r="QX28" s="205">
        <f t="shared" si="190"/>
        <v>0</v>
      </c>
      <c r="QY28" s="207"/>
      <c r="QZ28" s="207"/>
      <c r="RA28" s="207"/>
      <c r="RB28" s="207"/>
      <c r="RC28" s="207"/>
      <c r="RD28" s="272"/>
      <c r="RE28" s="272"/>
      <c r="RF28" s="205">
        <f t="shared" si="191"/>
        <v>0</v>
      </c>
      <c r="RG28" s="207"/>
      <c r="RH28" s="207"/>
      <c r="RI28" s="207"/>
      <c r="RJ28" s="207"/>
      <c r="RK28" s="207"/>
      <c r="RL28" s="272"/>
      <c r="RM28" s="272"/>
      <c r="RN28" s="205">
        <f t="shared" si="192"/>
        <v>0</v>
      </c>
      <c r="RO28" s="272"/>
      <c r="RP28" s="272"/>
      <c r="RQ28" s="272"/>
      <c r="RR28" s="272"/>
      <c r="RS28" s="272"/>
      <c r="RT28" s="272"/>
      <c r="RU28" s="272"/>
      <c r="RV28" s="205">
        <f t="shared" si="193"/>
        <v>0</v>
      </c>
      <c r="RW28" s="207"/>
      <c r="RX28" s="207"/>
      <c r="RY28" s="217">
        <v>5500</v>
      </c>
      <c r="RZ28" s="207"/>
      <c r="SA28" s="272"/>
      <c r="SB28" s="272"/>
      <c r="SC28" s="272"/>
      <c r="SD28" s="205">
        <f t="shared" si="194"/>
        <v>5500</v>
      </c>
      <c r="SE28" s="205">
        <f t="shared" si="195"/>
        <v>5500</v>
      </c>
      <c r="SF28" s="207"/>
      <c r="SG28" s="207"/>
      <c r="SH28" s="207"/>
      <c r="SI28" s="207"/>
      <c r="SJ28" s="207"/>
      <c r="SK28" s="272"/>
      <c r="SL28" s="272"/>
      <c r="SM28" s="205">
        <f t="shared" si="196"/>
        <v>0</v>
      </c>
      <c r="SN28" s="207"/>
      <c r="SO28" s="207"/>
      <c r="SP28" s="207"/>
      <c r="SQ28" s="207"/>
      <c r="SR28" s="207"/>
      <c r="SS28" s="272"/>
      <c r="ST28" s="272"/>
      <c r="SU28" s="205">
        <f t="shared" si="197"/>
        <v>0</v>
      </c>
      <c r="SV28" s="207"/>
      <c r="SW28" s="207"/>
      <c r="SX28" s="207"/>
      <c r="SY28" s="207"/>
      <c r="SZ28" s="207"/>
      <c r="TA28" s="272"/>
      <c r="TB28" s="272"/>
      <c r="TC28" s="205">
        <f t="shared" si="198"/>
        <v>0</v>
      </c>
      <c r="TD28" s="207"/>
      <c r="TE28" s="207"/>
      <c r="TF28" s="207"/>
      <c r="TG28" s="207"/>
      <c r="TH28" s="207"/>
      <c r="TI28" s="272"/>
      <c r="TJ28" s="272"/>
      <c r="TK28" s="205">
        <f t="shared" si="199"/>
        <v>0</v>
      </c>
      <c r="TL28" s="207"/>
      <c r="TM28" s="201">
        <v>350</v>
      </c>
      <c r="TN28" s="207"/>
      <c r="TO28" s="207"/>
      <c r="TP28" s="272"/>
      <c r="TQ28" s="272"/>
      <c r="TR28" s="272"/>
      <c r="TS28" s="205">
        <f t="shared" si="200"/>
        <v>350</v>
      </c>
      <c r="TT28" s="205">
        <f t="shared" si="201"/>
        <v>350</v>
      </c>
      <c r="TU28" s="272"/>
      <c r="TV28" s="207"/>
      <c r="TW28" s="207"/>
      <c r="TX28" s="207"/>
      <c r="TY28" s="207"/>
      <c r="TZ28" s="272"/>
      <c r="UA28" s="272"/>
      <c r="UB28" s="205">
        <f t="shared" si="202"/>
        <v>0</v>
      </c>
      <c r="UC28" s="207"/>
      <c r="UD28" s="207"/>
      <c r="UE28" s="207"/>
      <c r="UF28" s="207"/>
      <c r="UG28" s="207"/>
      <c r="UH28" s="272"/>
      <c r="UI28" s="272"/>
      <c r="UJ28" s="205">
        <f t="shared" si="203"/>
        <v>0</v>
      </c>
      <c r="UK28" s="207"/>
      <c r="UL28" s="207"/>
      <c r="UM28" s="207"/>
      <c r="UN28" s="207"/>
      <c r="UO28" s="207"/>
      <c r="UP28" s="272"/>
      <c r="UQ28" s="272"/>
      <c r="UR28" s="205">
        <f t="shared" si="227"/>
        <v>0</v>
      </c>
      <c r="US28" s="207"/>
      <c r="UT28" s="207"/>
      <c r="UU28" s="207"/>
      <c r="UV28" s="207"/>
      <c r="UW28" s="272"/>
      <c r="UX28" s="272"/>
      <c r="UY28" s="272"/>
      <c r="UZ28" s="205">
        <f t="shared" si="204"/>
        <v>0</v>
      </c>
      <c r="VA28" s="205">
        <f t="shared" si="205"/>
        <v>0</v>
      </c>
      <c r="VB28" s="207"/>
      <c r="VC28" s="207"/>
      <c r="VD28" s="207"/>
      <c r="VE28" s="207"/>
      <c r="VF28" s="207"/>
      <c r="VG28" s="272"/>
      <c r="VH28" s="272"/>
      <c r="VI28" s="205">
        <f t="shared" si="206"/>
        <v>0</v>
      </c>
      <c r="VJ28" s="207"/>
      <c r="VK28" s="207"/>
      <c r="VL28" s="207"/>
      <c r="VM28" s="207"/>
      <c r="VN28" s="207"/>
      <c r="VO28" s="272"/>
      <c r="VP28" s="272"/>
      <c r="VQ28" s="205">
        <f t="shared" si="207"/>
        <v>0</v>
      </c>
      <c r="VR28" s="207"/>
      <c r="VS28" s="207"/>
      <c r="VT28" s="207"/>
      <c r="VU28" s="207"/>
      <c r="VV28" s="207"/>
      <c r="VW28" s="272"/>
      <c r="VX28" s="272"/>
      <c r="VY28" s="205">
        <f t="shared" si="208"/>
        <v>0</v>
      </c>
      <c r="VZ28" s="207"/>
      <c r="WA28" s="207"/>
      <c r="WB28" s="120"/>
      <c r="WC28" s="207"/>
      <c r="WD28" s="207"/>
      <c r="WE28" s="272"/>
      <c r="WF28" s="272"/>
      <c r="WG28" s="205">
        <f t="shared" si="209"/>
        <v>0</v>
      </c>
      <c r="WH28" s="205">
        <f t="shared" si="210"/>
        <v>0</v>
      </c>
      <c r="WI28" s="195">
        <v>2100</v>
      </c>
      <c r="WJ28" s="207"/>
      <c r="WK28" s="207"/>
      <c r="WL28" s="207"/>
      <c r="WM28" s="207"/>
      <c r="WN28" s="272"/>
      <c r="WO28" s="272"/>
      <c r="WP28" s="205">
        <f t="shared" si="211"/>
        <v>2100</v>
      </c>
      <c r="WQ28" s="207"/>
      <c r="WR28" s="207"/>
      <c r="WS28" s="207"/>
      <c r="WT28" s="207"/>
      <c r="WU28" s="207"/>
      <c r="WV28" s="272"/>
      <c r="WW28" s="272"/>
      <c r="WX28" s="205">
        <f t="shared" si="212"/>
        <v>0</v>
      </c>
      <c r="WY28" s="207"/>
      <c r="WZ28" s="207"/>
      <c r="XA28" s="207"/>
      <c r="XB28" s="207"/>
      <c r="XC28" s="272"/>
      <c r="XD28" s="272"/>
      <c r="XE28" s="272"/>
      <c r="XF28" s="205">
        <f t="shared" si="213"/>
        <v>0</v>
      </c>
      <c r="XG28" s="207"/>
      <c r="XH28" s="207"/>
      <c r="XI28" s="207"/>
      <c r="XJ28" s="207"/>
      <c r="XK28" s="207"/>
      <c r="XL28" s="272"/>
      <c r="XM28" s="272"/>
      <c r="XN28" s="205">
        <f t="shared" si="214"/>
        <v>0</v>
      </c>
      <c r="XO28" s="207"/>
      <c r="XP28" s="207"/>
      <c r="XQ28" s="207"/>
      <c r="XR28" s="207"/>
      <c r="XS28" s="207"/>
      <c r="XT28" s="272"/>
      <c r="XU28" s="272"/>
      <c r="XV28" s="205">
        <f t="shared" si="215"/>
        <v>0</v>
      </c>
      <c r="XW28" s="205">
        <f t="shared" si="216"/>
        <v>2100</v>
      </c>
      <c r="XX28" s="207"/>
      <c r="XY28" s="207"/>
      <c r="XZ28" s="207"/>
      <c r="YA28" s="207"/>
      <c r="YB28" s="207"/>
      <c r="YC28" s="272"/>
      <c r="YD28" s="272"/>
      <c r="YE28" s="205">
        <f t="shared" si="217"/>
        <v>0</v>
      </c>
      <c r="YF28" s="207"/>
      <c r="YG28" s="207"/>
      <c r="YH28" s="207"/>
      <c r="YI28" s="207"/>
      <c r="YJ28" s="207"/>
      <c r="YK28" s="272"/>
      <c r="YL28" s="272"/>
      <c r="YM28" s="205">
        <f t="shared" si="218"/>
        <v>0</v>
      </c>
      <c r="YN28" s="207"/>
      <c r="YO28" s="207"/>
      <c r="YP28" s="207"/>
      <c r="YQ28" s="207"/>
      <c r="YR28" s="207"/>
      <c r="YS28" s="272"/>
      <c r="YT28" s="272"/>
      <c r="YU28" s="205">
        <f t="shared" si="148"/>
        <v>0</v>
      </c>
      <c r="YV28" s="207"/>
      <c r="YW28" s="207"/>
      <c r="YX28" s="207"/>
      <c r="YY28" s="207"/>
      <c r="YZ28" s="207"/>
      <c r="ZA28" s="272"/>
      <c r="ZB28" s="272"/>
      <c r="ZC28" s="205">
        <f t="shared" si="219"/>
        <v>0</v>
      </c>
      <c r="ZD28" s="205">
        <f t="shared" si="149"/>
        <v>0</v>
      </c>
      <c r="ZE28" s="207"/>
      <c r="ZF28" s="207"/>
      <c r="ZG28" s="207"/>
      <c r="ZH28" s="207"/>
      <c r="ZI28" s="207"/>
      <c r="ZJ28" s="272"/>
      <c r="ZK28" s="272"/>
      <c r="ZL28" s="205">
        <f t="shared" si="220"/>
        <v>0</v>
      </c>
      <c r="ZM28" s="207"/>
      <c r="ZN28" s="207"/>
      <c r="ZO28" s="207"/>
      <c r="ZP28" s="207"/>
      <c r="ZQ28" s="207"/>
      <c r="ZR28" s="272"/>
      <c r="ZS28" s="272"/>
      <c r="ZT28" s="205">
        <f t="shared" si="221"/>
        <v>0</v>
      </c>
      <c r="ZU28" s="207"/>
      <c r="ZV28" s="207"/>
      <c r="ZW28" s="207"/>
      <c r="ZX28" s="207"/>
      <c r="ZY28" s="207"/>
      <c r="ZZ28" s="272"/>
      <c r="AAA28" s="272"/>
      <c r="AAB28" s="205">
        <f t="shared" si="222"/>
        <v>0</v>
      </c>
      <c r="AAC28" s="207"/>
      <c r="AAD28" s="207"/>
      <c r="AAE28" s="207"/>
      <c r="AAF28" s="207"/>
      <c r="AAG28" s="207"/>
      <c r="AAH28" s="272"/>
      <c r="AAI28" s="272"/>
      <c r="AAJ28" s="205">
        <f t="shared" si="223"/>
        <v>0</v>
      </c>
      <c r="AAK28" s="207"/>
      <c r="AAL28" s="207"/>
      <c r="AAM28" s="207"/>
      <c r="AAN28" s="207"/>
      <c r="AAO28" s="207"/>
      <c r="AAP28" s="272"/>
      <c r="AAQ28" s="272"/>
      <c r="AAR28" s="205">
        <f t="shared" si="224"/>
        <v>0</v>
      </c>
      <c r="AAS28" s="205">
        <f t="shared" si="225"/>
        <v>0</v>
      </c>
    </row>
    <row r="29" spans="1:721" s="126" customFormat="1" ht="69.95" customHeight="1">
      <c r="A29" s="117" t="s">
        <v>6</v>
      </c>
      <c r="B29" s="155">
        <v>3620101504</v>
      </c>
      <c r="C29" s="323"/>
      <c r="D29" s="154" t="s">
        <v>286</v>
      </c>
      <c r="E29" s="130" t="s">
        <v>4</v>
      </c>
      <c r="F29" s="120"/>
      <c r="G29" s="120"/>
      <c r="H29" s="120"/>
      <c r="I29" s="120"/>
      <c r="J29" s="120"/>
      <c r="K29" s="209"/>
      <c r="L29" s="205"/>
      <c r="M29" s="205">
        <f t="shared" si="121"/>
        <v>0</v>
      </c>
      <c r="N29" s="120"/>
      <c r="O29" s="120"/>
      <c r="P29" s="120"/>
      <c r="Q29" s="120"/>
      <c r="R29" s="120"/>
      <c r="S29" s="209"/>
      <c r="T29" s="205"/>
      <c r="U29" s="205">
        <f t="shared" si="122"/>
        <v>0</v>
      </c>
      <c r="V29" s="120"/>
      <c r="W29" s="120"/>
      <c r="X29" s="120"/>
      <c r="Y29" s="120"/>
      <c r="Z29" s="120"/>
      <c r="AA29" s="209"/>
      <c r="AB29" s="205"/>
      <c r="AC29" s="205">
        <f t="shared" si="123"/>
        <v>0</v>
      </c>
      <c r="AD29" s="205"/>
      <c r="AE29" s="205"/>
      <c r="AF29" s="205"/>
      <c r="AG29" s="205"/>
      <c r="AH29" s="205"/>
      <c r="AI29" s="209"/>
      <c r="AJ29" s="205"/>
      <c r="AK29" s="205">
        <f t="shared" si="124"/>
        <v>0</v>
      </c>
      <c r="AL29" s="205" t="e">
        <f>SUM(#REF!,M29,U29,AC29,AD29:AH29)</f>
        <v>#REF!</v>
      </c>
      <c r="AM29" s="120"/>
      <c r="AN29" s="120"/>
      <c r="AO29" s="120"/>
      <c r="AP29" s="120"/>
      <c r="AQ29" s="120"/>
      <c r="AR29" s="209"/>
      <c r="AS29" s="205"/>
      <c r="AT29" s="205">
        <f t="shared" si="125"/>
        <v>0</v>
      </c>
      <c r="AU29" s="120"/>
      <c r="AV29" s="120"/>
      <c r="AW29" s="120"/>
      <c r="AX29" s="120"/>
      <c r="AY29" s="120"/>
      <c r="AZ29" s="209"/>
      <c r="BA29" s="205"/>
      <c r="BB29" s="205">
        <f t="shared" si="126"/>
        <v>0</v>
      </c>
      <c r="BC29" s="120"/>
      <c r="BD29" s="120"/>
      <c r="BE29" s="120"/>
      <c r="BF29" s="120"/>
      <c r="BG29" s="120"/>
      <c r="BH29" s="209"/>
      <c r="BI29" s="205"/>
      <c r="BJ29" s="205">
        <f t="shared" si="127"/>
        <v>0</v>
      </c>
      <c r="BK29" s="120"/>
      <c r="BL29" s="120"/>
      <c r="BM29" s="120"/>
      <c r="BN29" s="120"/>
      <c r="BO29" s="205"/>
      <c r="BP29" s="209"/>
      <c r="BQ29" s="205"/>
      <c r="BR29" s="205">
        <f t="shared" si="128"/>
        <v>0</v>
      </c>
      <c r="BS29" s="205">
        <f t="shared" si="129"/>
        <v>0</v>
      </c>
      <c r="BT29" s="120"/>
      <c r="BU29" s="120"/>
      <c r="BV29" s="120"/>
      <c r="BW29" s="120"/>
      <c r="BX29" s="120"/>
      <c r="BY29" s="209"/>
      <c r="BZ29" s="205"/>
      <c r="CA29" s="205">
        <f t="shared" si="130"/>
        <v>0</v>
      </c>
      <c r="CB29" s="120"/>
      <c r="CC29" s="120"/>
      <c r="CD29" s="120"/>
      <c r="CE29" s="120"/>
      <c r="CF29" s="120"/>
      <c r="CG29" s="209"/>
      <c r="CH29" s="205"/>
      <c r="CI29" s="205">
        <f t="shared" si="131"/>
        <v>0</v>
      </c>
      <c r="CJ29" s="120"/>
      <c r="CK29" s="120"/>
      <c r="CL29" s="120"/>
      <c r="CM29" s="120"/>
      <c r="CN29" s="120"/>
      <c r="CO29" s="209"/>
      <c r="CP29" s="205"/>
      <c r="CQ29" s="205">
        <f t="shared" si="132"/>
        <v>0</v>
      </c>
      <c r="CR29" s="120"/>
      <c r="CS29" s="120"/>
      <c r="CT29" s="120"/>
      <c r="CU29" s="120"/>
      <c r="CV29" s="120"/>
      <c r="CW29" s="209"/>
      <c r="CX29" s="205"/>
      <c r="CY29" s="205">
        <f t="shared" si="133"/>
        <v>0</v>
      </c>
      <c r="CZ29" s="120"/>
      <c r="DA29" s="120"/>
      <c r="DB29" s="120"/>
      <c r="DC29" s="205"/>
      <c r="DD29" s="205"/>
      <c r="DE29" s="209"/>
      <c r="DF29" s="205"/>
      <c r="DG29" s="205">
        <f t="shared" si="134"/>
        <v>0</v>
      </c>
      <c r="DH29" s="205">
        <f t="shared" si="150"/>
        <v>0</v>
      </c>
      <c r="DI29" s="120"/>
      <c r="DJ29" s="120"/>
      <c r="DK29" s="120"/>
      <c r="DL29" s="120"/>
      <c r="DM29" s="120"/>
      <c r="DN29" s="209"/>
      <c r="DO29" s="205"/>
      <c r="DP29" s="205">
        <f t="shared" si="135"/>
        <v>0</v>
      </c>
      <c r="DQ29" s="120"/>
      <c r="DR29" s="120"/>
      <c r="DS29" s="120"/>
      <c r="DT29" s="120"/>
      <c r="DU29" s="120"/>
      <c r="DV29" s="209"/>
      <c r="DW29" s="205"/>
      <c r="DX29" s="205">
        <f t="shared" si="136"/>
        <v>0</v>
      </c>
      <c r="DY29" s="120"/>
      <c r="DZ29" s="120"/>
      <c r="EA29" s="120"/>
      <c r="EB29" s="120"/>
      <c r="EC29" s="120"/>
      <c r="ED29" s="209"/>
      <c r="EE29" s="205"/>
      <c r="EF29" s="205">
        <f t="shared" si="137"/>
        <v>0</v>
      </c>
      <c r="EG29" s="120"/>
      <c r="EH29" s="120"/>
      <c r="EI29" s="120"/>
      <c r="EJ29" s="205"/>
      <c r="EK29" s="205"/>
      <c r="EL29" s="209"/>
      <c r="EM29" s="205"/>
      <c r="EN29" s="205">
        <f t="shared" si="138"/>
        <v>0</v>
      </c>
      <c r="EO29" s="205">
        <f t="shared" si="151"/>
        <v>0</v>
      </c>
      <c r="EP29" s="120"/>
      <c r="EQ29" s="120"/>
      <c r="ER29" s="120"/>
      <c r="ES29" s="120"/>
      <c r="ET29" s="120"/>
      <c r="EU29" s="209"/>
      <c r="EV29" s="205"/>
      <c r="EW29" s="205">
        <f t="shared" si="139"/>
        <v>0</v>
      </c>
      <c r="EX29" s="120"/>
      <c r="EY29" s="120"/>
      <c r="EZ29" s="120"/>
      <c r="FA29" s="120"/>
      <c r="FB29" s="120"/>
      <c r="FC29" s="209"/>
      <c r="FD29" s="205"/>
      <c r="FE29" s="205">
        <f t="shared" si="140"/>
        <v>0</v>
      </c>
      <c r="FF29" s="120"/>
      <c r="FG29" s="120"/>
      <c r="FH29" s="120"/>
      <c r="FI29" s="120"/>
      <c r="FJ29" s="120"/>
      <c r="FK29" s="209"/>
      <c r="FL29" s="205"/>
      <c r="FM29" s="205">
        <f t="shared" si="141"/>
        <v>0</v>
      </c>
      <c r="FN29" s="120"/>
      <c r="FO29" s="120"/>
      <c r="FP29" s="120"/>
      <c r="FQ29" s="120"/>
      <c r="FR29" s="205"/>
      <c r="FS29" s="209"/>
      <c r="FT29" s="205"/>
      <c r="FU29" s="205">
        <f t="shared" si="142"/>
        <v>0</v>
      </c>
      <c r="FV29" s="205">
        <f t="shared" si="152"/>
        <v>0</v>
      </c>
      <c r="FW29" s="120"/>
      <c r="FX29" s="120"/>
      <c r="FY29" s="120"/>
      <c r="FZ29" s="120"/>
      <c r="GA29" s="120"/>
      <c r="GB29" s="209"/>
      <c r="GC29" s="205"/>
      <c r="GD29" s="205">
        <f t="shared" si="143"/>
        <v>0</v>
      </c>
      <c r="GE29" s="120"/>
      <c r="GF29" s="120"/>
      <c r="GG29" s="120"/>
      <c r="GH29" s="120"/>
      <c r="GI29" s="120"/>
      <c r="GJ29" s="209"/>
      <c r="GK29" s="205"/>
      <c r="GL29" s="205">
        <f t="shared" si="144"/>
        <v>0</v>
      </c>
      <c r="GM29" s="120"/>
      <c r="GN29" s="120"/>
      <c r="GO29" s="120"/>
      <c r="GP29" s="120"/>
      <c r="GQ29" s="120"/>
      <c r="GR29" s="209"/>
      <c r="GS29" s="205"/>
      <c r="GT29" s="205">
        <f t="shared" si="145"/>
        <v>0</v>
      </c>
      <c r="GU29" s="120"/>
      <c r="GV29" s="120"/>
      <c r="GW29" s="120"/>
      <c r="GX29" s="120"/>
      <c r="GY29" s="120"/>
      <c r="GZ29" s="209"/>
      <c r="HA29" s="205"/>
      <c r="HB29" s="205">
        <f t="shared" si="146"/>
        <v>0</v>
      </c>
      <c r="HC29" s="120"/>
      <c r="HD29" s="120"/>
      <c r="HE29" s="120"/>
      <c r="HF29" s="120"/>
      <c r="HG29" s="120"/>
      <c r="HH29" s="209"/>
      <c r="HI29" s="205"/>
      <c r="HJ29" s="205">
        <f t="shared" si="147"/>
        <v>0</v>
      </c>
      <c r="HK29" s="205">
        <f t="shared" si="153"/>
        <v>0</v>
      </c>
      <c r="HL29" s="124"/>
      <c r="HM29" s="120"/>
      <c r="HN29" s="120"/>
      <c r="HO29" s="120"/>
      <c r="HP29" s="120"/>
      <c r="HQ29" s="205"/>
      <c r="HR29" s="205"/>
      <c r="HS29" s="205">
        <f t="shared" si="154"/>
        <v>0</v>
      </c>
      <c r="HT29" s="120"/>
      <c r="HU29" s="120"/>
      <c r="HV29" s="120"/>
      <c r="HW29" s="120"/>
      <c r="HX29" s="120"/>
      <c r="HY29" s="205"/>
      <c r="HZ29" s="205"/>
      <c r="IA29" s="205">
        <f t="shared" si="155"/>
        <v>0</v>
      </c>
      <c r="IB29" s="120"/>
      <c r="IC29" s="120"/>
      <c r="ID29" s="120"/>
      <c r="IE29" s="120"/>
      <c r="IF29" s="120"/>
      <c r="IG29" s="205"/>
      <c r="IH29" s="205"/>
      <c r="II29" s="205">
        <f t="shared" si="156"/>
        <v>0</v>
      </c>
      <c r="IJ29" s="120"/>
      <c r="IK29" s="120"/>
      <c r="IL29" s="120"/>
      <c r="IM29" s="120"/>
      <c r="IN29" s="120"/>
      <c r="IO29" s="205"/>
      <c r="IP29" s="205"/>
      <c r="IQ29" s="205">
        <f t="shared" si="157"/>
        <v>0</v>
      </c>
      <c r="IR29" s="205">
        <f t="shared" si="158"/>
        <v>0</v>
      </c>
      <c r="IS29" s="120"/>
      <c r="IT29" s="120"/>
      <c r="IU29" s="120"/>
      <c r="IV29" s="120"/>
      <c r="IW29" s="120"/>
      <c r="IX29" s="205"/>
      <c r="IY29" s="205"/>
      <c r="IZ29" s="205">
        <f t="shared" si="159"/>
        <v>0</v>
      </c>
      <c r="JA29" s="120"/>
      <c r="JB29" s="120"/>
      <c r="JC29" s="120"/>
      <c r="JD29" s="120"/>
      <c r="JE29" s="120"/>
      <c r="JF29" s="205"/>
      <c r="JG29" s="205"/>
      <c r="JH29" s="205">
        <f t="shared" si="160"/>
        <v>0</v>
      </c>
      <c r="JI29" s="120"/>
      <c r="JJ29" s="120"/>
      <c r="JK29" s="120"/>
      <c r="JL29" s="120"/>
      <c r="JM29" s="120"/>
      <c r="JN29" s="205"/>
      <c r="JO29" s="205"/>
      <c r="JP29" s="205">
        <f t="shared" si="161"/>
        <v>0</v>
      </c>
      <c r="JQ29" s="120"/>
      <c r="JR29" s="120"/>
      <c r="JS29" s="120"/>
      <c r="JT29" s="120"/>
      <c r="JU29" s="120"/>
      <c r="JV29" s="205"/>
      <c r="JW29" s="205"/>
      <c r="JX29" s="205">
        <f t="shared" si="162"/>
        <v>0</v>
      </c>
      <c r="JY29" s="205">
        <f t="shared" si="163"/>
        <v>0</v>
      </c>
      <c r="JZ29" s="120"/>
      <c r="KA29" s="120"/>
      <c r="KB29" s="120"/>
      <c r="KC29" s="120"/>
      <c r="KD29" s="120"/>
      <c r="KE29" s="205"/>
      <c r="KF29" s="205"/>
      <c r="KG29" s="205">
        <f t="shared" si="164"/>
        <v>0</v>
      </c>
      <c r="KH29" s="120"/>
      <c r="KI29" s="120"/>
      <c r="KJ29" s="120"/>
      <c r="KK29" s="120"/>
      <c r="KL29" s="120"/>
      <c r="KM29" s="205"/>
      <c r="KN29" s="205"/>
      <c r="KO29" s="205">
        <f t="shared" si="165"/>
        <v>0</v>
      </c>
      <c r="KP29" s="120"/>
      <c r="KQ29" s="120"/>
      <c r="KR29" s="120"/>
      <c r="KS29" s="120"/>
      <c r="KT29" s="120"/>
      <c r="KU29" s="205"/>
      <c r="KV29" s="205"/>
      <c r="KW29" s="205">
        <f t="shared" si="166"/>
        <v>0</v>
      </c>
      <c r="KX29" s="120"/>
      <c r="KY29" s="120"/>
      <c r="KZ29" s="120"/>
      <c r="LA29" s="120"/>
      <c r="LB29" s="120"/>
      <c r="LC29" s="205"/>
      <c r="LD29" s="205"/>
      <c r="LE29" s="205">
        <f t="shared" si="167"/>
        <v>0</v>
      </c>
      <c r="LF29" s="205"/>
      <c r="LG29" s="120"/>
      <c r="LH29" s="120"/>
      <c r="LI29" s="120"/>
      <c r="LJ29" s="120"/>
      <c r="LK29" s="205"/>
      <c r="LL29" s="205"/>
      <c r="LM29" s="205">
        <f t="shared" si="168"/>
        <v>0</v>
      </c>
      <c r="LN29" s="205">
        <f t="shared" si="169"/>
        <v>0</v>
      </c>
      <c r="LO29" s="205"/>
      <c r="LP29" s="120"/>
      <c r="LQ29" s="120"/>
      <c r="LR29" s="120"/>
      <c r="LS29" s="205"/>
      <c r="LT29" s="205"/>
      <c r="LU29" s="205"/>
      <c r="LV29" s="205">
        <f t="shared" si="170"/>
        <v>0</v>
      </c>
      <c r="LW29" s="120"/>
      <c r="LX29" s="120"/>
      <c r="LY29" s="120"/>
      <c r="LZ29" s="120"/>
      <c r="MA29" s="120"/>
      <c r="MB29" s="205"/>
      <c r="MC29" s="205"/>
      <c r="MD29" s="205">
        <f t="shared" si="171"/>
        <v>0</v>
      </c>
      <c r="ME29" s="120"/>
      <c r="MF29" s="120"/>
      <c r="MG29" s="120"/>
      <c r="MH29" s="120"/>
      <c r="MI29" s="205"/>
      <c r="MJ29" s="205"/>
      <c r="MK29" s="205"/>
      <c r="ML29" s="205">
        <f t="shared" si="172"/>
        <v>0</v>
      </c>
      <c r="MM29" s="120"/>
      <c r="MN29" s="120"/>
      <c r="MO29" s="120"/>
      <c r="MP29" s="120"/>
      <c r="MQ29" s="120"/>
      <c r="MR29" s="205"/>
      <c r="MS29" s="205"/>
      <c r="MT29" s="205">
        <f t="shared" si="173"/>
        <v>0</v>
      </c>
      <c r="MU29" s="205">
        <f t="shared" si="174"/>
        <v>0</v>
      </c>
      <c r="MV29" s="120"/>
      <c r="MW29" s="120"/>
      <c r="MX29" s="120"/>
      <c r="MY29" s="120"/>
      <c r="MZ29" s="120"/>
      <c r="NA29" s="205"/>
      <c r="NB29" s="205"/>
      <c r="NC29" s="205">
        <f t="shared" si="175"/>
        <v>0</v>
      </c>
      <c r="ND29" s="120"/>
      <c r="NE29" s="120"/>
      <c r="NF29" s="120"/>
      <c r="NG29" s="120"/>
      <c r="NH29" s="120"/>
      <c r="NI29" s="205"/>
      <c r="NJ29" s="205"/>
      <c r="NK29" s="205">
        <f t="shared" si="176"/>
        <v>0</v>
      </c>
      <c r="NL29" s="120"/>
      <c r="NM29" s="120"/>
      <c r="NN29" s="120"/>
      <c r="NO29" s="120"/>
      <c r="NP29" s="120"/>
      <c r="NQ29" s="205"/>
      <c r="NR29" s="205"/>
      <c r="NS29" s="205">
        <f t="shared" si="177"/>
        <v>0</v>
      </c>
      <c r="NT29" s="120"/>
      <c r="NU29" s="120"/>
      <c r="NV29" s="120"/>
      <c r="NW29" s="120"/>
      <c r="NX29" s="120"/>
      <c r="NY29" s="205"/>
      <c r="NZ29" s="205"/>
      <c r="OA29" s="205">
        <f t="shared" si="178"/>
        <v>0</v>
      </c>
      <c r="OB29" s="205">
        <f t="shared" si="179"/>
        <v>0</v>
      </c>
      <c r="OC29" s="120"/>
      <c r="OD29" s="120"/>
      <c r="OE29" s="120"/>
      <c r="OF29" s="120"/>
      <c r="OG29" s="120"/>
      <c r="OH29" s="205"/>
      <c r="OI29" s="205"/>
      <c r="OJ29" s="205">
        <f t="shared" si="180"/>
        <v>0</v>
      </c>
      <c r="OK29" s="120"/>
      <c r="OL29" s="120"/>
      <c r="OM29" s="120"/>
      <c r="ON29" s="120"/>
      <c r="OO29" s="120"/>
      <c r="OP29" s="205"/>
      <c r="OQ29" s="205"/>
      <c r="OR29" s="205">
        <f t="shared" si="181"/>
        <v>0</v>
      </c>
      <c r="OS29" s="120"/>
      <c r="OT29" s="120"/>
      <c r="OU29" s="120"/>
      <c r="OV29" s="120"/>
      <c r="OW29" s="120"/>
      <c r="OX29" s="205"/>
      <c r="OY29" s="205"/>
      <c r="OZ29" s="205">
        <f t="shared" si="182"/>
        <v>0</v>
      </c>
      <c r="PA29" s="120"/>
      <c r="PB29" s="120"/>
      <c r="PC29" s="120"/>
      <c r="PD29" s="205"/>
      <c r="PE29" s="217"/>
      <c r="PF29" s="205"/>
      <c r="PG29" s="205"/>
      <c r="PH29" s="205">
        <f t="shared" si="183"/>
        <v>0</v>
      </c>
      <c r="PI29" s="120"/>
      <c r="PJ29" s="120"/>
      <c r="PK29" s="120"/>
      <c r="PL29" s="205"/>
      <c r="PM29" s="217"/>
      <c r="PN29" s="205"/>
      <c r="PO29" s="205"/>
      <c r="PP29" s="205">
        <f t="shared" si="184"/>
        <v>0</v>
      </c>
      <c r="PQ29" s="205">
        <f t="shared" si="185"/>
        <v>0</v>
      </c>
      <c r="PR29" s="207"/>
      <c r="PS29" s="207"/>
      <c r="PT29" s="207"/>
      <c r="PU29" s="207"/>
      <c r="PV29" s="207"/>
      <c r="PW29" s="272"/>
      <c r="PX29" s="272"/>
      <c r="PY29" s="205">
        <f t="shared" si="186"/>
        <v>0</v>
      </c>
      <c r="PZ29" s="207"/>
      <c r="QA29" s="207"/>
      <c r="QB29" s="207"/>
      <c r="QC29" s="207"/>
      <c r="QD29" s="207"/>
      <c r="QE29" s="272"/>
      <c r="QF29" s="272"/>
      <c r="QG29" s="205">
        <f t="shared" si="187"/>
        <v>0</v>
      </c>
      <c r="QH29" s="207"/>
      <c r="QI29" s="207"/>
      <c r="QJ29" s="294"/>
      <c r="QK29" s="207"/>
      <c r="QL29" s="207"/>
      <c r="QM29" s="272"/>
      <c r="QN29" s="272"/>
      <c r="QO29" s="205">
        <f t="shared" si="188"/>
        <v>0</v>
      </c>
      <c r="QP29" s="207"/>
      <c r="QQ29" s="207"/>
      <c r="QR29" s="207"/>
      <c r="QS29" s="207"/>
      <c r="QT29" s="207"/>
      <c r="QU29" s="272"/>
      <c r="QV29" s="272"/>
      <c r="QW29" s="205">
        <f t="shared" si="189"/>
        <v>0</v>
      </c>
      <c r="QX29" s="205">
        <f t="shared" si="190"/>
        <v>0</v>
      </c>
      <c r="QY29" s="207"/>
      <c r="QZ29" s="207"/>
      <c r="RA29" s="207"/>
      <c r="RB29" s="207"/>
      <c r="RC29" s="207"/>
      <c r="RD29" s="272"/>
      <c r="RE29" s="272"/>
      <c r="RF29" s="205">
        <f t="shared" si="191"/>
        <v>0</v>
      </c>
      <c r="RG29" s="207"/>
      <c r="RH29" s="207"/>
      <c r="RI29" s="207"/>
      <c r="RJ29" s="207"/>
      <c r="RK29" s="207"/>
      <c r="RL29" s="272"/>
      <c r="RM29" s="272"/>
      <c r="RN29" s="205">
        <f t="shared" si="192"/>
        <v>0</v>
      </c>
      <c r="RO29" s="272"/>
      <c r="RP29" s="272"/>
      <c r="RQ29" s="272"/>
      <c r="RR29" s="272"/>
      <c r="RS29" s="272"/>
      <c r="RT29" s="272"/>
      <c r="RU29" s="272"/>
      <c r="RV29" s="205">
        <f t="shared" si="193"/>
        <v>0</v>
      </c>
      <c r="RW29" s="207"/>
      <c r="RX29" s="207"/>
      <c r="RY29" s="207"/>
      <c r="RZ29" s="207"/>
      <c r="SA29" s="272"/>
      <c r="SB29" s="272"/>
      <c r="SC29" s="272"/>
      <c r="SD29" s="205">
        <f t="shared" si="194"/>
        <v>0</v>
      </c>
      <c r="SE29" s="205">
        <f t="shared" si="195"/>
        <v>0</v>
      </c>
      <c r="SF29" s="207"/>
      <c r="SG29" s="207"/>
      <c r="SH29" s="207"/>
      <c r="SI29" s="207"/>
      <c r="SJ29" s="207"/>
      <c r="SK29" s="272"/>
      <c r="SL29" s="272"/>
      <c r="SM29" s="205">
        <f t="shared" si="196"/>
        <v>0</v>
      </c>
      <c r="SN29" s="207"/>
      <c r="SO29" s="207"/>
      <c r="SP29" s="207"/>
      <c r="SQ29" s="207"/>
      <c r="SR29" s="207"/>
      <c r="SS29" s="272"/>
      <c r="ST29" s="272"/>
      <c r="SU29" s="205">
        <f t="shared" si="197"/>
        <v>0</v>
      </c>
      <c r="SV29" s="207"/>
      <c r="SW29" s="207"/>
      <c r="SX29" s="207"/>
      <c r="SY29" s="207"/>
      <c r="SZ29" s="207"/>
      <c r="TA29" s="272"/>
      <c r="TB29" s="272"/>
      <c r="TC29" s="205">
        <f t="shared" si="198"/>
        <v>0</v>
      </c>
      <c r="TD29" s="207"/>
      <c r="TE29" s="207"/>
      <c r="TF29" s="207"/>
      <c r="TG29" s="207"/>
      <c r="TH29" s="207"/>
      <c r="TI29" s="272"/>
      <c r="TJ29" s="272"/>
      <c r="TK29" s="205">
        <f t="shared" si="199"/>
        <v>0</v>
      </c>
      <c r="TL29" s="207"/>
      <c r="TM29" s="207"/>
      <c r="TN29" s="207"/>
      <c r="TO29" s="207"/>
      <c r="TP29" s="272"/>
      <c r="TQ29" s="272"/>
      <c r="TR29" s="272"/>
      <c r="TS29" s="205">
        <f t="shared" si="200"/>
        <v>0</v>
      </c>
      <c r="TT29" s="205">
        <f t="shared" si="201"/>
        <v>0</v>
      </c>
      <c r="TU29" s="272"/>
      <c r="TV29" s="207"/>
      <c r="TW29" s="207"/>
      <c r="TX29" s="207"/>
      <c r="TY29" s="207"/>
      <c r="TZ29" s="272"/>
      <c r="UA29" s="272"/>
      <c r="UB29" s="205">
        <f t="shared" si="202"/>
        <v>0</v>
      </c>
      <c r="UC29" s="207"/>
      <c r="UD29" s="207"/>
      <c r="UE29" s="207"/>
      <c r="UF29" s="207"/>
      <c r="UG29" s="207"/>
      <c r="UH29" s="272"/>
      <c r="UI29" s="272"/>
      <c r="UJ29" s="205">
        <f t="shared" si="203"/>
        <v>0</v>
      </c>
      <c r="UK29" s="207"/>
      <c r="UL29" s="207"/>
      <c r="UM29" s="207"/>
      <c r="UN29" s="207"/>
      <c r="UO29" s="207"/>
      <c r="UP29" s="272"/>
      <c r="UQ29" s="272"/>
      <c r="UR29" s="205">
        <f t="shared" si="227"/>
        <v>0</v>
      </c>
      <c r="US29" s="207"/>
      <c r="UT29" s="207"/>
      <c r="UU29" s="207"/>
      <c r="UV29" s="207"/>
      <c r="UW29" s="272"/>
      <c r="UX29" s="272"/>
      <c r="UY29" s="272"/>
      <c r="UZ29" s="205">
        <f t="shared" si="204"/>
        <v>0</v>
      </c>
      <c r="VA29" s="205">
        <f t="shared" si="205"/>
        <v>0</v>
      </c>
      <c r="VB29" s="207"/>
      <c r="VC29" s="207"/>
      <c r="VD29" s="207"/>
      <c r="VE29" s="207"/>
      <c r="VF29" s="207"/>
      <c r="VG29" s="272"/>
      <c r="VH29" s="272"/>
      <c r="VI29" s="205">
        <f t="shared" si="206"/>
        <v>0</v>
      </c>
      <c r="VJ29" s="207"/>
      <c r="VK29" s="207"/>
      <c r="VL29" s="207"/>
      <c r="VM29" s="207"/>
      <c r="VN29" s="207"/>
      <c r="VO29" s="272"/>
      <c r="VP29" s="272"/>
      <c r="VQ29" s="205">
        <f t="shared" si="207"/>
        <v>0</v>
      </c>
      <c r="VR29" s="207"/>
      <c r="VS29" s="207"/>
      <c r="VT29" s="207"/>
      <c r="VU29" s="207"/>
      <c r="VV29" s="207"/>
      <c r="VW29" s="272"/>
      <c r="VX29" s="272"/>
      <c r="VY29" s="205">
        <f t="shared" si="208"/>
        <v>0</v>
      </c>
      <c r="VZ29" s="207"/>
      <c r="WA29" s="207"/>
      <c r="WB29" s="207"/>
      <c r="WC29" s="207"/>
      <c r="WD29" s="207"/>
      <c r="WE29" s="272"/>
      <c r="WF29" s="272"/>
      <c r="WG29" s="205">
        <f t="shared" si="209"/>
        <v>0</v>
      </c>
      <c r="WH29" s="205">
        <f t="shared" si="210"/>
        <v>0</v>
      </c>
      <c r="WI29" s="207"/>
      <c r="WJ29" s="207"/>
      <c r="WK29" s="207"/>
      <c r="WL29" s="207"/>
      <c r="WM29" s="207"/>
      <c r="WN29" s="272"/>
      <c r="WO29" s="272"/>
      <c r="WP29" s="205">
        <f t="shared" si="211"/>
        <v>0</v>
      </c>
      <c r="WQ29" s="207"/>
      <c r="WR29" s="207"/>
      <c r="WS29" s="207"/>
      <c r="WT29" s="207"/>
      <c r="WU29" s="207"/>
      <c r="WV29" s="272"/>
      <c r="WW29" s="272"/>
      <c r="WX29" s="205">
        <f t="shared" si="212"/>
        <v>0</v>
      </c>
      <c r="WY29" s="207"/>
      <c r="WZ29" s="207"/>
      <c r="XA29" s="207"/>
      <c r="XB29" s="207"/>
      <c r="XC29" s="272"/>
      <c r="XD29" s="272"/>
      <c r="XE29" s="272"/>
      <c r="XF29" s="205">
        <f t="shared" si="213"/>
        <v>0</v>
      </c>
      <c r="XG29" s="207"/>
      <c r="XH29" s="207"/>
      <c r="XI29" s="207"/>
      <c r="XJ29" s="207"/>
      <c r="XK29" s="207"/>
      <c r="XL29" s="272"/>
      <c r="XM29" s="272"/>
      <c r="XN29" s="205">
        <f t="shared" si="214"/>
        <v>0</v>
      </c>
      <c r="XO29" s="207"/>
      <c r="XP29" s="207"/>
      <c r="XQ29" s="207"/>
      <c r="XR29" s="207"/>
      <c r="XS29" s="207"/>
      <c r="XT29" s="272"/>
      <c r="XU29" s="272"/>
      <c r="XV29" s="205">
        <f t="shared" si="215"/>
        <v>0</v>
      </c>
      <c r="XW29" s="205">
        <f t="shared" si="216"/>
        <v>0</v>
      </c>
      <c r="XX29" s="207"/>
      <c r="XY29" s="207"/>
      <c r="XZ29" s="207"/>
      <c r="YA29" s="207"/>
      <c r="YB29" s="207"/>
      <c r="YC29" s="272"/>
      <c r="YD29" s="272"/>
      <c r="YE29" s="205">
        <f t="shared" si="217"/>
        <v>0</v>
      </c>
      <c r="YF29" s="207"/>
      <c r="YG29" s="207"/>
      <c r="YH29" s="207"/>
      <c r="YI29" s="207"/>
      <c r="YJ29" s="207"/>
      <c r="YK29" s="272"/>
      <c r="YL29" s="272"/>
      <c r="YM29" s="205">
        <f t="shared" si="218"/>
        <v>0</v>
      </c>
      <c r="YN29" s="207"/>
      <c r="YO29" s="207"/>
      <c r="YP29" s="207"/>
      <c r="YQ29" s="207"/>
      <c r="YR29" s="207"/>
      <c r="YS29" s="272"/>
      <c r="YT29" s="272"/>
      <c r="YU29" s="205">
        <f t="shared" si="148"/>
        <v>0</v>
      </c>
      <c r="YV29" s="207"/>
      <c r="YW29" s="207"/>
      <c r="YX29" s="207"/>
      <c r="YY29" s="207"/>
      <c r="YZ29" s="207"/>
      <c r="ZA29" s="272"/>
      <c r="ZB29" s="272"/>
      <c r="ZC29" s="205">
        <f t="shared" si="219"/>
        <v>0</v>
      </c>
      <c r="ZD29" s="205">
        <f t="shared" si="149"/>
        <v>0</v>
      </c>
      <c r="ZE29" s="207"/>
      <c r="ZF29" s="207"/>
      <c r="ZG29" s="207"/>
      <c r="ZH29" s="207"/>
      <c r="ZI29" s="207"/>
      <c r="ZJ29" s="272"/>
      <c r="ZK29" s="272"/>
      <c r="ZL29" s="205">
        <f t="shared" si="220"/>
        <v>0</v>
      </c>
      <c r="ZM29" s="207"/>
      <c r="ZN29" s="207"/>
      <c r="ZO29" s="207"/>
      <c r="ZP29" s="207"/>
      <c r="ZQ29" s="207"/>
      <c r="ZR29" s="272"/>
      <c r="ZS29" s="272"/>
      <c r="ZT29" s="205">
        <f t="shared" si="221"/>
        <v>0</v>
      </c>
      <c r="ZU29" s="207"/>
      <c r="ZV29" s="207"/>
      <c r="ZW29" s="207"/>
      <c r="ZX29" s="207"/>
      <c r="ZY29" s="207"/>
      <c r="ZZ29" s="272"/>
      <c r="AAA29" s="272"/>
      <c r="AAB29" s="205">
        <f t="shared" si="222"/>
        <v>0</v>
      </c>
      <c r="AAC29" s="207"/>
      <c r="AAD29" s="207"/>
      <c r="AAE29" s="207"/>
      <c r="AAF29" s="207"/>
      <c r="AAG29" s="207"/>
      <c r="AAH29" s="272"/>
      <c r="AAI29" s="272"/>
      <c r="AAJ29" s="205">
        <f t="shared" si="223"/>
        <v>0</v>
      </c>
      <c r="AAK29" s="207"/>
      <c r="AAL29" s="207"/>
      <c r="AAM29" s="207"/>
      <c r="AAN29" s="207"/>
      <c r="AAO29" s="207"/>
      <c r="AAP29" s="272"/>
      <c r="AAQ29" s="272"/>
      <c r="AAR29" s="205">
        <f t="shared" si="224"/>
        <v>0</v>
      </c>
      <c r="AAS29" s="205">
        <f t="shared" si="225"/>
        <v>0</v>
      </c>
    </row>
    <row r="30" spans="1:721" s="126" customFormat="1" ht="69.95" customHeight="1">
      <c r="A30" s="117"/>
      <c r="B30" s="190">
        <v>3620101510</v>
      </c>
      <c r="C30" s="325"/>
      <c r="D30" s="154" t="s">
        <v>28</v>
      </c>
      <c r="E30" s="130" t="s">
        <v>4</v>
      </c>
      <c r="F30" s="120"/>
      <c r="G30" s="120"/>
      <c r="H30" s="120"/>
      <c r="I30" s="120"/>
      <c r="J30" s="120"/>
      <c r="K30" s="209"/>
      <c r="L30" s="205"/>
      <c r="M30" s="205">
        <f t="shared" si="121"/>
        <v>0</v>
      </c>
      <c r="N30" s="120"/>
      <c r="O30" s="120"/>
      <c r="P30" s="120"/>
      <c r="Q30" s="120"/>
      <c r="R30" s="120"/>
      <c r="S30" s="209"/>
      <c r="T30" s="205"/>
      <c r="U30" s="205">
        <f t="shared" si="122"/>
        <v>0</v>
      </c>
      <c r="V30" s="120"/>
      <c r="W30" s="120"/>
      <c r="X30" s="120"/>
      <c r="Y30" s="120"/>
      <c r="Z30" s="120"/>
      <c r="AA30" s="209"/>
      <c r="AB30" s="205"/>
      <c r="AC30" s="205">
        <f t="shared" si="123"/>
        <v>0</v>
      </c>
      <c r="AD30" s="205"/>
      <c r="AE30" s="205"/>
      <c r="AF30" s="205"/>
      <c r="AG30" s="205"/>
      <c r="AH30" s="205"/>
      <c r="AI30" s="209"/>
      <c r="AJ30" s="205"/>
      <c r="AK30" s="205">
        <f t="shared" si="124"/>
        <v>0</v>
      </c>
      <c r="AL30" s="205" t="e">
        <f>SUM(#REF!,M30,U30,AC30,AD30:AH30)</f>
        <v>#REF!</v>
      </c>
      <c r="AM30" s="120"/>
      <c r="AN30" s="120"/>
      <c r="AO30" s="120"/>
      <c r="AP30" s="120"/>
      <c r="AQ30" s="120"/>
      <c r="AR30" s="209"/>
      <c r="AS30" s="205"/>
      <c r="AT30" s="205">
        <f t="shared" si="125"/>
        <v>0</v>
      </c>
      <c r="AU30" s="120"/>
      <c r="AV30" s="120"/>
      <c r="AW30" s="120"/>
      <c r="AX30" s="120"/>
      <c r="AY30" s="120"/>
      <c r="AZ30" s="209"/>
      <c r="BA30" s="205"/>
      <c r="BB30" s="205">
        <f t="shared" si="126"/>
        <v>0</v>
      </c>
      <c r="BC30" s="120"/>
      <c r="BD30" s="120"/>
      <c r="BE30" s="120"/>
      <c r="BF30" s="120"/>
      <c r="BG30" s="120"/>
      <c r="BH30" s="209"/>
      <c r="BI30" s="205"/>
      <c r="BJ30" s="205">
        <f t="shared" si="127"/>
        <v>0</v>
      </c>
      <c r="BK30" s="120"/>
      <c r="BL30" s="120"/>
      <c r="BM30" s="120"/>
      <c r="BN30" s="120"/>
      <c r="BO30" s="205"/>
      <c r="BP30" s="209"/>
      <c r="BQ30" s="205"/>
      <c r="BR30" s="205">
        <f t="shared" si="128"/>
        <v>0</v>
      </c>
      <c r="BS30" s="205">
        <f t="shared" si="129"/>
        <v>0</v>
      </c>
      <c r="BT30" s="120"/>
      <c r="BU30" s="120"/>
      <c r="BV30" s="120"/>
      <c r="BW30" s="120"/>
      <c r="BX30" s="120"/>
      <c r="BY30" s="209"/>
      <c r="BZ30" s="205"/>
      <c r="CA30" s="205">
        <f t="shared" si="130"/>
        <v>0</v>
      </c>
      <c r="CB30" s="120"/>
      <c r="CC30" s="120"/>
      <c r="CD30" s="120"/>
      <c r="CE30" s="120"/>
      <c r="CF30" s="120"/>
      <c r="CG30" s="209"/>
      <c r="CH30" s="205"/>
      <c r="CI30" s="205">
        <f t="shared" si="131"/>
        <v>0</v>
      </c>
      <c r="CJ30" s="120"/>
      <c r="CK30" s="120"/>
      <c r="CL30" s="120"/>
      <c r="CM30" s="120"/>
      <c r="CN30" s="120"/>
      <c r="CO30" s="209"/>
      <c r="CP30" s="205"/>
      <c r="CQ30" s="205">
        <f t="shared" si="132"/>
        <v>0</v>
      </c>
      <c r="CR30" s="120"/>
      <c r="CS30" s="120"/>
      <c r="CT30" s="120"/>
      <c r="CU30" s="120"/>
      <c r="CV30" s="120"/>
      <c r="CW30" s="209"/>
      <c r="CX30" s="205"/>
      <c r="CY30" s="205">
        <f t="shared" si="133"/>
        <v>0</v>
      </c>
      <c r="CZ30" s="120"/>
      <c r="DA30" s="120"/>
      <c r="DB30" s="120"/>
      <c r="DC30" s="205"/>
      <c r="DD30" s="205"/>
      <c r="DE30" s="209"/>
      <c r="DF30" s="205"/>
      <c r="DG30" s="205">
        <f t="shared" si="134"/>
        <v>0</v>
      </c>
      <c r="DH30" s="205">
        <f t="shared" si="150"/>
        <v>0</v>
      </c>
      <c r="DI30" s="120"/>
      <c r="DJ30" s="120"/>
      <c r="DK30" s="120"/>
      <c r="DL30" s="120"/>
      <c r="DM30" s="120"/>
      <c r="DN30" s="209"/>
      <c r="DO30" s="205"/>
      <c r="DP30" s="205">
        <f t="shared" si="135"/>
        <v>0</v>
      </c>
      <c r="DQ30" s="120"/>
      <c r="DR30" s="120"/>
      <c r="DS30" s="120"/>
      <c r="DT30" s="120"/>
      <c r="DU30" s="120"/>
      <c r="DV30" s="209"/>
      <c r="DW30" s="205"/>
      <c r="DX30" s="205">
        <f t="shared" si="136"/>
        <v>0</v>
      </c>
      <c r="DY30" s="120"/>
      <c r="DZ30" s="120"/>
      <c r="EA30" s="120"/>
      <c r="EB30" s="120"/>
      <c r="EC30" s="120"/>
      <c r="ED30" s="209"/>
      <c r="EE30" s="205"/>
      <c r="EF30" s="205">
        <f t="shared" si="137"/>
        <v>0</v>
      </c>
      <c r="EG30" s="120"/>
      <c r="EH30" s="120"/>
      <c r="EI30" s="120"/>
      <c r="EJ30" s="205"/>
      <c r="EK30" s="205"/>
      <c r="EL30" s="209"/>
      <c r="EM30" s="205"/>
      <c r="EN30" s="205">
        <f t="shared" si="138"/>
        <v>0</v>
      </c>
      <c r="EO30" s="205">
        <f t="shared" si="151"/>
        <v>0</v>
      </c>
      <c r="EP30" s="120"/>
      <c r="EQ30" s="120"/>
      <c r="ER30" s="120"/>
      <c r="ES30" s="120"/>
      <c r="ET30" s="120"/>
      <c r="EU30" s="209"/>
      <c r="EV30" s="205"/>
      <c r="EW30" s="205">
        <f t="shared" si="139"/>
        <v>0</v>
      </c>
      <c r="EX30" s="120"/>
      <c r="EY30" s="120"/>
      <c r="EZ30" s="120"/>
      <c r="FA30" s="120"/>
      <c r="FB30" s="120"/>
      <c r="FC30" s="209"/>
      <c r="FD30" s="205"/>
      <c r="FE30" s="205">
        <f t="shared" si="140"/>
        <v>0</v>
      </c>
      <c r="FF30" s="120"/>
      <c r="FG30" s="120"/>
      <c r="FH30" s="120"/>
      <c r="FI30" s="120"/>
      <c r="FJ30" s="120"/>
      <c r="FK30" s="209"/>
      <c r="FL30" s="205"/>
      <c r="FM30" s="205">
        <f t="shared" si="141"/>
        <v>0</v>
      </c>
      <c r="FN30" s="120"/>
      <c r="FO30" s="120"/>
      <c r="FP30" s="120"/>
      <c r="FQ30" s="120"/>
      <c r="FR30" s="205"/>
      <c r="FS30" s="209"/>
      <c r="FT30" s="205"/>
      <c r="FU30" s="205">
        <f t="shared" si="142"/>
        <v>0</v>
      </c>
      <c r="FV30" s="205">
        <f t="shared" si="152"/>
        <v>0</v>
      </c>
      <c r="FW30" s="120"/>
      <c r="FX30" s="120"/>
      <c r="FY30" s="120"/>
      <c r="FZ30" s="120"/>
      <c r="GA30" s="120"/>
      <c r="GB30" s="209"/>
      <c r="GC30" s="205"/>
      <c r="GD30" s="205">
        <f t="shared" si="143"/>
        <v>0</v>
      </c>
      <c r="GE30" s="120"/>
      <c r="GF30" s="120"/>
      <c r="GG30" s="120"/>
      <c r="GH30" s="120"/>
      <c r="GI30" s="120"/>
      <c r="GJ30" s="209"/>
      <c r="GK30" s="205"/>
      <c r="GL30" s="205">
        <f t="shared" si="144"/>
        <v>0</v>
      </c>
      <c r="GM30" s="120"/>
      <c r="GN30" s="120"/>
      <c r="GO30" s="120"/>
      <c r="GP30" s="120"/>
      <c r="GQ30" s="120"/>
      <c r="GR30" s="209"/>
      <c r="GS30" s="205"/>
      <c r="GT30" s="205">
        <f t="shared" si="145"/>
        <v>0</v>
      </c>
      <c r="GU30" s="120"/>
      <c r="GV30" s="120"/>
      <c r="GW30" s="120"/>
      <c r="GX30" s="120"/>
      <c r="GY30" s="120"/>
      <c r="GZ30" s="209"/>
      <c r="HA30" s="205"/>
      <c r="HB30" s="205">
        <f t="shared" si="146"/>
        <v>0</v>
      </c>
      <c r="HC30" s="120"/>
      <c r="HD30" s="120"/>
      <c r="HE30" s="120"/>
      <c r="HF30" s="120"/>
      <c r="HG30" s="120"/>
      <c r="HH30" s="209"/>
      <c r="HI30" s="205"/>
      <c r="HJ30" s="205">
        <f t="shared" si="147"/>
        <v>0</v>
      </c>
      <c r="HK30" s="205">
        <f t="shared" si="153"/>
        <v>0</v>
      </c>
      <c r="HL30" s="124"/>
      <c r="HM30" s="120"/>
      <c r="HN30" s="120"/>
      <c r="HO30" s="120"/>
      <c r="HP30" s="120"/>
      <c r="HQ30" s="205"/>
      <c r="HR30" s="205"/>
      <c r="HS30" s="205">
        <f t="shared" si="154"/>
        <v>0</v>
      </c>
      <c r="HT30" s="120"/>
      <c r="HU30" s="120"/>
      <c r="HV30" s="120"/>
      <c r="HW30" s="120"/>
      <c r="HX30" s="120"/>
      <c r="HY30" s="205"/>
      <c r="HZ30" s="205"/>
      <c r="IA30" s="205">
        <f t="shared" si="155"/>
        <v>0</v>
      </c>
      <c r="IB30" s="120"/>
      <c r="IC30" s="120"/>
      <c r="ID30" s="120"/>
      <c r="IE30" s="120"/>
      <c r="IF30" s="120"/>
      <c r="IG30" s="205"/>
      <c r="IH30" s="205"/>
      <c r="II30" s="205">
        <f t="shared" si="156"/>
        <v>0</v>
      </c>
      <c r="IJ30" s="120"/>
      <c r="IK30" s="120"/>
      <c r="IL30" s="120"/>
      <c r="IM30" s="120"/>
      <c r="IN30" s="120"/>
      <c r="IO30" s="205"/>
      <c r="IP30" s="205"/>
      <c r="IQ30" s="205">
        <f t="shared" si="157"/>
        <v>0</v>
      </c>
      <c r="IR30" s="205">
        <f t="shared" si="158"/>
        <v>0</v>
      </c>
      <c r="IS30" s="120"/>
      <c r="IT30" s="120"/>
      <c r="IU30" s="120"/>
      <c r="IV30" s="120"/>
      <c r="IW30" s="120"/>
      <c r="IX30" s="205"/>
      <c r="IY30" s="205"/>
      <c r="IZ30" s="205">
        <f t="shared" si="159"/>
        <v>0</v>
      </c>
      <c r="JA30" s="120"/>
      <c r="JB30" s="120"/>
      <c r="JC30" s="120"/>
      <c r="JD30" s="120"/>
      <c r="JE30" s="120"/>
      <c r="JF30" s="205"/>
      <c r="JG30" s="205"/>
      <c r="JH30" s="205">
        <f t="shared" si="160"/>
        <v>0</v>
      </c>
      <c r="JI30" s="120"/>
      <c r="JJ30" s="120"/>
      <c r="JK30" s="120"/>
      <c r="JL30" s="120"/>
      <c r="JM30" s="120"/>
      <c r="JN30" s="205"/>
      <c r="JO30" s="205"/>
      <c r="JP30" s="205">
        <f t="shared" si="161"/>
        <v>0</v>
      </c>
      <c r="JQ30" s="120"/>
      <c r="JR30" s="120"/>
      <c r="JS30" s="120"/>
      <c r="JT30" s="120"/>
      <c r="JU30" s="120"/>
      <c r="JV30" s="205"/>
      <c r="JW30" s="205"/>
      <c r="JX30" s="205">
        <f t="shared" si="162"/>
        <v>0</v>
      </c>
      <c r="JY30" s="205">
        <f t="shared" si="163"/>
        <v>0</v>
      </c>
      <c r="JZ30" s="120"/>
      <c r="KA30" s="120"/>
      <c r="KB30" s="120"/>
      <c r="KC30" s="120"/>
      <c r="KD30" s="120"/>
      <c r="KE30" s="205"/>
      <c r="KF30" s="205"/>
      <c r="KG30" s="205">
        <f t="shared" si="164"/>
        <v>0</v>
      </c>
      <c r="KH30" s="120"/>
      <c r="KI30" s="120"/>
      <c r="KJ30" s="120"/>
      <c r="KK30" s="120"/>
      <c r="KL30" s="120"/>
      <c r="KM30" s="205"/>
      <c r="KN30" s="205"/>
      <c r="KO30" s="205">
        <f t="shared" si="165"/>
        <v>0</v>
      </c>
      <c r="KP30" s="120"/>
      <c r="KQ30" s="120"/>
      <c r="KR30" s="120"/>
      <c r="KS30" s="120"/>
      <c r="KT30" s="120"/>
      <c r="KU30" s="205"/>
      <c r="KV30" s="205"/>
      <c r="KW30" s="205">
        <f t="shared" si="166"/>
        <v>0</v>
      </c>
      <c r="KX30" s="120"/>
      <c r="KY30" s="120"/>
      <c r="KZ30" s="120"/>
      <c r="LA30" s="120"/>
      <c r="LB30" s="120"/>
      <c r="LC30" s="205"/>
      <c r="LD30" s="205"/>
      <c r="LE30" s="205">
        <f t="shared" si="167"/>
        <v>0</v>
      </c>
      <c r="LF30" s="205"/>
      <c r="LG30" s="120"/>
      <c r="LH30" s="120"/>
      <c r="LI30" s="120"/>
      <c r="LJ30" s="120"/>
      <c r="LK30" s="205"/>
      <c r="LL30" s="205"/>
      <c r="LM30" s="205">
        <f t="shared" si="168"/>
        <v>0</v>
      </c>
      <c r="LN30" s="205">
        <f t="shared" si="169"/>
        <v>0</v>
      </c>
      <c r="LO30" s="205"/>
      <c r="LP30" s="120"/>
      <c r="LQ30" s="120"/>
      <c r="LR30" s="120"/>
      <c r="LS30" s="205"/>
      <c r="LT30" s="205"/>
      <c r="LU30" s="205"/>
      <c r="LV30" s="205">
        <f t="shared" si="170"/>
        <v>0</v>
      </c>
      <c r="LW30" s="120"/>
      <c r="LX30" s="120"/>
      <c r="LY30" s="120"/>
      <c r="LZ30" s="120"/>
      <c r="MA30" s="120"/>
      <c r="MB30" s="205"/>
      <c r="MC30" s="205"/>
      <c r="MD30" s="205">
        <f t="shared" si="171"/>
        <v>0</v>
      </c>
      <c r="ME30" s="120"/>
      <c r="MF30" s="120"/>
      <c r="MG30" s="120"/>
      <c r="MH30" s="120"/>
      <c r="MI30" s="205"/>
      <c r="MJ30" s="205"/>
      <c r="MK30" s="205"/>
      <c r="ML30" s="205">
        <f t="shared" si="172"/>
        <v>0</v>
      </c>
      <c r="MM30" s="120"/>
      <c r="MN30" s="120"/>
      <c r="MO30" s="120"/>
      <c r="MP30" s="120"/>
      <c r="MQ30" s="120"/>
      <c r="MR30" s="205"/>
      <c r="MS30" s="205"/>
      <c r="MT30" s="205">
        <f t="shared" si="173"/>
        <v>0</v>
      </c>
      <c r="MU30" s="205">
        <f t="shared" si="174"/>
        <v>0</v>
      </c>
      <c r="MV30" s="120"/>
      <c r="MW30" s="120"/>
      <c r="MX30" s="120"/>
      <c r="MY30" s="120"/>
      <c r="MZ30" s="120"/>
      <c r="NA30" s="205"/>
      <c r="NB30" s="205"/>
      <c r="NC30" s="205">
        <f t="shared" si="175"/>
        <v>0</v>
      </c>
      <c r="ND30" s="120"/>
      <c r="NE30" s="120"/>
      <c r="NF30" s="120"/>
      <c r="NG30" s="120"/>
      <c r="NH30" s="120"/>
      <c r="NI30" s="205"/>
      <c r="NJ30" s="205"/>
      <c r="NK30" s="205">
        <f t="shared" si="176"/>
        <v>0</v>
      </c>
      <c r="NL30" s="120"/>
      <c r="NM30" s="120"/>
      <c r="NN30" s="120"/>
      <c r="NO30" s="120"/>
      <c r="NP30" s="120"/>
      <c r="NQ30" s="205"/>
      <c r="NR30" s="205"/>
      <c r="NS30" s="205">
        <f t="shared" si="177"/>
        <v>0</v>
      </c>
      <c r="NT30" s="120"/>
      <c r="NU30" s="120"/>
      <c r="NV30" s="120"/>
      <c r="NW30" s="120"/>
      <c r="NX30" s="120"/>
      <c r="NY30" s="205"/>
      <c r="NZ30" s="205"/>
      <c r="OA30" s="205">
        <f t="shared" si="178"/>
        <v>0</v>
      </c>
      <c r="OB30" s="205">
        <f t="shared" si="179"/>
        <v>0</v>
      </c>
      <c r="OC30" s="120"/>
      <c r="OD30" s="120"/>
      <c r="OE30" s="120"/>
      <c r="OF30" s="120"/>
      <c r="OG30" s="120"/>
      <c r="OH30" s="205"/>
      <c r="OI30" s="205"/>
      <c r="OJ30" s="205">
        <f t="shared" si="180"/>
        <v>0</v>
      </c>
      <c r="OK30" s="120"/>
      <c r="OL30" s="120"/>
      <c r="OM30" s="120"/>
      <c r="ON30" s="120"/>
      <c r="OO30" s="120"/>
      <c r="OP30" s="205"/>
      <c r="OQ30" s="205"/>
      <c r="OR30" s="205">
        <f t="shared" si="181"/>
        <v>0</v>
      </c>
      <c r="OS30" s="120"/>
      <c r="OT30" s="120"/>
      <c r="OU30" s="120"/>
      <c r="OV30" s="120"/>
      <c r="OW30" s="120"/>
      <c r="OX30" s="205"/>
      <c r="OY30" s="205"/>
      <c r="OZ30" s="205">
        <f t="shared" si="182"/>
        <v>0</v>
      </c>
      <c r="PA30" s="120"/>
      <c r="PB30" s="120"/>
      <c r="PC30" s="120"/>
      <c r="PD30" s="205"/>
      <c r="PE30" s="217"/>
      <c r="PF30" s="205"/>
      <c r="PG30" s="205"/>
      <c r="PH30" s="205">
        <f t="shared" si="183"/>
        <v>0</v>
      </c>
      <c r="PI30" s="120"/>
      <c r="PJ30" s="120"/>
      <c r="PK30" s="120"/>
      <c r="PL30" s="205"/>
      <c r="PM30" s="217"/>
      <c r="PN30" s="205"/>
      <c r="PO30" s="205"/>
      <c r="PP30" s="205">
        <f t="shared" si="184"/>
        <v>0</v>
      </c>
      <c r="PQ30" s="205">
        <f t="shared" si="185"/>
        <v>0</v>
      </c>
      <c r="PR30" s="207"/>
      <c r="PS30" s="207"/>
      <c r="PT30" s="207"/>
      <c r="PU30" s="207"/>
      <c r="PV30" s="207"/>
      <c r="PW30" s="272"/>
      <c r="PX30" s="272"/>
      <c r="PY30" s="205">
        <f t="shared" si="186"/>
        <v>0</v>
      </c>
      <c r="PZ30" s="207"/>
      <c r="QA30" s="207"/>
      <c r="QB30" s="207"/>
      <c r="QC30" s="207"/>
      <c r="QD30" s="207"/>
      <c r="QE30" s="272"/>
      <c r="QF30" s="272"/>
      <c r="QG30" s="205">
        <f t="shared" si="187"/>
        <v>0</v>
      </c>
      <c r="QH30" s="207"/>
      <c r="QI30" s="207"/>
      <c r="QJ30" s="294"/>
      <c r="QK30" s="207"/>
      <c r="QL30" s="207"/>
      <c r="QM30" s="272"/>
      <c r="QN30" s="272"/>
      <c r="QO30" s="205">
        <f t="shared" si="188"/>
        <v>0</v>
      </c>
      <c r="QP30" s="207"/>
      <c r="QQ30" s="207"/>
      <c r="QR30" s="207"/>
      <c r="QS30" s="207"/>
      <c r="QT30" s="207"/>
      <c r="QU30" s="272"/>
      <c r="QV30" s="272"/>
      <c r="QW30" s="205">
        <f t="shared" si="189"/>
        <v>0</v>
      </c>
      <c r="QX30" s="205">
        <f t="shared" si="190"/>
        <v>0</v>
      </c>
      <c r="QY30" s="207"/>
      <c r="QZ30" s="207"/>
      <c r="RA30" s="207"/>
      <c r="RB30" s="207"/>
      <c r="RC30" s="207"/>
      <c r="RD30" s="272"/>
      <c r="RE30" s="272"/>
      <c r="RF30" s="205">
        <f t="shared" si="191"/>
        <v>0</v>
      </c>
      <c r="RG30" s="207"/>
      <c r="RH30" s="207"/>
      <c r="RI30" s="207"/>
      <c r="RJ30" s="207"/>
      <c r="RK30" s="207"/>
      <c r="RL30" s="272"/>
      <c r="RM30" s="272"/>
      <c r="RN30" s="205">
        <f t="shared" si="192"/>
        <v>0</v>
      </c>
      <c r="RO30" s="272"/>
      <c r="RP30" s="272"/>
      <c r="RQ30" s="272"/>
      <c r="RR30" s="272"/>
      <c r="RS30" s="272"/>
      <c r="RT30" s="272"/>
      <c r="RU30" s="272"/>
      <c r="RV30" s="205">
        <f t="shared" si="193"/>
        <v>0</v>
      </c>
      <c r="RW30" s="207"/>
      <c r="RX30" s="207"/>
      <c r="RY30" s="207"/>
      <c r="RZ30" s="207"/>
      <c r="SA30" s="272"/>
      <c r="SB30" s="272"/>
      <c r="SC30" s="272"/>
      <c r="SD30" s="205">
        <f t="shared" si="194"/>
        <v>0</v>
      </c>
      <c r="SE30" s="205">
        <f>SUM(SD30,RV30,RN30,RF30,QV30)</f>
        <v>0</v>
      </c>
      <c r="SF30" s="207"/>
      <c r="SG30" s="207"/>
      <c r="SH30" s="207"/>
      <c r="SI30" s="207"/>
      <c r="SJ30" s="207"/>
      <c r="SK30" s="272"/>
      <c r="SL30" s="272"/>
      <c r="SM30" s="205">
        <f t="shared" si="196"/>
        <v>0</v>
      </c>
      <c r="SN30" s="207"/>
      <c r="SO30" s="207"/>
      <c r="SP30" s="207"/>
      <c r="SQ30" s="207"/>
      <c r="SR30" s="207"/>
      <c r="SS30" s="272"/>
      <c r="ST30" s="272"/>
      <c r="SU30" s="205">
        <f t="shared" si="197"/>
        <v>0</v>
      </c>
      <c r="SV30" s="207"/>
      <c r="SW30" s="207"/>
      <c r="SX30" s="207"/>
      <c r="SY30" s="207"/>
      <c r="SZ30" s="207"/>
      <c r="TA30" s="272"/>
      <c r="TB30" s="272"/>
      <c r="TC30" s="205">
        <f t="shared" si="198"/>
        <v>0</v>
      </c>
      <c r="TD30" s="207"/>
      <c r="TE30" s="207"/>
      <c r="TF30" s="207"/>
      <c r="TG30" s="207"/>
      <c r="TH30" s="207"/>
      <c r="TI30" s="272"/>
      <c r="TJ30" s="272"/>
      <c r="TK30" s="205">
        <f t="shared" si="199"/>
        <v>0</v>
      </c>
      <c r="TL30" s="207"/>
      <c r="TM30" s="207"/>
      <c r="TN30" s="207"/>
      <c r="TO30" s="207"/>
      <c r="TP30" s="272"/>
      <c r="TQ30" s="272"/>
      <c r="TR30" s="272"/>
      <c r="TS30" s="205">
        <f t="shared" si="200"/>
        <v>0</v>
      </c>
      <c r="TT30" s="205">
        <f t="shared" si="201"/>
        <v>0</v>
      </c>
      <c r="TU30" s="272"/>
      <c r="TV30" s="207"/>
      <c r="TW30" s="207"/>
      <c r="TX30" s="207"/>
      <c r="TY30" s="207"/>
      <c r="TZ30" s="272"/>
      <c r="UA30" s="272"/>
      <c r="UB30" s="205">
        <f t="shared" si="202"/>
        <v>0</v>
      </c>
      <c r="UC30" s="207"/>
      <c r="UD30" s="207"/>
      <c r="UE30" s="207"/>
      <c r="UF30" s="207"/>
      <c r="UG30" s="207"/>
      <c r="UH30" s="272"/>
      <c r="UI30" s="272"/>
      <c r="UJ30" s="205">
        <f t="shared" si="203"/>
        <v>0</v>
      </c>
      <c r="UK30" s="207"/>
      <c r="UL30" s="207"/>
      <c r="UM30" s="207"/>
      <c r="UN30" s="207"/>
      <c r="UO30" s="207"/>
      <c r="UP30" s="272"/>
      <c r="UQ30" s="272"/>
      <c r="UR30" s="205">
        <f t="shared" si="227"/>
        <v>0</v>
      </c>
      <c r="US30" s="207"/>
      <c r="UT30" s="207"/>
      <c r="UU30" s="207"/>
      <c r="UV30" s="207"/>
      <c r="UW30" s="272"/>
      <c r="UX30" s="272"/>
      <c r="UY30" s="272"/>
      <c r="UZ30" s="205">
        <f t="shared" si="204"/>
        <v>0</v>
      </c>
      <c r="VA30" s="205">
        <f t="shared" si="205"/>
        <v>0</v>
      </c>
      <c r="VB30" s="207"/>
      <c r="VC30" s="207"/>
      <c r="VD30" s="207"/>
      <c r="VE30" s="207"/>
      <c r="VF30" s="207"/>
      <c r="VG30" s="272"/>
      <c r="VH30" s="272"/>
      <c r="VI30" s="205">
        <f t="shared" si="206"/>
        <v>0</v>
      </c>
      <c r="VJ30" s="207"/>
      <c r="VK30" s="207"/>
      <c r="VL30" s="207"/>
      <c r="VM30" s="207"/>
      <c r="VN30" s="207"/>
      <c r="VO30" s="272"/>
      <c r="VP30" s="272"/>
      <c r="VQ30" s="205">
        <f t="shared" si="207"/>
        <v>0</v>
      </c>
      <c r="VR30" s="207"/>
      <c r="VS30" s="207"/>
      <c r="VT30" s="207"/>
      <c r="VU30" s="207"/>
      <c r="VV30" s="207"/>
      <c r="VW30" s="272"/>
      <c r="VX30" s="272"/>
      <c r="VY30" s="205">
        <f t="shared" si="208"/>
        <v>0</v>
      </c>
      <c r="VZ30" s="207"/>
      <c r="WA30" s="207"/>
      <c r="WB30" s="207"/>
      <c r="WC30" s="207"/>
      <c r="WD30" s="207"/>
      <c r="WE30" s="272"/>
      <c r="WF30" s="272"/>
      <c r="WG30" s="205">
        <f t="shared" si="209"/>
        <v>0</v>
      </c>
      <c r="WH30" s="205">
        <f t="shared" si="210"/>
        <v>0</v>
      </c>
      <c r="WI30" s="207"/>
      <c r="WJ30" s="207"/>
      <c r="WK30" s="207"/>
      <c r="WL30" s="207"/>
      <c r="WM30" s="207"/>
      <c r="WN30" s="272"/>
      <c r="WO30" s="272"/>
      <c r="WP30" s="205">
        <f t="shared" si="211"/>
        <v>0</v>
      </c>
      <c r="WQ30" s="207"/>
      <c r="WR30" s="207"/>
      <c r="WS30" s="207"/>
      <c r="WT30" s="207"/>
      <c r="WU30" s="207"/>
      <c r="WV30" s="272"/>
      <c r="WW30" s="272"/>
      <c r="WX30" s="205">
        <f t="shared" si="212"/>
        <v>0</v>
      </c>
      <c r="WY30" s="207"/>
      <c r="WZ30" s="207"/>
      <c r="XA30" s="207"/>
      <c r="XB30" s="207"/>
      <c r="XC30" s="272"/>
      <c r="XD30" s="272"/>
      <c r="XE30" s="272"/>
      <c r="XF30" s="205">
        <f t="shared" si="213"/>
        <v>0</v>
      </c>
      <c r="XG30" s="207"/>
      <c r="XH30" s="207"/>
      <c r="XI30" s="207"/>
      <c r="XJ30" s="207"/>
      <c r="XK30" s="207"/>
      <c r="XL30" s="272"/>
      <c r="XM30" s="272"/>
      <c r="XN30" s="205">
        <f t="shared" si="214"/>
        <v>0</v>
      </c>
      <c r="XO30" s="207"/>
      <c r="XP30" s="207"/>
      <c r="XQ30" s="207"/>
      <c r="XR30" s="207"/>
      <c r="XS30" s="207"/>
      <c r="XT30" s="272"/>
      <c r="XU30" s="272"/>
      <c r="XV30" s="205">
        <f t="shared" si="215"/>
        <v>0</v>
      </c>
      <c r="XW30" s="205">
        <f t="shared" si="216"/>
        <v>0</v>
      </c>
      <c r="XX30" s="207"/>
      <c r="XY30" s="207"/>
      <c r="XZ30" s="207"/>
      <c r="YA30" s="207"/>
      <c r="YB30" s="207"/>
      <c r="YC30" s="272"/>
      <c r="YD30" s="272"/>
      <c r="YE30" s="205">
        <f t="shared" si="217"/>
        <v>0</v>
      </c>
      <c r="YF30" s="207"/>
      <c r="YG30" s="207"/>
      <c r="YH30" s="207"/>
      <c r="YI30" s="207"/>
      <c r="YJ30" s="207"/>
      <c r="YK30" s="272"/>
      <c r="YL30" s="272"/>
      <c r="YM30" s="205">
        <f t="shared" si="218"/>
        <v>0</v>
      </c>
      <c r="YN30" s="207"/>
      <c r="YO30" s="207"/>
      <c r="YP30" s="207"/>
      <c r="YQ30" s="207"/>
      <c r="YR30" s="207"/>
      <c r="YS30" s="272"/>
      <c r="YT30" s="272"/>
      <c r="YU30" s="205">
        <f t="shared" si="148"/>
        <v>0</v>
      </c>
      <c r="YV30" s="207"/>
      <c r="YW30" s="207"/>
      <c r="YX30" s="207"/>
      <c r="YY30" s="207"/>
      <c r="YZ30" s="207"/>
      <c r="ZA30" s="272"/>
      <c r="ZB30" s="272"/>
      <c r="ZC30" s="205">
        <f t="shared" si="219"/>
        <v>0</v>
      </c>
      <c r="ZD30" s="205">
        <f t="shared" si="149"/>
        <v>0</v>
      </c>
      <c r="ZE30" s="207"/>
      <c r="ZF30" s="207"/>
      <c r="ZG30" s="207"/>
      <c r="ZH30" s="207"/>
      <c r="ZI30" s="207"/>
      <c r="ZJ30" s="272"/>
      <c r="ZK30" s="272"/>
      <c r="ZL30" s="205">
        <f t="shared" si="220"/>
        <v>0</v>
      </c>
      <c r="ZM30" s="207"/>
      <c r="ZN30" s="207"/>
      <c r="ZO30" s="207"/>
      <c r="ZP30" s="207"/>
      <c r="ZQ30" s="207"/>
      <c r="ZR30" s="272"/>
      <c r="ZS30" s="272"/>
      <c r="ZT30" s="205">
        <f t="shared" si="221"/>
        <v>0</v>
      </c>
      <c r="ZU30" s="207"/>
      <c r="ZV30" s="207"/>
      <c r="ZW30" s="207"/>
      <c r="ZX30" s="207"/>
      <c r="ZY30" s="207"/>
      <c r="ZZ30" s="272"/>
      <c r="AAA30" s="272"/>
      <c r="AAB30" s="205">
        <f t="shared" si="222"/>
        <v>0</v>
      </c>
      <c r="AAC30" s="207"/>
      <c r="AAD30" s="207"/>
      <c r="AAE30" s="207"/>
      <c r="AAF30" s="207"/>
      <c r="AAG30" s="207"/>
      <c r="AAH30" s="272"/>
      <c r="AAI30" s="272"/>
      <c r="AAJ30" s="205">
        <f t="shared" si="223"/>
        <v>0</v>
      </c>
      <c r="AAK30" s="207"/>
      <c r="AAL30" s="207"/>
      <c r="AAM30" s="207"/>
      <c r="AAN30" s="207"/>
      <c r="AAO30" s="207"/>
      <c r="AAP30" s="272"/>
      <c r="AAQ30" s="272"/>
      <c r="AAR30" s="205">
        <f t="shared" si="224"/>
        <v>0</v>
      </c>
      <c r="AAS30" s="205">
        <f t="shared" si="225"/>
        <v>0</v>
      </c>
    </row>
    <row r="31" spans="1:721" s="126" customFormat="1" ht="69.95" customHeight="1">
      <c r="A31" s="117" t="s">
        <v>6</v>
      </c>
      <c r="B31" s="155">
        <v>3620102501</v>
      </c>
      <c r="C31" s="323"/>
      <c r="D31" s="156" t="s">
        <v>489</v>
      </c>
      <c r="E31" s="130" t="s">
        <v>4</v>
      </c>
      <c r="F31" s="120"/>
      <c r="G31" s="120"/>
      <c r="H31" s="120"/>
      <c r="I31" s="120"/>
      <c r="J31" s="120"/>
      <c r="K31" s="209"/>
      <c r="L31" s="205"/>
      <c r="M31" s="205">
        <f t="shared" si="121"/>
        <v>0</v>
      </c>
      <c r="N31" s="120"/>
      <c r="O31" s="120"/>
      <c r="P31" s="120"/>
      <c r="Q31" s="120"/>
      <c r="R31" s="120"/>
      <c r="S31" s="209"/>
      <c r="T31" s="205"/>
      <c r="U31" s="205">
        <f t="shared" si="122"/>
        <v>0</v>
      </c>
      <c r="V31" s="120"/>
      <c r="W31" s="120"/>
      <c r="X31" s="120"/>
      <c r="Y31" s="120"/>
      <c r="Z31" s="120"/>
      <c r="AA31" s="209"/>
      <c r="AB31" s="205"/>
      <c r="AC31" s="205">
        <f t="shared" si="123"/>
        <v>0</v>
      </c>
      <c r="AD31" s="205"/>
      <c r="AE31" s="205"/>
      <c r="AF31" s="205"/>
      <c r="AG31" s="205"/>
      <c r="AH31" s="205"/>
      <c r="AI31" s="209"/>
      <c r="AJ31" s="205"/>
      <c r="AK31" s="205">
        <f t="shared" si="124"/>
        <v>0</v>
      </c>
      <c r="AL31" s="205" t="e">
        <f>SUM(#REF!,M31,U31,AC31,AD31:AH31)</f>
        <v>#REF!</v>
      </c>
      <c r="AM31" s="120"/>
      <c r="AN31" s="120"/>
      <c r="AO31" s="120"/>
      <c r="AP31" s="120"/>
      <c r="AQ31" s="120"/>
      <c r="AR31" s="209"/>
      <c r="AS31" s="205"/>
      <c r="AT31" s="205">
        <f t="shared" si="125"/>
        <v>0</v>
      </c>
      <c r="AU31" s="120"/>
      <c r="AV31" s="120"/>
      <c r="AW31" s="120"/>
      <c r="AX31" s="120"/>
      <c r="AY31" s="120"/>
      <c r="AZ31" s="209"/>
      <c r="BA31" s="205"/>
      <c r="BB31" s="205">
        <f t="shared" si="126"/>
        <v>0</v>
      </c>
      <c r="BC31" s="120"/>
      <c r="BD31" s="120"/>
      <c r="BE31" s="217">
        <v>400</v>
      </c>
      <c r="BF31" s="120"/>
      <c r="BG31" s="120"/>
      <c r="BH31" s="209"/>
      <c r="BI31" s="205"/>
      <c r="BJ31" s="205">
        <f t="shared" si="127"/>
        <v>400</v>
      </c>
      <c r="BK31" s="120"/>
      <c r="BL31" s="120"/>
      <c r="BM31" s="120"/>
      <c r="BN31" s="120"/>
      <c r="BO31" s="205"/>
      <c r="BP31" s="209"/>
      <c r="BQ31" s="205"/>
      <c r="BR31" s="205">
        <f t="shared" si="128"/>
        <v>0</v>
      </c>
      <c r="BS31" s="205">
        <f t="shared" si="129"/>
        <v>400</v>
      </c>
      <c r="BT31" s="120"/>
      <c r="BU31" s="120"/>
      <c r="BV31" s="120"/>
      <c r="BW31" s="120"/>
      <c r="BX31" s="120"/>
      <c r="BY31" s="209"/>
      <c r="BZ31" s="205"/>
      <c r="CA31" s="205">
        <f t="shared" si="130"/>
        <v>0</v>
      </c>
      <c r="CB31" s="120"/>
      <c r="CC31" s="120"/>
      <c r="CD31" s="120"/>
      <c r="CE31" s="120"/>
      <c r="CF31" s="120"/>
      <c r="CG31" s="209"/>
      <c r="CH31" s="205"/>
      <c r="CI31" s="205">
        <f t="shared" si="131"/>
        <v>0</v>
      </c>
      <c r="CJ31" s="120"/>
      <c r="CK31" s="120"/>
      <c r="CL31" s="120"/>
      <c r="CM31" s="120"/>
      <c r="CN31" s="120"/>
      <c r="CO31" s="209"/>
      <c r="CP31" s="205"/>
      <c r="CQ31" s="205">
        <f t="shared" si="132"/>
        <v>0</v>
      </c>
      <c r="CR31" s="120"/>
      <c r="CS31" s="120"/>
      <c r="CT31" s="120"/>
      <c r="CU31" s="120"/>
      <c r="CV31" s="120"/>
      <c r="CW31" s="209"/>
      <c r="CX31" s="205"/>
      <c r="CY31" s="205">
        <f t="shared" si="133"/>
        <v>0</v>
      </c>
      <c r="CZ31" s="120"/>
      <c r="DA31" s="120"/>
      <c r="DB31" s="120"/>
      <c r="DC31" s="205"/>
      <c r="DD31" s="205"/>
      <c r="DE31" s="209"/>
      <c r="DF31" s="205"/>
      <c r="DG31" s="205">
        <f t="shared" si="134"/>
        <v>0</v>
      </c>
      <c r="DH31" s="205">
        <f t="shared" si="150"/>
        <v>0</v>
      </c>
      <c r="DI31" s="120"/>
      <c r="DJ31" s="120"/>
      <c r="DK31" s="120"/>
      <c r="DL31" s="120"/>
      <c r="DM31" s="120"/>
      <c r="DN31" s="209"/>
      <c r="DO31" s="205"/>
      <c r="DP31" s="205">
        <f t="shared" si="135"/>
        <v>0</v>
      </c>
      <c r="DQ31" s="120"/>
      <c r="DR31" s="120"/>
      <c r="DS31" s="120"/>
      <c r="DT31" s="120"/>
      <c r="DU31" s="120"/>
      <c r="DV31" s="209"/>
      <c r="DW31" s="205"/>
      <c r="DX31" s="205">
        <f t="shared" si="136"/>
        <v>0</v>
      </c>
      <c r="DY31" s="120"/>
      <c r="DZ31" s="120"/>
      <c r="EA31" s="120"/>
      <c r="EB31" s="120"/>
      <c r="EC31" s="120"/>
      <c r="ED31" s="209"/>
      <c r="EE31" s="205"/>
      <c r="EF31" s="205">
        <f t="shared" si="137"/>
        <v>0</v>
      </c>
      <c r="EG31" s="120"/>
      <c r="EH31" s="120"/>
      <c r="EI31" s="120"/>
      <c r="EJ31" s="205"/>
      <c r="EK31" s="205"/>
      <c r="EL31" s="209"/>
      <c r="EM31" s="205"/>
      <c r="EN31" s="205">
        <f t="shared" si="138"/>
        <v>0</v>
      </c>
      <c r="EO31" s="205">
        <f t="shared" si="151"/>
        <v>0</v>
      </c>
      <c r="EP31" s="120"/>
      <c r="EQ31" s="120"/>
      <c r="ER31" s="120"/>
      <c r="ES31" s="120"/>
      <c r="ET31" s="120"/>
      <c r="EU31" s="209"/>
      <c r="EV31" s="205"/>
      <c r="EW31" s="205">
        <f t="shared" si="139"/>
        <v>0</v>
      </c>
      <c r="EX31" s="120"/>
      <c r="EY31" s="120"/>
      <c r="EZ31" s="120"/>
      <c r="FA31" s="120"/>
      <c r="FB31" s="120"/>
      <c r="FC31" s="209"/>
      <c r="FD31" s="205"/>
      <c r="FE31" s="205">
        <f t="shared" si="140"/>
        <v>0</v>
      </c>
      <c r="FF31" s="120"/>
      <c r="FG31" s="120"/>
      <c r="FH31" s="120"/>
      <c r="FI31" s="120"/>
      <c r="FJ31" s="120"/>
      <c r="FK31" s="209"/>
      <c r="FL31" s="205"/>
      <c r="FM31" s="205">
        <f t="shared" si="141"/>
        <v>0</v>
      </c>
      <c r="FN31" s="120"/>
      <c r="FO31" s="120"/>
      <c r="FP31" s="120"/>
      <c r="FQ31" s="120"/>
      <c r="FR31" s="205"/>
      <c r="FS31" s="209"/>
      <c r="FT31" s="205"/>
      <c r="FU31" s="205">
        <f t="shared" si="142"/>
        <v>0</v>
      </c>
      <c r="FV31" s="205">
        <f t="shared" si="152"/>
        <v>0</v>
      </c>
      <c r="FW31" s="120"/>
      <c r="FX31" s="120"/>
      <c r="FY31" s="120"/>
      <c r="FZ31" s="120"/>
      <c r="GA31" s="120"/>
      <c r="GB31" s="209"/>
      <c r="GC31" s="205"/>
      <c r="GD31" s="205">
        <f t="shared" si="143"/>
        <v>0</v>
      </c>
      <c r="GE31" s="120"/>
      <c r="GF31" s="120"/>
      <c r="GG31" s="120"/>
      <c r="GH31" s="120"/>
      <c r="GI31" s="120"/>
      <c r="GJ31" s="209"/>
      <c r="GK31" s="205"/>
      <c r="GL31" s="205">
        <f t="shared" si="144"/>
        <v>0</v>
      </c>
      <c r="GM31" s="120"/>
      <c r="GN31" s="120"/>
      <c r="GO31" s="120"/>
      <c r="GP31" s="120"/>
      <c r="GQ31" s="120"/>
      <c r="GR31" s="209"/>
      <c r="GS31" s="205"/>
      <c r="GT31" s="205">
        <f t="shared" si="145"/>
        <v>0</v>
      </c>
      <c r="GU31" s="120"/>
      <c r="GV31" s="120"/>
      <c r="GW31" s="120"/>
      <c r="GX31" s="120"/>
      <c r="GY31" s="120"/>
      <c r="GZ31" s="209"/>
      <c r="HA31" s="205"/>
      <c r="HB31" s="205">
        <f t="shared" si="146"/>
        <v>0</v>
      </c>
      <c r="HC31" s="120"/>
      <c r="HD31" s="120"/>
      <c r="HE31" s="120"/>
      <c r="HF31" s="120"/>
      <c r="HG31" s="120"/>
      <c r="HH31" s="209"/>
      <c r="HI31" s="205"/>
      <c r="HJ31" s="205">
        <f t="shared" si="147"/>
        <v>0</v>
      </c>
      <c r="HK31" s="205">
        <f t="shared" si="153"/>
        <v>0</v>
      </c>
      <c r="HL31" s="124"/>
      <c r="HM31" s="120"/>
      <c r="HN31" s="120"/>
      <c r="HO31" s="120"/>
      <c r="HP31" s="120"/>
      <c r="HQ31" s="205"/>
      <c r="HR31" s="205"/>
      <c r="HS31" s="205">
        <f t="shared" si="154"/>
        <v>0</v>
      </c>
      <c r="HT31" s="120"/>
      <c r="HU31" s="120"/>
      <c r="HV31" s="120"/>
      <c r="HW31" s="120"/>
      <c r="HX31" s="120"/>
      <c r="HY31" s="205"/>
      <c r="HZ31" s="205"/>
      <c r="IA31" s="205">
        <f t="shared" si="155"/>
        <v>0</v>
      </c>
      <c r="IB31" s="120"/>
      <c r="IC31" s="120"/>
      <c r="ID31" s="120"/>
      <c r="IE31" s="120"/>
      <c r="IF31" s="120"/>
      <c r="IG31" s="205"/>
      <c r="IH31" s="205"/>
      <c r="II31" s="205">
        <f t="shared" si="156"/>
        <v>0</v>
      </c>
      <c r="IJ31" s="120"/>
      <c r="IK31" s="120"/>
      <c r="IL31" s="120"/>
      <c r="IM31" s="120"/>
      <c r="IN31" s="120"/>
      <c r="IO31" s="205"/>
      <c r="IP31" s="205"/>
      <c r="IQ31" s="205">
        <f t="shared" si="157"/>
        <v>0</v>
      </c>
      <c r="IR31" s="205">
        <f t="shared" si="158"/>
        <v>0</v>
      </c>
      <c r="IS31" s="120"/>
      <c r="IT31" s="120"/>
      <c r="IU31" s="120"/>
      <c r="IV31" s="120"/>
      <c r="IW31" s="120"/>
      <c r="IX31" s="205"/>
      <c r="IY31" s="205"/>
      <c r="IZ31" s="205">
        <f t="shared" si="159"/>
        <v>0</v>
      </c>
      <c r="JA31" s="120"/>
      <c r="JB31" s="120"/>
      <c r="JC31" s="120"/>
      <c r="JD31" s="120"/>
      <c r="JE31" s="120"/>
      <c r="JF31" s="205"/>
      <c r="JG31" s="205"/>
      <c r="JH31" s="205">
        <f t="shared" si="160"/>
        <v>0</v>
      </c>
      <c r="JI31" s="120"/>
      <c r="JJ31" s="120"/>
      <c r="JK31" s="120"/>
      <c r="JL31" s="120"/>
      <c r="JM31" s="120"/>
      <c r="JN31" s="205"/>
      <c r="JO31" s="205"/>
      <c r="JP31" s="205">
        <f t="shared" si="161"/>
        <v>0</v>
      </c>
      <c r="JQ31" s="120"/>
      <c r="JR31" s="120"/>
      <c r="JS31" s="120"/>
      <c r="JT31" s="120"/>
      <c r="JU31" s="120"/>
      <c r="JV31" s="205"/>
      <c r="JW31" s="205"/>
      <c r="JX31" s="205">
        <f t="shared" si="162"/>
        <v>0</v>
      </c>
      <c r="JY31" s="205">
        <f t="shared" si="163"/>
        <v>0</v>
      </c>
      <c r="JZ31" s="120"/>
      <c r="KA31" s="120"/>
      <c r="KB31" s="120"/>
      <c r="KC31" s="120"/>
      <c r="KD31" s="120"/>
      <c r="KE31" s="205"/>
      <c r="KF31" s="205"/>
      <c r="KG31" s="205">
        <f t="shared" si="164"/>
        <v>0</v>
      </c>
      <c r="KH31" s="120"/>
      <c r="KI31" s="120"/>
      <c r="KJ31" s="120"/>
      <c r="KK31" s="120"/>
      <c r="KL31" s="206">
        <v>400</v>
      </c>
      <c r="KM31" s="205"/>
      <c r="KN31" s="205"/>
      <c r="KO31" s="205">
        <f t="shared" si="165"/>
        <v>400</v>
      </c>
      <c r="KP31" s="120"/>
      <c r="KQ31" s="120"/>
      <c r="KR31" s="120"/>
      <c r="KS31" s="120"/>
      <c r="KT31" s="120"/>
      <c r="KU31" s="205"/>
      <c r="KV31" s="205"/>
      <c r="KW31" s="205">
        <f t="shared" si="166"/>
        <v>0</v>
      </c>
      <c r="KX31" s="120"/>
      <c r="KY31" s="120"/>
      <c r="KZ31" s="120"/>
      <c r="LA31" s="120"/>
      <c r="LB31" s="120"/>
      <c r="LC31" s="205"/>
      <c r="LD31" s="205"/>
      <c r="LE31" s="205">
        <f t="shared" si="167"/>
        <v>0</v>
      </c>
      <c r="LF31" s="205"/>
      <c r="LG31" s="120"/>
      <c r="LH31" s="120"/>
      <c r="LI31" s="120"/>
      <c r="LJ31" s="120"/>
      <c r="LK31" s="205"/>
      <c r="LL31" s="205"/>
      <c r="LM31" s="205">
        <f t="shared" si="168"/>
        <v>0</v>
      </c>
      <c r="LN31" s="205">
        <f t="shared" si="169"/>
        <v>400</v>
      </c>
      <c r="LO31" s="205"/>
      <c r="LP31" s="120"/>
      <c r="LQ31" s="120"/>
      <c r="LR31" s="120"/>
      <c r="LS31" s="205"/>
      <c r="LT31" s="205"/>
      <c r="LU31" s="205"/>
      <c r="LV31" s="205">
        <f t="shared" si="170"/>
        <v>0</v>
      </c>
      <c r="LW31" s="120"/>
      <c r="LX31" s="120"/>
      <c r="LY31" s="120"/>
      <c r="LZ31" s="120"/>
      <c r="MA31" s="120"/>
      <c r="MB31" s="205"/>
      <c r="MC31" s="205"/>
      <c r="MD31" s="205">
        <f t="shared" si="171"/>
        <v>0</v>
      </c>
      <c r="ME31" s="120"/>
      <c r="MF31" s="120"/>
      <c r="MG31" s="120"/>
      <c r="MH31" s="120"/>
      <c r="MI31" s="205"/>
      <c r="MJ31" s="205"/>
      <c r="MK31" s="205"/>
      <c r="ML31" s="205">
        <f t="shared" si="172"/>
        <v>0</v>
      </c>
      <c r="MM31" s="120"/>
      <c r="MN31" s="120"/>
      <c r="MO31" s="120"/>
      <c r="MP31" s="120"/>
      <c r="MQ31" s="120"/>
      <c r="MR31" s="205"/>
      <c r="MS31" s="205"/>
      <c r="MT31" s="205">
        <f t="shared" si="173"/>
        <v>0</v>
      </c>
      <c r="MU31" s="205">
        <f t="shared" si="174"/>
        <v>0</v>
      </c>
      <c r="MV31" s="120"/>
      <c r="MW31" s="120"/>
      <c r="MX31" s="120"/>
      <c r="MY31" s="120"/>
      <c r="MZ31" s="120"/>
      <c r="NA31" s="205"/>
      <c r="NB31" s="205"/>
      <c r="NC31" s="205">
        <f t="shared" si="175"/>
        <v>0</v>
      </c>
      <c r="ND31" s="120"/>
      <c r="NE31" s="120"/>
      <c r="NF31" s="120"/>
      <c r="NG31" s="120"/>
      <c r="NH31" s="120"/>
      <c r="NI31" s="205"/>
      <c r="NJ31" s="205"/>
      <c r="NK31" s="205">
        <f t="shared" si="176"/>
        <v>0</v>
      </c>
      <c r="NL31" s="120"/>
      <c r="NM31" s="120"/>
      <c r="NN31" s="120"/>
      <c r="NO31" s="120"/>
      <c r="NP31" s="120"/>
      <c r="NQ31" s="205"/>
      <c r="NR31" s="205"/>
      <c r="NS31" s="205">
        <f t="shared" si="177"/>
        <v>0</v>
      </c>
      <c r="NT31" s="120"/>
      <c r="NU31" s="120"/>
      <c r="NV31" s="120"/>
      <c r="NW31" s="120"/>
      <c r="NX31" s="120"/>
      <c r="NY31" s="205"/>
      <c r="NZ31" s="205"/>
      <c r="OA31" s="205">
        <f t="shared" si="178"/>
        <v>0</v>
      </c>
      <c r="OB31" s="205">
        <f t="shared" si="179"/>
        <v>0</v>
      </c>
      <c r="OC31" s="120"/>
      <c r="OD31" s="120"/>
      <c r="OE31" s="120"/>
      <c r="OF31" s="120"/>
      <c r="OG31" s="120"/>
      <c r="OH31" s="205"/>
      <c r="OI31" s="205"/>
      <c r="OJ31" s="205">
        <f t="shared" si="180"/>
        <v>0</v>
      </c>
      <c r="OK31" s="120"/>
      <c r="OL31" s="120"/>
      <c r="OM31" s="120"/>
      <c r="ON31" s="120"/>
      <c r="OO31" s="120"/>
      <c r="OP31" s="205"/>
      <c r="OQ31" s="205"/>
      <c r="OR31" s="205">
        <f t="shared" si="181"/>
        <v>0</v>
      </c>
      <c r="OS31" s="120"/>
      <c r="OT31" s="120"/>
      <c r="OU31" s="120"/>
      <c r="OV31" s="120"/>
      <c r="OW31" s="120"/>
      <c r="OX31" s="205"/>
      <c r="OY31" s="205"/>
      <c r="OZ31" s="205">
        <f t="shared" si="182"/>
        <v>0</v>
      </c>
      <c r="PA31" s="120"/>
      <c r="PB31" s="120"/>
      <c r="PC31" s="120"/>
      <c r="PD31" s="205"/>
      <c r="PE31" s="217"/>
      <c r="PF31" s="205"/>
      <c r="PG31" s="205"/>
      <c r="PH31" s="205">
        <f t="shared" si="183"/>
        <v>0</v>
      </c>
      <c r="PI31" s="120"/>
      <c r="PJ31" s="120"/>
      <c r="PK31" s="120"/>
      <c r="PL31" s="205"/>
      <c r="PM31" s="217"/>
      <c r="PN31" s="205"/>
      <c r="PO31" s="205"/>
      <c r="PP31" s="205">
        <f t="shared" si="184"/>
        <v>0</v>
      </c>
      <c r="PQ31" s="205">
        <f t="shared" si="185"/>
        <v>0</v>
      </c>
      <c r="PR31" s="207"/>
      <c r="PS31" s="207"/>
      <c r="PT31" s="207"/>
      <c r="PU31" s="207"/>
      <c r="PV31" s="207"/>
      <c r="PW31" s="272"/>
      <c r="PX31" s="272"/>
      <c r="PY31" s="205">
        <f t="shared" si="186"/>
        <v>0</v>
      </c>
      <c r="PZ31" s="207"/>
      <c r="QA31" s="207"/>
      <c r="QB31" s="207"/>
      <c r="QC31" s="207"/>
      <c r="QD31" s="207"/>
      <c r="QE31" s="272"/>
      <c r="QF31" s="272"/>
      <c r="QG31" s="205">
        <f t="shared" si="187"/>
        <v>0</v>
      </c>
      <c r="QH31" s="207"/>
      <c r="QI31" s="207"/>
      <c r="QJ31" s="294"/>
      <c r="QK31" s="207"/>
      <c r="QL31" s="207"/>
      <c r="QM31" s="272"/>
      <c r="QN31" s="272"/>
      <c r="QO31" s="205">
        <f t="shared" si="188"/>
        <v>0</v>
      </c>
      <c r="QP31" s="207"/>
      <c r="QQ31" s="207"/>
      <c r="QR31" s="207"/>
      <c r="QS31" s="207"/>
      <c r="QT31" s="207"/>
      <c r="QU31" s="272"/>
      <c r="QV31" s="272"/>
      <c r="QW31" s="205">
        <f t="shared" si="189"/>
        <v>0</v>
      </c>
      <c r="QX31" s="205">
        <f t="shared" si="190"/>
        <v>0</v>
      </c>
      <c r="QY31" s="207"/>
      <c r="QZ31" s="207"/>
      <c r="RA31" s="207"/>
      <c r="RB31" s="207"/>
      <c r="RC31" s="207"/>
      <c r="RD31" s="272"/>
      <c r="RE31" s="272"/>
      <c r="RF31" s="205">
        <f t="shared" si="191"/>
        <v>0</v>
      </c>
      <c r="RG31" s="207"/>
      <c r="RH31" s="207"/>
      <c r="RI31" s="207"/>
      <c r="RJ31" s="207"/>
      <c r="RK31" s="207"/>
      <c r="RL31" s="272"/>
      <c r="RM31" s="272"/>
      <c r="RN31" s="205">
        <f t="shared" si="192"/>
        <v>0</v>
      </c>
      <c r="RO31" s="272"/>
      <c r="RP31" s="272"/>
      <c r="RQ31" s="272"/>
      <c r="RR31" s="272"/>
      <c r="RS31" s="272"/>
      <c r="RT31" s="272"/>
      <c r="RU31" s="272"/>
      <c r="RV31" s="205">
        <f t="shared" si="193"/>
        <v>0</v>
      </c>
      <c r="RW31" s="207"/>
      <c r="RX31" s="207"/>
      <c r="RY31" s="207"/>
      <c r="RZ31" s="207"/>
      <c r="SA31" s="272"/>
      <c r="SB31" s="272"/>
      <c r="SC31" s="272"/>
      <c r="SD31" s="205">
        <f t="shared" si="194"/>
        <v>0</v>
      </c>
      <c r="SE31" s="205">
        <f t="shared" si="195"/>
        <v>0</v>
      </c>
      <c r="SF31" s="207"/>
      <c r="SG31" s="207"/>
      <c r="SH31" s="207"/>
      <c r="SI31" s="207"/>
      <c r="SJ31" s="207"/>
      <c r="SK31" s="272"/>
      <c r="SL31" s="272"/>
      <c r="SM31" s="205">
        <f t="shared" si="196"/>
        <v>0</v>
      </c>
      <c r="SN31" s="207"/>
      <c r="SO31" s="207"/>
      <c r="SP31" s="207"/>
      <c r="SQ31" s="207"/>
      <c r="SR31" s="207"/>
      <c r="SS31" s="272"/>
      <c r="ST31" s="272"/>
      <c r="SU31" s="205">
        <f t="shared" si="197"/>
        <v>0</v>
      </c>
      <c r="SV31" s="207"/>
      <c r="SW31" s="207"/>
      <c r="SX31" s="207"/>
      <c r="SY31" s="207"/>
      <c r="SZ31" s="207"/>
      <c r="TA31" s="272"/>
      <c r="TB31" s="272"/>
      <c r="TC31" s="205">
        <f t="shared" si="198"/>
        <v>0</v>
      </c>
      <c r="TD31" s="207"/>
      <c r="TE31" s="207"/>
      <c r="TF31" s="207"/>
      <c r="TG31" s="207"/>
      <c r="TH31" s="207"/>
      <c r="TI31" s="272"/>
      <c r="TJ31" s="272"/>
      <c r="TK31" s="205">
        <f t="shared" si="199"/>
        <v>0</v>
      </c>
      <c r="TL31" s="207"/>
      <c r="TM31" s="207"/>
      <c r="TN31" s="207"/>
      <c r="TO31" s="207"/>
      <c r="TP31" s="272"/>
      <c r="TQ31" s="272"/>
      <c r="TR31" s="272"/>
      <c r="TS31" s="205">
        <f t="shared" si="200"/>
        <v>0</v>
      </c>
      <c r="TT31" s="205">
        <f t="shared" si="201"/>
        <v>0</v>
      </c>
      <c r="TU31" s="272"/>
      <c r="TV31" s="207"/>
      <c r="TW31" s="207"/>
      <c r="TX31" s="207"/>
      <c r="TY31" s="207"/>
      <c r="TZ31" s="272"/>
      <c r="UA31" s="272"/>
      <c r="UB31" s="205">
        <f t="shared" si="202"/>
        <v>0</v>
      </c>
      <c r="UC31" s="207"/>
      <c r="UD31" s="207"/>
      <c r="UE31" s="207"/>
      <c r="UF31" s="207"/>
      <c r="UG31" s="207"/>
      <c r="UH31" s="272"/>
      <c r="UI31" s="272"/>
      <c r="UJ31" s="205">
        <f t="shared" si="203"/>
        <v>0</v>
      </c>
      <c r="UK31" s="207"/>
      <c r="UL31" s="207"/>
      <c r="UM31" s="207"/>
      <c r="UN31" s="207"/>
      <c r="UO31" s="207"/>
      <c r="UP31" s="272"/>
      <c r="UQ31" s="272"/>
      <c r="UR31" s="205">
        <f t="shared" si="227"/>
        <v>0</v>
      </c>
      <c r="US31" s="207"/>
      <c r="UT31" s="207"/>
      <c r="UU31" s="207"/>
      <c r="UV31" s="207"/>
      <c r="UW31" s="272"/>
      <c r="UX31" s="272"/>
      <c r="UY31" s="272"/>
      <c r="UZ31" s="205">
        <f t="shared" si="204"/>
        <v>0</v>
      </c>
      <c r="VA31" s="205">
        <f t="shared" si="205"/>
        <v>0</v>
      </c>
      <c r="VB31" s="207"/>
      <c r="VC31" s="207"/>
      <c r="VD31" s="207"/>
      <c r="VE31" s="207"/>
      <c r="VF31" s="207"/>
      <c r="VG31" s="272"/>
      <c r="VH31" s="272"/>
      <c r="VI31" s="205">
        <f t="shared" si="206"/>
        <v>0</v>
      </c>
      <c r="VJ31" s="207"/>
      <c r="VK31" s="207"/>
      <c r="VL31" s="207"/>
      <c r="VM31" s="207"/>
      <c r="VN31" s="207"/>
      <c r="VO31" s="272"/>
      <c r="VP31" s="272"/>
      <c r="VQ31" s="205">
        <f t="shared" si="207"/>
        <v>0</v>
      </c>
      <c r="VR31" s="207"/>
      <c r="VS31" s="207"/>
      <c r="VT31" s="207"/>
      <c r="VU31" s="207"/>
      <c r="VV31" s="207"/>
      <c r="VW31" s="272"/>
      <c r="VX31" s="272"/>
      <c r="VY31" s="205">
        <f t="shared" si="208"/>
        <v>0</v>
      </c>
      <c r="VZ31" s="207"/>
      <c r="WA31" s="207"/>
      <c r="WB31" s="207"/>
      <c r="WC31" s="207"/>
      <c r="WD31" s="207"/>
      <c r="WE31" s="272"/>
      <c r="WF31" s="272"/>
      <c r="WG31" s="205">
        <f t="shared" si="209"/>
        <v>0</v>
      </c>
      <c r="WH31" s="205">
        <f t="shared" si="210"/>
        <v>0</v>
      </c>
      <c r="WI31" s="207"/>
      <c r="WJ31" s="207"/>
      <c r="WK31" s="207"/>
      <c r="WL31" s="207"/>
      <c r="WM31" s="207"/>
      <c r="WN31" s="272"/>
      <c r="WO31" s="272"/>
      <c r="WP31" s="205">
        <f t="shared" si="211"/>
        <v>0</v>
      </c>
      <c r="WQ31" s="207"/>
      <c r="WR31" s="207"/>
      <c r="WS31" s="207"/>
      <c r="WT31" s="207"/>
      <c r="WU31" s="207"/>
      <c r="WV31" s="272"/>
      <c r="WW31" s="272"/>
      <c r="WX31" s="205">
        <f t="shared" si="212"/>
        <v>0</v>
      </c>
      <c r="WY31" s="207"/>
      <c r="WZ31" s="207"/>
      <c r="XA31" s="207"/>
      <c r="XB31" s="207"/>
      <c r="XC31" s="272"/>
      <c r="XD31" s="272"/>
      <c r="XE31" s="272"/>
      <c r="XF31" s="205">
        <f t="shared" si="213"/>
        <v>0</v>
      </c>
      <c r="XG31" s="207"/>
      <c r="XH31" s="207"/>
      <c r="XI31" s="207"/>
      <c r="XJ31" s="207"/>
      <c r="XK31" s="207"/>
      <c r="XL31" s="272"/>
      <c r="XM31" s="272"/>
      <c r="XN31" s="205">
        <f t="shared" si="214"/>
        <v>0</v>
      </c>
      <c r="XO31" s="207"/>
      <c r="XP31" s="207"/>
      <c r="XQ31" s="207"/>
      <c r="XR31" s="207"/>
      <c r="XS31" s="207"/>
      <c r="XT31" s="272"/>
      <c r="XU31" s="272"/>
      <c r="XV31" s="205">
        <f t="shared" si="215"/>
        <v>0</v>
      </c>
      <c r="XW31" s="205">
        <f t="shared" si="216"/>
        <v>0</v>
      </c>
      <c r="XX31" s="207"/>
      <c r="XY31" s="207"/>
      <c r="XZ31" s="207"/>
      <c r="YA31" s="207"/>
      <c r="YB31" s="207"/>
      <c r="YC31" s="272"/>
      <c r="YD31" s="272"/>
      <c r="YE31" s="205">
        <f t="shared" si="217"/>
        <v>0</v>
      </c>
      <c r="YF31" s="207"/>
      <c r="YG31" s="207"/>
      <c r="YH31" s="207"/>
      <c r="YI31" s="207"/>
      <c r="YJ31" s="207"/>
      <c r="YK31" s="272"/>
      <c r="YL31" s="272"/>
      <c r="YM31" s="205">
        <f t="shared" si="218"/>
        <v>0</v>
      </c>
      <c r="YN31" s="207"/>
      <c r="YO31" s="207"/>
      <c r="YP31" s="207"/>
      <c r="YQ31" s="207"/>
      <c r="YR31" s="207"/>
      <c r="YS31" s="272"/>
      <c r="YT31" s="272"/>
      <c r="YU31" s="205">
        <f t="shared" si="148"/>
        <v>0</v>
      </c>
      <c r="YV31" s="207"/>
      <c r="YW31" s="207"/>
      <c r="YX31" s="207"/>
      <c r="YY31" s="207"/>
      <c r="YZ31" s="207"/>
      <c r="ZA31" s="272"/>
      <c r="ZB31" s="272"/>
      <c r="ZC31" s="205">
        <f t="shared" si="219"/>
        <v>0</v>
      </c>
      <c r="ZD31" s="205">
        <f t="shared" si="149"/>
        <v>0</v>
      </c>
      <c r="ZE31" s="207"/>
      <c r="ZF31" s="207"/>
      <c r="ZG31" s="207"/>
      <c r="ZH31" s="207"/>
      <c r="ZI31" s="207"/>
      <c r="ZJ31" s="272"/>
      <c r="ZK31" s="272"/>
      <c r="ZL31" s="205">
        <f t="shared" si="220"/>
        <v>0</v>
      </c>
      <c r="ZM31" s="207"/>
      <c r="ZN31" s="207"/>
      <c r="ZO31" s="207"/>
      <c r="ZP31" s="207"/>
      <c r="ZQ31" s="207"/>
      <c r="ZR31" s="272"/>
      <c r="ZS31" s="272"/>
      <c r="ZT31" s="205">
        <f t="shared" si="221"/>
        <v>0</v>
      </c>
      <c r="ZU31" s="207"/>
      <c r="ZV31" s="207"/>
      <c r="ZW31" s="207"/>
      <c r="ZX31" s="207"/>
      <c r="ZY31" s="207"/>
      <c r="ZZ31" s="272"/>
      <c r="AAA31" s="272"/>
      <c r="AAB31" s="205">
        <f t="shared" si="222"/>
        <v>0</v>
      </c>
      <c r="AAC31" s="207"/>
      <c r="AAD31" s="207"/>
      <c r="AAE31" s="207"/>
      <c r="AAF31" s="207"/>
      <c r="AAG31" s="207"/>
      <c r="AAH31" s="272"/>
      <c r="AAI31" s="272"/>
      <c r="AAJ31" s="205">
        <f t="shared" si="223"/>
        <v>0</v>
      </c>
      <c r="AAK31" s="207"/>
      <c r="AAL31" s="207"/>
      <c r="AAM31" s="207"/>
      <c r="AAN31" s="207"/>
      <c r="AAO31" s="207"/>
      <c r="AAP31" s="272"/>
      <c r="AAQ31" s="272"/>
      <c r="AAR31" s="205">
        <f t="shared" si="224"/>
        <v>0</v>
      </c>
      <c r="AAS31" s="205">
        <f t="shared" si="225"/>
        <v>0</v>
      </c>
    </row>
    <row r="32" spans="1:721" s="126" customFormat="1" ht="69.95" customHeight="1">
      <c r="A32" s="117" t="s">
        <v>6</v>
      </c>
      <c r="B32" s="157">
        <v>3620101511</v>
      </c>
      <c r="C32" s="324"/>
      <c r="D32" s="158" t="s">
        <v>490</v>
      </c>
      <c r="E32" s="130" t="s">
        <v>4</v>
      </c>
      <c r="F32" s="120"/>
      <c r="G32" s="120"/>
      <c r="H32" s="120"/>
      <c r="I32" s="120"/>
      <c r="J32" s="120"/>
      <c r="K32" s="209"/>
      <c r="L32" s="205"/>
      <c r="M32" s="205">
        <f t="shared" si="121"/>
        <v>0</v>
      </c>
      <c r="N32" s="120"/>
      <c r="O32" s="120"/>
      <c r="P32" s="120"/>
      <c r="Q32" s="120"/>
      <c r="R32" s="120"/>
      <c r="S32" s="209"/>
      <c r="T32" s="205"/>
      <c r="U32" s="205">
        <f t="shared" si="122"/>
        <v>0</v>
      </c>
      <c r="V32" s="120"/>
      <c r="W32" s="120"/>
      <c r="X32" s="120"/>
      <c r="Y32" s="120"/>
      <c r="Z32" s="120"/>
      <c r="AA32" s="209"/>
      <c r="AB32" s="205"/>
      <c r="AC32" s="205">
        <f t="shared" si="123"/>
        <v>0</v>
      </c>
      <c r="AD32" s="205"/>
      <c r="AE32" s="205"/>
      <c r="AF32" s="205"/>
      <c r="AG32" s="205"/>
      <c r="AH32" s="205"/>
      <c r="AI32" s="209"/>
      <c r="AJ32" s="205"/>
      <c r="AK32" s="205">
        <f t="shared" si="124"/>
        <v>0</v>
      </c>
      <c r="AL32" s="205" t="e">
        <f>SUM(#REF!,M32,U32,AC32,AD32:AH32)</f>
        <v>#REF!</v>
      </c>
      <c r="AM32" s="120"/>
      <c r="AN32" s="120"/>
      <c r="AO32" s="120"/>
      <c r="AP32" s="120"/>
      <c r="AQ32" s="120"/>
      <c r="AR32" s="209"/>
      <c r="AS32" s="205"/>
      <c r="AT32" s="205">
        <f t="shared" si="125"/>
        <v>0</v>
      </c>
      <c r="AU32" s="120"/>
      <c r="AV32" s="120"/>
      <c r="AW32" s="120"/>
      <c r="AX32" s="120"/>
      <c r="AY32" s="120"/>
      <c r="AZ32" s="209"/>
      <c r="BA32" s="205"/>
      <c r="BB32" s="205">
        <f t="shared" si="126"/>
        <v>0</v>
      </c>
      <c r="BC32" s="120"/>
      <c r="BD32" s="120"/>
      <c r="BE32" s="120"/>
      <c r="BF32" s="120"/>
      <c r="BG32" s="120"/>
      <c r="BH32" s="209"/>
      <c r="BI32" s="205"/>
      <c r="BJ32" s="205">
        <f t="shared" si="127"/>
        <v>0</v>
      </c>
      <c r="BK32" s="120"/>
      <c r="BL32" s="120"/>
      <c r="BM32" s="120"/>
      <c r="BN32" s="120"/>
      <c r="BO32" s="205"/>
      <c r="BP32" s="209"/>
      <c r="BQ32" s="205"/>
      <c r="BR32" s="205">
        <f t="shared" si="128"/>
        <v>0</v>
      </c>
      <c r="BS32" s="205">
        <f t="shared" si="129"/>
        <v>0</v>
      </c>
      <c r="BT32" s="120"/>
      <c r="BU32" s="120"/>
      <c r="BV32" s="120"/>
      <c r="BW32" s="120"/>
      <c r="BX32" s="120"/>
      <c r="BY32" s="209"/>
      <c r="BZ32" s="205"/>
      <c r="CA32" s="205">
        <f t="shared" si="130"/>
        <v>0</v>
      </c>
      <c r="CB32" s="120"/>
      <c r="CC32" s="120"/>
      <c r="CD32" s="120"/>
      <c r="CE32" s="120"/>
      <c r="CF32" s="120"/>
      <c r="CG32" s="209"/>
      <c r="CH32" s="205"/>
      <c r="CI32" s="205">
        <f t="shared" si="131"/>
        <v>0</v>
      </c>
      <c r="CJ32" s="120"/>
      <c r="CK32" s="120"/>
      <c r="CL32" s="120"/>
      <c r="CM32" s="120"/>
      <c r="CN32" s="120"/>
      <c r="CO32" s="209"/>
      <c r="CP32" s="205"/>
      <c r="CQ32" s="205">
        <f t="shared" si="132"/>
        <v>0</v>
      </c>
      <c r="CR32" s="120"/>
      <c r="CS32" s="120"/>
      <c r="CT32" s="120"/>
      <c r="CU32" s="120"/>
      <c r="CV32" s="120"/>
      <c r="CW32" s="209"/>
      <c r="CX32" s="205"/>
      <c r="CY32" s="205">
        <f t="shared" si="133"/>
        <v>0</v>
      </c>
      <c r="CZ32" s="120"/>
      <c r="DA32" s="120"/>
      <c r="DB32" s="120"/>
      <c r="DC32" s="205"/>
      <c r="DD32" s="205"/>
      <c r="DE32" s="209"/>
      <c r="DF32" s="205"/>
      <c r="DG32" s="205">
        <f t="shared" si="134"/>
        <v>0</v>
      </c>
      <c r="DH32" s="205">
        <f t="shared" si="150"/>
        <v>0</v>
      </c>
      <c r="DI32" s="120"/>
      <c r="DJ32" s="120"/>
      <c r="DK32" s="120"/>
      <c r="DL32" s="120"/>
      <c r="DM32" s="120"/>
      <c r="DN32" s="209"/>
      <c r="DO32" s="205"/>
      <c r="DP32" s="205">
        <f t="shared" si="135"/>
        <v>0</v>
      </c>
      <c r="DQ32" s="120"/>
      <c r="DR32" s="120"/>
      <c r="DS32" s="120"/>
      <c r="DT32" s="120"/>
      <c r="DU32" s="120"/>
      <c r="DV32" s="209"/>
      <c r="DW32" s="205"/>
      <c r="DX32" s="205">
        <f t="shared" si="136"/>
        <v>0</v>
      </c>
      <c r="DY32" s="120"/>
      <c r="DZ32" s="120"/>
      <c r="EA32" s="120"/>
      <c r="EB32" s="120"/>
      <c r="EC32" s="120"/>
      <c r="ED32" s="209"/>
      <c r="EE32" s="205"/>
      <c r="EF32" s="205">
        <f t="shared" si="137"/>
        <v>0</v>
      </c>
      <c r="EG32" s="120"/>
      <c r="EH32" s="120"/>
      <c r="EI32" s="120"/>
      <c r="EJ32" s="205"/>
      <c r="EK32" s="205"/>
      <c r="EL32" s="209"/>
      <c r="EM32" s="205"/>
      <c r="EN32" s="205">
        <f t="shared" si="138"/>
        <v>0</v>
      </c>
      <c r="EO32" s="205">
        <f t="shared" si="151"/>
        <v>0</v>
      </c>
      <c r="EP32" s="120"/>
      <c r="EQ32" s="120"/>
      <c r="ER32" s="120"/>
      <c r="ES32" s="120"/>
      <c r="ET32" s="120"/>
      <c r="EU32" s="209"/>
      <c r="EV32" s="205"/>
      <c r="EW32" s="205">
        <f t="shared" si="139"/>
        <v>0</v>
      </c>
      <c r="EX32" s="120"/>
      <c r="EY32" s="120"/>
      <c r="EZ32" s="120"/>
      <c r="FA32" s="120"/>
      <c r="FB32" s="120"/>
      <c r="FC32" s="209"/>
      <c r="FD32" s="205"/>
      <c r="FE32" s="205">
        <f t="shared" si="140"/>
        <v>0</v>
      </c>
      <c r="FF32" s="120"/>
      <c r="FG32" s="120"/>
      <c r="FH32" s="120"/>
      <c r="FI32" s="120"/>
      <c r="FJ32" s="120"/>
      <c r="FK32" s="209"/>
      <c r="FL32" s="205"/>
      <c r="FM32" s="205">
        <f t="shared" si="141"/>
        <v>0</v>
      </c>
      <c r="FN32" s="120"/>
      <c r="FO32" s="120"/>
      <c r="FP32" s="120"/>
      <c r="FQ32" s="120"/>
      <c r="FR32" s="205"/>
      <c r="FS32" s="209"/>
      <c r="FT32" s="205"/>
      <c r="FU32" s="205">
        <f t="shared" si="142"/>
        <v>0</v>
      </c>
      <c r="FV32" s="205">
        <f t="shared" si="152"/>
        <v>0</v>
      </c>
      <c r="FW32" s="120"/>
      <c r="FX32" s="120"/>
      <c r="FY32" s="120"/>
      <c r="FZ32" s="120"/>
      <c r="GA32" s="120"/>
      <c r="GB32" s="209"/>
      <c r="GC32" s="205"/>
      <c r="GD32" s="205">
        <f t="shared" si="143"/>
        <v>0</v>
      </c>
      <c r="GE32" s="120"/>
      <c r="GF32" s="120"/>
      <c r="GG32" s="120"/>
      <c r="GH32" s="120"/>
      <c r="GI32" s="120"/>
      <c r="GJ32" s="209"/>
      <c r="GK32" s="205"/>
      <c r="GL32" s="205">
        <f t="shared" si="144"/>
        <v>0</v>
      </c>
      <c r="GM32" s="120"/>
      <c r="GN32" s="120"/>
      <c r="GO32" s="120"/>
      <c r="GP32" s="120"/>
      <c r="GQ32" s="120"/>
      <c r="GR32" s="209"/>
      <c r="GS32" s="205"/>
      <c r="GT32" s="205">
        <f t="shared" si="145"/>
        <v>0</v>
      </c>
      <c r="GU32" s="120"/>
      <c r="GV32" s="120"/>
      <c r="GW32" s="120"/>
      <c r="GX32" s="120"/>
      <c r="GY32" s="120"/>
      <c r="GZ32" s="209"/>
      <c r="HA32" s="205"/>
      <c r="HB32" s="205">
        <f t="shared" si="146"/>
        <v>0</v>
      </c>
      <c r="HC32" s="120"/>
      <c r="HD32" s="120"/>
      <c r="HE32" s="120"/>
      <c r="HF32" s="120"/>
      <c r="HG32" s="120"/>
      <c r="HH32" s="209"/>
      <c r="HI32" s="205"/>
      <c r="HJ32" s="205">
        <f t="shared" si="147"/>
        <v>0</v>
      </c>
      <c r="HK32" s="205">
        <f t="shared" si="153"/>
        <v>0</v>
      </c>
      <c r="HL32" s="124"/>
      <c r="HM32" s="120"/>
      <c r="HN32" s="120"/>
      <c r="HO32" s="120"/>
      <c r="HP32" s="120"/>
      <c r="HQ32" s="205"/>
      <c r="HR32" s="205"/>
      <c r="HS32" s="205">
        <f t="shared" si="154"/>
        <v>0</v>
      </c>
      <c r="HT32" s="120"/>
      <c r="HU32" s="120"/>
      <c r="HV32" s="120"/>
      <c r="HW32" s="120"/>
      <c r="HX32" s="120"/>
      <c r="HY32" s="205"/>
      <c r="HZ32" s="205"/>
      <c r="IA32" s="205">
        <f t="shared" si="155"/>
        <v>0</v>
      </c>
      <c r="IB32" s="120"/>
      <c r="IC32" s="120"/>
      <c r="ID32" s="120"/>
      <c r="IE32" s="120"/>
      <c r="IF32" s="120"/>
      <c r="IG32" s="205"/>
      <c r="IH32" s="205"/>
      <c r="II32" s="205">
        <f t="shared" si="156"/>
        <v>0</v>
      </c>
      <c r="IJ32" s="120"/>
      <c r="IK32" s="120"/>
      <c r="IL32" s="120"/>
      <c r="IM32" s="120"/>
      <c r="IN32" s="120"/>
      <c r="IO32" s="205"/>
      <c r="IP32" s="205"/>
      <c r="IQ32" s="205">
        <f t="shared" si="157"/>
        <v>0</v>
      </c>
      <c r="IR32" s="205">
        <f t="shared" si="158"/>
        <v>0</v>
      </c>
      <c r="IS32" s="120"/>
      <c r="IT32" s="120"/>
      <c r="IU32" s="120"/>
      <c r="IV32" s="120"/>
      <c r="IW32" s="120"/>
      <c r="IX32" s="205"/>
      <c r="IY32" s="205"/>
      <c r="IZ32" s="205">
        <f t="shared" si="159"/>
        <v>0</v>
      </c>
      <c r="JA32" s="120"/>
      <c r="JB32" s="120"/>
      <c r="JC32" s="120"/>
      <c r="JD32" s="120"/>
      <c r="JE32" s="120"/>
      <c r="JF32" s="205"/>
      <c r="JG32" s="205"/>
      <c r="JH32" s="205">
        <f t="shared" si="160"/>
        <v>0</v>
      </c>
      <c r="JI32" s="120"/>
      <c r="JJ32" s="120"/>
      <c r="JK32" s="120"/>
      <c r="JL32" s="120"/>
      <c r="JM32" s="120"/>
      <c r="JN32" s="205"/>
      <c r="JO32" s="205"/>
      <c r="JP32" s="205">
        <f t="shared" si="161"/>
        <v>0</v>
      </c>
      <c r="JQ32" s="120"/>
      <c r="JR32" s="120"/>
      <c r="JS32" s="120"/>
      <c r="JT32" s="120"/>
      <c r="JU32" s="120"/>
      <c r="JV32" s="205"/>
      <c r="JW32" s="205"/>
      <c r="JX32" s="205">
        <f t="shared" si="162"/>
        <v>0</v>
      </c>
      <c r="JY32" s="205">
        <f t="shared" si="163"/>
        <v>0</v>
      </c>
      <c r="JZ32" s="120"/>
      <c r="KA32" s="120"/>
      <c r="KB32" s="120"/>
      <c r="KC32" s="120"/>
      <c r="KD32" s="120"/>
      <c r="KE32" s="205"/>
      <c r="KF32" s="205"/>
      <c r="KG32" s="205">
        <f t="shared" si="164"/>
        <v>0</v>
      </c>
      <c r="KH32" s="120"/>
      <c r="KI32" s="120"/>
      <c r="KJ32" s="120"/>
      <c r="KK32" s="120"/>
      <c r="KL32" s="120"/>
      <c r="KM32" s="205"/>
      <c r="KN32" s="205"/>
      <c r="KO32" s="205">
        <f t="shared" si="165"/>
        <v>0</v>
      </c>
      <c r="KP32" s="120"/>
      <c r="KQ32" s="120"/>
      <c r="KR32" s="120"/>
      <c r="KS32" s="120"/>
      <c r="KT32" s="120"/>
      <c r="KU32" s="205"/>
      <c r="KV32" s="205"/>
      <c r="KW32" s="205">
        <f t="shared" si="166"/>
        <v>0</v>
      </c>
      <c r="KX32" s="120"/>
      <c r="KY32" s="120"/>
      <c r="KZ32" s="120"/>
      <c r="LA32" s="120"/>
      <c r="LB32" s="120"/>
      <c r="LC32" s="205"/>
      <c r="LD32" s="205"/>
      <c r="LE32" s="205">
        <f t="shared" si="167"/>
        <v>0</v>
      </c>
      <c r="LF32" s="205"/>
      <c r="LG32" s="120"/>
      <c r="LH32" s="120"/>
      <c r="LI32" s="120"/>
      <c r="LJ32" s="120"/>
      <c r="LK32" s="205"/>
      <c r="LL32" s="205"/>
      <c r="LM32" s="205">
        <f t="shared" si="168"/>
        <v>0</v>
      </c>
      <c r="LN32" s="205">
        <f t="shared" si="169"/>
        <v>0</v>
      </c>
      <c r="LO32" s="205"/>
      <c r="LP32" s="120"/>
      <c r="LQ32" s="120"/>
      <c r="LR32" s="120"/>
      <c r="LS32" s="205"/>
      <c r="LT32" s="205"/>
      <c r="LU32" s="205"/>
      <c r="LV32" s="205">
        <f t="shared" si="170"/>
        <v>0</v>
      </c>
      <c r="LW32" s="120"/>
      <c r="LX32" s="120"/>
      <c r="LY32" s="120"/>
      <c r="LZ32" s="120"/>
      <c r="MA32" s="120"/>
      <c r="MB32" s="205"/>
      <c r="MC32" s="205"/>
      <c r="MD32" s="205">
        <f t="shared" si="171"/>
        <v>0</v>
      </c>
      <c r="ME32" s="120"/>
      <c r="MF32" s="120"/>
      <c r="MG32" s="120"/>
      <c r="MH32" s="120"/>
      <c r="MI32" s="205"/>
      <c r="MJ32" s="205"/>
      <c r="MK32" s="205"/>
      <c r="ML32" s="205">
        <f t="shared" si="172"/>
        <v>0</v>
      </c>
      <c r="MM32" s="120"/>
      <c r="MN32" s="120"/>
      <c r="MO32" s="120"/>
      <c r="MP32" s="120"/>
      <c r="MQ32" s="120"/>
      <c r="MR32" s="205"/>
      <c r="MS32" s="205"/>
      <c r="MT32" s="205">
        <f t="shared" si="173"/>
        <v>0</v>
      </c>
      <c r="MU32" s="205">
        <f t="shared" si="174"/>
        <v>0</v>
      </c>
      <c r="MV32" s="120"/>
      <c r="MW32" s="120"/>
      <c r="MX32" s="120"/>
      <c r="MY32" s="120"/>
      <c r="MZ32" s="120"/>
      <c r="NA32" s="205"/>
      <c r="NB32" s="205"/>
      <c r="NC32" s="205">
        <f t="shared" si="175"/>
        <v>0</v>
      </c>
      <c r="ND32" s="120"/>
      <c r="NE32" s="120"/>
      <c r="NF32" s="120"/>
      <c r="NG32" s="120"/>
      <c r="NH32" s="120"/>
      <c r="NI32" s="205"/>
      <c r="NJ32" s="205"/>
      <c r="NK32" s="205">
        <f t="shared" si="176"/>
        <v>0</v>
      </c>
      <c r="NL32" s="120"/>
      <c r="NM32" s="120"/>
      <c r="NN32" s="120"/>
      <c r="NO32" s="120"/>
      <c r="NP32" s="120"/>
      <c r="NQ32" s="205"/>
      <c r="NR32" s="205"/>
      <c r="NS32" s="205">
        <f t="shared" si="177"/>
        <v>0</v>
      </c>
      <c r="NT32" s="120"/>
      <c r="NU32" s="120"/>
      <c r="NV32" s="120"/>
      <c r="NW32" s="120"/>
      <c r="NX32" s="120"/>
      <c r="NY32" s="205"/>
      <c r="NZ32" s="205"/>
      <c r="OA32" s="205">
        <f t="shared" si="178"/>
        <v>0</v>
      </c>
      <c r="OB32" s="205">
        <f t="shared" si="179"/>
        <v>0</v>
      </c>
      <c r="OC32" s="120"/>
      <c r="OD32" s="120"/>
      <c r="OE32" s="120"/>
      <c r="OF32" s="120"/>
      <c r="OG32" s="120"/>
      <c r="OH32" s="205"/>
      <c r="OI32" s="205"/>
      <c r="OJ32" s="205">
        <f t="shared" si="180"/>
        <v>0</v>
      </c>
      <c r="OK32" s="120"/>
      <c r="OL32" s="120"/>
      <c r="OM32" s="120"/>
      <c r="ON32" s="120"/>
      <c r="OO32" s="120"/>
      <c r="OP32" s="205"/>
      <c r="OQ32" s="205"/>
      <c r="OR32" s="205">
        <f t="shared" si="181"/>
        <v>0</v>
      </c>
      <c r="OS32" s="120"/>
      <c r="OT32" s="120"/>
      <c r="OU32" s="120"/>
      <c r="OV32" s="120"/>
      <c r="OW32" s="120"/>
      <c r="OX32" s="205"/>
      <c r="OY32" s="205"/>
      <c r="OZ32" s="205">
        <f t="shared" si="182"/>
        <v>0</v>
      </c>
      <c r="PA32" s="120"/>
      <c r="PB32" s="120"/>
      <c r="PC32" s="120"/>
      <c r="PD32" s="205"/>
      <c r="PE32" s="217"/>
      <c r="PF32" s="205"/>
      <c r="PG32" s="205"/>
      <c r="PH32" s="205">
        <f t="shared" si="183"/>
        <v>0</v>
      </c>
      <c r="PI32" s="120"/>
      <c r="PJ32" s="120"/>
      <c r="PK32" s="120"/>
      <c r="PL32" s="205"/>
      <c r="PM32" s="217"/>
      <c r="PN32" s="205"/>
      <c r="PO32" s="205"/>
      <c r="PP32" s="205">
        <f t="shared" si="184"/>
        <v>0</v>
      </c>
      <c r="PQ32" s="205">
        <f t="shared" si="185"/>
        <v>0</v>
      </c>
      <c r="PR32" s="207"/>
      <c r="PS32" s="207"/>
      <c r="PT32" s="207"/>
      <c r="PU32" s="207"/>
      <c r="PV32" s="207"/>
      <c r="PW32" s="272"/>
      <c r="PX32" s="272"/>
      <c r="PY32" s="205">
        <f t="shared" si="186"/>
        <v>0</v>
      </c>
      <c r="PZ32" s="207"/>
      <c r="QA32" s="207"/>
      <c r="QB32" s="207"/>
      <c r="QC32" s="207"/>
      <c r="QD32" s="207"/>
      <c r="QE32" s="272"/>
      <c r="QF32" s="272"/>
      <c r="QG32" s="205">
        <f t="shared" si="187"/>
        <v>0</v>
      </c>
      <c r="QH32" s="207"/>
      <c r="QI32" s="207"/>
      <c r="QJ32" s="294"/>
      <c r="QK32" s="207"/>
      <c r="QL32" s="207"/>
      <c r="QM32" s="272"/>
      <c r="QN32" s="272"/>
      <c r="QO32" s="205">
        <f t="shared" si="188"/>
        <v>0</v>
      </c>
      <c r="QP32" s="207"/>
      <c r="QQ32" s="207"/>
      <c r="QR32" s="207"/>
      <c r="QS32" s="207"/>
      <c r="QT32" s="207"/>
      <c r="QU32" s="272"/>
      <c r="QV32" s="272"/>
      <c r="QW32" s="205">
        <f t="shared" si="189"/>
        <v>0</v>
      </c>
      <c r="QX32" s="205">
        <f t="shared" si="190"/>
        <v>0</v>
      </c>
      <c r="QY32" s="207"/>
      <c r="QZ32" s="207"/>
      <c r="RA32" s="207"/>
      <c r="RB32" s="207"/>
      <c r="RC32" s="207"/>
      <c r="RD32" s="272"/>
      <c r="RE32" s="272"/>
      <c r="RF32" s="205">
        <f t="shared" si="191"/>
        <v>0</v>
      </c>
      <c r="RG32" s="207"/>
      <c r="RH32" s="207"/>
      <c r="RI32" s="207"/>
      <c r="RJ32" s="207"/>
      <c r="RK32" s="207"/>
      <c r="RL32" s="272"/>
      <c r="RM32" s="272"/>
      <c r="RN32" s="205">
        <f t="shared" si="192"/>
        <v>0</v>
      </c>
      <c r="RO32" s="272"/>
      <c r="RP32" s="272"/>
      <c r="RQ32" s="272"/>
      <c r="RR32" s="272"/>
      <c r="RS32" s="272"/>
      <c r="RT32" s="272"/>
      <c r="RU32" s="272"/>
      <c r="RV32" s="205">
        <f t="shared" si="193"/>
        <v>0</v>
      </c>
      <c r="RW32" s="207"/>
      <c r="RX32" s="207"/>
      <c r="RY32" s="207"/>
      <c r="RZ32" s="207"/>
      <c r="SA32" s="272"/>
      <c r="SB32" s="272"/>
      <c r="SC32" s="272"/>
      <c r="SD32" s="205">
        <f t="shared" si="194"/>
        <v>0</v>
      </c>
      <c r="SE32" s="205">
        <f t="shared" si="195"/>
        <v>0</v>
      </c>
      <c r="SF32" s="207"/>
      <c r="SG32" s="207"/>
      <c r="SH32" s="207"/>
      <c r="SI32" s="207"/>
      <c r="SJ32" s="207"/>
      <c r="SK32" s="272"/>
      <c r="SL32" s="272"/>
      <c r="SM32" s="205">
        <f t="shared" si="196"/>
        <v>0</v>
      </c>
      <c r="SN32" s="207"/>
      <c r="SO32" s="207"/>
      <c r="SP32" s="207"/>
      <c r="SQ32" s="207"/>
      <c r="SR32" s="207"/>
      <c r="SS32" s="272"/>
      <c r="ST32" s="272"/>
      <c r="SU32" s="205">
        <f t="shared" si="197"/>
        <v>0</v>
      </c>
      <c r="SV32" s="207"/>
      <c r="SW32" s="207"/>
      <c r="SX32" s="207"/>
      <c r="SY32" s="207"/>
      <c r="SZ32" s="207"/>
      <c r="TA32" s="272"/>
      <c r="TB32" s="272"/>
      <c r="TC32" s="205">
        <f t="shared" si="198"/>
        <v>0</v>
      </c>
      <c r="TD32" s="207"/>
      <c r="TE32" s="207"/>
      <c r="TF32" s="207"/>
      <c r="TG32" s="207"/>
      <c r="TH32" s="207"/>
      <c r="TI32" s="272"/>
      <c r="TJ32" s="272"/>
      <c r="TK32" s="205">
        <f t="shared" si="199"/>
        <v>0</v>
      </c>
      <c r="TL32" s="207"/>
      <c r="TM32" s="207"/>
      <c r="TN32" s="207"/>
      <c r="TO32" s="207"/>
      <c r="TP32" s="272"/>
      <c r="TQ32" s="272"/>
      <c r="TR32" s="272"/>
      <c r="TS32" s="205">
        <f t="shared" si="200"/>
        <v>0</v>
      </c>
      <c r="TT32" s="205">
        <f t="shared" si="201"/>
        <v>0</v>
      </c>
      <c r="TU32" s="272"/>
      <c r="TV32" s="207"/>
      <c r="TW32" s="207"/>
      <c r="TX32" s="207"/>
      <c r="TY32" s="207"/>
      <c r="TZ32" s="272"/>
      <c r="UA32" s="272"/>
      <c r="UB32" s="205">
        <f t="shared" si="202"/>
        <v>0</v>
      </c>
      <c r="UC32" s="207"/>
      <c r="UD32" s="207"/>
      <c r="UE32" s="207"/>
      <c r="UF32" s="207"/>
      <c r="UG32" s="207"/>
      <c r="UH32" s="272"/>
      <c r="UI32" s="272"/>
      <c r="UJ32" s="205">
        <f t="shared" si="203"/>
        <v>0</v>
      </c>
      <c r="UK32" s="207"/>
      <c r="UL32" s="207"/>
      <c r="UM32" s="207"/>
      <c r="UN32" s="207"/>
      <c r="UO32" s="207"/>
      <c r="UP32" s="272"/>
      <c r="UQ32" s="272"/>
      <c r="UR32" s="205">
        <f t="shared" si="227"/>
        <v>0</v>
      </c>
      <c r="US32" s="207"/>
      <c r="UT32" s="207"/>
      <c r="UU32" s="207"/>
      <c r="UV32" s="207"/>
      <c r="UW32" s="272"/>
      <c r="UX32" s="272"/>
      <c r="UY32" s="272"/>
      <c r="UZ32" s="205">
        <f t="shared" si="204"/>
        <v>0</v>
      </c>
      <c r="VA32" s="205">
        <f t="shared" si="205"/>
        <v>0</v>
      </c>
      <c r="VB32" s="207"/>
      <c r="VC32" s="207"/>
      <c r="VD32" s="207"/>
      <c r="VE32" s="207"/>
      <c r="VF32" s="207"/>
      <c r="VG32" s="272"/>
      <c r="VH32" s="272"/>
      <c r="VI32" s="205">
        <f t="shared" si="206"/>
        <v>0</v>
      </c>
      <c r="VJ32" s="207"/>
      <c r="VK32" s="207"/>
      <c r="VL32" s="207"/>
      <c r="VM32" s="207"/>
      <c r="VN32" s="207"/>
      <c r="VO32" s="272"/>
      <c r="VP32" s="272"/>
      <c r="VQ32" s="205">
        <f t="shared" si="207"/>
        <v>0</v>
      </c>
      <c r="VR32" s="207"/>
      <c r="VS32" s="207"/>
      <c r="VT32" s="207"/>
      <c r="VU32" s="207"/>
      <c r="VV32" s="207"/>
      <c r="VW32" s="272"/>
      <c r="VX32" s="272"/>
      <c r="VY32" s="205">
        <f t="shared" si="208"/>
        <v>0</v>
      </c>
      <c r="VZ32" s="207"/>
      <c r="WA32" s="207"/>
      <c r="WB32" s="207"/>
      <c r="WC32" s="207"/>
      <c r="WD32" s="207"/>
      <c r="WE32" s="272"/>
      <c r="WF32" s="272"/>
      <c r="WG32" s="205">
        <f t="shared" si="209"/>
        <v>0</v>
      </c>
      <c r="WH32" s="205">
        <f t="shared" si="210"/>
        <v>0</v>
      </c>
      <c r="WI32" s="207"/>
      <c r="WJ32" s="207"/>
      <c r="WK32" s="207"/>
      <c r="WL32" s="207"/>
      <c r="WM32" s="207"/>
      <c r="WN32" s="272"/>
      <c r="WO32" s="272"/>
      <c r="WP32" s="205">
        <f t="shared" si="211"/>
        <v>0</v>
      </c>
      <c r="WQ32" s="207"/>
      <c r="WR32" s="207"/>
      <c r="WS32" s="207"/>
      <c r="WT32" s="207"/>
      <c r="WU32" s="207"/>
      <c r="WV32" s="272"/>
      <c r="WW32" s="272"/>
      <c r="WX32" s="205">
        <f t="shared" si="212"/>
        <v>0</v>
      </c>
      <c r="WY32" s="207"/>
      <c r="WZ32" s="207"/>
      <c r="XA32" s="207"/>
      <c r="XB32" s="207"/>
      <c r="XC32" s="272"/>
      <c r="XD32" s="272"/>
      <c r="XE32" s="272"/>
      <c r="XF32" s="205">
        <f t="shared" si="213"/>
        <v>0</v>
      </c>
      <c r="XG32" s="207"/>
      <c r="XH32" s="207"/>
      <c r="XI32" s="207"/>
      <c r="XJ32" s="207"/>
      <c r="XK32" s="207"/>
      <c r="XL32" s="272"/>
      <c r="XM32" s="272"/>
      <c r="XN32" s="205">
        <f t="shared" si="214"/>
        <v>0</v>
      </c>
      <c r="XO32" s="207"/>
      <c r="XP32" s="207"/>
      <c r="XQ32" s="207"/>
      <c r="XR32" s="207"/>
      <c r="XS32" s="207"/>
      <c r="XT32" s="272"/>
      <c r="XU32" s="272"/>
      <c r="XV32" s="205">
        <f t="shared" si="215"/>
        <v>0</v>
      </c>
      <c r="XW32" s="205">
        <f t="shared" si="216"/>
        <v>0</v>
      </c>
      <c r="XX32" s="207"/>
      <c r="XY32" s="207"/>
      <c r="XZ32" s="207"/>
      <c r="YA32" s="207"/>
      <c r="YB32" s="207"/>
      <c r="YC32" s="272"/>
      <c r="YD32" s="272"/>
      <c r="YE32" s="205">
        <f t="shared" si="217"/>
        <v>0</v>
      </c>
      <c r="YF32" s="207"/>
      <c r="YG32" s="207"/>
      <c r="YH32" s="207"/>
      <c r="YI32" s="207"/>
      <c r="YJ32" s="207"/>
      <c r="YK32" s="272"/>
      <c r="YL32" s="272"/>
      <c r="YM32" s="205">
        <f t="shared" si="218"/>
        <v>0</v>
      </c>
      <c r="YN32" s="207"/>
      <c r="YO32" s="207"/>
      <c r="YP32" s="207"/>
      <c r="YQ32" s="207"/>
      <c r="YR32" s="207"/>
      <c r="YS32" s="272"/>
      <c r="YT32" s="272"/>
      <c r="YU32" s="205">
        <f t="shared" si="148"/>
        <v>0</v>
      </c>
      <c r="YV32" s="207"/>
      <c r="YW32" s="207"/>
      <c r="YX32" s="207"/>
      <c r="YY32" s="207"/>
      <c r="YZ32" s="207"/>
      <c r="ZA32" s="272"/>
      <c r="ZB32" s="272"/>
      <c r="ZC32" s="205">
        <f t="shared" si="219"/>
        <v>0</v>
      </c>
      <c r="ZD32" s="205">
        <f t="shared" si="149"/>
        <v>0</v>
      </c>
      <c r="ZE32" s="207"/>
      <c r="ZF32" s="207"/>
      <c r="ZG32" s="207"/>
      <c r="ZH32" s="207"/>
      <c r="ZI32" s="207"/>
      <c r="ZJ32" s="272"/>
      <c r="ZK32" s="272"/>
      <c r="ZL32" s="205">
        <f t="shared" si="220"/>
        <v>0</v>
      </c>
      <c r="ZM32" s="207"/>
      <c r="ZN32" s="207"/>
      <c r="ZO32" s="207"/>
      <c r="ZP32" s="207"/>
      <c r="ZQ32" s="207"/>
      <c r="ZR32" s="272"/>
      <c r="ZS32" s="272"/>
      <c r="ZT32" s="205">
        <f t="shared" si="221"/>
        <v>0</v>
      </c>
      <c r="ZU32" s="207"/>
      <c r="ZV32" s="207"/>
      <c r="ZW32" s="207"/>
      <c r="ZX32" s="207"/>
      <c r="ZY32" s="207"/>
      <c r="ZZ32" s="272"/>
      <c r="AAA32" s="272"/>
      <c r="AAB32" s="205">
        <f t="shared" si="222"/>
        <v>0</v>
      </c>
      <c r="AAC32" s="207"/>
      <c r="AAD32" s="207"/>
      <c r="AAE32" s="207"/>
      <c r="AAF32" s="207"/>
      <c r="AAG32" s="207"/>
      <c r="AAH32" s="272"/>
      <c r="AAI32" s="272"/>
      <c r="AAJ32" s="205">
        <f t="shared" si="223"/>
        <v>0</v>
      </c>
      <c r="AAK32" s="207"/>
      <c r="AAL32" s="207"/>
      <c r="AAM32" s="207"/>
      <c r="AAN32" s="207"/>
      <c r="AAO32" s="207"/>
      <c r="AAP32" s="272"/>
      <c r="AAQ32" s="272"/>
      <c r="AAR32" s="205">
        <f t="shared" si="224"/>
        <v>0</v>
      </c>
      <c r="AAS32" s="205">
        <f t="shared" si="225"/>
        <v>0</v>
      </c>
    </row>
    <row r="33" spans="1:721" s="126" customFormat="1" ht="69.95" customHeight="1">
      <c r="A33" s="125" t="s">
        <v>38</v>
      </c>
      <c r="B33" s="155">
        <v>3620101108</v>
      </c>
      <c r="C33" s="323"/>
      <c r="D33" s="203" t="s">
        <v>287</v>
      </c>
      <c r="E33" s="130" t="s">
        <v>4</v>
      </c>
      <c r="F33" s="120"/>
      <c r="G33" s="120"/>
      <c r="H33" s="120"/>
      <c r="I33" s="120"/>
      <c r="J33" s="120"/>
      <c r="K33" s="209"/>
      <c r="L33" s="205"/>
      <c r="M33" s="205">
        <f t="shared" si="121"/>
        <v>0</v>
      </c>
      <c r="N33" s="120"/>
      <c r="O33" s="120"/>
      <c r="P33" s="120"/>
      <c r="Q33" s="120"/>
      <c r="R33" s="120"/>
      <c r="S33" s="209"/>
      <c r="T33" s="205"/>
      <c r="U33" s="205">
        <f t="shared" si="122"/>
        <v>0</v>
      </c>
      <c r="V33" s="120"/>
      <c r="W33" s="120"/>
      <c r="X33" s="120"/>
      <c r="Y33" s="120"/>
      <c r="Z33" s="120"/>
      <c r="AA33" s="209"/>
      <c r="AB33" s="205"/>
      <c r="AC33" s="205">
        <f t="shared" si="123"/>
        <v>0</v>
      </c>
      <c r="AD33" s="205"/>
      <c r="AE33" s="205"/>
      <c r="AF33" s="205"/>
      <c r="AG33" s="205"/>
      <c r="AH33" s="205"/>
      <c r="AI33" s="209"/>
      <c r="AJ33" s="205"/>
      <c r="AK33" s="205">
        <f t="shared" si="124"/>
        <v>0</v>
      </c>
      <c r="AL33" s="205" t="e">
        <f>SUM(#REF!,M33,U33,AC33,AD33:AH33)</f>
        <v>#REF!</v>
      </c>
      <c r="AM33" s="120"/>
      <c r="AN33" s="120"/>
      <c r="AO33" s="120"/>
      <c r="AP33" s="120"/>
      <c r="AQ33" s="120"/>
      <c r="AR33" s="209"/>
      <c r="AS33" s="205"/>
      <c r="AT33" s="205">
        <f t="shared" si="125"/>
        <v>0</v>
      </c>
      <c r="AU33" s="120"/>
      <c r="AV33" s="120"/>
      <c r="AW33" s="120"/>
      <c r="AX33" s="120"/>
      <c r="AY33" s="120"/>
      <c r="AZ33" s="209"/>
      <c r="BA33" s="205"/>
      <c r="BB33" s="205">
        <f t="shared" si="126"/>
        <v>0</v>
      </c>
      <c r="BC33" s="120"/>
      <c r="BD33" s="120"/>
      <c r="BE33" s="120"/>
      <c r="BF33" s="120"/>
      <c r="BG33" s="120"/>
      <c r="BH33" s="209"/>
      <c r="BI33" s="205"/>
      <c r="BJ33" s="205">
        <f t="shared" si="127"/>
        <v>0</v>
      </c>
      <c r="BK33" s="120"/>
      <c r="BL33" s="120"/>
      <c r="BM33" s="120"/>
      <c r="BN33" s="120"/>
      <c r="BO33" s="205"/>
      <c r="BP33" s="209"/>
      <c r="BQ33" s="205"/>
      <c r="BR33" s="205">
        <f t="shared" si="128"/>
        <v>0</v>
      </c>
      <c r="BS33" s="205">
        <f t="shared" si="129"/>
        <v>0</v>
      </c>
      <c r="BT33" s="120"/>
      <c r="BU33" s="120"/>
      <c r="BV33" s="120"/>
      <c r="BW33" s="120"/>
      <c r="BX33" s="120"/>
      <c r="BY33" s="209"/>
      <c r="BZ33" s="205"/>
      <c r="CA33" s="205">
        <f t="shared" si="130"/>
        <v>0</v>
      </c>
      <c r="CB33" s="120"/>
      <c r="CC33" s="120"/>
      <c r="CD33" s="120"/>
      <c r="CE33" s="120"/>
      <c r="CF33" s="120"/>
      <c r="CG33" s="209"/>
      <c r="CH33" s="205"/>
      <c r="CI33" s="205">
        <f t="shared" si="131"/>
        <v>0</v>
      </c>
      <c r="CJ33" s="120"/>
      <c r="CK33" s="120"/>
      <c r="CL33" s="120"/>
      <c r="CM33" s="120"/>
      <c r="CN33" s="120"/>
      <c r="CO33" s="209"/>
      <c r="CP33" s="205"/>
      <c r="CQ33" s="205">
        <f t="shared" si="132"/>
        <v>0</v>
      </c>
      <c r="CR33" s="120"/>
      <c r="CS33" s="120"/>
      <c r="CT33" s="120"/>
      <c r="CU33" s="120"/>
      <c r="CV33" s="120"/>
      <c r="CW33" s="209"/>
      <c r="CX33" s="205"/>
      <c r="CY33" s="205">
        <f t="shared" si="133"/>
        <v>0</v>
      </c>
      <c r="CZ33" s="120"/>
      <c r="DA33" s="120"/>
      <c r="DB33" s="120"/>
      <c r="DC33" s="205"/>
      <c r="DD33" s="205"/>
      <c r="DE33" s="209"/>
      <c r="DF33" s="205"/>
      <c r="DG33" s="205">
        <f t="shared" si="134"/>
        <v>0</v>
      </c>
      <c r="DH33" s="205">
        <f t="shared" si="150"/>
        <v>0</v>
      </c>
      <c r="DI33" s="120"/>
      <c r="DJ33" s="120"/>
      <c r="DK33" s="120"/>
      <c r="DL33" s="120"/>
      <c r="DM33" s="120"/>
      <c r="DN33" s="209"/>
      <c r="DO33" s="205"/>
      <c r="DP33" s="205">
        <f>SUM(DI33:DO33)</f>
        <v>0</v>
      </c>
      <c r="DQ33" s="120"/>
      <c r="DR33" s="120"/>
      <c r="DS33" s="120"/>
      <c r="DT33" s="120"/>
      <c r="DU33" s="120"/>
      <c r="DV33" s="209"/>
      <c r="DW33" s="205"/>
      <c r="DX33" s="205">
        <f t="shared" si="136"/>
        <v>0</v>
      </c>
      <c r="DY33" s="120"/>
      <c r="DZ33" s="120"/>
      <c r="EA33" s="120"/>
      <c r="EB33" s="120"/>
      <c r="EC33" s="120"/>
      <c r="ED33" s="209"/>
      <c r="EE33" s="205"/>
      <c r="EF33" s="205">
        <f t="shared" si="137"/>
        <v>0</v>
      </c>
      <c r="EG33" s="120"/>
      <c r="EH33" s="120"/>
      <c r="EI33" s="120"/>
      <c r="EJ33" s="205"/>
      <c r="EK33" s="205"/>
      <c r="EL33" s="209"/>
      <c r="EM33" s="205"/>
      <c r="EN33" s="205">
        <f t="shared" si="138"/>
        <v>0</v>
      </c>
      <c r="EO33" s="205">
        <f t="shared" si="151"/>
        <v>0</v>
      </c>
      <c r="EP33" s="120"/>
      <c r="EQ33" s="120"/>
      <c r="ER33" s="120"/>
      <c r="ES33" s="120"/>
      <c r="ET33" s="120"/>
      <c r="EU33" s="209"/>
      <c r="EV33" s="205"/>
      <c r="EW33" s="205">
        <f t="shared" si="139"/>
        <v>0</v>
      </c>
      <c r="EX33" s="120"/>
      <c r="EY33" s="120"/>
      <c r="EZ33" s="120"/>
      <c r="FA33" s="120"/>
      <c r="FB33" s="120"/>
      <c r="FC33" s="209"/>
      <c r="FD33" s="205"/>
      <c r="FE33" s="205">
        <f t="shared" si="140"/>
        <v>0</v>
      </c>
      <c r="FF33" s="120"/>
      <c r="FG33" s="120"/>
      <c r="FH33" s="120"/>
      <c r="FI33" s="120"/>
      <c r="FJ33" s="120"/>
      <c r="FK33" s="209"/>
      <c r="FL33" s="205"/>
      <c r="FM33" s="205">
        <f t="shared" si="141"/>
        <v>0</v>
      </c>
      <c r="FN33" s="120"/>
      <c r="FO33" s="120"/>
      <c r="FP33" s="120"/>
      <c r="FQ33" s="120"/>
      <c r="FR33" s="205"/>
      <c r="FS33" s="209"/>
      <c r="FT33" s="205"/>
      <c r="FU33" s="205">
        <f t="shared" si="142"/>
        <v>0</v>
      </c>
      <c r="FV33" s="205">
        <f t="shared" si="152"/>
        <v>0</v>
      </c>
      <c r="FW33" s="120"/>
      <c r="FX33" s="120"/>
      <c r="FY33" s="120"/>
      <c r="FZ33" s="120"/>
      <c r="GA33" s="120"/>
      <c r="GB33" s="209"/>
      <c r="GC33" s="205"/>
      <c r="GD33" s="205">
        <f t="shared" si="143"/>
        <v>0</v>
      </c>
      <c r="GE33" s="120"/>
      <c r="GF33" s="120"/>
      <c r="GG33" s="120"/>
      <c r="GH33" s="120"/>
      <c r="GI33" s="120"/>
      <c r="GJ33" s="209"/>
      <c r="GK33" s="205"/>
      <c r="GL33" s="205">
        <f t="shared" si="144"/>
        <v>0</v>
      </c>
      <c r="GM33" s="120"/>
      <c r="GN33" s="120"/>
      <c r="GO33" s="120"/>
      <c r="GP33" s="120"/>
      <c r="GQ33" s="120"/>
      <c r="GR33" s="209"/>
      <c r="GS33" s="205"/>
      <c r="GT33" s="205">
        <f t="shared" si="145"/>
        <v>0</v>
      </c>
      <c r="GU33" s="120"/>
      <c r="GV33" s="120"/>
      <c r="GW33" s="120"/>
      <c r="GX33" s="120"/>
      <c r="GY33" s="120"/>
      <c r="GZ33" s="209"/>
      <c r="HA33" s="205"/>
      <c r="HB33" s="205">
        <f t="shared" si="146"/>
        <v>0</v>
      </c>
      <c r="HC33" s="120"/>
      <c r="HD33" s="120"/>
      <c r="HE33" s="120"/>
      <c r="HF33" s="120"/>
      <c r="HG33" s="120"/>
      <c r="HH33" s="209"/>
      <c r="HI33" s="205"/>
      <c r="HJ33" s="205">
        <f t="shared" si="147"/>
        <v>0</v>
      </c>
      <c r="HK33" s="205">
        <f t="shared" si="153"/>
        <v>0</v>
      </c>
      <c r="HL33" s="124"/>
      <c r="HM33" s="120"/>
      <c r="HN33" s="120"/>
      <c r="HO33" s="120"/>
      <c r="HP33" s="120"/>
      <c r="HQ33" s="205"/>
      <c r="HR33" s="205"/>
      <c r="HS33" s="205">
        <f t="shared" si="154"/>
        <v>0</v>
      </c>
      <c r="HT33" s="120"/>
      <c r="HU33" s="120"/>
      <c r="HV33" s="120"/>
      <c r="HW33" s="120"/>
      <c r="HX33" s="120"/>
      <c r="HY33" s="205"/>
      <c r="HZ33" s="205"/>
      <c r="IA33" s="205">
        <f t="shared" si="155"/>
        <v>0</v>
      </c>
      <c r="IB33" s="120"/>
      <c r="IC33" s="120"/>
      <c r="ID33" s="120"/>
      <c r="IE33" s="120"/>
      <c r="IF33" s="120"/>
      <c r="IG33" s="205"/>
      <c r="IH33" s="205"/>
      <c r="II33" s="205">
        <f t="shared" si="156"/>
        <v>0</v>
      </c>
      <c r="IJ33" s="120"/>
      <c r="IK33" s="120"/>
      <c r="IL33" s="120"/>
      <c r="IM33" s="120"/>
      <c r="IN33" s="120"/>
      <c r="IO33" s="205"/>
      <c r="IP33" s="205"/>
      <c r="IQ33" s="205">
        <f t="shared" si="157"/>
        <v>0</v>
      </c>
      <c r="IR33" s="205">
        <f t="shared" si="158"/>
        <v>0</v>
      </c>
      <c r="IS33" s="120"/>
      <c r="IT33" s="120"/>
      <c r="IU33" s="120"/>
      <c r="IV33" s="120"/>
      <c r="IW33" s="120"/>
      <c r="IX33" s="205"/>
      <c r="IY33" s="205"/>
      <c r="IZ33" s="205">
        <f t="shared" si="159"/>
        <v>0</v>
      </c>
      <c r="JA33" s="120"/>
      <c r="JB33" s="120"/>
      <c r="JC33" s="120"/>
      <c r="JD33" s="120"/>
      <c r="JE33" s="120"/>
      <c r="JF33" s="205"/>
      <c r="JG33" s="205"/>
      <c r="JH33" s="205">
        <f t="shared" si="160"/>
        <v>0</v>
      </c>
      <c r="JI33" s="120"/>
      <c r="JJ33" s="120"/>
      <c r="JK33" s="120"/>
      <c r="JL33" s="120"/>
      <c r="JM33" s="120"/>
      <c r="JN33" s="205"/>
      <c r="JO33" s="205"/>
      <c r="JP33" s="205">
        <f t="shared" si="161"/>
        <v>0</v>
      </c>
      <c r="JQ33" s="120"/>
      <c r="JR33" s="120"/>
      <c r="JS33" s="120"/>
      <c r="JT33" s="120"/>
      <c r="JU33" s="120"/>
      <c r="JV33" s="205"/>
      <c r="JW33" s="205"/>
      <c r="JX33" s="205">
        <f t="shared" si="162"/>
        <v>0</v>
      </c>
      <c r="JY33" s="205">
        <f t="shared" si="163"/>
        <v>0</v>
      </c>
      <c r="JZ33" s="120"/>
      <c r="KA33" s="120"/>
      <c r="KB33" s="120"/>
      <c r="KC33" s="120"/>
      <c r="KD33" s="120"/>
      <c r="KE33" s="205"/>
      <c r="KF33" s="205"/>
      <c r="KG33" s="205">
        <f t="shared" si="164"/>
        <v>0</v>
      </c>
      <c r="KH33" s="120"/>
      <c r="KI33" s="120"/>
      <c r="KJ33" s="120"/>
      <c r="KK33" s="120"/>
      <c r="KL33" s="120"/>
      <c r="KM33" s="205"/>
      <c r="KN33" s="205"/>
      <c r="KO33" s="205">
        <f t="shared" si="165"/>
        <v>0</v>
      </c>
      <c r="KP33" s="120"/>
      <c r="KQ33" s="120"/>
      <c r="KR33" s="120"/>
      <c r="KS33" s="120"/>
      <c r="KT33" s="120"/>
      <c r="KU33" s="205"/>
      <c r="KV33" s="205"/>
      <c r="KW33" s="205">
        <f t="shared" si="166"/>
        <v>0</v>
      </c>
      <c r="KX33" s="120"/>
      <c r="KY33" s="120"/>
      <c r="KZ33" s="120"/>
      <c r="LA33" s="120"/>
      <c r="LB33" s="120"/>
      <c r="LC33" s="205"/>
      <c r="LD33" s="205"/>
      <c r="LE33" s="205">
        <f t="shared" si="167"/>
        <v>0</v>
      </c>
      <c r="LF33" s="205"/>
      <c r="LG33" s="120"/>
      <c r="LH33" s="120"/>
      <c r="LI33" s="120"/>
      <c r="LJ33" s="120"/>
      <c r="LK33" s="205"/>
      <c r="LL33" s="205"/>
      <c r="LM33" s="205">
        <f t="shared" si="168"/>
        <v>0</v>
      </c>
      <c r="LN33" s="205">
        <f t="shared" si="169"/>
        <v>0</v>
      </c>
      <c r="LO33" s="205"/>
      <c r="LP33" s="120"/>
      <c r="LQ33" s="120"/>
      <c r="LR33" s="120"/>
      <c r="LS33" s="205"/>
      <c r="LT33" s="205"/>
      <c r="LU33" s="205"/>
      <c r="LV33" s="205">
        <f t="shared" si="170"/>
        <v>0</v>
      </c>
      <c r="LW33" s="120"/>
      <c r="LX33" s="120"/>
      <c r="LY33" s="120"/>
      <c r="LZ33" s="120"/>
      <c r="MA33" s="120"/>
      <c r="MB33" s="205"/>
      <c r="MC33" s="205"/>
      <c r="MD33" s="205">
        <f t="shared" si="171"/>
        <v>0</v>
      </c>
      <c r="ME33" s="120"/>
      <c r="MF33" s="120"/>
      <c r="MG33" s="120"/>
      <c r="MH33" s="120"/>
      <c r="MI33" s="205"/>
      <c r="MJ33" s="205"/>
      <c r="MK33" s="205"/>
      <c r="ML33" s="205">
        <f t="shared" si="172"/>
        <v>0</v>
      </c>
      <c r="MM33" s="120"/>
      <c r="MN33" s="120"/>
      <c r="MO33" s="120"/>
      <c r="MP33" s="120"/>
      <c r="MQ33" s="120"/>
      <c r="MR33" s="205"/>
      <c r="MS33" s="205"/>
      <c r="MT33" s="205">
        <f t="shared" si="173"/>
        <v>0</v>
      </c>
      <c r="MU33" s="205">
        <f t="shared" si="174"/>
        <v>0</v>
      </c>
      <c r="MV33" s="120"/>
      <c r="MW33" s="120"/>
      <c r="MX33" s="120"/>
      <c r="MY33" s="120"/>
      <c r="MZ33" s="120"/>
      <c r="NA33" s="205"/>
      <c r="NB33" s="205"/>
      <c r="NC33" s="205">
        <f t="shared" si="175"/>
        <v>0</v>
      </c>
      <c r="ND33" s="120"/>
      <c r="NE33" s="120"/>
      <c r="NF33" s="120"/>
      <c r="NG33" s="120"/>
      <c r="NH33" s="120"/>
      <c r="NI33" s="205"/>
      <c r="NJ33" s="205"/>
      <c r="NK33" s="205">
        <f t="shared" si="176"/>
        <v>0</v>
      </c>
      <c r="NL33" s="120"/>
      <c r="NM33" s="120"/>
      <c r="NN33" s="120"/>
      <c r="NO33" s="120"/>
      <c r="NP33" s="120"/>
      <c r="NQ33" s="205"/>
      <c r="NR33" s="205"/>
      <c r="NS33" s="205">
        <f t="shared" si="177"/>
        <v>0</v>
      </c>
      <c r="NT33" s="120"/>
      <c r="NU33" s="120"/>
      <c r="NV33" s="120"/>
      <c r="NW33" s="120"/>
      <c r="NX33" s="120"/>
      <c r="NY33" s="205"/>
      <c r="NZ33" s="205"/>
      <c r="OA33" s="205">
        <f t="shared" si="178"/>
        <v>0</v>
      </c>
      <c r="OB33" s="205">
        <f t="shared" si="179"/>
        <v>0</v>
      </c>
      <c r="OC33" s="120"/>
      <c r="OD33" s="120"/>
      <c r="OE33" s="120"/>
      <c r="OF33" s="120"/>
      <c r="OG33" s="120"/>
      <c r="OH33" s="205"/>
      <c r="OI33" s="205"/>
      <c r="OJ33" s="205">
        <f t="shared" si="180"/>
        <v>0</v>
      </c>
      <c r="OK33" s="120"/>
      <c r="OL33" s="120"/>
      <c r="OM33" s="120"/>
      <c r="ON33" s="120"/>
      <c r="OO33" s="120"/>
      <c r="OP33" s="205"/>
      <c r="OQ33" s="205"/>
      <c r="OR33" s="205">
        <f t="shared" si="181"/>
        <v>0</v>
      </c>
      <c r="OS33" s="120"/>
      <c r="OT33" s="120"/>
      <c r="OU33" s="120"/>
      <c r="OV33" s="120"/>
      <c r="OW33" s="120"/>
      <c r="OX33" s="205"/>
      <c r="OY33" s="205"/>
      <c r="OZ33" s="205">
        <f t="shared" si="182"/>
        <v>0</v>
      </c>
      <c r="PA33" s="120"/>
      <c r="PB33" s="120"/>
      <c r="PC33" s="120"/>
      <c r="PD33" s="205"/>
      <c r="PE33" s="217"/>
      <c r="PF33" s="205"/>
      <c r="PG33" s="205"/>
      <c r="PH33" s="205">
        <f t="shared" si="183"/>
        <v>0</v>
      </c>
      <c r="PI33" s="120"/>
      <c r="PJ33" s="120"/>
      <c r="PK33" s="120"/>
      <c r="PL33" s="205"/>
      <c r="PM33" s="217"/>
      <c r="PN33" s="205"/>
      <c r="PO33" s="205"/>
      <c r="PP33" s="205">
        <f t="shared" si="184"/>
        <v>0</v>
      </c>
      <c r="PQ33" s="205">
        <f t="shared" si="185"/>
        <v>0</v>
      </c>
      <c r="PR33" s="207"/>
      <c r="PS33" s="207"/>
      <c r="PT33" s="207"/>
      <c r="PU33" s="207"/>
      <c r="PV33" s="207"/>
      <c r="PW33" s="272"/>
      <c r="PX33" s="272"/>
      <c r="PY33" s="205">
        <f t="shared" si="186"/>
        <v>0</v>
      </c>
      <c r="PZ33" s="207"/>
      <c r="QA33" s="207"/>
      <c r="QB33" s="207"/>
      <c r="QC33" s="207"/>
      <c r="QD33" s="207"/>
      <c r="QE33" s="272"/>
      <c r="QF33" s="272"/>
      <c r="QG33" s="205">
        <f t="shared" si="187"/>
        <v>0</v>
      </c>
      <c r="QH33" s="207"/>
      <c r="QI33" s="207"/>
      <c r="QJ33" s="294"/>
      <c r="QK33" s="207"/>
      <c r="QL33" s="207"/>
      <c r="QM33" s="272"/>
      <c r="QN33" s="272"/>
      <c r="QO33" s="205">
        <f t="shared" si="188"/>
        <v>0</v>
      </c>
      <c r="QP33" s="207"/>
      <c r="QQ33" s="207"/>
      <c r="QR33" s="207"/>
      <c r="QS33" s="207"/>
      <c r="QT33" s="207"/>
      <c r="QU33" s="272"/>
      <c r="QV33" s="272"/>
      <c r="QW33" s="205">
        <f t="shared" si="189"/>
        <v>0</v>
      </c>
      <c r="QX33" s="205">
        <f t="shared" si="190"/>
        <v>0</v>
      </c>
      <c r="QY33" s="207"/>
      <c r="QZ33" s="207"/>
      <c r="RA33" s="207"/>
      <c r="RB33" s="207"/>
      <c r="RC33" s="207"/>
      <c r="RD33" s="272"/>
      <c r="RE33" s="272"/>
      <c r="RF33" s="205">
        <f t="shared" si="191"/>
        <v>0</v>
      </c>
      <c r="RG33" s="207"/>
      <c r="RH33" s="207"/>
      <c r="RI33" s="207"/>
      <c r="RJ33" s="207"/>
      <c r="RK33" s="207"/>
      <c r="RL33" s="272"/>
      <c r="RM33" s="272"/>
      <c r="RN33" s="205">
        <f t="shared" si="192"/>
        <v>0</v>
      </c>
      <c r="RO33" s="272"/>
      <c r="RP33" s="272"/>
      <c r="RQ33" s="272"/>
      <c r="RR33" s="272"/>
      <c r="RS33" s="272"/>
      <c r="RT33" s="272"/>
      <c r="RU33" s="272"/>
      <c r="RV33" s="205">
        <f t="shared" si="193"/>
        <v>0</v>
      </c>
      <c r="RW33" s="207"/>
      <c r="RX33" s="207"/>
      <c r="RY33" s="207"/>
      <c r="RZ33" s="207"/>
      <c r="SA33" s="272"/>
      <c r="SB33" s="272"/>
      <c r="SC33" s="272"/>
      <c r="SD33" s="205">
        <f t="shared" si="194"/>
        <v>0</v>
      </c>
      <c r="SE33" s="205">
        <f t="shared" si="195"/>
        <v>0</v>
      </c>
      <c r="SF33" s="207"/>
      <c r="SG33" s="207"/>
      <c r="SH33" s="207"/>
      <c r="SI33" s="207"/>
      <c r="SJ33" s="207"/>
      <c r="SK33" s="272"/>
      <c r="SL33" s="272"/>
      <c r="SM33" s="205">
        <f t="shared" si="196"/>
        <v>0</v>
      </c>
      <c r="SN33" s="207"/>
      <c r="SO33" s="207"/>
      <c r="SP33" s="207"/>
      <c r="SQ33" s="207"/>
      <c r="SR33" s="207"/>
      <c r="SS33" s="272"/>
      <c r="ST33" s="272"/>
      <c r="SU33" s="205">
        <f t="shared" si="197"/>
        <v>0</v>
      </c>
      <c r="SV33" s="207"/>
      <c r="SW33" s="207"/>
      <c r="SX33" s="207"/>
      <c r="SY33" s="207"/>
      <c r="SZ33" s="207"/>
      <c r="TA33" s="272"/>
      <c r="TB33" s="272"/>
      <c r="TC33" s="205">
        <f t="shared" si="198"/>
        <v>0</v>
      </c>
      <c r="TD33" s="207"/>
      <c r="TE33" s="207"/>
      <c r="TF33" s="207"/>
      <c r="TG33" s="207"/>
      <c r="TH33" s="207"/>
      <c r="TI33" s="272"/>
      <c r="TJ33" s="272"/>
      <c r="TK33" s="205">
        <f t="shared" si="199"/>
        <v>0</v>
      </c>
      <c r="TL33" s="207"/>
      <c r="TM33" s="207"/>
      <c r="TN33" s="207"/>
      <c r="TO33" s="207"/>
      <c r="TP33" s="272"/>
      <c r="TQ33" s="272"/>
      <c r="TR33" s="272"/>
      <c r="TS33" s="205">
        <f t="shared" si="200"/>
        <v>0</v>
      </c>
      <c r="TT33" s="205">
        <f t="shared" si="201"/>
        <v>0</v>
      </c>
      <c r="TU33" s="272"/>
      <c r="TV33" s="207"/>
      <c r="TW33" s="207"/>
      <c r="TX33" s="207"/>
      <c r="TY33" s="207"/>
      <c r="TZ33" s="272"/>
      <c r="UA33" s="272"/>
      <c r="UB33" s="205">
        <f t="shared" si="202"/>
        <v>0</v>
      </c>
      <c r="UC33" s="207"/>
      <c r="UD33" s="207"/>
      <c r="UE33" s="207"/>
      <c r="UF33" s="207"/>
      <c r="UG33" s="207"/>
      <c r="UH33" s="272"/>
      <c r="UI33" s="272"/>
      <c r="UJ33" s="205">
        <f t="shared" si="203"/>
        <v>0</v>
      </c>
      <c r="UK33" s="207"/>
      <c r="UL33" s="207"/>
      <c r="UM33" s="207"/>
      <c r="UN33" s="207"/>
      <c r="UO33" s="207"/>
      <c r="UP33" s="272"/>
      <c r="UQ33" s="272"/>
      <c r="UR33" s="205">
        <f t="shared" si="227"/>
        <v>0</v>
      </c>
      <c r="US33" s="207"/>
      <c r="UT33" s="207"/>
      <c r="UU33" s="207"/>
      <c r="UV33" s="207"/>
      <c r="UW33" s="272"/>
      <c r="UX33" s="272"/>
      <c r="UY33" s="272"/>
      <c r="UZ33" s="205">
        <f t="shared" si="204"/>
        <v>0</v>
      </c>
      <c r="VA33" s="205">
        <f t="shared" si="205"/>
        <v>0</v>
      </c>
      <c r="VB33" s="207"/>
      <c r="VC33" s="207"/>
      <c r="VD33" s="207"/>
      <c r="VE33" s="207"/>
      <c r="VF33" s="207"/>
      <c r="VG33" s="272"/>
      <c r="VH33" s="272"/>
      <c r="VI33" s="205">
        <f t="shared" si="206"/>
        <v>0</v>
      </c>
      <c r="VJ33" s="207"/>
      <c r="VK33" s="207"/>
      <c r="VL33" s="207"/>
      <c r="VM33" s="207"/>
      <c r="VN33" s="207"/>
      <c r="VO33" s="272"/>
      <c r="VP33" s="272"/>
      <c r="VQ33" s="205">
        <f t="shared" si="207"/>
        <v>0</v>
      </c>
      <c r="VR33" s="207"/>
      <c r="VS33" s="207"/>
      <c r="VT33" s="207"/>
      <c r="VU33" s="207"/>
      <c r="VV33" s="207"/>
      <c r="VW33" s="272"/>
      <c r="VX33" s="272"/>
      <c r="VY33" s="205">
        <f t="shared" si="208"/>
        <v>0</v>
      </c>
      <c r="VZ33" s="207"/>
      <c r="WA33" s="207"/>
      <c r="WB33" s="207"/>
      <c r="WC33" s="207"/>
      <c r="WD33" s="207"/>
      <c r="WE33" s="272"/>
      <c r="WF33" s="272"/>
      <c r="WG33" s="205">
        <f t="shared" si="209"/>
        <v>0</v>
      </c>
      <c r="WH33" s="205">
        <f t="shared" si="210"/>
        <v>0</v>
      </c>
      <c r="WI33" s="207"/>
      <c r="WJ33" s="207"/>
      <c r="WK33" s="207"/>
      <c r="WL33" s="207"/>
      <c r="WM33" s="207"/>
      <c r="WN33" s="272"/>
      <c r="WO33" s="272"/>
      <c r="WP33" s="205">
        <f t="shared" si="211"/>
        <v>0</v>
      </c>
      <c r="WQ33" s="207"/>
      <c r="WR33" s="207"/>
      <c r="WS33" s="207"/>
      <c r="WT33" s="207"/>
      <c r="WU33" s="207"/>
      <c r="WV33" s="272"/>
      <c r="WW33" s="272"/>
      <c r="WX33" s="205">
        <f t="shared" si="212"/>
        <v>0</v>
      </c>
      <c r="WY33" s="207"/>
      <c r="WZ33" s="207"/>
      <c r="XA33" s="207"/>
      <c r="XB33" s="207"/>
      <c r="XC33" s="272"/>
      <c r="XD33" s="272"/>
      <c r="XE33" s="272"/>
      <c r="XF33" s="205">
        <f t="shared" si="213"/>
        <v>0</v>
      </c>
      <c r="XG33" s="207"/>
      <c r="XH33" s="207"/>
      <c r="XI33" s="207"/>
      <c r="XJ33" s="207"/>
      <c r="XK33" s="207"/>
      <c r="XL33" s="272"/>
      <c r="XM33" s="272"/>
      <c r="XN33" s="205">
        <f t="shared" si="214"/>
        <v>0</v>
      </c>
      <c r="XO33" s="207"/>
      <c r="XP33" s="207"/>
      <c r="XQ33" s="207"/>
      <c r="XR33" s="207"/>
      <c r="XS33" s="207"/>
      <c r="XT33" s="272"/>
      <c r="XU33" s="272"/>
      <c r="XV33" s="205">
        <f t="shared" si="215"/>
        <v>0</v>
      </c>
      <c r="XW33" s="205">
        <f t="shared" si="216"/>
        <v>0</v>
      </c>
      <c r="XX33" s="207"/>
      <c r="XY33" s="207"/>
      <c r="XZ33" s="207"/>
      <c r="YA33" s="207"/>
      <c r="YB33" s="207"/>
      <c r="YC33" s="272"/>
      <c r="YD33" s="272"/>
      <c r="YE33" s="205">
        <f t="shared" si="217"/>
        <v>0</v>
      </c>
      <c r="YF33" s="207"/>
      <c r="YG33" s="207"/>
      <c r="YH33" s="207"/>
      <c r="YI33" s="207"/>
      <c r="YJ33" s="207"/>
      <c r="YK33" s="272"/>
      <c r="YL33" s="272"/>
      <c r="YM33" s="205">
        <f t="shared" si="218"/>
        <v>0</v>
      </c>
      <c r="YN33" s="207"/>
      <c r="YO33" s="207"/>
      <c r="YP33" s="207"/>
      <c r="YQ33" s="207"/>
      <c r="YR33" s="207"/>
      <c r="YS33" s="272"/>
      <c r="YT33" s="272"/>
      <c r="YU33" s="205">
        <f t="shared" si="148"/>
        <v>0</v>
      </c>
      <c r="YV33" s="207"/>
      <c r="YW33" s="207"/>
      <c r="YX33" s="207"/>
      <c r="YY33" s="207"/>
      <c r="YZ33" s="207"/>
      <c r="ZA33" s="272"/>
      <c r="ZB33" s="272"/>
      <c r="ZC33" s="205">
        <f t="shared" si="219"/>
        <v>0</v>
      </c>
      <c r="ZD33" s="205">
        <f t="shared" si="149"/>
        <v>0</v>
      </c>
      <c r="ZE33" s="207"/>
      <c r="ZF33" s="207"/>
      <c r="ZG33" s="207"/>
      <c r="ZH33" s="207"/>
      <c r="ZI33" s="207"/>
      <c r="ZJ33" s="272"/>
      <c r="ZK33" s="272"/>
      <c r="ZL33" s="205">
        <f t="shared" si="220"/>
        <v>0</v>
      </c>
      <c r="ZM33" s="207"/>
      <c r="ZN33" s="207"/>
      <c r="ZO33" s="207"/>
      <c r="ZP33" s="207"/>
      <c r="ZQ33" s="207"/>
      <c r="ZR33" s="272"/>
      <c r="ZS33" s="272"/>
      <c r="ZT33" s="205">
        <f t="shared" si="221"/>
        <v>0</v>
      </c>
      <c r="ZU33" s="207"/>
      <c r="ZV33" s="207"/>
      <c r="ZW33" s="207"/>
      <c r="ZX33" s="207"/>
      <c r="ZY33" s="207"/>
      <c r="ZZ33" s="272"/>
      <c r="AAA33" s="272"/>
      <c r="AAB33" s="205">
        <f t="shared" si="222"/>
        <v>0</v>
      </c>
      <c r="AAC33" s="207"/>
      <c r="AAD33" s="207"/>
      <c r="AAE33" s="207"/>
      <c r="AAF33" s="207"/>
      <c r="AAG33" s="207"/>
      <c r="AAH33" s="272"/>
      <c r="AAI33" s="272"/>
      <c r="AAJ33" s="205">
        <f t="shared" si="223"/>
        <v>0</v>
      </c>
      <c r="AAK33" s="207"/>
      <c r="AAL33" s="207"/>
      <c r="AAM33" s="207"/>
      <c r="AAN33" s="207"/>
      <c r="AAO33" s="207"/>
      <c r="AAP33" s="272"/>
      <c r="AAQ33" s="272"/>
      <c r="AAR33" s="205">
        <f t="shared" si="224"/>
        <v>0</v>
      </c>
      <c r="AAS33" s="205">
        <f t="shared" si="225"/>
        <v>0</v>
      </c>
    </row>
    <row r="34" spans="1:721" s="126" customFormat="1" ht="69.95" customHeight="1">
      <c r="A34" s="125" t="s">
        <v>38</v>
      </c>
      <c r="B34" s="155">
        <v>3620102803</v>
      </c>
      <c r="C34" s="323"/>
      <c r="D34" s="156" t="s">
        <v>491</v>
      </c>
      <c r="E34" s="130" t="s">
        <v>4</v>
      </c>
      <c r="F34" s="120"/>
      <c r="G34" s="120"/>
      <c r="H34" s="201">
        <v>400</v>
      </c>
      <c r="I34" s="120"/>
      <c r="J34" s="120"/>
      <c r="K34" s="209"/>
      <c r="L34" s="205"/>
      <c r="M34" s="205">
        <f t="shared" si="121"/>
        <v>400</v>
      </c>
      <c r="N34" s="120"/>
      <c r="O34" s="120"/>
      <c r="P34" s="120"/>
      <c r="Q34" s="120"/>
      <c r="R34" s="120"/>
      <c r="S34" s="209"/>
      <c r="T34" s="205"/>
      <c r="U34" s="205">
        <f t="shared" si="122"/>
        <v>0</v>
      </c>
      <c r="V34" s="120"/>
      <c r="W34" s="120"/>
      <c r="X34" s="120"/>
      <c r="Y34" s="120"/>
      <c r="Z34" s="120"/>
      <c r="AA34" s="209"/>
      <c r="AB34" s="205"/>
      <c r="AC34" s="205">
        <f t="shared" si="123"/>
        <v>0</v>
      </c>
      <c r="AD34" s="205"/>
      <c r="AE34" s="205"/>
      <c r="AF34" s="205"/>
      <c r="AG34" s="205"/>
      <c r="AH34" s="205"/>
      <c r="AI34" s="209"/>
      <c r="AJ34" s="205"/>
      <c r="AK34" s="205">
        <f t="shared" si="124"/>
        <v>0</v>
      </c>
      <c r="AL34" s="205" t="e">
        <f>SUM(#REF!,M34,U34,AC34,AD34:AH34)</f>
        <v>#REF!</v>
      </c>
      <c r="AM34" s="120"/>
      <c r="AN34" s="120"/>
      <c r="AO34" s="120"/>
      <c r="AP34" s="120"/>
      <c r="AQ34" s="120"/>
      <c r="AR34" s="209"/>
      <c r="AS34" s="205"/>
      <c r="AT34" s="205">
        <f t="shared" si="125"/>
        <v>0</v>
      </c>
      <c r="AU34" s="120"/>
      <c r="AV34" s="120"/>
      <c r="AW34" s="120"/>
      <c r="AX34" s="120"/>
      <c r="AY34" s="120"/>
      <c r="AZ34" s="209"/>
      <c r="BA34" s="205"/>
      <c r="BB34" s="205">
        <f t="shared" si="126"/>
        <v>0</v>
      </c>
      <c r="BC34" s="120"/>
      <c r="BD34" s="120"/>
      <c r="BE34" s="120"/>
      <c r="BF34" s="120"/>
      <c r="BG34" s="120"/>
      <c r="BH34" s="209"/>
      <c r="BI34" s="205"/>
      <c r="BJ34" s="205">
        <f t="shared" si="127"/>
        <v>0</v>
      </c>
      <c r="BK34" s="120"/>
      <c r="BL34" s="120"/>
      <c r="BM34" s="120"/>
      <c r="BN34" s="120"/>
      <c r="BO34" s="205"/>
      <c r="BP34" s="209"/>
      <c r="BQ34" s="205"/>
      <c r="BR34" s="205">
        <f t="shared" si="128"/>
        <v>0</v>
      </c>
      <c r="BS34" s="205">
        <f t="shared" si="129"/>
        <v>0</v>
      </c>
      <c r="BT34" s="120"/>
      <c r="BU34" s="120"/>
      <c r="BV34" s="120"/>
      <c r="BW34" s="120"/>
      <c r="BX34" s="120"/>
      <c r="BY34" s="209"/>
      <c r="BZ34" s="205"/>
      <c r="CA34" s="205">
        <f t="shared" si="130"/>
        <v>0</v>
      </c>
      <c r="CB34" s="120"/>
      <c r="CC34" s="120"/>
      <c r="CD34" s="120"/>
      <c r="CE34" s="120"/>
      <c r="CF34" s="120"/>
      <c r="CG34" s="209"/>
      <c r="CH34" s="205"/>
      <c r="CI34" s="205">
        <f t="shared" si="131"/>
        <v>0</v>
      </c>
      <c r="CJ34" s="120"/>
      <c r="CK34" s="120"/>
      <c r="CL34" s="120"/>
      <c r="CM34" s="120"/>
      <c r="CN34" s="120"/>
      <c r="CO34" s="209"/>
      <c r="CP34" s="205"/>
      <c r="CQ34" s="205">
        <f t="shared" si="132"/>
        <v>0</v>
      </c>
      <c r="CR34" s="120"/>
      <c r="CS34" s="120"/>
      <c r="CT34" s="120"/>
      <c r="CU34" s="120"/>
      <c r="CV34" s="120"/>
      <c r="CW34" s="209"/>
      <c r="CX34" s="205"/>
      <c r="CY34" s="205">
        <f t="shared" si="133"/>
        <v>0</v>
      </c>
      <c r="CZ34" s="120"/>
      <c r="DA34" s="120"/>
      <c r="DB34" s="120"/>
      <c r="DC34" s="205"/>
      <c r="DD34" s="205"/>
      <c r="DE34" s="209"/>
      <c r="DF34" s="205"/>
      <c r="DG34" s="205">
        <f t="shared" si="134"/>
        <v>0</v>
      </c>
      <c r="DH34" s="205">
        <f t="shared" si="150"/>
        <v>0</v>
      </c>
      <c r="DI34" s="120"/>
      <c r="DJ34" s="120"/>
      <c r="DK34" s="120"/>
      <c r="DL34" s="120"/>
      <c r="DM34" s="120"/>
      <c r="DN34" s="209"/>
      <c r="DO34" s="205"/>
      <c r="DP34" s="205">
        <f t="shared" ref="DP34:DP81" si="228">SUM(DI34:DO34)</f>
        <v>0</v>
      </c>
      <c r="DQ34" s="120"/>
      <c r="DR34" s="120"/>
      <c r="DS34" s="120"/>
      <c r="DT34" s="120"/>
      <c r="DU34" s="120"/>
      <c r="DV34" s="209"/>
      <c r="DW34" s="205"/>
      <c r="DX34" s="205">
        <f t="shared" si="136"/>
        <v>0</v>
      </c>
      <c r="DY34" s="120"/>
      <c r="DZ34" s="120"/>
      <c r="EA34" s="120"/>
      <c r="EB34" s="120"/>
      <c r="EC34" s="120"/>
      <c r="ED34" s="209"/>
      <c r="EE34" s="205"/>
      <c r="EF34" s="205">
        <f t="shared" si="137"/>
        <v>0</v>
      </c>
      <c r="EG34" s="120"/>
      <c r="EH34" s="120"/>
      <c r="EI34" s="120"/>
      <c r="EJ34" s="205"/>
      <c r="EK34" s="205"/>
      <c r="EL34" s="209"/>
      <c r="EM34" s="205"/>
      <c r="EN34" s="205">
        <f t="shared" si="138"/>
        <v>0</v>
      </c>
      <c r="EO34" s="205">
        <f t="shared" si="151"/>
        <v>0</v>
      </c>
      <c r="EP34" s="250">
        <v>500</v>
      </c>
      <c r="EQ34" s="120"/>
      <c r="ER34" s="120"/>
      <c r="ES34" s="120"/>
      <c r="ET34" s="120"/>
      <c r="EU34" s="209"/>
      <c r="EV34" s="205"/>
      <c r="EW34" s="205">
        <f t="shared" si="139"/>
        <v>500</v>
      </c>
      <c r="EX34" s="120"/>
      <c r="EY34" s="120"/>
      <c r="EZ34" s="120"/>
      <c r="FA34" s="120"/>
      <c r="FB34" s="120"/>
      <c r="FC34" s="209"/>
      <c r="FD34" s="205"/>
      <c r="FE34" s="205">
        <f t="shared" si="140"/>
        <v>0</v>
      </c>
      <c r="FF34" s="120"/>
      <c r="FG34" s="120"/>
      <c r="FH34" s="120"/>
      <c r="FI34" s="120"/>
      <c r="FJ34" s="120"/>
      <c r="FK34" s="209"/>
      <c r="FL34" s="205"/>
      <c r="FM34" s="205">
        <f t="shared" si="141"/>
        <v>0</v>
      </c>
      <c r="FN34" s="120"/>
      <c r="FO34" s="120"/>
      <c r="FP34" s="120"/>
      <c r="FQ34" s="120"/>
      <c r="FR34" s="205"/>
      <c r="FS34" s="209"/>
      <c r="FT34" s="205"/>
      <c r="FU34" s="205">
        <f t="shared" si="142"/>
        <v>0</v>
      </c>
      <c r="FV34" s="205">
        <f t="shared" si="152"/>
        <v>500</v>
      </c>
      <c r="FW34" s="120"/>
      <c r="FX34" s="120"/>
      <c r="FY34" s="120"/>
      <c r="FZ34" s="120"/>
      <c r="GA34" s="120"/>
      <c r="GB34" s="209"/>
      <c r="GC34" s="205"/>
      <c r="GD34" s="205">
        <f t="shared" si="143"/>
        <v>0</v>
      </c>
      <c r="GE34" s="120"/>
      <c r="GF34" s="120"/>
      <c r="GG34" s="120"/>
      <c r="GH34" s="120"/>
      <c r="GI34" s="120"/>
      <c r="GJ34" s="209"/>
      <c r="GK34" s="205"/>
      <c r="GL34" s="205">
        <f t="shared" si="144"/>
        <v>0</v>
      </c>
      <c r="GM34" s="120"/>
      <c r="GN34" s="120"/>
      <c r="GO34" s="120"/>
      <c r="GP34" s="120"/>
      <c r="GQ34" s="120"/>
      <c r="GR34" s="209"/>
      <c r="GS34" s="205"/>
      <c r="GT34" s="205">
        <f t="shared" si="145"/>
        <v>0</v>
      </c>
      <c r="GU34" s="120"/>
      <c r="GV34" s="120"/>
      <c r="GW34" s="120"/>
      <c r="GX34" s="120"/>
      <c r="GY34" s="120"/>
      <c r="GZ34" s="209"/>
      <c r="HA34" s="205"/>
      <c r="HB34" s="205">
        <f t="shared" si="146"/>
        <v>0</v>
      </c>
      <c r="HC34" s="120"/>
      <c r="HD34" s="120"/>
      <c r="HE34" s="120"/>
      <c r="HF34" s="120"/>
      <c r="HG34" s="120"/>
      <c r="HH34" s="209"/>
      <c r="HI34" s="205"/>
      <c r="HJ34" s="205">
        <f t="shared" si="147"/>
        <v>0</v>
      </c>
      <c r="HK34" s="205">
        <f t="shared" si="153"/>
        <v>0</v>
      </c>
      <c r="HL34" s="124"/>
      <c r="HM34" s="120"/>
      <c r="HN34" s="120"/>
      <c r="HO34" s="120"/>
      <c r="HP34" s="120"/>
      <c r="HQ34" s="205"/>
      <c r="HR34" s="205"/>
      <c r="HS34" s="205">
        <f t="shared" si="154"/>
        <v>0</v>
      </c>
      <c r="HT34" s="120"/>
      <c r="HU34" s="120"/>
      <c r="HV34" s="120"/>
      <c r="HW34" s="120"/>
      <c r="HX34" s="120"/>
      <c r="HY34" s="205"/>
      <c r="HZ34" s="205"/>
      <c r="IA34" s="205">
        <f t="shared" si="155"/>
        <v>0</v>
      </c>
      <c r="IB34" s="120"/>
      <c r="IC34" s="120"/>
      <c r="ID34" s="120"/>
      <c r="IE34" s="120"/>
      <c r="IF34" s="120"/>
      <c r="IG34" s="205"/>
      <c r="IH34" s="205"/>
      <c r="II34" s="205">
        <f t="shared" si="156"/>
        <v>0</v>
      </c>
      <c r="IJ34" s="120"/>
      <c r="IK34" s="120"/>
      <c r="IL34" s="120"/>
      <c r="IM34" s="120"/>
      <c r="IN34" s="120"/>
      <c r="IO34" s="205"/>
      <c r="IP34" s="205"/>
      <c r="IQ34" s="205">
        <f t="shared" si="157"/>
        <v>0</v>
      </c>
      <c r="IR34" s="205">
        <f t="shared" si="158"/>
        <v>0</v>
      </c>
      <c r="IS34" s="120"/>
      <c r="IT34" s="120"/>
      <c r="IU34" s="120"/>
      <c r="IV34" s="120"/>
      <c r="IW34" s="120"/>
      <c r="IX34" s="205"/>
      <c r="IY34" s="205"/>
      <c r="IZ34" s="205">
        <f t="shared" si="159"/>
        <v>0</v>
      </c>
      <c r="JA34" s="120"/>
      <c r="JB34" s="120"/>
      <c r="JC34" s="120"/>
      <c r="JD34" s="120"/>
      <c r="JE34" s="120"/>
      <c r="JF34" s="205"/>
      <c r="JG34" s="205"/>
      <c r="JH34" s="205">
        <f t="shared" si="160"/>
        <v>0</v>
      </c>
      <c r="JI34" s="120"/>
      <c r="JJ34" s="120"/>
      <c r="JK34" s="120"/>
      <c r="JL34" s="120"/>
      <c r="JM34" s="120"/>
      <c r="JN34" s="205"/>
      <c r="JO34" s="205"/>
      <c r="JP34" s="205">
        <f t="shared" si="161"/>
        <v>0</v>
      </c>
      <c r="JQ34" s="120"/>
      <c r="JR34" s="120"/>
      <c r="JS34" s="120"/>
      <c r="JT34" s="120"/>
      <c r="JU34" s="120"/>
      <c r="JV34" s="205"/>
      <c r="JW34" s="205"/>
      <c r="JX34" s="205">
        <f t="shared" si="162"/>
        <v>0</v>
      </c>
      <c r="JY34" s="205">
        <f t="shared" si="163"/>
        <v>0</v>
      </c>
      <c r="JZ34" s="120"/>
      <c r="KA34" s="120"/>
      <c r="KB34" s="120"/>
      <c r="KC34" s="120"/>
      <c r="KD34" s="120"/>
      <c r="KE34" s="205"/>
      <c r="KF34" s="205"/>
      <c r="KG34" s="205">
        <f t="shared" si="164"/>
        <v>0</v>
      </c>
      <c r="KH34" s="120"/>
      <c r="KI34" s="120"/>
      <c r="KJ34" s="120"/>
      <c r="KK34" s="120"/>
      <c r="KL34" s="120"/>
      <c r="KM34" s="205"/>
      <c r="KN34" s="205"/>
      <c r="KO34" s="205">
        <f t="shared" si="165"/>
        <v>0</v>
      </c>
      <c r="KP34" s="120"/>
      <c r="KQ34" s="120"/>
      <c r="KR34" s="120"/>
      <c r="KS34" s="120"/>
      <c r="KT34" s="120"/>
      <c r="KU34" s="205"/>
      <c r="KV34" s="205"/>
      <c r="KW34" s="205">
        <f t="shared" si="166"/>
        <v>0</v>
      </c>
      <c r="KX34" s="120"/>
      <c r="KY34" s="120"/>
      <c r="KZ34" s="120"/>
      <c r="LA34" s="120"/>
      <c r="LB34" s="120"/>
      <c r="LC34" s="205"/>
      <c r="LD34" s="205"/>
      <c r="LE34" s="205">
        <f t="shared" si="167"/>
        <v>0</v>
      </c>
      <c r="LF34" s="205"/>
      <c r="LG34" s="120"/>
      <c r="LH34" s="120"/>
      <c r="LI34" s="120"/>
      <c r="LJ34" s="120"/>
      <c r="LK34" s="205"/>
      <c r="LL34" s="205"/>
      <c r="LM34" s="205">
        <f t="shared" si="168"/>
        <v>0</v>
      </c>
      <c r="LN34" s="205">
        <f t="shared" si="169"/>
        <v>0</v>
      </c>
      <c r="LO34" s="205"/>
      <c r="LP34" s="120"/>
      <c r="LQ34" s="120"/>
      <c r="LR34" s="120"/>
      <c r="LS34" s="205"/>
      <c r="LT34" s="205"/>
      <c r="LU34" s="205"/>
      <c r="LV34" s="205">
        <f t="shared" si="170"/>
        <v>0</v>
      </c>
      <c r="LW34" s="120"/>
      <c r="LX34" s="120"/>
      <c r="LY34" s="120"/>
      <c r="LZ34" s="120"/>
      <c r="MA34" s="120"/>
      <c r="MB34" s="205"/>
      <c r="MC34" s="205"/>
      <c r="MD34" s="205">
        <f t="shared" si="171"/>
        <v>0</v>
      </c>
      <c r="ME34" s="120"/>
      <c r="MF34" s="120"/>
      <c r="MG34" s="120"/>
      <c r="MH34" s="120"/>
      <c r="MI34" s="205"/>
      <c r="MJ34" s="205"/>
      <c r="MK34" s="205"/>
      <c r="ML34" s="205">
        <f>SUM(ME34:MK34)</f>
        <v>0</v>
      </c>
      <c r="MM34" s="120"/>
      <c r="MN34" s="120"/>
      <c r="MO34" s="120"/>
      <c r="MP34" s="120"/>
      <c r="MQ34" s="120"/>
      <c r="MR34" s="205"/>
      <c r="MS34" s="205"/>
      <c r="MT34" s="205">
        <f t="shared" si="173"/>
        <v>0</v>
      </c>
      <c r="MU34" s="205">
        <f t="shared" si="174"/>
        <v>0</v>
      </c>
      <c r="MV34" s="120"/>
      <c r="MW34" s="120"/>
      <c r="MX34" s="120"/>
      <c r="MY34" s="120"/>
      <c r="MZ34" s="120"/>
      <c r="NA34" s="205"/>
      <c r="NB34" s="205"/>
      <c r="NC34" s="205">
        <f t="shared" si="175"/>
        <v>0</v>
      </c>
      <c r="ND34" s="120"/>
      <c r="NE34" s="120"/>
      <c r="NF34" s="120"/>
      <c r="NG34" s="120"/>
      <c r="NH34" s="120"/>
      <c r="NI34" s="205"/>
      <c r="NJ34" s="205"/>
      <c r="NK34" s="205">
        <f t="shared" si="176"/>
        <v>0</v>
      </c>
      <c r="NL34" s="120"/>
      <c r="NM34" s="120"/>
      <c r="NN34" s="120"/>
      <c r="NO34" s="120"/>
      <c r="NP34" s="120"/>
      <c r="NQ34" s="205"/>
      <c r="NR34" s="205"/>
      <c r="NS34" s="205">
        <f t="shared" si="177"/>
        <v>0</v>
      </c>
      <c r="NT34" s="120"/>
      <c r="NU34" s="120"/>
      <c r="NV34" s="120"/>
      <c r="NW34" s="120"/>
      <c r="NX34" s="120"/>
      <c r="NY34" s="205"/>
      <c r="NZ34" s="205"/>
      <c r="OA34" s="205">
        <f t="shared" si="178"/>
        <v>0</v>
      </c>
      <c r="OB34" s="205">
        <f t="shared" si="179"/>
        <v>0</v>
      </c>
      <c r="OC34" s="120"/>
      <c r="OD34" s="120"/>
      <c r="OE34" s="120"/>
      <c r="OF34" s="120"/>
      <c r="OG34" s="120"/>
      <c r="OH34" s="205"/>
      <c r="OI34" s="205"/>
      <c r="OJ34" s="205">
        <f t="shared" si="180"/>
        <v>0</v>
      </c>
      <c r="OK34" s="120"/>
      <c r="OL34" s="120"/>
      <c r="OM34" s="120"/>
      <c r="ON34" s="120"/>
      <c r="OO34" s="120"/>
      <c r="OP34" s="205"/>
      <c r="OQ34" s="205"/>
      <c r="OR34" s="205">
        <f t="shared" si="181"/>
        <v>0</v>
      </c>
      <c r="OS34" s="120"/>
      <c r="OT34" s="120"/>
      <c r="OU34" s="120"/>
      <c r="OV34" s="120"/>
      <c r="OW34" s="120"/>
      <c r="OX34" s="205"/>
      <c r="OY34" s="205"/>
      <c r="OZ34" s="205">
        <f t="shared" si="182"/>
        <v>0</v>
      </c>
      <c r="PA34" s="120"/>
      <c r="PB34" s="120"/>
      <c r="PC34" s="120"/>
      <c r="PD34" s="205"/>
      <c r="PE34" s="217"/>
      <c r="PF34" s="205"/>
      <c r="PG34" s="205"/>
      <c r="PH34" s="205">
        <f t="shared" si="183"/>
        <v>0</v>
      </c>
      <c r="PI34" s="120"/>
      <c r="PJ34" s="120"/>
      <c r="PK34" s="120"/>
      <c r="PL34" s="205"/>
      <c r="PM34" s="217"/>
      <c r="PN34" s="205"/>
      <c r="PO34" s="205"/>
      <c r="PP34" s="205">
        <f t="shared" si="184"/>
        <v>0</v>
      </c>
      <c r="PQ34" s="205">
        <f t="shared" si="185"/>
        <v>0</v>
      </c>
      <c r="PR34" s="207"/>
      <c r="PS34" s="207"/>
      <c r="PT34" s="207"/>
      <c r="PU34" s="207"/>
      <c r="PV34" s="207"/>
      <c r="PW34" s="272"/>
      <c r="PX34" s="272"/>
      <c r="PY34" s="205">
        <f t="shared" si="186"/>
        <v>0</v>
      </c>
      <c r="PZ34" s="207"/>
      <c r="QA34" s="207"/>
      <c r="QB34" s="207"/>
      <c r="QC34" s="207"/>
      <c r="QD34" s="207"/>
      <c r="QE34" s="272"/>
      <c r="QF34" s="272"/>
      <c r="QG34" s="205">
        <f t="shared" si="187"/>
        <v>0</v>
      </c>
      <c r="QH34" s="207"/>
      <c r="QI34" s="207"/>
      <c r="QJ34" s="294"/>
      <c r="QK34" s="207"/>
      <c r="QL34" s="207"/>
      <c r="QM34" s="272"/>
      <c r="QN34" s="272"/>
      <c r="QO34" s="205">
        <f t="shared" si="188"/>
        <v>0</v>
      </c>
      <c r="QP34" s="207"/>
      <c r="QQ34" s="207"/>
      <c r="QR34" s="207"/>
      <c r="QS34" s="207"/>
      <c r="QT34" s="207"/>
      <c r="QU34" s="272"/>
      <c r="QV34" s="272"/>
      <c r="QW34" s="205">
        <f t="shared" si="189"/>
        <v>0</v>
      </c>
      <c r="QX34" s="205">
        <f t="shared" si="190"/>
        <v>0</v>
      </c>
      <c r="QY34" s="207"/>
      <c r="QZ34" s="207"/>
      <c r="RA34" s="207"/>
      <c r="RB34" s="207"/>
      <c r="RC34" s="207"/>
      <c r="RD34" s="272"/>
      <c r="RE34" s="272"/>
      <c r="RF34" s="205">
        <f t="shared" si="191"/>
        <v>0</v>
      </c>
      <c r="RG34" s="207"/>
      <c r="RH34" s="207"/>
      <c r="RI34" s="207"/>
      <c r="RJ34" s="207"/>
      <c r="RK34" s="207"/>
      <c r="RL34" s="272"/>
      <c r="RM34" s="272"/>
      <c r="RN34" s="205">
        <f t="shared" si="192"/>
        <v>0</v>
      </c>
      <c r="RO34" s="272"/>
      <c r="RP34" s="272"/>
      <c r="RQ34" s="272"/>
      <c r="RR34" s="272"/>
      <c r="RS34" s="272"/>
      <c r="RT34" s="272"/>
      <c r="RU34" s="272"/>
      <c r="RV34" s="205">
        <f t="shared" si="193"/>
        <v>0</v>
      </c>
      <c r="RW34" s="207"/>
      <c r="RX34" s="207"/>
      <c r="RY34" s="207"/>
      <c r="RZ34" s="207"/>
      <c r="SA34" s="272"/>
      <c r="SB34" s="272"/>
      <c r="SC34" s="272"/>
      <c r="SD34" s="205">
        <f t="shared" si="194"/>
        <v>0</v>
      </c>
      <c r="SE34" s="205">
        <f t="shared" si="195"/>
        <v>0</v>
      </c>
      <c r="SF34" s="207"/>
      <c r="SG34" s="207"/>
      <c r="SH34" s="207"/>
      <c r="SI34" s="207"/>
      <c r="SJ34" s="207"/>
      <c r="SK34" s="272"/>
      <c r="SL34" s="272"/>
      <c r="SM34" s="205">
        <f t="shared" si="196"/>
        <v>0</v>
      </c>
      <c r="SN34" s="207"/>
      <c r="SO34" s="207"/>
      <c r="SP34" s="207"/>
      <c r="SQ34" s="207"/>
      <c r="SR34" s="207"/>
      <c r="SS34" s="272"/>
      <c r="ST34" s="272"/>
      <c r="SU34" s="205">
        <f t="shared" si="197"/>
        <v>0</v>
      </c>
      <c r="SV34" s="207"/>
      <c r="SW34" s="207"/>
      <c r="SX34" s="207"/>
      <c r="SY34" s="207"/>
      <c r="SZ34" s="207"/>
      <c r="TA34" s="272"/>
      <c r="TB34" s="272"/>
      <c r="TC34" s="205">
        <f t="shared" si="198"/>
        <v>0</v>
      </c>
      <c r="TD34" s="207"/>
      <c r="TE34" s="207"/>
      <c r="TF34" s="207"/>
      <c r="TG34" s="207"/>
      <c r="TH34" s="207"/>
      <c r="TI34" s="272"/>
      <c r="TJ34" s="272"/>
      <c r="TK34" s="205">
        <f t="shared" si="199"/>
        <v>0</v>
      </c>
      <c r="TL34" s="207"/>
      <c r="TM34" s="207"/>
      <c r="TN34" s="207"/>
      <c r="TO34" s="207"/>
      <c r="TP34" s="272"/>
      <c r="TQ34" s="272"/>
      <c r="TR34" s="272"/>
      <c r="TS34" s="205">
        <f t="shared" si="200"/>
        <v>0</v>
      </c>
      <c r="TT34" s="205">
        <f t="shared" si="201"/>
        <v>0</v>
      </c>
      <c r="TU34" s="272"/>
      <c r="TV34" s="207"/>
      <c r="TW34" s="207"/>
      <c r="TX34" s="207"/>
      <c r="TY34" s="207"/>
      <c r="TZ34" s="272"/>
      <c r="UA34" s="272"/>
      <c r="UB34" s="205">
        <f t="shared" si="202"/>
        <v>0</v>
      </c>
      <c r="UC34" s="207"/>
      <c r="UD34" s="207"/>
      <c r="UE34" s="207"/>
      <c r="UF34" s="207"/>
      <c r="UG34" s="207"/>
      <c r="UH34" s="272"/>
      <c r="UI34" s="272"/>
      <c r="UJ34" s="205">
        <f t="shared" si="203"/>
        <v>0</v>
      </c>
      <c r="UK34" s="207"/>
      <c r="UL34" s="207"/>
      <c r="UM34" s="207"/>
      <c r="UN34" s="207"/>
      <c r="UO34" s="207"/>
      <c r="UP34" s="272"/>
      <c r="UQ34" s="272"/>
      <c r="UR34" s="205">
        <f t="shared" si="227"/>
        <v>0</v>
      </c>
      <c r="US34" s="207"/>
      <c r="UT34" s="207"/>
      <c r="UU34" s="207"/>
      <c r="UV34" s="207"/>
      <c r="UW34" s="272"/>
      <c r="UX34" s="272"/>
      <c r="UY34" s="272"/>
      <c r="UZ34" s="205">
        <f t="shared" si="204"/>
        <v>0</v>
      </c>
      <c r="VA34" s="205">
        <f t="shared" si="205"/>
        <v>0</v>
      </c>
      <c r="VB34" s="207"/>
      <c r="VC34" s="207"/>
      <c r="VD34" s="207"/>
      <c r="VE34" s="207"/>
      <c r="VF34" s="207"/>
      <c r="VG34" s="272"/>
      <c r="VH34" s="272"/>
      <c r="VI34" s="205">
        <f t="shared" si="206"/>
        <v>0</v>
      </c>
      <c r="VJ34" s="207"/>
      <c r="VK34" s="207"/>
      <c r="VL34" s="207"/>
      <c r="VM34" s="207"/>
      <c r="VN34" s="207"/>
      <c r="VO34" s="272"/>
      <c r="VP34" s="272"/>
      <c r="VQ34" s="205">
        <f t="shared" si="207"/>
        <v>0</v>
      </c>
      <c r="VR34" s="207"/>
      <c r="VS34" s="207"/>
      <c r="VT34" s="207"/>
      <c r="VU34" s="207"/>
      <c r="VV34" s="207"/>
      <c r="VW34" s="272"/>
      <c r="VX34" s="272"/>
      <c r="VY34" s="205">
        <f t="shared" si="208"/>
        <v>0</v>
      </c>
      <c r="VZ34" s="207"/>
      <c r="WA34" s="207"/>
      <c r="WB34" s="207"/>
      <c r="WC34" s="207"/>
      <c r="WD34" s="207"/>
      <c r="WE34" s="272"/>
      <c r="WF34" s="272"/>
      <c r="WG34" s="205">
        <f t="shared" si="209"/>
        <v>0</v>
      </c>
      <c r="WH34" s="205">
        <f t="shared" si="210"/>
        <v>0</v>
      </c>
      <c r="WI34" s="207"/>
      <c r="WJ34" s="207"/>
      <c r="WK34" s="207"/>
      <c r="WL34" s="207"/>
      <c r="WM34" s="207"/>
      <c r="WN34" s="272"/>
      <c r="WO34" s="272"/>
      <c r="WP34" s="205">
        <f t="shared" si="211"/>
        <v>0</v>
      </c>
      <c r="WQ34" s="207"/>
      <c r="WR34" s="207"/>
      <c r="WS34" s="207"/>
      <c r="WT34" s="207"/>
      <c r="WU34" s="207"/>
      <c r="WV34" s="272"/>
      <c r="WW34" s="272"/>
      <c r="WX34" s="205">
        <f t="shared" si="212"/>
        <v>0</v>
      </c>
      <c r="WY34" s="207"/>
      <c r="WZ34" s="207"/>
      <c r="XA34" s="207"/>
      <c r="XB34" s="207"/>
      <c r="XC34" s="272"/>
      <c r="XD34" s="272"/>
      <c r="XE34" s="272"/>
      <c r="XF34" s="205">
        <f t="shared" si="213"/>
        <v>0</v>
      </c>
      <c r="XG34" s="207"/>
      <c r="XH34" s="207"/>
      <c r="XI34" s="207"/>
      <c r="XJ34" s="207"/>
      <c r="XK34" s="207"/>
      <c r="XL34" s="272"/>
      <c r="XM34" s="272"/>
      <c r="XN34" s="205">
        <f t="shared" si="214"/>
        <v>0</v>
      </c>
      <c r="XO34" s="207"/>
      <c r="XP34" s="207"/>
      <c r="XQ34" s="207"/>
      <c r="XR34" s="207"/>
      <c r="XS34" s="207"/>
      <c r="XT34" s="272"/>
      <c r="XU34" s="272"/>
      <c r="XV34" s="205">
        <f t="shared" si="215"/>
        <v>0</v>
      </c>
      <c r="XW34" s="205">
        <f t="shared" si="216"/>
        <v>0</v>
      </c>
      <c r="XX34" s="207"/>
      <c r="XY34" s="207"/>
      <c r="XZ34" s="207"/>
      <c r="YA34" s="207"/>
      <c r="YB34" s="207"/>
      <c r="YC34" s="272"/>
      <c r="YD34" s="272"/>
      <c r="YE34" s="205">
        <f t="shared" si="217"/>
        <v>0</v>
      </c>
      <c r="YF34" s="207"/>
      <c r="YG34" s="207"/>
      <c r="YH34" s="207"/>
      <c r="YI34" s="207"/>
      <c r="YJ34" s="207"/>
      <c r="YK34" s="272"/>
      <c r="YL34" s="272"/>
      <c r="YM34" s="205">
        <f t="shared" si="218"/>
        <v>0</v>
      </c>
      <c r="YN34" s="207"/>
      <c r="YO34" s="207"/>
      <c r="YP34" s="207"/>
      <c r="YQ34" s="207"/>
      <c r="YR34" s="207"/>
      <c r="YS34" s="272"/>
      <c r="YT34" s="272"/>
      <c r="YU34" s="205">
        <f t="shared" si="148"/>
        <v>0</v>
      </c>
      <c r="YV34" s="207"/>
      <c r="YW34" s="207"/>
      <c r="YX34" s="207"/>
      <c r="YY34" s="207"/>
      <c r="YZ34" s="207"/>
      <c r="ZA34" s="272"/>
      <c r="ZB34" s="272"/>
      <c r="ZC34" s="205">
        <f t="shared" si="219"/>
        <v>0</v>
      </c>
      <c r="ZD34" s="205">
        <f t="shared" si="149"/>
        <v>0</v>
      </c>
      <c r="ZE34" s="207"/>
      <c r="ZF34" s="207"/>
      <c r="ZG34" s="207"/>
      <c r="ZH34" s="207"/>
      <c r="ZI34" s="207"/>
      <c r="ZJ34" s="272"/>
      <c r="ZK34" s="272"/>
      <c r="ZL34" s="205">
        <f t="shared" si="220"/>
        <v>0</v>
      </c>
      <c r="ZM34" s="207"/>
      <c r="ZN34" s="207"/>
      <c r="ZO34" s="207"/>
      <c r="ZP34" s="207"/>
      <c r="ZQ34" s="207"/>
      <c r="ZR34" s="272"/>
      <c r="ZS34" s="272"/>
      <c r="ZT34" s="205">
        <f t="shared" si="221"/>
        <v>0</v>
      </c>
      <c r="ZU34" s="207"/>
      <c r="ZV34" s="207"/>
      <c r="ZW34" s="207"/>
      <c r="ZX34" s="207"/>
      <c r="ZY34" s="207"/>
      <c r="ZZ34" s="272"/>
      <c r="AAA34" s="272"/>
      <c r="AAB34" s="205">
        <f t="shared" si="222"/>
        <v>0</v>
      </c>
      <c r="AAC34" s="207"/>
      <c r="AAD34" s="207"/>
      <c r="AAE34" s="207"/>
      <c r="AAF34" s="207"/>
      <c r="AAG34" s="207"/>
      <c r="AAH34" s="272"/>
      <c r="AAI34" s="272"/>
      <c r="AAJ34" s="205">
        <f t="shared" si="223"/>
        <v>0</v>
      </c>
      <c r="AAK34" s="207"/>
      <c r="AAL34" s="207"/>
      <c r="AAM34" s="207"/>
      <c r="AAN34" s="207"/>
      <c r="AAO34" s="207"/>
      <c r="AAP34" s="272"/>
      <c r="AAQ34" s="272"/>
      <c r="AAR34" s="205">
        <f t="shared" si="224"/>
        <v>0</v>
      </c>
      <c r="AAS34" s="205">
        <f t="shared" si="225"/>
        <v>0</v>
      </c>
    </row>
    <row r="35" spans="1:721" s="126" customFormat="1" ht="69.95" customHeight="1">
      <c r="A35" s="125" t="s">
        <v>38</v>
      </c>
      <c r="B35" s="157">
        <v>3620101113</v>
      </c>
      <c r="C35" s="324"/>
      <c r="D35" s="158" t="s">
        <v>492</v>
      </c>
      <c r="E35" s="130" t="s">
        <v>4</v>
      </c>
      <c r="F35" s="120"/>
      <c r="G35" s="120"/>
      <c r="H35" s="120"/>
      <c r="I35" s="120"/>
      <c r="J35" s="120"/>
      <c r="K35" s="209"/>
      <c r="L35" s="205"/>
      <c r="M35" s="205">
        <f t="shared" si="121"/>
        <v>0</v>
      </c>
      <c r="N35" s="120"/>
      <c r="O35" s="120"/>
      <c r="P35" s="120"/>
      <c r="Q35" s="120"/>
      <c r="R35" s="120"/>
      <c r="S35" s="209"/>
      <c r="T35" s="205"/>
      <c r="U35" s="205">
        <f t="shared" si="122"/>
        <v>0</v>
      </c>
      <c r="V35" s="120"/>
      <c r="W35" s="120"/>
      <c r="X35" s="120"/>
      <c r="Y35" s="120"/>
      <c r="Z35" s="120"/>
      <c r="AA35" s="209"/>
      <c r="AB35" s="205"/>
      <c r="AC35" s="205">
        <f t="shared" si="123"/>
        <v>0</v>
      </c>
      <c r="AD35" s="205"/>
      <c r="AE35" s="205"/>
      <c r="AF35" s="205"/>
      <c r="AG35" s="205"/>
      <c r="AH35" s="205"/>
      <c r="AI35" s="209"/>
      <c r="AJ35" s="205"/>
      <c r="AK35" s="205">
        <f t="shared" si="124"/>
        <v>0</v>
      </c>
      <c r="AL35" s="205" t="e">
        <f>SUM(#REF!,M35,U35,AC35,AD35:AH35)</f>
        <v>#REF!</v>
      </c>
      <c r="AM35" s="120"/>
      <c r="AN35" s="120"/>
      <c r="AO35" s="120"/>
      <c r="AP35" s="120"/>
      <c r="AQ35" s="120"/>
      <c r="AR35" s="209"/>
      <c r="AS35" s="205"/>
      <c r="AT35" s="205">
        <f t="shared" si="125"/>
        <v>0</v>
      </c>
      <c r="AU35" s="120"/>
      <c r="AV35" s="120"/>
      <c r="AW35" s="120"/>
      <c r="AX35" s="120"/>
      <c r="AY35" s="120"/>
      <c r="AZ35" s="209"/>
      <c r="BA35" s="205"/>
      <c r="BB35" s="205">
        <f t="shared" si="126"/>
        <v>0</v>
      </c>
      <c r="BC35" s="120"/>
      <c r="BD35" s="120"/>
      <c r="BE35" s="120"/>
      <c r="BF35" s="120"/>
      <c r="BG35" s="120"/>
      <c r="BH35" s="209"/>
      <c r="BI35" s="205"/>
      <c r="BJ35" s="205">
        <f t="shared" si="127"/>
        <v>0</v>
      </c>
      <c r="BK35" s="120"/>
      <c r="BL35" s="120"/>
      <c r="BM35" s="120"/>
      <c r="BN35" s="120"/>
      <c r="BO35" s="205"/>
      <c r="BP35" s="209"/>
      <c r="BQ35" s="205"/>
      <c r="BR35" s="205">
        <f t="shared" si="128"/>
        <v>0</v>
      </c>
      <c r="BS35" s="205">
        <f t="shared" si="129"/>
        <v>0</v>
      </c>
      <c r="BT35" s="120"/>
      <c r="BU35" s="120"/>
      <c r="BV35" s="120"/>
      <c r="BW35" s="120"/>
      <c r="BX35" s="120"/>
      <c r="BY35" s="209"/>
      <c r="BZ35" s="205"/>
      <c r="CA35" s="205">
        <f t="shared" si="130"/>
        <v>0</v>
      </c>
      <c r="CB35" s="120"/>
      <c r="CC35" s="120"/>
      <c r="CD35" s="120"/>
      <c r="CE35" s="120"/>
      <c r="CF35" s="120"/>
      <c r="CG35" s="209"/>
      <c r="CH35" s="205"/>
      <c r="CI35" s="205">
        <f t="shared" si="131"/>
        <v>0</v>
      </c>
      <c r="CJ35" s="120"/>
      <c r="CK35" s="120"/>
      <c r="CL35" s="120"/>
      <c r="CM35" s="120"/>
      <c r="CN35" s="120"/>
      <c r="CO35" s="209"/>
      <c r="CP35" s="205"/>
      <c r="CQ35" s="205">
        <f t="shared" si="132"/>
        <v>0</v>
      </c>
      <c r="CR35" s="120"/>
      <c r="CS35" s="120"/>
      <c r="CT35" s="120"/>
      <c r="CU35" s="120"/>
      <c r="CV35" s="120"/>
      <c r="CW35" s="209"/>
      <c r="CX35" s="205"/>
      <c r="CY35" s="205">
        <f t="shared" si="133"/>
        <v>0</v>
      </c>
      <c r="CZ35" s="120"/>
      <c r="DA35" s="120"/>
      <c r="DB35" s="120"/>
      <c r="DC35" s="205"/>
      <c r="DD35" s="205"/>
      <c r="DE35" s="209"/>
      <c r="DF35" s="205"/>
      <c r="DG35" s="205">
        <f t="shared" si="134"/>
        <v>0</v>
      </c>
      <c r="DH35" s="205">
        <f t="shared" si="150"/>
        <v>0</v>
      </c>
      <c r="DI35" s="120"/>
      <c r="DJ35" s="120"/>
      <c r="DK35" s="120"/>
      <c r="DL35" s="120"/>
      <c r="DM35" s="120"/>
      <c r="DN35" s="209"/>
      <c r="DO35" s="205"/>
      <c r="DP35" s="205">
        <f t="shared" si="228"/>
        <v>0</v>
      </c>
      <c r="DQ35" s="120"/>
      <c r="DR35" s="120"/>
      <c r="DS35" s="120"/>
      <c r="DT35" s="120"/>
      <c r="DU35" s="120"/>
      <c r="DV35" s="209"/>
      <c r="DW35" s="205"/>
      <c r="DX35" s="205">
        <f t="shared" si="136"/>
        <v>0</v>
      </c>
      <c r="DY35" s="120"/>
      <c r="DZ35" s="120"/>
      <c r="EA35" s="120"/>
      <c r="EB35" s="120"/>
      <c r="EC35" s="120"/>
      <c r="ED35" s="209"/>
      <c r="EE35" s="205"/>
      <c r="EF35" s="205">
        <f t="shared" si="137"/>
        <v>0</v>
      </c>
      <c r="EG35" s="120"/>
      <c r="EH35" s="120"/>
      <c r="EI35" s="120"/>
      <c r="EJ35" s="205"/>
      <c r="EK35" s="205"/>
      <c r="EL35" s="209"/>
      <c r="EM35" s="205"/>
      <c r="EN35" s="205">
        <f t="shared" si="138"/>
        <v>0</v>
      </c>
      <c r="EO35" s="205">
        <f t="shared" si="151"/>
        <v>0</v>
      </c>
      <c r="EP35" s="120"/>
      <c r="EQ35" s="120"/>
      <c r="ER35" s="120"/>
      <c r="ES35" s="120"/>
      <c r="ET35" s="120"/>
      <c r="EU35" s="209"/>
      <c r="EV35" s="205"/>
      <c r="EW35" s="205">
        <f t="shared" si="139"/>
        <v>0</v>
      </c>
      <c r="EX35" s="120"/>
      <c r="EY35" s="120"/>
      <c r="EZ35" s="120"/>
      <c r="FA35" s="120"/>
      <c r="FB35" s="120"/>
      <c r="FC35" s="209"/>
      <c r="FD35" s="205"/>
      <c r="FE35" s="205">
        <f t="shared" si="140"/>
        <v>0</v>
      </c>
      <c r="FF35" s="120"/>
      <c r="FG35" s="120"/>
      <c r="FH35" s="120"/>
      <c r="FI35" s="120"/>
      <c r="FJ35" s="120"/>
      <c r="FK35" s="209"/>
      <c r="FL35" s="205"/>
      <c r="FM35" s="205">
        <f t="shared" si="141"/>
        <v>0</v>
      </c>
      <c r="FN35" s="120"/>
      <c r="FO35" s="120"/>
      <c r="FP35" s="120"/>
      <c r="FQ35" s="120"/>
      <c r="FR35" s="205"/>
      <c r="FS35" s="209"/>
      <c r="FT35" s="205"/>
      <c r="FU35" s="205">
        <f t="shared" si="142"/>
        <v>0</v>
      </c>
      <c r="FV35" s="205">
        <f t="shared" si="152"/>
        <v>0</v>
      </c>
      <c r="FW35" s="120"/>
      <c r="FX35" s="120"/>
      <c r="FY35" s="120"/>
      <c r="FZ35" s="120"/>
      <c r="GA35" s="120"/>
      <c r="GB35" s="209"/>
      <c r="GC35" s="205"/>
      <c r="GD35" s="205">
        <f t="shared" si="143"/>
        <v>0</v>
      </c>
      <c r="GE35" s="120"/>
      <c r="GF35" s="120"/>
      <c r="GG35" s="120"/>
      <c r="GH35" s="120"/>
      <c r="GI35" s="120"/>
      <c r="GJ35" s="209"/>
      <c r="GK35" s="205"/>
      <c r="GL35" s="205">
        <f t="shared" si="144"/>
        <v>0</v>
      </c>
      <c r="GM35" s="120"/>
      <c r="GN35" s="120"/>
      <c r="GO35" s="120"/>
      <c r="GP35" s="120"/>
      <c r="GQ35" s="120"/>
      <c r="GR35" s="209"/>
      <c r="GS35" s="205"/>
      <c r="GT35" s="205">
        <f t="shared" si="145"/>
        <v>0</v>
      </c>
      <c r="GU35" s="120"/>
      <c r="GV35" s="120"/>
      <c r="GW35" s="120"/>
      <c r="GX35" s="120"/>
      <c r="GY35" s="120"/>
      <c r="GZ35" s="209"/>
      <c r="HA35" s="205"/>
      <c r="HB35" s="205">
        <f t="shared" si="146"/>
        <v>0</v>
      </c>
      <c r="HC35" s="120"/>
      <c r="HD35" s="120"/>
      <c r="HE35" s="120"/>
      <c r="HF35" s="120"/>
      <c r="HG35" s="120"/>
      <c r="HH35" s="209"/>
      <c r="HI35" s="205"/>
      <c r="HJ35" s="205">
        <f t="shared" si="147"/>
        <v>0</v>
      </c>
      <c r="HK35" s="205">
        <f t="shared" si="153"/>
        <v>0</v>
      </c>
      <c r="HL35" s="124"/>
      <c r="HM35" s="120"/>
      <c r="HN35" s="120"/>
      <c r="HO35" s="120"/>
      <c r="HP35" s="120"/>
      <c r="HQ35" s="205"/>
      <c r="HR35" s="205"/>
      <c r="HS35" s="205">
        <f t="shared" si="154"/>
        <v>0</v>
      </c>
      <c r="HT35" s="120"/>
      <c r="HU35" s="120"/>
      <c r="HV35" s="120"/>
      <c r="HW35" s="120"/>
      <c r="HX35" s="120"/>
      <c r="HY35" s="205"/>
      <c r="HZ35" s="205"/>
      <c r="IA35" s="205">
        <f t="shared" si="155"/>
        <v>0</v>
      </c>
      <c r="IB35" s="120"/>
      <c r="IC35" s="120"/>
      <c r="ID35" s="120"/>
      <c r="IE35" s="120"/>
      <c r="IF35" s="120"/>
      <c r="IG35" s="205"/>
      <c r="IH35" s="205"/>
      <c r="II35" s="205">
        <f t="shared" si="156"/>
        <v>0</v>
      </c>
      <c r="IJ35" s="120"/>
      <c r="IK35" s="120"/>
      <c r="IL35" s="120"/>
      <c r="IM35" s="120"/>
      <c r="IN35" s="120"/>
      <c r="IO35" s="205"/>
      <c r="IP35" s="205"/>
      <c r="IQ35" s="205">
        <f t="shared" si="157"/>
        <v>0</v>
      </c>
      <c r="IR35" s="205">
        <f t="shared" si="158"/>
        <v>0</v>
      </c>
      <c r="IS35" s="120"/>
      <c r="IT35" s="120"/>
      <c r="IU35" s="120"/>
      <c r="IV35" s="120"/>
      <c r="IW35" s="120"/>
      <c r="IX35" s="205"/>
      <c r="IY35" s="205"/>
      <c r="IZ35" s="205">
        <f t="shared" si="159"/>
        <v>0</v>
      </c>
      <c r="JA35" s="124">
        <v>900</v>
      </c>
      <c r="JB35" s="120"/>
      <c r="JC35" s="120"/>
      <c r="JD35" s="120"/>
      <c r="JE35" s="120"/>
      <c r="JF35" s="205"/>
      <c r="JG35" s="205"/>
      <c r="JH35" s="205">
        <f t="shared" si="160"/>
        <v>900</v>
      </c>
      <c r="JI35" s="120"/>
      <c r="JJ35" s="120"/>
      <c r="JK35" s="120"/>
      <c r="JL35" s="120"/>
      <c r="JM35" s="120"/>
      <c r="JN35" s="205"/>
      <c r="JO35" s="205"/>
      <c r="JP35" s="205">
        <f t="shared" si="161"/>
        <v>0</v>
      </c>
      <c r="JQ35" s="120"/>
      <c r="JR35" s="120"/>
      <c r="JS35" s="120"/>
      <c r="JT35" s="120"/>
      <c r="JU35" s="120"/>
      <c r="JV35" s="205"/>
      <c r="JW35" s="205"/>
      <c r="JX35" s="205">
        <f t="shared" si="162"/>
        <v>0</v>
      </c>
      <c r="JY35" s="205">
        <f t="shared" si="163"/>
        <v>900</v>
      </c>
      <c r="JZ35" s="120"/>
      <c r="KA35" s="120"/>
      <c r="KB35" s="120"/>
      <c r="KC35" s="120"/>
      <c r="KD35" s="120"/>
      <c r="KE35" s="205"/>
      <c r="KF35" s="205"/>
      <c r="KG35" s="205">
        <f t="shared" si="164"/>
        <v>0</v>
      </c>
      <c r="KH35" s="120"/>
      <c r="KI35" s="120"/>
      <c r="KJ35" s="120"/>
      <c r="KK35" s="120"/>
      <c r="KL35" s="120"/>
      <c r="KM35" s="205"/>
      <c r="KN35" s="205"/>
      <c r="KO35" s="205">
        <f t="shared" si="165"/>
        <v>0</v>
      </c>
      <c r="KP35" s="120"/>
      <c r="KQ35" s="120"/>
      <c r="KR35" s="120"/>
      <c r="KS35" s="120"/>
      <c r="KT35" s="120"/>
      <c r="KU35" s="205"/>
      <c r="KV35" s="205"/>
      <c r="KW35" s="205">
        <f t="shared" si="166"/>
        <v>0</v>
      </c>
      <c r="KX35" s="120"/>
      <c r="KY35" s="120"/>
      <c r="KZ35" s="120"/>
      <c r="LA35" s="120"/>
      <c r="LB35" s="120"/>
      <c r="LC35" s="205"/>
      <c r="LD35" s="205"/>
      <c r="LE35" s="205">
        <f t="shared" si="167"/>
        <v>0</v>
      </c>
      <c r="LF35" s="205"/>
      <c r="LG35" s="120"/>
      <c r="LH35" s="120"/>
      <c r="LI35" s="120"/>
      <c r="LJ35" s="120"/>
      <c r="LK35" s="205"/>
      <c r="LL35" s="205"/>
      <c r="LM35" s="205">
        <f t="shared" si="168"/>
        <v>0</v>
      </c>
      <c r="LN35" s="205">
        <f t="shared" si="169"/>
        <v>0</v>
      </c>
      <c r="LO35" s="205"/>
      <c r="LP35" s="120"/>
      <c r="LQ35" s="120"/>
      <c r="LR35" s="120"/>
      <c r="LS35" s="205"/>
      <c r="LT35" s="205"/>
      <c r="LU35" s="205"/>
      <c r="LV35" s="205">
        <f t="shared" si="170"/>
        <v>0</v>
      </c>
      <c r="LW35" s="120"/>
      <c r="LX35" s="120"/>
      <c r="LY35" s="120"/>
      <c r="LZ35" s="120"/>
      <c r="MA35" s="120"/>
      <c r="MB35" s="205"/>
      <c r="MC35" s="205"/>
      <c r="MD35" s="205">
        <f t="shared" si="171"/>
        <v>0</v>
      </c>
      <c r="ME35" s="120"/>
      <c r="MF35" s="120"/>
      <c r="MG35" s="120"/>
      <c r="MH35" s="120"/>
      <c r="MI35" s="205"/>
      <c r="MJ35" s="205"/>
      <c r="MK35" s="205"/>
      <c r="ML35" s="205">
        <f t="shared" si="172"/>
        <v>0</v>
      </c>
      <c r="MM35" s="124">
        <v>750</v>
      </c>
      <c r="MN35" s="120"/>
      <c r="MO35" s="120"/>
      <c r="MP35" s="120"/>
      <c r="MQ35" s="120"/>
      <c r="MR35" s="205"/>
      <c r="MS35" s="205"/>
      <c r="MT35" s="205">
        <f t="shared" si="173"/>
        <v>750</v>
      </c>
      <c r="MU35" s="205">
        <f t="shared" si="174"/>
        <v>750</v>
      </c>
      <c r="MV35" s="120"/>
      <c r="MW35" s="120"/>
      <c r="MX35" s="120"/>
      <c r="MY35" s="120"/>
      <c r="MZ35" s="120"/>
      <c r="NA35" s="205"/>
      <c r="NB35" s="205"/>
      <c r="NC35" s="205">
        <f t="shared" si="175"/>
        <v>0</v>
      </c>
      <c r="ND35" s="120"/>
      <c r="NE35" s="120"/>
      <c r="NF35" s="120"/>
      <c r="NG35" s="120"/>
      <c r="NH35" s="120"/>
      <c r="NI35" s="205"/>
      <c r="NJ35" s="205"/>
      <c r="NK35" s="205">
        <f t="shared" si="176"/>
        <v>0</v>
      </c>
      <c r="NL35" s="120"/>
      <c r="NM35" s="120"/>
      <c r="NN35" s="120"/>
      <c r="NO35" s="120"/>
      <c r="NP35" s="120"/>
      <c r="NQ35" s="205"/>
      <c r="NR35" s="205"/>
      <c r="NS35" s="205">
        <f t="shared" si="177"/>
        <v>0</v>
      </c>
      <c r="NT35" s="120"/>
      <c r="NU35" s="120"/>
      <c r="NV35" s="120"/>
      <c r="NW35" s="120"/>
      <c r="NX35" s="120"/>
      <c r="NY35" s="205"/>
      <c r="NZ35" s="205"/>
      <c r="OA35" s="205">
        <f t="shared" si="178"/>
        <v>0</v>
      </c>
      <c r="OB35" s="205">
        <f t="shared" si="179"/>
        <v>0</v>
      </c>
      <c r="OC35" s="120"/>
      <c r="OD35" s="120"/>
      <c r="OE35" s="120"/>
      <c r="OF35" s="120"/>
      <c r="OG35" s="120"/>
      <c r="OH35" s="205"/>
      <c r="OI35" s="205"/>
      <c r="OJ35" s="205">
        <f t="shared" si="180"/>
        <v>0</v>
      </c>
      <c r="OK35" s="120"/>
      <c r="OL35" s="120"/>
      <c r="OM35" s="120"/>
      <c r="ON35" s="120"/>
      <c r="OO35" s="120"/>
      <c r="OP35" s="205"/>
      <c r="OQ35" s="205"/>
      <c r="OR35" s="205">
        <f t="shared" si="181"/>
        <v>0</v>
      </c>
      <c r="OS35" s="120"/>
      <c r="OT35" s="120"/>
      <c r="OU35" s="120"/>
      <c r="OV35" s="120"/>
      <c r="OW35" s="120"/>
      <c r="OX35" s="205"/>
      <c r="OY35" s="205"/>
      <c r="OZ35" s="205">
        <f t="shared" si="182"/>
        <v>0</v>
      </c>
      <c r="PA35" s="120"/>
      <c r="PB35" s="120"/>
      <c r="PC35" s="120"/>
      <c r="PD35" s="205"/>
      <c r="PE35" s="217"/>
      <c r="PF35" s="205"/>
      <c r="PG35" s="205"/>
      <c r="PH35" s="205">
        <f t="shared" si="183"/>
        <v>0</v>
      </c>
      <c r="PI35" s="120"/>
      <c r="PJ35" s="120"/>
      <c r="PK35" s="120"/>
      <c r="PL35" s="205"/>
      <c r="PM35" s="217"/>
      <c r="PN35" s="205"/>
      <c r="PO35" s="205"/>
      <c r="PP35" s="205">
        <f t="shared" si="184"/>
        <v>0</v>
      </c>
      <c r="PQ35" s="205">
        <f t="shared" si="185"/>
        <v>0</v>
      </c>
      <c r="PR35" s="124">
        <v>700</v>
      </c>
      <c r="PS35" s="207"/>
      <c r="PT35" s="207"/>
      <c r="PU35" s="207"/>
      <c r="PV35" s="207"/>
      <c r="PW35" s="272"/>
      <c r="PX35" s="272"/>
      <c r="PY35" s="205">
        <f t="shared" si="186"/>
        <v>700</v>
      </c>
      <c r="PZ35" s="207"/>
      <c r="QA35" s="207"/>
      <c r="QB35" s="207"/>
      <c r="QC35" s="207"/>
      <c r="QD35" s="207"/>
      <c r="QE35" s="272"/>
      <c r="QF35" s="272"/>
      <c r="QG35" s="205">
        <f t="shared" si="187"/>
        <v>0</v>
      </c>
      <c r="QH35" s="207"/>
      <c r="QI35" s="207"/>
      <c r="QJ35" s="294"/>
      <c r="QK35" s="207"/>
      <c r="QL35" s="207"/>
      <c r="QM35" s="272"/>
      <c r="QN35" s="272"/>
      <c r="QO35" s="205">
        <f t="shared" si="188"/>
        <v>0</v>
      </c>
      <c r="QP35" s="207"/>
      <c r="QQ35" s="207"/>
      <c r="QR35" s="207"/>
      <c r="QS35" s="207"/>
      <c r="QT35" s="207"/>
      <c r="QU35" s="272"/>
      <c r="QV35" s="272"/>
      <c r="QW35" s="205">
        <f t="shared" si="189"/>
        <v>0</v>
      </c>
      <c r="QX35" s="205">
        <f t="shared" si="190"/>
        <v>700</v>
      </c>
      <c r="QY35" s="207"/>
      <c r="QZ35" s="207"/>
      <c r="RA35" s="207"/>
      <c r="RB35" s="207"/>
      <c r="RC35" s="207"/>
      <c r="RD35" s="272"/>
      <c r="RE35" s="272"/>
      <c r="RF35" s="205">
        <f t="shared" si="191"/>
        <v>0</v>
      </c>
      <c r="RG35" s="207"/>
      <c r="RH35" s="207"/>
      <c r="RI35" s="207"/>
      <c r="RJ35" s="207"/>
      <c r="RK35" s="207"/>
      <c r="RL35" s="272"/>
      <c r="RM35" s="272"/>
      <c r="RN35" s="205">
        <f t="shared" si="192"/>
        <v>0</v>
      </c>
      <c r="RO35" s="272"/>
      <c r="RP35" s="272"/>
      <c r="RQ35" s="272"/>
      <c r="RR35" s="272"/>
      <c r="RS35" s="272"/>
      <c r="RT35" s="272"/>
      <c r="RU35" s="272"/>
      <c r="RV35" s="205">
        <f t="shared" si="193"/>
        <v>0</v>
      </c>
      <c r="RW35" s="207"/>
      <c r="RX35" s="207"/>
      <c r="RY35" s="207"/>
      <c r="RZ35" s="207"/>
      <c r="SA35" s="272"/>
      <c r="SB35" s="272"/>
      <c r="SC35" s="272"/>
      <c r="SD35" s="205">
        <f t="shared" si="194"/>
        <v>0</v>
      </c>
      <c r="SE35" s="205">
        <f t="shared" si="195"/>
        <v>0</v>
      </c>
      <c r="SF35" s="120"/>
      <c r="SG35" s="207"/>
      <c r="SH35" s="195">
        <v>500</v>
      </c>
      <c r="SI35" s="207"/>
      <c r="SJ35" s="207"/>
      <c r="SK35" s="272"/>
      <c r="SL35" s="272"/>
      <c r="SM35" s="205">
        <f t="shared" si="196"/>
        <v>500</v>
      </c>
      <c r="SN35" s="207"/>
      <c r="SO35" s="207"/>
      <c r="SP35" s="207"/>
      <c r="SQ35" s="207"/>
      <c r="SR35" s="207"/>
      <c r="SS35" s="272"/>
      <c r="ST35" s="272"/>
      <c r="SU35" s="205">
        <f t="shared" si="197"/>
        <v>0</v>
      </c>
      <c r="SV35" s="207"/>
      <c r="SW35" s="207"/>
      <c r="SX35" s="207"/>
      <c r="SY35" s="207"/>
      <c r="SZ35" s="207"/>
      <c r="TA35" s="272"/>
      <c r="TB35" s="272"/>
      <c r="TC35" s="205">
        <f t="shared" si="198"/>
        <v>0</v>
      </c>
      <c r="TD35" s="207"/>
      <c r="TE35" s="207"/>
      <c r="TF35" s="207"/>
      <c r="TG35" s="207"/>
      <c r="TH35" s="207"/>
      <c r="TI35" s="272"/>
      <c r="TJ35" s="272"/>
      <c r="TK35" s="205">
        <f t="shared" si="199"/>
        <v>0</v>
      </c>
      <c r="TL35" s="207"/>
      <c r="TM35" s="207"/>
      <c r="TN35" s="207"/>
      <c r="TO35" s="207"/>
      <c r="TP35" s="272"/>
      <c r="TQ35" s="272"/>
      <c r="TR35" s="272"/>
      <c r="TS35" s="205">
        <f t="shared" si="200"/>
        <v>0</v>
      </c>
      <c r="TT35" s="205">
        <f t="shared" si="201"/>
        <v>500</v>
      </c>
      <c r="TU35" s="272"/>
      <c r="TV35" s="207"/>
      <c r="TW35" s="207"/>
      <c r="TX35" s="207"/>
      <c r="TY35" s="207"/>
      <c r="TZ35" s="272"/>
      <c r="UA35" s="272"/>
      <c r="UB35" s="205">
        <f t="shared" si="202"/>
        <v>0</v>
      </c>
      <c r="UC35" s="207"/>
      <c r="UD35" s="207"/>
      <c r="UE35" s="207"/>
      <c r="UF35" s="207"/>
      <c r="UG35" s="207"/>
      <c r="UH35" s="272"/>
      <c r="UI35" s="272"/>
      <c r="UJ35" s="205">
        <f t="shared" si="203"/>
        <v>0</v>
      </c>
      <c r="UK35" s="207"/>
      <c r="UL35" s="207"/>
      <c r="UM35" s="207"/>
      <c r="UN35" s="207"/>
      <c r="UO35" s="207"/>
      <c r="UP35" s="272"/>
      <c r="UQ35" s="272"/>
      <c r="UR35" s="205">
        <f t="shared" si="227"/>
        <v>0</v>
      </c>
      <c r="US35" s="207"/>
      <c r="UT35" s="207"/>
      <c r="UU35" s="207"/>
      <c r="UV35" s="207"/>
      <c r="UW35" s="272"/>
      <c r="UX35" s="272"/>
      <c r="UY35" s="272"/>
      <c r="UZ35" s="205">
        <f t="shared" si="204"/>
        <v>0</v>
      </c>
      <c r="VA35" s="205">
        <f t="shared" si="205"/>
        <v>0</v>
      </c>
      <c r="VB35" s="207"/>
      <c r="VC35" s="207"/>
      <c r="VD35" s="207"/>
      <c r="VE35" s="207"/>
      <c r="VF35" s="207"/>
      <c r="VG35" s="272"/>
      <c r="VH35" s="272"/>
      <c r="VI35" s="205">
        <f t="shared" si="206"/>
        <v>0</v>
      </c>
      <c r="VJ35" s="207"/>
      <c r="VK35" s="207"/>
      <c r="VL35" s="207"/>
      <c r="VM35" s="207"/>
      <c r="VN35" s="207"/>
      <c r="VO35" s="272"/>
      <c r="VP35" s="272"/>
      <c r="VQ35" s="205">
        <f t="shared" si="207"/>
        <v>0</v>
      </c>
      <c r="VR35" s="207"/>
      <c r="VS35" s="207"/>
      <c r="VT35" s="207"/>
      <c r="VU35" s="207"/>
      <c r="VV35" s="207"/>
      <c r="VW35" s="272"/>
      <c r="VX35" s="272"/>
      <c r="VY35" s="205">
        <f t="shared" si="208"/>
        <v>0</v>
      </c>
      <c r="VZ35" s="207"/>
      <c r="WA35" s="195">
        <v>550</v>
      </c>
      <c r="WB35" s="207"/>
      <c r="WC35" s="207"/>
      <c r="WD35" s="207"/>
      <c r="WE35" s="272"/>
      <c r="WF35" s="272"/>
      <c r="WG35" s="205">
        <f t="shared" si="209"/>
        <v>550</v>
      </c>
      <c r="WH35" s="205">
        <f t="shared" si="210"/>
        <v>550</v>
      </c>
      <c r="WI35" s="207"/>
      <c r="WJ35" s="207"/>
      <c r="WK35" s="207"/>
      <c r="WL35" s="207"/>
      <c r="WM35" s="207"/>
      <c r="WN35" s="272"/>
      <c r="WO35" s="272"/>
      <c r="WP35" s="205">
        <f t="shared" si="211"/>
        <v>0</v>
      </c>
      <c r="WQ35" s="207"/>
      <c r="WR35" s="207"/>
      <c r="WS35" s="207"/>
      <c r="WT35" s="207"/>
      <c r="WU35" s="207"/>
      <c r="WV35" s="272"/>
      <c r="WW35" s="272"/>
      <c r="WX35" s="205">
        <f t="shared" si="212"/>
        <v>0</v>
      </c>
      <c r="WY35" s="207"/>
      <c r="WZ35" s="207"/>
      <c r="XA35" s="207"/>
      <c r="XB35" s="207"/>
      <c r="XC35" s="272"/>
      <c r="XD35" s="272"/>
      <c r="XE35" s="272"/>
      <c r="XF35" s="205">
        <f t="shared" si="213"/>
        <v>0</v>
      </c>
      <c r="XG35" s="207"/>
      <c r="XH35" s="207"/>
      <c r="XI35" s="207"/>
      <c r="XJ35" s="207"/>
      <c r="XK35" s="207"/>
      <c r="XL35" s="272"/>
      <c r="XM35" s="272"/>
      <c r="XN35" s="205">
        <f t="shared" si="214"/>
        <v>0</v>
      </c>
      <c r="XO35" s="207"/>
      <c r="XP35" s="207"/>
      <c r="XQ35" s="207"/>
      <c r="XR35" s="207"/>
      <c r="XS35" s="207"/>
      <c r="XT35" s="272"/>
      <c r="XU35" s="272"/>
      <c r="XV35" s="205">
        <f t="shared" si="215"/>
        <v>0</v>
      </c>
      <c r="XW35" s="205">
        <f t="shared" si="216"/>
        <v>0</v>
      </c>
      <c r="XX35" s="207"/>
      <c r="XY35" s="207"/>
      <c r="XZ35" s="207"/>
      <c r="YA35" s="207"/>
      <c r="YB35" s="207"/>
      <c r="YC35" s="272"/>
      <c r="YD35" s="272"/>
      <c r="YE35" s="205">
        <f t="shared" si="217"/>
        <v>0</v>
      </c>
      <c r="YF35" s="207"/>
      <c r="YG35" s="207"/>
      <c r="YH35" s="207"/>
      <c r="YI35" s="207"/>
      <c r="YJ35" s="207"/>
      <c r="YK35" s="272"/>
      <c r="YL35" s="272"/>
      <c r="YM35" s="205">
        <f t="shared" si="218"/>
        <v>0</v>
      </c>
      <c r="YN35" s="195">
        <v>550</v>
      </c>
      <c r="YO35" s="207"/>
      <c r="YP35" s="207"/>
      <c r="YQ35" s="207"/>
      <c r="YR35" s="207"/>
      <c r="YS35" s="272"/>
      <c r="YT35" s="272"/>
      <c r="YU35" s="205">
        <f t="shared" si="148"/>
        <v>550</v>
      </c>
      <c r="YV35" s="207"/>
      <c r="YW35" s="207"/>
      <c r="YX35" s="207"/>
      <c r="YY35" s="207"/>
      <c r="YZ35" s="207"/>
      <c r="ZA35" s="272"/>
      <c r="ZB35" s="272"/>
      <c r="ZC35" s="205">
        <f t="shared" si="219"/>
        <v>0</v>
      </c>
      <c r="ZD35" s="205">
        <f t="shared" si="149"/>
        <v>550</v>
      </c>
      <c r="ZE35" s="207"/>
      <c r="ZF35" s="207"/>
      <c r="ZG35" s="207"/>
      <c r="ZH35" s="207"/>
      <c r="ZI35" s="207"/>
      <c r="ZJ35" s="272"/>
      <c r="ZK35" s="272"/>
      <c r="ZL35" s="205">
        <f t="shared" si="220"/>
        <v>0</v>
      </c>
      <c r="ZM35" s="207"/>
      <c r="ZN35" s="207"/>
      <c r="ZO35" s="207"/>
      <c r="ZP35" s="207"/>
      <c r="ZQ35" s="207"/>
      <c r="ZR35" s="272"/>
      <c r="ZS35" s="272"/>
      <c r="ZT35" s="205">
        <f t="shared" si="221"/>
        <v>0</v>
      </c>
      <c r="ZU35" s="207"/>
      <c r="ZV35" s="207"/>
      <c r="ZW35" s="207"/>
      <c r="ZX35" s="207"/>
      <c r="ZY35" s="207"/>
      <c r="ZZ35" s="272"/>
      <c r="AAA35" s="272"/>
      <c r="AAB35" s="205">
        <f t="shared" si="222"/>
        <v>0</v>
      </c>
      <c r="AAC35" s="207"/>
      <c r="AAD35" s="207"/>
      <c r="AAE35" s="207"/>
      <c r="AAF35" s="207"/>
      <c r="AAG35" s="207"/>
      <c r="AAH35" s="272"/>
      <c r="AAI35" s="272"/>
      <c r="AAJ35" s="205">
        <f t="shared" si="223"/>
        <v>0</v>
      </c>
      <c r="AAK35" s="207"/>
      <c r="AAL35" s="207"/>
      <c r="AAM35" s="207"/>
      <c r="AAN35" s="207"/>
      <c r="AAO35" s="207"/>
      <c r="AAP35" s="272"/>
      <c r="AAQ35" s="272"/>
      <c r="AAR35" s="205">
        <f t="shared" si="224"/>
        <v>0</v>
      </c>
      <c r="AAS35" s="205">
        <f t="shared" si="225"/>
        <v>0</v>
      </c>
    </row>
    <row r="36" spans="1:721" ht="69.95" customHeight="1">
      <c r="A36" s="117" t="s">
        <v>6</v>
      </c>
      <c r="B36" s="160">
        <v>3620101410</v>
      </c>
      <c r="C36" s="326"/>
      <c r="D36" s="194" t="s">
        <v>549</v>
      </c>
      <c r="E36" s="130" t="s">
        <v>4</v>
      </c>
      <c r="F36" s="120"/>
      <c r="G36" s="120"/>
      <c r="H36" s="120"/>
      <c r="I36" s="120"/>
      <c r="J36" s="120"/>
      <c r="K36" s="209"/>
      <c r="L36" s="205"/>
      <c r="M36" s="205">
        <f t="shared" si="121"/>
        <v>0</v>
      </c>
      <c r="N36" s="120"/>
      <c r="O36" s="120"/>
      <c r="P36" s="120"/>
      <c r="Q36" s="120"/>
      <c r="R36" s="120"/>
      <c r="S36" s="209"/>
      <c r="T36" s="205"/>
      <c r="U36" s="205">
        <f t="shared" si="122"/>
        <v>0</v>
      </c>
      <c r="V36" s="120"/>
      <c r="W36" s="120"/>
      <c r="X36" s="120"/>
      <c r="Y36" s="120"/>
      <c r="Z36" s="120"/>
      <c r="AA36" s="209"/>
      <c r="AB36" s="205"/>
      <c r="AC36" s="205">
        <f t="shared" si="123"/>
        <v>0</v>
      </c>
      <c r="AD36" s="205"/>
      <c r="AE36" s="205"/>
      <c r="AF36" s="205"/>
      <c r="AG36" s="205"/>
      <c r="AH36" s="205"/>
      <c r="AI36" s="209"/>
      <c r="AJ36" s="205"/>
      <c r="AK36" s="205">
        <f t="shared" si="124"/>
        <v>0</v>
      </c>
      <c r="AL36" s="205" t="e">
        <f>SUM(#REF!,M36,U36,AC36,AD36:AH36)</f>
        <v>#REF!</v>
      </c>
      <c r="AM36" s="120"/>
      <c r="AN36" s="120"/>
      <c r="AO36" s="120"/>
      <c r="AP36" s="120"/>
      <c r="AQ36" s="201"/>
      <c r="AR36" s="209"/>
      <c r="AS36" s="205"/>
      <c r="AT36" s="205">
        <f t="shared" si="125"/>
        <v>0</v>
      </c>
      <c r="AU36" s="120"/>
      <c r="AV36" s="120"/>
      <c r="AW36" s="120"/>
      <c r="AX36" s="120"/>
      <c r="AY36" s="120"/>
      <c r="AZ36" s="209"/>
      <c r="BA36" s="205"/>
      <c r="BB36" s="205">
        <f t="shared" si="126"/>
        <v>0</v>
      </c>
      <c r="BC36" s="123">
        <v>9400</v>
      </c>
      <c r="BD36" s="124">
        <v>9400</v>
      </c>
      <c r="BE36" s="120"/>
      <c r="BF36" s="120"/>
      <c r="BG36" s="120"/>
      <c r="BH36" s="209"/>
      <c r="BI36" s="205"/>
      <c r="BJ36" s="205">
        <f t="shared" si="127"/>
        <v>18800</v>
      </c>
      <c r="BK36" s="120"/>
      <c r="BL36" s="120"/>
      <c r="BM36" s="120"/>
      <c r="BN36" s="120"/>
      <c r="BO36" s="205"/>
      <c r="BP36" s="209"/>
      <c r="BQ36" s="205"/>
      <c r="BR36" s="205">
        <f t="shared" si="128"/>
        <v>0</v>
      </c>
      <c r="BS36" s="205">
        <f t="shared" si="129"/>
        <v>18800</v>
      </c>
      <c r="BT36" s="120"/>
      <c r="BU36" s="120"/>
      <c r="BV36" s="120"/>
      <c r="BW36" s="120"/>
      <c r="BX36" s="120"/>
      <c r="BY36" s="209"/>
      <c r="BZ36" s="205"/>
      <c r="CA36" s="205">
        <f t="shared" si="130"/>
        <v>0</v>
      </c>
      <c r="CB36" s="120"/>
      <c r="CC36" s="120"/>
      <c r="CD36" s="120"/>
      <c r="CE36" s="120"/>
      <c r="CF36" s="120"/>
      <c r="CG36" s="209"/>
      <c r="CH36" s="205"/>
      <c r="CI36" s="205">
        <f t="shared" si="131"/>
        <v>0</v>
      </c>
      <c r="CJ36" s="120" t="s">
        <v>216</v>
      </c>
      <c r="CK36" s="120"/>
      <c r="CL36" s="120"/>
      <c r="CM36" s="120"/>
      <c r="CN36" s="120"/>
      <c r="CO36" s="209"/>
      <c r="CP36" s="205"/>
      <c r="CQ36" s="205">
        <f t="shared" si="132"/>
        <v>0</v>
      </c>
      <c r="CR36" s="120"/>
      <c r="CS36" s="120"/>
      <c r="CT36" s="120"/>
      <c r="CU36" s="120"/>
      <c r="CV36" s="120"/>
      <c r="CW36" s="209"/>
      <c r="CX36" s="205"/>
      <c r="CY36" s="205">
        <f t="shared" si="133"/>
        <v>0</v>
      </c>
      <c r="CZ36" s="120"/>
      <c r="DA36" s="120"/>
      <c r="DB36" s="120"/>
      <c r="DC36" s="205"/>
      <c r="DD36" s="205"/>
      <c r="DE36" s="209"/>
      <c r="DF36" s="205"/>
      <c r="DG36" s="205">
        <f t="shared" si="134"/>
        <v>0</v>
      </c>
      <c r="DH36" s="205">
        <f t="shared" si="150"/>
        <v>0</v>
      </c>
      <c r="DI36" s="120"/>
      <c r="DJ36" s="120"/>
      <c r="DK36" s="120"/>
      <c r="DL36" s="120"/>
      <c r="DM36" s="120"/>
      <c r="DN36" s="209"/>
      <c r="DO36" s="205"/>
      <c r="DP36" s="205">
        <f t="shared" si="228"/>
        <v>0</v>
      </c>
      <c r="DQ36" s="120"/>
      <c r="DR36" s="120"/>
      <c r="DS36" s="120"/>
      <c r="DT36" s="120"/>
      <c r="DU36" s="120"/>
      <c r="DV36" s="209"/>
      <c r="DW36" s="205"/>
      <c r="DX36" s="205">
        <f t="shared" si="136"/>
        <v>0</v>
      </c>
      <c r="DY36" s="120"/>
      <c r="DZ36" s="120"/>
      <c r="EA36" s="120"/>
      <c r="EB36" s="120"/>
      <c r="EC36" s="120"/>
      <c r="ED36" s="209"/>
      <c r="EE36" s="205"/>
      <c r="EF36" s="205">
        <f t="shared" si="137"/>
        <v>0</v>
      </c>
      <c r="EG36" s="120"/>
      <c r="EH36" s="120"/>
      <c r="EI36" s="120"/>
      <c r="EJ36" s="205"/>
      <c r="EK36" s="205"/>
      <c r="EL36" s="209"/>
      <c r="EM36" s="205"/>
      <c r="EN36" s="205">
        <f t="shared" si="138"/>
        <v>0</v>
      </c>
      <c r="EO36" s="205">
        <f t="shared" si="151"/>
        <v>0</v>
      </c>
      <c r="EP36" s="120"/>
      <c r="EQ36" s="120"/>
      <c r="ER36" s="120"/>
      <c r="ES36" s="120"/>
      <c r="ET36" s="120"/>
      <c r="EU36" s="209"/>
      <c r="EV36" s="205"/>
      <c r="EW36" s="205">
        <f t="shared" si="139"/>
        <v>0</v>
      </c>
      <c r="EX36" s="120"/>
      <c r="EY36" s="120"/>
      <c r="EZ36" s="120"/>
      <c r="FA36" s="120"/>
      <c r="FB36" s="120"/>
      <c r="FC36" s="209"/>
      <c r="FD36" s="205"/>
      <c r="FE36" s="205">
        <f t="shared" si="140"/>
        <v>0</v>
      </c>
      <c r="FF36" s="120"/>
      <c r="FG36" s="120"/>
      <c r="FH36" s="120"/>
      <c r="FI36" s="120"/>
      <c r="FJ36" s="120"/>
      <c r="FK36" s="209"/>
      <c r="FL36" s="205"/>
      <c r="FM36" s="205">
        <f t="shared" si="141"/>
        <v>0</v>
      </c>
      <c r="FN36" s="250"/>
      <c r="FO36" s="120"/>
      <c r="FP36" s="120"/>
      <c r="FQ36" s="120"/>
      <c r="FR36" s="205"/>
      <c r="FS36" s="209"/>
      <c r="FT36" s="205"/>
      <c r="FU36" s="205">
        <f t="shared" si="142"/>
        <v>0</v>
      </c>
      <c r="FV36" s="205">
        <f t="shared" si="152"/>
        <v>0</v>
      </c>
      <c r="FW36" s="120"/>
      <c r="FX36" s="120"/>
      <c r="FY36" s="120"/>
      <c r="FZ36" s="120"/>
      <c r="GA36" s="120"/>
      <c r="GB36" s="209"/>
      <c r="GC36" s="205"/>
      <c r="GD36" s="205">
        <f t="shared" si="143"/>
        <v>0</v>
      </c>
      <c r="GE36" s="250">
        <v>9700</v>
      </c>
      <c r="GF36" s="120"/>
      <c r="GG36" s="120"/>
      <c r="GH36" s="120"/>
      <c r="GI36" s="120"/>
      <c r="GJ36" s="209"/>
      <c r="GK36" s="205"/>
      <c r="GL36" s="205">
        <f t="shared" si="144"/>
        <v>9700</v>
      </c>
      <c r="GM36" s="120"/>
      <c r="GN36" s="120"/>
      <c r="GO36" s="120"/>
      <c r="GP36" s="120"/>
      <c r="GQ36" s="120"/>
      <c r="GR36" s="209"/>
      <c r="GS36" s="205"/>
      <c r="GT36" s="205">
        <f t="shared" si="145"/>
        <v>0</v>
      </c>
      <c r="GU36" s="124"/>
      <c r="GV36" s="120"/>
      <c r="GW36" s="120"/>
      <c r="GX36" s="120"/>
      <c r="GY36" s="120"/>
      <c r="GZ36" s="209"/>
      <c r="HA36" s="205"/>
      <c r="HB36" s="205">
        <f t="shared" si="146"/>
        <v>0</v>
      </c>
      <c r="HC36" s="120"/>
      <c r="HD36" s="120"/>
      <c r="HE36" s="120"/>
      <c r="HF36" s="120"/>
      <c r="HG36" s="120"/>
      <c r="HH36" s="209"/>
      <c r="HI36" s="205"/>
      <c r="HJ36" s="205">
        <f t="shared" si="147"/>
        <v>0</v>
      </c>
      <c r="HK36" s="205">
        <f t="shared" si="153"/>
        <v>9700</v>
      </c>
      <c r="HL36" s="124"/>
      <c r="HM36" s="123">
        <v>9400</v>
      </c>
      <c r="HN36" s="120"/>
      <c r="HO36" s="120"/>
      <c r="HP36" s="120"/>
      <c r="HQ36" s="205"/>
      <c r="HR36" s="205"/>
      <c r="HS36" s="205">
        <f t="shared" si="154"/>
        <v>9400</v>
      </c>
      <c r="HT36" s="120"/>
      <c r="HU36" s="120"/>
      <c r="HV36" s="120"/>
      <c r="HW36" s="120"/>
      <c r="HX36" s="120"/>
      <c r="HY36" s="205"/>
      <c r="HZ36" s="205"/>
      <c r="IA36" s="205">
        <f t="shared" si="155"/>
        <v>0</v>
      </c>
      <c r="IB36" s="120"/>
      <c r="IC36" s="120"/>
      <c r="ID36" s="120"/>
      <c r="IE36" s="120"/>
      <c r="IF36" s="120"/>
      <c r="IG36" s="205"/>
      <c r="IH36" s="205"/>
      <c r="II36" s="205">
        <f t="shared" si="156"/>
        <v>0</v>
      </c>
      <c r="IJ36" s="120"/>
      <c r="IK36" s="120"/>
      <c r="IL36" s="120"/>
      <c r="IM36" s="120"/>
      <c r="IN36" s="120"/>
      <c r="IO36" s="205"/>
      <c r="IP36" s="205"/>
      <c r="IQ36" s="205">
        <f t="shared" si="157"/>
        <v>0</v>
      </c>
      <c r="IR36" s="205">
        <f t="shared" si="158"/>
        <v>9400</v>
      </c>
      <c r="IS36" s="120"/>
      <c r="IT36" s="120"/>
      <c r="IU36" s="120"/>
      <c r="IV36" s="120"/>
      <c r="IW36" s="120"/>
      <c r="IX36" s="205"/>
      <c r="IY36" s="205"/>
      <c r="IZ36" s="205">
        <f t="shared" si="159"/>
        <v>0</v>
      </c>
      <c r="JA36" s="120"/>
      <c r="JB36" s="120"/>
      <c r="JC36" s="120"/>
      <c r="JD36" s="120"/>
      <c r="JE36" s="120"/>
      <c r="JF36" s="205"/>
      <c r="JG36" s="205"/>
      <c r="JH36" s="205">
        <f t="shared" si="160"/>
        <v>0</v>
      </c>
      <c r="JI36" s="120"/>
      <c r="JJ36" s="120"/>
      <c r="JK36" s="120"/>
      <c r="JL36" s="120"/>
      <c r="JM36" s="120"/>
      <c r="JN36" s="205"/>
      <c r="JO36" s="205"/>
      <c r="JP36" s="205">
        <f t="shared" si="161"/>
        <v>0</v>
      </c>
      <c r="JQ36" s="217"/>
      <c r="JR36" s="120"/>
      <c r="JS36" s="120"/>
      <c r="JT36" s="120"/>
      <c r="JU36" s="120"/>
      <c r="JV36" s="205"/>
      <c r="JW36" s="205"/>
      <c r="JX36" s="205">
        <f t="shared" si="162"/>
        <v>0</v>
      </c>
      <c r="JY36" s="205">
        <f t="shared" si="163"/>
        <v>0</v>
      </c>
      <c r="JZ36" s="120"/>
      <c r="KA36" s="120"/>
      <c r="KB36" s="120"/>
      <c r="KC36" s="120"/>
      <c r="KD36" s="120"/>
      <c r="KE36" s="205"/>
      <c r="KF36" s="205"/>
      <c r="KG36" s="205">
        <f t="shared" si="164"/>
        <v>0</v>
      </c>
      <c r="KH36" s="195">
        <v>9400</v>
      </c>
      <c r="KI36" s="120"/>
      <c r="KJ36" s="120"/>
      <c r="KK36" s="120"/>
      <c r="KL36" s="120"/>
      <c r="KM36" s="205"/>
      <c r="KN36" s="205"/>
      <c r="KO36" s="205">
        <f t="shared" si="165"/>
        <v>9400</v>
      </c>
      <c r="KP36" s="120"/>
      <c r="KQ36" s="120"/>
      <c r="KR36" s="120"/>
      <c r="KS36" s="217"/>
      <c r="KT36" s="120"/>
      <c r="KU36" s="205"/>
      <c r="KV36" s="205"/>
      <c r="KW36" s="205">
        <f t="shared" si="166"/>
        <v>0</v>
      </c>
      <c r="KX36" s="120"/>
      <c r="KY36" s="120"/>
      <c r="KZ36" s="120"/>
      <c r="LA36" s="120"/>
      <c r="LB36" s="120"/>
      <c r="LC36" s="205"/>
      <c r="LD36" s="205"/>
      <c r="LE36" s="205">
        <f t="shared" si="167"/>
        <v>0</v>
      </c>
      <c r="LF36" s="205"/>
      <c r="LG36" s="195">
        <v>9400</v>
      </c>
      <c r="LH36" s="120"/>
      <c r="LI36" s="120"/>
      <c r="LJ36" s="120"/>
      <c r="LK36" s="205"/>
      <c r="LL36" s="205"/>
      <c r="LM36" s="205">
        <f t="shared" si="168"/>
        <v>9400</v>
      </c>
      <c r="LN36" s="205">
        <f t="shared" si="169"/>
        <v>18800</v>
      </c>
      <c r="LO36" s="205"/>
      <c r="LP36" s="120"/>
      <c r="LQ36" s="120"/>
      <c r="LR36" s="120"/>
      <c r="LS36" s="205"/>
      <c r="LT36" s="205"/>
      <c r="LU36" s="205"/>
      <c r="LV36" s="205">
        <f t="shared" si="170"/>
        <v>0</v>
      </c>
      <c r="LW36" s="120"/>
      <c r="LX36" s="120"/>
      <c r="LY36" s="124">
        <v>360</v>
      </c>
      <c r="LZ36" s="120"/>
      <c r="MA36" s="120"/>
      <c r="MB36" s="205"/>
      <c r="MC36" s="205"/>
      <c r="MD36" s="205">
        <f t="shared" si="171"/>
        <v>360</v>
      </c>
      <c r="ME36" s="120"/>
      <c r="MF36" s="201">
        <v>350</v>
      </c>
      <c r="MG36" s="120"/>
      <c r="MH36" s="120"/>
      <c r="MI36" s="205"/>
      <c r="MJ36" s="205"/>
      <c r="MK36" s="205"/>
      <c r="ML36" s="205">
        <f t="shared" si="172"/>
        <v>350</v>
      </c>
      <c r="MM36" s="120"/>
      <c r="MN36" s="120"/>
      <c r="MO36" s="120"/>
      <c r="MP36" s="120"/>
      <c r="MQ36" s="120"/>
      <c r="MR36" s="205"/>
      <c r="MS36" s="205"/>
      <c r="MT36" s="205">
        <f t="shared" si="173"/>
        <v>0</v>
      </c>
      <c r="MU36" s="205">
        <f t="shared" si="174"/>
        <v>710</v>
      </c>
      <c r="MV36" s="120"/>
      <c r="MW36" s="120"/>
      <c r="MX36" s="120"/>
      <c r="MY36" s="120"/>
      <c r="MZ36" s="120"/>
      <c r="NA36" s="205"/>
      <c r="NB36" s="205"/>
      <c r="NC36" s="205">
        <f t="shared" si="175"/>
        <v>0</v>
      </c>
      <c r="ND36" s="120"/>
      <c r="NE36" s="120"/>
      <c r="NF36" s="120"/>
      <c r="NG36" s="120"/>
      <c r="NH36" s="120"/>
      <c r="NI36" s="205"/>
      <c r="NJ36" s="205"/>
      <c r="NK36" s="205">
        <f t="shared" si="176"/>
        <v>0</v>
      </c>
      <c r="NL36" s="120"/>
      <c r="NM36" s="120"/>
      <c r="NN36" s="120"/>
      <c r="NO36" s="120"/>
      <c r="NP36" s="120"/>
      <c r="NQ36" s="205"/>
      <c r="NR36" s="205"/>
      <c r="NS36" s="205">
        <f t="shared" si="177"/>
        <v>0</v>
      </c>
      <c r="NT36" s="217">
        <v>350</v>
      </c>
      <c r="NU36" s="120"/>
      <c r="NV36" s="120"/>
      <c r="NW36" s="120"/>
      <c r="NX36" s="120"/>
      <c r="NY36" s="205"/>
      <c r="NZ36" s="205"/>
      <c r="OA36" s="205">
        <f t="shared" si="178"/>
        <v>350</v>
      </c>
      <c r="OB36" s="205">
        <f t="shared" si="179"/>
        <v>350</v>
      </c>
      <c r="OC36" s="120"/>
      <c r="OD36" s="120"/>
      <c r="OE36" s="120"/>
      <c r="OF36" s="120"/>
      <c r="OG36" s="120"/>
      <c r="OH36" s="205"/>
      <c r="OI36" s="205"/>
      <c r="OJ36" s="205">
        <f t="shared" si="180"/>
        <v>0</v>
      </c>
      <c r="OK36" s="120"/>
      <c r="OL36" s="120"/>
      <c r="OM36" s="120"/>
      <c r="ON36" s="120"/>
      <c r="OO36" s="120"/>
      <c r="OP36" s="205"/>
      <c r="OQ36" s="205"/>
      <c r="OR36" s="205">
        <f t="shared" si="181"/>
        <v>0</v>
      </c>
      <c r="OS36" s="120"/>
      <c r="OT36" s="120"/>
      <c r="OU36" s="120"/>
      <c r="OV36" s="120"/>
      <c r="OW36" s="120"/>
      <c r="OX36" s="205"/>
      <c r="OY36" s="205"/>
      <c r="OZ36" s="205">
        <f t="shared" si="182"/>
        <v>0</v>
      </c>
      <c r="PA36" s="120"/>
      <c r="PB36" s="120"/>
      <c r="PC36" s="120"/>
      <c r="PD36" s="205"/>
      <c r="PE36" s="217"/>
      <c r="PF36" s="205"/>
      <c r="PG36" s="205"/>
      <c r="PH36" s="205">
        <f t="shared" si="183"/>
        <v>0</v>
      </c>
      <c r="PI36" s="120"/>
      <c r="PJ36" s="120"/>
      <c r="PK36" s="120"/>
      <c r="PL36" s="205"/>
      <c r="PM36" s="217"/>
      <c r="PN36" s="205"/>
      <c r="PO36" s="205"/>
      <c r="PP36" s="205">
        <f t="shared" si="184"/>
        <v>0</v>
      </c>
      <c r="PQ36" s="205">
        <f t="shared" si="185"/>
        <v>0</v>
      </c>
      <c r="PR36" s="207"/>
      <c r="PS36" s="207"/>
      <c r="PT36" s="207"/>
      <c r="PU36" s="207"/>
      <c r="PV36" s="207"/>
      <c r="PW36" s="272"/>
      <c r="PX36" s="272"/>
      <c r="PY36" s="205">
        <f t="shared" si="186"/>
        <v>0</v>
      </c>
      <c r="PZ36" s="207"/>
      <c r="QA36" s="207"/>
      <c r="QB36" s="207"/>
      <c r="QC36" s="207"/>
      <c r="QD36" s="207"/>
      <c r="QE36" s="272"/>
      <c r="QF36" s="272"/>
      <c r="QG36" s="205">
        <f t="shared" si="187"/>
        <v>0</v>
      </c>
      <c r="QH36" s="207"/>
      <c r="QI36" s="207"/>
      <c r="QJ36" s="294"/>
      <c r="QK36" s="207"/>
      <c r="QL36" s="207"/>
      <c r="QM36" s="272"/>
      <c r="QN36" s="272"/>
      <c r="QO36" s="205">
        <f t="shared" si="188"/>
        <v>0</v>
      </c>
      <c r="QP36" s="207"/>
      <c r="QQ36" s="207"/>
      <c r="QR36" s="207"/>
      <c r="QS36" s="207"/>
      <c r="QT36" s="207"/>
      <c r="QU36" s="272"/>
      <c r="QV36" s="272"/>
      <c r="QW36" s="205">
        <f t="shared" si="189"/>
        <v>0</v>
      </c>
      <c r="QX36" s="205">
        <f t="shared" si="190"/>
        <v>0</v>
      </c>
      <c r="QY36" s="207"/>
      <c r="QZ36" s="207"/>
      <c r="RA36" s="207"/>
      <c r="RB36" s="207"/>
      <c r="RC36" s="207"/>
      <c r="RD36" s="272"/>
      <c r="RE36" s="272"/>
      <c r="RF36" s="205">
        <f t="shared" si="191"/>
        <v>0</v>
      </c>
      <c r="RG36" s="201">
        <v>500</v>
      </c>
      <c r="RH36" s="207"/>
      <c r="RI36" s="207"/>
      <c r="RJ36" s="207"/>
      <c r="RK36" s="306"/>
      <c r="RL36" s="272"/>
      <c r="RM36" s="272"/>
      <c r="RN36" s="205">
        <f t="shared" si="192"/>
        <v>500</v>
      </c>
      <c r="RO36" s="272"/>
      <c r="RP36" s="272"/>
      <c r="RQ36" s="272"/>
      <c r="RR36" s="272"/>
      <c r="RS36" s="272"/>
      <c r="RT36" s="272"/>
      <c r="RU36" s="272"/>
      <c r="RV36" s="205">
        <f t="shared" si="193"/>
        <v>0</v>
      </c>
      <c r="RW36" s="207"/>
      <c r="RX36" s="207"/>
      <c r="RY36" s="207"/>
      <c r="RZ36" s="207"/>
      <c r="SA36" s="272"/>
      <c r="SB36" s="272"/>
      <c r="SC36" s="272"/>
      <c r="SD36" s="205">
        <f t="shared" si="194"/>
        <v>0</v>
      </c>
      <c r="SE36" s="205">
        <f t="shared" si="195"/>
        <v>500</v>
      </c>
      <c r="SF36" s="124">
        <v>9400</v>
      </c>
      <c r="SG36" s="207"/>
      <c r="SH36" s="207"/>
      <c r="SI36" s="207"/>
      <c r="SJ36" s="207"/>
      <c r="SK36" s="272"/>
      <c r="SL36" s="272"/>
      <c r="SM36" s="205">
        <f t="shared" si="196"/>
        <v>9400</v>
      </c>
      <c r="SN36" s="207"/>
      <c r="SO36" s="207"/>
      <c r="SP36" s="207"/>
      <c r="SQ36" s="207"/>
      <c r="SR36" s="207"/>
      <c r="SS36" s="314">
        <v>8640</v>
      </c>
      <c r="ST36" s="272"/>
      <c r="SU36" s="205">
        <f t="shared" si="197"/>
        <v>8640</v>
      </c>
      <c r="SV36" s="207"/>
      <c r="SW36" s="207"/>
      <c r="SX36" s="207"/>
      <c r="SY36" s="207"/>
      <c r="SZ36" s="207"/>
      <c r="TA36" s="272"/>
      <c r="TB36" s="272"/>
      <c r="TC36" s="205">
        <f t="shared" si="198"/>
        <v>0</v>
      </c>
      <c r="TD36" s="207"/>
      <c r="TE36" s="207"/>
      <c r="TF36" s="207"/>
      <c r="TG36" s="207"/>
      <c r="TH36" s="207"/>
      <c r="TI36" s="272"/>
      <c r="TJ36" s="272"/>
      <c r="TK36" s="205">
        <f t="shared" si="199"/>
        <v>0</v>
      </c>
      <c r="TL36" s="300"/>
      <c r="TM36" s="207"/>
      <c r="TN36" s="207"/>
      <c r="TO36" s="207"/>
      <c r="TP36" s="272"/>
      <c r="TQ36" s="272"/>
      <c r="TR36" s="272"/>
      <c r="TS36" s="205">
        <f t="shared" si="200"/>
        <v>0</v>
      </c>
      <c r="TT36" s="205">
        <f t="shared" si="201"/>
        <v>18040</v>
      </c>
      <c r="TU36" s="272"/>
      <c r="TV36" s="207"/>
      <c r="TW36" s="207"/>
      <c r="TX36" s="207"/>
      <c r="TY36" s="207"/>
      <c r="TZ36" s="272"/>
      <c r="UA36" s="272"/>
      <c r="UB36" s="205">
        <f t="shared" si="202"/>
        <v>0</v>
      </c>
      <c r="UC36" s="207"/>
      <c r="UD36" s="207"/>
      <c r="UE36" s="207"/>
      <c r="UF36" s="207"/>
      <c r="UG36" s="207"/>
      <c r="UH36" s="272"/>
      <c r="UI36" s="272"/>
      <c r="UJ36" s="205">
        <f t="shared" si="203"/>
        <v>0</v>
      </c>
      <c r="UK36" s="201">
        <v>9400</v>
      </c>
      <c r="UL36" s="207"/>
      <c r="UM36" s="207"/>
      <c r="UN36" s="207"/>
      <c r="UO36" s="207"/>
      <c r="UP36" s="272"/>
      <c r="UQ36" s="272"/>
      <c r="UR36" s="205">
        <f t="shared" si="227"/>
        <v>9400</v>
      </c>
      <c r="US36" s="207"/>
      <c r="UT36" s="207"/>
      <c r="UU36" s="207"/>
      <c r="UV36" s="207"/>
      <c r="UW36" s="272"/>
      <c r="UX36" s="272"/>
      <c r="UY36" s="272"/>
      <c r="UZ36" s="205">
        <f t="shared" si="204"/>
        <v>0</v>
      </c>
      <c r="VA36" s="205">
        <f t="shared" si="205"/>
        <v>9400</v>
      </c>
      <c r="VB36" s="207"/>
      <c r="VC36" s="207"/>
      <c r="VD36" s="207"/>
      <c r="VE36" s="207"/>
      <c r="VF36" s="207"/>
      <c r="VG36" s="272"/>
      <c r="VH36" s="272"/>
      <c r="VI36" s="205">
        <f t="shared" si="206"/>
        <v>0</v>
      </c>
      <c r="VJ36" s="301"/>
      <c r="VK36" s="207"/>
      <c r="VL36" s="207"/>
      <c r="VM36" s="207"/>
      <c r="VN36" s="207"/>
      <c r="VO36" s="272"/>
      <c r="VP36" s="272"/>
      <c r="VQ36" s="205">
        <f t="shared" si="207"/>
        <v>0</v>
      </c>
      <c r="VR36" s="207"/>
      <c r="VS36" s="207"/>
      <c r="VT36" s="207"/>
      <c r="VU36" s="207"/>
      <c r="VV36" s="207"/>
      <c r="VW36" s="272"/>
      <c r="VX36" s="272"/>
      <c r="VY36" s="205">
        <f t="shared" si="208"/>
        <v>0</v>
      </c>
      <c r="VZ36" s="301"/>
      <c r="WA36" s="207"/>
      <c r="WB36" s="207"/>
      <c r="WC36" s="207"/>
      <c r="WD36" s="207"/>
      <c r="WE36" s="272"/>
      <c r="WF36" s="272"/>
      <c r="WG36" s="205">
        <f t="shared" si="209"/>
        <v>0</v>
      </c>
      <c r="WH36" s="205">
        <f t="shared" si="210"/>
        <v>0</v>
      </c>
      <c r="WI36" s="207"/>
      <c r="WJ36" s="207"/>
      <c r="WK36" s="207"/>
      <c r="WL36" s="207"/>
      <c r="WM36" s="207"/>
      <c r="WN36" s="272"/>
      <c r="WO36" s="272"/>
      <c r="WP36" s="205">
        <f t="shared" si="211"/>
        <v>0</v>
      </c>
      <c r="WQ36" s="195">
        <v>9400</v>
      </c>
      <c r="WR36" s="207"/>
      <c r="WS36" s="207"/>
      <c r="WT36" s="207"/>
      <c r="WU36" s="207"/>
      <c r="WV36" s="272"/>
      <c r="WW36" s="272"/>
      <c r="WX36" s="205">
        <f t="shared" si="212"/>
        <v>9400</v>
      </c>
      <c r="WY36" s="207"/>
      <c r="WZ36" s="207"/>
      <c r="XA36" s="207"/>
      <c r="XB36" s="207"/>
      <c r="XC36" s="272"/>
      <c r="XD36" s="272"/>
      <c r="XE36" s="272"/>
      <c r="XF36" s="205">
        <f t="shared" si="213"/>
        <v>0</v>
      </c>
      <c r="XG36" s="207"/>
      <c r="XH36" s="207"/>
      <c r="XI36" s="207"/>
      <c r="XJ36" s="207"/>
      <c r="XK36" s="207"/>
      <c r="XL36" s="272"/>
      <c r="XM36" s="272"/>
      <c r="XN36" s="205">
        <f t="shared" si="214"/>
        <v>0</v>
      </c>
      <c r="XO36" s="207"/>
      <c r="XP36" s="207"/>
      <c r="XQ36" s="207"/>
      <c r="XR36" s="207"/>
      <c r="XS36" s="207"/>
      <c r="XT36" s="272"/>
      <c r="XU36" s="272"/>
      <c r="XV36" s="205">
        <f t="shared" si="215"/>
        <v>0</v>
      </c>
      <c r="XW36" s="205">
        <f t="shared" si="216"/>
        <v>9400</v>
      </c>
      <c r="XX36" s="207"/>
      <c r="XY36" s="207"/>
      <c r="XZ36" s="207"/>
      <c r="YA36" s="207"/>
      <c r="YB36" s="207"/>
      <c r="YC36" s="272"/>
      <c r="YD36" s="272"/>
      <c r="YE36" s="205">
        <f t="shared" si="217"/>
        <v>0</v>
      </c>
      <c r="YF36" s="207"/>
      <c r="YG36" s="207"/>
      <c r="YH36" s="207"/>
      <c r="YI36" s="207"/>
      <c r="YJ36" s="207"/>
      <c r="YK36" s="272"/>
      <c r="YL36" s="272"/>
      <c r="YM36" s="205">
        <f t="shared" si="218"/>
        <v>0</v>
      </c>
      <c r="YN36" s="207"/>
      <c r="YO36" s="207"/>
      <c r="YP36" s="207"/>
      <c r="YQ36" s="207"/>
      <c r="YR36" s="207"/>
      <c r="YS36" s="272"/>
      <c r="YT36" s="272"/>
      <c r="YU36" s="205">
        <f t="shared" si="148"/>
        <v>0</v>
      </c>
      <c r="YV36" s="207"/>
      <c r="YW36" s="207"/>
      <c r="YX36" s="207"/>
      <c r="YY36" s="207"/>
      <c r="YZ36" s="207"/>
      <c r="ZA36" s="272"/>
      <c r="ZB36" s="272"/>
      <c r="ZC36" s="205">
        <f t="shared" si="219"/>
        <v>0</v>
      </c>
      <c r="ZD36" s="205">
        <f t="shared" si="149"/>
        <v>0</v>
      </c>
      <c r="ZE36" s="207"/>
      <c r="ZF36" s="207"/>
      <c r="ZG36" s="207"/>
      <c r="ZH36" s="207"/>
      <c r="ZI36" s="207"/>
      <c r="ZJ36" s="272"/>
      <c r="ZK36" s="272"/>
      <c r="ZL36" s="205">
        <f t="shared" si="220"/>
        <v>0</v>
      </c>
      <c r="ZM36" s="207"/>
      <c r="ZN36" s="207"/>
      <c r="ZO36" s="207"/>
      <c r="ZP36" s="207"/>
      <c r="ZQ36" s="207"/>
      <c r="ZR36" s="272"/>
      <c r="ZS36" s="272"/>
      <c r="ZT36" s="205">
        <f t="shared" si="221"/>
        <v>0</v>
      </c>
      <c r="ZU36" s="207"/>
      <c r="ZV36" s="207"/>
      <c r="ZW36" s="207"/>
      <c r="ZX36" s="207"/>
      <c r="ZY36" s="207"/>
      <c r="ZZ36" s="272"/>
      <c r="AAA36" s="272"/>
      <c r="AAB36" s="205">
        <f t="shared" si="222"/>
        <v>0</v>
      </c>
      <c r="AAC36" s="207"/>
      <c r="AAD36" s="207"/>
      <c r="AAE36" s="207"/>
      <c r="AAF36" s="207"/>
      <c r="AAG36" s="207"/>
      <c r="AAH36" s="272"/>
      <c r="AAI36" s="272"/>
      <c r="AAJ36" s="205">
        <f t="shared" si="223"/>
        <v>0</v>
      </c>
      <c r="AAK36" s="207"/>
      <c r="AAL36" s="207"/>
      <c r="AAM36" s="207"/>
      <c r="AAN36" s="207"/>
      <c r="AAO36" s="207"/>
      <c r="AAP36" s="272"/>
      <c r="AAQ36" s="272"/>
      <c r="AAR36" s="205">
        <f t="shared" si="224"/>
        <v>0</v>
      </c>
      <c r="AAS36" s="205">
        <f t="shared" si="225"/>
        <v>0</v>
      </c>
    </row>
    <row r="37" spans="1:721" ht="69.95" customHeight="1">
      <c r="B37" s="155">
        <v>3620102404</v>
      </c>
      <c r="C37" s="323"/>
      <c r="D37" s="228" t="s">
        <v>550</v>
      </c>
      <c r="E37" s="130" t="s">
        <v>4</v>
      </c>
      <c r="F37" s="120"/>
      <c r="G37" s="120"/>
      <c r="H37" s="120"/>
      <c r="I37" s="120"/>
      <c r="J37" s="120"/>
      <c r="K37" s="209"/>
      <c r="L37" s="205"/>
      <c r="M37" s="205">
        <f t="shared" si="121"/>
        <v>0</v>
      </c>
      <c r="N37" s="120"/>
      <c r="O37" s="120"/>
      <c r="P37" s="120"/>
      <c r="Q37" s="120"/>
      <c r="R37" s="120"/>
      <c r="S37" s="209"/>
      <c r="T37" s="205"/>
      <c r="U37" s="205">
        <f t="shared" si="122"/>
        <v>0</v>
      </c>
      <c r="V37" s="120"/>
      <c r="W37" s="120"/>
      <c r="X37" s="120"/>
      <c r="Y37" s="120"/>
      <c r="Z37" s="120"/>
      <c r="AA37" s="209"/>
      <c r="AB37" s="205"/>
      <c r="AC37" s="205">
        <f t="shared" si="123"/>
        <v>0</v>
      </c>
      <c r="AD37" s="205"/>
      <c r="AE37" s="205"/>
      <c r="AF37" s="205"/>
      <c r="AG37" s="205"/>
      <c r="AH37" s="205"/>
      <c r="AI37" s="209"/>
      <c r="AJ37" s="205"/>
      <c r="AK37" s="205">
        <f t="shared" si="124"/>
        <v>0</v>
      </c>
      <c r="AL37" s="205" t="e">
        <f>SUM(#REF!,M37,U37,AC37,AD37:AH37)</f>
        <v>#REF!</v>
      </c>
      <c r="AM37" s="120"/>
      <c r="AN37" s="120"/>
      <c r="AO37" s="120"/>
      <c r="AP37" s="120"/>
      <c r="AQ37" s="120"/>
      <c r="AR37" s="209"/>
      <c r="AS37" s="205"/>
      <c r="AT37" s="205">
        <f t="shared" si="125"/>
        <v>0</v>
      </c>
      <c r="AU37" s="120"/>
      <c r="AV37" s="120"/>
      <c r="AW37" s="120"/>
      <c r="AX37" s="120"/>
      <c r="AY37" s="120"/>
      <c r="AZ37" s="209"/>
      <c r="BA37" s="205"/>
      <c r="BB37" s="205">
        <f t="shared" si="126"/>
        <v>0</v>
      </c>
      <c r="BC37" s="120"/>
      <c r="BD37" s="120"/>
      <c r="BE37" s="120"/>
      <c r="BF37" s="120"/>
      <c r="BG37" s="120"/>
      <c r="BH37" s="209"/>
      <c r="BI37" s="205"/>
      <c r="BJ37" s="205">
        <f t="shared" si="127"/>
        <v>0</v>
      </c>
      <c r="BK37" s="120"/>
      <c r="BL37" s="120"/>
      <c r="BM37" s="120"/>
      <c r="BN37" s="120"/>
      <c r="BO37" s="205"/>
      <c r="BP37" s="209"/>
      <c r="BQ37" s="205"/>
      <c r="BR37" s="205">
        <f t="shared" si="128"/>
        <v>0</v>
      </c>
      <c r="BS37" s="205">
        <f t="shared" si="129"/>
        <v>0</v>
      </c>
      <c r="BT37" s="120"/>
      <c r="BU37" s="120"/>
      <c r="BV37" s="120"/>
      <c r="BW37" s="120"/>
      <c r="BX37" s="120"/>
      <c r="BY37" s="209"/>
      <c r="BZ37" s="205"/>
      <c r="CA37" s="205">
        <f t="shared" si="130"/>
        <v>0</v>
      </c>
      <c r="CB37" s="120"/>
      <c r="CC37" s="120"/>
      <c r="CD37" s="120"/>
      <c r="CE37" s="120"/>
      <c r="CF37" s="120"/>
      <c r="CG37" s="209"/>
      <c r="CH37" s="205"/>
      <c r="CI37" s="205">
        <f t="shared" si="131"/>
        <v>0</v>
      </c>
      <c r="CJ37" s="120"/>
      <c r="CK37" s="120"/>
      <c r="CL37" s="120"/>
      <c r="CM37" s="120"/>
      <c r="CN37" s="120"/>
      <c r="CO37" s="209"/>
      <c r="CP37" s="205"/>
      <c r="CQ37" s="205">
        <f t="shared" si="132"/>
        <v>0</v>
      </c>
      <c r="CR37" s="120"/>
      <c r="CS37" s="120"/>
      <c r="CT37" s="120"/>
      <c r="CU37" s="120"/>
      <c r="CV37" s="120"/>
      <c r="CW37" s="209"/>
      <c r="CX37" s="205"/>
      <c r="CY37" s="205">
        <f t="shared" si="133"/>
        <v>0</v>
      </c>
      <c r="CZ37" s="120"/>
      <c r="DA37" s="120"/>
      <c r="DB37" s="120"/>
      <c r="DC37" s="205"/>
      <c r="DD37" s="205"/>
      <c r="DE37" s="209"/>
      <c r="DF37" s="205"/>
      <c r="DG37" s="205">
        <f t="shared" si="134"/>
        <v>0</v>
      </c>
      <c r="DH37" s="205">
        <f t="shared" si="150"/>
        <v>0</v>
      </c>
      <c r="DI37" s="120"/>
      <c r="DJ37" s="120"/>
      <c r="DK37" s="120"/>
      <c r="DL37" s="120"/>
      <c r="DM37" s="120"/>
      <c r="DN37" s="209"/>
      <c r="DO37" s="205"/>
      <c r="DP37" s="205">
        <f t="shared" si="228"/>
        <v>0</v>
      </c>
      <c r="DQ37" s="120"/>
      <c r="DR37" s="120"/>
      <c r="DS37" s="120"/>
      <c r="DT37" s="120"/>
      <c r="DU37" s="120"/>
      <c r="DV37" s="209"/>
      <c r="DW37" s="205"/>
      <c r="DX37" s="205">
        <f t="shared" si="136"/>
        <v>0</v>
      </c>
      <c r="DY37" s="120"/>
      <c r="DZ37" s="120"/>
      <c r="EA37" s="120"/>
      <c r="EB37" s="120"/>
      <c r="EC37" s="120"/>
      <c r="ED37" s="209"/>
      <c r="EE37" s="205"/>
      <c r="EF37" s="205">
        <f t="shared" si="137"/>
        <v>0</v>
      </c>
      <c r="EG37" s="120"/>
      <c r="EH37" s="120"/>
      <c r="EI37" s="120"/>
      <c r="EJ37" s="205"/>
      <c r="EK37" s="205"/>
      <c r="EL37" s="209"/>
      <c r="EM37" s="205"/>
      <c r="EN37" s="205">
        <f t="shared" si="138"/>
        <v>0</v>
      </c>
      <c r="EO37" s="205">
        <f t="shared" si="151"/>
        <v>0</v>
      </c>
      <c r="EP37" s="120"/>
      <c r="EQ37" s="120"/>
      <c r="ER37" s="120"/>
      <c r="ES37" s="120"/>
      <c r="ET37" s="120"/>
      <c r="EU37" s="209"/>
      <c r="EV37" s="205"/>
      <c r="EW37" s="205">
        <f t="shared" si="139"/>
        <v>0</v>
      </c>
      <c r="EX37" s="120"/>
      <c r="EY37" s="120"/>
      <c r="EZ37" s="120"/>
      <c r="FA37" s="120"/>
      <c r="FB37" s="120"/>
      <c r="FC37" s="209"/>
      <c r="FD37" s="205"/>
      <c r="FE37" s="205">
        <f t="shared" si="140"/>
        <v>0</v>
      </c>
      <c r="FF37" s="120"/>
      <c r="FG37" s="120"/>
      <c r="FH37" s="120"/>
      <c r="FI37" s="120"/>
      <c r="FJ37" s="120"/>
      <c r="FK37" s="209"/>
      <c r="FL37" s="205"/>
      <c r="FM37" s="205">
        <f t="shared" si="141"/>
        <v>0</v>
      </c>
      <c r="FN37" s="120"/>
      <c r="FO37" s="120"/>
      <c r="FP37" s="120"/>
      <c r="FQ37" s="120"/>
      <c r="FR37" s="205"/>
      <c r="FS37" s="209"/>
      <c r="FT37" s="205"/>
      <c r="FU37" s="205">
        <f t="shared" si="142"/>
        <v>0</v>
      </c>
      <c r="FV37" s="205">
        <f t="shared" si="152"/>
        <v>0</v>
      </c>
      <c r="FW37" s="120"/>
      <c r="FX37" s="120"/>
      <c r="FY37" s="120"/>
      <c r="FZ37" s="120"/>
      <c r="GA37" s="120"/>
      <c r="GB37" s="209"/>
      <c r="GC37" s="205"/>
      <c r="GD37" s="205">
        <f t="shared" si="143"/>
        <v>0</v>
      </c>
      <c r="GE37" s="120"/>
      <c r="GF37" s="120"/>
      <c r="GG37" s="120"/>
      <c r="GH37" s="120"/>
      <c r="GI37" s="120"/>
      <c r="GJ37" s="209"/>
      <c r="GK37" s="205"/>
      <c r="GL37" s="205">
        <f t="shared" si="144"/>
        <v>0</v>
      </c>
      <c r="GM37" s="120"/>
      <c r="GN37" s="120"/>
      <c r="GO37" s="120"/>
      <c r="GP37" s="120"/>
      <c r="GQ37" s="120"/>
      <c r="GR37" s="209"/>
      <c r="GS37" s="205"/>
      <c r="GT37" s="205">
        <f t="shared" si="145"/>
        <v>0</v>
      </c>
      <c r="GU37" s="120"/>
      <c r="GV37" s="120"/>
      <c r="GW37" s="120"/>
      <c r="GX37" s="120"/>
      <c r="GY37" s="120"/>
      <c r="GZ37" s="209"/>
      <c r="HA37" s="205"/>
      <c r="HB37" s="205">
        <f t="shared" si="146"/>
        <v>0</v>
      </c>
      <c r="HC37" s="120"/>
      <c r="HD37" s="120"/>
      <c r="HE37" s="120"/>
      <c r="HF37" s="120"/>
      <c r="HG37" s="120"/>
      <c r="HH37" s="209"/>
      <c r="HI37" s="205"/>
      <c r="HJ37" s="205">
        <f t="shared" si="147"/>
        <v>0</v>
      </c>
      <c r="HK37" s="205">
        <f t="shared" si="153"/>
        <v>0</v>
      </c>
      <c r="HL37" s="124"/>
      <c r="HM37" s="120"/>
      <c r="HN37" s="120"/>
      <c r="HO37" s="120"/>
      <c r="HP37" s="120"/>
      <c r="HQ37" s="205"/>
      <c r="HR37" s="205"/>
      <c r="HS37" s="205">
        <f t="shared" si="154"/>
        <v>0</v>
      </c>
      <c r="HT37" s="120"/>
      <c r="HU37" s="120"/>
      <c r="HV37" s="120"/>
      <c r="HW37" s="120"/>
      <c r="HX37" s="120"/>
      <c r="HY37" s="205"/>
      <c r="HZ37" s="205"/>
      <c r="IA37" s="205">
        <f t="shared" si="155"/>
        <v>0</v>
      </c>
      <c r="IB37" s="120"/>
      <c r="IC37" s="120"/>
      <c r="ID37" s="120"/>
      <c r="IE37" s="120"/>
      <c r="IF37" s="120"/>
      <c r="IG37" s="205"/>
      <c r="IH37" s="205"/>
      <c r="II37" s="205">
        <f t="shared" si="156"/>
        <v>0</v>
      </c>
      <c r="IJ37" s="120"/>
      <c r="IK37" s="120"/>
      <c r="IL37" s="120"/>
      <c r="IM37" s="120"/>
      <c r="IN37" s="120"/>
      <c r="IO37" s="205"/>
      <c r="IP37" s="205"/>
      <c r="IQ37" s="205">
        <f t="shared" si="157"/>
        <v>0</v>
      </c>
      <c r="IR37" s="205">
        <f t="shared" si="158"/>
        <v>0</v>
      </c>
      <c r="IS37" s="120"/>
      <c r="IT37" s="120"/>
      <c r="IU37" s="120"/>
      <c r="IV37" s="120"/>
      <c r="IW37" s="120"/>
      <c r="IX37" s="205"/>
      <c r="IY37" s="205"/>
      <c r="IZ37" s="205">
        <f t="shared" si="159"/>
        <v>0</v>
      </c>
      <c r="JA37" s="120"/>
      <c r="JB37" s="120"/>
      <c r="JC37" s="120"/>
      <c r="JD37" s="120"/>
      <c r="JE37" s="120"/>
      <c r="JF37" s="205"/>
      <c r="JG37" s="205"/>
      <c r="JH37" s="205">
        <f t="shared" si="160"/>
        <v>0</v>
      </c>
      <c r="JI37" s="120"/>
      <c r="JJ37" s="120"/>
      <c r="JK37" s="120"/>
      <c r="JL37" s="120"/>
      <c r="JM37" s="120"/>
      <c r="JN37" s="205"/>
      <c r="JO37" s="205"/>
      <c r="JP37" s="205">
        <f t="shared" si="161"/>
        <v>0</v>
      </c>
      <c r="JQ37" s="120"/>
      <c r="JR37" s="120"/>
      <c r="JS37" s="120"/>
      <c r="JT37" s="120"/>
      <c r="JU37" s="120"/>
      <c r="JV37" s="205"/>
      <c r="JW37" s="205"/>
      <c r="JX37" s="205">
        <f t="shared" si="162"/>
        <v>0</v>
      </c>
      <c r="JY37" s="205">
        <f t="shared" si="163"/>
        <v>0</v>
      </c>
      <c r="JZ37" s="120"/>
      <c r="KA37" s="120"/>
      <c r="KB37" s="120"/>
      <c r="KC37" s="120"/>
      <c r="KD37" s="120"/>
      <c r="KE37" s="205"/>
      <c r="KF37" s="205"/>
      <c r="KG37" s="205">
        <f t="shared" si="164"/>
        <v>0</v>
      </c>
      <c r="KH37" s="120"/>
      <c r="KI37" s="120"/>
      <c r="KJ37" s="120"/>
      <c r="KK37" s="120"/>
      <c r="KL37" s="120"/>
      <c r="KM37" s="205"/>
      <c r="KN37" s="205"/>
      <c r="KO37" s="205">
        <f t="shared" si="165"/>
        <v>0</v>
      </c>
      <c r="KP37" s="120"/>
      <c r="KQ37" s="120"/>
      <c r="KR37" s="120"/>
      <c r="KS37" s="120"/>
      <c r="KT37" s="120"/>
      <c r="KU37" s="205"/>
      <c r="KV37" s="205"/>
      <c r="KW37" s="205">
        <f t="shared" si="166"/>
        <v>0</v>
      </c>
      <c r="KX37" s="120"/>
      <c r="KY37" s="120"/>
      <c r="KZ37" s="120"/>
      <c r="LA37" s="120"/>
      <c r="LB37" s="120"/>
      <c r="LC37" s="205"/>
      <c r="LD37" s="205"/>
      <c r="LE37" s="205">
        <f t="shared" si="167"/>
        <v>0</v>
      </c>
      <c r="LF37" s="205"/>
      <c r="LG37" s="120"/>
      <c r="LH37" s="120"/>
      <c r="LI37" s="120"/>
      <c r="LJ37" s="120"/>
      <c r="LK37" s="205"/>
      <c r="LL37" s="205"/>
      <c r="LM37" s="205">
        <f t="shared" si="168"/>
        <v>0</v>
      </c>
      <c r="LN37" s="205">
        <f t="shared" si="169"/>
        <v>0</v>
      </c>
      <c r="LO37" s="205"/>
      <c r="LP37" s="120"/>
      <c r="LQ37" s="120"/>
      <c r="LR37" s="120"/>
      <c r="LS37" s="205"/>
      <c r="LT37" s="205"/>
      <c r="LU37" s="205"/>
      <c r="LV37" s="205">
        <f t="shared" si="170"/>
        <v>0</v>
      </c>
      <c r="LW37" s="120"/>
      <c r="LX37" s="120"/>
      <c r="LY37" s="120"/>
      <c r="LZ37" s="120"/>
      <c r="MA37" s="120"/>
      <c r="MB37" s="205"/>
      <c r="MC37" s="205"/>
      <c r="MD37" s="205">
        <f t="shared" si="171"/>
        <v>0</v>
      </c>
      <c r="ME37" s="120"/>
      <c r="MF37" s="120"/>
      <c r="MG37" s="120"/>
      <c r="MH37" s="120"/>
      <c r="MI37" s="205"/>
      <c r="MJ37" s="205"/>
      <c r="MK37" s="205"/>
      <c r="ML37" s="205">
        <f t="shared" si="172"/>
        <v>0</v>
      </c>
      <c r="MM37" s="120"/>
      <c r="MN37" s="120"/>
      <c r="MO37" s="120"/>
      <c r="MP37" s="120"/>
      <c r="MQ37" s="120"/>
      <c r="MR37" s="205"/>
      <c r="MS37" s="205"/>
      <c r="MT37" s="205">
        <f t="shared" si="173"/>
        <v>0</v>
      </c>
      <c r="MU37" s="205">
        <f t="shared" si="174"/>
        <v>0</v>
      </c>
      <c r="MV37" s="120"/>
      <c r="MW37" s="120"/>
      <c r="MX37" s="120"/>
      <c r="MY37" s="120"/>
      <c r="MZ37" s="120"/>
      <c r="NA37" s="205"/>
      <c r="NB37" s="205"/>
      <c r="NC37" s="205">
        <f t="shared" si="175"/>
        <v>0</v>
      </c>
      <c r="ND37" s="120"/>
      <c r="NE37" s="120"/>
      <c r="NF37" s="120"/>
      <c r="NG37" s="120"/>
      <c r="NH37" s="120"/>
      <c r="NI37" s="205"/>
      <c r="NJ37" s="205"/>
      <c r="NK37" s="205">
        <f t="shared" si="176"/>
        <v>0</v>
      </c>
      <c r="NL37" s="120"/>
      <c r="NM37" s="120"/>
      <c r="NN37" s="120"/>
      <c r="NO37" s="120"/>
      <c r="NP37" s="120"/>
      <c r="NQ37" s="205"/>
      <c r="NR37" s="205"/>
      <c r="NS37" s="205">
        <f t="shared" si="177"/>
        <v>0</v>
      </c>
      <c r="NT37" s="120"/>
      <c r="NU37" s="120"/>
      <c r="NV37" s="120"/>
      <c r="NW37" s="120"/>
      <c r="NX37" s="120"/>
      <c r="NY37" s="205"/>
      <c r="NZ37" s="205"/>
      <c r="OA37" s="205">
        <f t="shared" si="178"/>
        <v>0</v>
      </c>
      <c r="OB37" s="205">
        <f t="shared" si="179"/>
        <v>0</v>
      </c>
      <c r="OC37" s="120"/>
      <c r="OD37" s="120"/>
      <c r="OE37" s="120"/>
      <c r="OF37" s="120"/>
      <c r="OG37" s="120"/>
      <c r="OH37" s="205"/>
      <c r="OI37" s="205"/>
      <c r="OJ37" s="205">
        <f t="shared" si="180"/>
        <v>0</v>
      </c>
      <c r="OK37" s="120"/>
      <c r="OL37" s="120"/>
      <c r="OM37" s="120"/>
      <c r="ON37" s="120"/>
      <c r="OO37" s="120"/>
      <c r="OP37" s="205"/>
      <c r="OQ37" s="205"/>
      <c r="OR37" s="205">
        <f t="shared" si="181"/>
        <v>0</v>
      </c>
      <c r="OS37" s="120"/>
      <c r="OT37" s="120"/>
      <c r="OU37" s="120"/>
      <c r="OV37" s="120"/>
      <c r="OW37" s="120"/>
      <c r="OX37" s="205"/>
      <c r="OY37" s="205"/>
      <c r="OZ37" s="205">
        <f t="shared" si="182"/>
        <v>0</v>
      </c>
      <c r="PA37" s="120"/>
      <c r="PB37" s="120"/>
      <c r="PC37" s="120"/>
      <c r="PD37" s="205"/>
      <c r="PE37" s="217"/>
      <c r="PF37" s="205"/>
      <c r="PG37" s="205"/>
      <c r="PH37" s="205">
        <f t="shared" si="183"/>
        <v>0</v>
      </c>
      <c r="PI37" s="120"/>
      <c r="PJ37" s="120"/>
      <c r="PK37" s="120"/>
      <c r="PL37" s="205"/>
      <c r="PM37" s="217"/>
      <c r="PN37" s="205"/>
      <c r="PO37" s="205"/>
      <c r="PP37" s="205">
        <f t="shared" si="184"/>
        <v>0</v>
      </c>
      <c r="PQ37" s="205">
        <f t="shared" si="185"/>
        <v>0</v>
      </c>
      <c r="PR37" s="207"/>
      <c r="PS37" s="207"/>
      <c r="PT37" s="207"/>
      <c r="PU37" s="207"/>
      <c r="PV37" s="207"/>
      <c r="PW37" s="272"/>
      <c r="PX37" s="272"/>
      <c r="PY37" s="205">
        <f t="shared" si="186"/>
        <v>0</v>
      </c>
      <c r="PZ37" s="207"/>
      <c r="QA37" s="207"/>
      <c r="QB37" s="207"/>
      <c r="QC37" s="207"/>
      <c r="QD37" s="207"/>
      <c r="QE37" s="272"/>
      <c r="QF37" s="272"/>
      <c r="QG37" s="205">
        <f t="shared" si="187"/>
        <v>0</v>
      </c>
      <c r="QH37" s="207"/>
      <c r="QI37" s="207"/>
      <c r="QJ37" s="294"/>
      <c r="QK37" s="207"/>
      <c r="QL37" s="207"/>
      <c r="QM37" s="272"/>
      <c r="QN37" s="272"/>
      <c r="QO37" s="205">
        <f t="shared" si="188"/>
        <v>0</v>
      </c>
      <c r="QP37" s="207"/>
      <c r="QQ37" s="207"/>
      <c r="QR37" s="207"/>
      <c r="QS37" s="207"/>
      <c r="QT37" s="207"/>
      <c r="QU37" s="272"/>
      <c r="QV37" s="272"/>
      <c r="QW37" s="205">
        <f t="shared" si="189"/>
        <v>0</v>
      </c>
      <c r="QX37" s="205">
        <f t="shared" si="190"/>
        <v>0</v>
      </c>
      <c r="QY37" s="207"/>
      <c r="QZ37" s="207"/>
      <c r="RA37" s="207"/>
      <c r="RB37" s="207"/>
      <c r="RC37" s="207"/>
      <c r="RD37" s="272"/>
      <c r="RE37" s="272"/>
      <c r="RF37" s="205">
        <f t="shared" si="191"/>
        <v>0</v>
      </c>
      <c r="RG37" s="207"/>
      <c r="RH37" s="207"/>
      <c r="RI37" s="207"/>
      <c r="RJ37" s="207"/>
      <c r="RK37" s="207"/>
      <c r="RL37" s="272"/>
      <c r="RM37" s="272"/>
      <c r="RN37" s="205">
        <f t="shared" si="192"/>
        <v>0</v>
      </c>
      <c r="RO37" s="272"/>
      <c r="RP37" s="272"/>
      <c r="RQ37" s="272"/>
      <c r="RR37" s="272"/>
      <c r="RS37" s="272"/>
      <c r="RT37" s="272"/>
      <c r="RU37" s="272"/>
      <c r="RV37" s="205">
        <f t="shared" si="193"/>
        <v>0</v>
      </c>
      <c r="RW37" s="207"/>
      <c r="RX37" s="207"/>
      <c r="RY37" s="207"/>
      <c r="RZ37" s="207"/>
      <c r="SA37" s="272"/>
      <c r="SB37" s="272"/>
      <c r="SC37" s="272"/>
      <c r="SD37" s="205">
        <f t="shared" si="194"/>
        <v>0</v>
      </c>
      <c r="SE37" s="205">
        <f t="shared" si="195"/>
        <v>0</v>
      </c>
      <c r="SF37" s="207"/>
      <c r="SG37" s="207"/>
      <c r="SH37" s="207"/>
      <c r="SI37" s="207"/>
      <c r="SJ37" s="207"/>
      <c r="SK37" s="272"/>
      <c r="SL37" s="272"/>
      <c r="SM37" s="205">
        <f t="shared" si="196"/>
        <v>0</v>
      </c>
      <c r="SN37" s="207"/>
      <c r="SO37" s="207"/>
      <c r="SP37" s="207"/>
      <c r="SQ37" s="207"/>
      <c r="SR37" s="207"/>
      <c r="SS37" s="272"/>
      <c r="ST37" s="272"/>
      <c r="SU37" s="205">
        <f t="shared" si="197"/>
        <v>0</v>
      </c>
      <c r="SV37" s="207"/>
      <c r="SW37" s="207"/>
      <c r="SX37" s="207"/>
      <c r="SY37" s="207"/>
      <c r="SZ37" s="207"/>
      <c r="TA37" s="272"/>
      <c r="TB37" s="272"/>
      <c r="TC37" s="205">
        <f t="shared" si="198"/>
        <v>0</v>
      </c>
      <c r="TD37" s="207"/>
      <c r="TE37" s="207"/>
      <c r="TF37" s="207"/>
      <c r="TG37" s="207"/>
      <c r="TH37" s="207"/>
      <c r="TI37" s="272"/>
      <c r="TJ37" s="272"/>
      <c r="TK37" s="205">
        <f t="shared" si="199"/>
        <v>0</v>
      </c>
      <c r="TL37" s="207"/>
      <c r="TM37" s="207"/>
      <c r="TN37" s="207"/>
      <c r="TO37" s="207"/>
      <c r="TP37" s="272"/>
      <c r="TQ37" s="272"/>
      <c r="TR37" s="272"/>
      <c r="TS37" s="205">
        <f t="shared" si="200"/>
        <v>0</v>
      </c>
      <c r="TT37" s="205">
        <f t="shared" si="201"/>
        <v>0</v>
      </c>
      <c r="TU37" s="272"/>
      <c r="TV37" s="207"/>
      <c r="TW37" s="207"/>
      <c r="TX37" s="207"/>
      <c r="TY37" s="207"/>
      <c r="TZ37" s="272"/>
      <c r="UA37" s="272"/>
      <c r="UB37" s="205">
        <f t="shared" si="202"/>
        <v>0</v>
      </c>
      <c r="UC37" s="207"/>
      <c r="UD37" s="207"/>
      <c r="UE37" s="207"/>
      <c r="UF37" s="207"/>
      <c r="UG37" s="207"/>
      <c r="UH37" s="272"/>
      <c r="UI37" s="272"/>
      <c r="UJ37" s="205">
        <f t="shared" si="203"/>
        <v>0</v>
      </c>
      <c r="UK37" s="207"/>
      <c r="UL37" s="207"/>
      <c r="UM37" s="207"/>
      <c r="UN37" s="207"/>
      <c r="UO37" s="207"/>
      <c r="UP37" s="272"/>
      <c r="UQ37" s="272"/>
      <c r="UR37" s="205">
        <f t="shared" si="227"/>
        <v>0</v>
      </c>
      <c r="US37" s="207"/>
      <c r="UT37" s="207"/>
      <c r="UU37" s="207"/>
      <c r="UV37" s="207"/>
      <c r="UW37" s="272"/>
      <c r="UX37" s="272"/>
      <c r="UY37" s="272"/>
      <c r="UZ37" s="205">
        <f t="shared" si="204"/>
        <v>0</v>
      </c>
      <c r="VA37" s="205">
        <f t="shared" si="205"/>
        <v>0</v>
      </c>
      <c r="VB37" s="207"/>
      <c r="VC37" s="207"/>
      <c r="VD37" s="207"/>
      <c r="VE37" s="207"/>
      <c r="VF37" s="207"/>
      <c r="VG37" s="272"/>
      <c r="VH37" s="272"/>
      <c r="VI37" s="205">
        <f t="shared" si="206"/>
        <v>0</v>
      </c>
      <c r="VJ37" s="207"/>
      <c r="VK37" s="207"/>
      <c r="VL37" s="207"/>
      <c r="VM37" s="207"/>
      <c r="VN37" s="207"/>
      <c r="VO37" s="272"/>
      <c r="VP37" s="272"/>
      <c r="VQ37" s="205">
        <f t="shared" si="207"/>
        <v>0</v>
      </c>
      <c r="VR37" s="207"/>
      <c r="VS37" s="207"/>
      <c r="VT37" s="207"/>
      <c r="VU37" s="207"/>
      <c r="VV37" s="207"/>
      <c r="VW37" s="272"/>
      <c r="VX37" s="272"/>
      <c r="VY37" s="205">
        <f t="shared" si="208"/>
        <v>0</v>
      </c>
      <c r="VZ37" s="207"/>
      <c r="WA37" s="207"/>
      <c r="WB37" s="207"/>
      <c r="WC37" s="207"/>
      <c r="WD37" s="207"/>
      <c r="WE37" s="272"/>
      <c r="WF37" s="272"/>
      <c r="WG37" s="205">
        <f t="shared" si="209"/>
        <v>0</v>
      </c>
      <c r="WH37" s="205">
        <f t="shared" si="210"/>
        <v>0</v>
      </c>
      <c r="WI37" s="207"/>
      <c r="WJ37" s="207"/>
      <c r="WK37" s="207"/>
      <c r="WL37" s="207"/>
      <c r="WM37" s="207"/>
      <c r="WN37" s="272"/>
      <c r="WO37" s="272"/>
      <c r="WP37" s="205">
        <f t="shared" si="211"/>
        <v>0</v>
      </c>
      <c r="WQ37" s="207"/>
      <c r="WR37" s="207"/>
      <c r="WS37" s="207"/>
      <c r="WT37" s="207"/>
      <c r="WU37" s="207"/>
      <c r="WV37" s="272"/>
      <c r="WW37" s="272"/>
      <c r="WX37" s="205">
        <f t="shared" si="212"/>
        <v>0</v>
      </c>
      <c r="WY37" s="207"/>
      <c r="WZ37" s="207"/>
      <c r="XA37" s="207"/>
      <c r="XB37" s="207"/>
      <c r="XC37" s="272"/>
      <c r="XD37" s="272"/>
      <c r="XE37" s="272"/>
      <c r="XF37" s="205">
        <f t="shared" si="213"/>
        <v>0</v>
      </c>
      <c r="XG37" s="207"/>
      <c r="XH37" s="207"/>
      <c r="XI37" s="207"/>
      <c r="XJ37" s="207"/>
      <c r="XK37" s="207"/>
      <c r="XL37" s="272"/>
      <c r="XM37" s="272"/>
      <c r="XN37" s="205">
        <f t="shared" si="214"/>
        <v>0</v>
      </c>
      <c r="XO37" s="207"/>
      <c r="XP37" s="207"/>
      <c r="XQ37" s="207"/>
      <c r="XR37" s="207"/>
      <c r="XS37" s="207"/>
      <c r="XT37" s="272"/>
      <c r="XU37" s="272"/>
      <c r="XV37" s="205">
        <f t="shared" si="215"/>
        <v>0</v>
      </c>
      <c r="XW37" s="205">
        <f t="shared" si="216"/>
        <v>0</v>
      </c>
      <c r="XX37" s="207"/>
      <c r="XY37" s="207"/>
      <c r="XZ37" s="207"/>
      <c r="YA37" s="207"/>
      <c r="YB37" s="207"/>
      <c r="YC37" s="272"/>
      <c r="YD37" s="272"/>
      <c r="YE37" s="205">
        <f t="shared" si="217"/>
        <v>0</v>
      </c>
      <c r="YF37" s="207"/>
      <c r="YG37" s="207"/>
      <c r="YH37" s="207"/>
      <c r="YI37" s="207"/>
      <c r="YJ37" s="207"/>
      <c r="YK37" s="272"/>
      <c r="YL37" s="272"/>
      <c r="YM37" s="205">
        <f t="shared" si="218"/>
        <v>0</v>
      </c>
      <c r="YN37" s="207"/>
      <c r="YO37" s="207"/>
      <c r="YP37" s="207"/>
      <c r="YQ37" s="207"/>
      <c r="YR37" s="207"/>
      <c r="YS37" s="272"/>
      <c r="YT37" s="272"/>
      <c r="YU37" s="205">
        <f t="shared" si="148"/>
        <v>0</v>
      </c>
      <c r="YV37" s="207"/>
      <c r="YW37" s="207"/>
      <c r="YX37" s="207"/>
      <c r="YY37" s="207"/>
      <c r="YZ37" s="207"/>
      <c r="ZA37" s="272"/>
      <c r="ZB37" s="272"/>
      <c r="ZC37" s="205">
        <f t="shared" si="219"/>
        <v>0</v>
      </c>
      <c r="ZD37" s="205">
        <f t="shared" si="149"/>
        <v>0</v>
      </c>
      <c r="ZE37" s="207"/>
      <c r="ZF37" s="207"/>
      <c r="ZG37" s="207"/>
      <c r="ZH37" s="207"/>
      <c r="ZI37" s="207"/>
      <c r="ZJ37" s="272"/>
      <c r="ZK37" s="272"/>
      <c r="ZL37" s="205">
        <f t="shared" si="220"/>
        <v>0</v>
      </c>
      <c r="ZM37" s="207"/>
      <c r="ZN37" s="207"/>
      <c r="ZO37" s="207"/>
      <c r="ZP37" s="207"/>
      <c r="ZQ37" s="207"/>
      <c r="ZR37" s="272"/>
      <c r="ZS37" s="272"/>
      <c r="ZT37" s="205">
        <f t="shared" si="221"/>
        <v>0</v>
      </c>
      <c r="ZU37" s="207"/>
      <c r="ZV37" s="207"/>
      <c r="ZW37" s="207"/>
      <c r="ZX37" s="207"/>
      <c r="ZY37" s="207"/>
      <c r="ZZ37" s="272"/>
      <c r="AAA37" s="272"/>
      <c r="AAB37" s="205">
        <f t="shared" si="222"/>
        <v>0</v>
      </c>
      <c r="AAC37" s="207"/>
      <c r="AAD37" s="207"/>
      <c r="AAE37" s="207"/>
      <c r="AAF37" s="207"/>
      <c r="AAG37" s="207"/>
      <c r="AAH37" s="272"/>
      <c r="AAI37" s="272"/>
      <c r="AAJ37" s="205">
        <f t="shared" si="223"/>
        <v>0</v>
      </c>
      <c r="AAK37" s="207"/>
      <c r="AAL37" s="207"/>
      <c r="AAM37" s="207"/>
      <c r="AAN37" s="207"/>
      <c r="AAO37" s="207"/>
      <c r="AAP37" s="272"/>
      <c r="AAQ37" s="272"/>
      <c r="AAR37" s="205">
        <f t="shared" si="224"/>
        <v>0</v>
      </c>
      <c r="AAS37" s="205">
        <f t="shared" si="225"/>
        <v>0</v>
      </c>
    </row>
    <row r="38" spans="1:721" ht="69.95" customHeight="1">
      <c r="B38" s="155" t="s">
        <v>803</v>
      </c>
      <c r="C38" s="327" t="s">
        <v>805</v>
      </c>
      <c r="D38" s="228" t="s">
        <v>804</v>
      </c>
      <c r="E38" s="130" t="s">
        <v>4</v>
      </c>
      <c r="F38" s="120"/>
      <c r="G38" s="120"/>
      <c r="H38" s="120"/>
      <c r="I38" s="120"/>
      <c r="J38" s="120"/>
      <c r="K38" s="209"/>
      <c r="L38" s="205"/>
      <c r="M38" s="205"/>
      <c r="N38" s="120"/>
      <c r="O38" s="120"/>
      <c r="P38" s="120"/>
      <c r="Q38" s="120"/>
      <c r="R38" s="120"/>
      <c r="S38" s="209"/>
      <c r="T38" s="205"/>
      <c r="U38" s="205"/>
      <c r="V38" s="120"/>
      <c r="W38" s="120"/>
      <c r="X38" s="120"/>
      <c r="Y38" s="120"/>
      <c r="Z38" s="120"/>
      <c r="AA38" s="209"/>
      <c r="AB38" s="205"/>
      <c r="AC38" s="205"/>
      <c r="AD38" s="205"/>
      <c r="AE38" s="205"/>
      <c r="AF38" s="205"/>
      <c r="AG38" s="205"/>
      <c r="AH38" s="205"/>
      <c r="AI38" s="209"/>
      <c r="AJ38" s="205"/>
      <c r="AK38" s="205"/>
      <c r="AL38" s="205"/>
      <c r="AM38" s="120"/>
      <c r="AN38" s="120"/>
      <c r="AO38" s="120"/>
      <c r="AP38" s="120"/>
      <c r="AQ38" s="120"/>
      <c r="AR38" s="209"/>
      <c r="AS38" s="205"/>
      <c r="AT38" s="205"/>
      <c r="AU38" s="120"/>
      <c r="AV38" s="120"/>
      <c r="AW38" s="120"/>
      <c r="AX38" s="120"/>
      <c r="AY38" s="120"/>
      <c r="AZ38" s="209"/>
      <c r="BA38" s="205"/>
      <c r="BB38" s="205"/>
      <c r="BC38" s="120"/>
      <c r="BD38" s="120"/>
      <c r="BE38" s="120"/>
      <c r="BF38" s="120"/>
      <c r="BG38" s="120"/>
      <c r="BH38" s="209"/>
      <c r="BI38" s="205"/>
      <c r="BJ38" s="205"/>
      <c r="BK38" s="120"/>
      <c r="BL38" s="120"/>
      <c r="BM38" s="120"/>
      <c r="BN38" s="120"/>
      <c r="BO38" s="205"/>
      <c r="BP38" s="209"/>
      <c r="BQ38" s="205"/>
      <c r="BR38" s="205"/>
      <c r="BS38" s="205"/>
      <c r="BT38" s="120"/>
      <c r="BU38" s="120"/>
      <c r="BV38" s="120"/>
      <c r="BW38" s="120"/>
      <c r="BX38" s="120"/>
      <c r="BY38" s="209"/>
      <c r="BZ38" s="205"/>
      <c r="CA38" s="205"/>
      <c r="CB38" s="120"/>
      <c r="CC38" s="120"/>
      <c r="CD38" s="120"/>
      <c r="CE38" s="120"/>
      <c r="CF38" s="120"/>
      <c r="CG38" s="209"/>
      <c r="CH38" s="205"/>
      <c r="CI38" s="205"/>
      <c r="CJ38" s="120"/>
      <c r="CK38" s="120"/>
      <c r="CL38" s="120"/>
      <c r="CM38" s="120"/>
      <c r="CN38" s="120"/>
      <c r="CO38" s="209"/>
      <c r="CP38" s="205"/>
      <c r="CQ38" s="205"/>
      <c r="CR38" s="120"/>
      <c r="CS38" s="120"/>
      <c r="CT38" s="120"/>
      <c r="CU38" s="120"/>
      <c r="CV38" s="120"/>
      <c r="CW38" s="209"/>
      <c r="CX38" s="205"/>
      <c r="CY38" s="205"/>
      <c r="CZ38" s="120"/>
      <c r="DA38" s="120"/>
      <c r="DB38" s="120"/>
      <c r="DC38" s="205"/>
      <c r="DD38" s="205"/>
      <c r="DE38" s="209"/>
      <c r="DF38" s="205"/>
      <c r="DG38" s="205"/>
      <c r="DH38" s="205"/>
      <c r="DI38" s="120"/>
      <c r="DJ38" s="120"/>
      <c r="DK38" s="120"/>
      <c r="DL38" s="120"/>
      <c r="DM38" s="120"/>
      <c r="DN38" s="209"/>
      <c r="DO38" s="205"/>
      <c r="DP38" s="205"/>
      <c r="DQ38" s="120"/>
      <c r="DR38" s="120"/>
      <c r="DS38" s="120"/>
      <c r="DT38" s="120"/>
      <c r="DU38" s="120"/>
      <c r="DV38" s="209"/>
      <c r="DW38" s="205"/>
      <c r="DX38" s="205"/>
      <c r="DY38" s="120"/>
      <c r="DZ38" s="120"/>
      <c r="EA38" s="120"/>
      <c r="EB38" s="120"/>
      <c r="EC38" s="120"/>
      <c r="ED38" s="209"/>
      <c r="EE38" s="205"/>
      <c r="EF38" s="205"/>
      <c r="EG38" s="120"/>
      <c r="EH38" s="120"/>
      <c r="EI38" s="120"/>
      <c r="EJ38" s="205"/>
      <c r="EK38" s="205"/>
      <c r="EL38" s="209"/>
      <c r="EM38" s="205"/>
      <c r="EN38" s="205"/>
      <c r="EO38" s="205"/>
      <c r="EP38" s="120"/>
      <c r="EQ38" s="120"/>
      <c r="ER38" s="120"/>
      <c r="ES38" s="120"/>
      <c r="ET38" s="120"/>
      <c r="EU38" s="209"/>
      <c r="EV38" s="205"/>
      <c r="EW38" s="205"/>
      <c r="EX38" s="120"/>
      <c r="EY38" s="120"/>
      <c r="EZ38" s="120"/>
      <c r="FA38" s="120"/>
      <c r="FB38" s="120"/>
      <c r="FC38" s="209"/>
      <c r="FD38" s="205"/>
      <c r="FE38" s="205"/>
      <c r="FF38" s="120"/>
      <c r="FG38" s="120"/>
      <c r="FH38" s="120"/>
      <c r="FI38" s="120"/>
      <c r="FJ38" s="120"/>
      <c r="FK38" s="209"/>
      <c r="FL38" s="205"/>
      <c r="FM38" s="205"/>
      <c r="FN38" s="120"/>
      <c r="FO38" s="120"/>
      <c r="FP38" s="120"/>
      <c r="FQ38" s="120"/>
      <c r="FR38" s="205"/>
      <c r="FS38" s="209"/>
      <c r="FT38" s="205"/>
      <c r="FU38" s="205"/>
      <c r="FV38" s="205"/>
      <c r="FW38" s="120"/>
      <c r="FX38" s="120"/>
      <c r="FY38" s="120"/>
      <c r="FZ38" s="120"/>
      <c r="GA38" s="120"/>
      <c r="GB38" s="209"/>
      <c r="GC38" s="205"/>
      <c r="GD38" s="205"/>
      <c r="GE38" s="120"/>
      <c r="GF38" s="120"/>
      <c r="GG38" s="120"/>
      <c r="GH38" s="120"/>
      <c r="GI38" s="120"/>
      <c r="GJ38" s="209"/>
      <c r="GK38" s="205"/>
      <c r="GL38" s="205"/>
      <c r="GM38" s="120"/>
      <c r="GN38" s="120"/>
      <c r="GO38" s="120"/>
      <c r="GP38" s="120"/>
      <c r="GQ38" s="120"/>
      <c r="GR38" s="209"/>
      <c r="GS38" s="205"/>
      <c r="GT38" s="205"/>
      <c r="GU38" s="120"/>
      <c r="GV38" s="120"/>
      <c r="GW38" s="120"/>
      <c r="GX38" s="120"/>
      <c r="GY38" s="120"/>
      <c r="GZ38" s="209"/>
      <c r="HA38" s="205"/>
      <c r="HB38" s="205"/>
      <c r="HC38" s="120"/>
      <c r="HD38" s="120"/>
      <c r="HE38" s="120"/>
      <c r="HF38" s="120"/>
      <c r="HG38" s="120"/>
      <c r="HH38" s="209"/>
      <c r="HI38" s="205"/>
      <c r="HJ38" s="205"/>
      <c r="HK38" s="205"/>
      <c r="HL38" s="124"/>
      <c r="HM38" s="120"/>
      <c r="HN38" s="120"/>
      <c r="HO38" s="120"/>
      <c r="HP38" s="120"/>
      <c r="HQ38" s="205"/>
      <c r="HR38" s="205"/>
      <c r="HS38" s="205"/>
      <c r="HT38" s="120"/>
      <c r="HU38" s="120"/>
      <c r="HV38" s="120"/>
      <c r="HW38" s="120"/>
      <c r="HX38" s="120"/>
      <c r="HY38" s="205"/>
      <c r="HZ38" s="205"/>
      <c r="IA38" s="205"/>
      <c r="IB38" s="120"/>
      <c r="IC38" s="120"/>
      <c r="ID38" s="120"/>
      <c r="IE38" s="120"/>
      <c r="IF38" s="120"/>
      <c r="IG38" s="205"/>
      <c r="IH38" s="205"/>
      <c r="II38" s="205">
        <f t="shared" si="156"/>
        <v>0</v>
      </c>
      <c r="IJ38" s="120"/>
      <c r="IK38" s="120"/>
      <c r="IL38" s="120"/>
      <c r="IM38" s="120"/>
      <c r="IN38" s="120"/>
      <c r="IO38" s="205"/>
      <c r="IP38" s="205"/>
      <c r="IQ38" s="205">
        <f t="shared" ref="IQ38" si="229">SUM(IJ38:IP38)</f>
        <v>0</v>
      </c>
      <c r="IR38" s="205">
        <f t="shared" ref="IR38" si="230">SUM(IJ38:IM38,II38,IA38,HS38,HD38:HG38,HH38:HI38)</f>
        <v>0</v>
      </c>
      <c r="IS38" s="120"/>
      <c r="IT38" s="120"/>
      <c r="IU38" s="120"/>
      <c r="IV38" s="120"/>
      <c r="IW38" s="120"/>
      <c r="IX38" s="205"/>
      <c r="IY38" s="205"/>
      <c r="IZ38" s="205">
        <f t="shared" si="159"/>
        <v>0</v>
      </c>
      <c r="JA38" s="120"/>
      <c r="JB38" s="120"/>
      <c r="JC38" s="120"/>
      <c r="JD38" s="120"/>
      <c r="JE38" s="120"/>
      <c r="JF38" s="205"/>
      <c r="JG38" s="205"/>
      <c r="JH38" s="205">
        <f t="shared" si="160"/>
        <v>0</v>
      </c>
      <c r="JI38" s="120"/>
      <c r="JJ38" s="120"/>
      <c r="JK38" s="120"/>
      <c r="JL38" s="120"/>
      <c r="JM38" s="120"/>
      <c r="JN38" s="205"/>
      <c r="JO38" s="205"/>
      <c r="JP38" s="205">
        <f t="shared" si="161"/>
        <v>0</v>
      </c>
      <c r="JQ38" s="120"/>
      <c r="JR38" s="120"/>
      <c r="JS38" s="120"/>
      <c r="JT38" s="120"/>
      <c r="JU38" s="120"/>
      <c r="JV38" s="205"/>
      <c r="JW38" s="205"/>
      <c r="JX38" s="205">
        <f t="shared" ref="JX38" si="231">SUM(JQ38:JW38)</f>
        <v>0</v>
      </c>
      <c r="JY38" s="205">
        <f t="shared" si="163"/>
        <v>0</v>
      </c>
      <c r="JZ38" s="120"/>
      <c r="KA38" s="120"/>
      <c r="KB38" s="120"/>
      <c r="KC38" s="120"/>
      <c r="KD38" s="120"/>
      <c r="KE38" s="205"/>
      <c r="KF38" s="205"/>
      <c r="KG38" s="205">
        <f t="shared" si="164"/>
        <v>0</v>
      </c>
      <c r="KH38" s="120"/>
      <c r="KI38" s="120"/>
      <c r="KJ38" s="120"/>
      <c r="KK38" s="120"/>
      <c r="KL38" s="206">
        <v>700</v>
      </c>
      <c r="KM38" s="205"/>
      <c r="KN38" s="205"/>
      <c r="KO38" s="205">
        <f t="shared" si="165"/>
        <v>700</v>
      </c>
      <c r="KP38" s="120"/>
      <c r="KQ38" s="120"/>
      <c r="KR38" s="120"/>
      <c r="KS38" s="120"/>
      <c r="KT38" s="120"/>
      <c r="KU38" s="205"/>
      <c r="KV38" s="205"/>
      <c r="KW38" s="205">
        <f t="shared" si="166"/>
        <v>0</v>
      </c>
      <c r="KX38" s="120"/>
      <c r="KY38" s="120"/>
      <c r="KZ38" s="120"/>
      <c r="LA38" s="120"/>
      <c r="LB38" s="120"/>
      <c r="LC38" s="205"/>
      <c r="LD38" s="205"/>
      <c r="LE38" s="205">
        <f t="shared" si="167"/>
        <v>0</v>
      </c>
      <c r="LF38" s="205"/>
      <c r="LG38" s="120"/>
      <c r="LH38" s="120"/>
      <c r="LI38" s="120"/>
      <c r="LJ38" s="120"/>
      <c r="LK38" s="205"/>
      <c r="LL38" s="205"/>
      <c r="LM38" s="205">
        <f t="shared" ref="LM38" si="232">SUM(LF38:LL38)</f>
        <v>0</v>
      </c>
      <c r="LN38" s="205">
        <f t="shared" ref="LN38" si="233">SUM(LF38:LG38,LE38,KW38,KO38,KG38)</f>
        <v>700</v>
      </c>
      <c r="LO38" s="205"/>
      <c r="LP38" s="120"/>
      <c r="LQ38" s="120"/>
      <c r="LR38" s="120"/>
      <c r="LS38" s="205"/>
      <c r="LT38" s="205"/>
      <c r="LU38" s="205"/>
      <c r="LV38" s="205">
        <f t="shared" si="170"/>
        <v>0</v>
      </c>
      <c r="LW38" s="120"/>
      <c r="LX38" s="120"/>
      <c r="LY38" s="120"/>
      <c r="LZ38" s="120"/>
      <c r="MA38" s="120"/>
      <c r="MB38" s="205"/>
      <c r="MC38" s="205"/>
      <c r="MD38" s="205">
        <f t="shared" si="171"/>
        <v>0</v>
      </c>
      <c r="ME38" s="120"/>
      <c r="MF38" s="120"/>
      <c r="MG38" s="120"/>
      <c r="MH38" s="120"/>
      <c r="MI38" s="205"/>
      <c r="MJ38" s="205"/>
      <c r="MK38" s="205"/>
      <c r="ML38" s="205">
        <f t="shared" si="172"/>
        <v>0</v>
      </c>
      <c r="MM38" s="120"/>
      <c r="MN38" s="120"/>
      <c r="MO38" s="120"/>
      <c r="MP38" s="120"/>
      <c r="MQ38" s="120"/>
      <c r="MR38" s="205"/>
      <c r="MS38" s="205"/>
      <c r="MT38" s="205">
        <f t="shared" ref="MT38" si="234">SUM(MM38:MS38)</f>
        <v>0</v>
      </c>
      <c r="MU38" s="205">
        <f t="shared" ref="MU38" si="235">SUM(LH38:LL38,LV38,MD38,ML38,MM38:MQ38)</f>
        <v>0</v>
      </c>
      <c r="MV38" s="120"/>
      <c r="MW38" s="120"/>
      <c r="MX38" s="120"/>
      <c r="MY38" s="120"/>
      <c r="MZ38" s="120"/>
      <c r="NA38" s="205"/>
      <c r="NB38" s="205"/>
      <c r="NC38" s="205">
        <f t="shared" si="175"/>
        <v>0</v>
      </c>
      <c r="ND38" s="120"/>
      <c r="NE38" s="120"/>
      <c r="NF38" s="120"/>
      <c r="NG38" s="120"/>
      <c r="NH38" s="120"/>
      <c r="NI38" s="205"/>
      <c r="NJ38" s="205"/>
      <c r="NK38" s="205">
        <f t="shared" si="176"/>
        <v>0</v>
      </c>
      <c r="NL38" s="120"/>
      <c r="NM38" s="120"/>
      <c r="NN38" s="120"/>
      <c r="NO38" s="120"/>
      <c r="NP38" s="120"/>
      <c r="NQ38" s="205"/>
      <c r="NR38" s="205"/>
      <c r="NS38" s="205">
        <f t="shared" si="177"/>
        <v>0</v>
      </c>
      <c r="NT38" s="120"/>
      <c r="NU38" s="120"/>
      <c r="NV38" s="120"/>
      <c r="NW38" s="120"/>
      <c r="NX38" s="120"/>
      <c r="NY38" s="205"/>
      <c r="NZ38" s="205"/>
      <c r="OA38" s="205">
        <f t="shared" ref="OA38" si="236">SUM(NT38:NZ38)</f>
        <v>0</v>
      </c>
      <c r="OB38" s="205">
        <f t="shared" ref="OB38" si="237">SUM(MR38:MS38,NC38,NK38,NS38,OA38)</f>
        <v>0</v>
      </c>
      <c r="OC38" s="120"/>
      <c r="OD38" s="120"/>
      <c r="OE38" s="120"/>
      <c r="OF38" s="120"/>
      <c r="OG38" s="120"/>
      <c r="OH38" s="205"/>
      <c r="OI38" s="205"/>
      <c r="OJ38" s="205"/>
      <c r="OK38" s="120"/>
      <c r="OL38" s="120"/>
      <c r="OM38" s="120"/>
      <c r="ON38" s="120"/>
      <c r="OO38" s="120"/>
      <c r="OP38" s="205"/>
      <c r="OQ38" s="205"/>
      <c r="OR38" s="205">
        <f t="shared" si="181"/>
        <v>0</v>
      </c>
      <c r="OS38" s="120"/>
      <c r="OT38" s="120"/>
      <c r="OU38" s="120"/>
      <c r="OV38" s="120"/>
      <c r="OW38" s="120"/>
      <c r="OX38" s="205"/>
      <c r="OY38" s="205"/>
      <c r="OZ38" s="205">
        <f t="shared" si="182"/>
        <v>0</v>
      </c>
      <c r="PA38" s="120"/>
      <c r="PB38" s="120"/>
      <c r="PC38" s="120"/>
      <c r="PD38" s="205"/>
      <c r="PE38" s="217"/>
      <c r="PF38" s="205"/>
      <c r="PG38" s="205"/>
      <c r="PH38" s="205">
        <f t="shared" si="183"/>
        <v>0</v>
      </c>
      <c r="PI38" s="120"/>
      <c r="PJ38" s="120"/>
      <c r="PK38" s="120"/>
      <c r="PL38" s="205"/>
      <c r="PM38" s="217"/>
      <c r="PN38" s="205"/>
      <c r="PO38" s="205"/>
      <c r="PP38" s="205">
        <f t="shared" ref="PP38" si="238">SUM(PI38:PO38)</f>
        <v>0</v>
      </c>
      <c r="PQ38" s="205">
        <f t="shared" ref="PQ38" si="239">SUM(OJ38,OR38,OZ38,PH38,PI38:PK38)</f>
        <v>0</v>
      </c>
      <c r="PR38" s="207"/>
      <c r="PS38" s="207"/>
      <c r="PT38" s="207"/>
      <c r="PU38" s="207"/>
      <c r="PV38" s="207"/>
      <c r="PW38" s="272"/>
      <c r="PX38" s="272"/>
      <c r="PY38" s="205">
        <f t="shared" si="186"/>
        <v>0</v>
      </c>
      <c r="PZ38" s="207"/>
      <c r="QA38" s="207"/>
      <c r="QB38" s="207"/>
      <c r="QC38" s="207"/>
      <c r="QD38" s="207"/>
      <c r="QE38" s="272"/>
      <c r="QF38" s="272"/>
      <c r="QG38" s="205">
        <f t="shared" si="187"/>
        <v>0</v>
      </c>
      <c r="QH38" s="207"/>
      <c r="QI38" s="207"/>
      <c r="QJ38" s="294"/>
      <c r="QK38" s="207"/>
      <c r="QL38" s="207"/>
      <c r="QM38" s="272"/>
      <c r="QN38" s="272"/>
      <c r="QO38" s="205">
        <f t="shared" si="188"/>
        <v>0</v>
      </c>
      <c r="QP38" s="207"/>
      <c r="QQ38" s="207"/>
      <c r="QR38" s="207"/>
      <c r="QS38" s="207"/>
      <c r="QT38" s="207"/>
      <c r="QU38" s="272"/>
      <c r="QV38" s="272"/>
      <c r="QW38" s="205">
        <f t="shared" si="189"/>
        <v>0</v>
      </c>
      <c r="QX38" s="205">
        <f t="shared" si="190"/>
        <v>0</v>
      </c>
      <c r="QY38" s="207"/>
      <c r="QZ38" s="207"/>
      <c r="RA38" s="207"/>
      <c r="RB38" s="207"/>
      <c r="RC38" s="207"/>
      <c r="RD38" s="272"/>
      <c r="RE38" s="272"/>
      <c r="RF38" s="205">
        <f t="shared" si="191"/>
        <v>0</v>
      </c>
      <c r="RG38" s="207"/>
      <c r="RH38" s="207"/>
      <c r="RI38" s="207"/>
      <c r="RJ38" s="207"/>
      <c r="RK38" s="207"/>
      <c r="RL38" s="272"/>
      <c r="RM38" s="272"/>
      <c r="RN38" s="205">
        <f t="shared" si="192"/>
        <v>0</v>
      </c>
      <c r="RO38" s="272"/>
      <c r="RP38" s="272"/>
      <c r="RQ38" s="272"/>
      <c r="RR38" s="272"/>
      <c r="RS38" s="272"/>
      <c r="RT38" s="272"/>
      <c r="RU38" s="272"/>
      <c r="RV38" s="205">
        <f t="shared" si="193"/>
        <v>0</v>
      </c>
      <c r="RW38" s="207"/>
      <c r="RX38" s="207"/>
      <c r="RY38" s="207"/>
      <c r="RZ38" s="207"/>
      <c r="SA38" s="272"/>
      <c r="SB38" s="272"/>
      <c r="SC38" s="272"/>
      <c r="SD38" s="205">
        <f t="shared" si="194"/>
        <v>0</v>
      </c>
      <c r="SE38" s="205">
        <f t="shared" si="195"/>
        <v>0</v>
      </c>
      <c r="SF38" s="207"/>
      <c r="SG38" s="207"/>
      <c r="SH38" s="207"/>
      <c r="SI38" s="207"/>
      <c r="SJ38" s="207"/>
      <c r="SK38" s="272"/>
      <c r="SL38" s="272"/>
      <c r="SM38" s="205">
        <f t="shared" si="196"/>
        <v>0</v>
      </c>
      <c r="SN38" s="207"/>
      <c r="SO38" s="207"/>
      <c r="SP38" s="207"/>
      <c r="SQ38" s="207"/>
      <c r="SR38" s="207"/>
      <c r="SS38" s="272"/>
      <c r="ST38" s="272"/>
      <c r="SU38" s="205">
        <f t="shared" si="197"/>
        <v>0</v>
      </c>
      <c r="SV38" s="207"/>
      <c r="SW38" s="207"/>
      <c r="SX38" s="207"/>
      <c r="SY38" s="207"/>
      <c r="SZ38" s="207"/>
      <c r="TA38" s="272"/>
      <c r="TB38" s="272"/>
      <c r="TC38" s="205">
        <f t="shared" si="198"/>
        <v>0</v>
      </c>
      <c r="TD38" s="207"/>
      <c r="TE38" s="207"/>
      <c r="TF38" s="207"/>
      <c r="TG38" s="207"/>
      <c r="TH38" s="207"/>
      <c r="TI38" s="272"/>
      <c r="TJ38" s="272"/>
      <c r="TK38" s="205">
        <f t="shared" si="199"/>
        <v>0</v>
      </c>
      <c r="TL38" s="207"/>
      <c r="TM38" s="207"/>
      <c r="TN38" s="207"/>
      <c r="TO38" s="207"/>
      <c r="TP38" s="272"/>
      <c r="TQ38" s="272"/>
      <c r="TR38" s="272"/>
      <c r="TS38" s="205">
        <f t="shared" si="200"/>
        <v>0</v>
      </c>
      <c r="TT38" s="205">
        <f t="shared" si="201"/>
        <v>0</v>
      </c>
      <c r="TU38" s="272"/>
      <c r="TV38" s="207"/>
      <c r="TW38" s="207"/>
      <c r="TX38" s="207"/>
      <c r="TY38" s="207"/>
      <c r="TZ38" s="272"/>
      <c r="UA38" s="272"/>
      <c r="UB38" s="205">
        <f t="shared" si="202"/>
        <v>0</v>
      </c>
      <c r="UC38" s="207"/>
      <c r="UD38" s="207"/>
      <c r="UE38" s="207"/>
      <c r="UF38" s="207"/>
      <c r="UG38" s="207"/>
      <c r="UH38" s="272"/>
      <c r="UI38" s="272"/>
      <c r="UJ38" s="205">
        <f t="shared" si="203"/>
        <v>0</v>
      </c>
      <c r="UK38" s="207"/>
      <c r="UL38" s="207"/>
      <c r="UM38" s="207"/>
      <c r="UN38" s="207"/>
      <c r="UO38" s="207"/>
      <c r="UP38" s="272"/>
      <c r="UQ38" s="272"/>
      <c r="UR38" s="205">
        <f t="shared" si="227"/>
        <v>0</v>
      </c>
      <c r="US38" s="207"/>
      <c r="UT38" s="207"/>
      <c r="UU38" s="207"/>
      <c r="UV38" s="207"/>
      <c r="UW38" s="272"/>
      <c r="UX38" s="272"/>
      <c r="UY38" s="272"/>
      <c r="UZ38" s="205">
        <f t="shared" si="204"/>
        <v>0</v>
      </c>
      <c r="VA38" s="205">
        <f t="shared" si="205"/>
        <v>0</v>
      </c>
      <c r="VB38" s="207"/>
      <c r="VC38" s="207"/>
      <c r="VD38" s="207"/>
      <c r="VE38" s="207"/>
      <c r="VF38" s="207"/>
      <c r="VG38" s="272"/>
      <c r="VH38" s="272"/>
      <c r="VI38" s="205">
        <f t="shared" si="206"/>
        <v>0</v>
      </c>
      <c r="VJ38" s="207"/>
      <c r="VK38" s="207"/>
      <c r="VL38" s="207"/>
      <c r="VM38" s="207"/>
      <c r="VN38" s="207"/>
      <c r="VO38" s="272"/>
      <c r="VP38" s="272"/>
      <c r="VQ38" s="205">
        <f t="shared" si="207"/>
        <v>0</v>
      </c>
      <c r="VR38" s="207"/>
      <c r="VS38" s="207"/>
      <c r="VT38" s="207"/>
      <c r="VU38" s="207"/>
      <c r="VV38" s="207"/>
      <c r="VW38" s="272"/>
      <c r="VX38" s="272"/>
      <c r="VY38" s="205">
        <f t="shared" si="208"/>
        <v>0</v>
      </c>
      <c r="VZ38" s="207"/>
      <c r="WA38" s="207"/>
      <c r="WB38" s="207"/>
      <c r="WC38" s="207"/>
      <c r="WD38" s="207"/>
      <c r="WE38" s="272"/>
      <c r="WF38" s="272"/>
      <c r="WG38" s="205">
        <f t="shared" si="209"/>
        <v>0</v>
      </c>
      <c r="WH38" s="205">
        <f t="shared" si="210"/>
        <v>0</v>
      </c>
      <c r="WI38" s="207"/>
      <c r="WJ38" s="207"/>
      <c r="WK38" s="207"/>
      <c r="WL38" s="207"/>
      <c r="WM38" s="207"/>
      <c r="WN38" s="272"/>
      <c r="WO38" s="272"/>
      <c r="WP38" s="205">
        <f t="shared" si="211"/>
        <v>0</v>
      </c>
      <c r="WQ38" s="207"/>
      <c r="WR38" s="207"/>
      <c r="WS38" s="207"/>
      <c r="WT38" s="207"/>
      <c r="WU38" s="207"/>
      <c r="WV38" s="272"/>
      <c r="WW38" s="272"/>
      <c r="WX38" s="205">
        <f t="shared" si="212"/>
        <v>0</v>
      </c>
      <c r="WY38" s="207"/>
      <c r="WZ38" s="207"/>
      <c r="XA38" s="207"/>
      <c r="XB38" s="207"/>
      <c r="XC38" s="272"/>
      <c r="XD38" s="272"/>
      <c r="XE38" s="272"/>
      <c r="XF38" s="205">
        <f t="shared" si="213"/>
        <v>0</v>
      </c>
      <c r="XG38" s="207"/>
      <c r="XH38" s="207"/>
      <c r="XI38" s="207"/>
      <c r="XJ38" s="207"/>
      <c r="XK38" s="207"/>
      <c r="XL38" s="272"/>
      <c r="XM38" s="272"/>
      <c r="XN38" s="205">
        <f t="shared" si="214"/>
        <v>0</v>
      </c>
      <c r="XO38" s="207"/>
      <c r="XP38" s="207"/>
      <c r="XQ38" s="207"/>
      <c r="XR38" s="207"/>
      <c r="XS38" s="207"/>
      <c r="XT38" s="272"/>
      <c r="XU38" s="272"/>
      <c r="XV38" s="205">
        <f t="shared" si="215"/>
        <v>0</v>
      </c>
      <c r="XW38" s="205">
        <f t="shared" si="216"/>
        <v>0</v>
      </c>
      <c r="XX38" s="207"/>
      <c r="XY38" s="207"/>
      <c r="XZ38" s="207"/>
      <c r="YA38" s="207"/>
      <c r="YB38" s="207"/>
      <c r="YC38" s="272"/>
      <c r="YD38" s="272"/>
      <c r="YE38" s="205">
        <f t="shared" si="217"/>
        <v>0</v>
      </c>
      <c r="YF38" s="207"/>
      <c r="YG38" s="207"/>
      <c r="YH38" s="207"/>
      <c r="YI38" s="207"/>
      <c r="YJ38" s="207"/>
      <c r="YK38" s="272"/>
      <c r="YL38" s="272"/>
      <c r="YM38" s="205">
        <f t="shared" si="218"/>
        <v>0</v>
      </c>
      <c r="YN38" s="207"/>
      <c r="YO38" s="207"/>
      <c r="YP38" s="207"/>
      <c r="YQ38" s="207"/>
      <c r="YR38" s="207"/>
      <c r="YS38" s="272"/>
      <c r="YT38" s="272"/>
      <c r="YU38" s="205">
        <f t="shared" si="148"/>
        <v>0</v>
      </c>
      <c r="YV38" s="207"/>
      <c r="YW38" s="207"/>
      <c r="YX38" s="207"/>
      <c r="YY38" s="207"/>
      <c r="YZ38" s="207"/>
      <c r="ZA38" s="272"/>
      <c r="ZB38" s="272"/>
      <c r="ZC38" s="205">
        <f t="shared" si="219"/>
        <v>0</v>
      </c>
      <c r="ZD38" s="205">
        <f t="shared" si="149"/>
        <v>0</v>
      </c>
      <c r="ZE38" s="207"/>
      <c r="ZF38" s="207"/>
      <c r="ZG38" s="207"/>
      <c r="ZH38" s="207"/>
      <c r="ZI38" s="207"/>
      <c r="ZJ38" s="272"/>
      <c r="ZK38" s="272"/>
      <c r="ZL38" s="205">
        <f t="shared" si="220"/>
        <v>0</v>
      </c>
      <c r="ZM38" s="207"/>
      <c r="ZN38" s="207"/>
      <c r="ZO38" s="207"/>
      <c r="ZP38" s="207"/>
      <c r="ZQ38" s="207"/>
      <c r="ZR38" s="272"/>
      <c r="ZS38" s="272"/>
      <c r="ZT38" s="205">
        <f t="shared" si="221"/>
        <v>0</v>
      </c>
      <c r="ZU38" s="207"/>
      <c r="ZV38" s="207"/>
      <c r="ZW38" s="207"/>
      <c r="ZX38" s="207"/>
      <c r="ZY38" s="207"/>
      <c r="ZZ38" s="272"/>
      <c r="AAA38" s="272"/>
      <c r="AAB38" s="205">
        <f t="shared" si="222"/>
        <v>0</v>
      </c>
      <c r="AAC38" s="207"/>
      <c r="AAD38" s="207"/>
      <c r="AAE38" s="207"/>
      <c r="AAF38" s="207"/>
      <c r="AAG38" s="207"/>
      <c r="AAH38" s="272"/>
      <c r="AAI38" s="272"/>
      <c r="AAJ38" s="205">
        <f t="shared" si="223"/>
        <v>0</v>
      </c>
      <c r="AAK38" s="207"/>
      <c r="AAL38" s="207"/>
      <c r="AAM38" s="207"/>
      <c r="AAN38" s="207"/>
      <c r="AAO38" s="207"/>
      <c r="AAP38" s="272"/>
      <c r="AAQ38" s="272"/>
      <c r="AAR38" s="205">
        <f t="shared" si="224"/>
        <v>0</v>
      </c>
      <c r="AAS38" s="205">
        <f t="shared" si="225"/>
        <v>0</v>
      </c>
    </row>
    <row r="39" spans="1:721" ht="69.95" customHeight="1">
      <c r="A39" s="125" t="s">
        <v>953</v>
      </c>
      <c r="B39" s="155" t="s">
        <v>86</v>
      </c>
      <c r="C39" s="323" t="s">
        <v>951</v>
      </c>
      <c r="D39" s="159" t="s">
        <v>323</v>
      </c>
      <c r="E39" s="130" t="s">
        <v>4</v>
      </c>
      <c r="F39" s="120"/>
      <c r="G39" s="120"/>
      <c r="H39" s="120"/>
      <c r="I39" s="120"/>
      <c r="J39" s="120"/>
      <c r="K39" s="209"/>
      <c r="L39" s="205"/>
      <c r="M39" s="205">
        <f t="shared" si="121"/>
        <v>0</v>
      </c>
      <c r="N39" s="120"/>
      <c r="O39" s="120"/>
      <c r="P39" s="120"/>
      <c r="Q39" s="120"/>
      <c r="R39" s="120"/>
      <c r="S39" s="209"/>
      <c r="T39" s="205"/>
      <c r="U39" s="205">
        <f t="shared" si="122"/>
        <v>0</v>
      </c>
      <c r="V39" s="120"/>
      <c r="W39" s="120"/>
      <c r="X39" s="120"/>
      <c r="Y39" s="120"/>
      <c r="Z39" s="120"/>
      <c r="AA39" s="209"/>
      <c r="AB39" s="205"/>
      <c r="AC39" s="205">
        <f t="shared" si="123"/>
        <v>0</v>
      </c>
      <c r="AD39" s="205"/>
      <c r="AE39" s="205"/>
      <c r="AF39" s="205"/>
      <c r="AG39" s="205"/>
      <c r="AH39" s="205"/>
      <c r="AI39" s="209"/>
      <c r="AJ39" s="205"/>
      <c r="AK39" s="205">
        <f t="shared" si="124"/>
        <v>0</v>
      </c>
      <c r="AL39" s="205" t="e">
        <f>SUM(#REF!,M39,U39,AC39,AD39:AH39)</f>
        <v>#REF!</v>
      </c>
      <c r="AM39" s="120"/>
      <c r="AN39" s="120"/>
      <c r="AO39" s="120"/>
      <c r="AP39" s="120"/>
      <c r="AQ39" s="120"/>
      <c r="AR39" s="209"/>
      <c r="AS39" s="205"/>
      <c r="AT39" s="205">
        <f t="shared" si="125"/>
        <v>0</v>
      </c>
      <c r="AU39" s="120"/>
      <c r="AV39" s="120"/>
      <c r="AW39" s="120"/>
      <c r="AX39" s="120"/>
      <c r="AY39" s="120"/>
      <c r="AZ39" s="209"/>
      <c r="BA39" s="205"/>
      <c r="BB39" s="205">
        <f t="shared" si="126"/>
        <v>0</v>
      </c>
      <c r="BC39" s="120"/>
      <c r="BD39" s="120"/>
      <c r="BE39" s="120"/>
      <c r="BF39" s="120"/>
      <c r="BG39" s="120"/>
      <c r="BH39" s="209"/>
      <c r="BI39" s="205"/>
      <c r="BJ39" s="205">
        <f t="shared" si="127"/>
        <v>0</v>
      </c>
      <c r="BK39" s="120"/>
      <c r="BL39" s="120"/>
      <c r="BM39" s="120"/>
      <c r="BN39" s="120"/>
      <c r="BO39" s="205"/>
      <c r="BP39" s="209"/>
      <c r="BQ39" s="205"/>
      <c r="BR39" s="205">
        <f t="shared" si="128"/>
        <v>0</v>
      </c>
      <c r="BS39" s="205">
        <f t="shared" si="129"/>
        <v>0</v>
      </c>
      <c r="BT39" s="120"/>
      <c r="BU39" s="120"/>
      <c r="BV39" s="120"/>
      <c r="BW39" s="120"/>
      <c r="BX39" s="120"/>
      <c r="BY39" s="209"/>
      <c r="BZ39" s="205"/>
      <c r="CA39" s="205">
        <f t="shared" si="130"/>
        <v>0</v>
      </c>
      <c r="CB39" s="120"/>
      <c r="CC39" s="120"/>
      <c r="CD39" s="120"/>
      <c r="CE39" s="120"/>
      <c r="CF39" s="120"/>
      <c r="CG39" s="209"/>
      <c r="CH39" s="205"/>
      <c r="CI39" s="205">
        <f t="shared" si="131"/>
        <v>0</v>
      </c>
      <c r="CJ39" s="120"/>
      <c r="CK39" s="120"/>
      <c r="CL39" s="120"/>
      <c r="CM39" s="120"/>
      <c r="CN39" s="120"/>
      <c r="CO39" s="209"/>
      <c r="CP39" s="205"/>
      <c r="CQ39" s="205">
        <f t="shared" si="132"/>
        <v>0</v>
      </c>
      <c r="CR39" s="120"/>
      <c r="CS39" s="120"/>
      <c r="CT39" s="120"/>
      <c r="CU39" s="120"/>
      <c r="CV39" s="120"/>
      <c r="CW39" s="209"/>
      <c r="CX39" s="205"/>
      <c r="CY39" s="205">
        <f t="shared" si="133"/>
        <v>0</v>
      </c>
      <c r="CZ39" s="120"/>
      <c r="DA39" s="120"/>
      <c r="DB39" s="120"/>
      <c r="DC39" s="205"/>
      <c r="DD39" s="205"/>
      <c r="DE39" s="209"/>
      <c r="DF39" s="205"/>
      <c r="DG39" s="205">
        <f t="shared" si="134"/>
        <v>0</v>
      </c>
      <c r="DH39" s="205">
        <f t="shared" si="150"/>
        <v>0</v>
      </c>
      <c r="DI39" s="120"/>
      <c r="DJ39" s="120"/>
      <c r="DK39" s="120"/>
      <c r="DL39" s="120"/>
      <c r="DM39" s="120"/>
      <c r="DN39" s="209"/>
      <c r="DO39" s="205"/>
      <c r="DP39" s="205">
        <f t="shared" si="228"/>
        <v>0</v>
      </c>
      <c r="DQ39" s="120"/>
      <c r="DR39" s="120"/>
      <c r="DS39" s="120"/>
      <c r="DT39" s="120"/>
      <c r="DU39" s="120"/>
      <c r="DV39" s="209"/>
      <c r="DW39" s="205"/>
      <c r="DX39" s="205">
        <f t="shared" si="136"/>
        <v>0</v>
      </c>
      <c r="DY39" s="120"/>
      <c r="DZ39" s="120"/>
      <c r="EA39" s="120"/>
      <c r="EB39" s="120"/>
      <c r="EC39" s="120"/>
      <c r="ED39" s="209"/>
      <c r="EE39" s="205"/>
      <c r="EF39" s="205">
        <f t="shared" si="137"/>
        <v>0</v>
      </c>
      <c r="EG39" s="120"/>
      <c r="EH39" s="120"/>
      <c r="EI39" s="120"/>
      <c r="EJ39" s="205"/>
      <c r="EK39" s="205"/>
      <c r="EL39" s="209"/>
      <c r="EM39" s="205"/>
      <c r="EN39" s="205">
        <f t="shared" si="138"/>
        <v>0</v>
      </c>
      <c r="EO39" s="205">
        <f t="shared" si="151"/>
        <v>0</v>
      </c>
      <c r="EP39" s="120"/>
      <c r="EQ39" s="120"/>
      <c r="ER39" s="120"/>
      <c r="ES39" s="120"/>
      <c r="ET39" s="120"/>
      <c r="EU39" s="209"/>
      <c r="EV39" s="205"/>
      <c r="EW39" s="205">
        <f t="shared" si="139"/>
        <v>0</v>
      </c>
      <c r="EX39" s="120"/>
      <c r="EY39" s="120"/>
      <c r="EZ39" s="120"/>
      <c r="FA39" s="120"/>
      <c r="FB39" s="120"/>
      <c r="FC39" s="209"/>
      <c r="FD39" s="205"/>
      <c r="FE39" s="205">
        <f t="shared" si="140"/>
        <v>0</v>
      </c>
      <c r="FF39" s="120"/>
      <c r="FG39" s="120"/>
      <c r="FH39" s="120"/>
      <c r="FI39" s="120"/>
      <c r="FJ39" s="120"/>
      <c r="FK39" s="209"/>
      <c r="FL39" s="205"/>
      <c r="FM39" s="205">
        <f t="shared" si="141"/>
        <v>0</v>
      </c>
      <c r="FN39" s="120"/>
      <c r="FO39" s="120"/>
      <c r="FP39" s="120"/>
      <c r="FQ39" s="120"/>
      <c r="FR39" s="205"/>
      <c r="FS39" s="209"/>
      <c r="FT39" s="205"/>
      <c r="FU39" s="205">
        <f t="shared" si="142"/>
        <v>0</v>
      </c>
      <c r="FV39" s="205">
        <f t="shared" si="152"/>
        <v>0</v>
      </c>
      <c r="FW39" s="120"/>
      <c r="FX39" s="120"/>
      <c r="FY39" s="120"/>
      <c r="FZ39" s="120"/>
      <c r="GA39" s="120"/>
      <c r="GB39" s="209"/>
      <c r="GC39" s="205"/>
      <c r="GD39" s="205">
        <f t="shared" si="143"/>
        <v>0</v>
      </c>
      <c r="GE39" s="120"/>
      <c r="GF39" s="120"/>
      <c r="GG39" s="120"/>
      <c r="GH39" s="120"/>
      <c r="GI39" s="120"/>
      <c r="GJ39" s="209"/>
      <c r="GK39" s="205"/>
      <c r="GL39" s="205">
        <f t="shared" si="144"/>
        <v>0</v>
      </c>
      <c r="GM39" s="120"/>
      <c r="GN39" s="120"/>
      <c r="GO39" s="120"/>
      <c r="GP39" s="120"/>
      <c r="GQ39" s="120"/>
      <c r="GR39" s="209"/>
      <c r="GS39" s="205"/>
      <c r="GT39" s="205">
        <f t="shared" si="145"/>
        <v>0</v>
      </c>
      <c r="GU39" s="120"/>
      <c r="GV39" s="120"/>
      <c r="GW39" s="120"/>
      <c r="GX39" s="120"/>
      <c r="GY39" s="120"/>
      <c r="GZ39" s="209"/>
      <c r="HA39" s="205"/>
      <c r="HB39" s="205">
        <f t="shared" si="146"/>
        <v>0</v>
      </c>
      <c r="HC39" s="120"/>
      <c r="HD39" s="120"/>
      <c r="HE39" s="120"/>
      <c r="HF39" s="120"/>
      <c r="HG39" s="120"/>
      <c r="HH39" s="209"/>
      <c r="HI39" s="205"/>
      <c r="HJ39" s="205">
        <f t="shared" si="147"/>
        <v>0</v>
      </c>
      <c r="HK39" s="205">
        <f t="shared" si="153"/>
        <v>0</v>
      </c>
      <c r="HL39" s="124"/>
      <c r="HM39" s="120"/>
      <c r="HN39" s="120"/>
      <c r="HO39" s="120"/>
      <c r="HP39" s="120"/>
      <c r="HQ39" s="205"/>
      <c r="HR39" s="205"/>
      <c r="HS39" s="205">
        <f t="shared" si="154"/>
        <v>0</v>
      </c>
      <c r="HT39" s="120"/>
      <c r="HU39" s="120"/>
      <c r="HV39" s="120"/>
      <c r="HW39" s="120"/>
      <c r="HX39" s="120"/>
      <c r="HY39" s="205"/>
      <c r="HZ39" s="205"/>
      <c r="IA39" s="205">
        <f t="shared" si="155"/>
        <v>0</v>
      </c>
      <c r="IB39" s="120"/>
      <c r="IC39" s="120"/>
      <c r="ID39" s="120"/>
      <c r="IE39" s="120"/>
      <c r="IF39" s="120"/>
      <c r="IG39" s="205"/>
      <c r="IH39" s="205"/>
      <c r="II39" s="205">
        <f t="shared" si="156"/>
        <v>0</v>
      </c>
      <c r="IJ39" s="120"/>
      <c r="IK39" s="120"/>
      <c r="IL39" s="120"/>
      <c r="IM39" s="120"/>
      <c r="IN39" s="120"/>
      <c r="IO39" s="205"/>
      <c r="IP39" s="205"/>
      <c r="IQ39" s="205">
        <f t="shared" si="157"/>
        <v>0</v>
      </c>
      <c r="IR39" s="205">
        <f t="shared" si="158"/>
        <v>0</v>
      </c>
      <c r="IS39" s="120"/>
      <c r="IT39" s="120"/>
      <c r="IU39" s="120"/>
      <c r="IV39" s="120"/>
      <c r="IW39" s="120"/>
      <c r="IX39" s="205"/>
      <c r="IY39" s="205"/>
      <c r="IZ39" s="205">
        <f t="shared" si="159"/>
        <v>0</v>
      </c>
      <c r="JA39" s="120"/>
      <c r="JB39" s="120"/>
      <c r="JC39" s="120"/>
      <c r="JD39" s="120"/>
      <c r="JE39" s="120"/>
      <c r="JF39" s="205"/>
      <c r="JG39" s="205"/>
      <c r="JH39" s="205">
        <f t="shared" si="160"/>
        <v>0</v>
      </c>
      <c r="JI39" s="120"/>
      <c r="JJ39" s="120"/>
      <c r="JK39" s="120"/>
      <c r="JL39" s="120"/>
      <c r="JM39" s="120"/>
      <c r="JN39" s="205"/>
      <c r="JO39" s="205"/>
      <c r="JP39" s="205">
        <f t="shared" si="161"/>
        <v>0</v>
      </c>
      <c r="JQ39" s="120"/>
      <c r="JR39" s="120"/>
      <c r="JS39" s="120"/>
      <c r="JT39" s="120"/>
      <c r="JU39" s="120"/>
      <c r="JV39" s="205"/>
      <c r="JW39" s="205"/>
      <c r="JX39" s="205">
        <f t="shared" si="162"/>
        <v>0</v>
      </c>
      <c r="JY39" s="205">
        <f t="shared" si="163"/>
        <v>0</v>
      </c>
      <c r="JZ39" s="120"/>
      <c r="KA39" s="120"/>
      <c r="KB39" s="120"/>
      <c r="KC39" s="120"/>
      <c r="KD39" s="120"/>
      <c r="KE39" s="205"/>
      <c r="KF39" s="205"/>
      <c r="KG39" s="205">
        <f t="shared" si="164"/>
        <v>0</v>
      </c>
      <c r="KH39" s="120"/>
      <c r="KI39" s="120"/>
      <c r="KJ39" s="120"/>
      <c r="KK39" s="120"/>
      <c r="KL39" s="120"/>
      <c r="KM39" s="205"/>
      <c r="KN39" s="205"/>
      <c r="KO39" s="205">
        <f t="shared" si="165"/>
        <v>0</v>
      </c>
      <c r="KP39" s="120"/>
      <c r="KQ39" s="120"/>
      <c r="KR39" s="120"/>
      <c r="KS39" s="120"/>
      <c r="KT39" s="120"/>
      <c r="KU39" s="205"/>
      <c r="KV39" s="205"/>
      <c r="KW39" s="205">
        <f t="shared" si="166"/>
        <v>0</v>
      </c>
      <c r="KX39" s="120"/>
      <c r="KY39" s="120"/>
      <c r="KZ39" s="120"/>
      <c r="LA39" s="120"/>
      <c r="LB39" s="120"/>
      <c r="LC39" s="205"/>
      <c r="LD39" s="205"/>
      <c r="LE39" s="205">
        <f t="shared" si="167"/>
        <v>0</v>
      </c>
      <c r="LF39" s="205"/>
      <c r="LG39" s="120"/>
      <c r="LH39" s="120"/>
      <c r="LI39" s="120"/>
      <c r="LJ39" s="120"/>
      <c r="LK39" s="205"/>
      <c r="LL39" s="205"/>
      <c r="LM39" s="205">
        <f t="shared" si="168"/>
        <v>0</v>
      </c>
      <c r="LN39" s="205">
        <f t="shared" si="169"/>
        <v>0</v>
      </c>
      <c r="LO39" s="205"/>
      <c r="LP39" s="120"/>
      <c r="LQ39" s="120"/>
      <c r="LR39" s="120"/>
      <c r="LS39" s="205"/>
      <c r="LT39" s="205"/>
      <c r="LU39" s="205"/>
      <c r="LV39" s="205">
        <f t="shared" si="170"/>
        <v>0</v>
      </c>
      <c r="LW39" s="120"/>
      <c r="LX39" s="120"/>
      <c r="LY39" s="120"/>
      <c r="LZ39" s="120"/>
      <c r="MA39" s="120"/>
      <c r="MB39" s="205"/>
      <c r="MC39" s="205"/>
      <c r="MD39" s="205">
        <f t="shared" si="171"/>
        <v>0</v>
      </c>
      <c r="ME39" s="120"/>
      <c r="MF39" s="120"/>
      <c r="MG39" s="120"/>
      <c r="MH39" s="120"/>
      <c r="MI39" s="205"/>
      <c r="MJ39" s="205"/>
      <c r="MK39" s="205"/>
      <c r="ML39" s="205">
        <f t="shared" si="172"/>
        <v>0</v>
      </c>
      <c r="MM39" s="120"/>
      <c r="MN39" s="120"/>
      <c r="MO39" s="120"/>
      <c r="MP39" s="120"/>
      <c r="MQ39" s="120"/>
      <c r="MR39" s="205"/>
      <c r="MS39" s="205"/>
      <c r="MT39" s="205">
        <f t="shared" si="173"/>
        <v>0</v>
      </c>
      <c r="MU39" s="205">
        <f t="shared" si="174"/>
        <v>0</v>
      </c>
      <c r="MV39" s="120"/>
      <c r="MW39" s="120"/>
      <c r="MX39" s="120"/>
      <c r="MY39" s="120"/>
      <c r="MZ39" s="120"/>
      <c r="NA39" s="205"/>
      <c r="NB39" s="205"/>
      <c r="NC39" s="205">
        <f t="shared" si="175"/>
        <v>0</v>
      </c>
      <c r="ND39" s="120"/>
      <c r="NE39" s="120"/>
      <c r="NF39" s="120"/>
      <c r="NG39" s="120"/>
      <c r="NH39" s="120"/>
      <c r="NI39" s="205"/>
      <c r="NJ39" s="205"/>
      <c r="NK39" s="205">
        <f t="shared" si="176"/>
        <v>0</v>
      </c>
      <c r="NL39" s="120"/>
      <c r="NM39" s="120"/>
      <c r="NN39" s="120"/>
      <c r="NO39" s="120"/>
      <c r="NP39" s="120"/>
      <c r="NQ39" s="205"/>
      <c r="NR39" s="205"/>
      <c r="NS39" s="205">
        <f t="shared" si="177"/>
        <v>0</v>
      </c>
      <c r="NT39" s="120"/>
      <c r="NU39" s="120"/>
      <c r="NV39" s="120"/>
      <c r="NW39" s="120"/>
      <c r="NX39" s="120"/>
      <c r="NY39" s="205"/>
      <c r="NZ39" s="205"/>
      <c r="OA39" s="205">
        <f t="shared" si="178"/>
        <v>0</v>
      </c>
      <c r="OB39" s="205">
        <f t="shared" si="179"/>
        <v>0</v>
      </c>
      <c r="OC39" s="120"/>
      <c r="OD39" s="120"/>
      <c r="OE39" s="120"/>
      <c r="OF39" s="120"/>
      <c r="OG39" s="120"/>
      <c r="OH39" s="205"/>
      <c r="OI39" s="205"/>
      <c r="OJ39" s="205">
        <f t="shared" si="180"/>
        <v>0</v>
      </c>
      <c r="OK39" s="120"/>
      <c r="OL39" s="120"/>
      <c r="OM39" s="120"/>
      <c r="ON39" s="120"/>
      <c r="OO39" s="120"/>
      <c r="OP39" s="205"/>
      <c r="OQ39" s="205"/>
      <c r="OR39" s="205">
        <f t="shared" si="181"/>
        <v>0</v>
      </c>
      <c r="OS39" s="120"/>
      <c r="OT39" s="120"/>
      <c r="OU39" s="120"/>
      <c r="OV39" s="120"/>
      <c r="OW39" s="120"/>
      <c r="OX39" s="205"/>
      <c r="OY39" s="205"/>
      <c r="OZ39" s="205">
        <f t="shared" si="182"/>
        <v>0</v>
      </c>
      <c r="PA39" s="120"/>
      <c r="PB39" s="120"/>
      <c r="PC39" s="120"/>
      <c r="PD39" s="205"/>
      <c r="PE39" s="217"/>
      <c r="PF39" s="205"/>
      <c r="PG39" s="205"/>
      <c r="PH39" s="205">
        <f t="shared" si="183"/>
        <v>0</v>
      </c>
      <c r="PI39" s="120"/>
      <c r="PJ39" s="120"/>
      <c r="PK39" s="120"/>
      <c r="PL39" s="205"/>
      <c r="PM39" s="217"/>
      <c r="PN39" s="205"/>
      <c r="PO39" s="205"/>
      <c r="PP39" s="205">
        <f t="shared" si="184"/>
        <v>0</v>
      </c>
      <c r="PQ39" s="205">
        <f t="shared" si="185"/>
        <v>0</v>
      </c>
      <c r="PR39" s="207"/>
      <c r="PS39" s="207"/>
      <c r="PT39" s="207"/>
      <c r="PU39" s="207"/>
      <c r="PV39" s="207"/>
      <c r="PW39" s="272"/>
      <c r="PX39" s="272"/>
      <c r="PY39" s="205">
        <f t="shared" si="186"/>
        <v>0</v>
      </c>
      <c r="PZ39" s="207"/>
      <c r="QA39" s="207"/>
      <c r="QB39" s="207"/>
      <c r="QC39" s="207"/>
      <c r="QD39" s="207"/>
      <c r="QE39" s="272"/>
      <c r="QF39" s="272"/>
      <c r="QG39" s="205">
        <f t="shared" si="187"/>
        <v>0</v>
      </c>
      <c r="QH39" s="207"/>
      <c r="QI39" s="207"/>
      <c r="QJ39" s="294"/>
      <c r="QK39" s="207"/>
      <c r="QL39" s="207"/>
      <c r="QM39" s="272"/>
      <c r="QN39" s="272"/>
      <c r="QO39" s="205">
        <f t="shared" si="188"/>
        <v>0</v>
      </c>
      <c r="QP39" s="207"/>
      <c r="QQ39" s="207"/>
      <c r="QR39" s="207"/>
      <c r="QS39" s="207"/>
      <c r="QT39" s="207"/>
      <c r="QU39" s="272"/>
      <c r="QV39" s="272"/>
      <c r="QW39" s="205">
        <f t="shared" si="189"/>
        <v>0</v>
      </c>
      <c r="QX39" s="205">
        <f t="shared" si="190"/>
        <v>0</v>
      </c>
      <c r="QY39" s="207"/>
      <c r="QZ39" s="207"/>
      <c r="RA39" s="207"/>
      <c r="RB39" s="207"/>
      <c r="RC39" s="207"/>
      <c r="RD39" s="272"/>
      <c r="RE39" s="272"/>
      <c r="RF39" s="205">
        <f t="shared" si="191"/>
        <v>0</v>
      </c>
      <c r="RG39" s="207"/>
      <c r="RH39" s="207"/>
      <c r="RI39" s="207"/>
      <c r="RJ39" s="207"/>
      <c r="RK39" s="207"/>
      <c r="RL39" s="272"/>
      <c r="RM39" s="272"/>
      <c r="RN39" s="205">
        <f t="shared" si="192"/>
        <v>0</v>
      </c>
      <c r="RO39" s="272"/>
      <c r="RP39" s="272"/>
      <c r="RQ39" s="272"/>
      <c r="RR39" s="272"/>
      <c r="RS39" s="272"/>
      <c r="RT39" s="272"/>
      <c r="RU39" s="272"/>
      <c r="RV39" s="205">
        <f t="shared" si="193"/>
        <v>0</v>
      </c>
      <c r="RW39" s="207"/>
      <c r="RX39" s="207"/>
      <c r="RY39" s="207"/>
      <c r="RZ39" s="207"/>
      <c r="SA39" s="272"/>
      <c r="SB39" s="272"/>
      <c r="SC39" s="272"/>
      <c r="SD39" s="205">
        <f t="shared" si="194"/>
        <v>0</v>
      </c>
      <c r="SE39" s="205">
        <f t="shared" si="195"/>
        <v>0</v>
      </c>
      <c r="SF39" s="207"/>
      <c r="SG39" s="207"/>
      <c r="SH39" s="207"/>
      <c r="SI39" s="207"/>
      <c r="SJ39" s="207"/>
      <c r="SK39" s="272"/>
      <c r="SL39" s="272"/>
      <c r="SM39" s="205">
        <f t="shared" si="196"/>
        <v>0</v>
      </c>
      <c r="SN39" s="207"/>
      <c r="SO39" s="207"/>
      <c r="SP39" s="207"/>
      <c r="SQ39" s="207"/>
      <c r="SR39" s="207"/>
      <c r="SS39" s="272"/>
      <c r="ST39" s="272"/>
      <c r="SU39" s="205">
        <f t="shared" si="197"/>
        <v>0</v>
      </c>
      <c r="SV39" s="207"/>
      <c r="SW39" s="207"/>
      <c r="SX39" s="207"/>
      <c r="SY39" s="207"/>
      <c r="SZ39" s="207"/>
      <c r="TA39" s="272"/>
      <c r="TB39" s="272"/>
      <c r="TC39" s="205">
        <f t="shared" si="198"/>
        <v>0</v>
      </c>
      <c r="TD39" s="207"/>
      <c r="TE39" s="207"/>
      <c r="TF39" s="207"/>
      <c r="TG39" s="207"/>
      <c r="TH39" s="207"/>
      <c r="TI39" s="272"/>
      <c r="TJ39" s="272"/>
      <c r="TK39" s="205">
        <f t="shared" si="199"/>
        <v>0</v>
      </c>
      <c r="TL39" s="207"/>
      <c r="TM39" s="207"/>
      <c r="TN39" s="207"/>
      <c r="TO39" s="207"/>
      <c r="TP39" s="272"/>
      <c r="TQ39" s="272"/>
      <c r="TR39" s="272"/>
      <c r="TS39" s="205">
        <f t="shared" si="200"/>
        <v>0</v>
      </c>
      <c r="TT39" s="205">
        <f t="shared" si="201"/>
        <v>0</v>
      </c>
      <c r="TU39" s="272"/>
      <c r="TV39" s="207"/>
      <c r="TW39" s="207"/>
      <c r="TX39" s="207"/>
      <c r="TY39" s="207"/>
      <c r="TZ39" s="272"/>
      <c r="UA39" s="272"/>
      <c r="UB39" s="205">
        <f t="shared" si="202"/>
        <v>0</v>
      </c>
      <c r="UC39" s="207"/>
      <c r="UD39" s="207"/>
      <c r="UE39" s="207"/>
      <c r="UF39" s="207"/>
      <c r="UG39" s="207"/>
      <c r="UH39" s="272"/>
      <c r="UI39" s="272"/>
      <c r="UJ39" s="205">
        <f t="shared" si="203"/>
        <v>0</v>
      </c>
      <c r="UK39" s="207"/>
      <c r="UL39" s="207"/>
      <c r="UM39" s="207"/>
      <c r="UN39" s="207"/>
      <c r="UO39" s="207"/>
      <c r="UP39" s="272"/>
      <c r="UQ39" s="272"/>
      <c r="UR39" s="205">
        <f t="shared" si="227"/>
        <v>0</v>
      </c>
      <c r="US39" s="207"/>
      <c r="UT39" s="207"/>
      <c r="UU39" s="207"/>
      <c r="UV39" s="207"/>
      <c r="UW39" s="272"/>
      <c r="UX39" s="272"/>
      <c r="UY39" s="272"/>
      <c r="UZ39" s="205">
        <f t="shared" si="204"/>
        <v>0</v>
      </c>
      <c r="VA39" s="205">
        <f t="shared" si="205"/>
        <v>0</v>
      </c>
      <c r="VB39" s="207"/>
      <c r="VC39" s="207"/>
      <c r="VD39" s="207"/>
      <c r="VE39" s="207"/>
      <c r="VF39" s="207"/>
      <c r="VG39" s="272"/>
      <c r="VH39" s="272"/>
      <c r="VI39" s="205">
        <f t="shared" si="206"/>
        <v>0</v>
      </c>
      <c r="VJ39" s="207"/>
      <c r="VK39" s="207"/>
      <c r="VL39" s="207"/>
      <c r="VM39" s="207"/>
      <c r="VN39" s="207"/>
      <c r="VO39" s="272"/>
      <c r="VP39" s="272"/>
      <c r="VQ39" s="205">
        <f t="shared" si="207"/>
        <v>0</v>
      </c>
      <c r="VR39" s="207"/>
      <c r="VS39" s="207"/>
      <c r="VT39" s="207"/>
      <c r="VU39" s="207"/>
      <c r="VV39" s="207"/>
      <c r="VW39" s="272"/>
      <c r="VX39" s="272"/>
      <c r="VY39" s="205">
        <f t="shared" si="208"/>
        <v>0</v>
      </c>
      <c r="VZ39" s="207"/>
      <c r="WA39" s="207"/>
      <c r="WB39" s="207"/>
      <c r="WC39" s="207"/>
      <c r="WD39" s="207"/>
      <c r="WE39" s="272"/>
      <c r="WF39" s="272"/>
      <c r="WG39" s="205">
        <f t="shared" si="209"/>
        <v>0</v>
      </c>
      <c r="WH39" s="205">
        <f t="shared" si="210"/>
        <v>0</v>
      </c>
      <c r="WI39" s="207"/>
      <c r="WJ39" s="207"/>
      <c r="WK39" s="207"/>
      <c r="WL39" s="207"/>
      <c r="WM39" s="207"/>
      <c r="WN39" s="272"/>
      <c r="WO39" s="272"/>
      <c r="WP39" s="205">
        <f t="shared" si="211"/>
        <v>0</v>
      </c>
      <c r="WQ39" s="207"/>
      <c r="WR39" s="207"/>
      <c r="WS39" s="207"/>
      <c r="WT39" s="207"/>
      <c r="WU39" s="207"/>
      <c r="WV39" s="272"/>
      <c r="WW39" s="272"/>
      <c r="WX39" s="205">
        <f t="shared" si="212"/>
        <v>0</v>
      </c>
      <c r="WY39" s="207"/>
      <c r="WZ39" s="207"/>
      <c r="XA39" s="207"/>
      <c r="XB39" s="207"/>
      <c r="XC39" s="272"/>
      <c r="XD39" s="272"/>
      <c r="XE39" s="272"/>
      <c r="XF39" s="205">
        <f t="shared" si="213"/>
        <v>0</v>
      </c>
      <c r="XG39" s="207"/>
      <c r="XH39" s="207"/>
      <c r="XI39" s="207"/>
      <c r="XJ39" s="207"/>
      <c r="XK39" s="207"/>
      <c r="XL39" s="272"/>
      <c r="XM39" s="272"/>
      <c r="XN39" s="205">
        <f t="shared" si="214"/>
        <v>0</v>
      </c>
      <c r="XO39" s="207"/>
      <c r="XP39" s="207"/>
      <c r="XQ39" s="207"/>
      <c r="XR39" s="207"/>
      <c r="XS39" s="207"/>
      <c r="XT39" s="272"/>
      <c r="XU39" s="272"/>
      <c r="XV39" s="205">
        <f t="shared" si="215"/>
        <v>0</v>
      </c>
      <c r="XW39" s="205">
        <f t="shared" si="216"/>
        <v>0</v>
      </c>
      <c r="XX39" s="207"/>
      <c r="XY39" s="207"/>
      <c r="XZ39" s="207"/>
      <c r="YA39" s="207"/>
      <c r="YB39" s="207"/>
      <c r="YC39" s="272"/>
      <c r="YD39" s="272"/>
      <c r="YE39" s="205">
        <f t="shared" si="217"/>
        <v>0</v>
      </c>
      <c r="YF39" s="207"/>
      <c r="YG39" s="207"/>
      <c r="YH39" s="207"/>
      <c r="YI39" s="207"/>
      <c r="YJ39" s="207"/>
      <c r="YK39" s="272"/>
      <c r="YL39" s="272"/>
      <c r="YM39" s="205">
        <f t="shared" si="218"/>
        <v>0</v>
      </c>
      <c r="YN39" s="207"/>
      <c r="YO39" s="207"/>
      <c r="YP39" s="207"/>
      <c r="YQ39" s="207"/>
      <c r="YR39" s="207"/>
      <c r="YS39" s="272"/>
      <c r="YT39" s="272"/>
      <c r="YU39" s="205">
        <f t="shared" si="148"/>
        <v>0</v>
      </c>
      <c r="YV39" s="207"/>
      <c r="YW39" s="207"/>
      <c r="YX39" s="207"/>
      <c r="YY39" s="207"/>
      <c r="YZ39" s="207"/>
      <c r="ZA39" s="272"/>
      <c r="ZB39" s="272"/>
      <c r="ZC39" s="205">
        <f t="shared" si="219"/>
        <v>0</v>
      </c>
      <c r="ZD39" s="205">
        <f t="shared" si="149"/>
        <v>0</v>
      </c>
      <c r="ZE39" s="207"/>
      <c r="ZF39" s="207"/>
      <c r="ZG39" s="207"/>
      <c r="ZH39" s="207"/>
      <c r="ZI39" s="207"/>
      <c r="ZJ39" s="272"/>
      <c r="ZK39" s="272"/>
      <c r="ZL39" s="205">
        <f t="shared" si="220"/>
        <v>0</v>
      </c>
      <c r="ZM39" s="207"/>
      <c r="ZN39" s="207"/>
      <c r="ZO39" s="207"/>
      <c r="ZP39" s="207"/>
      <c r="ZQ39" s="207"/>
      <c r="ZR39" s="272"/>
      <c r="ZS39" s="272"/>
      <c r="ZT39" s="205">
        <f t="shared" si="221"/>
        <v>0</v>
      </c>
      <c r="ZU39" s="207"/>
      <c r="ZV39" s="207"/>
      <c r="ZW39" s="207"/>
      <c r="ZX39" s="207"/>
      <c r="ZY39" s="207"/>
      <c r="ZZ39" s="272"/>
      <c r="AAA39" s="272"/>
      <c r="AAB39" s="205">
        <f t="shared" si="222"/>
        <v>0</v>
      </c>
      <c r="AAC39" s="207"/>
      <c r="AAD39" s="207"/>
      <c r="AAE39" s="207"/>
      <c r="AAF39" s="207"/>
      <c r="AAG39" s="207"/>
      <c r="AAH39" s="272"/>
      <c r="AAI39" s="272"/>
      <c r="AAJ39" s="205">
        <f t="shared" si="223"/>
        <v>0</v>
      </c>
      <c r="AAK39" s="207"/>
      <c r="AAL39" s="207"/>
      <c r="AAM39" s="207"/>
      <c r="AAN39" s="207"/>
      <c r="AAO39" s="207"/>
      <c r="AAP39" s="272"/>
      <c r="AAQ39" s="272"/>
      <c r="AAR39" s="205">
        <f t="shared" si="224"/>
        <v>0</v>
      </c>
      <c r="AAS39" s="205">
        <f t="shared" si="225"/>
        <v>0</v>
      </c>
    </row>
    <row r="40" spans="1:721" ht="69.95" customHeight="1">
      <c r="A40" s="125"/>
      <c r="B40" s="155" t="s">
        <v>541</v>
      </c>
      <c r="C40" s="323" t="s">
        <v>951</v>
      </c>
      <c r="D40" s="228" t="s">
        <v>540</v>
      </c>
      <c r="E40" s="130" t="s">
        <v>4</v>
      </c>
      <c r="F40" s="120"/>
      <c r="G40" s="120"/>
      <c r="H40" s="120"/>
      <c r="I40" s="120"/>
      <c r="J40" s="120"/>
      <c r="K40" s="209"/>
      <c r="L40" s="205"/>
      <c r="M40" s="205">
        <f t="shared" si="121"/>
        <v>0</v>
      </c>
      <c r="N40" s="120"/>
      <c r="O40" s="120"/>
      <c r="P40" s="120"/>
      <c r="Q40" s="120"/>
      <c r="R40" s="120"/>
      <c r="S40" s="209"/>
      <c r="T40" s="205"/>
      <c r="U40" s="205">
        <f t="shared" si="122"/>
        <v>0</v>
      </c>
      <c r="V40" s="120"/>
      <c r="W40" s="120"/>
      <c r="X40" s="120"/>
      <c r="Y40" s="120"/>
      <c r="Z40" s="120"/>
      <c r="AA40" s="209"/>
      <c r="AB40" s="205"/>
      <c r="AC40" s="205">
        <f t="shared" si="123"/>
        <v>0</v>
      </c>
      <c r="AD40" s="205"/>
      <c r="AE40" s="205"/>
      <c r="AF40" s="205"/>
      <c r="AG40" s="205"/>
      <c r="AH40" s="205"/>
      <c r="AI40" s="209"/>
      <c r="AJ40" s="205"/>
      <c r="AK40" s="205">
        <f t="shared" si="124"/>
        <v>0</v>
      </c>
      <c r="AL40" s="205" t="e">
        <f>SUM(#REF!,M40,U40,AC40,AD40:AH40)</f>
        <v>#REF!</v>
      </c>
      <c r="AM40" s="120"/>
      <c r="AN40" s="120"/>
      <c r="AO40" s="120"/>
      <c r="AP40" s="120"/>
      <c r="AQ40" s="120"/>
      <c r="AR40" s="209"/>
      <c r="AS40" s="205"/>
      <c r="AT40" s="205">
        <f t="shared" si="125"/>
        <v>0</v>
      </c>
      <c r="AU40" s="120"/>
      <c r="AV40" s="120"/>
      <c r="AW40" s="120"/>
      <c r="AX40" s="120"/>
      <c r="AY40" s="120"/>
      <c r="AZ40" s="209"/>
      <c r="BA40" s="205"/>
      <c r="BB40" s="205">
        <f t="shared" si="126"/>
        <v>0</v>
      </c>
      <c r="BC40" s="120"/>
      <c r="BD40" s="120"/>
      <c r="BE40" s="120"/>
      <c r="BF40" s="120"/>
      <c r="BG40" s="120"/>
      <c r="BH40" s="209"/>
      <c r="BI40" s="205"/>
      <c r="BJ40" s="205">
        <f t="shared" si="127"/>
        <v>0</v>
      </c>
      <c r="BK40" s="120"/>
      <c r="BL40" s="120"/>
      <c r="BM40" s="120"/>
      <c r="BN40" s="120"/>
      <c r="BO40" s="205"/>
      <c r="BP40" s="209"/>
      <c r="BQ40" s="205"/>
      <c r="BR40" s="205">
        <f t="shared" si="128"/>
        <v>0</v>
      </c>
      <c r="BS40" s="205">
        <f t="shared" si="129"/>
        <v>0</v>
      </c>
      <c r="BT40" s="120"/>
      <c r="BU40" s="120"/>
      <c r="BV40" s="120"/>
      <c r="BW40" s="120"/>
      <c r="BX40" s="120"/>
      <c r="BY40" s="209"/>
      <c r="BZ40" s="205"/>
      <c r="CA40" s="205">
        <f t="shared" si="130"/>
        <v>0</v>
      </c>
      <c r="CB40" s="120"/>
      <c r="CC40" s="120"/>
      <c r="CD40" s="120"/>
      <c r="CE40" s="120"/>
      <c r="CF40" s="120"/>
      <c r="CG40" s="209"/>
      <c r="CH40" s="205"/>
      <c r="CI40" s="205">
        <f t="shared" si="131"/>
        <v>0</v>
      </c>
      <c r="CJ40" s="120"/>
      <c r="CK40" s="120"/>
      <c r="CL40" s="120"/>
      <c r="CM40" s="120"/>
      <c r="CN40" s="120"/>
      <c r="CO40" s="209"/>
      <c r="CP40" s="205"/>
      <c r="CQ40" s="205">
        <f t="shared" si="132"/>
        <v>0</v>
      </c>
      <c r="CR40" s="120"/>
      <c r="CS40" s="120"/>
      <c r="CT40" s="120"/>
      <c r="CU40" s="120"/>
      <c r="CV40" s="120"/>
      <c r="CW40" s="209"/>
      <c r="CX40" s="205"/>
      <c r="CY40" s="205">
        <f t="shared" si="133"/>
        <v>0</v>
      </c>
      <c r="CZ40" s="120"/>
      <c r="DA40" s="120"/>
      <c r="DB40" s="120"/>
      <c r="DC40" s="205"/>
      <c r="DD40" s="205"/>
      <c r="DE40" s="209"/>
      <c r="DF40" s="205"/>
      <c r="DG40" s="205">
        <f t="shared" si="134"/>
        <v>0</v>
      </c>
      <c r="DH40" s="205">
        <f t="shared" si="150"/>
        <v>0</v>
      </c>
      <c r="DI40" s="120"/>
      <c r="DJ40" s="120"/>
      <c r="DK40" s="120"/>
      <c r="DL40" s="120"/>
      <c r="DM40" s="120"/>
      <c r="DN40" s="209"/>
      <c r="DO40" s="205"/>
      <c r="DP40" s="205">
        <f t="shared" si="228"/>
        <v>0</v>
      </c>
      <c r="DQ40" s="120"/>
      <c r="DR40" s="120"/>
      <c r="DS40" s="120"/>
      <c r="DT40" s="120"/>
      <c r="DU40" s="120"/>
      <c r="DV40" s="209"/>
      <c r="DW40" s="205"/>
      <c r="DX40" s="205">
        <f t="shared" si="136"/>
        <v>0</v>
      </c>
      <c r="DY40" s="120"/>
      <c r="DZ40" s="120"/>
      <c r="EA40" s="120"/>
      <c r="EB40" s="120"/>
      <c r="EC40" s="120"/>
      <c r="ED40" s="209"/>
      <c r="EE40" s="205"/>
      <c r="EF40" s="205">
        <f t="shared" si="137"/>
        <v>0</v>
      </c>
      <c r="EG40" s="120"/>
      <c r="EH40" s="120"/>
      <c r="EI40" s="120"/>
      <c r="EJ40" s="205"/>
      <c r="EK40" s="205"/>
      <c r="EL40" s="209"/>
      <c r="EM40" s="205"/>
      <c r="EN40" s="205">
        <f t="shared" si="138"/>
        <v>0</v>
      </c>
      <c r="EO40" s="205">
        <f t="shared" si="151"/>
        <v>0</v>
      </c>
      <c r="EP40" s="120"/>
      <c r="EQ40" s="120"/>
      <c r="ER40" s="120"/>
      <c r="ES40" s="120"/>
      <c r="ET40" s="120"/>
      <c r="EU40" s="209"/>
      <c r="EV40" s="205"/>
      <c r="EW40" s="205">
        <f t="shared" si="139"/>
        <v>0</v>
      </c>
      <c r="EX40" s="120"/>
      <c r="EY40" s="120"/>
      <c r="EZ40" s="120"/>
      <c r="FA40" s="120"/>
      <c r="FB40" s="120"/>
      <c r="FC40" s="209"/>
      <c r="FD40" s="205"/>
      <c r="FE40" s="205">
        <f t="shared" si="140"/>
        <v>0</v>
      </c>
      <c r="FF40" s="120"/>
      <c r="FG40" s="120"/>
      <c r="FH40" s="120"/>
      <c r="FI40" s="120"/>
      <c r="FJ40" s="120"/>
      <c r="FK40" s="209"/>
      <c r="FL40" s="205"/>
      <c r="FM40" s="205">
        <f t="shared" si="141"/>
        <v>0</v>
      </c>
      <c r="FN40" s="120"/>
      <c r="FO40" s="120"/>
      <c r="FP40" s="120"/>
      <c r="FQ40" s="120"/>
      <c r="FR40" s="205"/>
      <c r="FS40" s="209"/>
      <c r="FT40" s="205"/>
      <c r="FU40" s="205">
        <f t="shared" si="142"/>
        <v>0</v>
      </c>
      <c r="FV40" s="205">
        <f t="shared" si="152"/>
        <v>0</v>
      </c>
      <c r="FW40" s="120"/>
      <c r="FX40" s="120"/>
      <c r="FY40" s="120"/>
      <c r="FZ40" s="120"/>
      <c r="GA40" s="120"/>
      <c r="GB40" s="209"/>
      <c r="GC40" s="205"/>
      <c r="GD40" s="205">
        <f t="shared" si="143"/>
        <v>0</v>
      </c>
      <c r="GE40" s="120"/>
      <c r="GF40" s="120"/>
      <c r="GG40" s="120"/>
      <c r="GH40" s="120"/>
      <c r="GI40" s="120"/>
      <c r="GJ40" s="209"/>
      <c r="GK40" s="205"/>
      <c r="GL40" s="205">
        <f t="shared" si="144"/>
        <v>0</v>
      </c>
      <c r="GM40" s="120"/>
      <c r="GN40" s="120"/>
      <c r="GO40" s="120"/>
      <c r="GP40" s="120"/>
      <c r="GQ40" s="120"/>
      <c r="GR40" s="209"/>
      <c r="GS40" s="205"/>
      <c r="GT40" s="205">
        <f t="shared" si="145"/>
        <v>0</v>
      </c>
      <c r="GU40" s="120"/>
      <c r="GV40" s="120"/>
      <c r="GW40" s="120"/>
      <c r="GX40" s="120"/>
      <c r="GY40" s="120"/>
      <c r="GZ40" s="209"/>
      <c r="HA40" s="205"/>
      <c r="HB40" s="205">
        <f t="shared" si="146"/>
        <v>0</v>
      </c>
      <c r="HC40" s="120"/>
      <c r="HD40" s="120"/>
      <c r="HE40" s="120"/>
      <c r="HF40" s="120"/>
      <c r="HG40" s="120"/>
      <c r="HH40" s="209"/>
      <c r="HI40" s="205"/>
      <c r="HJ40" s="205">
        <f t="shared" si="147"/>
        <v>0</v>
      </c>
      <c r="HK40" s="205">
        <f t="shared" si="153"/>
        <v>0</v>
      </c>
      <c r="HL40" s="124"/>
      <c r="HM40" s="120"/>
      <c r="HN40" s="120"/>
      <c r="HO40" s="120"/>
      <c r="HP40" s="120"/>
      <c r="HQ40" s="205"/>
      <c r="HR40" s="205"/>
      <c r="HS40" s="205">
        <f t="shared" si="154"/>
        <v>0</v>
      </c>
      <c r="HT40" s="120"/>
      <c r="HU40" s="120"/>
      <c r="HV40" s="120"/>
      <c r="HW40" s="120"/>
      <c r="HX40" s="120"/>
      <c r="HY40" s="205"/>
      <c r="HZ40" s="205"/>
      <c r="IA40" s="205">
        <f t="shared" si="155"/>
        <v>0</v>
      </c>
      <c r="IB40" s="120"/>
      <c r="IC40" s="120"/>
      <c r="ID40" s="120"/>
      <c r="IE40" s="120"/>
      <c r="IF40" s="120"/>
      <c r="IG40" s="205"/>
      <c r="IH40" s="205"/>
      <c r="II40" s="205">
        <f t="shared" si="156"/>
        <v>0</v>
      </c>
      <c r="IJ40" s="120"/>
      <c r="IK40" s="120"/>
      <c r="IL40" s="120"/>
      <c r="IM40" s="120"/>
      <c r="IN40" s="120"/>
      <c r="IO40" s="205"/>
      <c r="IP40" s="205"/>
      <c r="IQ40" s="205">
        <f t="shared" si="157"/>
        <v>0</v>
      </c>
      <c r="IR40" s="205">
        <f t="shared" si="158"/>
        <v>0</v>
      </c>
      <c r="IS40" s="120"/>
      <c r="IT40" s="120"/>
      <c r="IU40" s="120"/>
      <c r="IV40" s="120"/>
      <c r="IW40" s="120"/>
      <c r="IX40" s="205"/>
      <c r="IY40" s="205"/>
      <c r="IZ40" s="205">
        <f t="shared" si="159"/>
        <v>0</v>
      </c>
      <c r="JA40" s="120"/>
      <c r="JB40" s="120"/>
      <c r="JC40" s="120"/>
      <c r="JD40" s="120"/>
      <c r="JE40" s="120"/>
      <c r="JF40" s="205"/>
      <c r="JG40" s="205"/>
      <c r="JH40" s="205">
        <f t="shared" si="160"/>
        <v>0</v>
      </c>
      <c r="JI40" s="120"/>
      <c r="JJ40" s="120"/>
      <c r="JK40" s="120"/>
      <c r="JL40" s="120"/>
      <c r="JM40" s="120"/>
      <c r="JN40" s="205"/>
      <c r="JO40" s="205"/>
      <c r="JP40" s="205">
        <f t="shared" si="161"/>
        <v>0</v>
      </c>
      <c r="JQ40" s="120"/>
      <c r="JR40" s="120"/>
      <c r="JS40" s="120"/>
      <c r="JT40" s="120"/>
      <c r="JU40" s="120"/>
      <c r="JV40" s="205"/>
      <c r="JW40" s="205"/>
      <c r="JX40" s="205">
        <f t="shared" si="162"/>
        <v>0</v>
      </c>
      <c r="JY40" s="205">
        <f t="shared" si="163"/>
        <v>0</v>
      </c>
      <c r="JZ40" s="120"/>
      <c r="KA40" s="120"/>
      <c r="KB40" s="120"/>
      <c r="KC40" s="120"/>
      <c r="KD40" s="120"/>
      <c r="KE40" s="205"/>
      <c r="KF40" s="205"/>
      <c r="KG40" s="205">
        <f t="shared" si="164"/>
        <v>0</v>
      </c>
      <c r="KH40" s="120"/>
      <c r="KI40" s="120"/>
      <c r="KJ40" s="120"/>
      <c r="KK40" s="120"/>
      <c r="KL40" s="206">
        <v>800</v>
      </c>
      <c r="KM40" s="205"/>
      <c r="KN40" s="205"/>
      <c r="KO40" s="205">
        <f t="shared" si="165"/>
        <v>800</v>
      </c>
      <c r="KP40" s="120"/>
      <c r="KQ40" s="120"/>
      <c r="KR40" s="120"/>
      <c r="KS40" s="120"/>
      <c r="KT40" s="120"/>
      <c r="KU40" s="205"/>
      <c r="KV40" s="205"/>
      <c r="KW40" s="205">
        <f t="shared" si="166"/>
        <v>0</v>
      </c>
      <c r="KX40" s="120"/>
      <c r="KY40" s="120"/>
      <c r="KZ40" s="120"/>
      <c r="LA40" s="120"/>
      <c r="LB40" s="120"/>
      <c r="LC40" s="205"/>
      <c r="LD40" s="205"/>
      <c r="LE40" s="205">
        <f t="shared" si="167"/>
        <v>0</v>
      </c>
      <c r="LF40" s="205"/>
      <c r="LG40" s="120"/>
      <c r="LH40" s="120"/>
      <c r="LI40" s="120"/>
      <c r="LJ40" s="120"/>
      <c r="LK40" s="205"/>
      <c r="LL40" s="205"/>
      <c r="LM40" s="205">
        <f t="shared" si="168"/>
        <v>0</v>
      </c>
      <c r="LN40" s="205">
        <f t="shared" si="169"/>
        <v>800</v>
      </c>
      <c r="LO40" s="205"/>
      <c r="LP40" s="120"/>
      <c r="LQ40" s="120"/>
      <c r="LR40" s="120"/>
      <c r="LS40" s="205"/>
      <c r="LT40" s="205"/>
      <c r="LU40" s="205"/>
      <c r="LV40" s="205">
        <f t="shared" si="170"/>
        <v>0</v>
      </c>
      <c r="LW40" s="120"/>
      <c r="LX40" s="120"/>
      <c r="LY40" s="120"/>
      <c r="LZ40" s="120"/>
      <c r="MA40" s="120"/>
      <c r="MB40" s="205"/>
      <c r="MC40" s="205"/>
      <c r="MD40" s="205">
        <f t="shared" si="171"/>
        <v>0</v>
      </c>
      <c r="ME40" s="120"/>
      <c r="MF40" s="120"/>
      <c r="MG40" s="120"/>
      <c r="MH40" s="120"/>
      <c r="MI40" s="205"/>
      <c r="MJ40" s="205"/>
      <c r="MK40" s="205"/>
      <c r="ML40" s="205">
        <f t="shared" si="172"/>
        <v>0</v>
      </c>
      <c r="MM40" s="120"/>
      <c r="MN40" s="120"/>
      <c r="MO40" s="120"/>
      <c r="MP40" s="120"/>
      <c r="MQ40" s="120"/>
      <c r="MR40" s="205"/>
      <c r="MS40" s="205"/>
      <c r="MT40" s="205">
        <f t="shared" si="173"/>
        <v>0</v>
      </c>
      <c r="MU40" s="205">
        <f t="shared" si="174"/>
        <v>0</v>
      </c>
      <c r="MV40" s="120"/>
      <c r="MW40" s="120"/>
      <c r="MX40" s="120"/>
      <c r="MY40" s="120"/>
      <c r="MZ40" s="120"/>
      <c r="NA40" s="205"/>
      <c r="NB40" s="205"/>
      <c r="NC40" s="205">
        <f t="shared" si="175"/>
        <v>0</v>
      </c>
      <c r="ND40" s="120"/>
      <c r="NE40" s="120"/>
      <c r="NF40" s="120"/>
      <c r="NG40" s="120"/>
      <c r="NH40" s="120"/>
      <c r="NI40" s="205"/>
      <c r="NJ40" s="205"/>
      <c r="NK40" s="205">
        <f t="shared" si="176"/>
        <v>0</v>
      </c>
      <c r="NL40" s="120"/>
      <c r="NM40" s="120"/>
      <c r="NN40" s="120"/>
      <c r="NO40" s="120"/>
      <c r="NP40" s="120"/>
      <c r="NQ40" s="205"/>
      <c r="NR40" s="205"/>
      <c r="NS40" s="205">
        <f t="shared" si="177"/>
        <v>0</v>
      </c>
      <c r="NT40" s="120"/>
      <c r="NU40" s="120"/>
      <c r="NV40" s="120"/>
      <c r="NW40" s="120"/>
      <c r="NX40" s="120"/>
      <c r="NY40" s="205"/>
      <c r="NZ40" s="205"/>
      <c r="OA40" s="205">
        <f t="shared" si="178"/>
        <v>0</v>
      </c>
      <c r="OB40" s="205">
        <f t="shared" si="179"/>
        <v>0</v>
      </c>
      <c r="OC40" s="120"/>
      <c r="OD40" s="120"/>
      <c r="OE40" s="120"/>
      <c r="OF40" s="120"/>
      <c r="OG40" s="120"/>
      <c r="OH40" s="205"/>
      <c r="OI40" s="205"/>
      <c r="OJ40" s="205">
        <f t="shared" si="180"/>
        <v>0</v>
      </c>
      <c r="OK40" s="120"/>
      <c r="OL40" s="120"/>
      <c r="OM40" s="120"/>
      <c r="ON40" s="120"/>
      <c r="OO40" s="120"/>
      <c r="OP40" s="205"/>
      <c r="OQ40" s="205"/>
      <c r="OR40" s="205">
        <f t="shared" si="181"/>
        <v>0</v>
      </c>
      <c r="OS40" s="120"/>
      <c r="OT40" s="120"/>
      <c r="OU40" s="120"/>
      <c r="OV40" s="120"/>
      <c r="OW40" s="120"/>
      <c r="OX40" s="205"/>
      <c r="OY40" s="205"/>
      <c r="OZ40" s="205">
        <f t="shared" si="182"/>
        <v>0</v>
      </c>
      <c r="PA40" s="120"/>
      <c r="PB40" s="120"/>
      <c r="PC40" s="120"/>
      <c r="PD40" s="205"/>
      <c r="PE40" s="217"/>
      <c r="PF40" s="205"/>
      <c r="PG40" s="205"/>
      <c r="PH40" s="205">
        <f t="shared" si="183"/>
        <v>0</v>
      </c>
      <c r="PI40" s="120"/>
      <c r="PJ40" s="120"/>
      <c r="PK40" s="120"/>
      <c r="PL40" s="205"/>
      <c r="PM40" s="217"/>
      <c r="PN40" s="205"/>
      <c r="PO40" s="205"/>
      <c r="PP40" s="205">
        <f t="shared" si="184"/>
        <v>0</v>
      </c>
      <c r="PQ40" s="205">
        <f t="shared" si="185"/>
        <v>0</v>
      </c>
      <c r="PR40" s="207"/>
      <c r="PS40" s="207"/>
      <c r="PT40" s="207"/>
      <c r="PU40" s="207"/>
      <c r="PV40" s="207"/>
      <c r="PW40" s="272"/>
      <c r="PX40" s="272"/>
      <c r="PY40" s="205">
        <f t="shared" si="186"/>
        <v>0</v>
      </c>
      <c r="PZ40" s="207"/>
      <c r="QA40" s="207"/>
      <c r="QB40" s="207"/>
      <c r="QC40" s="207"/>
      <c r="QD40" s="207"/>
      <c r="QE40" s="272"/>
      <c r="QF40" s="272"/>
      <c r="QG40" s="205">
        <f t="shared" si="187"/>
        <v>0</v>
      </c>
      <c r="QH40" s="207"/>
      <c r="QI40" s="207"/>
      <c r="QJ40" s="294"/>
      <c r="QK40" s="207"/>
      <c r="QL40" s="207"/>
      <c r="QM40" s="272"/>
      <c r="QN40" s="272"/>
      <c r="QO40" s="205">
        <f t="shared" si="188"/>
        <v>0</v>
      </c>
      <c r="QP40" s="207"/>
      <c r="QQ40" s="207"/>
      <c r="QR40" s="207"/>
      <c r="QS40" s="207"/>
      <c r="QT40" s="207"/>
      <c r="QU40" s="272"/>
      <c r="QV40" s="272"/>
      <c r="QW40" s="205">
        <f t="shared" si="189"/>
        <v>0</v>
      </c>
      <c r="QX40" s="205">
        <f t="shared" si="190"/>
        <v>0</v>
      </c>
      <c r="QY40" s="207"/>
      <c r="QZ40" s="207"/>
      <c r="RA40" s="207"/>
      <c r="RB40" s="207"/>
      <c r="RC40" s="207"/>
      <c r="RD40" s="272"/>
      <c r="RE40" s="272"/>
      <c r="RF40" s="205">
        <f t="shared" si="191"/>
        <v>0</v>
      </c>
      <c r="RG40" s="207"/>
      <c r="RH40" s="207"/>
      <c r="RI40" s="207"/>
      <c r="RJ40" s="207"/>
      <c r="RK40" s="207"/>
      <c r="RL40" s="272"/>
      <c r="RM40" s="272"/>
      <c r="RN40" s="205">
        <f t="shared" si="192"/>
        <v>0</v>
      </c>
      <c r="RO40" s="272"/>
      <c r="RP40" s="272"/>
      <c r="RQ40" s="272"/>
      <c r="RR40" s="272"/>
      <c r="RS40" s="272"/>
      <c r="RT40" s="272"/>
      <c r="RU40" s="272"/>
      <c r="RV40" s="205">
        <f t="shared" si="193"/>
        <v>0</v>
      </c>
      <c r="RW40" s="207"/>
      <c r="RX40" s="207"/>
      <c r="RY40" s="207"/>
      <c r="RZ40" s="207"/>
      <c r="SA40" s="272"/>
      <c r="SB40" s="272"/>
      <c r="SC40" s="272"/>
      <c r="SD40" s="205">
        <f t="shared" si="194"/>
        <v>0</v>
      </c>
      <c r="SE40" s="205">
        <f t="shared" si="195"/>
        <v>0</v>
      </c>
      <c r="SF40" s="207"/>
      <c r="SG40" s="207"/>
      <c r="SH40" s="207"/>
      <c r="SI40" s="207"/>
      <c r="SJ40" s="207"/>
      <c r="SK40" s="272"/>
      <c r="SL40" s="272"/>
      <c r="SM40" s="205">
        <f t="shared" si="196"/>
        <v>0</v>
      </c>
      <c r="SN40" s="207"/>
      <c r="SO40" s="207"/>
      <c r="SP40" s="207"/>
      <c r="SQ40" s="207"/>
      <c r="SR40" s="207"/>
      <c r="SS40" s="272"/>
      <c r="ST40" s="272"/>
      <c r="SU40" s="205">
        <f t="shared" si="197"/>
        <v>0</v>
      </c>
      <c r="SV40" s="207"/>
      <c r="SW40" s="207"/>
      <c r="SX40" s="207"/>
      <c r="SY40" s="207"/>
      <c r="SZ40" s="207"/>
      <c r="TA40" s="272"/>
      <c r="TB40" s="272"/>
      <c r="TC40" s="205">
        <f t="shared" si="198"/>
        <v>0</v>
      </c>
      <c r="TD40" s="207"/>
      <c r="TE40" s="207"/>
      <c r="TF40" s="207"/>
      <c r="TG40" s="207"/>
      <c r="TH40" s="207"/>
      <c r="TI40" s="272"/>
      <c r="TJ40" s="272"/>
      <c r="TK40" s="205">
        <f t="shared" si="199"/>
        <v>0</v>
      </c>
      <c r="TL40" s="207"/>
      <c r="TM40" s="207"/>
      <c r="TN40" s="207"/>
      <c r="TO40" s="207"/>
      <c r="TP40" s="272"/>
      <c r="TQ40" s="272"/>
      <c r="TR40" s="272"/>
      <c r="TS40" s="205">
        <f t="shared" si="200"/>
        <v>0</v>
      </c>
      <c r="TT40" s="205">
        <f t="shared" si="201"/>
        <v>0</v>
      </c>
      <c r="TU40" s="272"/>
      <c r="TV40" s="207"/>
      <c r="TW40" s="207"/>
      <c r="TX40" s="207"/>
      <c r="TY40" s="207"/>
      <c r="TZ40" s="272"/>
      <c r="UA40" s="272"/>
      <c r="UB40" s="205">
        <f t="shared" si="202"/>
        <v>0</v>
      </c>
      <c r="UC40" s="207"/>
      <c r="UD40" s="207"/>
      <c r="UE40" s="207"/>
      <c r="UF40" s="207"/>
      <c r="UG40" s="207"/>
      <c r="UH40" s="272"/>
      <c r="UI40" s="272"/>
      <c r="UJ40" s="205">
        <f t="shared" si="203"/>
        <v>0</v>
      </c>
      <c r="UK40" s="207"/>
      <c r="UL40" s="207"/>
      <c r="UM40" s="207"/>
      <c r="UN40" s="207"/>
      <c r="UO40" s="207"/>
      <c r="UP40" s="272"/>
      <c r="UQ40" s="272"/>
      <c r="UR40" s="205">
        <f t="shared" si="227"/>
        <v>0</v>
      </c>
      <c r="US40" s="207"/>
      <c r="UT40" s="207"/>
      <c r="UU40" s="207"/>
      <c r="UV40" s="207"/>
      <c r="UW40" s="272"/>
      <c r="UX40" s="272"/>
      <c r="UY40" s="272"/>
      <c r="UZ40" s="205">
        <f t="shared" si="204"/>
        <v>0</v>
      </c>
      <c r="VA40" s="205">
        <f t="shared" si="205"/>
        <v>0</v>
      </c>
      <c r="VB40" s="207"/>
      <c r="VC40" s="207"/>
      <c r="VD40" s="207"/>
      <c r="VE40" s="207"/>
      <c r="VF40" s="207"/>
      <c r="VG40" s="272"/>
      <c r="VH40" s="272"/>
      <c r="VI40" s="205">
        <f t="shared" si="206"/>
        <v>0</v>
      </c>
      <c r="VJ40" s="207"/>
      <c r="VK40" s="207"/>
      <c r="VL40" s="207"/>
      <c r="VM40" s="207"/>
      <c r="VN40" s="207"/>
      <c r="VO40" s="272"/>
      <c r="VP40" s="272"/>
      <c r="VQ40" s="205">
        <f t="shared" si="207"/>
        <v>0</v>
      </c>
      <c r="VR40" s="207"/>
      <c r="VS40" s="207"/>
      <c r="VT40" s="207"/>
      <c r="VU40" s="207"/>
      <c r="VV40" s="207"/>
      <c r="VW40" s="272"/>
      <c r="VX40" s="272"/>
      <c r="VY40" s="205">
        <f t="shared" si="208"/>
        <v>0</v>
      </c>
      <c r="VZ40" s="207"/>
      <c r="WA40" s="207"/>
      <c r="WB40" s="207"/>
      <c r="WC40" s="207"/>
      <c r="WD40" s="207"/>
      <c r="WE40" s="272"/>
      <c r="WF40" s="272"/>
      <c r="WG40" s="205">
        <f t="shared" si="209"/>
        <v>0</v>
      </c>
      <c r="WH40" s="205">
        <f t="shared" si="210"/>
        <v>0</v>
      </c>
      <c r="WI40" s="195">
        <v>800</v>
      </c>
      <c r="WJ40" s="207"/>
      <c r="WK40" s="207"/>
      <c r="WL40" s="207"/>
      <c r="WM40" s="207"/>
      <c r="WN40" s="272"/>
      <c r="WO40" s="272"/>
      <c r="WP40" s="205">
        <f t="shared" si="211"/>
        <v>800</v>
      </c>
      <c r="WQ40" s="207"/>
      <c r="WR40" s="207"/>
      <c r="WS40" s="207"/>
      <c r="WT40" s="207"/>
      <c r="WU40" s="207"/>
      <c r="WV40" s="272"/>
      <c r="WW40" s="272"/>
      <c r="WX40" s="205">
        <f t="shared" si="212"/>
        <v>0</v>
      </c>
      <c r="WY40" s="207"/>
      <c r="WZ40" s="207"/>
      <c r="XA40" s="207"/>
      <c r="XB40" s="207"/>
      <c r="XC40" s="272"/>
      <c r="XD40" s="272"/>
      <c r="XE40" s="272"/>
      <c r="XF40" s="205">
        <f t="shared" si="213"/>
        <v>0</v>
      </c>
      <c r="XG40" s="207"/>
      <c r="XH40" s="207"/>
      <c r="XI40" s="207"/>
      <c r="XJ40" s="207"/>
      <c r="XK40" s="207"/>
      <c r="XL40" s="272"/>
      <c r="XM40" s="272"/>
      <c r="XN40" s="205">
        <f t="shared" si="214"/>
        <v>0</v>
      </c>
      <c r="XO40" s="207"/>
      <c r="XP40" s="207"/>
      <c r="XQ40" s="207"/>
      <c r="XR40" s="207"/>
      <c r="XS40" s="207"/>
      <c r="XT40" s="272"/>
      <c r="XU40" s="272"/>
      <c r="XV40" s="205">
        <f t="shared" si="215"/>
        <v>0</v>
      </c>
      <c r="XW40" s="205">
        <f t="shared" si="216"/>
        <v>800</v>
      </c>
      <c r="XX40" s="207"/>
      <c r="XY40" s="207"/>
      <c r="XZ40" s="207"/>
      <c r="YA40" s="207"/>
      <c r="YB40" s="207"/>
      <c r="YC40" s="272"/>
      <c r="YD40" s="272"/>
      <c r="YE40" s="205">
        <f t="shared" si="217"/>
        <v>0</v>
      </c>
      <c r="YF40" s="207"/>
      <c r="YG40" s="207"/>
      <c r="YH40" s="207"/>
      <c r="YI40" s="207"/>
      <c r="YJ40" s="207"/>
      <c r="YK40" s="272"/>
      <c r="YL40" s="272"/>
      <c r="YM40" s="205">
        <f t="shared" si="218"/>
        <v>0</v>
      </c>
      <c r="YN40" s="207"/>
      <c r="YO40" s="207"/>
      <c r="YP40" s="207"/>
      <c r="YQ40" s="207"/>
      <c r="YR40" s="207"/>
      <c r="YS40" s="272"/>
      <c r="YT40" s="272"/>
      <c r="YU40" s="205">
        <f t="shared" si="148"/>
        <v>0</v>
      </c>
      <c r="YV40" s="207"/>
      <c r="YW40" s="207"/>
      <c r="YX40" s="207"/>
      <c r="YY40" s="207"/>
      <c r="YZ40" s="207"/>
      <c r="ZA40" s="272"/>
      <c r="ZB40" s="272"/>
      <c r="ZC40" s="205">
        <f t="shared" si="219"/>
        <v>0</v>
      </c>
      <c r="ZD40" s="205">
        <f t="shared" si="149"/>
        <v>0</v>
      </c>
      <c r="ZE40" s="207"/>
      <c r="ZF40" s="207"/>
      <c r="ZG40" s="207"/>
      <c r="ZH40" s="207"/>
      <c r="ZI40" s="207"/>
      <c r="ZJ40" s="272"/>
      <c r="ZK40" s="272"/>
      <c r="ZL40" s="205">
        <f t="shared" si="220"/>
        <v>0</v>
      </c>
      <c r="ZM40" s="207"/>
      <c r="ZN40" s="207"/>
      <c r="ZO40" s="207"/>
      <c r="ZP40" s="207"/>
      <c r="ZQ40" s="207"/>
      <c r="ZR40" s="272"/>
      <c r="ZS40" s="272"/>
      <c r="ZT40" s="205">
        <f t="shared" si="221"/>
        <v>0</v>
      </c>
      <c r="ZU40" s="207"/>
      <c r="ZV40" s="207"/>
      <c r="ZW40" s="207"/>
      <c r="ZX40" s="207"/>
      <c r="ZY40" s="207"/>
      <c r="ZZ40" s="272"/>
      <c r="AAA40" s="272"/>
      <c r="AAB40" s="205">
        <f t="shared" si="222"/>
        <v>0</v>
      </c>
      <c r="AAC40" s="207"/>
      <c r="AAD40" s="207"/>
      <c r="AAE40" s="207"/>
      <c r="AAF40" s="207"/>
      <c r="AAG40" s="207"/>
      <c r="AAH40" s="272"/>
      <c r="AAI40" s="272"/>
      <c r="AAJ40" s="205">
        <f t="shared" si="223"/>
        <v>0</v>
      </c>
      <c r="AAK40" s="207"/>
      <c r="AAL40" s="207"/>
      <c r="AAM40" s="207"/>
      <c r="AAN40" s="207"/>
      <c r="AAO40" s="207"/>
      <c r="AAP40" s="272"/>
      <c r="AAQ40" s="272"/>
      <c r="AAR40" s="205">
        <f t="shared" si="224"/>
        <v>0</v>
      </c>
      <c r="AAS40" s="205">
        <f t="shared" si="225"/>
        <v>0</v>
      </c>
    </row>
    <row r="41" spans="1:721" ht="69.95" customHeight="1">
      <c r="B41" s="153">
        <v>5701000032</v>
      </c>
      <c r="C41" s="328"/>
      <c r="D41" s="154" t="s">
        <v>63</v>
      </c>
      <c r="E41" s="130" t="s">
        <v>4</v>
      </c>
      <c r="F41" s="120"/>
      <c r="G41" s="120"/>
      <c r="H41" s="120"/>
      <c r="I41" s="120"/>
      <c r="J41" s="120"/>
      <c r="K41" s="209"/>
      <c r="L41" s="205"/>
      <c r="M41" s="205">
        <f t="shared" si="121"/>
        <v>0</v>
      </c>
      <c r="N41" s="120"/>
      <c r="O41" s="120"/>
      <c r="P41" s="120"/>
      <c r="Q41" s="120"/>
      <c r="R41" s="120"/>
      <c r="S41" s="209"/>
      <c r="T41" s="205"/>
      <c r="U41" s="205">
        <f t="shared" si="122"/>
        <v>0</v>
      </c>
      <c r="V41" s="120"/>
      <c r="W41" s="120"/>
      <c r="X41" s="120"/>
      <c r="Y41" s="120"/>
      <c r="Z41" s="120"/>
      <c r="AA41" s="209"/>
      <c r="AB41" s="205"/>
      <c r="AC41" s="205">
        <f t="shared" si="123"/>
        <v>0</v>
      </c>
      <c r="AD41" s="205"/>
      <c r="AE41" s="205"/>
      <c r="AF41" s="205"/>
      <c r="AG41" s="205"/>
      <c r="AH41" s="205"/>
      <c r="AI41" s="209"/>
      <c r="AJ41" s="205"/>
      <c r="AK41" s="205">
        <f t="shared" si="124"/>
        <v>0</v>
      </c>
      <c r="AL41" s="205" t="e">
        <f>SUM(#REF!,M41,U41,AC41,AD41:AH41)</f>
        <v>#REF!</v>
      </c>
      <c r="AM41" s="120"/>
      <c r="AN41" s="120"/>
      <c r="AO41" s="120"/>
      <c r="AP41" s="120"/>
      <c r="AQ41" s="120"/>
      <c r="AR41" s="209"/>
      <c r="AS41" s="205"/>
      <c r="AT41" s="205">
        <f t="shared" si="125"/>
        <v>0</v>
      </c>
      <c r="AU41" s="120"/>
      <c r="AV41" s="120"/>
      <c r="AW41" s="120"/>
      <c r="AX41" s="120"/>
      <c r="AY41" s="120"/>
      <c r="AZ41" s="209"/>
      <c r="BA41" s="205"/>
      <c r="BB41" s="205">
        <f t="shared" si="126"/>
        <v>0</v>
      </c>
      <c r="BC41" s="120"/>
      <c r="BD41" s="120"/>
      <c r="BE41" s="120"/>
      <c r="BF41" s="120"/>
      <c r="BG41" s="120"/>
      <c r="BH41" s="209"/>
      <c r="BI41" s="205"/>
      <c r="BJ41" s="205">
        <f t="shared" si="127"/>
        <v>0</v>
      </c>
      <c r="BK41" s="120"/>
      <c r="BL41" s="120"/>
      <c r="BM41" s="120"/>
      <c r="BN41" s="120"/>
      <c r="BO41" s="205"/>
      <c r="BP41" s="209"/>
      <c r="BQ41" s="205"/>
      <c r="BR41" s="205">
        <f t="shared" si="128"/>
        <v>0</v>
      </c>
      <c r="BS41" s="205">
        <f t="shared" si="129"/>
        <v>0</v>
      </c>
      <c r="BT41" s="120"/>
      <c r="BU41" s="120"/>
      <c r="BV41" s="120"/>
      <c r="BW41" s="120"/>
      <c r="BX41" s="120"/>
      <c r="BY41" s="209"/>
      <c r="BZ41" s="205"/>
      <c r="CA41" s="205">
        <f t="shared" si="130"/>
        <v>0</v>
      </c>
      <c r="CB41" s="120"/>
      <c r="CC41" s="120"/>
      <c r="CD41" s="120"/>
      <c r="CE41" s="120"/>
      <c r="CF41" s="120"/>
      <c r="CG41" s="209"/>
      <c r="CH41" s="205"/>
      <c r="CI41" s="205">
        <f t="shared" si="131"/>
        <v>0</v>
      </c>
      <c r="CJ41" s="120"/>
      <c r="CK41" s="120"/>
      <c r="CL41" s="120"/>
      <c r="CM41" s="120"/>
      <c r="CN41" s="120"/>
      <c r="CO41" s="209"/>
      <c r="CP41" s="205"/>
      <c r="CQ41" s="205">
        <f t="shared" si="132"/>
        <v>0</v>
      </c>
      <c r="CR41" s="120"/>
      <c r="CS41" s="120"/>
      <c r="CT41" s="120"/>
      <c r="CU41" s="120"/>
      <c r="CV41" s="120"/>
      <c r="CW41" s="209"/>
      <c r="CX41" s="205"/>
      <c r="CY41" s="205">
        <f t="shared" si="133"/>
        <v>0</v>
      </c>
      <c r="CZ41" s="120"/>
      <c r="DA41" s="120"/>
      <c r="DB41" s="120"/>
      <c r="DC41" s="205"/>
      <c r="DD41" s="205"/>
      <c r="DE41" s="209"/>
      <c r="DF41" s="205"/>
      <c r="DG41" s="205">
        <f t="shared" si="134"/>
        <v>0</v>
      </c>
      <c r="DH41" s="205">
        <f t="shared" si="150"/>
        <v>0</v>
      </c>
      <c r="DI41" s="120"/>
      <c r="DJ41" s="120"/>
      <c r="DK41" s="120"/>
      <c r="DL41" s="120"/>
      <c r="DM41" s="120"/>
      <c r="DN41" s="209"/>
      <c r="DO41" s="205"/>
      <c r="DP41" s="205">
        <f t="shared" si="228"/>
        <v>0</v>
      </c>
      <c r="DQ41" s="120"/>
      <c r="DR41" s="120"/>
      <c r="DS41" s="120"/>
      <c r="DT41" s="120"/>
      <c r="DU41" s="120"/>
      <c r="DV41" s="209"/>
      <c r="DW41" s="205"/>
      <c r="DX41" s="205">
        <f t="shared" si="136"/>
        <v>0</v>
      </c>
      <c r="DY41" s="120"/>
      <c r="DZ41" s="120"/>
      <c r="EA41" s="120"/>
      <c r="EB41" s="120"/>
      <c r="EC41" s="120"/>
      <c r="ED41" s="209"/>
      <c r="EE41" s="205"/>
      <c r="EF41" s="205">
        <f t="shared" si="137"/>
        <v>0</v>
      </c>
      <c r="EG41" s="120"/>
      <c r="EH41" s="120"/>
      <c r="EI41" s="120"/>
      <c r="EJ41" s="205"/>
      <c r="EK41" s="205"/>
      <c r="EL41" s="209"/>
      <c r="EM41" s="205"/>
      <c r="EN41" s="205">
        <f t="shared" si="138"/>
        <v>0</v>
      </c>
      <c r="EO41" s="205">
        <f t="shared" si="151"/>
        <v>0</v>
      </c>
      <c r="EP41" s="120"/>
      <c r="EQ41" s="120"/>
      <c r="ER41" s="120"/>
      <c r="ES41" s="120"/>
      <c r="ET41" s="120"/>
      <c r="EU41" s="209"/>
      <c r="EV41" s="205"/>
      <c r="EW41" s="205">
        <f t="shared" si="139"/>
        <v>0</v>
      </c>
      <c r="EX41" s="120"/>
      <c r="EY41" s="120"/>
      <c r="EZ41" s="120"/>
      <c r="FA41" s="120"/>
      <c r="FB41" s="120"/>
      <c r="FC41" s="209"/>
      <c r="FD41" s="205"/>
      <c r="FE41" s="205">
        <f t="shared" si="140"/>
        <v>0</v>
      </c>
      <c r="FF41" s="120"/>
      <c r="FG41" s="120"/>
      <c r="FH41" s="120"/>
      <c r="FI41" s="120"/>
      <c r="FJ41" s="120"/>
      <c r="FK41" s="209"/>
      <c r="FL41" s="205"/>
      <c r="FM41" s="205">
        <f t="shared" si="141"/>
        <v>0</v>
      </c>
      <c r="FN41" s="120"/>
      <c r="FO41" s="120"/>
      <c r="FP41" s="120"/>
      <c r="FQ41" s="120"/>
      <c r="FR41" s="205"/>
      <c r="FS41" s="209"/>
      <c r="FT41" s="205"/>
      <c r="FU41" s="205">
        <f t="shared" si="142"/>
        <v>0</v>
      </c>
      <c r="FV41" s="205">
        <f t="shared" si="152"/>
        <v>0</v>
      </c>
      <c r="FW41" s="120"/>
      <c r="FX41" s="120"/>
      <c r="FY41" s="120"/>
      <c r="FZ41" s="120"/>
      <c r="GA41" s="120"/>
      <c r="GB41" s="209"/>
      <c r="GC41" s="205"/>
      <c r="GD41" s="205">
        <f t="shared" si="143"/>
        <v>0</v>
      </c>
      <c r="GE41" s="120"/>
      <c r="GF41" s="120"/>
      <c r="GG41" s="120"/>
      <c r="GH41" s="120"/>
      <c r="GI41" s="120"/>
      <c r="GJ41" s="209"/>
      <c r="GK41" s="205"/>
      <c r="GL41" s="205">
        <f t="shared" si="144"/>
        <v>0</v>
      </c>
      <c r="GM41" s="120"/>
      <c r="GN41" s="120"/>
      <c r="GO41" s="120"/>
      <c r="GP41" s="120"/>
      <c r="GQ41" s="120"/>
      <c r="GR41" s="209"/>
      <c r="GS41" s="205"/>
      <c r="GT41" s="205">
        <f t="shared" si="145"/>
        <v>0</v>
      </c>
      <c r="GU41" s="120"/>
      <c r="GV41" s="120"/>
      <c r="GW41" s="120"/>
      <c r="GX41" s="120"/>
      <c r="GY41" s="120"/>
      <c r="GZ41" s="209"/>
      <c r="HA41" s="205"/>
      <c r="HB41" s="205">
        <f t="shared" si="146"/>
        <v>0</v>
      </c>
      <c r="HC41" s="120"/>
      <c r="HD41" s="120"/>
      <c r="HE41" s="120"/>
      <c r="HF41" s="120"/>
      <c r="HG41" s="120"/>
      <c r="HH41" s="209"/>
      <c r="HI41" s="205"/>
      <c r="HJ41" s="205">
        <f t="shared" si="147"/>
        <v>0</v>
      </c>
      <c r="HK41" s="205">
        <f t="shared" si="153"/>
        <v>0</v>
      </c>
      <c r="HL41" s="124"/>
      <c r="HM41" s="120"/>
      <c r="HN41" s="120"/>
      <c r="HO41" s="120"/>
      <c r="HP41" s="120"/>
      <c r="HQ41" s="205"/>
      <c r="HR41" s="205"/>
      <c r="HS41" s="205">
        <f t="shared" si="154"/>
        <v>0</v>
      </c>
      <c r="HT41" s="120"/>
      <c r="HU41" s="120"/>
      <c r="HV41" s="120"/>
      <c r="HW41" s="120"/>
      <c r="HX41" s="120"/>
      <c r="HY41" s="205"/>
      <c r="HZ41" s="205"/>
      <c r="IA41" s="205">
        <f t="shared" si="155"/>
        <v>0</v>
      </c>
      <c r="IB41" s="120"/>
      <c r="IC41" s="120"/>
      <c r="ID41" s="120"/>
      <c r="IE41" s="120"/>
      <c r="IF41" s="120"/>
      <c r="IG41" s="205"/>
      <c r="IH41" s="205"/>
      <c r="II41" s="205">
        <f t="shared" si="156"/>
        <v>0</v>
      </c>
      <c r="IJ41" s="120"/>
      <c r="IK41" s="120"/>
      <c r="IL41" s="120"/>
      <c r="IM41" s="120"/>
      <c r="IN41" s="120"/>
      <c r="IO41" s="205"/>
      <c r="IP41" s="205"/>
      <c r="IQ41" s="205">
        <f t="shared" si="157"/>
        <v>0</v>
      </c>
      <c r="IR41" s="205">
        <f t="shared" si="158"/>
        <v>0</v>
      </c>
      <c r="IS41" s="120"/>
      <c r="IT41" s="120"/>
      <c r="IU41" s="120"/>
      <c r="IV41" s="120"/>
      <c r="IW41" s="120"/>
      <c r="IX41" s="205"/>
      <c r="IY41" s="205"/>
      <c r="IZ41" s="205">
        <f t="shared" si="159"/>
        <v>0</v>
      </c>
      <c r="JA41" s="120"/>
      <c r="JB41" s="120"/>
      <c r="JC41" s="120"/>
      <c r="JD41" s="120"/>
      <c r="JE41" s="120"/>
      <c r="JF41" s="205"/>
      <c r="JG41" s="205"/>
      <c r="JH41" s="205">
        <f t="shared" si="160"/>
        <v>0</v>
      </c>
      <c r="JI41" s="120"/>
      <c r="JJ41" s="120"/>
      <c r="JK41" s="120"/>
      <c r="JL41" s="120"/>
      <c r="JM41" s="120"/>
      <c r="JN41" s="205"/>
      <c r="JO41" s="205"/>
      <c r="JP41" s="205">
        <f t="shared" si="161"/>
        <v>0</v>
      </c>
      <c r="JQ41" s="120"/>
      <c r="JR41" s="120"/>
      <c r="JS41" s="120"/>
      <c r="JT41" s="120"/>
      <c r="JU41" s="120"/>
      <c r="JV41" s="205"/>
      <c r="JW41" s="205"/>
      <c r="JX41" s="205">
        <f t="shared" si="162"/>
        <v>0</v>
      </c>
      <c r="JY41" s="205">
        <f t="shared" si="163"/>
        <v>0</v>
      </c>
      <c r="JZ41" s="120"/>
      <c r="KA41" s="120"/>
      <c r="KB41" s="120"/>
      <c r="KC41" s="120"/>
      <c r="KD41" s="120"/>
      <c r="KE41" s="205"/>
      <c r="KF41" s="205"/>
      <c r="KG41" s="205">
        <f t="shared" si="164"/>
        <v>0</v>
      </c>
      <c r="KH41" s="120"/>
      <c r="KI41" s="120"/>
      <c r="KJ41" s="120"/>
      <c r="KK41" s="120"/>
      <c r="KL41" s="120"/>
      <c r="KM41" s="205"/>
      <c r="KN41" s="205"/>
      <c r="KO41" s="205">
        <f t="shared" si="165"/>
        <v>0</v>
      </c>
      <c r="KP41" s="120"/>
      <c r="KQ41" s="120"/>
      <c r="KR41" s="120"/>
      <c r="KS41" s="120"/>
      <c r="KT41" s="120"/>
      <c r="KU41" s="205"/>
      <c r="KV41" s="205"/>
      <c r="KW41" s="205">
        <f t="shared" si="166"/>
        <v>0</v>
      </c>
      <c r="KX41" s="120"/>
      <c r="KY41" s="120"/>
      <c r="KZ41" s="120"/>
      <c r="LA41" s="120"/>
      <c r="LB41" s="120"/>
      <c r="LC41" s="205"/>
      <c r="LD41" s="205"/>
      <c r="LE41" s="205">
        <f t="shared" si="167"/>
        <v>0</v>
      </c>
      <c r="LF41" s="205"/>
      <c r="LG41" s="120"/>
      <c r="LH41" s="120"/>
      <c r="LI41" s="120"/>
      <c r="LJ41" s="120"/>
      <c r="LK41" s="205"/>
      <c r="LL41" s="205"/>
      <c r="LM41" s="205">
        <f t="shared" si="168"/>
        <v>0</v>
      </c>
      <c r="LN41" s="205">
        <f t="shared" si="169"/>
        <v>0</v>
      </c>
      <c r="LO41" s="205"/>
      <c r="LP41" s="120"/>
      <c r="LQ41" s="120"/>
      <c r="LR41" s="120"/>
      <c r="LS41" s="205"/>
      <c r="LT41" s="205"/>
      <c r="LU41" s="205"/>
      <c r="LV41" s="205">
        <f t="shared" si="170"/>
        <v>0</v>
      </c>
      <c r="LW41" s="120"/>
      <c r="LX41" s="120"/>
      <c r="LY41" s="120"/>
      <c r="LZ41" s="120"/>
      <c r="MA41" s="120"/>
      <c r="MB41" s="205"/>
      <c r="MC41" s="205"/>
      <c r="MD41" s="205">
        <f t="shared" si="171"/>
        <v>0</v>
      </c>
      <c r="ME41" s="120"/>
      <c r="MF41" s="120"/>
      <c r="MG41" s="120"/>
      <c r="MH41" s="120"/>
      <c r="MI41" s="205"/>
      <c r="MJ41" s="205"/>
      <c r="MK41" s="205"/>
      <c r="ML41" s="205">
        <f t="shared" si="172"/>
        <v>0</v>
      </c>
      <c r="MM41" s="120"/>
      <c r="MN41" s="120"/>
      <c r="MO41" s="120"/>
      <c r="MP41" s="120"/>
      <c r="MQ41" s="120"/>
      <c r="MR41" s="205"/>
      <c r="MS41" s="205"/>
      <c r="MT41" s="205">
        <f t="shared" si="173"/>
        <v>0</v>
      </c>
      <c r="MU41" s="205">
        <f t="shared" si="174"/>
        <v>0</v>
      </c>
      <c r="MV41" s="120"/>
      <c r="MW41" s="120"/>
      <c r="MX41" s="120"/>
      <c r="MY41" s="120"/>
      <c r="MZ41" s="120"/>
      <c r="NA41" s="205"/>
      <c r="NB41" s="205"/>
      <c r="NC41" s="205">
        <f t="shared" si="175"/>
        <v>0</v>
      </c>
      <c r="ND41" s="120"/>
      <c r="NE41" s="120"/>
      <c r="NF41" s="120"/>
      <c r="NG41" s="120"/>
      <c r="NH41" s="120"/>
      <c r="NI41" s="205"/>
      <c r="NJ41" s="205"/>
      <c r="NK41" s="205">
        <f t="shared" si="176"/>
        <v>0</v>
      </c>
      <c r="NL41" s="120"/>
      <c r="NM41" s="120"/>
      <c r="NN41" s="120"/>
      <c r="NO41" s="120"/>
      <c r="NP41" s="120"/>
      <c r="NQ41" s="205"/>
      <c r="NR41" s="205"/>
      <c r="NS41" s="205">
        <f t="shared" si="177"/>
        <v>0</v>
      </c>
      <c r="NT41" s="120"/>
      <c r="NU41" s="120"/>
      <c r="NV41" s="120"/>
      <c r="NW41" s="120"/>
      <c r="NX41" s="120"/>
      <c r="NY41" s="205"/>
      <c r="NZ41" s="205"/>
      <c r="OA41" s="205">
        <f t="shared" si="178"/>
        <v>0</v>
      </c>
      <c r="OB41" s="205">
        <f t="shared" si="179"/>
        <v>0</v>
      </c>
      <c r="OC41" s="120"/>
      <c r="OD41" s="120"/>
      <c r="OE41" s="120"/>
      <c r="OF41" s="120"/>
      <c r="OG41" s="120"/>
      <c r="OH41" s="205"/>
      <c r="OI41" s="205"/>
      <c r="OJ41" s="205">
        <f t="shared" si="180"/>
        <v>0</v>
      </c>
      <c r="OK41" s="120"/>
      <c r="OL41" s="120"/>
      <c r="OM41" s="120"/>
      <c r="ON41" s="120"/>
      <c r="OO41" s="120"/>
      <c r="OP41" s="205"/>
      <c r="OQ41" s="205"/>
      <c r="OR41" s="205">
        <f t="shared" si="181"/>
        <v>0</v>
      </c>
      <c r="OS41" s="120"/>
      <c r="OT41" s="120"/>
      <c r="OU41" s="120"/>
      <c r="OV41" s="120"/>
      <c r="OW41" s="120"/>
      <c r="OX41" s="205"/>
      <c r="OY41" s="205"/>
      <c r="OZ41" s="205">
        <f t="shared" si="182"/>
        <v>0</v>
      </c>
      <c r="PA41" s="120"/>
      <c r="PB41" s="120"/>
      <c r="PC41" s="120"/>
      <c r="PD41" s="205"/>
      <c r="PE41" s="217"/>
      <c r="PF41" s="205"/>
      <c r="PG41" s="205"/>
      <c r="PH41" s="205">
        <f t="shared" si="183"/>
        <v>0</v>
      </c>
      <c r="PI41" s="120"/>
      <c r="PJ41" s="120"/>
      <c r="PK41" s="120"/>
      <c r="PL41" s="205"/>
      <c r="PM41" s="217"/>
      <c r="PN41" s="205"/>
      <c r="PO41" s="205"/>
      <c r="PP41" s="205">
        <f t="shared" si="184"/>
        <v>0</v>
      </c>
      <c r="PQ41" s="205">
        <f t="shared" si="185"/>
        <v>0</v>
      </c>
      <c r="PR41" s="207"/>
      <c r="PS41" s="207"/>
      <c r="PT41" s="207"/>
      <c r="PU41" s="207"/>
      <c r="PV41" s="207"/>
      <c r="PW41" s="272"/>
      <c r="PX41" s="272"/>
      <c r="PY41" s="205">
        <f t="shared" si="186"/>
        <v>0</v>
      </c>
      <c r="PZ41" s="207"/>
      <c r="QA41" s="207"/>
      <c r="QB41" s="207"/>
      <c r="QC41" s="207"/>
      <c r="QD41" s="207"/>
      <c r="QE41" s="272"/>
      <c r="QF41" s="272"/>
      <c r="QG41" s="205">
        <f t="shared" si="187"/>
        <v>0</v>
      </c>
      <c r="QH41" s="207"/>
      <c r="QI41" s="207"/>
      <c r="QJ41" s="294"/>
      <c r="QK41" s="207"/>
      <c r="QL41" s="207"/>
      <c r="QM41" s="272"/>
      <c r="QN41" s="272"/>
      <c r="QO41" s="205">
        <f t="shared" si="188"/>
        <v>0</v>
      </c>
      <c r="QP41" s="207"/>
      <c r="QQ41" s="207"/>
      <c r="QR41" s="207"/>
      <c r="QS41" s="207"/>
      <c r="QT41" s="207"/>
      <c r="QU41" s="272"/>
      <c r="QV41" s="272"/>
      <c r="QW41" s="205">
        <f t="shared" si="189"/>
        <v>0</v>
      </c>
      <c r="QX41" s="205">
        <f t="shared" si="190"/>
        <v>0</v>
      </c>
      <c r="QY41" s="207"/>
      <c r="QZ41" s="207"/>
      <c r="RA41" s="207"/>
      <c r="RB41" s="207"/>
      <c r="RC41" s="207"/>
      <c r="RD41" s="272"/>
      <c r="RE41" s="272"/>
      <c r="RF41" s="205">
        <f t="shared" si="191"/>
        <v>0</v>
      </c>
      <c r="RG41" s="207"/>
      <c r="RH41" s="207"/>
      <c r="RI41" s="207"/>
      <c r="RJ41" s="207"/>
      <c r="RK41" s="207"/>
      <c r="RL41" s="272"/>
      <c r="RM41" s="272"/>
      <c r="RN41" s="205">
        <f t="shared" si="192"/>
        <v>0</v>
      </c>
      <c r="RO41" s="272"/>
      <c r="RP41" s="272"/>
      <c r="RQ41" s="272"/>
      <c r="RR41" s="272"/>
      <c r="RS41" s="272"/>
      <c r="RT41" s="272"/>
      <c r="RU41" s="272"/>
      <c r="RV41" s="205">
        <f t="shared" si="193"/>
        <v>0</v>
      </c>
      <c r="RW41" s="207"/>
      <c r="RX41" s="207"/>
      <c r="RY41" s="207"/>
      <c r="RZ41" s="207"/>
      <c r="SA41" s="272"/>
      <c r="SB41" s="272"/>
      <c r="SC41" s="272"/>
      <c r="SD41" s="205">
        <f t="shared" si="194"/>
        <v>0</v>
      </c>
      <c r="SE41" s="205">
        <f t="shared" si="195"/>
        <v>0</v>
      </c>
      <c r="SF41" s="207"/>
      <c r="SG41" s="207"/>
      <c r="SH41" s="207"/>
      <c r="SI41" s="207"/>
      <c r="SJ41" s="207"/>
      <c r="SK41" s="272"/>
      <c r="SL41" s="272"/>
      <c r="SM41" s="205">
        <f t="shared" si="196"/>
        <v>0</v>
      </c>
      <c r="SN41" s="207"/>
      <c r="SO41" s="207"/>
      <c r="SP41" s="207"/>
      <c r="SQ41" s="207"/>
      <c r="SR41" s="207"/>
      <c r="SS41" s="272"/>
      <c r="ST41" s="272"/>
      <c r="SU41" s="205">
        <f t="shared" si="197"/>
        <v>0</v>
      </c>
      <c r="SV41" s="207"/>
      <c r="SW41" s="207"/>
      <c r="SX41" s="207"/>
      <c r="SY41" s="207"/>
      <c r="SZ41" s="207"/>
      <c r="TA41" s="272"/>
      <c r="TB41" s="272"/>
      <c r="TC41" s="205">
        <f t="shared" si="198"/>
        <v>0</v>
      </c>
      <c r="TD41" s="207"/>
      <c r="TE41" s="207"/>
      <c r="TF41" s="207"/>
      <c r="TG41" s="207"/>
      <c r="TH41" s="207"/>
      <c r="TI41" s="272"/>
      <c r="TJ41" s="272"/>
      <c r="TK41" s="205">
        <f t="shared" si="199"/>
        <v>0</v>
      </c>
      <c r="TL41" s="207"/>
      <c r="TM41" s="207"/>
      <c r="TN41" s="207"/>
      <c r="TO41" s="207"/>
      <c r="TP41" s="272"/>
      <c r="TQ41" s="272"/>
      <c r="TR41" s="272"/>
      <c r="TS41" s="205">
        <f t="shared" si="200"/>
        <v>0</v>
      </c>
      <c r="TT41" s="205">
        <f t="shared" si="201"/>
        <v>0</v>
      </c>
      <c r="TU41" s="272"/>
      <c r="TV41" s="207"/>
      <c r="TW41" s="207"/>
      <c r="TX41" s="207"/>
      <c r="TY41" s="207"/>
      <c r="TZ41" s="272"/>
      <c r="UA41" s="272"/>
      <c r="UB41" s="205">
        <f t="shared" si="202"/>
        <v>0</v>
      </c>
      <c r="UC41" s="207"/>
      <c r="UD41" s="207"/>
      <c r="UE41" s="207"/>
      <c r="UF41" s="207"/>
      <c r="UG41" s="207"/>
      <c r="UH41" s="272"/>
      <c r="UI41" s="272"/>
      <c r="UJ41" s="205">
        <f t="shared" si="203"/>
        <v>0</v>
      </c>
      <c r="UK41" s="207"/>
      <c r="UL41" s="207"/>
      <c r="UM41" s="207"/>
      <c r="UN41" s="207"/>
      <c r="UO41" s="207"/>
      <c r="UP41" s="272"/>
      <c r="UQ41" s="272"/>
      <c r="UR41" s="205">
        <f t="shared" si="227"/>
        <v>0</v>
      </c>
      <c r="US41" s="207"/>
      <c r="UT41" s="207"/>
      <c r="UU41" s="207"/>
      <c r="UV41" s="207"/>
      <c r="UW41" s="272"/>
      <c r="UX41" s="272"/>
      <c r="UY41" s="272"/>
      <c r="UZ41" s="205">
        <f t="shared" si="204"/>
        <v>0</v>
      </c>
      <c r="VA41" s="205">
        <f t="shared" si="205"/>
        <v>0</v>
      </c>
      <c r="VB41" s="207"/>
      <c r="VC41" s="207"/>
      <c r="VD41" s="207"/>
      <c r="VE41" s="207"/>
      <c r="VF41" s="207"/>
      <c r="VG41" s="272"/>
      <c r="VH41" s="272"/>
      <c r="VI41" s="205">
        <f t="shared" si="206"/>
        <v>0</v>
      </c>
      <c r="VJ41" s="207"/>
      <c r="VK41" s="207"/>
      <c r="VL41" s="207"/>
      <c r="VM41" s="207"/>
      <c r="VN41" s="207"/>
      <c r="VO41" s="272"/>
      <c r="VP41" s="272"/>
      <c r="VQ41" s="205">
        <f t="shared" si="207"/>
        <v>0</v>
      </c>
      <c r="VR41" s="207"/>
      <c r="VS41" s="207"/>
      <c r="VT41" s="207"/>
      <c r="VU41" s="207"/>
      <c r="VV41" s="207"/>
      <c r="VW41" s="272"/>
      <c r="VX41" s="272"/>
      <c r="VY41" s="205">
        <f t="shared" si="208"/>
        <v>0</v>
      </c>
      <c r="VZ41" s="207"/>
      <c r="WA41" s="207"/>
      <c r="WB41" s="207"/>
      <c r="WC41" s="207"/>
      <c r="WD41" s="207"/>
      <c r="WE41" s="272"/>
      <c r="WF41" s="272"/>
      <c r="WG41" s="205">
        <f t="shared" si="209"/>
        <v>0</v>
      </c>
      <c r="WH41" s="205">
        <f t="shared" si="210"/>
        <v>0</v>
      </c>
      <c r="WI41" s="207"/>
      <c r="WJ41" s="207"/>
      <c r="WK41" s="207"/>
      <c r="WL41" s="207"/>
      <c r="WM41" s="207"/>
      <c r="WN41" s="272"/>
      <c r="WO41" s="272"/>
      <c r="WP41" s="205">
        <f t="shared" si="211"/>
        <v>0</v>
      </c>
      <c r="WQ41" s="207"/>
      <c r="WR41" s="207"/>
      <c r="WS41" s="207"/>
      <c r="WT41" s="207"/>
      <c r="WU41" s="207"/>
      <c r="WV41" s="272"/>
      <c r="WW41" s="272"/>
      <c r="WX41" s="205">
        <f t="shared" si="212"/>
        <v>0</v>
      </c>
      <c r="WY41" s="207"/>
      <c r="WZ41" s="207"/>
      <c r="XA41" s="207"/>
      <c r="XB41" s="207"/>
      <c r="XC41" s="272"/>
      <c r="XD41" s="272"/>
      <c r="XE41" s="272"/>
      <c r="XF41" s="205">
        <f t="shared" si="213"/>
        <v>0</v>
      </c>
      <c r="XG41" s="207"/>
      <c r="XH41" s="207"/>
      <c r="XI41" s="207"/>
      <c r="XJ41" s="207"/>
      <c r="XK41" s="207"/>
      <c r="XL41" s="272"/>
      <c r="XM41" s="272"/>
      <c r="XN41" s="205">
        <f t="shared" si="214"/>
        <v>0</v>
      </c>
      <c r="XO41" s="207"/>
      <c r="XP41" s="207"/>
      <c r="XQ41" s="207"/>
      <c r="XR41" s="207"/>
      <c r="XS41" s="207"/>
      <c r="XT41" s="272"/>
      <c r="XU41" s="272"/>
      <c r="XV41" s="205">
        <f t="shared" si="215"/>
        <v>0</v>
      </c>
      <c r="XW41" s="205">
        <f t="shared" si="216"/>
        <v>0</v>
      </c>
      <c r="XX41" s="207"/>
      <c r="XY41" s="207"/>
      <c r="XZ41" s="207"/>
      <c r="YA41" s="207"/>
      <c r="YB41" s="207"/>
      <c r="YC41" s="272"/>
      <c r="YD41" s="272"/>
      <c r="YE41" s="205">
        <f t="shared" si="217"/>
        <v>0</v>
      </c>
      <c r="YF41" s="207"/>
      <c r="YG41" s="207"/>
      <c r="YH41" s="207"/>
      <c r="YI41" s="207"/>
      <c r="YJ41" s="207"/>
      <c r="YK41" s="272"/>
      <c r="YL41" s="272"/>
      <c r="YM41" s="205">
        <f t="shared" si="218"/>
        <v>0</v>
      </c>
      <c r="YN41" s="207"/>
      <c r="YO41" s="207"/>
      <c r="YP41" s="207"/>
      <c r="YQ41" s="207"/>
      <c r="YR41" s="207"/>
      <c r="YS41" s="272"/>
      <c r="YT41" s="272"/>
      <c r="YU41" s="205">
        <f t="shared" si="148"/>
        <v>0</v>
      </c>
      <c r="YV41" s="207"/>
      <c r="YW41" s="207"/>
      <c r="YX41" s="207"/>
      <c r="YY41" s="207"/>
      <c r="YZ41" s="207"/>
      <c r="ZA41" s="272"/>
      <c r="ZB41" s="272"/>
      <c r="ZC41" s="205">
        <f t="shared" si="219"/>
        <v>0</v>
      </c>
      <c r="ZD41" s="205">
        <f t="shared" si="149"/>
        <v>0</v>
      </c>
      <c r="ZE41" s="207"/>
      <c r="ZF41" s="207"/>
      <c r="ZG41" s="207"/>
      <c r="ZH41" s="207"/>
      <c r="ZI41" s="207"/>
      <c r="ZJ41" s="272"/>
      <c r="ZK41" s="272"/>
      <c r="ZL41" s="205">
        <f t="shared" si="220"/>
        <v>0</v>
      </c>
      <c r="ZM41" s="207"/>
      <c r="ZN41" s="207"/>
      <c r="ZO41" s="207"/>
      <c r="ZP41" s="207"/>
      <c r="ZQ41" s="207"/>
      <c r="ZR41" s="272"/>
      <c r="ZS41" s="272"/>
      <c r="ZT41" s="205">
        <f t="shared" si="221"/>
        <v>0</v>
      </c>
      <c r="ZU41" s="207"/>
      <c r="ZV41" s="207"/>
      <c r="ZW41" s="207"/>
      <c r="ZX41" s="207"/>
      <c r="ZY41" s="207"/>
      <c r="ZZ41" s="272"/>
      <c r="AAA41" s="272"/>
      <c r="AAB41" s="205">
        <f t="shared" si="222"/>
        <v>0</v>
      </c>
      <c r="AAC41" s="207"/>
      <c r="AAD41" s="207"/>
      <c r="AAE41" s="207"/>
      <c r="AAF41" s="207"/>
      <c r="AAG41" s="207"/>
      <c r="AAH41" s="272"/>
      <c r="AAI41" s="272"/>
      <c r="AAJ41" s="205">
        <f t="shared" si="223"/>
        <v>0</v>
      </c>
      <c r="AAK41" s="207"/>
      <c r="AAL41" s="207"/>
      <c r="AAM41" s="207"/>
      <c r="AAN41" s="207"/>
      <c r="AAO41" s="207"/>
      <c r="AAP41" s="272"/>
      <c r="AAQ41" s="272"/>
      <c r="AAR41" s="205">
        <f t="shared" si="224"/>
        <v>0</v>
      </c>
      <c r="AAS41" s="205">
        <f t="shared" si="225"/>
        <v>0</v>
      </c>
    </row>
    <row r="42" spans="1:721" ht="75" customHeight="1">
      <c r="A42" s="117" t="s">
        <v>6</v>
      </c>
      <c r="B42" s="153">
        <v>5701000033</v>
      </c>
      <c r="C42" s="328"/>
      <c r="D42" s="154" t="s">
        <v>20</v>
      </c>
      <c r="E42" s="130" t="s">
        <v>4</v>
      </c>
      <c r="F42" s="120"/>
      <c r="G42" s="120"/>
      <c r="H42" s="120"/>
      <c r="I42" s="120"/>
      <c r="J42" s="120"/>
      <c r="K42" s="209"/>
      <c r="L42" s="205"/>
      <c r="M42" s="205">
        <f t="shared" si="121"/>
        <v>0</v>
      </c>
      <c r="N42" s="120"/>
      <c r="O42" s="120"/>
      <c r="P42" s="120"/>
      <c r="Q42" s="120"/>
      <c r="R42" s="120"/>
      <c r="S42" s="209"/>
      <c r="T42" s="205"/>
      <c r="U42" s="205">
        <f t="shared" si="122"/>
        <v>0</v>
      </c>
      <c r="V42" s="120"/>
      <c r="W42" s="120"/>
      <c r="X42" s="120"/>
      <c r="Y42" s="120"/>
      <c r="Z42" s="120"/>
      <c r="AA42" s="209"/>
      <c r="AB42" s="205"/>
      <c r="AC42" s="205">
        <f t="shared" si="123"/>
        <v>0</v>
      </c>
      <c r="AD42" s="205"/>
      <c r="AE42" s="205"/>
      <c r="AF42" s="205"/>
      <c r="AG42" s="205"/>
      <c r="AH42" s="205"/>
      <c r="AI42" s="209"/>
      <c r="AJ42" s="205"/>
      <c r="AK42" s="205">
        <f t="shared" si="124"/>
        <v>0</v>
      </c>
      <c r="AL42" s="205" t="e">
        <f>SUM(#REF!,M42,U42,AC42,AD42:AH42)</f>
        <v>#REF!</v>
      </c>
      <c r="AM42" s="120"/>
      <c r="AN42" s="120"/>
      <c r="AO42" s="120"/>
      <c r="AP42" s="120"/>
      <c r="AQ42" s="120"/>
      <c r="AR42" s="209"/>
      <c r="AS42" s="205"/>
      <c r="AT42" s="205">
        <f t="shared" si="125"/>
        <v>0</v>
      </c>
      <c r="AU42" s="120"/>
      <c r="AV42" s="120"/>
      <c r="AW42" s="120"/>
      <c r="AX42" s="120"/>
      <c r="AY42" s="120"/>
      <c r="AZ42" s="209"/>
      <c r="BA42" s="205"/>
      <c r="BB42" s="205">
        <f t="shared" si="126"/>
        <v>0</v>
      </c>
      <c r="BC42" s="120"/>
      <c r="BD42" s="120"/>
      <c r="BE42" s="120"/>
      <c r="BF42" s="120"/>
      <c r="BG42" s="120"/>
      <c r="BH42" s="209"/>
      <c r="BI42" s="205"/>
      <c r="BJ42" s="205">
        <f t="shared" si="127"/>
        <v>0</v>
      </c>
      <c r="BK42" s="120"/>
      <c r="BL42" s="120"/>
      <c r="BM42" s="120"/>
      <c r="BN42" s="120"/>
      <c r="BO42" s="205"/>
      <c r="BP42" s="209"/>
      <c r="BQ42" s="205"/>
      <c r="BR42" s="205">
        <f t="shared" si="128"/>
        <v>0</v>
      </c>
      <c r="BS42" s="205">
        <f t="shared" si="129"/>
        <v>0</v>
      </c>
      <c r="BT42" s="120"/>
      <c r="BU42" s="120"/>
      <c r="BV42" s="120"/>
      <c r="BW42" s="120"/>
      <c r="BX42" s="120"/>
      <c r="BY42" s="209"/>
      <c r="BZ42" s="205"/>
      <c r="CA42" s="205">
        <f t="shared" si="130"/>
        <v>0</v>
      </c>
      <c r="CB42" s="120"/>
      <c r="CC42" s="120"/>
      <c r="CD42" s="120"/>
      <c r="CE42" s="120"/>
      <c r="CF42" s="120"/>
      <c r="CG42" s="209"/>
      <c r="CH42" s="205"/>
      <c r="CI42" s="205">
        <f t="shared" si="131"/>
        <v>0</v>
      </c>
      <c r="CJ42" s="120"/>
      <c r="CK42" s="120"/>
      <c r="CL42" s="120"/>
      <c r="CM42" s="120"/>
      <c r="CN42" s="120"/>
      <c r="CO42" s="209"/>
      <c r="CP42" s="205"/>
      <c r="CQ42" s="205">
        <f t="shared" si="132"/>
        <v>0</v>
      </c>
      <c r="CR42" s="120"/>
      <c r="CS42" s="120"/>
      <c r="CT42" s="120"/>
      <c r="CU42" s="120"/>
      <c r="CV42" s="120"/>
      <c r="CW42" s="209"/>
      <c r="CX42" s="205"/>
      <c r="CY42" s="205">
        <f t="shared" si="133"/>
        <v>0</v>
      </c>
      <c r="CZ42" s="120"/>
      <c r="DA42" s="120"/>
      <c r="DB42" s="120"/>
      <c r="DC42" s="205"/>
      <c r="DD42" s="205"/>
      <c r="DE42" s="209"/>
      <c r="DF42" s="205"/>
      <c r="DG42" s="205">
        <f t="shared" si="134"/>
        <v>0</v>
      </c>
      <c r="DH42" s="205">
        <f t="shared" si="150"/>
        <v>0</v>
      </c>
      <c r="DI42" s="120"/>
      <c r="DJ42" s="120"/>
      <c r="DK42" s="120"/>
      <c r="DL42" s="120"/>
      <c r="DM42" s="120"/>
      <c r="DN42" s="209"/>
      <c r="DO42" s="205"/>
      <c r="DP42" s="205">
        <f t="shared" si="228"/>
        <v>0</v>
      </c>
      <c r="DQ42" s="120"/>
      <c r="DR42" s="120"/>
      <c r="DS42" s="120"/>
      <c r="DT42" s="120"/>
      <c r="DU42" s="120"/>
      <c r="DV42" s="209"/>
      <c r="DW42" s="205"/>
      <c r="DX42" s="205">
        <f t="shared" si="136"/>
        <v>0</v>
      </c>
      <c r="DY42" s="120"/>
      <c r="DZ42" s="120"/>
      <c r="EA42" s="120"/>
      <c r="EB42" s="120"/>
      <c r="EC42" s="120"/>
      <c r="ED42" s="209"/>
      <c r="EE42" s="205"/>
      <c r="EF42" s="205">
        <f t="shared" si="137"/>
        <v>0</v>
      </c>
      <c r="EG42" s="120"/>
      <c r="EH42" s="120"/>
      <c r="EI42" s="120"/>
      <c r="EJ42" s="205"/>
      <c r="EK42" s="205"/>
      <c r="EL42" s="209"/>
      <c r="EM42" s="205"/>
      <c r="EN42" s="205">
        <f t="shared" si="138"/>
        <v>0</v>
      </c>
      <c r="EO42" s="205">
        <f t="shared" si="151"/>
        <v>0</v>
      </c>
      <c r="EP42" s="120"/>
      <c r="EQ42" s="120"/>
      <c r="ER42" s="120"/>
      <c r="ES42" s="120"/>
      <c r="ET42" s="120"/>
      <c r="EU42" s="209"/>
      <c r="EV42" s="205"/>
      <c r="EW42" s="205">
        <f t="shared" si="139"/>
        <v>0</v>
      </c>
      <c r="EX42" s="120"/>
      <c r="EY42" s="120"/>
      <c r="EZ42" s="120"/>
      <c r="FA42" s="120"/>
      <c r="FB42" s="120"/>
      <c r="FC42" s="209"/>
      <c r="FD42" s="205"/>
      <c r="FE42" s="205">
        <f t="shared" si="140"/>
        <v>0</v>
      </c>
      <c r="FF42" s="120"/>
      <c r="FG42" s="120"/>
      <c r="FH42" s="120"/>
      <c r="FI42" s="120"/>
      <c r="FJ42" s="120"/>
      <c r="FK42" s="209"/>
      <c r="FL42" s="205"/>
      <c r="FM42" s="205">
        <f t="shared" si="141"/>
        <v>0</v>
      </c>
      <c r="FN42" s="120"/>
      <c r="FO42" s="120"/>
      <c r="FP42" s="120"/>
      <c r="FQ42" s="120"/>
      <c r="FR42" s="205"/>
      <c r="FS42" s="209"/>
      <c r="FT42" s="205"/>
      <c r="FU42" s="205">
        <f t="shared" si="142"/>
        <v>0</v>
      </c>
      <c r="FV42" s="205">
        <f t="shared" si="152"/>
        <v>0</v>
      </c>
      <c r="FW42" s="120"/>
      <c r="FX42" s="120"/>
      <c r="FY42" s="120"/>
      <c r="FZ42" s="120"/>
      <c r="GA42" s="120"/>
      <c r="GB42" s="209"/>
      <c r="GC42" s="205"/>
      <c r="GD42" s="205">
        <f t="shared" si="143"/>
        <v>0</v>
      </c>
      <c r="GE42" s="120"/>
      <c r="GF42" s="120"/>
      <c r="GG42" s="120"/>
      <c r="GH42" s="120"/>
      <c r="GI42" s="120"/>
      <c r="GJ42" s="209"/>
      <c r="GK42" s="205"/>
      <c r="GL42" s="205">
        <f t="shared" si="144"/>
        <v>0</v>
      </c>
      <c r="GM42" s="120"/>
      <c r="GN42" s="120"/>
      <c r="GO42" s="120"/>
      <c r="GP42" s="120"/>
      <c r="GQ42" s="120"/>
      <c r="GR42" s="209"/>
      <c r="GS42" s="205"/>
      <c r="GT42" s="205">
        <f t="shared" si="145"/>
        <v>0</v>
      </c>
      <c r="GU42" s="120"/>
      <c r="GV42" s="120"/>
      <c r="GW42" s="120"/>
      <c r="GX42" s="120"/>
      <c r="GY42" s="120"/>
      <c r="GZ42" s="209"/>
      <c r="HA42" s="205"/>
      <c r="HB42" s="205">
        <f t="shared" si="146"/>
        <v>0</v>
      </c>
      <c r="HC42" s="120"/>
      <c r="HD42" s="120"/>
      <c r="HE42" s="120"/>
      <c r="HF42" s="120"/>
      <c r="HG42" s="120"/>
      <c r="HH42" s="209"/>
      <c r="HI42" s="205"/>
      <c r="HJ42" s="205">
        <f t="shared" si="147"/>
        <v>0</v>
      </c>
      <c r="HK42" s="205">
        <f t="shared" si="153"/>
        <v>0</v>
      </c>
      <c r="HL42" s="124"/>
      <c r="HM42" s="120"/>
      <c r="HN42" s="120"/>
      <c r="HO42" s="120"/>
      <c r="HP42" s="120"/>
      <c r="HQ42" s="205"/>
      <c r="HR42" s="205"/>
      <c r="HS42" s="205">
        <f t="shared" si="154"/>
        <v>0</v>
      </c>
      <c r="HT42" s="120"/>
      <c r="HU42" s="120"/>
      <c r="HV42" s="120"/>
      <c r="HW42" s="120"/>
      <c r="HX42" s="120"/>
      <c r="HY42" s="205"/>
      <c r="HZ42" s="205"/>
      <c r="IA42" s="205">
        <f t="shared" si="155"/>
        <v>0</v>
      </c>
      <c r="IB42" s="120"/>
      <c r="IC42" s="120"/>
      <c r="ID42" s="120"/>
      <c r="IE42" s="120"/>
      <c r="IF42" s="120"/>
      <c r="IG42" s="205"/>
      <c r="IH42" s="205"/>
      <c r="II42" s="205">
        <f t="shared" si="156"/>
        <v>0</v>
      </c>
      <c r="IJ42" s="120"/>
      <c r="IK42" s="120"/>
      <c r="IL42" s="120"/>
      <c r="IM42" s="120"/>
      <c r="IN42" s="120"/>
      <c r="IO42" s="205"/>
      <c r="IP42" s="205"/>
      <c r="IQ42" s="205">
        <f t="shared" si="157"/>
        <v>0</v>
      </c>
      <c r="IR42" s="205">
        <f t="shared" si="158"/>
        <v>0</v>
      </c>
      <c r="IS42" s="120"/>
      <c r="IT42" s="120"/>
      <c r="IU42" s="120"/>
      <c r="IV42" s="120"/>
      <c r="IW42" s="120"/>
      <c r="IX42" s="205"/>
      <c r="IY42" s="205"/>
      <c r="IZ42" s="205">
        <f t="shared" si="159"/>
        <v>0</v>
      </c>
      <c r="JA42" s="120"/>
      <c r="JB42" s="120"/>
      <c r="JC42" s="120"/>
      <c r="JD42" s="120"/>
      <c r="JE42" s="120"/>
      <c r="JF42" s="205"/>
      <c r="JG42" s="205"/>
      <c r="JH42" s="205">
        <f t="shared" si="160"/>
        <v>0</v>
      </c>
      <c r="JI42" s="120"/>
      <c r="JJ42" s="120"/>
      <c r="JK42" s="120"/>
      <c r="JL42" s="120"/>
      <c r="JM42" s="120"/>
      <c r="JN42" s="205"/>
      <c r="JO42" s="205"/>
      <c r="JP42" s="205">
        <f t="shared" si="161"/>
        <v>0</v>
      </c>
      <c r="JQ42" s="120"/>
      <c r="JR42" s="120"/>
      <c r="JS42" s="120"/>
      <c r="JT42" s="120"/>
      <c r="JU42" s="120"/>
      <c r="JV42" s="205"/>
      <c r="JW42" s="205"/>
      <c r="JX42" s="205">
        <f t="shared" si="162"/>
        <v>0</v>
      </c>
      <c r="JY42" s="205">
        <f t="shared" si="163"/>
        <v>0</v>
      </c>
      <c r="JZ42" s="120"/>
      <c r="KA42" s="120"/>
      <c r="KB42" s="120"/>
      <c r="KC42" s="120"/>
      <c r="KD42" s="120"/>
      <c r="KE42" s="205"/>
      <c r="KF42" s="205"/>
      <c r="KG42" s="205">
        <f t="shared" si="164"/>
        <v>0</v>
      </c>
      <c r="KH42" s="120"/>
      <c r="KI42" s="120"/>
      <c r="KJ42" s="120"/>
      <c r="KK42" s="120"/>
      <c r="KL42" s="120"/>
      <c r="KM42" s="205"/>
      <c r="KN42" s="205"/>
      <c r="KO42" s="205">
        <f t="shared" si="165"/>
        <v>0</v>
      </c>
      <c r="KP42" s="120"/>
      <c r="KQ42" s="120"/>
      <c r="KR42" s="120"/>
      <c r="KS42" s="120"/>
      <c r="KT42" s="120"/>
      <c r="KU42" s="205"/>
      <c r="KV42" s="205"/>
      <c r="KW42" s="205">
        <f t="shared" si="166"/>
        <v>0</v>
      </c>
      <c r="KX42" s="120"/>
      <c r="KY42" s="120"/>
      <c r="KZ42" s="120"/>
      <c r="LA42" s="120"/>
      <c r="LB42" s="120"/>
      <c r="LC42" s="205"/>
      <c r="LD42" s="205"/>
      <c r="LE42" s="205">
        <f t="shared" si="167"/>
        <v>0</v>
      </c>
      <c r="LF42" s="205"/>
      <c r="LG42" s="120"/>
      <c r="LH42" s="120"/>
      <c r="LI42" s="120"/>
      <c r="LJ42" s="120"/>
      <c r="LK42" s="205"/>
      <c r="LL42" s="205"/>
      <c r="LM42" s="205">
        <f t="shared" si="168"/>
        <v>0</v>
      </c>
      <c r="LN42" s="205">
        <f t="shared" si="169"/>
        <v>0</v>
      </c>
      <c r="LO42" s="205"/>
      <c r="LP42" s="120"/>
      <c r="LQ42" s="120"/>
      <c r="LR42" s="120"/>
      <c r="LS42" s="205"/>
      <c r="LT42" s="205"/>
      <c r="LU42" s="205"/>
      <c r="LV42" s="205">
        <f t="shared" si="170"/>
        <v>0</v>
      </c>
      <c r="LW42" s="120"/>
      <c r="LX42" s="120"/>
      <c r="LY42" s="120"/>
      <c r="LZ42" s="120"/>
      <c r="MA42" s="120"/>
      <c r="MB42" s="205"/>
      <c r="MC42" s="205"/>
      <c r="MD42" s="205">
        <f t="shared" si="171"/>
        <v>0</v>
      </c>
      <c r="ME42" s="120"/>
      <c r="MF42" s="120"/>
      <c r="MG42" s="120"/>
      <c r="MH42" s="120"/>
      <c r="MI42" s="205"/>
      <c r="MJ42" s="205"/>
      <c r="MK42" s="205"/>
      <c r="ML42" s="205">
        <f t="shared" si="172"/>
        <v>0</v>
      </c>
      <c r="MM42" s="120"/>
      <c r="MN42" s="120"/>
      <c r="MO42" s="120"/>
      <c r="MP42" s="120"/>
      <c r="MQ42" s="120"/>
      <c r="MR42" s="205"/>
      <c r="MS42" s="205"/>
      <c r="MT42" s="205">
        <f t="shared" si="173"/>
        <v>0</v>
      </c>
      <c r="MU42" s="205">
        <f t="shared" si="174"/>
        <v>0</v>
      </c>
      <c r="MV42" s="120"/>
      <c r="MW42" s="120"/>
      <c r="MX42" s="120"/>
      <c r="MY42" s="120"/>
      <c r="MZ42" s="120"/>
      <c r="NA42" s="205"/>
      <c r="NB42" s="205"/>
      <c r="NC42" s="205">
        <f t="shared" si="175"/>
        <v>0</v>
      </c>
      <c r="ND42" s="120"/>
      <c r="NE42" s="120"/>
      <c r="NF42" s="120"/>
      <c r="NG42" s="120"/>
      <c r="NH42" s="120"/>
      <c r="NI42" s="205"/>
      <c r="NJ42" s="205"/>
      <c r="NK42" s="205">
        <f t="shared" si="176"/>
        <v>0</v>
      </c>
      <c r="NL42" s="120"/>
      <c r="NM42" s="120"/>
      <c r="NN42" s="120"/>
      <c r="NO42" s="120"/>
      <c r="NP42" s="120"/>
      <c r="NQ42" s="205"/>
      <c r="NR42" s="205"/>
      <c r="NS42" s="205">
        <f t="shared" si="177"/>
        <v>0</v>
      </c>
      <c r="NT42" s="120"/>
      <c r="NU42" s="120"/>
      <c r="NV42" s="120"/>
      <c r="NW42" s="120"/>
      <c r="NX42" s="120"/>
      <c r="NY42" s="205"/>
      <c r="NZ42" s="205"/>
      <c r="OA42" s="205">
        <f t="shared" si="178"/>
        <v>0</v>
      </c>
      <c r="OB42" s="205">
        <f t="shared" si="179"/>
        <v>0</v>
      </c>
      <c r="OC42" s="120"/>
      <c r="OD42" s="120"/>
      <c r="OE42" s="120"/>
      <c r="OF42" s="120"/>
      <c r="OG42" s="120"/>
      <c r="OH42" s="205"/>
      <c r="OI42" s="205"/>
      <c r="OJ42" s="205">
        <f t="shared" si="180"/>
        <v>0</v>
      </c>
      <c r="OK42" s="120"/>
      <c r="OL42" s="120"/>
      <c r="OM42" s="120"/>
      <c r="ON42" s="120"/>
      <c r="OO42" s="120"/>
      <c r="OP42" s="205"/>
      <c r="OQ42" s="205"/>
      <c r="OR42" s="205">
        <f t="shared" si="181"/>
        <v>0</v>
      </c>
      <c r="OS42" s="120"/>
      <c r="OT42" s="120"/>
      <c r="OU42" s="120"/>
      <c r="OV42" s="120"/>
      <c r="OW42" s="120"/>
      <c r="OX42" s="205"/>
      <c r="OY42" s="205"/>
      <c r="OZ42" s="205">
        <f t="shared" si="182"/>
        <v>0</v>
      </c>
      <c r="PA42" s="120"/>
      <c r="PB42" s="120"/>
      <c r="PC42" s="120"/>
      <c r="PD42" s="205"/>
      <c r="PE42" s="217"/>
      <c r="PF42" s="205"/>
      <c r="PG42" s="205"/>
      <c r="PH42" s="205">
        <f t="shared" si="183"/>
        <v>0</v>
      </c>
      <c r="PI42" s="120"/>
      <c r="PJ42" s="120"/>
      <c r="PK42" s="120"/>
      <c r="PL42" s="205"/>
      <c r="PM42" s="217"/>
      <c r="PN42" s="205"/>
      <c r="PO42" s="205"/>
      <c r="PP42" s="205">
        <f t="shared" si="184"/>
        <v>0</v>
      </c>
      <c r="PQ42" s="205">
        <f t="shared" si="185"/>
        <v>0</v>
      </c>
      <c r="PR42" s="207"/>
      <c r="PS42" s="207"/>
      <c r="PT42" s="207"/>
      <c r="PU42" s="207"/>
      <c r="PV42" s="207"/>
      <c r="PW42" s="272"/>
      <c r="PX42" s="272"/>
      <c r="PY42" s="205">
        <f t="shared" si="186"/>
        <v>0</v>
      </c>
      <c r="PZ42" s="207"/>
      <c r="QA42" s="207"/>
      <c r="QB42" s="207"/>
      <c r="QC42" s="207"/>
      <c r="QD42" s="207"/>
      <c r="QE42" s="272"/>
      <c r="QF42" s="272"/>
      <c r="QG42" s="205">
        <f t="shared" si="187"/>
        <v>0</v>
      </c>
      <c r="QH42" s="207"/>
      <c r="QI42" s="207"/>
      <c r="QJ42" s="294"/>
      <c r="QK42" s="207"/>
      <c r="QL42" s="207"/>
      <c r="QM42" s="272"/>
      <c r="QN42" s="272"/>
      <c r="QO42" s="205">
        <f t="shared" si="188"/>
        <v>0</v>
      </c>
      <c r="QP42" s="207"/>
      <c r="QQ42" s="207"/>
      <c r="QR42" s="207"/>
      <c r="QS42" s="207"/>
      <c r="QT42" s="207"/>
      <c r="QU42" s="272"/>
      <c r="QV42" s="272"/>
      <c r="QW42" s="205">
        <f t="shared" si="189"/>
        <v>0</v>
      </c>
      <c r="QX42" s="205">
        <f t="shared" si="190"/>
        <v>0</v>
      </c>
      <c r="QY42" s="207"/>
      <c r="QZ42" s="207"/>
      <c r="RA42" s="207"/>
      <c r="RB42" s="207"/>
      <c r="RC42" s="207"/>
      <c r="RD42" s="272"/>
      <c r="RE42" s="272"/>
      <c r="RF42" s="205">
        <f t="shared" si="191"/>
        <v>0</v>
      </c>
      <c r="RG42" s="207"/>
      <c r="RH42" s="207"/>
      <c r="RI42" s="207"/>
      <c r="RJ42" s="207"/>
      <c r="RK42" s="207"/>
      <c r="RL42" s="272"/>
      <c r="RM42" s="272"/>
      <c r="RN42" s="205">
        <f t="shared" si="192"/>
        <v>0</v>
      </c>
      <c r="RO42" s="272"/>
      <c r="RP42" s="272"/>
      <c r="RQ42" s="272"/>
      <c r="RR42" s="272"/>
      <c r="RS42" s="272"/>
      <c r="RT42" s="272"/>
      <c r="RU42" s="272"/>
      <c r="RV42" s="205">
        <f t="shared" si="193"/>
        <v>0</v>
      </c>
      <c r="RW42" s="207"/>
      <c r="RX42" s="207"/>
      <c r="RY42" s="207"/>
      <c r="RZ42" s="207"/>
      <c r="SA42" s="272"/>
      <c r="SB42" s="272"/>
      <c r="SC42" s="272"/>
      <c r="SD42" s="205">
        <f t="shared" si="194"/>
        <v>0</v>
      </c>
      <c r="SE42" s="205">
        <f t="shared" si="195"/>
        <v>0</v>
      </c>
      <c r="SF42" s="207"/>
      <c r="SG42" s="207"/>
      <c r="SH42" s="207"/>
      <c r="SI42" s="207"/>
      <c r="SJ42" s="207"/>
      <c r="SK42" s="272"/>
      <c r="SL42" s="272"/>
      <c r="SM42" s="205">
        <f t="shared" si="196"/>
        <v>0</v>
      </c>
      <c r="SN42" s="207"/>
      <c r="SO42" s="207"/>
      <c r="SP42" s="207"/>
      <c r="SQ42" s="207"/>
      <c r="SR42" s="207"/>
      <c r="SS42" s="272"/>
      <c r="ST42" s="272"/>
      <c r="SU42" s="205">
        <f t="shared" si="197"/>
        <v>0</v>
      </c>
      <c r="SV42" s="207"/>
      <c r="SW42" s="207"/>
      <c r="SX42" s="207"/>
      <c r="SY42" s="207"/>
      <c r="SZ42" s="207"/>
      <c r="TA42" s="272"/>
      <c r="TB42" s="272"/>
      <c r="TC42" s="205">
        <f t="shared" si="198"/>
        <v>0</v>
      </c>
      <c r="TD42" s="207"/>
      <c r="TE42" s="207"/>
      <c r="TF42" s="207"/>
      <c r="TG42" s="207"/>
      <c r="TH42" s="207"/>
      <c r="TI42" s="272"/>
      <c r="TJ42" s="272"/>
      <c r="TK42" s="205">
        <f t="shared" si="199"/>
        <v>0</v>
      </c>
      <c r="TL42" s="207"/>
      <c r="TM42" s="207"/>
      <c r="TN42" s="207"/>
      <c r="TO42" s="207"/>
      <c r="TP42" s="272"/>
      <c r="TQ42" s="272"/>
      <c r="TR42" s="272"/>
      <c r="TS42" s="205">
        <f t="shared" si="200"/>
        <v>0</v>
      </c>
      <c r="TT42" s="205">
        <f t="shared" si="201"/>
        <v>0</v>
      </c>
      <c r="TU42" s="272"/>
      <c r="TV42" s="207"/>
      <c r="TW42" s="207"/>
      <c r="TX42" s="207"/>
      <c r="TY42" s="207"/>
      <c r="TZ42" s="272"/>
      <c r="UA42" s="272"/>
      <c r="UB42" s="205">
        <f t="shared" si="202"/>
        <v>0</v>
      </c>
      <c r="UC42" s="207"/>
      <c r="UD42" s="207"/>
      <c r="UE42" s="207"/>
      <c r="UF42" s="207"/>
      <c r="UG42" s="207"/>
      <c r="UH42" s="272"/>
      <c r="UI42" s="272"/>
      <c r="UJ42" s="205">
        <f t="shared" si="203"/>
        <v>0</v>
      </c>
      <c r="UK42" s="207"/>
      <c r="UL42" s="207"/>
      <c r="UM42" s="207"/>
      <c r="UN42" s="207"/>
      <c r="UO42" s="207"/>
      <c r="UP42" s="272"/>
      <c r="UQ42" s="272"/>
      <c r="UR42" s="205">
        <f t="shared" si="227"/>
        <v>0</v>
      </c>
      <c r="US42" s="207"/>
      <c r="UT42" s="207"/>
      <c r="UU42" s="207"/>
      <c r="UV42" s="207"/>
      <c r="UW42" s="272"/>
      <c r="UX42" s="272"/>
      <c r="UY42" s="272"/>
      <c r="UZ42" s="205">
        <f t="shared" si="204"/>
        <v>0</v>
      </c>
      <c r="VA42" s="205">
        <f t="shared" si="205"/>
        <v>0</v>
      </c>
      <c r="VB42" s="207"/>
      <c r="VC42" s="207"/>
      <c r="VD42" s="207"/>
      <c r="VE42" s="207"/>
      <c r="VF42" s="207"/>
      <c r="VG42" s="272"/>
      <c r="VH42" s="272"/>
      <c r="VI42" s="205">
        <f t="shared" si="206"/>
        <v>0</v>
      </c>
      <c r="VJ42" s="207"/>
      <c r="VK42" s="207"/>
      <c r="VL42" s="207"/>
      <c r="VM42" s="207"/>
      <c r="VN42" s="207"/>
      <c r="VO42" s="272"/>
      <c r="VP42" s="272"/>
      <c r="VQ42" s="205">
        <f t="shared" si="207"/>
        <v>0</v>
      </c>
      <c r="VR42" s="207"/>
      <c r="VS42" s="207"/>
      <c r="VT42" s="207"/>
      <c r="VU42" s="207"/>
      <c r="VV42" s="207"/>
      <c r="VW42" s="272"/>
      <c r="VX42" s="272"/>
      <c r="VY42" s="205">
        <f t="shared" si="208"/>
        <v>0</v>
      </c>
      <c r="VZ42" s="207"/>
      <c r="WA42" s="207"/>
      <c r="WB42" s="207"/>
      <c r="WC42" s="207"/>
      <c r="WD42" s="207"/>
      <c r="WE42" s="272"/>
      <c r="WF42" s="272"/>
      <c r="WG42" s="205">
        <f t="shared" si="209"/>
        <v>0</v>
      </c>
      <c r="WH42" s="205">
        <f t="shared" si="210"/>
        <v>0</v>
      </c>
      <c r="WI42" s="207"/>
      <c r="WJ42" s="207"/>
      <c r="WK42" s="207"/>
      <c r="WL42" s="207"/>
      <c r="WM42" s="207"/>
      <c r="WN42" s="272"/>
      <c r="WO42" s="272"/>
      <c r="WP42" s="205">
        <f t="shared" si="211"/>
        <v>0</v>
      </c>
      <c r="WQ42" s="207"/>
      <c r="WR42" s="207"/>
      <c r="WS42" s="207"/>
      <c r="WT42" s="207"/>
      <c r="WU42" s="207"/>
      <c r="WV42" s="272"/>
      <c r="WW42" s="272"/>
      <c r="WX42" s="205">
        <f t="shared" si="212"/>
        <v>0</v>
      </c>
      <c r="WY42" s="207"/>
      <c r="WZ42" s="207"/>
      <c r="XA42" s="207"/>
      <c r="XB42" s="207"/>
      <c r="XC42" s="272"/>
      <c r="XD42" s="272"/>
      <c r="XE42" s="272"/>
      <c r="XF42" s="205">
        <f t="shared" si="213"/>
        <v>0</v>
      </c>
      <c r="XG42" s="207"/>
      <c r="XH42" s="207"/>
      <c r="XI42" s="207"/>
      <c r="XJ42" s="207"/>
      <c r="XK42" s="207"/>
      <c r="XL42" s="272"/>
      <c r="XM42" s="272"/>
      <c r="XN42" s="205">
        <f t="shared" si="214"/>
        <v>0</v>
      </c>
      <c r="XO42" s="207"/>
      <c r="XP42" s="207"/>
      <c r="XQ42" s="207"/>
      <c r="XR42" s="207"/>
      <c r="XS42" s="207"/>
      <c r="XT42" s="272"/>
      <c r="XU42" s="272"/>
      <c r="XV42" s="205">
        <f t="shared" si="215"/>
        <v>0</v>
      </c>
      <c r="XW42" s="205">
        <f t="shared" si="216"/>
        <v>0</v>
      </c>
      <c r="XX42" s="207"/>
      <c r="XY42" s="207"/>
      <c r="XZ42" s="207"/>
      <c r="YA42" s="207"/>
      <c r="YB42" s="207"/>
      <c r="YC42" s="272"/>
      <c r="YD42" s="272"/>
      <c r="YE42" s="205">
        <f t="shared" si="217"/>
        <v>0</v>
      </c>
      <c r="YF42" s="207"/>
      <c r="YG42" s="207"/>
      <c r="YH42" s="207"/>
      <c r="YI42" s="207"/>
      <c r="YJ42" s="207"/>
      <c r="YK42" s="272"/>
      <c r="YL42" s="272"/>
      <c r="YM42" s="205">
        <f t="shared" si="218"/>
        <v>0</v>
      </c>
      <c r="YN42" s="207"/>
      <c r="YO42" s="207"/>
      <c r="YP42" s="207"/>
      <c r="YQ42" s="207"/>
      <c r="YR42" s="207"/>
      <c r="YS42" s="272"/>
      <c r="YT42" s="272"/>
      <c r="YU42" s="205">
        <f t="shared" si="148"/>
        <v>0</v>
      </c>
      <c r="YV42" s="207"/>
      <c r="YW42" s="207"/>
      <c r="YX42" s="207"/>
      <c r="YY42" s="207"/>
      <c r="YZ42" s="207"/>
      <c r="ZA42" s="272"/>
      <c r="ZB42" s="272"/>
      <c r="ZC42" s="205">
        <f t="shared" si="219"/>
        <v>0</v>
      </c>
      <c r="ZD42" s="205">
        <f t="shared" si="149"/>
        <v>0</v>
      </c>
      <c r="ZE42" s="207"/>
      <c r="ZF42" s="207"/>
      <c r="ZG42" s="207"/>
      <c r="ZH42" s="207"/>
      <c r="ZI42" s="207"/>
      <c r="ZJ42" s="272"/>
      <c r="ZK42" s="272"/>
      <c r="ZL42" s="205">
        <f t="shared" si="220"/>
        <v>0</v>
      </c>
      <c r="ZM42" s="207"/>
      <c r="ZN42" s="207"/>
      <c r="ZO42" s="207"/>
      <c r="ZP42" s="207"/>
      <c r="ZQ42" s="207"/>
      <c r="ZR42" s="272"/>
      <c r="ZS42" s="272"/>
      <c r="ZT42" s="205">
        <f t="shared" si="221"/>
        <v>0</v>
      </c>
      <c r="ZU42" s="207"/>
      <c r="ZV42" s="207"/>
      <c r="ZW42" s="207"/>
      <c r="ZX42" s="207"/>
      <c r="ZY42" s="207"/>
      <c r="ZZ42" s="272"/>
      <c r="AAA42" s="272"/>
      <c r="AAB42" s="205">
        <f t="shared" si="222"/>
        <v>0</v>
      </c>
      <c r="AAC42" s="207"/>
      <c r="AAD42" s="207"/>
      <c r="AAE42" s="207"/>
      <c r="AAF42" s="207"/>
      <c r="AAG42" s="207"/>
      <c r="AAH42" s="272"/>
      <c r="AAI42" s="272"/>
      <c r="AAJ42" s="205">
        <f t="shared" si="223"/>
        <v>0</v>
      </c>
      <c r="AAK42" s="207"/>
      <c r="AAL42" s="207"/>
      <c r="AAM42" s="207"/>
      <c r="AAN42" s="207"/>
      <c r="AAO42" s="207"/>
      <c r="AAP42" s="272"/>
      <c r="AAQ42" s="272"/>
      <c r="AAR42" s="205">
        <f t="shared" si="224"/>
        <v>0</v>
      </c>
      <c r="AAS42" s="205">
        <f t="shared" si="225"/>
        <v>0</v>
      </c>
    </row>
    <row r="43" spans="1:721" ht="86.45" customHeight="1">
      <c r="B43" s="161">
        <v>5701000040</v>
      </c>
      <c r="C43" s="329" t="s">
        <v>542</v>
      </c>
      <c r="D43" s="154" t="s">
        <v>65</v>
      </c>
      <c r="E43" s="130" t="s">
        <v>4</v>
      </c>
      <c r="F43" s="120"/>
      <c r="G43" s="120"/>
      <c r="H43" s="120"/>
      <c r="I43" s="120"/>
      <c r="J43" s="120"/>
      <c r="K43" s="209"/>
      <c r="L43" s="205"/>
      <c r="M43" s="205">
        <f t="shared" si="121"/>
        <v>0</v>
      </c>
      <c r="N43" s="120"/>
      <c r="O43" s="120"/>
      <c r="P43" s="120"/>
      <c r="Q43" s="120"/>
      <c r="R43" s="120"/>
      <c r="S43" s="209"/>
      <c r="T43" s="205"/>
      <c r="U43" s="205">
        <f t="shared" si="122"/>
        <v>0</v>
      </c>
      <c r="V43" s="120"/>
      <c r="W43" s="120"/>
      <c r="X43" s="120"/>
      <c r="Y43" s="120"/>
      <c r="Z43" s="120"/>
      <c r="AA43" s="209"/>
      <c r="AB43" s="205"/>
      <c r="AC43" s="205">
        <f t="shared" si="123"/>
        <v>0</v>
      </c>
      <c r="AD43" s="205"/>
      <c r="AE43" s="205"/>
      <c r="AF43" s="205"/>
      <c r="AG43" s="205"/>
      <c r="AH43" s="205"/>
      <c r="AI43" s="209"/>
      <c r="AJ43" s="205"/>
      <c r="AK43" s="205">
        <f t="shared" si="124"/>
        <v>0</v>
      </c>
      <c r="AL43" s="205" t="e">
        <f>SUM(#REF!,M43,U43,AC43,AD43:AH43)</f>
        <v>#REF!</v>
      </c>
      <c r="AM43" s="120"/>
      <c r="AN43" s="120"/>
      <c r="AO43" s="120"/>
      <c r="AP43" s="120"/>
      <c r="AQ43" s="120"/>
      <c r="AR43" s="209"/>
      <c r="AS43" s="205"/>
      <c r="AT43" s="205">
        <f t="shared" si="125"/>
        <v>0</v>
      </c>
      <c r="AU43" s="120"/>
      <c r="AV43" s="120"/>
      <c r="AW43" s="120"/>
      <c r="AX43" s="120"/>
      <c r="AY43" s="120"/>
      <c r="AZ43" s="209"/>
      <c r="BA43" s="205"/>
      <c r="BB43" s="205">
        <f t="shared" si="126"/>
        <v>0</v>
      </c>
      <c r="BC43" s="120"/>
      <c r="BD43" s="120"/>
      <c r="BE43" s="120"/>
      <c r="BF43" s="120"/>
      <c r="BG43" s="120"/>
      <c r="BH43" s="209"/>
      <c r="BI43" s="205"/>
      <c r="BJ43" s="205">
        <f t="shared" si="127"/>
        <v>0</v>
      </c>
      <c r="BK43" s="120"/>
      <c r="BL43" s="120"/>
      <c r="BM43" s="120"/>
      <c r="BN43" s="120"/>
      <c r="BO43" s="205"/>
      <c r="BP43" s="209"/>
      <c r="BQ43" s="205"/>
      <c r="BR43" s="205">
        <f t="shared" si="128"/>
        <v>0</v>
      </c>
      <c r="BS43" s="205">
        <f t="shared" si="129"/>
        <v>0</v>
      </c>
      <c r="BT43" s="120"/>
      <c r="BU43" s="120"/>
      <c r="BV43" s="120"/>
      <c r="BW43" s="120"/>
      <c r="BX43" s="120"/>
      <c r="BY43" s="209"/>
      <c r="BZ43" s="205"/>
      <c r="CA43" s="205">
        <f t="shared" si="130"/>
        <v>0</v>
      </c>
      <c r="CB43" s="120"/>
      <c r="CC43" s="120"/>
      <c r="CD43" s="120"/>
      <c r="CE43" s="120"/>
      <c r="CF43" s="120"/>
      <c r="CG43" s="209"/>
      <c r="CH43" s="205"/>
      <c r="CI43" s="205">
        <f t="shared" si="131"/>
        <v>0</v>
      </c>
      <c r="CJ43" s="120"/>
      <c r="CK43" s="120"/>
      <c r="CL43" s="120"/>
      <c r="CM43" s="120"/>
      <c r="CN43" s="120"/>
      <c r="CO43" s="209"/>
      <c r="CP43" s="205"/>
      <c r="CQ43" s="205">
        <f t="shared" si="132"/>
        <v>0</v>
      </c>
      <c r="CR43" s="120"/>
      <c r="CS43" s="120"/>
      <c r="CT43" s="120"/>
      <c r="CU43" s="120"/>
      <c r="CV43" s="120"/>
      <c r="CW43" s="209"/>
      <c r="CX43" s="205"/>
      <c r="CY43" s="205">
        <f t="shared" si="133"/>
        <v>0</v>
      </c>
      <c r="CZ43" s="120"/>
      <c r="DA43" s="120"/>
      <c r="DB43" s="120"/>
      <c r="DC43" s="205"/>
      <c r="DD43" s="205"/>
      <c r="DE43" s="209"/>
      <c r="DF43" s="205"/>
      <c r="DG43" s="205">
        <f t="shared" si="134"/>
        <v>0</v>
      </c>
      <c r="DH43" s="205">
        <f t="shared" si="150"/>
        <v>0</v>
      </c>
      <c r="DI43" s="120"/>
      <c r="DJ43" s="120"/>
      <c r="DK43" s="120"/>
      <c r="DL43" s="120"/>
      <c r="DM43" s="120"/>
      <c r="DN43" s="209"/>
      <c r="DO43" s="205"/>
      <c r="DP43" s="205">
        <f t="shared" si="228"/>
        <v>0</v>
      </c>
      <c r="DQ43" s="120"/>
      <c r="DR43" s="120"/>
      <c r="DS43" s="120"/>
      <c r="DT43" s="120"/>
      <c r="DU43" s="120"/>
      <c r="DV43" s="209"/>
      <c r="DW43" s="205"/>
      <c r="DX43" s="205">
        <f t="shared" si="136"/>
        <v>0</v>
      </c>
      <c r="DY43" s="120"/>
      <c r="DZ43" s="120"/>
      <c r="EA43" s="120"/>
      <c r="EB43" s="120"/>
      <c r="EC43" s="120"/>
      <c r="ED43" s="209"/>
      <c r="EE43" s="205"/>
      <c r="EF43" s="205">
        <f t="shared" si="137"/>
        <v>0</v>
      </c>
      <c r="EG43" s="120"/>
      <c r="EH43" s="120"/>
      <c r="EI43" s="120"/>
      <c r="EJ43" s="205"/>
      <c r="EK43" s="205"/>
      <c r="EL43" s="209"/>
      <c r="EM43" s="205"/>
      <c r="EN43" s="205">
        <f t="shared" si="138"/>
        <v>0</v>
      </c>
      <c r="EO43" s="205">
        <f t="shared" si="151"/>
        <v>0</v>
      </c>
      <c r="EP43" s="120"/>
      <c r="EQ43" s="120"/>
      <c r="ER43" s="120"/>
      <c r="ES43" s="120"/>
      <c r="ET43" s="120"/>
      <c r="EU43" s="209"/>
      <c r="EV43" s="205"/>
      <c r="EW43" s="205">
        <f t="shared" si="139"/>
        <v>0</v>
      </c>
      <c r="EX43" s="120"/>
      <c r="EY43" s="120"/>
      <c r="EZ43" s="120"/>
      <c r="FA43" s="120"/>
      <c r="FB43" s="120"/>
      <c r="FC43" s="209"/>
      <c r="FD43" s="205"/>
      <c r="FE43" s="205">
        <f t="shared" si="140"/>
        <v>0</v>
      </c>
      <c r="FF43" s="120"/>
      <c r="FG43" s="120"/>
      <c r="FH43" s="120"/>
      <c r="FI43" s="120"/>
      <c r="FJ43" s="120"/>
      <c r="FK43" s="209"/>
      <c r="FL43" s="205"/>
      <c r="FM43" s="205">
        <f t="shared" si="141"/>
        <v>0</v>
      </c>
      <c r="FN43" s="120"/>
      <c r="FO43" s="120"/>
      <c r="FP43" s="120"/>
      <c r="FQ43" s="120"/>
      <c r="FR43" s="205"/>
      <c r="FS43" s="209"/>
      <c r="FT43" s="205"/>
      <c r="FU43" s="205">
        <f t="shared" si="142"/>
        <v>0</v>
      </c>
      <c r="FV43" s="205">
        <f t="shared" si="152"/>
        <v>0</v>
      </c>
      <c r="FW43" s="120"/>
      <c r="FX43" s="120"/>
      <c r="FY43" s="120"/>
      <c r="FZ43" s="120"/>
      <c r="GA43" s="120"/>
      <c r="GB43" s="209"/>
      <c r="GC43" s="205"/>
      <c r="GD43" s="205">
        <f t="shared" si="143"/>
        <v>0</v>
      </c>
      <c r="GE43" s="120"/>
      <c r="GF43" s="120"/>
      <c r="GG43" s="120"/>
      <c r="GH43" s="120"/>
      <c r="GI43" s="120"/>
      <c r="GJ43" s="209"/>
      <c r="GK43" s="205"/>
      <c r="GL43" s="205">
        <f t="shared" si="144"/>
        <v>0</v>
      </c>
      <c r="GM43" s="120"/>
      <c r="GN43" s="120"/>
      <c r="GO43" s="120"/>
      <c r="GP43" s="120"/>
      <c r="GQ43" s="120"/>
      <c r="GR43" s="209"/>
      <c r="GS43" s="205"/>
      <c r="GT43" s="205">
        <f t="shared" si="145"/>
        <v>0</v>
      </c>
      <c r="GU43" s="120"/>
      <c r="GV43" s="120"/>
      <c r="GW43" s="120"/>
      <c r="GX43" s="120"/>
      <c r="GY43" s="120"/>
      <c r="GZ43" s="209"/>
      <c r="HA43" s="205"/>
      <c r="HB43" s="205">
        <f t="shared" si="146"/>
        <v>0</v>
      </c>
      <c r="HC43" s="120"/>
      <c r="HD43" s="120"/>
      <c r="HE43" s="120"/>
      <c r="HF43" s="120"/>
      <c r="HG43" s="120"/>
      <c r="HH43" s="209"/>
      <c r="HI43" s="205"/>
      <c r="HJ43" s="205">
        <f t="shared" si="147"/>
        <v>0</v>
      </c>
      <c r="HK43" s="205">
        <f t="shared" si="153"/>
        <v>0</v>
      </c>
      <c r="HL43" s="124"/>
      <c r="HM43" s="120"/>
      <c r="HN43" s="120"/>
      <c r="HO43" s="120"/>
      <c r="HP43" s="120"/>
      <c r="HQ43" s="205"/>
      <c r="HR43" s="205"/>
      <c r="HS43" s="205">
        <f t="shared" si="154"/>
        <v>0</v>
      </c>
      <c r="HT43" s="120"/>
      <c r="HU43" s="120"/>
      <c r="HV43" s="120"/>
      <c r="HW43" s="120"/>
      <c r="HX43" s="120"/>
      <c r="HY43" s="205"/>
      <c r="HZ43" s="205"/>
      <c r="IA43" s="205">
        <f t="shared" si="155"/>
        <v>0</v>
      </c>
      <c r="IB43" s="120"/>
      <c r="IC43" s="120"/>
      <c r="ID43" s="120"/>
      <c r="IE43" s="120"/>
      <c r="IF43" s="120"/>
      <c r="IG43" s="205"/>
      <c r="IH43" s="205"/>
      <c r="II43" s="205">
        <f t="shared" si="156"/>
        <v>0</v>
      </c>
      <c r="IJ43" s="120"/>
      <c r="IK43" s="120"/>
      <c r="IL43" s="120"/>
      <c r="IM43" s="120"/>
      <c r="IN43" s="120"/>
      <c r="IO43" s="205"/>
      <c r="IP43" s="205"/>
      <c r="IQ43" s="205">
        <f t="shared" si="157"/>
        <v>0</v>
      </c>
      <c r="IR43" s="205">
        <f t="shared" si="158"/>
        <v>0</v>
      </c>
      <c r="IS43" s="120"/>
      <c r="IT43" s="120"/>
      <c r="IU43" s="120"/>
      <c r="IV43" s="120"/>
      <c r="IW43" s="120"/>
      <c r="IX43" s="205"/>
      <c r="IY43" s="205"/>
      <c r="IZ43" s="205">
        <f t="shared" si="159"/>
        <v>0</v>
      </c>
      <c r="JA43" s="120"/>
      <c r="JB43" s="120"/>
      <c r="JC43" s="120"/>
      <c r="JD43" s="120"/>
      <c r="JE43" s="120"/>
      <c r="JF43" s="205"/>
      <c r="JG43" s="205"/>
      <c r="JH43" s="205">
        <f t="shared" si="160"/>
        <v>0</v>
      </c>
      <c r="JI43" s="120"/>
      <c r="JJ43" s="120"/>
      <c r="JK43" s="120"/>
      <c r="JL43" s="120"/>
      <c r="JM43" s="120"/>
      <c r="JN43" s="205"/>
      <c r="JO43" s="205"/>
      <c r="JP43" s="205">
        <f t="shared" si="161"/>
        <v>0</v>
      </c>
      <c r="JQ43" s="120"/>
      <c r="JR43" s="120"/>
      <c r="JS43" s="120"/>
      <c r="JT43" s="120"/>
      <c r="JU43" s="120"/>
      <c r="JV43" s="205"/>
      <c r="JW43" s="205"/>
      <c r="JX43" s="205">
        <f t="shared" si="162"/>
        <v>0</v>
      </c>
      <c r="JY43" s="205">
        <f t="shared" si="163"/>
        <v>0</v>
      </c>
      <c r="JZ43" s="120"/>
      <c r="KA43" s="120"/>
      <c r="KB43" s="120"/>
      <c r="KC43" s="120"/>
      <c r="KD43" s="120"/>
      <c r="KE43" s="205"/>
      <c r="KF43" s="205"/>
      <c r="KG43" s="205">
        <f t="shared" si="164"/>
        <v>0</v>
      </c>
      <c r="KH43" s="120"/>
      <c r="KI43" s="120"/>
      <c r="KJ43" s="120"/>
      <c r="KK43" s="120"/>
      <c r="KL43" s="120"/>
      <c r="KM43" s="205"/>
      <c r="KN43" s="205"/>
      <c r="KO43" s="205">
        <f t="shared" si="165"/>
        <v>0</v>
      </c>
      <c r="KP43" s="120"/>
      <c r="KQ43" s="120"/>
      <c r="KR43" s="120"/>
      <c r="KS43" s="120"/>
      <c r="KT43" s="120"/>
      <c r="KU43" s="205"/>
      <c r="KV43" s="205"/>
      <c r="KW43" s="205">
        <f t="shared" si="166"/>
        <v>0</v>
      </c>
      <c r="KX43" s="120"/>
      <c r="KY43" s="120"/>
      <c r="KZ43" s="120"/>
      <c r="LA43" s="120"/>
      <c r="LB43" s="120"/>
      <c r="LC43" s="205"/>
      <c r="LD43" s="205"/>
      <c r="LE43" s="205">
        <f t="shared" si="167"/>
        <v>0</v>
      </c>
      <c r="LF43" s="205"/>
      <c r="LG43" s="120"/>
      <c r="LH43" s="120"/>
      <c r="LI43" s="120"/>
      <c r="LJ43" s="120"/>
      <c r="LK43" s="205"/>
      <c r="LL43" s="205"/>
      <c r="LM43" s="205">
        <f t="shared" si="168"/>
        <v>0</v>
      </c>
      <c r="LN43" s="205">
        <f t="shared" si="169"/>
        <v>0</v>
      </c>
      <c r="LO43" s="205"/>
      <c r="LP43" s="120"/>
      <c r="LQ43" s="120"/>
      <c r="LR43" s="120"/>
      <c r="LS43" s="205"/>
      <c r="LT43" s="205"/>
      <c r="LU43" s="205"/>
      <c r="LV43" s="205">
        <f t="shared" si="170"/>
        <v>0</v>
      </c>
      <c r="LW43" s="120"/>
      <c r="LX43" s="120"/>
      <c r="LY43" s="120"/>
      <c r="LZ43" s="120"/>
      <c r="MA43" s="120"/>
      <c r="MB43" s="205"/>
      <c r="MC43" s="205"/>
      <c r="MD43" s="205">
        <f t="shared" si="171"/>
        <v>0</v>
      </c>
      <c r="ME43" s="120"/>
      <c r="MF43" s="120"/>
      <c r="MG43" s="120"/>
      <c r="MH43" s="120"/>
      <c r="MI43" s="205"/>
      <c r="MJ43" s="205"/>
      <c r="MK43" s="205"/>
      <c r="ML43" s="205">
        <f t="shared" si="172"/>
        <v>0</v>
      </c>
      <c r="MM43" s="120"/>
      <c r="MN43" s="120"/>
      <c r="MO43" s="120"/>
      <c r="MP43" s="120"/>
      <c r="MQ43" s="120"/>
      <c r="MR43" s="205"/>
      <c r="MS43" s="205"/>
      <c r="MT43" s="205">
        <f t="shared" si="173"/>
        <v>0</v>
      </c>
      <c r="MU43" s="205">
        <f t="shared" si="174"/>
        <v>0</v>
      </c>
      <c r="MV43" s="120"/>
      <c r="MW43" s="120"/>
      <c r="MX43" s="120"/>
      <c r="MY43" s="120"/>
      <c r="MZ43" s="120"/>
      <c r="NA43" s="205"/>
      <c r="NB43" s="205"/>
      <c r="NC43" s="205">
        <f t="shared" si="175"/>
        <v>0</v>
      </c>
      <c r="ND43" s="120"/>
      <c r="NE43" s="120"/>
      <c r="NF43" s="120"/>
      <c r="NG43" s="120"/>
      <c r="NH43" s="120"/>
      <c r="NI43" s="205"/>
      <c r="NJ43" s="205"/>
      <c r="NK43" s="205">
        <f t="shared" si="176"/>
        <v>0</v>
      </c>
      <c r="NL43" s="120"/>
      <c r="NM43" s="120"/>
      <c r="NN43" s="120"/>
      <c r="NO43" s="120"/>
      <c r="NP43" s="120"/>
      <c r="NQ43" s="205"/>
      <c r="NR43" s="205"/>
      <c r="NS43" s="205">
        <f t="shared" si="177"/>
        <v>0</v>
      </c>
      <c r="NT43" s="120"/>
      <c r="NU43" s="120"/>
      <c r="NV43" s="120"/>
      <c r="NW43" s="120"/>
      <c r="NX43" s="120"/>
      <c r="NY43" s="205"/>
      <c r="NZ43" s="205"/>
      <c r="OA43" s="205">
        <f t="shared" si="178"/>
        <v>0</v>
      </c>
      <c r="OB43" s="205">
        <f t="shared" si="179"/>
        <v>0</v>
      </c>
      <c r="OC43" s="120"/>
      <c r="OD43" s="120"/>
      <c r="OE43" s="120"/>
      <c r="OF43" s="120"/>
      <c r="OG43" s="120"/>
      <c r="OH43" s="205"/>
      <c r="OI43" s="205"/>
      <c r="OJ43" s="205">
        <f t="shared" si="180"/>
        <v>0</v>
      </c>
      <c r="OK43" s="120"/>
      <c r="OL43" s="120"/>
      <c r="OM43" s="120"/>
      <c r="ON43" s="120"/>
      <c r="OO43" s="120"/>
      <c r="OP43" s="205"/>
      <c r="OQ43" s="205"/>
      <c r="OR43" s="205">
        <f t="shared" si="181"/>
        <v>0</v>
      </c>
      <c r="OS43" s="120"/>
      <c r="OT43" s="120"/>
      <c r="OU43" s="120"/>
      <c r="OV43" s="120"/>
      <c r="OW43" s="120"/>
      <c r="OX43" s="205"/>
      <c r="OY43" s="205"/>
      <c r="OZ43" s="205">
        <f t="shared" si="182"/>
        <v>0</v>
      </c>
      <c r="PA43" s="120"/>
      <c r="PB43" s="120"/>
      <c r="PC43" s="120"/>
      <c r="PD43" s="205"/>
      <c r="PE43" s="217"/>
      <c r="PF43" s="205"/>
      <c r="PG43" s="205"/>
      <c r="PH43" s="205">
        <f t="shared" si="183"/>
        <v>0</v>
      </c>
      <c r="PI43" s="120"/>
      <c r="PJ43" s="120"/>
      <c r="PK43" s="120"/>
      <c r="PL43" s="205"/>
      <c r="PM43" s="217"/>
      <c r="PN43" s="205"/>
      <c r="PO43" s="205"/>
      <c r="PP43" s="205">
        <f t="shared" si="184"/>
        <v>0</v>
      </c>
      <c r="PQ43" s="205">
        <f t="shared" si="185"/>
        <v>0</v>
      </c>
      <c r="PR43" s="207"/>
      <c r="PS43" s="207"/>
      <c r="PT43" s="207"/>
      <c r="PU43" s="207"/>
      <c r="PV43" s="207"/>
      <c r="PW43" s="272"/>
      <c r="PX43" s="272"/>
      <c r="PY43" s="205">
        <f t="shared" si="186"/>
        <v>0</v>
      </c>
      <c r="PZ43" s="207"/>
      <c r="QA43" s="207"/>
      <c r="QB43" s="207"/>
      <c r="QC43" s="207"/>
      <c r="QD43" s="207"/>
      <c r="QE43" s="272"/>
      <c r="QF43" s="272"/>
      <c r="QG43" s="205">
        <f t="shared" si="187"/>
        <v>0</v>
      </c>
      <c r="QH43" s="207"/>
      <c r="QI43" s="207"/>
      <c r="QJ43" s="294"/>
      <c r="QK43" s="207"/>
      <c r="QL43" s="207"/>
      <c r="QM43" s="272"/>
      <c r="QN43" s="272"/>
      <c r="QO43" s="205">
        <f t="shared" si="188"/>
        <v>0</v>
      </c>
      <c r="QP43" s="207"/>
      <c r="QQ43" s="207"/>
      <c r="QR43" s="207"/>
      <c r="QS43" s="207"/>
      <c r="QT43" s="207"/>
      <c r="QU43" s="272"/>
      <c r="QV43" s="272"/>
      <c r="QW43" s="205">
        <f t="shared" si="189"/>
        <v>0</v>
      </c>
      <c r="QX43" s="205">
        <f t="shared" si="190"/>
        <v>0</v>
      </c>
      <c r="QY43" s="207"/>
      <c r="QZ43" s="207"/>
      <c r="RA43" s="207"/>
      <c r="RB43" s="207"/>
      <c r="RC43" s="207"/>
      <c r="RD43" s="272"/>
      <c r="RE43" s="272"/>
      <c r="RF43" s="205">
        <f t="shared" si="191"/>
        <v>0</v>
      </c>
      <c r="RG43" s="207"/>
      <c r="RH43" s="207"/>
      <c r="RI43" s="207"/>
      <c r="RJ43" s="207"/>
      <c r="RK43" s="207"/>
      <c r="RL43" s="272"/>
      <c r="RM43" s="272"/>
      <c r="RN43" s="205">
        <f t="shared" si="192"/>
        <v>0</v>
      </c>
      <c r="RO43" s="272"/>
      <c r="RP43" s="272"/>
      <c r="RQ43" s="272"/>
      <c r="RR43" s="272"/>
      <c r="RS43" s="272"/>
      <c r="RT43" s="272"/>
      <c r="RU43" s="272"/>
      <c r="RV43" s="205">
        <f t="shared" si="193"/>
        <v>0</v>
      </c>
      <c r="RW43" s="207"/>
      <c r="RX43" s="207"/>
      <c r="RY43" s="207"/>
      <c r="RZ43" s="207"/>
      <c r="SA43" s="272"/>
      <c r="SB43" s="272"/>
      <c r="SC43" s="272"/>
      <c r="SD43" s="205">
        <f t="shared" si="194"/>
        <v>0</v>
      </c>
      <c r="SE43" s="205">
        <f t="shared" si="195"/>
        <v>0</v>
      </c>
      <c r="SF43" s="207"/>
      <c r="SG43" s="207"/>
      <c r="SH43" s="207"/>
      <c r="SI43" s="207"/>
      <c r="SJ43" s="207"/>
      <c r="SK43" s="272"/>
      <c r="SL43" s="272"/>
      <c r="SM43" s="205">
        <f t="shared" si="196"/>
        <v>0</v>
      </c>
      <c r="SN43" s="207"/>
      <c r="SO43" s="207"/>
      <c r="SP43" s="207"/>
      <c r="SQ43" s="207"/>
      <c r="SR43" s="207"/>
      <c r="SS43" s="272"/>
      <c r="ST43" s="272"/>
      <c r="SU43" s="205">
        <f t="shared" si="197"/>
        <v>0</v>
      </c>
      <c r="SV43" s="207"/>
      <c r="SW43" s="207"/>
      <c r="SX43" s="207"/>
      <c r="SY43" s="207"/>
      <c r="SZ43" s="207"/>
      <c r="TA43" s="272"/>
      <c r="TB43" s="272"/>
      <c r="TC43" s="205">
        <f t="shared" si="198"/>
        <v>0</v>
      </c>
      <c r="TD43" s="207"/>
      <c r="TE43" s="207"/>
      <c r="TF43" s="207"/>
      <c r="TG43" s="207"/>
      <c r="TH43" s="207"/>
      <c r="TI43" s="272"/>
      <c r="TJ43" s="272"/>
      <c r="TK43" s="205">
        <f t="shared" si="199"/>
        <v>0</v>
      </c>
      <c r="TL43" s="207"/>
      <c r="TM43" s="207"/>
      <c r="TN43" s="207"/>
      <c r="TO43" s="207"/>
      <c r="TP43" s="272"/>
      <c r="TQ43" s="272"/>
      <c r="TR43" s="272"/>
      <c r="TS43" s="205">
        <f t="shared" si="200"/>
        <v>0</v>
      </c>
      <c r="TT43" s="205">
        <f t="shared" si="201"/>
        <v>0</v>
      </c>
      <c r="TU43" s="272"/>
      <c r="TV43" s="207"/>
      <c r="TW43" s="207"/>
      <c r="TX43" s="207"/>
      <c r="TY43" s="207"/>
      <c r="TZ43" s="272"/>
      <c r="UA43" s="272"/>
      <c r="UB43" s="205">
        <f t="shared" si="202"/>
        <v>0</v>
      </c>
      <c r="UC43" s="207"/>
      <c r="UD43" s="207"/>
      <c r="UE43" s="207"/>
      <c r="UF43" s="207"/>
      <c r="UG43" s="207"/>
      <c r="UH43" s="272"/>
      <c r="UI43" s="272"/>
      <c r="UJ43" s="205">
        <f t="shared" si="203"/>
        <v>0</v>
      </c>
      <c r="UK43" s="207"/>
      <c r="UL43" s="207"/>
      <c r="UM43" s="207"/>
      <c r="UN43" s="207"/>
      <c r="UO43" s="207"/>
      <c r="UP43" s="272"/>
      <c r="UQ43" s="272"/>
      <c r="UR43" s="205">
        <f t="shared" si="227"/>
        <v>0</v>
      </c>
      <c r="US43" s="207"/>
      <c r="UT43" s="207"/>
      <c r="UU43" s="207"/>
      <c r="UV43" s="207"/>
      <c r="UW43" s="272"/>
      <c r="UX43" s="272"/>
      <c r="UY43" s="272"/>
      <c r="UZ43" s="205">
        <f t="shared" si="204"/>
        <v>0</v>
      </c>
      <c r="VA43" s="205">
        <f t="shared" si="205"/>
        <v>0</v>
      </c>
      <c r="VB43" s="207"/>
      <c r="VC43" s="207"/>
      <c r="VD43" s="207"/>
      <c r="VE43" s="207"/>
      <c r="VF43" s="207"/>
      <c r="VG43" s="272"/>
      <c r="VH43" s="272"/>
      <c r="VI43" s="205">
        <f t="shared" si="206"/>
        <v>0</v>
      </c>
      <c r="VJ43" s="207"/>
      <c r="VK43" s="207"/>
      <c r="VL43" s="207"/>
      <c r="VM43" s="207"/>
      <c r="VN43" s="207"/>
      <c r="VO43" s="272"/>
      <c r="VP43" s="272"/>
      <c r="VQ43" s="205">
        <f t="shared" si="207"/>
        <v>0</v>
      </c>
      <c r="VR43" s="207"/>
      <c r="VS43" s="207"/>
      <c r="VT43" s="207"/>
      <c r="VU43" s="207"/>
      <c r="VV43" s="207"/>
      <c r="VW43" s="272"/>
      <c r="VX43" s="272"/>
      <c r="VY43" s="205">
        <f t="shared" si="208"/>
        <v>0</v>
      </c>
      <c r="VZ43" s="207"/>
      <c r="WA43" s="207"/>
      <c r="WB43" s="207"/>
      <c r="WC43" s="207"/>
      <c r="WD43" s="207"/>
      <c r="WE43" s="272"/>
      <c r="WF43" s="272"/>
      <c r="WG43" s="205">
        <f>SUM(VZ43:WF43)</f>
        <v>0</v>
      </c>
      <c r="WH43" s="205">
        <f t="shared" si="210"/>
        <v>0</v>
      </c>
      <c r="WI43" s="207"/>
      <c r="WJ43" s="207"/>
      <c r="WK43" s="207"/>
      <c r="WL43" s="207"/>
      <c r="WM43" s="207"/>
      <c r="WN43" s="272"/>
      <c r="WO43" s="272"/>
      <c r="WP43" s="205">
        <f t="shared" si="211"/>
        <v>0</v>
      </c>
      <c r="WQ43" s="207"/>
      <c r="WR43" s="207"/>
      <c r="WS43" s="207"/>
      <c r="WT43" s="207"/>
      <c r="WU43" s="207"/>
      <c r="WV43" s="272"/>
      <c r="WW43" s="272"/>
      <c r="WX43" s="205">
        <f t="shared" si="212"/>
        <v>0</v>
      </c>
      <c r="WY43" s="207"/>
      <c r="WZ43" s="207"/>
      <c r="XA43" s="207"/>
      <c r="XB43" s="207"/>
      <c r="XC43" s="272"/>
      <c r="XD43" s="272"/>
      <c r="XE43" s="272"/>
      <c r="XF43" s="205">
        <f t="shared" si="213"/>
        <v>0</v>
      </c>
      <c r="XG43" s="207"/>
      <c r="XH43" s="207"/>
      <c r="XI43" s="207"/>
      <c r="XJ43" s="207"/>
      <c r="XK43" s="207"/>
      <c r="XL43" s="272"/>
      <c r="XM43" s="272"/>
      <c r="XN43" s="205">
        <f t="shared" si="214"/>
        <v>0</v>
      </c>
      <c r="XO43" s="207"/>
      <c r="XP43" s="207"/>
      <c r="XQ43" s="207"/>
      <c r="XR43" s="207"/>
      <c r="XS43" s="207"/>
      <c r="XT43" s="272"/>
      <c r="XU43" s="272"/>
      <c r="XV43" s="205">
        <f t="shared" si="215"/>
        <v>0</v>
      </c>
      <c r="XW43" s="205">
        <f t="shared" si="216"/>
        <v>0</v>
      </c>
      <c r="XX43" s="207"/>
      <c r="XY43" s="207"/>
      <c r="XZ43" s="207"/>
      <c r="YA43" s="207"/>
      <c r="YB43" s="207"/>
      <c r="YC43" s="272"/>
      <c r="YD43" s="272"/>
      <c r="YE43" s="205">
        <f t="shared" si="217"/>
        <v>0</v>
      </c>
      <c r="YF43" s="207"/>
      <c r="YG43" s="207"/>
      <c r="YH43" s="207"/>
      <c r="YI43" s="207"/>
      <c r="YJ43" s="207"/>
      <c r="YK43" s="272"/>
      <c r="YL43" s="272"/>
      <c r="YM43" s="205">
        <f t="shared" si="218"/>
        <v>0</v>
      </c>
      <c r="YN43" s="207"/>
      <c r="YO43" s="207"/>
      <c r="YP43" s="207"/>
      <c r="YQ43" s="207"/>
      <c r="YR43" s="207"/>
      <c r="YS43" s="272"/>
      <c r="YT43" s="272"/>
      <c r="YU43" s="205">
        <f t="shared" si="148"/>
        <v>0</v>
      </c>
      <c r="YV43" s="207"/>
      <c r="YW43" s="207"/>
      <c r="YX43" s="207"/>
      <c r="YY43" s="207"/>
      <c r="YZ43" s="207"/>
      <c r="ZA43" s="272"/>
      <c r="ZB43" s="272"/>
      <c r="ZC43" s="205">
        <f t="shared" si="219"/>
        <v>0</v>
      </c>
      <c r="ZD43" s="205">
        <f t="shared" si="149"/>
        <v>0</v>
      </c>
      <c r="ZE43" s="207"/>
      <c r="ZF43" s="207"/>
      <c r="ZG43" s="207"/>
      <c r="ZH43" s="207"/>
      <c r="ZI43" s="207"/>
      <c r="ZJ43" s="272"/>
      <c r="ZK43" s="272"/>
      <c r="ZL43" s="205">
        <f t="shared" si="220"/>
        <v>0</v>
      </c>
      <c r="ZM43" s="207"/>
      <c r="ZN43" s="207"/>
      <c r="ZO43" s="207"/>
      <c r="ZP43" s="207"/>
      <c r="ZQ43" s="207"/>
      <c r="ZR43" s="272"/>
      <c r="ZS43" s="272"/>
      <c r="ZT43" s="205">
        <f t="shared" si="221"/>
        <v>0</v>
      </c>
      <c r="ZU43" s="207"/>
      <c r="ZV43" s="207"/>
      <c r="ZW43" s="207"/>
      <c r="ZX43" s="207"/>
      <c r="ZY43" s="207"/>
      <c r="ZZ43" s="272"/>
      <c r="AAA43" s="272"/>
      <c r="AAB43" s="205">
        <f t="shared" si="222"/>
        <v>0</v>
      </c>
      <c r="AAC43" s="207"/>
      <c r="AAD43" s="207"/>
      <c r="AAE43" s="207"/>
      <c r="AAF43" s="207"/>
      <c r="AAG43" s="207"/>
      <c r="AAH43" s="272"/>
      <c r="AAI43" s="272"/>
      <c r="AAJ43" s="205">
        <f t="shared" si="223"/>
        <v>0</v>
      </c>
      <c r="AAK43" s="207"/>
      <c r="AAL43" s="207"/>
      <c r="AAM43" s="207"/>
      <c r="AAN43" s="207"/>
      <c r="AAO43" s="207"/>
      <c r="AAP43" s="272"/>
      <c r="AAQ43" s="272"/>
      <c r="AAR43" s="205">
        <f t="shared" si="224"/>
        <v>0</v>
      </c>
      <c r="AAS43" s="205">
        <f t="shared" si="225"/>
        <v>0</v>
      </c>
    </row>
    <row r="44" spans="1:721" ht="78" customHeight="1">
      <c r="B44" s="164">
        <v>3630101206</v>
      </c>
      <c r="C44" s="330" t="s">
        <v>496</v>
      </c>
      <c r="D44" s="163" t="s">
        <v>828</v>
      </c>
      <c r="E44" s="130" t="s">
        <v>4</v>
      </c>
      <c r="F44" s="201">
        <v>5000</v>
      </c>
      <c r="H44" s="120"/>
      <c r="I44" s="120"/>
      <c r="J44" s="120"/>
      <c r="K44" s="209"/>
      <c r="L44" s="205"/>
      <c r="M44" s="205">
        <f>SUM(F44:L44)</f>
        <v>5000</v>
      </c>
      <c r="N44" s="120"/>
      <c r="O44" s="120"/>
      <c r="P44" s="120"/>
      <c r="Q44" s="120"/>
      <c r="R44" s="120"/>
      <c r="S44" s="209"/>
      <c r="T44" s="205"/>
      <c r="U44" s="205">
        <f>SUM(N44:T44)</f>
        <v>0</v>
      </c>
      <c r="V44" s="120"/>
      <c r="W44" s="120"/>
      <c r="X44" s="120"/>
      <c r="Y44" s="120"/>
      <c r="Z44" s="201">
        <v>5000</v>
      </c>
      <c r="AA44" s="209"/>
      <c r="AB44" s="205"/>
      <c r="AC44" s="205">
        <f>SUM(V44:AB44)</f>
        <v>5000</v>
      </c>
      <c r="AD44" s="205"/>
      <c r="AE44" s="205"/>
      <c r="AF44" s="205"/>
      <c r="AG44" s="205"/>
      <c r="AH44" s="205"/>
      <c r="AI44" s="209"/>
      <c r="AJ44" s="205"/>
      <c r="AK44" s="205">
        <f>SUM(AD44:AJ44)</f>
        <v>0</v>
      </c>
      <c r="AL44" s="205" t="e">
        <f>SUM(#REF!,M44,U44,AC44,AD44:AH44)</f>
        <v>#REF!</v>
      </c>
      <c r="AM44" s="120"/>
      <c r="AN44" s="124">
        <v>5000</v>
      </c>
      <c r="AO44" s="120"/>
      <c r="AP44" s="120"/>
      <c r="AQ44" s="120"/>
      <c r="AR44" s="209"/>
      <c r="AS44" s="205"/>
      <c r="AT44" s="205">
        <f>SUM(AM44:AS44)</f>
        <v>5000</v>
      </c>
      <c r="AU44" s="120"/>
      <c r="AV44" s="120"/>
      <c r="AW44" s="120"/>
      <c r="AX44" s="120"/>
      <c r="AY44" s="120"/>
      <c r="AZ44" s="209"/>
      <c r="BA44" s="205"/>
      <c r="BB44" s="205">
        <f>SUM(AU44:BA44)</f>
        <v>0</v>
      </c>
      <c r="BC44" s="120"/>
      <c r="BD44" s="120"/>
      <c r="BE44" s="120"/>
      <c r="BF44" s="124">
        <v>2000</v>
      </c>
      <c r="BG44" s="120"/>
      <c r="BH44" s="209"/>
      <c r="BI44" s="205"/>
      <c r="BJ44" s="205">
        <f>SUM(BC44:BI44)</f>
        <v>2000</v>
      </c>
      <c r="BK44" s="120"/>
      <c r="BL44" s="120"/>
      <c r="BM44" s="120"/>
      <c r="BN44" s="120"/>
      <c r="BO44" s="205"/>
      <c r="BP44" s="209"/>
      <c r="BQ44" s="205"/>
      <c r="BR44" s="205">
        <f>SUM(BK44:BQ44)</f>
        <v>0</v>
      </c>
      <c r="BS44" s="205">
        <f>SUM(AI44:AJ44,AT44,BB44,BJ44,BK44:BO44)</f>
        <v>7000</v>
      </c>
      <c r="BT44" s="120"/>
      <c r="BU44" s="120"/>
      <c r="BV44" s="217">
        <v>3500</v>
      </c>
      <c r="BW44" s="120"/>
      <c r="BX44" s="120"/>
      <c r="BY44" s="209"/>
      <c r="BZ44" s="205"/>
      <c r="CA44" s="205">
        <f>SUM(BT44:BZ44)</f>
        <v>3500</v>
      </c>
      <c r="CB44" s="120"/>
      <c r="CC44" s="120"/>
      <c r="CD44" s="120"/>
      <c r="CE44" s="120"/>
      <c r="CF44" s="120"/>
      <c r="CG44" s="209"/>
      <c r="CH44" s="205"/>
      <c r="CI44" s="205">
        <f>SUM(CB44:CH44)</f>
        <v>0</v>
      </c>
      <c r="CJ44" s="120"/>
      <c r="CK44" s="120"/>
      <c r="CL44" s="195">
        <v>4000</v>
      </c>
      <c r="CM44" s="250">
        <v>5000</v>
      </c>
      <c r="CN44" s="120"/>
      <c r="CO44" s="209"/>
      <c r="CP44" s="205"/>
      <c r="CQ44" s="205">
        <f>SUM(CJ44:CP44)</f>
        <v>9000</v>
      </c>
      <c r="CR44" s="120"/>
      <c r="CS44" s="120"/>
      <c r="CT44" s="120"/>
      <c r="CU44" s="120"/>
      <c r="CV44" s="120"/>
      <c r="CW44" s="209"/>
      <c r="CX44" s="205"/>
      <c r="CY44" s="205">
        <f>SUM(CR44:CX44)</f>
        <v>0</v>
      </c>
      <c r="CZ44" s="120"/>
      <c r="DA44" s="120"/>
      <c r="DB44" s="120"/>
      <c r="DC44" s="205"/>
      <c r="DD44" s="205"/>
      <c r="DE44" s="209"/>
      <c r="DF44" s="205"/>
      <c r="DG44" s="205">
        <f>SUM(CZ44:DF44)</f>
        <v>0</v>
      </c>
      <c r="DH44" s="205">
        <f>SUM(CA44,CI44,CQ44,CY44,CZ44)</f>
        <v>12500</v>
      </c>
      <c r="DI44" s="207"/>
      <c r="DJ44" s="120"/>
      <c r="DK44" s="120"/>
      <c r="DL44" s="120"/>
      <c r="DM44" s="250">
        <v>10000</v>
      </c>
      <c r="DN44" s="209"/>
      <c r="DO44" s="205"/>
      <c r="DP44" s="205">
        <f>SUM(DI44:DO44)</f>
        <v>10000</v>
      </c>
      <c r="DQ44" s="217">
        <v>2000</v>
      </c>
      <c r="DR44" s="120"/>
      <c r="DS44" s="120"/>
      <c r="DT44" s="120"/>
      <c r="DU44" s="120"/>
      <c r="DV44" s="209"/>
      <c r="DW44" s="205"/>
      <c r="DX44" s="205">
        <f>SUM(DQ44:DW44)</f>
        <v>2000</v>
      </c>
      <c r="DY44" s="120"/>
      <c r="DZ44" s="250">
        <v>10000</v>
      </c>
      <c r="EA44" s="120"/>
      <c r="EB44" s="120"/>
      <c r="EC44" s="120"/>
      <c r="ED44" s="209"/>
      <c r="EE44" s="205"/>
      <c r="EF44" s="205">
        <f>SUM(DY44:EE44)</f>
        <v>10000</v>
      </c>
      <c r="EG44" s="120"/>
      <c r="EH44" s="120"/>
      <c r="EI44" s="120"/>
      <c r="EJ44" s="205"/>
      <c r="EK44" s="205"/>
      <c r="EL44" s="209"/>
      <c r="EM44" s="205"/>
      <c r="EN44" s="205">
        <f>SUM(EG44:EM44)</f>
        <v>0</v>
      </c>
      <c r="EO44" s="205">
        <f>SUM(DA44:DF44,DP44,DX44,EF44,EG44:EI44)</f>
        <v>22000</v>
      </c>
      <c r="EP44" s="120"/>
      <c r="EQ44" s="120"/>
      <c r="ER44" s="120"/>
      <c r="ES44" s="120"/>
      <c r="ET44" s="120"/>
      <c r="EU44" s="209"/>
      <c r="EV44" s="205"/>
      <c r="EW44" s="205">
        <f>SUM(EP44:EV44)</f>
        <v>0</v>
      </c>
      <c r="EX44" s="120"/>
      <c r="EY44" s="120"/>
      <c r="EZ44" s="120"/>
      <c r="FA44" s="201">
        <v>3000</v>
      </c>
      <c r="FB44" s="120"/>
      <c r="FC44" s="209"/>
      <c r="FD44" s="205"/>
      <c r="FE44" s="205">
        <f>SUM(EX44:FD44)</f>
        <v>3000</v>
      </c>
      <c r="FF44" s="120"/>
      <c r="FG44" s="120"/>
      <c r="FH44" s="120"/>
      <c r="FI44" s="120"/>
      <c r="FJ44" s="120"/>
      <c r="FK44" s="209"/>
      <c r="FL44" s="205"/>
      <c r="FM44" s="205">
        <f>SUM(FF44:FL44)</f>
        <v>0</v>
      </c>
      <c r="FN44" s="250">
        <v>3000</v>
      </c>
      <c r="FO44" s="120"/>
      <c r="FP44" s="120"/>
      <c r="FQ44" s="120"/>
      <c r="FR44" s="205"/>
      <c r="FS44" s="209"/>
      <c r="FT44" s="205"/>
      <c r="FU44" s="205">
        <f>SUM(FN44:FT44)</f>
        <v>3000</v>
      </c>
      <c r="FV44" s="205">
        <f>SUM(EJ44:EK44,EW44,FE44,FM44,FU44)</f>
        <v>6000</v>
      </c>
      <c r="FW44" s="120"/>
      <c r="FX44" s="120"/>
      <c r="FY44" s="120"/>
      <c r="FZ44" s="120"/>
      <c r="GA44" s="120"/>
      <c r="GB44" s="209"/>
      <c r="GC44" s="205"/>
      <c r="GD44" s="205">
        <f>SUM(FW44:GC44)</f>
        <v>0</v>
      </c>
      <c r="GE44" s="120"/>
      <c r="GF44" s="120"/>
      <c r="GG44" s="120"/>
      <c r="GH44" s="120"/>
      <c r="GI44" s="120"/>
      <c r="GJ44" s="209"/>
      <c r="GK44" s="205"/>
      <c r="GL44" s="205">
        <f>SUM(GE44:GK44)</f>
        <v>0</v>
      </c>
      <c r="GM44" s="123">
        <v>5000</v>
      </c>
      <c r="GN44" s="120"/>
      <c r="GO44" s="120"/>
      <c r="GP44" s="120"/>
      <c r="GQ44" s="120"/>
      <c r="GR44" s="209"/>
      <c r="GS44" s="205"/>
      <c r="GT44" s="205">
        <f>SUM(GM44:GS44)</f>
        <v>5000</v>
      </c>
      <c r="GU44" s="120"/>
      <c r="GV44" s="120"/>
      <c r="GW44" s="250">
        <v>4000</v>
      </c>
      <c r="GX44" s="120"/>
      <c r="GY44" s="120"/>
      <c r="GZ44" s="209"/>
      <c r="HA44" s="205"/>
      <c r="HB44" s="205">
        <f>SUM(GU44:HA44)</f>
        <v>4000</v>
      </c>
      <c r="HC44" s="120"/>
      <c r="HD44" s="120"/>
      <c r="HE44" s="120"/>
      <c r="HF44" s="120"/>
      <c r="HG44" s="120"/>
      <c r="HH44" s="209"/>
      <c r="HI44" s="205"/>
      <c r="HJ44" s="205">
        <f>SUM(HC44:HI44)</f>
        <v>0</v>
      </c>
      <c r="HK44" s="205">
        <f>SUM(GD44,GL44,GT44,HB44,HC44)</f>
        <v>9000</v>
      </c>
      <c r="HL44" s="124"/>
      <c r="HM44" s="120"/>
      <c r="HN44" s="120"/>
      <c r="HO44" s="120"/>
      <c r="HP44" s="120"/>
      <c r="HQ44" s="250">
        <v>3000</v>
      </c>
      <c r="HR44" s="205"/>
      <c r="HS44" s="205">
        <f>SUM(HL44:HR44)</f>
        <v>3000</v>
      </c>
      <c r="HT44" s="120"/>
      <c r="HU44" s="195">
        <v>3000</v>
      </c>
      <c r="HV44" s="120"/>
      <c r="HW44" s="120"/>
      <c r="HX44" s="120"/>
      <c r="HY44" s="205"/>
      <c r="HZ44" s="205"/>
      <c r="IA44" s="205">
        <f>SUM(HT44:HZ44)</f>
        <v>3000</v>
      </c>
      <c r="IB44" s="120"/>
      <c r="IC44" s="217">
        <v>5000</v>
      </c>
      <c r="ID44" s="120"/>
      <c r="IE44" s="120"/>
      <c r="IF44" s="120"/>
      <c r="IG44" s="205"/>
      <c r="IH44" s="205"/>
      <c r="II44" s="205">
        <f>SUM(IB44:IH44)</f>
        <v>5000</v>
      </c>
      <c r="IJ44" s="120"/>
      <c r="IK44" s="120"/>
      <c r="IL44" s="120"/>
      <c r="IM44" s="120"/>
      <c r="IN44" s="120"/>
      <c r="IO44" s="205"/>
      <c r="IP44" s="205"/>
      <c r="IQ44" s="205">
        <f>SUM(IJ44:IP44)</f>
        <v>0</v>
      </c>
      <c r="IR44" s="205">
        <f>SUM(IJ44:IM44,II44,IA44,HS44,HD44:HG44,HH44:HI44)</f>
        <v>11000</v>
      </c>
      <c r="IS44" s="120"/>
      <c r="IT44" s="120"/>
      <c r="IU44" s="120"/>
      <c r="IV44" s="120"/>
      <c r="IW44" s="120"/>
      <c r="IX44" s="205"/>
      <c r="IY44" s="205"/>
      <c r="IZ44" s="205">
        <f>SUM(IS44:IY44)</f>
        <v>0</v>
      </c>
      <c r="JA44" s="120"/>
      <c r="JB44" s="120"/>
      <c r="JC44" s="120"/>
      <c r="JD44" s="217">
        <v>9000</v>
      </c>
      <c r="JE44" s="120"/>
      <c r="JF44" s="205"/>
      <c r="JG44" s="205"/>
      <c r="JH44" s="205">
        <f>SUM(JA44:JG44)</f>
        <v>9000</v>
      </c>
      <c r="JI44" s="120"/>
      <c r="JJ44" s="120"/>
      <c r="JK44" s="120"/>
      <c r="JL44" s="120"/>
      <c r="JM44" s="120"/>
      <c r="JN44" s="205"/>
      <c r="JO44" s="205"/>
      <c r="JP44" s="205">
        <f>SUM(JI44:JO44)</f>
        <v>0</v>
      </c>
      <c r="JQ44" s="120"/>
      <c r="JR44" s="120"/>
      <c r="JS44" s="120"/>
      <c r="JT44" s="120"/>
      <c r="JU44" s="120"/>
      <c r="JV44" s="205"/>
      <c r="JW44" s="205"/>
      <c r="JX44" s="205">
        <f>SUM(JQ44:JW44)</f>
        <v>0</v>
      </c>
      <c r="JY44" s="205">
        <f t="shared" si="163"/>
        <v>9000</v>
      </c>
      <c r="JZ44" s="120"/>
      <c r="KA44" s="120"/>
      <c r="KB44" s="120"/>
      <c r="KC44" s="120"/>
      <c r="KD44" s="120"/>
      <c r="KE44" s="205"/>
      <c r="KF44" s="205"/>
      <c r="KG44" s="205">
        <f>SUM(JZ44:KF44)</f>
        <v>0</v>
      </c>
      <c r="KH44" s="120"/>
      <c r="KI44" s="120"/>
      <c r="KJ44" s="120"/>
      <c r="KK44" s="120"/>
      <c r="KL44" s="120"/>
      <c r="KM44" s="205"/>
      <c r="KN44" s="205"/>
      <c r="KO44" s="205">
        <f>SUM(KH44:KN44)</f>
        <v>0</v>
      </c>
      <c r="KP44" s="120"/>
      <c r="KQ44" s="120"/>
      <c r="KR44" s="217">
        <v>6000</v>
      </c>
      <c r="KS44" s="120"/>
      <c r="KT44" s="120"/>
      <c r="KU44" s="205"/>
      <c r="KV44" s="205"/>
      <c r="KW44" s="205">
        <f>SUM(KP44:KV44)</f>
        <v>6000</v>
      </c>
      <c r="KX44" s="120"/>
      <c r="KY44" s="195">
        <v>9000</v>
      </c>
      <c r="KZ44" s="120"/>
      <c r="LA44" s="120"/>
      <c r="LB44" s="120"/>
      <c r="LC44" s="205"/>
      <c r="LD44" s="205"/>
      <c r="LE44" s="205">
        <f>SUM(KX44:LD44)</f>
        <v>9000</v>
      </c>
      <c r="LF44" s="205"/>
      <c r="LG44" s="120"/>
      <c r="LH44" s="120"/>
      <c r="LI44" s="120"/>
      <c r="LJ44" s="120"/>
      <c r="LK44" s="205"/>
      <c r="LL44" s="205"/>
      <c r="LM44" s="205">
        <f>SUM(LF44:LL44)</f>
        <v>0</v>
      </c>
      <c r="LN44" s="205">
        <f>SUM(LF44:LG44,LE44,KW44,KO44,KG44)</f>
        <v>15000</v>
      </c>
      <c r="LO44" s="205"/>
      <c r="LP44" s="120"/>
      <c r="LQ44" s="217">
        <v>3000</v>
      </c>
      <c r="LR44" s="120"/>
      <c r="LS44" s="205"/>
      <c r="LT44" s="205"/>
      <c r="LU44" s="205"/>
      <c r="LV44" s="205">
        <f>SUM(LO44:LU44)</f>
        <v>3000</v>
      </c>
      <c r="LW44" s="120"/>
      <c r="LX44" s="120"/>
      <c r="LY44" s="124">
        <v>360</v>
      </c>
      <c r="LZ44" s="120"/>
      <c r="MA44" s="120"/>
      <c r="MB44" s="205"/>
      <c r="MC44" s="205"/>
      <c r="MD44" s="205">
        <f>SUM(LW44:MC44)</f>
        <v>360</v>
      </c>
      <c r="ME44" s="120"/>
      <c r="MF44" s="201">
        <v>4000</v>
      </c>
      <c r="MG44" s="120"/>
      <c r="MH44" s="120"/>
      <c r="MI44" s="205"/>
      <c r="MJ44" s="205"/>
      <c r="MK44" s="205"/>
      <c r="ML44" s="205">
        <f>SUM(ME44:MK44)</f>
        <v>4000</v>
      </c>
      <c r="MM44" s="120"/>
      <c r="MN44" s="217">
        <v>7000</v>
      </c>
      <c r="MO44" s="120"/>
      <c r="MP44" s="120"/>
      <c r="MQ44" s="120"/>
      <c r="MR44" s="205"/>
      <c r="MS44" s="205"/>
      <c r="MT44" s="205">
        <f>SUM(MM44:MS44)</f>
        <v>7000</v>
      </c>
      <c r="MU44" s="205">
        <f>SUM(LH44:LL44,LV44,MD44,ML44,MM44:MQ44)</f>
        <v>14360</v>
      </c>
      <c r="MV44" s="120"/>
      <c r="MW44" s="120"/>
      <c r="MX44" s="120"/>
      <c r="MY44" s="120"/>
      <c r="MZ44" s="120"/>
      <c r="NA44" s="205"/>
      <c r="NB44" s="205"/>
      <c r="NC44" s="205">
        <f>SUM(MV44:NB44)</f>
        <v>0</v>
      </c>
      <c r="ND44" s="120"/>
      <c r="NE44" s="120"/>
      <c r="NF44" s="124">
        <v>5000</v>
      </c>
      <c r="NG44" s="120"/>
      <c r="NH44" s="120"/>
      <c r="NI44" s="205"/>
      <c r="NJ44" s="205"/>
      <c r="NK44" s="205">
        <f>SUM(ND44:NJ44)</f>
        <v>5000</v>
      </c>
      <c r="NL44" s="120"/>
      <c r="NM44" s="120"/>
      <c r="NN44" s="120"/>
      <c r="NO44" s="120"/>
      <c r="NP44" s="120"/>
      <c r="NQ44" s="205"/>
      <c r="NR44" s="205"/>
      <c r="NS44" s="205">
        <f>SUM(NL44:NR44)</f>
        <v>0</v>
      </c>
      <c r="NT44" s="120"/>
      <c r="NU44" s="120"/>
      <c r="NV44" s="120"/>
      <c r="NW44" s="120"/>
      <c r="NX44" s="195">
        <v>7500</v>
      </c>
      <c r="NY44" s="205"/>
      <c r="NZ44" s="205"/>
      <c r="OA44" s="205">
        <f>SUM(NT44:NZ44)</f>
        <v>7500</v>
      </c>
      <c r="OB44" s="205">
        <f>SUM(MR44:MS44,NC44,NK44,NS44,OA44)</f>
        <v>12500</v>
      </c>
      <c r="OC44" s="120"/>
      <c r="OD44" s="120"/>
      <c r="OE44" s="120"/>
      <c r="OF44" s="120"/>
      <c r="OG44" s="120"/>
      <c r="OH44" s="205"/>
      <c r="OI44" s="205"/>
      <c r="OJ44" s="205">
        <f>SUM(OC44:OI44)</f>
        <v>0</v>
      </c>
      <c r="OK44" s="120"/>
      <c r="OL44" s="120"/>
      <c r="OM44" s="120"/>
      <c r="ON44" s="120"/>
      <c r="OO44" s="120"/>
      <c r="OP44" s="205"/>
      <c r="OQ44" s="205"/>
      <c r="OR44" s="205">
        <f>SUM(OK44:OQ44)</f>
        <v>0</v>
      </c>
      <c r="OS44" s="120"/>
      <c r="OT44" s="120"/>
      <c r="OU44" s="217">
        <v>14000</v>
      </c>
      <c r="OV44" s="120"/>
      <c r="OW44" s="120"/>
      <c r="OX44" s="205"/>
      <c r="OY44" s="205"/>
      <c r="OZ44" s="205">
        <f>SUM(OS44:OY44)</f>
        <v>14000</v>
      </c>
      <c r="PA44" s="217">
        <v>4000</v>
      </c>
      <c r="PB44" s="120"/>
      <c r="PC44" s="120"/>
      <c r="PD44" s="205"/>
      <c r="PE44" s="217"/>
      <c r="PF44" s="205"/>
      <c r="PG44" s="205"/>
      <c r="PH44" s="205">
        <f>SUM(PA44:PG44)</f>
        <v>4000</v>
      </c>
      <c r="PI44" s="120"/>
      <c r="PJ44" s="120"/>
      <c r="PK44" s="120"/>
      <c r="PL44" s="205"/>
      <c r="PM44" s="217"/>
      <c r="PN44" s="205"/>
      <c r="PO44" s="205"/>
      <c r="PP44" s="205">
        <f>SUM(PI44:PO44)</f>
        <v>0</v>
      </c>
      <c r="PQ44" s="205">
        <f>SUM(OJ44,OR44,OZ44,PH44,PI44:PK44)</f>
        <v>18000</v>
      </c>
      <c r="PR44" s="207"/>
      <c r="PS44" s="207"/>
      <c r="PT44" s="207"/>
      <c r="PU44" s="207"/>
      <c r="PV44" s="207"/>
      <c r="PW44" s="272"/>
      <c r="PX44" s="272"/>
      <c r="PY44" s="205">
        <f t="shared" si="186"/>
        <v>0</v>
      </c>
      <c r="PZ44" s="207"/>
      <c r="QA44" s="207"/>
      <c r="QB44" s="207"/>
      <c r="QC44" s="207"/>
      <c r="QD44" s="207"/>
      <c r="QE44" s="272"/>
      <c r="QF44" s="272"/>
      <c r="QG44" s="205">
        <f t="shared" si="187"/>
        <v>0</v>
      </c>
      <c r="QH44" s="207"/>
      <c r="QI44" s="207"/>
      <c r="QJ44" s="294"/>
      <c r="QK44" s="207"/>
      <c r="QL44" s="207"/>
      <c r="QM44" s="272"/>
      <c r="QN44" s="272"/>
      <c r="QO44" s="205">
        <f t="shared" si="188"/>
        <v>0</v>
      </c>
      <c r="QP44" s="207"/>
      <c r="QQ44" s="207"/>
      <c r="QR44" s="207"/>
      <c r="QS44" s="207"/>
      <c r="QT44" s="207"/>
      <c r="QU44" s="272"/>
      <c r="QV44" s="272"/>
      <c r="QW44" s="205">
        <f t="shared" si="189"/>
        <v>0</v>
      </c>
      <c r="QX44" s="205">
        <f t="shared" si="190"/>
        <v>0</v>
      </c>
      <c r="QY44" s="195">
        <v>4000</v>
      </c>
      <c r="QZ44" s="207"/>
      <c r="RA44" s="207"/>
      <c r="RB44" s="207"/>
      <c r="RC44" s="207"/>
      <c r="RD44" s="272"/>
      <c r="RE44" s="272"/>
      <c r="RF44" s="205">
        <f t="shared" si="191"/>
        <v>4000</v>
      </c>
      <c r="RG44" s="207"/>
      <c r="RH44" s="207"/>
      <c r="RI44" s="195">
        <v>2000</v>
      </c>
      <c r="RJ44" s="207"/>
      <c r="RK44" s="207"/>
      <c r="RL44" s="272"/>
      <c r="RM44" s="272"/>
      <c r="RN44" s="205">
        <f t="shared" si="192"/>
        <v>2000</v>
      </c>
      <c r="RO44" s="272"/>
      <c r="RP44" s="272"/>
      <c r="RQ44" s="272"/>
      <c r="RR44" s="272"/>
      <c r="RS44" s="272"/>
      <c r="RT44" s="272"/>
      <c r="RU44" s="272"/>
      <c r="RV44" s="205">
        <f t="shared" si="193"/>
        <v>0</v>
      </c>
      <c r="RW44" s="207"/>
      <c r="RX44" s="207"/>
      <c r="RY44" s="207"/>
      <c r="RZ44" s="207"/>
      <c r="SA44" s="272"/>
      <c r="SB44" s="272"/>
      <c r="SC44" s="272"/>
      <c r="SD44" s="205">
        <f t="shared" si="194"/>
        <v>0</v>
      </c>
      <c r="SE44" s="205">
        <f t="shared" si="195"/>
        <v>6000</v>
      </c>
      <c r="SF44" s="207"/>
      <c r="SG44" s="207"/>
      <c r="SH44" s="207"/>
      <c r="SI44" s="207"/>
      <c r="SJ44" s="207"/>
      <c r="SK44" s="272"/>
      <c r="SL44" s="272"/>
      <c r="SM44" s="205">
        <f t="shared" si="196"/>
        <v>0</v>
      </c>
      <c r="SN44" s="217">
        <v>10000</v>
      </c>
      <c r="SO44" s="207"/>
      <c r="SP44" s="207"/>
      <c r="SQ44" s="207"/>
      <c r="SR44" s="207"/>
      <c r="SS44" s="272"/>
      <c r="ST44" s="272"/>
      <c r="SU44" s="205">
        <f t="shared" si="197"/>
        <v>10000</v>
      </c>
      <c r="SV44" s="207"/>
      <c r="SW44" s="120"/>
      <c r="SX44" s="207"/>
      <c r="SY44" s="207"/>
      <c r="SZ44" s="207"/>
      <c r="TA44" s="272"/>
      <c r="TB44" s="272"/>
      <c r="TC44" s="205">
        <f t="shared" si="198"/>
        <v>0</v>
      </c>
      <c r="TD44" s="124">
        <v>2000</v>
      </c>
      <c r="TE44" s="207"/>
      <c r="TF44" s="207"/>
      <c r="TG44" s="207"/>
      <c r="TH44" s="207"/>
      <c r="TI44" s="272"/>
      <c r="TJ44" s="272"/>
      <c r="TK44" s="205">
        <f t="shared" si="199"/>
        <v>2000</v>
      </c>
      <c r="TL44" s="195">
        <v>9000</v>
      </c>
      <c r="TM44" s="207"/>
      <c r="TN44" s="207"/>
      <c r="TO44" s="207"/>
      <c r="TP44" s="272"/>
      <c r="TQ44" s="272"/>
      <c r="TR44" s="272"/>
      <c r="TS44" s="205">
        <f t="shared" si="200"/>
        <v>9000</v>
      </c>
      <c r="TT44" s="205">
        <f t="shared" si="201"/>
        <v>21000</v>
      </c>
      <c r="TU44" s="272"/>
      <c r="TV44" s="207"/>
      <c r="TW44" s="207"/>
      <c r="TX44" s="195">
        <v>9000</v>
      </c>
      <c r="TY44" s="207"/>
      <c r="TZ44" s="272"/>
      <c r="UA44" s="272"/>
      <c r="UB44" s="205">
        <f t="shared" si="202"/>
        <v>9000</v>
      </c>
      <c r="UC44" s="207"/>
      <c r="UD44" s="207"/>
      <c r="UE44" s="207"/>
      <c r="UF44" s="207"/>
      <c r="UG44" s="207"/>
      <c r="UH44" s="201">
        <v>8000</v>
      </c>
      <c r="UI44" s="272"/>
      <c r="UJ44" s="205">
        <f t="shared" ref="UJ44:UJ58" si="240">SUM(UC44:UI44)</f>
        <v>8000</v>
      </c>
      <c r="UK44" s="207"/>
      <c r="UL44" s="207"/>
      <c r="UM44" s="207"/>
      <c r="UN44" s="207"/>
      <c r="UO44" s="207"/>
      <c r="UP44" s="272"/>
      <c r="UQ44" s="272"/>
      <c r="UR44" s="205">
        <f t="shared" si="227"/>
        <v>0</v>
      </c>
      <c r="US44" s="207"/>
      <c r="UT44" s="207"/>
      <c r="UU44" s="207"/>
      <c r="UV44" s="207"/>
      <c r="UW44" s="272"/>
      <c r="UX44" s="272"/>
      <c r="UY44" s="272"/>
      <c r="UZ44" s="205">
        <f t="shared" si="204"/>
        <v>0</v>
      </c>
      <c r="VA44" s="205">
        <f t="shared" si="205"/>
        <v>17000</v>
      </c>
      <c r="VB44" s="207"/>
      <c r="VC44" s="207"/>
      <c r="VD44" s="207"/>
      <c r="VE44" s="207"/>
      <c r="VF44" s="207"/>
      <c r="VG44" s="272"/>
      <c r="VH44" s="272"/>
      <c r="VI44" s="205">
        <f t="shared" si="206"/>
        <v>0</v>
      </c>
      <c r="VJ44" s="207"/>
      <c r="VK44" s="207"/>
      <c r="VL44" s="207"/>
      <c r="VM44" s="207"/>
      <c r="VN44" s="207"/>
      <c r="VO44" s="272"/>
      <c r="VP44" s="272"/>
      <c r="VQ44" s="205">
        <f t="shared" si="207"/>
        <v>0</v>
      </c>
      <c r="VR44" s="207"/>
      <c r="VS44" s="207"/>
      <c r="VT44" s="207"/>
      <c r="VU44" s="207"/>
      <c r="VV44" s="124">
        <v>4000</v>
      </c>
      <c r="VW44" s="272"/>
      <c r="VX44" s="272"/>
      <c r="VY44" s="205">
        <f t="shared" si="208"/>
        <v>4000</v>
      </c>
      <c r="VZ44" s="207"/>
      <c r="WA44" s="207"/>
      <c r="WB44" s="207"/>
      <c r="WC44" s="207"/>
      <c r="WD44" s="207"/>
      <c r="WE44" s="272"/>
      <c r="WF44" s="272"/>
      <c r="WG44" s="205">
        <f t="shared" si="209"/>
        <v>0</v>
      </c>
      <c r="WH44" s="205">
        <f t="shared" si="210"/>
        <v>4000</v>
      </c>
      <c r="WI44" s="207"/>
      <c r="WJ44" s="207"/>
      <c r="WK44" s="207"/>
      <c r="WL44" s="207"/>
      <c r="WM44" s="207"/>
      <c r="WN44" s="272"/>
      <c r="WO44" s="272"/>
      <c r="WP44" s="205">
        <f t="shared" si="211"/>
        <v>0</v>
      </c>
      <c r="WQ44" s="207"/>
      <c r="WS44" s="207"/>
      <c r="WT44" s="124">
        <v>10000</v>
      </c>
      <c r="WU44" s="207"/>
      <c r="WV44" s="272"/>
      <c r="WW44" s="272"/>
      <c r="WX44" s="205">
        <f t="shared" si="212"/>
        <v>10000</v>
      </c>
      <c r="WY44" s="207"/>
      <c r="WZ44" s="207"/>
      <c r="XA44" s="207"/>
      <c r="XB44" s="207"/>
      <c r="XC44" s="272"/>
      <c r="XD44" s="272"/>
      <c r="XE44" s="272"/>
      <c r="XF44" s="205">
        <f t="shared" si="213"/>
        <v>0</v>
      </c>
      <c r="XG44" s="207"/>
      <c r="XH44" s="124">
        <v>10000</v>
      </c>
      <c r="XI44" s="207"/>
      <c r="XJ44" s="207"/>
      <c r="XK44" s="207"/>
      <c r="XL44" s="272"/>
      <c r="XM44" s="272"/>
      <c r="XN44" s="205">
        <f t="shared" si="214"/>
        <v>10000</v>
      </c>
      <c r="XO44" s="207"/>
      <c r="XP44" s="207"/>
      <c r="XQ44" s="207"/>
      <c r="XR44" s="207"/>
      <c r="XS44" s="207"/>
      <c r="XT44" s="272"/>
      <c r="XU44" s="272"/>
      <c r="XV44" s="205">
        <f t="shared" si="215"/>
        <v>0</v>
      </c>
      <c r="XW44" s="205">
        <f t="shared" si="216"/>
        <v>20000</v>
      </c>
      <c r="XX44" s="124">
        <v>10000</v>
      </c>
      <c r="XY44" s="207"/>
      <c r="XZ44" s="207"/>
      <c r="YA44" s="207"/>
      <c r="YB44" s="207"/>
      <c r="YC44" s="272"/>
      <c r="YD44" s="272"/>
      <c r="YE44" s="205">
        <f t="shared" si="217"/>
        <v>10000</v>
      </c>
      <c r="YF44" s="207"/>
      <c r="YG44" s="207"/>
      <c r="YH44" s="207"/>
      <c r="YI44" s="207"/>
      <c r="YJ44" s="207"/>
      <c r="YK44" s="272"/>
      <c r="YL44" s="272"/>
      <c r="YM44" s="205">
        <f t="shared" si="218"/>
        <v>0</v>
      </c>
      <c r="YN44" s="207"/>
      <c r="YO44" s="207"/>
      <c r="YP44" s="207"/>
      <c r="YQ44" s="207"/>
      <c r="YR44" s="207"/>
      <c r="YS44" s="272"/>
      <c r="YT44" s="272"/>
      <c r="YU44" s="205">
        <f t="shared" si="148"/>
        <v>0</v>
      </c>
      <c r="YV44" s="124">
        <v>5000</v>
      </c>
      <c r="YW44" s="207"/>
      <c r="YX44" s="207"/>
      <c r="YY44" s="207"/>
      <c r="YZ44" s="207"/>
      <c r="ZA44" s="272"/>
      <c r="ZB44" s="272"/>
      <c r="ZC44" s="205">
        <f t="shared" si="219"/>
        <v>5000</v>
      </c>
      <c r="ZD44" s="205">
        <f t="shared" si="149"/>
        <v>15000</v>
      </c>
      <c r="ZE44" s="207"/>
      <c r="ZF44" s="207"/>
      <c r="ZG44" s="207"/>
      <c r="ZH44" s="207"/>
      <c r="ZI44" s="207"/>
      <c r="ZJ44" s="272"/>
      <c r="ZK44" s="272"/>
      <c r="ZL44" s="205">
        <f t="shared" si="220"/>
        <v>0</v>
      </c>
      <c r="ZM44" s="207"/>
      <c r="ZN44" s="207"/>
      <c r="ZO44" s="207"/>
      <c r="ZP44" s="207"/>
      <c r="ZQ44" s="207"/>
      <c r="ZR44" s="272"/>
      <c r="ZS44" s="272"/>
      <c r="ZT44" s="205">
        <f t="shared" si="221"/>
        <v>0</v>
      </c>
      <c r="ZU44" s="207"/>
      <c r="ZV44" s="207"/>
      <c r="ZW44" s="207"/>
      <c r="ZX44" s="207"/>
      <c r="ZY44" s="207"/>
      <c r="ZZ44" s="272"/>
      <c r="AAA44" s="272"/>
      <c r="AAB44" s="205">
        <f t="shared" si="222"/>
        <v>0</v>
      </c>
      <c r="AAC44" s="207"/>
      <c r="AAD44" s="207"/>
      <c r="AAE44" s="207"/>
      <c r="AAF44" s="207"/>
      <c r="AAG44" s="207"/>
      <c r="AAH44" s="272"/>
      <c r="AAI44" s="272"/>
      <c r="AAJ44" s="205">
        <f t="shared" si="223"/>
        <v>0</v>
      </c>
      <c r="AAK44" s="207"/>
      <c r="AAL44" s="207"/>
      <c r="AAM44" s="207"/>
      <c r="AAN44" s="207"/>
      <c r="AAO44" s="207"/>
      <c r="AAP44" s="272"/>
      <c r="AAQ44" s="272"/>
      <c r="AAR44" s="205">
        <f t="shared" si="224"/>
        <v>0</v>
      </c>
      <c r="AAS44" s="205">
        <f t="shared" si="225"/>
        <v>0</v>
      </c>
    </row>
    <row r="45" spans="1:721" ht="69" hidden="1" customHeight="1">
      <c r="B45" s="164">
        <v>3630101207</v>
      </c>
      <c r="C45" s="330" t="s">
        <v>496</v>
      </c>
      <c r="D45" s="163" t="s">
        <v>761</v>
      </c>
      <c r="E45" s="130" t="s">
        <v>4</v>
      </c>
      <c r="F45" s="120"/>
      <c r="G45" s="120"/>
      <c r="H45" s="120"/>
      <c r="I45" s="120"/>
      <c r="J45" s="120"/>
      <c r="K45" s="209"/>
      <c r="L45" s="205"/>
      <c r="M45" s="205">
        <f t="shared" ref="M45" si="241">SUM(F45:L45)</f>
        <v>0</v>
      </c>
      <c r="N45" s="120"/>
      <c r="O45" s="120"/>
      <c r="P45" s="120"/>
      <c r="Q45" s="120"/>
      <c r="R45" s="120"/>
      <c r="S45" s="209"/>
      <c r="T45" s="205"/>
      <c r="U45" s="205">
        <f t="shared" ref="U45" si="242">SUM(N45:T45)</f>
        <v>0</v>
      </c>
      <c r="V45" s="120"/>
      <c r="W45" s="120"/>
      <c r="X45" s="120"/>
      <c r="Y45" s="120"/>
      <c r="Z45" s="120"/>
      <c r="AA45" s="209"/>
      <c r="AB45" s="205"/>
      <c r="AC45" s="205">
        <f t="shared" ref="AC45" si="243">SUM(V45:AB45)</f>
        <v>0</v>
      </c>
      <c r="AD45" s="205"/>
      <c r="AE45" s="205"/>
      <c r="AF45" s="205"/>
      <c r="AG45" s="205"/>
      <c r="AH45" s="205"/>
      <c r="AI45" s="209"/>
      <c r="AJ45" s="205"/>
      <c r="AK45" s="205">
        <f t="shared" ref="AK45" si="244">SUM(AD45:AJ45)</f>
        <v>0</v>
      </c>
      <c r="AL45" s="205" t="e">
        <f>SUM(#REF!,M45,U45,AC45,AD45:AH45)</f>
        <v>#REF!</v>
      </c>
      <c r="AM45" s="120"/>
      <c r="AN45" s="120"/>
      <c r="AO45" s="120"/>
      <c r="AP45" s="120"/>
      <c r="AQ45" s="120"/>
      <c r="AR45" s="209"/>
      <c r="AS45" s="205"/>
      <c r="AT45" s="205">
        <f t="shared" ref="AT45:AT79" si="245">SUM(AM45:AS45)</f>
        <v>0</v>
      </c>
      <c r="AU45" s="120"/>
      <c r="AV45" s="120"/>
      <c r="AW45" s="120"/>
      <c r="AX45" s="120"/>
      <c r="AY45" s="120"/>
      <c r="AZ45" s="209"/>
      <c r="BA45" s="205"/>
      <c r="BB45" s="205">
        <f t="shared" ref="BB45:BB79" si="246">SUM(AU45:BA45)</f>
        <v>0</v>
      </c>
      <c r="BC45" s="120"/>
      <c r="BD45" s="120"/>
      <c r="BE45" s="120"/>
      <c r="BF45" s="120"/>
      <c r="BG45" s="120"/>
      <c r="BH45" s="209"/>
      <c r="BI45" s="205"/>
      <c r="BJ45" s="205">
        <f t="shared" ref="BJ45:BJ58" si="247">SUM(BC45:BI45)</f>
        <v>0</v>
      </c>
      <c r="BK45" s="120"/>
      <c r="BL45" s="120"/>
      <c r="BM45" s="120"/>
      <c r="BN45" s="120"/>
      <c r="BO45" s="205"/>
      <c r="BP45" s="209"/>
      <c r="BQ45" s="205"/>
      <c r="BR45" s="205">
        <f t="shared" ref="BR45:BR81" si="248">SUM(BK45:BQ45)</f>
        <v>0</v>
      </c>
      <c r="BS45" s="205">
        <f t="shared" ref="BS45" si="249">SUM(AI45:AJ45,AT45,BB45,BJ45,BK45:BO45)</f>
        <v>0</v>
      </c>
      <c r="BT45" s="120"/>
      <c r="BU45" s="120"/>
      <c r="BV45" s="120"/>
      <c r="BW45" s="120"/>
      <c r="BX45" s="120"/>
      <c r="BY45" s="209"/>
      <c r="BZ45" s="205"/>
      <c r="CA45" s="205">
        <f t="shared" ref="CA45:CA79" si="250">SUM(BT45:BZ45)</f>
        <v>0</v>
      </c>
      <c r="CB45" s="120"/>
      <c r="CC45" s="120"/>
      <c r="CD45" s="120"/>
      <c r="CE45" s="120"/>
      <c r="CF45" s="120"/>
      <c r="CG45" s="209"/>
      <c r="CH45" s="205"/>
      <c r="CI45" s="205">
        <f t="shared" ref="CI45:CI79" si="251">SUM(CB45:CH45)</f>
        <v>0</v>
      </c>
      <c r="CJ45" s="120"/>
      <c r="CK45" s="120"/>
      <c r="CL45" s="120"/>
      <c r="CM45" s="120"/>
      <c r="CN45" s="120"/>
      <c r="CO45" s="209"/>
      <c r="CP45" s="205"/>
      <c r="CQ45" s="205">
        <f t="shared" ref="CQ45:CQ79" si="252">SUM(CJ45:CP45)</f>
        <v>0</v>
      </c>
      <c r="CR45" s="120"/>
      <c r="CS45" s="120"/>
      <c r="CT45" s="120"/>
      <c r="CU45" s="120"/>
      <c r="CV45" s="120"/>
      <c r="CW45" s="209"/>
      <c r="CX45" s="205"/>
      <c r="CY45" s="205">
        <f t="shared" ref="CY45:CY79" si="253">SUM(CR45:CX45)</f>
        <v>0</v>
      </c>
      <c r="CZ45" s="120"/>
      <c r="DA45" s="120"/>
      <c r="DB45" s="120"/>
      <c r="DC45" s="205"/>
      <c r="DD45" s="205"/>
      <c r="DE45" s="209"/>
      <c r="DF45" s="205"/>
      <c r="DG45" s="205">
        <f t="shared" ref="DG45:DG79" si="254">SUM(CZ45:DF45)</f>
        <v>0</v>
      </c>
      <c r="DH45" s="205">
        <f t="shared" ref="DH45" si="255">SUM(CA45,CI45,CQ45,CY45,CZ45)</f>
        <v>0</v>
      </c>
      <c r="DI45" s="120"/>
      <c r="DJ45" s="120"/>
      <c r="DK45" s="120"/>
      <c r="DL45" s="120"/>
      <c r="DM45" s="120"/>
      <c r="DN45" s="209"/>
      <c r="DO45" s="205"/>
      <c r="DP45" s="205">
        <f t="shared" ref="DP45" si="256">SUM(DI45:DO45)</f>
        <v>0</v>
      </c>
      <c r="DQ45" s="120"/>
      <c r="DR45" s="120"/>
      <c r="DS45" s="120"/>
      <c r="DT45" s="120"/>
      <c r="DU45" s="120"/>
      <c r="DV45" s="209"/>
      <c r="DW45" s="205"/>
      <c r="DX45" s="205">
        <f t="shared" ref="DX45" si="257">SUM(DQ45:DW45)</f>
        <v>0</v>
      </c>
      <c r="DY45" s="120"/>
      <c r="DZ45" s="120"/>
      <c r="EA45" s="120"/>
      <c r="EB45" s="120"/>
      <c r="EC45" s="120"/>
      <c r="ED45" s="209"/>
      <c r="EE45" s="205"/>
      <c r="EF45" s="205">
        <f t="shared" ref="EF45" si="258">SUM(DY45:EE45)</f>
        <v>0</v>
      </c>
      <c r="EG45" s="120"/>
      <c r="EH45" s="120"/>
      <c r="EI45" s="120"/>
      <c r="EJ45" s="205"/>
      <c r="EK45" s="205"/>
      <c r="EL45" s="209"/>
      <c r="EM45" s="205"/>
      <c r="EN45" s="205">
        <f t="shared" ref="EN45" si="259">SUM(EG45:EM45)</f>
        <v>0</v>
      </c>
      <c r="EO45" s="205">
        <f t="shared" ref="EO45" si="260">SUM(DA45:DF45,DP45,DX45,EF45,EG45:EI45)</f>
        <v>0</v>
      </c>
      <c r="EP45" s="120"/>
      <c r="EQ45" s="120"/>
      <c r="ER45" s="120"/>
      <c r="ES45" s="120"/>
      <c r="ET45" s="120"/>
      <c r="EU45" s="209"/>
      <c r="EV45" s="205"/>
      <c r="EW45" s="205">
        <f t="shared" ref="EW45" si="261">SUM(EP45:EV45)</f>
        <v>0</v>
      </c>
      <c r="EX45" s="120"/>
      <c r="EY45" s="120"/>
      <c r="EZ45" s="120"/>
      <c r="FA45" s="120"/>
      <c r="FB45" s="120"/>
      <c r="FC45" s="209"/>
      <c r="FD45" s="205"/>
      <c r="FE45" s="205">
        <f t="shared" ref="FE45" si="262">SUM(EX45:FD45)</f>
        <v>0</v>
      </c>
      <c r="FF45" s="120"/>
      <c r="FG45" s="120"/>
      <c r="FH45" s="120"/>
      <c r="FI45" s="120"/>
      <c r="FJ45" s="120"/>
      <c r="FK45" s="209"/>
      <c r="FL45" s="205"/>
      <c r="FM45" s="205">
        <f t="shared" ref="FM45" si="263">SUM(FF45:FL45)</f>
        <v>0</v>
      </c>
      <c r="FN45" s="120"/>
      <c r="FO45" s="120"/>
      <c r="FP45" s="120"/>
      <c r="FQ45" s="120"/>
      <c r="FR45" s="205"/>
      <c r="FS45" s="209"/>
      <c r="FT45" s="205"/>
      <c r="FU45" s="205">
        <f t="shared" ref="FU45" si="264">SUM(FN45:FT45)</f>
        <v>0</v>
      </c>
      <c r="FV45" s="205">
        <f t="shared" ref="FV45" si="265">SUM(EJ45:EK45,EW45,FE45,FM45,FU45)</f>
        <v>0</v>
      </c>
      <c r="FW45" s="120"/>
      <c r="FX45" s="120"/>
      <c r="FY45" s="120"/>
      <c r="FZ45" s="120"/>
      <c r="GA45" s="120"/>
      <c r="GB45" s="209"/>
      <c r="GC45" s="205"/>
      <c r="GD45" s="205">
        <f t="shared" ref="GD45" si="266">SUM(FW45:GC45)</f>
        <v>0</v>
      </c>
      <c r="GE45" s="120"/>
      <c r="GF45" s="120"/>
      <c r="GG45" s="120"/>
      <c r="GH45" s="120"/>
      <c r="GI45" s="120"/>
      <c r="GJ45" s="209"/>
      <c r="GK45" s="205"/>
      <c r="GL45" s="205">
        <f t="shared" ref="GL45" si="267">SUM(GE45:GK45)</f>
        <v>0</v>
      </c>
      <c r="GM45" s="120"/>
      <c r="GN45" s="120"/>
      <c r="GO45" s="120"/>
      <c r="GP45" s="120"/>
      <c r="GQ45" s="120"/>
      <c r="GR45" s="209"/>
      <c r="GS45" s="205"/>
      <c r="GT45" s="205">
        <f t="shared" ref="GT45" si="268">SUM(GM45:GS45)</f>
        <v>0</v>
      </c>
      <c r="GU45" s="120"/>
      <c r="GV45" s="120"/>
      <c r="GW45" s="120"/>
      <c r="GX45" s="120"/>
      <c r="GY45" s="120"/>
      <c r="GZ45" s="209"/>
      <c r="HA45" s="205"/>
      <c r="HB45" s="205">
        <f t="shared" ref="HB45" si="269">SUM(GU45:HA45)</f>
        <v>0</v>
      </c>
      <c r="HC45" s="120"/>
      <c r="HD45" s="120"/>
      <c r="HE45" s="120"/>
      <c r="HF45" s="120"/>
      <c r="HG45" s="120"/>
      <c r="HH45" s="209"/>
      <c r="HI45" s="205"/>
      <c r="HJ45" s="205">
        <f t="shared" ref="HJ45" si="270">SUM(HC45:HI45)</f>
        <v>0</v>
      </c>
      <c r="HK45" s="205">
        <f t="shared" ref="HK45" si="271">SUM(GD45,GL45,GT45,HB45,HC45)</f>
        <v>0</v>
      </c>
      <c r="HL45" s="124"/>
      <c r="HM45" s="120"/>
      <c r="HN45" s="120"/>
      <c r="HO45" s="120"/>
      <c r="HP45" s="120"/>
      <c r="HQ45" s="205"/>
      <c r="HR45" s="205"/>
      <c r="HS45" s="205">
        <f t="shared" ref="HS45" si="272">SUM(HL45:HR45)</f>
        <v>0</v>
      </c>
      <c r="HT45" s="120"/>
      <c r="HU45" s="120"/>
      <c r="HV45" s="120"/>
      <c r="HW45" s="120"/>
      <c r="HX45" s="120"/>
      <c r="HY45" s="205"/>
      <c r="HZ45" s="205"/>
      <c r="IA45" s="205">
        <f t="shared" ref="IA45" si="273">SUM(HT45:HZ45)</f>
        <v>0</v>
      </c>
      <c r="IB45" s="120"/>
      <c r="IC45" s="120"/>
      <c r="ID45" s="120"/>
      <c r="IE45" s="120"/>
      <c r="IF45" s="120"/>
      <c r="IG45" s="205"/>
      <c r="IH45" s="205"/>
      <c r="II45" s="205">
        <f t="shared" ref="II45" si="274">SUM(IB45:IH45)</f>
        <v>0</v>
      </c>
      <c r="IJ45" s="120"/>
      <c r="IK45" s="120"/>
      <c r="IL45" s="120"/>
      <c r="IM45" s="120"/>
      <c r="IN45" s="120"/>
      <c r="IO45" s="205"/>
      <c r="IP45" s="205"/>
      <c r="IQ45" s="205">
        <f t="shared" ref="IQ45" si="275">SUM(IJ45:IP45)</f>
        <v>0</v>
      </c>
      <c r="IR45" s="205">
        <f t="shared" ref="IR45" si="276">SUM(IJ45:IM45,II45,IA45,HS45,HD45:HG45,HH45:HI45)</f>
        <v>0</v>
      </c>
      <c r="IS45" s="120"/>
      <c r="IT45" s="120"/>
      <c r="IU45" s="120"/>
      <c r="IV45" s="120"/>
      <c r="IW45" s="120"/>
      <c r="IX45" s="205"/>
      <c r="IY45" s="205"/>
      <c r="IZ45" s="205">
        <f t="shared" ref="IZ45" si="277">SUM(IS45:IY45)</f>
        <v>0</v>
      </c>
      <c r="JA45" s="120"/>
      <c r="JB45" s="120"/>
      <c r="JC45" s="120"/>
      <c r="JD45" s="120"/>
      <c r="JE45" s="120"/>
      <c r="JF45" s="205"/>
      <c r="JG45" s="205"/>
      <c r="JH45" s="205">
        <f t="shared" ref="JH45" si="278">SUM(JA45:JG45)</f>
        <v>0</v>
      </c>
      <c r="JI45" s="120"/>
      <c r="JJ45" s="120"/>
      <c r="JK45" s="120"/>
      <c r="JL45" s="120"/>
      <c r="JM45" s="120"/>
      <c r="JN45" s="205"/>
      <c r="JO45" s="205"/>
      <c r="JP45" s="205">
        <f t="shared" ref="JP45" si="279">SUM(JI45:JO45)</f>
        <v>0</v>
      </c>
      <c r="JQ45" s="120"/>
      <c r="JR45" s="120"/>
      <c r="JS45" s="120"/>
      <c r="JT45" s="120"/>
      <c r="JU45" s="120"/>
      <c r="JV45" s="205"/>
      <c r="JW45" s="205"/>
      <c r="JX45" s="205">
        <f t="shared" ref="JX45" si="280">SUM(JQ45:JW45)</f>
        <v>0</v>
      </c>
      <c r="JY45" s="205">
        <f t="shared" si="163"/>
        <v>0</v>
      </c>
      <c r="JZ45" s="120"/>
      <c r="KA45" s="120"/>
      <c r="KB45" s="120"/>
      <c r="KC45" s="120"/>
      <c r="KD45" s="120"/>
      <c r="KE45" s="205"/>
      <c r="KF45" s="205"/>
      <c r="KG45" s="205">
        <f t="shared" ref="KG45" si="281">SUM(JZ45:KF45)</f>
        <v>0</v>
      </c>
      <c r="KH45" s="120"/>
      <c r="KI45" s="120"/>
      <c r="KJ45" s="120"/>
      <c r="KK45" s="120"/>
      <c r="KL45" s="120"/>
      <c r="KM45" s="205"/>
      <c r="KN45" s="205"/>
      <c r="KO45" s="205">
        <f t="shared" ref="KO45" si="282">SUM(KH45:KN45)</f>
        <v>0</v>
      </c>
      <c r="KP45" s="120"/>
      <c r="KQ45" s="120"/>
      <c r="KR45" s="120"/>
      <c r="KS45" s="120"/>
      <c r="KT45" s="120"/>
      <c r="KU45" s="205"/>
      <c r="KV45" s="205"/>
      <c r="KW45" s="205">
        <f t="shared" ref="KW45" si="283">SUM(KP45:KV45)</f>
        <v>0</v>
      </c>
      <c r="KX45" s="120"/>
      <c r="KY45" s="120"/>
      <c r="KZ45" s="120"/>
      <c r="LA45" s="120"/>
      <c r="LB45" s="120"/>
      <c r="LC45" s="205"/>
      <c r="LD45" s="205"/>
      <c r="LE45" s="205">
        <f t="shared" ref="LE45" si="284">SUM(KX45:LD45)</f>
        <v>0</v>
      </c>
      <c r="LF45" s="205"/>
      <c r="LG45" s="120"/>
      <c r="LH45" s="120"/>
      <c r="LI45" s="120"/>
      <c r="LJ45" s="120"/>
      <c r="LK45" s="205"/>
      <c r="LL45" s="205"/>
      <c r="LM45" s="205">
        <f t="shared" ref="LM45" si="285">SUM(LF45:LL45)</f>
        <v>0</v>
      </c>
      <c r="LN45" s="205">
        <f t="shared" ref="LN45" si="286">SUM(LF45:LG45,LE45,KW45,KO45,KG45)</f>
        <v>0</v>
      </c>
      <c r="LO45" s="205"/>
      <c r="LP45" s="120"/>
      <c r="LQ45" s="120"/>
      <c r="LR45" s="120"/>
      <c r="LS45" s="205"/>
      <c r="LT45" s="205"/>
      <c r="LU45" s="205"/>
      <c r="LV45" s="205">
        <f t="shared" ref="LV45" si="287">SUM(LO45:LU45)</f>
        <v>0</v>
      </c>
      <c r="LW45" s="120"/>
      <c r="LX45" s="120"/>
      <c r="LY45" s="120"/>
      <c r="LZ45" s="120"/>
      <c r="MA45" s="120"/>
      <c r="MB45" s="205"/>
      <c r="MC45" s="205"/>
      <c r="MD45" s="205">
        <f t="shared" ref="MD45" si="288">SUM(LW45:MC45)</f>
        <v>0</v>
      </c>
      <c r="ME45" s="120"/>
      <c r="MF45" s="120"/>
      <c r="MG45" s="120"/>
      <c r="MH45" s="120"/>
      <c r="MI45" s="205"/>
      <c r="MJ45" s="205"/>
      <c r="MK45" s="205"/>
      <c r="ML45" s="205">
        <f t="shared" ref="ML45" si="289">SUM(ME45:MK45)</f>
        <v>0</v>
      </c>
      <c r="MM45" s="120"/>
      <c r="MN45" s="120"/>
      <c r="MO45" s="120"/>
      <c r="MP45" s="120"/>
      <c r="MQ45" s="120"/>
      <c r="MR45" s="205"/>
      <c r="MS45" s="205"/>
      <c r="MT45" s="205">
        <f t="shared" ref="MT45" si="290">SUM(MM45:MS45)</f>
        <v>0</v>
      </c>
      <c r="MU45" s="205">
        <f t="shared" ref="MU45" si="291">SUM(LH45:LL45,LV45,MD45,ML45,MM45:MQ45)</f>
        <v>0</v>
      </c>
      <c r="MV45" s="120"/>
      <c r="MW45" s="120"/>
      <c r="MX45" s="120"/>
      <c r="MY45" s="120"/>
      <c r="MZ45" s="120"/>
      <c r="NA45" s="205"/>
      <c r="NB45" s="205"/>
      <c r="NC45" s="205">
        <f t="shared" ref="NC45" si="292">SUM(MV45:NB45)</f>
        <v>0</v>
      </c>
      <c r="ND45" s="120"/>
      <c r="NE45" s="120"/>
      <c r="NF45" s="120"/>
      <c r="NG45" s="120"/>
      <c r="NH45" s="120"/>
      <c r="NI45" s="205"/>
      <c r="NJ45" s="205"/>
      <c r="NK45" s="205">
        <f t="shared" ref="NK45" si="293">SUM(ND45:NJ45)</f>
        <v>0</v>
      </c>
      <c r="NL45" s="120"/>
      <c r="NM45" s="120"/>
      <c r="NN45" s="120"/>
      <c r="NO45" s="120"/>
      <c r="NP45" s="120"/>
      <c r="NQ45" s="205"/>
      <c r="NR45" s="205"/>
      <c r="NS45" s="205">
        <f t="shared" ref="NS45" si="294">SUM(NL45:NR45)</f>
        <v>0</v>
      </c>
      <c r="NT45" s="120"/>
      <c r="NU45" s="120"/>
      <c r="NV45" s="120"/>
      <c r="NW45" s="120"/>
      <c r="NX45" s="195">
        <v>500</v>
      </c>
      <c r="NY45" s="205"/>
      <c r="NZ45" s="205"/>
      <c r="OA45" s="205">
        <f t="shared" ref="OA45" si="295">SUM(NT45:NZ45)</f>
        <v>500</v>
      </c>
      <c r="OB45" s="205">
        <f t="shared" ref="OB45" si="296">SUM(MR45:MS45,NC45,NK45,NS45,OA45)</f>
        <v>500</v>
      </c>
      <c r="OC45" s="120"/>
      <c r="OD45" s="120"/>
      <c r="OE45" s="120"/>
      <c r="OF45" s="120"/>
      <c r="OG45" s="120"/>
      <c r="OH45" s="205"/>
      <c r="OI45" s="205"/>
      <c r="OJ45" s="205">
        <f t="shared" ref="OJ45" si="297">SUM(OC45:OI45)</f>
        <v>0</v>
      </c>
      <c r="OK45" s="120"/>
      <c r="OL45" s="120"/>
      <c r="OM45" s="120"/>
      <c r="ON45" s="120"/>
      <c r="OO45" s="120"/>
      <c r="OP45" s="205"/>
      <c r="OQ45" s="205"/>
      <c r="OR45" s="205">
        <f t="shared" ref="OR45" si="298">SUM(OK45:OQ45)</f>
        <v>0</v>
      </c>
      <c r="OS45" s="120"/>
      <c r="OT45" s="120"/>
      <c r="OU45" s="120"/>
      <c r="OV45" s="120"/>
      <c r="OW45" s="120"/>
      <c r="OX45" s="205"/>
      <c r="OY45" s="205"/>
      <c r="OZ45" s="205">
        <f t="shared" ref="OZ45" si="299">SUM(OS45:OY45)</f>
        <v>0</v>
      </c>
      <c r="PA45" s="120"/>
      <c r="PB45" s="120"/>
      <c r="PC45" s="120"/>
      <c r="PD45" s="205"/>
      <c r="PE45" s="217"/>
      <c r="PF45" s="205"/>
      <c r="PG45" s="205"/>
      <c r="PH45" s="205">
        <f t="shared" ref="PH45" si="300">SUM(PA45:PG45)</f>
        <v>0</v>
      </c>
      <c r="PI45" s="120"/>
      <c r="PJ45" s="120"/>
      <c r="PK45" s="120"/>
      <c r="PL45" s="205"/>
      <c r="PM45" s="217"/>
      <c r="PN45" s="205"/>
      <c r="PO45" s="205"/>
      <c r="PP45" s="205">
        <f t="shared" ref="PP45" si="301">SUM(PI45:PO45)</f>
        <v>0</v>
      </c>
      <c r="PQ45" s="205">
        <f t="shared" ref="PQ45" si="302">SUM(OJ45,OR45,OZ45,PH45,PI45:PK45)</f>
        <v>0</v>
      </c>
      <c r="PR45" s="207"/>
      <c r="PS45" s="207"/>
      <c r="PT45" s="207"/>
      <c r="PU45" s="207"/>
      <c r="PV45" s="207"/>
      <c r="PW45" s="272"/>
      <c r="PX45" s="272"/>
      <c r="PY45" s="205">
        <f t="shared" si="186"/>
        <v>0</v>
      </c>
      <c r="PZ45" s="207"/>
      <c r="QA45" s="207"/>
      <c r="QB45" s="207"/>
      <c r="QC45" s="207"/>
      <c r="QD45" s="207"/>
      <c r="QE45" s="272"/>
      <c r="QF45" s="272"/>
      <c r="QG45" s="205">
        <f t="shared" si="187"/>
        <v>0</v>
      </c>
      <c r="QH45" s="207"/>
      <c r="QI45" s="207"/>
      <c r="QJ45" s="294"/>
      <c r="QK45" s="207"/>
      <c r="QL45" s="207"/>
      <c r="QM45" s="272"/>
      <c r="QN45" s="272"/>
      <c r="QO45" s="205">
        <f t="shared" si="188"/>
        <v>0</v>
      </c>
      <c r="QP45" s="120"/>
      <c r="QQ45" s="120"/>
      <c r="QR45" s="207"/>
      <c r="QS45" s="207"/>
      <c r="QT45" s="120"/>
      <c r="QU45" s="272"/>
      <c r="QV45" s="272"/>
      <c r="QW45" s="205">
        <f t="shared" si="189"/>
        <v>0</v>
      </c>
      <c r="QX45" s="205">
        <f t="shared" si="190"/>
        <v>0</v>
      </c>
      <c r="QY45" s="207"/>
      <c r="QZ45" s="207"/>
      <c r="RA45" s="207"/>
      <c r="RB45" s="207"/>
      <c r="RC45" s="207"/>
      <c r="RD45" s="272"/>
      <c r="RE45" s="272"/>
      <c r="RF45" s="205">
        <f t="shared" si="191"/>
        <v>0</v>
      </c>
      <c r="RG45" s="207"/>
      <c r="RH45" s="207"/>
      <c r="RI45" s="207"/>
      <c r="RJ45" s="207"/>
      <c r="RK45" s="207"/>
      <c r="RL45" s="272"/>
      <c r="RM45" s="272"/>
      <c r="RN45" s="205">
        <f t="shared" si="192"/>
        <v>0</v>
      </c>
      <c r="RO45" s="272"/>
      <c r="RP45" s="272"/>
      <c r="RQ45" s="272"/>
      <c r="RR45" s="272"/>
      <c r="RS45" s="272"/>
      <c r="RT45" s="272"/>
      <c r="RU45" s="272"/>
      <c r="RV45" s="205">
        <f t="shared" si="193"/>
        <v>0</v>
      </c>
      <c r="RW45" s="207"/>
      <c r="RX45" s="207"/>
      <c r="RY45" s="207"/>
      <c r="RZ45" s="207"/>
      <c r="SA45" s="272"/>
      <c r="SB45" s="272"/>
      <c r="SC45" s="272"/>
      <c r="SD45" s="205">
        <f t="shared" si="194"/>
        <v>0</v>
      </c>
      <c r="SE45" s="205">
        <f t="shared" si="195"/>
        <v>0</v>
      </c>
      <c r="SF45" s="207"/>
      <c r="SG45" s="207"/>
      <c r="SH45" s="207"/>
      <c r="SI45" s="207"/>
      <c r="SJ45" s="207"/>
      <c r="SK45" s="272"/>
      <c r="SL45" s="272"/>
      <c r="SM45" s="205">
        <f t="shared" si="196"/>
        <v>0</v>
      </c>
      <c r="SN45" s="207"/>
      <c r="SO45" s="207"/>
      <c r="SP45" s="207"/>
      <c r="SQ45" s="207"/>
      <c r="SR45" s="207"/>
      <c r="SS45" s="272"/>
      <c r="ST45" s="272"/>
      <c r="SU45" s="205">
        <f t="shared" si="197"/>
        <v>0</v>
      </c>
      <c r="SV45" s="207"/>
      <c r="SW45" s="207"/>
      <c r="SX45" s="207"/>
      <c r="SY45" s="207"/>
      <c r="SZ45" s="207"/>
      <c r="TA45" s="272"/>
      <c r="TB45" s="272"/>
      <c r="TC45" s="205">
        <f t="shared" si="198"/>
        <v>0</v>
      </c>
      <c r="TD45" s="207"/>
      <c r="TE45" s="207"/>
      <c r="TF45" s="207"/>
      <c r="TG45" s="207"/>
      <c r="TH45" s="207"/>
      <c r="TI45" s="272"/>
      <c r="TJ45" s="272"/>
      <c r="TK45" s="205">
        <f t="shared" si="199"/>
        <v>0</v>
      </c>
      <c r="TL45" s="207"/>
      <c r="TM45" s="207"/>
      <c r="TN45" s="207"/>
      <c r="TO45" s="207"/>
      <c r="TP45" s="272"/>
      <c r="TQ45" s="272"/>
      <c r="TR45" s="272"/>
      <c r="TS45" s="205">
        <f t="shared" si="200"/>
        <v>0</v>
      </c>
      <c r="TT45" s="205">
        <f t="shared" si="201"/>
        <v>0</v>
      </c>
      <c r="TU45" s="272"/>
      <c r="TV45" s="207"/>
      <c r="TW45" s="207"/>
      <c r="TX45" s="207"/>
      <c r="TY45" s="207"/>
      <c r="TZ45" s="272"/>
      <c r="UA45" s="272"/>
      <c r="UB45" s="205">
        <f t="shared" si="202"/>
        <v>0</v>
      </c>
      <c r="UC45" s="207"/>
      <c r="UD45" s="207"/>
      <c r="UE45" s="207"/>
      <c r="UF45" s="207"/>
      <c r="UG45" s="207"/>
      <c r="UH45" s="272"/>
      <c r="UI45" s="272"/>
      <c r="UJ45" s="205">
        <f t="shared" si="240"/>
        <v>0</v>
      </c>
      <c r="UK45" s="207"/>
      <c r="UL45" s="207"/>
      <c r="UM45" s="207"/>
      <c r="UN45" s="207"/>
      <c r="UO45" s="207"/>
      <c r="UP45" s="272"/>
      <c r="UQ45" s="272"/>
      <c r="UR45" s="205">
        <f t="shared" si="227"/>
        <v>0</v>
      </c>
      <c r="US45" s="207"/>
      <c r="UT45" s="207"/>
      <c r="UU45" s="207"/>
      <c r="UV45" s="207"/>
      <c r="UW45" s="272"/>
      <c r="UX45" s="272"/>
      <c r="UY45" s="272"/>
      <c r="UZ45" s="205">
        <f t="shared" si="204"/>
        <v>0</v>
      </c>
      <c r="VA45" s="205">
        <f t="shared" si="205"/>
        <v>0</v>
      </c>
      <c r="VB45" s="207"/>
      <c r="VC45" s="207"/>
      <c r="VD45" s="207"/>
      <c r="VE45" s="207"/>
      <c r="VF45" s="207"/>
      <c r="VG45" s="272"/>
      <c r="VH45" s="272"/>
      <c r="VI45" s="205">
        <f t="shared" si="206"/>
        <v>0</v>
      </c>
      <c r="VJ45" s="207"/>
      <c r="VK45" s="207"/>
      <c r="VL45" s="207"/>
      <c r="VM45" s="207"/>
      <c r="VN45" s="207"/>
      <c r="VO45" s="272"/>
      <c r="VP45" s="272"/>
      <c r="VQ45" s="205">
        <f t="shared" si="207"/>
        <v>0</v>
      </c>
      <c r="VR45" s="207"/>
      <c r="VS45" s="207"/>
      <c r="VT45" s="207"/>
      <c r="VU45" s="207"/>
      <c r="VV45" s="207"/>
      <c r="VW45" s="272"/>
      <c r="VX45" s="272"/>
      <c r="VY45" s="205">
        <f t="shared" si="208"/>
        <v>0</v>
      </c>
      <c r="VZ45" s="207"/>
      <c r="WA45" s="207"/>
      <c r="WB45" s="207"/>
      <c r="WC45" s="207"/>
      <c r="WD45" s="207"/>
      <c r="WE45" s="272"/>
      <c r="WF45" s="272"/>
      <c r="WG45" s="205">
        <f t="shared" si="209"/>
        <v>0</v>
      </c>
      <c r="WH45" s="205">
        <f t="shared" si="210"/>
        <v>0</v>
      </c>
      <c r="WI45" s="207"/>
      <c r="WJ45" s="207"/>
      <c r="WK45" s="207"/>
      <c r="WL45" s="207"/>
      <c r="WM45" s="207"/>
      <c r="WN45" s="272"/>
      <c r="WO45" s="272"/>
      <c r="WP45" s="205">
        <f t="shared" si="211"/>
        <v>0</v>
      </c>
      <c r="WQ45" s="207"/>
      <c r="WR45" s="207"/>
      <c r="WS45" s="207"/>
      <c r="WT45" s="207"/>
      <c r="WU45" s="207"/>
      <c r="WV45" s="272"/>
      <c r="WW45" s="272"/>
      <c r="WX45" s="205">
        <f t="shared" si="212"/>
        <v>0</v>
      </c>
      <c r="WY45" s="207"/>
      <c r="WZ45" s="207"/>
      <c r="XA45" s="207"/>
      <c r="XB45" s="207"/>
      <c r="XC45" s="272"/>
      <c r="XD45" s="272"/>
      <c r="XE45" s="272"/>
      <c r="XF45" s="205">
        <f t="shared" si="213"/>
        <v>0</v>
      </c>
      <c r="XG45" s="207"/>
      <c r="XH45" s="207"/>
      <c r="XI45" s="207"/>
      <c r="XJ45" s="207"/>
      <c r="XK45" s="207"/>
      <c r="XL45" s="272"/>
      <c r="XM45" s="272"/>
      <c r="XN45" s="205">
        <f t="shared" si="214"/>
        <v>0</v>
      </c>
      <c r="XO45" s="207"/>
      <c r="XP45" s="207"/>
      <c r="XQ45" s="207"/>
      <c r="XR45" s="207"/>
      <c r="XS45" s="207"/>
      <c r="XT45" s="272"/>
      <c r="XU45" s="272"/>
      <c r="XV45" s="205">
        <f t="shared" si="215"/>
        <v>0</v>
      </c>
      <c r="XW45" s="205">
        <f t="shared" si="216"/>
        <v>0</v>
      </c>
      <c r="XX45" s="207"/>
      <c r="XY45" s="207"/>
      <c r="XZ45" s="207"/>
      <c r="YA45" s="207"/>
      <c r="YB45" s="207"/>
      <c r="YC45" s="272"/>
      <c r="YD45" s="272"/>
      <c r="YE45" s="205">
        <f t="shared" si="217"/>
        <v>0</v>
      </c>
      <c r="YF45" s="207"/>
      <c r="YG45" s="207"/>
      <c r="YH45" s="207"/>
      <c r="YI45" s="207"/>
      <c r="YJ45" s="207"/>
      <c r="YK45" s="272"/>
      <c r="YL45" s="272"/>
      <c r="YM45" s="205">
        <f t="shared" si="218"/>
        <v>0</v>
      </c>
      <c r="YN45" s="207"/>
      <c r="YO45" s="207"/>
      <c r="YP45" s="207"/>
      <c r="YQ45" s="207"/>
      <c r="YR45" s="207"/>
      <c r="YS45" s="272"/>
      <c r="YT45" s="272"/>
      <c r="YU45" s="205">
        <f t="shared" si="148"/>
        <v>0</v>
      </c>
      <c r="YV45" s="207"/>
      <c r="YW45" s="207"/>
      <c r="YX45" s="207"/>
      <c r="YY45" s="207"/>
      <c r="YZ45" s="207"/>
      <c r="ZA45" s="272"/>
      <c r="ZB45" s="272"/>
      <c r="ZC45" s="205">
        <f t="shared" si="219"/>
        <v>0</v>
      </c>
      <c r="ZD45" s="205">
        <f t="shared" si="149"/>
        <v>0</v>
      </c>
      <c r="ZE45" s="207"/>
      <c r="ZF45" s="207"/>
      <c r="ZG45" s="207"/>
      <c r="ZH45" s="207"/>
      <c r="ZI45" s="207"/>
      <c r="ZJ45" s="272"/>
      <c r="ZK45" s="272"/>
      <c r="ZL45" s="205">
        <f t="shared" si="220"/>
        <v>0</v>
      </c>
      <c r="ZM45" s="207"/>
      <c r="ZN45" s="207"/>
      <c r="ZO45" s="207"/>
      <c r="ZP45" s="207"/>
      <c r="ZQ45" s="207"/>
      <c r="ZR45" s="272"/>
      <c r="ZS45" s="272"/>
      <c r="ZT45" s="205">
        <f t="shared" si="221"/>
        <v>0</v>
      </c>
      <c r="ZU45" s="207"/>
      <c r="ZV45" s="207"/>
      <c r="ZW45" s="207"/>
      <c r="ZX45" s="207"/>
      <c r="ZY45" s="207"/>
      <c r="ZZ45" s="272"/>
      <c r="AAA45" s="272"/>
      <c r="AAB45" s="205">
        <f t="shared" si="222"/>
        <v>0</v>
      </c>
      <c r="AAC45" s="207"/>
      <c r="AAD45" s="207"/>
      <c r="AAE45" s="207"/>
      <c r="AAF45" s="207"/>
      <c r="AAG45" s="207"/>
      <c r="AAH45" s="272"/>
      <c r="AAI45" s="272"/>
      <c r="AAJ45" s="205">
        <f t="shared" si="223"/>
        <v>0</v>
      </c>
      <c r="AAK45" s="207"/>
      <c r="AAL45" s="207"/>
      <c r="AAM45" s="207"/>
      <c r="AAN45" s="207"/>
      <c r="AAO45" s="207"/>
      <c r="AAP45" s="272"/>
      <c r="AAQ45" s="272"/>
      <c r="AAR45" s="205">
        <f t="shared" si="224"/>
        <v>0</v>
      </c>
      <c r="AAS45" s="205">
        <f t="shared" si="225"/>
        <v>0</v>
      </c>
    </row>
    <row r="46" spans="1:721" ht="68.099999999999994" customHeight="1">
      <c r="A46" s="125" t="s">
        <v>43</v>
      </c>
      <c r="B46" s="164">
        <v>3630101208</v>
      </c>
      <c r="C46" s="330" t="s">
        <v>496</v>
      </c>
      <c r="D46" s="163" t="s">
        <v>39</v>
      </c>
      <c r="E46" s="130" t="s">
        <v>4</v>
      </c>
      <c r="F46" s="120"/>
      <c r="G46" s="201">
        <v>10000</v>
      </c>
      <c r="H46" s="120"/>
      <c r="I46" s="120"/>
      <c r="J46" s="120"/>
      <c r="K46" s="209"/>
      <c r="L46" s="205"/>
      <c r="M46" s="205">
        <f t="shared" ref="M46:M79" si="303">SUM(F46:L46)</f>
        <v>10000</v>
      </c>
      <c r="N46" s="120"/>
      <c r="O46" s="124">
        <v>10000</v>
      </c>
      <c r="P46" s="124">
        <v>5000</v>
      </c>
      <c r="Q46" s="120"/>
      <c r="R46" s="120"/>
      <c r="S46" s="209"/>
      <c r="T46" s="205"/>
      <c r="U46" s="205">
        <f t="shared" ref="U46:U79" si="304">SUM(N46:T46)</f>
        <v>15000</v>
      </c>
      <c r="V46" s="120"/>
      <c r="W46" s="120"/>
      <c r="X46" s="120"/>
      <c r="Y46" s="120"/>
      <c r="Z46" s="120"/>
      <c r="AA46" s="209"/>
      <c r="AB46" s="205"/>
      <c r="AC46" s="205">
        <f t="shared" ref="AC46:AC79" si="305">SUM(V46:AB46)</f>
        <v>0</v>
      </c>
      <c r="AD46" s="205"/>
      <c r="AE46" s="205"/>
      <c r="AF46" s="205"/>
      <c r="AG46" s="205"/>
      <c r="AH46" s="205"/>
      <c r="AI46" s="209"/>
      <c r="AJ46" s="205"/>
      <c r="AK46" s="205">
        <f t="shared" ref="AK46:AK79" si="306">SUM(AD46:AJ46)</f>
        <v>0</v>
      </c>
      <c r="AL46" s="205" t="e">
        <f>SUM(#REF!,M46,U46,AC46,AD46:AH46)</f>
        <v>#REF!</v>
      </c>
      <c r="AM46" s="124">
        <v>5000</v>
      </c>
      <c r="AN46" s="120"/>
      <c r="AO46" s="120"/>
      <c r="AP46" s="120"/>
      <c r="AQ46" s="120"/>
      <c r="AR46" s="209"/>
      <c r="AS46" s="205"/>
      <c r="AT46" s="205">
        <f t="shared" si="245"/>
        <v>5000</v>
      </c>
      <c r="AU46" s="120"/>
      <c r="AV46" s="120"/>
      <c r="AW46" s="201">
        <v>10000</v>
      </c>
      <c r="AX46" s="120"/>
      <c r="AY46" s="120"/>
      <c r="AZ46" s="209"/>
      <c r="BA46" s="205"/>
      <c r="BB46" s="205">
        <f t="shared" si="246"/>
        <v>10000</v>
      </c>
      <c r="BC46" s="120"/>
      <c r="BD46" s="120"/>
      <c r="BE46" s="120"/>
      <c r="BF46" s="120"/>
      <c r="BG46" s="124">
        <v>5000</v>
      </c>
      <c r="BH46" s="209"/>
      <c r="BI46" s="205"/>
      <c r="BJ46" s="205">
        <f t="shared" si="247"/>
        <v>5000</v>
      </c>
      <c r="BK46" s="120"/>
      <c r="BL46" s="120"/>
      <c r="BM46" s="120"/>
      <c r="BN46" s="120"/>
      <c r="BO46" s="205"/>
      <c r="BP46" s="209"/>
      <c r="BQ46" s="205"/>
      <c r="BR46" s="205">
        <f t="shared" si="248"/>
        <v>0</v>
      </c>
      <c r="BS46" s="205">
        <f t="shared" si="129"/>
        <v>20000</v>
      </c>
      <c r="BT46" s="250">
        <v>5000</v>
      </c>
      <c r="BU46" s="120"/>
      <c r="BV46" s="120"/>
      <c r="BW46" s="120"/>
      <c r="BX46" s="120"/>
      <c r="BY46" s="209"/>
      <c r="BZ46" s="205"/>
      <c r="CA46" s="205">
        <f t="shared" si="250"/>
        <v>5000</v>
      </c>
      <c r="CB46" s="120"/>
      <c r="CC46" s="201">
        <v>5000</v>
      </c>
      <c r="CD46" s="120"/>
      <c r="CE46" s="120"/>
      <c r="CF46" s="120"/>
      <c r="CG46" s="209"/>
      <c r="CH46" s="205"/>
      <c r="CI46" s="205">
        <f t="shared" si="251"/>
        <v>5000</v>
      </c>
      <c r="CJ46" s="120"/>
      <c r="CK46" s="120"/>
      <c r="CL46" s="120"/>
      <c r="CM46" s="250">
        <v>5000</v>
      </c>
      <c r="CN46" s="250">
        <v>5000</v>
      </c>
      <c r="CO46" s="209"/>
      <c r="CP46" s="205"/>
      <c r="CQ46" s="205">
        <f t="shared" si="252"/>
        <v>10000</v>
      </c>
      <c r="CR46" s="120"/>
      <c r="CS46" s="217">
        <v>10000</v>
      </c>
      <c r="CT46" s="120"/>
      <c r="CU46" s="217">
        <v>5000</v>
      </c>
      <c r="CV46" s="217">
        <v>5000</v>
      </c>
      <c r="CW46" s="209"/>
      <c r="CX46" s="205"/>
      <c r="CY46" s="205">
        <f t="shared" si="253"/>
        <v>20000</v>
      </c>
      <c r="CZ46" s="120"/>
      <c r="DA46" s="120"/>
      <c r="DB46" s="120"/>
      <c r="DC46" s="205"/>
      <c r="DD46" s="205"/>
      <c r="DE46" s="209"/>
      <c r="DF46" s="205"/>
      <c r="DG46" s="205">
        <f t="shared" si="254"/>
        <v>0</v>
      </c>
      <c r="DH46" s="205">
        <f t="shared" si="150"/>
        <v>40000</v>
      </c>
      <c r="DI46" s="207"/>
      <c r="DJ46" s="120"/>
      <c r="DK46" s="120"/>
      <c r="DL46" s="250">
        <v>5000</v>
      </c>
      <c r="DM46" s="120"/>
      <c r="DN46" s="209"/>
      <c r="DO46" s="205"/>
      <c r="DP46" s="205">
        <f t="shared" si="228"/>
        <v>5000</v>
      </c>
      <c r="DQ46" s="120"/>
      <c r="DR46" s="120"/>
      <c r="DS46" s="120"/>
      <c r="DT46" s="250">
        <v>5000</v>
      </c>
      <c r="DU46" s="120"/>
      <c r="DV46" s="250">
        <v>5000</v>
      </c>
      <c r="DW46" s="205"/>
      <c r="DX46" s="205">
        <f t="shared" si="136"/>
        <v>10000</v>
      </c>
      <c r="DY46" s="120"/>
      <c r="DZ46" s="120"/>
      <c r="EA46" s="217">
        <v>10000</v>
      </c>
      <c r="EB46" s="120"/>
      <c r="EC46" s="120"/>
      <c r="ED46" s="209"/>
      <c r="EE46" s="205"/>
      <c r="EF46" s="205">
        <f t="shared" si="137"/>
        <v>10000</v>
      </c>
      <c r="EG46" s="120"/>
      <c r="EH46" s="120"/>
      <c r="EI46" s="120"/>
      <c r="EJ46" s="205"/>
      <c r="EK46" s="205"/>
      <c r="EL46" s="209"/>
      <c r="EM46" s="205"/>
      <c r="EN46" s="205">
        <f t="shared" si="138"/>
        <v>0</v>
      </c>
      <c r="EO46" s="205">
        <f t="shared" si="151"/>
        <v>25000</v>
      </c>
      <c r="EP46" s="120"/>
      <c r="EQ46" s="120"/>
      <c r="ER46" s="250">
        <v>10000</v>
      </c>
      <c r="ES46" s="120"/>
      <c r="ET46" s="120"/>
      <c r="EU46" s="209"/>
      <c r="EV46" s="205"/>
      <c r="EW46" s="205">
        <f t="shared" si="139"/>
        <v>10000</v>
      </c>
      <c r="EX46" s="201">
        <v>10000</v>
      </c>
      <c r="EY46" s="201">
        <v>5000</v>
      </c>
      <c r="EZ46" s="120"/>
      <c r="FA46" s="120"/>
      <c r="FB46" s="120"/>
      <c r="FC46" s="209"/>
      <c r="FD46" s="205"/>
      <c r="FE46" s="205">
        <f t="shared" si="140"/>
        <v>15000</v>
      </c>
      <c r="FF46" s="120"/>
      <c r="FG46" s="120"/>
      <c r="FH46" s="120"/>
      <c r="FI46" s="195">
        <v>10000</v>
      </c>
      <c r="FJ46" s="120"/>
      <c r="FK46" s="209"/>
      <c r="FL46" s="205"/>
      <c r="FM46" s="205">
        <f t="shared" si="141"/>
        <v>10000</v>
      </c>
      <c r="FN46" s="120"/>
      <c r="FO46" s="120"/>
      <c r="FP46" s="120"/>
      <c r="FQ46" s="120"/>
      <c r="FR46" s="205"/>
      <c r="FS46" s="209"/>
      <c r="FT46" s="205"/>
      <c r="FU46" s="205">
        <f t="shared" si="142"/>
        <v>0</v>
      </c>
      <c r="FV46" s="205">
        <f t="shared" si="152"/>
        <v>35000</v>
      </c>
      <c r="FW46" s="120"/>
      <c r="FX46" s="120"/>
      <c r="FY46" s="217">
        <v>10000</v>
      </c>
      <c r="FZ46" s="120"/>
      <c r="GA46" s="120"/>
      <c r="GB46" s="209"/>
      <c r="GC46" s="205"/>
      <c r="GD46" s="205">
        <f t="shared" si="143"/>
        <v>10000</v>
      </c>
      <c r="GE46" s="120"/>
      <c r="GF46" s="250">
        <v>10000</v>
      </c>
      <c r="GG46" s="120"/>
      <c r="GH46" s="120"/>
      <c r="GI46" s="120"/>
      <c r="GJ46" s="209"/>
      <c r="GK46" s="205"/>
      <c r="GL46" s="205">
        <f t="shared" si="144"/>
        <v>10000</v>
      </c>
      <c r="GM46" s="120"/>
      <c r="GN46" s="250">
        <v>5000</v>
      </c>
      <c r="GO46" s="250">
        <v>10000</v>
      </c>
      <c r="GQ46" s="120"/>
      <c r="GR46" s="209"/>
      <c r="GS46" s="205"/>
      <c r="GT46" s="205">
        <f t="shared" si="145"/>
        <v>15000</v>
      </c>
      <c r="GU46" s="120"/>
      <c r="GV46" s="120"/>
      <c r="GW46" s="120"/>
      <c r="GX46" s="201">
        <v>10000</v>
      </c>
      <c r="GY46" s="201">
        <v>5000</v>
      </c>
      <c r="GZ46" s="209"/>
      <c r="HA46" s="205"/>
      <c r="HB46" s="205">
        <f t="shared" si="146"/>
        <v>15000</v>
      </c>
      <c r="HC46" s="120"/>
      <c r="HD46" s="120"/>
      <c r="HE46" s="250">
        <v>5000</v>
      </c>
      <c r="HF46" s="120"/>
      <c r="HG46" s="120"/>
      <c r="HH46" s="209"/>
      <c r="HI46" s="205"/>
      <c r="HJ46" s="205">
        <f t="shared" si="147"/>
        <v>5000</v>
      </c>
      <c r="HK46" s="205">
        <f t="shared" si="153"/>
        <v>50000</v>
      </c>
      <c r="HL46" s="124"/>
      <c r="HM46" s="120"/>
      <c r="HN46" s="120"/>
      <c r="HO46" s="120"/>
      <c r="HP46" s="120"/>
      <c r="HQ46" s="250">
        <v>5000</v>
      </c>
      <c r="HR46" s="205"/>
      <c r="HS46" s="205">
        <f t="shared" si="154"/>
        <v>5000</v>
      </c>
      <c r="HT46" s="120"/>
      <c r="HU46" s="120"/>
      <c r="HV46" s="195">
        <v>5000</v>
      </c>
      <c r="HW46" s="120"/>
      <c r="HX46" s="120"/>
      <c r="HY46" s="205"/>
      <c r="HZ46" s="205"/>
      <c r="IA46" s="205">
        <f t="shared" si="155"/>
        <v>5000</v>
      </c>
      <c r="IB46" s="120"/>
      <c r="IC46" s="120"/>
      <c r="ID46" s="120"/>
      <c r="IE46" s="217">
        <v>10000</v>
      </c>
      <c r="IF46" s="120"/>
      <c r="IG46" s="205"/>
      <c r="IH46" s="205"/>
      <c r="II46" s="205">
        <f t="shared" si="156"/>
        <v>10000</v>
      </c>
      <c r="IJ46" s="120"/>
      <c r="IK46" s="120"/>
      <c r="IL46" s="120"/>
      <c r="IM46" s="201">
        <v>5000</v>
      </c>
      <c r="IN46" s="120"/>
      <c r="IO46" s="205"/>
      <c r="IP46" s="205"/>
      <c r="IQ46" s="205">
        <f t="shared" si="157"/>
        <v>5000</v>
      </c>
      <c r="IR46" s="205">
        <f t="shared" si="158"/>
        <v>30000</v>
      </c>
      <c r="IS46" s="120"/>
      <c r="IT46" s="120"/>
      <c r="IU46" s="217">
        <v>2500</v>
      </c>
      <c r="IV46" s="120"/>
      <c r="IW46" s="120"/>
      <c r="IX46" s="205"/>
      <c r="IY46" s="205"/>
      <c r="IZ46" s="205">
        <f t="shared" si="159"/>
        <v>2500</v>
      </c>
      <c r="JA46" s="120"/>
      <c r="JB46" s="120"/>
      <c r="JC46" s="217">
        <v>10000</v>
      </c>
      <c r="JD46" s="120"/>
      <c r="JE46" s="120"/>
      <c r="JF46" s="205"/>
      <c r="JG46" s="205"/>
      <c r="JH46" s="205">
        <f t="shared" si="160"/>
        <v>10000</v>
      </c>
      <c r="JI46" s="124">
        <v>10000</v>
      </c>
      <c r="JJ46" s="124">
        <v>5000</v>
      </c>
      <c r="JK46" s="120"/>
      <c r="JL46" s="120"/>
      <c r="JM46" s="120"/>
      <c r="JN46" s="205"/>
      <c r="JO46" s="205"/>
      <c r="JP46" s="205">
        <f t="shared" si="161"/>
        <v>15000</v>
      </c>
      <c r="JQ46" s="120"/>
      <c r="JR46" s="120"/>
      <c r="JS46" s="120"/>
      <c r="JT46" s="120"/>
      <c r="JU46" s="120"/>
      <c r="JV46" s="205"/>
      <c r="JW46" s="205"/>
      <c r="JX46" s="205">
        <f t="shared" si="162"/>
        <v>0</v>
      </c>
      <c r="JY46" s="205">
        <f t="shared" si="163"/>
        <v>27500</v>
      </c>
      <c r="JZ46" s="250">
        <v>8000</v>
      </c>
      <c r="KA46" s="120"/>
      <c r="KB46" s="120"/>
      <c r="KC46" s="120"/>
      <c r="KD46" s="120"/>
      <c r="KE46" s="205"/>
      <c r="KF46" s="205"/>
      <c r="KG46" s="205">
        <f t="shared" si="164"/>
        <v>8000</v>
      </c>
      <c r="KH46" s="120"/>
      <c r="KI46" s="120"/>
      <c r="KJ46" s="120"/>
      <c r="KK46" s="120"/>
      <c r="KL46" s="120"/>
      <c r="KM46" s="205"/>
      <c r="KN46" s="205"/>
      <c r="KO46" s="205">
        <f t="shared" si="165"/>
        <v>0</v>
      </c>
      <c r="KP46" s="120"/>
      <c r="KQ46" s="201">
        <v>6000</v>
      </c>
      <c r="KR46" s="120"/>
      <c r="KS46" s="120"/>
      <c r="KT46" s="120"/>
      <c r="KU46" s="205"/>
      <c r="KV46" s="205"/>
      <c r="KW46" s="205">
        <f t="shared" si="166"/>
        <v>6000</v>
      </c>
      <c r="KX46" s="120"/>
      <c r="KY46" s="120"/>
      <c r="KZ46" s="195">
        <v>10000</v>
      </c>
      <c r="LA46" s="120"/>
      <c r="LB46" s="120"/>
      <c r="LC46" s="205"/>
      <c r="LD46" s="205"/>
      <c r="LE46" s="205">
        <f t="shared" si="167"/>
        <v>10000</v>
      </c>
      <c r="LF46" s="205"/>
      <c r="LG46" s="120"/>
      <c r="LH46" s="195">
        <v>2000</v>
      </c>
      <c r="LI46" s="120"/>
      <c r="LJ46" s="120"/>
      <c r="LK46" s="205"/>
      <c r="LL46" s="205"/>
      <c r="LM46" s="205">
        <f t="shared" si="168"/>
        <v>2000</v>
      </c>
      <c r="LN46" s="205">
        <f t="shared" si="169"/>
        <v>24000</v>
      </c>
      <c r="LO46" s="205"/>
      <c r="LP46" s="217">
        <v>7000</v>
      </c>
      <c r="LQ46" s="120"/>
      <c r="LR46" s="120"/>
      <c r="LS46" s="205"/>
      <c r="LT46" s="205"/>
      <c r="LU46" s="205"/>
      <c r="LV46" s="205">
        <f t="shared" si="170"/>
        <v>7000</v>
      </c>
      <c r="LW46" s="195">
        <v>6000</v>
      </c>
      <c r="LX46" s="120"/>
      <c r="LY46" s="124">
        <v>260</v>
      </c>
      <c r="LZ46" s="120"/>
      <c r="MA46" s="120"/>
      <c r="MB46" s="205"/>
      <c r="MC46" s="205"/>
      <c r="MD46" s="205">
        <f t="shared" si="171"/>
        <v>6260</v>
      </c>
      <c r="ME46" s="120"/>
      <c r="MF46" s="120"/>
      <c r="MG46" s="120"/>
      <c r="MH46" s="120"/>
      <c r="MI46" s="205"/>
      <c r="MJ46" s="205"/>
      <c r="MK46" s="205"/>
      <c r="ML46" s="205">
        <f t="shared" si="172"/>
        <v>0</v>
      </c>
      <c r="MM46" s="120"/>
      <c r="MN46" s="120"/>
      <c r="MO46" s="217">
        <v>10000</v>
      </c>
      <c r="MP46" s="120"/>
      <c r="MQ46" s="120"/>
      <c r="MR46" s="205"/>
      <c r="MS46" s="205"/>
      <c r="MT46" s="205">
        <f t="shared" si="173"/>
        <v>10000</v>
      </c>
      <c r="MU46" s="205">
        <f t="shared" si="174"/>
        <v>25260</v>
      </c>
      <c r="MV46" s="120"/>
      <c r="MW46" s="124">
        <v>5000</v>
      </c>
      <c r="MX46" s="120"/>
      <c r="MY46" s="120"/>
      <c r="MZ46" s="120"/>
      <c r="NA46" s="205"/>
      <c r="NB46" s="205"/>
      <c r="NC46" s="205">
        <f t="shared" si="175"/>
        <v>5000</v>
      </c>
      <c r="ND46" s="120"/>
      <c r="NE46" s="120"/>
      <c r="NF46" s="120"/>
      <c r="NG46" s="120"/>
      <c r="NH46" s="120"/>
      <c r="NI46" s="205"/>
      <c r="NJ46" s="205"/>
      <c r="NK46" s="205">
        <f t="shared" si="176"/>
        <v>0</v>
      </c>
      <c r="NL46" s="120"/>
      <c r="NM46" s="124">
        <v>10000</v>
      </c>
      <c r="NN46" s="124">
        <v>5000</v>
      </c>
      <c r="NO46" s="120"/>
      <c r="NP46" s="120"/>
      <c r="NQ46" s="205"/>
      <c r="NR46" s="205"/>
      <c r="NS46" s="205">
        <f t="shared" si="177"/>
        <v>15000</v>
      </c>
      <c r="NT46" s="120"/>
      <c r="NU46" s="120"/>
      <c r="NV46" s="201">
        <v>5000</v>
      </c>
      <c r="NW46" s="120"/>
      <c r="NX46" s="120"/>
      <c r="NY46" s="205"/>
      <c r="NZ46" s="205"/>
      <c r="OA46" s="205">
        <f t="shared" si="178"/>
        <v>5000</v>
      </c>
      <c r="OB46" s="205">
        <f t="shared" si="179"/>
        <v>25000</v>
      </c>
      <c r="OC46" s="120"/>
      <c r="OD46" s="120"/>
      <c r="OE46" s="195">
        <v>3900</v>
      </c>
      <c r="OF46" s="120"/>
      <c r="OG46" s="120"/>
      <c r="OH46" s="205"/>
      <c r="OI46" s="205"/>
      <c r="OJ46" s="205">
        <f t="shared" si="180"/>
        <v>3900</v>
      </c>
      <c r="OK46" s="120"/>
      <c r="OL46" s="195">
        <v>10000</v>
      </c>
      <c r="OM46" s="195">
        <v>5000</v>
      </c>
      <c r="ON46" s="120"/>
      <c r="OO46" s="120"/>
      <c r="OP46" s="205"/>
      <c r="OQ46" s="205"/>
      <c r="OR46" s="205">
        <f t="shared" si="181"/>
        <v>15000</v>
      </c>
      <c r="OS46" s="120"/>
      <c r="OT46" s="195">
        <v>10000</v>
      </c>
      <c r="OU46" s="120"/>
      <c r="OV46" s="120"/>
      <c r="OW46" s="120"/>
      <c r="OX46" s="205"/>
      <c r="OY46" s="205"/>
      <c r="OZ46" s="205">
        <f t="shared" si="182"/>
        <v>10000</v>
      </c>
      <c r="PA46" s="201">
        <v>5000</v>
      </c>
      <c r="PB46" s="201">
        <v>5000</v>
      </c>
      <c r="PC46" s="120"/>
      <c r="PD46" s="205"/>
      <c r="PE46" s="217"/>
      <c r="PF46" s="205"/>
      <c r="PG46" s="205"/>
      <c r="PH46" s="205">
        <f t="shared" si="183"/>
        <v>10000</v>
      </c>
      <c r="PI46" s="120"/>
      <c r="PJ46" s="120"/>
      <c r="PK46" s="120"/>
      <c r="PL46" s="205"/>
      <c r="PM46" s="217"/>
      <c r="PN46" s="205"/>
      <c r="PO46" s="205"/>
      <c r="PP46" s="205">
        <f t="shared" si="184"/>
        <v>0</v>
      </c>
      <c r="PQ46" s="205">
        <f t="shared" si="185"/>
        <v>38900</v>
      </c>
      <c r="PR46" s="207"/>
      <c r="PS46" s="207"/>
      <c r="PT46" s="124">
        <v>5000</v>
      </c>
      <c r="PU46" s="124">
        <v>5000</v>
      </c>
      <c r="PV46" s="207"/>
      <c r="PW46" s="272"/>
      <c r="PX46" s="272"/>
      <c r="PY46" s="205">
        <f t="shared" si="186"/>
        <v>10000</v>
      </c>
      <c r="PZ46" s="207"/>
      <c r="QA46" s="195">
        <v>5000</v>
      </c>
      <c r="QB46" s="195">
        <v>5000</v>
      </c>
      <c r="QC46" s="207"/>
      <c r="QD46" s="207"/>
      <c r="QE46" s="272"/>
      <c r="QF46" s="272"/>
      <c r="QG46" s="205">
        <f t="shared" si="187"/>
        <v>10000</v>
      </c>
      <c r="QH46" s="207"/>
      <c r="QI46" s="120"/>
      <c r="QJ46" s="294"/>
      <c r="QK46" s="201">
        <v>3000</v>
      </c>
      <c r="QL46" s="207"/>
      <c r="QM46" s="272"/>
      <c r="QN46" s="272"/>
      <c r="QO46" s="205">
        <f t="shared" si="188"/>
        <v>3000</v>
      </c>
      <c r="QP46" s="120"/>
      <c r="QQ46" s="207"/>
      <c r="QR46" s="217">
        <v>4000</v>
      </c>
      <c r="QS46" s="217">
        <v>6000</v>
      </c>
      <c r="QT46" s="120"/>
      <c r="QU46" s="272"/>
      <c r="QV46" s="272"/>
      <c r="QW46" s="205">
        <f>SUM(QP46:QV46)</f>
        <v>10000</v>
      </c>
      <c r="QX46" s="205">
        <f t="shared" si="190"/>
        <v>33000</v>
      </c>
      <c r="QY46" s="207"/>
      <c r="QZ46" s="207"/>
      <c r="RA46" s="207"/>
      <c r="RB46" s="207"/>
      <c r="RC46" s="207"/>
      <c r="RD46" s="272"/>
      <c r="RE46" s="272"/>
      <c r="RF46" s="205">
        <f t="shared" si="191"/>
        <v>0</v>
      </c>
      <c r="RG46" s="201">
        <v>3000</v>
      </c>
      <c r="RH46" s="120"/>
      <c r="RI46" s="124">
        <v>5000</v>
      </c>
      <c r="RJ46" s="120"/>
      <c r="RK46" s="207"/>
      <c r="RL46" s="272"/>
      <c r="RM46" s="272"/>
      <c r="RN46" s="205">
        <f t="shared" si="192"/>
        <v>8000</v>
      </c>
      <c r="RO46" s="272"/>
      <c r="RP46" s="272"/>
      <c r="RQ46" s="272"/>
      <c r="RR46" s="272"/>
      <c r="RS46" s="272"/>
      <c r="RT46" s="272"/>
      <c r="RU46" s="272"/>
      <c r="RV46" s="205">
        <f t="shared" si="193"/>
        <v>0</v>
      </c>
      <c r="RW46" s="207"/>
      <c r="RX46" s="207"/>
      <c r="RY46" s="207"/>
      <c r="RZ46" s="207"/>
      <c r="SA46" s="272"/>
      <c r="SB46" s="272"/>
      <c r="SC46" s="272"/>
      <c r="SD46" s="205">
        <f t="shared" si="194"/>
        <v>0</v>
      </c>
      <c r="SE46" s="205">
        <f t="shared" si="195"/>
        <v>8000</v>
      </c>
      <c r="SF46" s="120"/>
      <c r="SG46" s="207"/>
      <c r="SH46" s="207"/>
      <c r="SI46" s="207"/>
      <c r="SJ46" s="207"/>
      <c r="SK46" s="272"/>
      <c r="SL46" s="272"/>
      <c r="SM46" s="205">
        <f t="shared" si="196"/>
        <v>0</v>
      </c>
      <c r="SN46" s="207"/>
      <c r="SO46" s="120"/>
      <c r="SP46" s="195">
        <v>10000</v>
      </c>
      <c r="SQ46" s="207"/>
      <c r="SR46" s="120"/>
      <c r="SS46" s="272"/>
      <c r="ST46" s="272"/>
      <c r="SU46" s="205">
        <f t="shared" si="197"/>
        <v>10000</v>
      </c>
      <c r="SV46" s="207"/>
      <c r="SW46" s="207"/>
      <c r="SX46" s="217">
        <v>10000</v>
      </c>
      <c r="SY46" s="207"/>
      <c r="SZ46" s="207"/>
      <c r="TA46" s="272"/>
      <c r="TB46" s="272"/>
      <c r="TC46" s="205">
        <f t="shared" si="198"/>
        <v>10000</v>
      </c>
      <c r="TD46" s="207"/>
      <c r="TE46" s="123">
        <v>5000</v>
      </c>
      <c r="TF46" s="207"/>
      <c r="TG46" s="207"/>
      <c r="TH46" s="207"/>
      <c r="TI46" s="272"/>
      <c r="TJ46" s="272"/>
      <c r="TK46" s="205">
        <f t="shared" si="199"/>
        <v>5000</v>
      </c>
      <c r="TL46" s="207"/>
      <c r="TM46" s="207"/>
      <c r="TN46" s="207"/>
      <c r="TO46" s="207"/>
      <c r="TP46" s="272"/>
      <c r="TQ46" s="272"/>
      <c r="TR46" s="272"/>
      <c r="TS46" s="205">
        <f t="shared" si="200"/>
        <v>0</v>
      </c>
      <c r="TT46" s="205">
        <f t="shared" si="201"/>
        <v>25000</v>
      </c>
      <c r="TU46" s="272"/>
      <c r="TV46" s="195">
        <v>10000</v>
      </c>
      <c r="TW46" s="195">
        <v>5000</v>
      </c>
      <c r="TX46" s="120"/>
      <c r="TY46" s="207"/>
      <c r="TZ46" s="272"/>
      <c r="UA46" s="272"/>
      <c r="UB46" s="205">
        <f t="shared" si="202"/>
        <v>15000</v>
      </c>
      <c r="UC46" s="217">
        <v>4000</v>
      </c>
      <c r="UD46" s="120"/>
      <c r="UE46" s="207"/>
      <c r="UF46" s="201">
        <v>10000</v>
      </c>
      <c r="UG46" s="207"/>
      <c r="UH46" s="272"/>
      <c r="UI46" s="272"/>
      <c r="UJ46" s="205">
        <f t="shared" si="240"/>
        <v>14000</v>
      </c>
      <c r="UK46" s="207"/>
      <c r="UL46" s="207"/>
      <c r="UM46" s="207"/>
      <c r="UN46" s="207"/>
      <c r="UO46" s="120"/>
      <c r="UP46" s="272"/>
      <c r="UQ46" s="272"/>
      <c r="UR46" s="205">
        <f t="shared" si="227"/>
        <v>0</v>
      </c>
      <c r="US46" s="207"/>
      <c r="UT46" s="207"/>
      <c r="UU46" s="207"/>
      <c r="UV46" s="207"/>
      <c r="UW46" s="272"/>
      <c r="UX46" s="272"/>
      <c r="UY46" s="272"/>
      <c r="UZ46" s="205">
        <f t="shared" si="204"/>
        <v>0</v>
      </c>
      <c r="VA46" s="205">
        <f t="shared" si="205"/>
        <v>29000</v>
      </c>
      <c r="VB46" s="207"/>
      <c r="VC46" s="207"/>
      <c r="VD46" s="207"/>
      <c r="VE46" s="201">
        <v>3000</v>
      </c>
      <c r="VG46" s="272"/>
      <c r="VH46" s="272"/>
      <c r="VI46" s="205">
        <f t="shared" si="206"/>
        <v>3000</v>
      </c>
      <c r="VJ46" s="207"/>
      <c r="VK46" s="207"/>
      <c r="VL46" s="201">
        <v>2000</v>
      </c>
      <c r="VM46" s="207"/>
      <c r="VN46" s="207"/>
      <c r="VO46" s="272"/>
      <c r="VP46" s="272"/>
      <c r="VQ46" s="205">
        <f>SUM(VJ46:VP46)</f>
        <v>2000</v>
      </c>
      <c r="VS46" s="207"/>
      <c r="VT46" s="207"/>
      <c r="VU46" s="124">
        <v>1000</v>
      </c>
      <c r="VV46" s="207"/>
      <c r="VW46" s="272"/>
      <c r="VX46" s="272"/>
      <c r="VY46" s="205">
        <f t="shared" si="208"/>
        <v>1000</v>
      </c>
      <c r="VZ46" s="207"/>
      <c r="WA46" s="207"/>
      <c r="WB46" s="124">
        <v>10000</v>
      </c>
      <c r="WC46" s="207"/>
      <c r="WD46" s="207"/>
      <c r="WE46" s="272"/>
      <c r="WF46" s="272"/>
      <c r="WG46" s="205">
        <f>SUM(WA46:WF46)</f>
        <v>10000</v>
      </c>
      <c r="WH46" s="205">
        <f t="shared" si="210"/>
        <v>16000</v>
      </c>
      <c r="WI46" s="207"/>
      <c r="WJ46" s="124">
        <v>10000</v>
      </c>
      <c r="WK46" s="124">
        <v>10000</v>
      </c>
      <c r="WL46" s="207"/>
      <c r="WM46" s="207"/>
      <c r="WN46" s="272"/>
      <c r="WO46" s="272"/>
      <c r="WP46" s="205">
        <f t="shared" si="211"/>
        <v>20000</v>
      </c>
      <c r="WQ46" s="207"/>
      <c r="WR46" s="120"/>
      <c r="WS46" s="207"/>
      <c r="WT46" s="207"/>
      <c r="WU46" s="207"/>
      <c r="WV46" s="272"/>
      <c r="WW46" s="272"/>
      <c r="WX46" s="205">
        <f t="shared" si="212"/>
        <v>0</v>
      </c>
      <c r="WY46" s="207"/>
      <c r="WZ46" s="207"/>
      <c r="XA46" s="124">
        <v>5000</v>
      </c>
      <c r="XB46" s="207"/>
      <c r="XC46" s="272"/>
      <c r="XD46" s="272"/>
      <c r="XE46" s="272"/>
      <c r="XF46" s="205">
        <f t="shared" si="213"/>
        <v>5000</v>
      </c>
      <c r="XG46" s="207"/>
      <c r="XH46" s="207"/>
      <c r="XI46" s="124">
        <v>8200</v>
      </c>
      <c r="XJ46" s="207"/>
      <c r="XK46" s="207"/>
      <c r="XL46" s="272"/>
      <c r="XM46" s="272"/>
      <c r="XN46" s="205">
        <f t="shared" si="214"/>
        <v>8200</v>
      </c>
      <c r="XO46" s="124">
        <v>10000</v>
      </c>
      <c r="XP46" s="120">
        <v>10000</v>
      </c>
      <c r="XQ46" s="207"/>
      <c r="XR46" s="207"/>
      <c r="XS46" s="207"/>
      <c r="XT46" s="272"/>
      <c r="XU46" s="272"/>
      <c r="XV46" s="205">
        <f t="shared" si="215"/>
        <v>20000</v>
      </c>
      <c r="XW46" s="205">
        <f t="shared" si="216"/>
        <v>53200</v>
      </c>
      <c r="XX46" s="120"/>
      <c r="XY46" s="120">
        <v>10000</v>
      </c>
      <c r="XZ46" s="207"/>
      <c r="YA46" s="207"/>
      <c r="YB46" s="207"/>
      <c r="YC46" s="272"/>
      <c r="YD46" s="272"/>
      <c r="YE46" s="205">
        <f t="shared" si="217"/>
        <v>10000</v>
      </c>
      <c r="YF46" s="120"/>
      <c r="YG46" s="120"/>
      <c r="YH46" s="124">
        <v>1000</v>
      </c>
      <c r="YI46" s="207"/>
      <c r="YJ46" s="207"/>
      <c r="YK46" s="272"/>
      <c r="YL46" s="272"/>
      <c r="YM46" s="205">
        <f t="shared" si="218"/>
        <v>1000</v>
      </c>
      <c r="YN46" s="124">
        <v>5200</v>
      </c>
      <c r="YO46" s="207"/>
      <c r="YP46" s="207"/>
      <c r="YQ46" s="207"/>
      <c r="YR46" s="207"/>
      <c r="YS46" s="272"/>
      <c r="YT46" s="272"/>
      <c r="YU46" s="205">
        <f t="shared" si="148"/>
        <v>5200</v>
      </c>
      <c r="YV46" s="120"/>
      <c r="YW46" s="124">
        <v>10000</v>
      </c>
      <c r="YX46" s="207"/>
      <c r="YY46" s="207"/>
      <c r="YZ46" s="207"/>
      <c r="ZA46" s="272"/>
      <c r="ZB46" s="272"/>
      <c r="ZC46" s="205">
        <f t="shared" si="219"/>
        <v>10000</v>
      </c>
      <c r="ZD46" s="205">
        <f t="shared" si="149"/>
        <v>26200</v>
      </c>
      <c r="ZE46" s="207"/>
      <c r="ZF46" s="207"/>
      <c r="ZG46" s="207"/>
      <c r="ZH46" s="207"/>
      <c r="ZI46" s="207"/>
      <c r="ZJ46" s="272"/>
      <c r="ZK46" s="272"/>
      <c r="ZL46" s="205">
        <f t="shared" si="220"/>
        <v>0</v>
      </c>
      <c r="ZM46" s="207"/>
      <c r="ZN46" s="207"/>
      <c r="ZO46" s="207"/>
      <c r="ZP46" s="207"/>
      <c r="ZQ46" s="207"/>
      <c r="ZR46" s="272"/>
      <c r="ZS46" s="272"/>
      <c r="ZT46" s="205">
        <f t="shared" si="221"/>
        <v>0</v>
      </c>
      <c r="ZU46" s="207"/>
      <c r="ZV46" s="207"/>
      <c r="ZW46" s="207"/>
      <c r="ZX46" s="207"/>
      <c r="ZY46" s="207"/>
      <c r="ZZ46" s="272"/>
      <c r="AAA46" s="272"/>
      <c r="AAB46" s="205">
        <f t="shared" si="222"/>
        <v>0</v>
      </c>
      <c r="AAC46" s="207"/>
      <c r="AAD46" s="207"/>
      <c r="AAE46" s="207"/>
      <c r="AAF46" s="207"/>
      <c r="AAG46" s="207"/>
      <c r="AAH46" s="272"/>
      <c r="AAI46" s="272"/>
      <c r="AAJ46" s="205">
        <f t="shared" si="223"/>
        <v>0</v>
      </c>
      <c r="AAK46" s="207"/>
      <c r="AAL46" s="207"/>
      <c r="AAM46" s="207"/>
      <c r="AAN46" s="207"/>
      <c r="AAO46" s="207"/>
      <c r="AAP46" s="272"/>
      <c r="AAQ46" s="272"/>
      <c r="AAR46" s="205">
        <f t="shared" si="224"/>
        <v>0</v>
      </c>
      <c r="AAS46" s="205">
        <f t="shared" si="225"/>
        <v>0</v>
      </c>
    </row>
    <row r="47" spans="1:721" ht="69" hidden="1" customHeight="1">
      <c r="B47" s="164">
        <v>3630101209</v>
      </c>
      <c r="C47" s="330"/>
      <c r="D47" s="163" t="s">
        <v>762</v>
      </c>
      <c r="E47" s="130" t="s">
        <v>4</v>
      </c>
      <c r="F47" s="120"/>
      <c r="G47" s="120"/>
      <c r="H47" s="120"/>
      <c r="I47" s="120"/>
      <c r="J47" s="120"/>
      <c r="K47" s="209"/>
      <c r="L47" s="205"/>
      <c r="M47" s="205">
        <f t="shared" ref="M47:M48" si="307">SUM(F47:L47)</f>
        <v>0</v>
      </c>
      <c r="N47" s="120"/>
      <c r="O47" s="120"/>
      <c r="P47" s="120"/>
      <c r="Q47" s="120"/>
      <c r="R47" s="120"/>
      <c r="S47" s="209"/>
      <c r="T47" s="205"/>
      <c r="U47" s="205">
        <f t="shared" ref="U47:U48" si="308">SUM(N47:T47)</f>
        <v>0</v>
      </c>
      <c r="V47" s="120"/>
      <c r="W47" s="120"/>
      <c r="X47" s="120"/>
      <c r="Y47" s="120"/>
      <c r="Z47" s="120"/>
      <c r="AA47" s="209"/>
      <c r="AB47" s="205"/>
      <c r="AC47" s="205">
        <f t="shared" ref="AC47:AC48" si="309">SUM(V47:AB47)</f>
        <v>0</v>
      </c>
      <c r="AD47" s="205"/>
      <c r="AE47" s="205"/>
      <c r="AF47" s="205"/>
      <c r="AG47" s="205"/>
      <c r="AH47" s="205"/>
      <c r="AI47" s="209"/>
      <c r="AJ47" s="205"/>
      <c r="AK47" s="205">
        <f t="shared" ref="AK47:AK48" si="310">SUM(AD47:AJ47)</f>
        <v>0</v>
      </c>
      <c r="AL47" s="205" t="e">
        <f>SUM(#REF!,M47,U47,AC47,AD47:AH47)</f>
        <v>#REF!</v>
      </c>
      <c r="AM47" s="120"/>
      <c r="AN47" s="120"/>
      <c r="AO47" s="120"/>
      <c r="AP47" s="120"/>
      <c r="AQ47" s="120"/>
      <c r="AR47" s="209"/>
      <c r="AS47" s="205"/>
      <c r="AT47" s="205">
        <f t="shared" ref="AT47:AT48" si="311">SUM(AM47:AS47)</f>
        <v>0</v>
      </c>
      <c r="AU47" s="120"/>
      <c r="AV47" s="120"/>
      <c r="AW47" s="120"/>
      <c r="AX47" s="120"/>
      <c r="AY47" s="120"/>
      <c r="AZ47" s="209"/>
      <c r="BA47" s="205"/>
      <c r="BB47" s="205">
        <f t="shared" ref="BB47:BB48" si="312">SUM(AU47:BA47)</f>
        <v>0</v>
      </c>
      <c r="BC47" s="120"/>
      <c r="BD47" s="120"/>
      <c r="BE47" s="120"/>
      <c r="BF47" s="120"/>
      <c r="BG47" s="120"/>
      <c r="BH47" s="209"/>
      <c r="BI47" s="205"/>
      <c r="BJ47" s="205">
        <f t="shared" ref="BJ47:BJ48" si="313">SUM(BC47:BI47)</f>
        <v>0</v>
      </c>
      <c r="BK47" s="120"/>
      <c r="BL47" s="120"/>
      <c r="BM47" s="120"/>
      <c r="BN47" s="120"/>
      <c r="BO47" s="205"/>
      <c r="BP47" s="209"/>
      <c r="BQ47" s="205"/>
      <c r="BR47" s="205">
        <f t="shared" ref="BR47:BR48" si="314">SUM(BK47:BQ47)</f>
        <v>0</v>
      </c>
      <c r="BS47" s="205">
        <f t="shared" si="129"/>
        <v>0</v>
      </c>
      <c r="BT47" s="120"/>
      <c r="BU47" s="120"/>
      <c r="BV47" s="120"/>
      <c r="BW47" s="120"/>
      <c r="BX47" s="120"/>
      <c r="BY47" s="209"/>
      <c r="BZ47" s="205"/>
      <c r="CA47" s="205">
        <f t="shared" ref="CA47:CA48" si="315">SUM(BT47:BZ47)</f>
        <v>0</v>
      </c>
      <c r="CB47" s="120"/>
      <c r="CC47" s="120"/>
      <c r="CD47" s="120"/>
      <c r="CE47" s="120"/>
      <c r="CF47" s="120"/>
      <c r="CG47" s="209"/>
      <c r="CH47" s="205"/>
      <c r="CI47" s="205">
        <f t="shared" ref="CI47:CI48" si="316">SUM(CB47:CH47)</f>
        <v>0</v>
      </c>
      <c r="CJ47" s="120"/>
      <c r="CK47" s="120"/>
      <c r="CL47" s="120"/>
      <c r="CM47" s="120"/>
      <c r="CN47" s="120"/>
      <c r="CO47" s="209"/>
      <c r="CP47" s="205"/>
      <c r="CQ47" s="205">
        <f t="shared" ref="CQ47:CQ48" si="317">SUM(CJ47:CP47)</f>
        <v>0</v>
      </c>
      <c r="CR47" s="120"/>
      <c r="CS47" s="120"/>
      <c r="CT47" s="120"/>
      <c r="CU47" s="120"/>
      <c r="CV47" s="120"/>
      <c r="CW47" s="209"/>
      <c r="CX47" s="205"/>
      <c r="CY47" s="205">
        <f t="shared" ref="CY47:CY48" si="318">SUM(CR47:CX47)</f>
        <v>0</v>
      </c>
      <c r="CZ47" s="120"/>
      <c r="DA47" s="120"/>
      <c r="DB47" s="120"/>
      <c r="DC47" s="205"/>
      <c r="DD47" s="205"/>
      <c r="DE47" s="209"/>
      <c r="DF47" s="205"/>
      <c r="DG47" s="205">
        <f t="shared" ref="DG47:DG48" si="319">SUM(CZ47:DF47)</f>
        <v>0</v>
      </c>
      <c r="DH47" s="205">
        <f t="shared" si="150"/>
        <v>0</v>
      </c>
      <c r="DI47" s="120"/>
      <c r="DJ47" s="120"/>
      <c r="DK47" s="120"/>
      <c r="DL47" s="120"/>
      <c r="DM47" s="120"/>
      <c r="DN47" s="209"/>
      <c r="DO47" s="205"/>
      <c r="DP47" s="205">
        <f t="shared" si="228"/>
        <v>0</v>
      </c>
      <c r="DQ47" s="120"/>
      <c r="DR47" s="120"/>
      <c r="DS47" s="120"/>
      <c r="DT47" s="120"/>
      <c r="DU47" s="120"/>
      <c r="DV47" s="209"/>
      <c r="DW47" s="205"/>
      <c r="DX47" s="205">
        <f t="shared" si="136"/>
        <v>0</v>
      </c>
      <c r="DY47" s="120"/>
      <c r="DZ47" s="120"/>
      <c r="EA47" s="120"/>
      <c r="EB47" s="120"/>
      <c r="EC47" s="120"/>
      <c r="ED47" s="209"/>
      <c r="EE47" s="205"/>
      <c r="EF47" s="205">
        <f t="shared" si="137"/>
        <v>0</v>
      </c>
      <c r="EG47" s="120"/>
      <c r="EH47" s="120"/>
      <c r="EI47" s="120"/>
      <c r="EJ47" s="205"/>
      <c r="EK47" s="205"/>
      <c r="EL47" s="209"/>
      <c r="EM47" s="205"/>
      <c r="EN47" s="205">
        <f t="shared" si="138"/>
        <v>0</v>
      </c>
      <c r="EO47" s="205">
        <f t="shared" si="151"/>
        <v>0</v>
      </c>
      <c r="EP47" s="120"/>
      <c r="EQ47" s="120"/>
      <c r="ER47" s="120"/>
      <c r="ES47" s="120"/>
      <c r="ET47" s="120"/>
      <c r="EU47" s="209"/>
      <c r="EV47" s="205"/>
      <c r="EW47" s="205">
        <f t="shared" si="139"/>
        <v>0</v>
      </c>
      <c r="EX47" s="120"/>
      <c r="EY47" s="120"/>
      <c r="EZ47" s="120"/>
      <c r="FA47" s="120"/>
      <c r="FB47" s="120"/>
      <c r="FC47" s="209"/>
      <c r="FD47" s="205"/>
      <c r="FE47" s="205">
        <f t="shared" si="140"/>
        <v>0</v>
      </c>
      <c r="FF47" s="120"/>
      <c r="FG47" s="120"/>
      <c r="FH47" s="120"/>
      <c r="FI47" s="120"/>
      <c r="FJ47" s="120"/>
      <c r="FK47" s="209"/>
      <c r="FL47" s="205"/>
      <c r="FM47" s="205">
        <f t="shared" si="141"/>
        <v>0</v>
      </c>
      <c r="FN47" s="120"/>
      <c r="FO47" s="120"/>
      <c r="FP47" s="120"/>
      <c r="FQ47" s="120"/>
      <c r="FR47" s="205"/>
      <c r="FS47" s="209"/>
      <c r="FT47" s="205"/>
      <c r="FU47" s="205">
        <f t="shared" si="142"/>
        <v>0</v>
      </c>
      <c r="FV47" s="205">
        <f t="shared" si="152"/>
        <v>0</v>
      </c>
      <c r="FW47" s="120"/>
      <c r="FX47" s="120"/>
      <c r="FY47" s="120"/>
      <c r="FZ47" s="120"/>
      <c r="GA47" s="120"/>
      <c r="GB47" s="209"/>
      <c r="GC47" s="205"/>
      <c r="GD47" s="205">
        <f t="shared" si="143"/>
        <v>0</v>
      </c>
      <c r="GE47" s="120"/>
      <c r="GF47" s="120"/>
      <c r="GG47" s="120"/>
      <c r="GH47" s="120"/>
      <c r="GI47" s="120"/>
      <c r="GJ47" s="209"/>
      <c r="GK47" s="205"/>
      <c r="GL47" s="205">
        <f t="shared" si="144"/>
        <v>0</v>
      </c>
      <c r="GM47" s="120"/>
      <c r="GN47" s="120"/>
      <c r="GO47" s="120"/>
      <c r="GP47" s="120"/>
      <c r="GQ47" s="120"/>
      <c r="GR47" s="209"/>
      <c r="GS47" s="205"/>
      <c r="GT47" s="205">
        <f t="shared" si="145"/>
        <v>0</v>
      </c>
      <c r="GU47" s="120"/>
      <c r="GV47" s="120"/>
      <c r="GW47" s="120"/>
      <c r="GX47" s="120"/>
      <c r="GY47" s="120"/>
      <c r="GZ47" s="209"/>
      <c r="HA47" s="205"/>
      <c r="HB47" s="205">
        <f t="shared" si="146"/>
        <v>0</v>
      </c>
      <c r="HC47" s="120"/>
      <c r="HD47" s="120"/>
      <c r="HE47" s="120"/>
      <c r="HF47" s="120"/>
      <c r="HG47" s="120"/>
      <c r="HH47" s="209"/>
      <c r="HI47" s="205"/>
      <c r="HJ47" s="205">
        <f t="shared" si="147"/>
        <v>0</v>
      </c>
      <c r="HK47" s="205">
        <f t="shared" si="153"/>
        <v>0</v>
      </c>
      <c r="HL47" s="124"/>
      <c r="HM47" s="120"/>
      <c r="HN47" s="120"/>
      <c r="HO47" s="120"/>
      <c r="HP47" s="120"/>
      <c r="HQ47" s="205"/>
      <c r="HR47" s="205"/>
      <c r="HS47" s="205">
        <f t="shared" si="154"/>
        <v>0</v>
      </c>
      <c r="HT47" s="120"/>
      <c r="HU47" s="120"/>
      <c r="HV47" s="120"/>
      <c r="HW47" s="120"/>
      <c r="HX47" s="120"/>
      <c r="HY47" s="205"/>
      <c r="HZ47" s="205"/>
      <c r="IA47" s="205">
        <f t="shared" si="155"/>
        <v>0</v>
      </c>
      <c r="IB47" s="120"/>
      <c r="IC47" s="120"/>
      <c r="ID47" s="120"/>
      <c r="IE47" s="120"/>
      <c r="IF47" s="120"/>
      <c r="IG47" s="205"/>
      <c r="IH47" s="205"/>
      <c r="II47" s="205">
        <f t="shared" si="156"/>
        <v>0</v>
      </c>
      <c r="IJ47" s="120"/>
      <c r="IK47" s="120"/>
      <c r="IL47" s="120"/>
      <c r="IM47" s="120"/>
      <c r="IN47" s="120"/>
      <c r="IO47" s="205"/>
      <c r="IP47" s="205"/>
      <c r="IQ47" s="205">
        <f t="shared" si="157"/>
        <v>0</v>
      </c>
      <c r="IR47" s="205">
        <f t="shared" si="158"/>
        <v>0</v>
      </c>
      <c r="IS47" s="120"/>
      <c r="IT47" s="120"/>
      <c r="IU47" s="217"/>
      <c r="IV47" s="120"/>
      <c r="IW47" s="120"/>
      <c r="IX47" s="205"/>
      <c r="IY47" s="205"/>
      <c r="IZ47" s="205">
        <f t="shared" si="159"/>
        <v>0</v>
      </c>
      <c r="JA47" s="120"/>
      <c r="JB47" s="120"/>
      <c r="JC47" s="120"/>
      <c r="JD47" s="120"/>
      <c r="JE47" s="120"/>
      <c r="JF47" s="205"/>
      <c r="JG47" s="205"/>
      <c r="JH47" s="205">
        <f t="shared" si="160"/>
        <v>0</v>
      </c>
      <c r="JI47" s="120"/>
      <c r="JJ47" s="120"/>
      <c r="JK47" s="120"/>
      <c r="JL47" s="120"/>
      <c r="JM47" s="120"/>
      <c r="JN47" s="205"/>
      <c r="JO47" s="205"/>
      <c r="JP47" s="205">
        <f t="shared" si="161"/>
        <v>0</v>
      </c>
      <c r="JQ47" s="120"/>
      <c r="JR47" s="120"/>
      <c r="JS47" s="120"/>
      <c r="JT47" s="120"/>
      <c r="JU47" s="120"/>
      <c r="JV47" s="205"/>
      <c r="JW47" s="205"/>
      <c r="JX47" s="205">
        <f t="shared" si="162"/>
        <v>0</v>
      </c>
      <c r="JY47" s="205">
        <f t="shared" si="163"/>
        <v>0</v>
      </c>
      <c r="JZ47" s="250"/>
      <c r="KA47" s="120"/>
      <c r="KB47" s="120"/>
      <c r="KC47" s="120"/>
      <c r="KD47" s="120"/>
      <c r="KE47" s="205"/>
      <c r="KF47" s="205"/>
      <c r="KG47" s="205">
        <f t="shared" si="164"/>
        <v>0</v>
      </c>
      <c r="KH47" s="120"/>
      <c r="KI47" s="120"/>
      <c r="KJ47" s="120"/>
      <c r="KK47" s="120"/>
      <c r="KL47" s="120"/>
      <c r="KM47" s="205"/>
      <c r="KN47" s="205"/>
      <c r="KO47" s="205">
        <f t="shared" si="165"/>
        <v>0</v>
      </c>
      <c r="KP47" s="120"/>
      <c r="KQ47" s="120"/>
      <c r="KR47" s="120"/>
      <c r="KS47" s="120"/>
      <c r="KT47" s="120"/>
      <c r="KU47" s="205"/>
      <c r="KV47" s="205"/>
      <c r="KW47" s="205">
        <f t="shared" si="166"/>
        <v>0</v>
      </c>
      <c r="KX47" s="120"/>
      <c r="KY47" s="120"/>
      <c r="KZ47" s="120"/>
      <c r="LA47" s="120"/>
      <c r="LB47" s="120"/>
      <c r="LC47" s="205"/>
      <c r="LD47" s="205"/>
      <c r="LE47" s="205">
        <f t="shared" si="167"/>
        <v>0</v>
      </c>
      <c r="LF47" s="205"/>
      <c r="LG47" s="120"/>
      <c r="LH47" s="120"/>
      <c r="LI47" s="120"/>
      <c r="LJ47" s="120"/>
      <c r="LK47" s="205"/>
      <c r="LL47" s="205"/>
      <c r="LM47" s="205">
        <f t="shared" si="168"/>
        <v>0</v>
      </c>
      <c r="LN47" s="205">
        <f t="shared" si="169"/>
        <v>0</v>
      </c>
      <c r="LO47" s="205"/>
      <c r="LP47" s="120"/>
      <c r="LQ47" s="120"/>
      <c r="LR47" s="120"/>
      <c r="LS47" s="205"/>
      <c r="LT47" s="205"/>
      <c r="LU47" s="205"/>
      <c r="LV47" s="205">
        <f t="shared" si="170"/>
        <v>0</v>
      </c>
      <c r="LW47" s="120"/>
      <c r="LX47" s="120"/>
      <c r="LY47" s="120"/>
      <c r="LZ47" s="120"/>
      <c r="MA47" s="120"/>
      <c r="MB47" s="205"/>
      <c r="MC47" s="205"/>
      <c r="MD47" s="205">
        <f t="shared" si="171"/>
        <v>0</v>
      </c>
      <c r="ME47" s="120"/>
      <c r="MF47" s="120"/>
      <c r="MG47" s="120"/>
      <c r="MH47" s="120"/>
      <c r="MI47" s="205"/>
      <c r="MJ47" s="205"/>
      <c r="MK47" s="205"/>
      <c r="ML47" s="205">
        <f t="shared" si="172"/>
        <v>0</v>
      </c>
      <c r="MM47" s="120"/>
      <c r="MN47" s="120"/>
      <c r="MO47" s="120"/>
      <c r="MP47" s="120"/>
      <c r="MQ47" s="120"/>
      <c r="MR47" s="205"/>
      <c r="MS47" s="205"/>
      <c r="MT47" s="205">
        <f t="shared" si="173"/>
        <v>0</v>
      </c>
      <c r="MU47" s="205">
        <f t="shared" si="174"/>
        <v>0</v>
      </c>
      <c r="MV47" s="120"/>
      <c r="MW47" s="120"/>
      <c r="MX47" s="120"/>
      <c r="MY47" s="120"/>
      <c r="MZ47" s="120"/>
      <c r="NA47" s="205"/>
      <c r="NB47" s="205"/>
      <c r="NC47" s="205">
        <f t="shared" si="175"/>
        <v>0</v>
      </c>
      <c r="ND47" s="120"/>
      <c r="NE47" s="120"/>
      <c r="NF47" s="120"/>
      <c r="NG47" s="120"/>
      <c r="NH47" s="120"/>
      <c r="NI47" s="205"/>
      <c r="NJ47" s="205"/>
      <c r="NK47" s="205">
        <f t="shared" si="176"/>
        <v>0</v>
      </c>
      <c r="NL47" s="120"/>
      <c r="NM47" s="120"/>
      <c r="NN47" s="120"/>
      <c r="NO47" s="120"/>
      <c r="NP47" s="120"/>
      <c r="NQ47" s="205"/>
      <c r="NR47" s="205"/>
      <c r="NS47" s="205">
        <f t="shared" si="177"/>
        <v>0</v>
      </c>
      <c r="NT47" s="120"/>
      <c r="NU47" s="120"/>
      <c r="NV47" s="120"/>
      <c r="NW47" s="120"/>
      <c r="NX47" s="120"/>
      <c r="NY47" s="205"/>
      <c r="NZ47" s="205"/>
      <c r="OA47" s="205">
        <f t="shared" si="178"/>
        <v>0</v>
      </c>
      <c r="OB47" s="205">
        <f t="shared" si="179"/>
        <v>0</v>
      </c>
      <c r="OC47" s="120"/>
      <c r="OD47" s="120"/>
      <c r="OE47" s="195">
        <v>6100</v>
      </c>
      <c r="OF47" s="120"/>
      <c r="OG47" s="120"/>
      <c r="OH47" s="205"/>
      <c r="OI47" s="205"/>
      <c r="OJ47" s="205">
        <f t="shared" si="180"/>
        <v>6100</v>
      </c>
      <c r="OK47" s="120"/>
      <c r="OL47" s="120"/>
      <c r="OM47" s="120"/>
      <c r="ON47" s="120"/>
      <c r="OO47" s="120"/>
      <c r="OP47" s="205"/>
      <c r="OQ47" s="205"/>
      <c r="OR47" s="205">
        <f t="shared" si="181"/>
        <v>0</v>
      </c>
      <c r="OS47" s="120"/>
      <c r="OT47" s="120"/>
      <c r="OU47" s="120"/>
      <c r="OV47" s="120"/>
      <c r="OW47" s="120"/>
      <c r="OX47" s="205"/>
      <c r="OY47" s="205"/>
      <c r="OZ47" s="205">
        <f t="shared" si="182"/>
        <v>0</v>
      </c>
      <c r="PA47" s="120"/>
      <c r="PB47" s="120"/>
      <c r="PC47" s="120"/>
      <c r="PD47" s="205"/>
      <c r="PE47" s="217"/>
      <c r="PF47" s="205"/>
      <c r="PG47" s="205"/>
      <c r="PH47" s="205">
        <f t="shared" si="183"/>
        <v>0</v>
      </c>
      <c r="PI47" s="120"/>
      <c r="PJ47" s="120"/>
      <c r="PK47" s="120"/>
      <c r="PL47" s="205"/>
      <c r="PM47" s="217"/>
      <c r="PN47" s="205"/>
      <c r="PO47" s="205"/>
      <c r="PP47" s="205">
        <f t="shared" si="184"/>
        <v>0</v>
      </c>
      <c r="PQ47" s="205">
        <f t="shared" si="185"/>
        <v>6100</v>
      </c>
      <c r="PR47" s="120"/>
      <c r="PS47" s="207"/>
      <c r="PT47" s="207"/>
      <c r="PU47" s="207"/>
      <c r="PV47" s="207"/>
      <c r="PW47" s="272"/>
      <c r="PX47" s="272"/>
      <c r="PY47" s="205">
        <f t="shared" si="186"/>
        <v>0</v>
      </c>
      <c r="PZ47" s="207"/>
      <c r="QA47" s="207"/>
      <c r="QB47" s="207"/>
      <c r="QC47" s="207"/>
      <c r="QD47" s="207"/>
      <c r="QE47" s="272"/>
      <c r="QF47" s="272"/>
      <c r="QG47" s="205">
        <f t="shared" si="187"/>
        <v>0</v>
      </c>
      <c r="QH47" s="207"/>
      <c r="QI47" s="207"/>
      <c r="QJ47" s="294"/>
      <c r="QK47" s="304"/>
      <c r="QL47" s="207"/>
      <c r="QM47" s="272"/>
      <c r="QN47" s="272"/>
      <c r="QO47" s="205">
        <f t="shared" si="188"/>
        <v>0</v>
      </c>
      <c r="QP47" s="120"/>
      <c r="QQ47" s="207"/>
      <c r="QR47" s="217"/>
      <c r="QS47" s="217"/>
      <c r="QT47" s="120"/>
      <c r="QU47" s="272"/>
      <c r="QV47" s="272"/>
      <c r="QW47" s="205">
        <f t="shared" ref="QW47:QW81" si="320">SUM(QP47:QV47)</f>
        <v>0</v>
      </c>
      <c r="QX47" s="205">
        <f t="shared" si="190"/>
        <v>0</v>
      </c>
      <c r="QY47" s="207"/>
      <c r="QZ47" s="207"/>
      <c r="RA47" s="207"/>
      <c r="RB47" s="207"/>
      <c r="RC47" s="207"/>
      <c r="RD47" s="272"/>
      <c r="RE47" s="272"/>
      <c r="RF47" s="205">
        <f t="shared" si="191"/>
        <v>0</v>
      </c>
      <c r="RG47" s="201"/>
      <c r="RH47" s="120"/>
      <c r="RI47" s="120"/>
      <c r="RJ47" s="120"/>
      <c r="RK47" s="120"/>
      <c r="RL47" s="272"/>
      <c r="RM47" s="272"/>
      <c r="RN47" s="205">
        <f t="shared" si="192"/>
        <v>0</v>
      </c>
      <c r="RO47" s="272"/>
      <c r="RP47" s="272"/>
      <c r="RQ47" s="272"/>
      <c r="RR47" s="272"/>
      <c r="RS47" s="272"/>
      <c r="RT47" s="272"/>
      <c r="RU47" s="272"/>
      <c r="RV47" s="205">
        <f t="shared" si="193"/>
        <v>0</v>
      </c>
      <c r="RW47" s="207"/>
      <c r="RX47" s="207"/>
      <c r="RY47" s="207"/>
      <c r="RZ47" s="207"/>
      <c r="SA47" s="272"/>
      <c r="SB47" s="272"/>
      <c r="SC47" s="272"/>
      <c r="SD47" s="205">
        <f t="shared" si="194"/>
        <v>0</v>
      </c>
      <c r="SE47" s="205">
        <f t="shared" si="195"/>
        <v>0</v>
      </c>
      <c r="SF47" s="207"/>
      <c r="SG47" s="207"/>
      <c r="SH47" s="207"/>
      <c r="SI47" s="207"/>
      <c r="SJ47" s="207"/>
      <c r="SK47" s="272"/>
      <c r="SL47" s="272"/>
      <c r="SM47" s="205">
        <f t="shared" si="196"/>
        <v>0</v>
      </c>
      <c r="SN47" s="207"/>
      <c r="SO47" s="120"/>
      <c r="SP47" s="207"/>
      <c r="SQ47" s="207"/>
      <c r="SR47" s="207"/>
      <c r="SS47" s="272"/>
      <c r="ST47" s="272"/>
      <c r="SU47" s="205">
        <f t="shared" si="197"/>
        <v>0</v>
      </c>
      <c r="SV47" s="207"/>
      <c r="SW47" s="207"/>
      <c r="SX47" s="207"/>
      <c r="SY47" s="207"/>
      <c r="SZ47" s="207"/>
      <c r="TA47" s="272"/>
      <c r="TB47" s="272"/>
      <c r="TC47" s="205">
        <f t="shared" si="198"/>
        <v>0</v>
      </c>
      <c r="TD47" s="207"/>
      <c r="TE47" s="124"/>
      <c r="TF47" s="207"/>
      <c r="TG47" s="207"/>
      <c r="TH47" s="207"/>
      <c r="TI47" s="272"/>
      <c r="TJ47" s="272"/>
      <c r="TK47" s="205">
        <f t="shared" si="199"/>
        <v>0</v>
      </c>
      <c r="TL47" s="207"/>
      <c r="TM47" s="207"/>
      <c r="TN47" s="207"/>
      <c r="TO47" s="207"/>
      <c r="TP47" s="272"/>
      <c r="TQ47" s="272"/>
      <c r="TR47" s="272"/>
      <c r="TS47" s="205">
        <f t="shared" si="200"/>
        <v>0</v>
      </c>
      <c r="TT47" s="205">
        <f t="shared" si="201"/>
        <v>0</v>
      </c>
      <c r="TU47" s="272"/>
      <c r="TV47" s="207"/>
      <c r="TW47" s="207"/>
      <c r="TX47" s="120"/>
      <c r="TY47" s="207"/>
      <c r="TZ47" s="272"/>
      <c r="UA47" s="272"/>
      <c r="UB47" s="205">
        <f t="shared" si="202"/>
        <v>0</v>
      </c>
      <c r="UC47" s="217"/>
      <c r="UD47" s="120"/>
      <c r="UE47" s="207"/>
      <c r="UF47" s="124"/>
      <c r="UG47" s="207"/>
      <c r="UH47" s="272"/>
      <c r="UI47" s="272"/>
      <c r="UJ47" s="205">
        <f t="shared" si="240"/>
        <v>0</v>
      </c>
      <c r="UK47" s="207"/>
      <c r="UL47" s="207"/>
      <c r="UM47" s="207"/>
      <c r="UN47" s="207"/>
      <c r="UO47" s="120"/>
      <c r="UP47" s="272"/>
      <c r="UQ47" s="272"/>
      <c r="UR47" s="205">
        <f t="shared" si="227"/>
        <v>0</v>
      </c>
      <c r="US47" s="207"/>
      <c r="UT47" s="207"/>
      <c r="UU47" s="207"/>
      <c r="UV47" s="207"/>
      <c r="UW47" s="272"/>
      <c r="UX47" s="272"/>
      <c r="UY47" s="272"/>
      <c r="UZ47" s="205">
        <f t="shared" si="204"/>
        <v>0</v>
      </c>
      <c r="VA47" s="205">
        <f t="shared" si="205"/>
        <v>0</v>
      </c>
      <c r="VB47" s="207"/>
      <c r="VC47" s="207"/>
      <c r="VD47" s="207"/>
      <c r="VE47" s="201"/>
      <c r="VF47" s="207"/>
      <c r="VG47" s="272"/>
      <c r="VH47" s="272"/>
      <c r="VI47" s="205">
        <f t="shared" si="206"/>
        <v>0</v>
      </c>
      <c r="VJ47" s="207"/>
      <c r="VK47" s="207"/>
      <c r="VL47" s="201"/>
      <c r="VM47" s="207"/>
      <c r="VN47" s="207"/>
      <c r="VO47" s="272"/>
      <c r="VP47" s="272"/>
      <c r="VQ47" s="205">
        <f t="shared" ref="VQ47:VQ48" si="321">SUM(VJ47:VP47)</f>
        <v>0</v>
      </c>
      <c r="VR47" s="207"/>
      <c r="VS47" s="207"/>
      <c r="VT47" s="207"/>
      <c r="VU47" s="306"/>
      <c r="VV47" s="207"/>
      <c r="VW47" s="272"/>
      <c r="VX47" s="272"/>
      <c r="VY47" s="205">
        <f t="shared" si="208"/>
        <v>0</v>
      </c>
      <c r="VZ47" s="207"/>
      <c r="WA47" s="207"/>
      <c r="WB47" s="207"/>
      <c r="WC47" s="207"/>
      <c r="WD47" s="207"/>
      <c r="WE47" s="272"/>
      <c r="WF47" s="272"/>
      <c r="WG47" s="205">
        <f>SUM(WA47:WF47)</f>
        <v>0</v>
      </c>
      <c r="WH47" s="205">
        <f t="shared" si="210"/>
        <v>0</v>
      </c>
      <c r="WI47" s="207"/>
      <c r="WJ47" s="207"/>
      <c r="WK47" s="207"/>
      <c r="WL47" s="207"/>
      <c r="WM47" s="207"/>
      <c r="WN47" s="272"/>
      <c r="WO47" s="272"/>
      <c r="WP47" s="205">
        <f t="shared" si="211"/>
        <v>0</v>
      </c>
      <c r="WQ47" s="207"/>
      <c r="WR47" s="207"/>
      <c r="WS47" s="207"/>
      <c r="WT47" s="207"/>
      <c r="WU47" s="207"/>
      <c r="WV47" s="272"/>
      <c r="WW47" s="272"/>
      <c r="WX47" s="205">
        <f t="shared" si="212"/>
        <v>0</v>
      </c>
      <c r="WY47" s="207"/>
      <c r="WZ47" s="207"/>
      <c r="XA47" s="207"/>
      <c r="XB47" s="207"/>
      <c r="XC47" s="272"/>
      <c r="XD47" s="272"/>
      <c r="XE47" s="272"/>
      <c r="XF47" s="205">
        <f t="shared" si="213"/>
        <v>0</v>
      </c>
      <c r="XG47" s="207"/>
      <c r="XH47" s="207"/>
      <c r="XI47" s="306"/>
      <c r="XJ47" s="207"/>
      <c r="XK47" s="207"/>
      <c r="XL47" s="272"/>
      <c r="XM47" s="272"/>
      <c r="XN47" s="205">
        <f t="shared" si="214"/>
        <v>0</v>
      </c>
      <c r="XO47" s="207"/>
      <c r="XP47" s="207"/>
      <c r="XQ47" s="207"/>
      <c r="XR47" s="207"/>
      <c r="XS47" s="207"/>
      <c r="XT47" s="272"/>
      <c r="XU47" s="272"/>
      <c r="XV47" s="205">
        <f t="shared" si="215"/>
        <v>0</v>
      </c>
      <c r="XW47" s="205">
        <f t="shared" si="216"/>
        <v>0</v>
      </c>
      <c r="XX47" s="207"/>
      <c r="XY47" s="207"/>
      <c r="XZ47" s="207"/>
      <c r="YA47" s="207"/>
      <c r="YB47" s="207"/>
      <c r="YC47" s="272"/>
      <c r="YD47" s="272"/>
      <c r="YE47" s="205">
        <f t="shared" si="217"/>
        <v>0</v>
      </c>
      <c r="YF47" s="120"/>
      <c r="YG47" s="207"/>
      <c r="YH47" s="124"/>
      <c r="YI47" s="207"/>
      <c r="YJ47" s="207"/>
      <c r="YK47" s="272"/>
      <c r="YL47" s="272"/>
      <c r="YM47" s="205">
        <f t="shared" si="218"/>
        <v>0</v>
      </c>
      <c r="YN47" s="306"/>
      <c r="YO47" s="207"/>
      <c r="YP47" s="207"/>
      <c r="YQ47" s="207"/>
      <c r="YR47" s="207"/>
      <c r="YS47" s="272"/>
      <c r="YT47" s="272"/>
      <c r="YU47" s="205">
        <f t="shared" si="148"/>
        <v>0</v>
      </c>
      <c r="YV47" s="207"/>
      <c r="YW47" s="207"/>
      <c r="YX47" s="207"/>
      <c r="YY47" s="207"/>
      <c r="YZ47" s="207"/>
      <c r="ZA47" s="272"/>
      <c r="ZB47" s="272"/>
      <c r="ZC47" s="205">
        <f t="shared" si="219"/>
        <v>0</v>
      </c>
      <c r="ZD47" s="205">
        <f t="shared" si="149"/>
        <v>0</v>
      </c>
      <c r="ZE47" s="207"/>
      <c r="ZF47" s="207"/>
      <c r="ZG47" s="207"/>
      <c r="ZH47" s="207"/>
      <c r="ZI47" s="207"/>
      <c r="ZJ47" s="272"/>
      <c r="ZK47" s="272"/>
      <c r="ZL47" s="205">
        <f t="shared" si="220"/>
        <v>0</v>
      </c>
      <c r="ZM47" s="207"/>
      <c r="ZN47" s="207"/>
      <c r="ZO47" s="207"/>
      <c r="ZP47" s="207"/>
      <c r="ZQ47" s="207"/>
      <c r="ZR47" s="272"/>
      <c r="ZS47" s="272"/>
      <c r="ZT47" s="205">
        <f t="shared" si="221"/>
        <v>0</v>
      </c>
      <c r="ZU47" s="207"/>
      <c r="ZV47" s="207"/>
      <c r="ZW47" s="207"/>
      <c r="ZX47" s="207"/>
      <c r="ZY47" s="207"/>
      <c r="ZZ47" s="272"/>
      <c r="AAA47" s="272"/>
      <c r="AAB47" s="205">
        <f t="shared" si="222"/>
        <v>0</v>
      </c>
      <c r="AAC47" s="207"/>
      <c r="AAD47" s="207"/>
      <c r="AAE47" s="207"/>
      <c r="AAF47" s="207"/>
      <c r="AAG47" s="207"/>
      <c r="AAH47" s="272"/>
      <c r="AAI47" s="272"/>
      <c r="AAJ47" s="205">
        <f t="shared" si="223"/>
        <v>0</v>
      </c>
      <c r="AAK47" s="207"/>
      <c r="AAL47" s="207"/>
      <c r="AAM47" s="207"/>
      <c r="AAN47" s="207"/>
      <c r="AAO47" s="207"/>
      <c r="AAP47" s="272"/>
      <c r="AAQ47" s="272"/>
      <c r="AAR47" s="205">
        <f t="shared" si="224"/>
        <v>0</v>
      </c>
      <c r="AAS47" s="205">
        <f t="shared" si="225"/>
        <v>0</v>
      </c>
    </row>
    <row r="48" spans="1:721" ht="69" customHeight="1">
      <c r="B48" s="164">
        <v>3630101214</v>
      </c>
      <c r="C48" s="330"/>
      <c r="D48" s="163" t="s">
        <v>763</v>
      </c>
      <c r="E48" s="130" t="s">
        <v>4</v>
      </c>
      <c r="F48" s="120"/>
      <c r="G48" s="120"/>
      <c r="H48" s="120"/>
      <c r="I48" s="120"/>
      <c r="J48" s="120"/>
      <c r="K48" s="209"/>
      <c r="L48" s="205"/>
      <c r="M48" s="205">
        <f t="shared" si="307"/>
        <v>0</v>
      </c>
      <c r="N48" s="120"/>
      <c r="O48" s="120"/>
      <c r="P48" s="120"/>
      <c r="Q48" s="120"/>
      <c r="R48" s="120"/>
      <c r="S48" s="209"/>
      <c r="T48" s="205"/>
      <c r="U48" s="205">
        <f t="shared" si="308"/>
        <v>0</v>
      </c>
      <c r="V48" s="120"/>
      <c r="W48" s="120"/>
      <c r="X48" s="120"/>
      <c r="Y48" s="120"/>
      <c r="Z48" s="120"/>
      <c r="AA48" s="209"/>
      <c r="AB48" s="205"/>
      <c r="AC48" s="205">
        <f t="shared" si="309"/>
        <v>0</v>
      </c>
      <c r="AD48" s="205"/>
      <c r="AE48" s="205"/>
      <c r="AF48" s="205"/>
      <c r="AG48" s="205"/>
      <c r="AH48" s="205"/>
      <c r="AI48" s="209"/>
      <c r="AJ48" s="205"/>
      <c r="AK48" s="205">
        <f t="shared" si="310"/>
        <v>0</v>
      </c>
      <c r="AL48" s="205" t="e">
        <f>SUM(#REF!,M48,U48,AC48,AD48:AH48)</f>
        <v>#REF!</v>
      </c>
      <c r="AM48" s="120"/>
      <c r="AN48" s="120"/>
      <c r="AO48" s="120"/>
      <c r="AP48" s="120"/>
      <c r="AQ48" s="120"/>
      <c r="AR48" s="209"/>
      <c r="AS48" s="205"/>
      <c r="AT48" s="205">
        <f t="shared" si="311"/>
        <v>0</v>
      </c>
      <c r="AU48" s="120"/>
      <c r="AV48" s="120"/>
      <c r="AW48" s="120"/>
      <c r="AX48" s="120"/>
      <c r="AY48" s="120"/>
      <c r="AZ48" s="209"/>
      <c r="BA48" s="205"/>
      <c r="BB48" s="205">
        <f t="shared" si="312"/>
        <v>0</v>
      </c>
      <c r="BC48" s="120"/>
      <c r="BD48" s="120"/>
      <c r="BE48" s="120"/>
      <c r="BF48" s="120"/>
      <c r="BG48" s="120"/>
      <c r="BH48" s="209"/>
      <c r="BI48" s="205"/>
      <c r="BJ48" s="205">
        <f t="shared" si="313"/>
        <v>0</v>
      </c>
      <c r="BK48" s="120"/>
      <c r="BL48" s="120"/>
      <c r="BM48" s="120"/>
      <c r="BN48" s="120"/>
      <c r="BO48" s="205"/>
      <c r="BP48" s="209"/>
      <c r="BQ48" s="205"/>
      <c r="BR48" s="205">
        <f t="shared" si="314"/>
        <v>0</v>
      </c>
      <c r="BS48" s="205">
        <f t="shared" si="129"/>
        <v>0</v>
      </c>
      <c r="BT48" s="120"/>
      <c r="BU48" s="120"/>
      <c r="BV48" s="120"/>
      <c r="BW48" s="120"/>
      <c r="BX48" s="120"/>
      <c r="BY48" s="209"/>
      <c r="BZ48" s="205"/>
      <c r="CA48" s="205">
        <f t="shared" si="315"/>
        <v>0</v>
      </c>
      <c r="CB48" s="120"/>
      <c r="CC48" s="120"/>
      <c r="CD48" s="120"/>
      <c r="CE48" s="120"/>
      <c r="CF48" s="120"/>
      <c r="CG48" s="209"/>
      <c r="CH48" s="205"/>
      <c r="CI48" s="205">
        <f t="shared" si="316"/>
        <v>0</v>
      </c>
      <c r="CJ48" s="120"/>
      <c r="CK48" s="120"/>
      <c r="CL48" s="120"/>
      <c r="CM48" s="120"/>
      <c r="CN48" s="120"/>
      <c r="CO48" s="209"/>
      <c r="CP48" s="205"/>
      <c r="CQ48" s="205">
        <f t="shared" si="317"/>
        <v>0</v>
      </c>
      <c r="CR48" s="120"/>
      <c r="CS48" s="120"/>
      <c r="CT48" s="120"/>
      <c r="CU48" s="120"/>
      <c r="CV48" s="120"/>
      <c r="CW48" s="209"/>
      <c r="CX48" s="205"/>
      <c r="CY48" s="205">
        <f t="shared" si="318"/>
        <v>0</v>
      </c>
      <c r="CZ48" s="120"/>
      <c r="DA48" s="120"/>
      <c r="DB48" s="120"/>
      <c r="DC48" s="205"/>
      <c r="DD48" s="205"/>
      <c r="DE48" s="209"/>
      <c r="DF48" s="205"/>
      <c r="DG48" s="205">
        <f t="shared" si="319"/>
        <v>0</v>
      </c>
      <c r="DH48" s="205">
        <f t="shared" si="150"/>
        <v>0</v>
      </c>
      <c r="DI48" s="120"/>
      <c r="DJ48" s="120"/>
      <c r="DK48" s="120"/>
      <c r="DL48" s="120"/>
      <c r="DM48" s="120"/>
      <c r="DN48" s="209"/>
      <c r="DO48" s="205"/>
      <c r="DP48" s="205">
        <f t="shared" si="228"/>
        <v>0</v>
      </c>
      <c r="DQ48" s="120"/>
      <c r="DR48" s="120"/>
      <c r="DS48" s="120"/>
      <c r="DT48" s="120"/>
      <c r="DU48" s="120"/>
      <c r="DV48" s="209"/>
      <c r="DW48" s="205"/>
      <c r="DX48" s="205">
        <f t="shared" si="136"/>
        <v>0</v>
      </c>
      <c r="DY48" s="120"/>
      <c r="DZ48" s="120"/>
      <c r="EA48" s="120"/>
      <c r="EB48" s="120"/>
      <c r="EC48" s="120"/>
      <c r="ED48" s="209"/>
      <c r="EE48" s="205"/>
      <c r="EF48" s="205">
        <f t="shared" si="137"/>
        <v>0</v>
      </c>
      <c r="EG48" s="120"/>
      <c r="EH48" s="120"/>
      <c r="EI48" s="120"/>
      <c r="EJ48" s="205"/>
      <c r="EK48" s="205"/>
      <c r="EL48" s="209"/>
      <c r="EM48" s="205"/>
      <c r="EN48" s="205">
        <f t="shared" si="138"/>
        <v>0</v>
      </c>
      <c r="EO48" s="205">
        <f t="shared" si="151"/>
        <v>0</v>
      </c>
      <c r="EP48" s="120"/>
      <c r="EQ48" s="120"/>
      <c r="ER48" s="120"/>
      <c r="ES48" s="120"/>
      <c r="ET48" s="120"/>
      <c r="EU48" s="209"/>
      <c r="EV48" s="205"/>
      <c r="EW48" s="205">
        <f t="shared" si="139"/>
        <v>0</v>
      </c>
      <c r="EX48" s="120"/>
      <c r="EY48" s="120"/>
      <c r="EZ48" s="120"/>
      <c r="FA48" s="120"/>
      <c r="FB48" s="120"/>
      <c r="FC48" s="209"/>
      <c r="FD48" s="205"/>
      <c r="FE48" s="205">
        <f t="shared" si="140"/>
        <v>0</v>
      </c>
      <c r="FF48" s="120"/>
      <c r="FG48" s="120"/>
      <c r="FH48" s="120"/>
      <c r="FI48" s="120"/>
      <c r="FJ48" s="120"/>
      <c r="FK48" s="209"/>
      <c r="FL48" s="205"/>
      <c r="FM48" s="205">
        <f t="shared" si="141"/>
        <v>0</v>
      </c>
      <c r="FN48" s="120"/>
      <c r="FO48" s="120"/>
      <c r="FP48" s="120"/>
      <c r="FQ48" s="120"/>
      <c r="FR48" s="205"/>
      <c r="FS48" s="209"/>
      <c r="FT48" s="205"/>
      <c r="FU48" s="205">
        <f t="shared" si="142"/>
        <v>0</v>
      </c>
      <c r="FV48" s="205">
        <f t="shared" si="152"/>
        <v>0</v>
      </c>
      <c r="FW48" s="120"/>
      <c r="FX48" s="120"/>
      <c r="FY48" s="120"/>
      <c r="FZ48" s="120"/>
      <c r="GA48" s="120"/>
      <c r="GB48" s="209"/>
      <c r="GC48" s="205"/>
      <c r="GD48" s="205">
        <f t="shared" si="143"/>
        <v>0</v>
      </c>
      <c r="GE48" s="120"/>
      <c r="GF48" s="120"/>
      <c r="GG48" s="120"/>
      <c r="GH48" s="120"/>
      <c r="GI48" s="120"/>
      <c r="GJ48" s="209"/>
      <c r="GK48" s="205"/>
      <c r="GL48" s="205">
        <f t="shared" si="144"/>
        <v>0</v>
      </c>
      <c r="GM48" s="120"/>
      <c r="GN48" s="120"/>
      <c r="GO48" s="120"/>
      <c r="GP48" s="120"/>
      <c r="GQ48" s="120"/>
      <c r="GR48" s="209"/>
      <c r="GS48" s="205"/>
      <c r="GT48" s="205">
        <f t="shared" si="145"/>
        <v>0</v>
      </c>
      <c r="GU48" s="120"/>
      <c r="GV48" s="120"/>
      <c r="GW48" s="120"/>
      <c r="GX48" s="120"/>
      <c r="GY48" s="120"/>
      <c r="GZ48" s="209"/>
      <c r="HA48" s="205"/>
      <c r="HB48" s="205">
        <f t="shared" si="146"/>
        <v>0</v>
      </c>
      <c r="HC48" s="120"/>
      <c r="HD48" s="120"/>
      <c r="HE48" s="120"/>
      <c r="HF48" s="120"/>
      <c r="HG48" s="120"/>
      <c r="HH48" s="209"/>
      <c r="HI48" s="205"/>
      <c r="HJ48" s="205">
        <f t="shared" si="147"/>
        <v>0</v>
      </c>
      <c r="HK48" s="205">
        <f t="shared" si="153"/>
        <v>0</v>
      </c>
      <c r="HL48" s="124"/>
      <c r="HM48" s="120"/>
      <c r="HN48" s="120"/>
      <c r="HO48" s="120"/>
      <c r="HP48" s="120"/>
      <c r="HQ48" s="205"/>
      <c r="HR48" s="205"/>
      <c r="HS48" s="205">
        <f t="shared" si="154"/>
        <v>0</v>
      </c>
      <c r="HT48" s="120"/>
      <c r="HU48" s="120"/>
      <c r="HV48" s="120"/>
      <c r="HW48" s="120"/>
      <c r="HX48" s="120"/>
      <c r="HY48" s="205"/>
      <c r="HZ48" s="205"/>
      <c r="IA48" s="205">
        <f t="shared" si="155"/>
        <v>0</v>
      </c>
      <c r="IB48" s="120"/>
      <c r="IC48" s="120"/>
      <c r="ID48" s="120"/>
      <c r="IE48" s="120"/>
      <c r="IF48" s="120"/>
      <c r="IG48" s="205"/>
      <c r="IH48" s="205"/>
      <c r="II48" s="205">
        <f t="shared" si="156"/>
        <v>0</v>
      </c>
      <c r="IJ48" s="120"/>
      <c r="IK48" s="120"/>
      <c r="IL48" s="120"/>
      <c r="IM48" s="120"/>
      <c r="IN48" s="120"/>
      <c r="IO48" s="205"/>
      <c r="IP48" s="205"/>
      <c r="IQ48" s="205">
        <f t="shared" si="157"/>
        <v>0</v>
      </c>
      <c r="IR48" s="205">
        <f t="shared" si="158"/>
        <v>0</v>
      </c>
      <c r="IS48" s="120"/>
      <c r="IT48" s="120"/>
      <c r="IU48" s="217">
        <v>7500</v>
      </c>
      <c r="IV48" s="120"/>
      <c r="IW48" s="120"/>
      <c r="IX48" s="205"/>
      <c r="IY48" s="205"/>
      <c r="IZ48" s="205">
        <f t="shared" si="159"/>
        <v>7500</v>
      </c>
      <c r="JA48" s="120"/>
      <c r="JB48" s="120"/>
      <c r="JC48" s="120"/>
      <c r="JD48" s="120"/>
      <c r="JE48" s="120"/>
      <c r="JF48" s="205"/>
      <c r="JG48" s="205"/>
      <c r="JH48" s="205">
        <f t="shared" si="160"/>
        <v>0</v>
      </c>
      <c r="JI48" s="120"/>
      <c r="JJ48" s="120"/>
      <c r="JK48" s="120"/>
      <c r="JL48" s="120"/>
      <c r="JM48" s="120"/>
      <c r="JN48" s="205"/>
      <c r="JO48" s="205"/>
      <c r="JP48" s="205">
        <f t="shared" si="161"/>
        <v>0</v>
      </c>
      <c r="JQ48" s="120"/>
      <c r="JR48" s="120"/>
      <c r="JS48" s="120"/>
      <c r="JT48" s="120"/>
      <c r="JU48" s="120"/>
      <c r="JV48" s="205"/>
      <c r="JW48" s="205"/>
      <c r="JX48" s="205">
        <f t="shared" si="162"/>
        <v>0</v>
      </c>
      <c r="JY48" s="205">
        <f t="shared" si="163"/>
        <v>7500</v>
      </c>
      <c r="JZ48" s="250">
        <v>2000</v>
      </c>
      <c r="KA48" s="120"/>
      <c r="KB48" s="120"/>
      <c r="KC48" s="120"/>
      <c r="KD48" s="120"/>
      <c r="KE48" s="205"/>
      <c r="KF48" s="205"/>
      <c r="KG48" s="205">
        <f t="shared" si="164"/>
        <v>2000</v>
      </c>
      <c r="KH48" s="120"/>
      <c r="KI48" s="120"/>
      <c r="KJ48" s="120"/>
      <c r="KK48" s="120"/>
      <c r="KL48" s="120"/>
      <c r="KM48" s="205"/>
      <c r="KN48" s="205"/>
      <c r="KO48" s="205">
        <f t="shared" si="165"/>
        <v>0</v>
      </c>
      <c r="KP48" s="120"/>
      <c r="KQ48" s="201">
        <v>4000</v>
      </c>
      <c r="KR48" s="120"/>
      <c r="KS48" s="120"/>
      <c r="KT48" s="120"/>
      <c r="KU48" s="205"/>
      <c r="KV48" s="205"/>
      <c r="KW48" s="205">
        <f t="shared" si="166"/>
        <v>4000</v>
      </c>
      <c r="KX48" s="120"/>
      <c r="KY48" s="120"/>
      <c r="KZ48" s="120"/>
      <c r="LA48" s="120"/>
      <c r="LB48" s="120"/>
      <c r="LC48" s="205"/>
      <c r="LD48" s="205"/>
      <c r="LE48" s="205">
        <f t="shared" si="167"/>
        <v>0</v>
      </c>
      <c r="LF48" s="205"/>
      <c r="LG48" s="120"/>
      <c r="LH48" s="195">
        <v>3000</v>
      </c>
      <c r="LI48" s="120"/>
      <c r="LJ48" s="120"/>
      <c r="LK48" s="205"/>
      <c r="LL48" s="205"/>
      <c r="LM48" s="205">
        <f t="shared" si="168"/>
        <v>3000</v>
      </c>
      <c r="LN48" s="205">
        <f t="shared" si="169"/>
        <v>6000</v>
      </c>
      <c r="LO48" s="205"/>
      <c r="LP48" s="217">
        <v>3000</v>
      </c>
      <c r="LQ48" s="120"/>
      <c r="LR48" s="120"/>
      <c r="LS48" s="205"/>
      <c r="LT48" s="205"/>
      <c r="LU48" s="205"/>
      <c r="LV48" s="205">
        <f t="shared" si="170"/>
        <v>3000</v>
      </c>
      <c r="LW48" s="195">
        <v>4000</v>
      </c>
      <c r="LX48" s="120"/>
      <c r="LY48" s="120"/>
      <c r="LZ48" s="120"/>
      <c r="MA48" s="120"/>
      <c r="MB48" s="205"/>
      <c r="MC48" s="205"/>
      <c r="MD48" s="205">
        <f t="shared" si="171"/>
        <v>4000</v>
      </c>
      <c r="ME48" s="120"/>
      <c r="MF48" s="120"/>
      <c r="MG48" s="120"/>
      <c r="MH48" s="120"/>
      <c r="MI48" s="205"/>
      <c r="MJ48" s="205"/>
      <c r="MK48" s="205"/>
      <c r="ML48" s="205">
        <f t="shared" si="172"/>
        <v>0</v>
      </c>
      <c r="MM48" s="120"/>
      <c r="MN48" s="120"/>
      <c r="MO48" s="120"/>
      <c r="MP48" s="120"/>
      <c r="MQ48" s="120"/>
      <c r="MR48" s="205"/>
      <c r="MS48" s="205"/>
      <c r="MT48" s="205">
        <f t="shared" si="173"/>
        <v>0</v>
      </c>
      <c r="MU48" s="205">
        <f t="shared" si="174"/>
        <v>10000</v>
      </c>
      <c r="MV48" s="120"/>
      <c r="MW48" s="124">
        <v>5000</v>
      </c>
      <c r="MX48" s="120"/>
      <c r="MY48" s="120"/>
      <c r="MZ48" s="120"/>
      <c r="NA48" s="205"/>
      <c r="NB48" s="205"/>
      <c r="NC48" s="205">
        <f t="shared" si="175"/>
        <v>5000</v>
      </c>
      <c r="ND48" s="120"/>
      <c r="NE48" s="120"/>
      <c r="NF48" s="120"/>
      <c r="NG48" s="120"/>
      <c r="NH48" s="120"/>
      <c r="NI48" s="205"/>
      <c r="NJ48" s="205"/>
      <c r="NK48" s="205">
        <f t="shared" si="176"/>
        <v>0</v>
      </c>
      <c r="NL48" s="120"/>
      <c r="NM48" s="120"/>
      <c r="NN48" s="120"/>
      <c r="NO48" s="120"/>
      <c r="NP48" s="120"/>
      <c r="NQ48" s="205"/>
      <c r="NR48" s="205"/>
      <c r="NS48" s="205">
        <f t="shared" si="177"/>
        <v>0</v>
      </c>
      <c r="NT48" s="120"/>
      <c r="NU48" s="120"/>
      <c r="NV48" s="120"/>
      <c r="NW48" s="120"/>
      <c r="NX48" s="120"/>
      <c r="NY48" s="205"/>
      <c r="NZ48" s="205"/>
      <c r="OA48" s="205">
        <f t="shared" si="178"/>
        <v>0</v>
      </c>
      <c r="OB48" s="205">
        <f t="shared" si="179"/>
        <v>5000</v>
      </c>
      <c r="OC48" s="120"/>
      <c r="OD48" s="120"/>
      <c r="OE48" s="120"/>
      <c r="OF48" s="120"/>
      <c r="OG48" s="120"/>
      <c r="OH48" s="205"/>
      <c r="OI48" s="205"/>
      <c r="OJ48" s="205">
        <f t="shared" si="180"/>
        <v>0</v>
      </c>
      <c r="OK48" s="120"/>
      <c r="OL48" s="120"/>
      <c r="OM48" s="195">
        <v>5000</v>
      </c>
      <c r="ON48" s="120"/>
      <c r="OO48" s="120"/>
      <c r="OP48" s="205"/>
      <c r="OQ48" s="205"/>
      <c r="OR48" s="205">
        <f t="shared" si="181"/>
        <v>5000</v>
      </c>
      <c r="OS48" s="120"/>
      <c r="OT48" s="120"/>
      <c r="OU48" s="120"/>
      <c r="OV48" s="120"/>
      <c r="OW48" s="120"/>
      <c r="OX48" s="205"/>
      <c r="OY48" s="205"/>
      <c r="OZ48" s="205">
        <f t="shared" si="182"/>
        <v>0</v>
      </c>
      <c r="PA48" s="120"/>
      <c r="PB48" s="120"/>
      <c r="PC48" s="120"/>
      <c r="PD48" s="205"/>
      <c r="PE48" s="217"/>
      <c r="PF48" s="205"/>
      <c r="PG48" s="205"/>
      <c r="PH48" s="205">
        <f t="shared" si="183"/>
        <v>0</v>
      </c>
      <c r="PI48" s="120"/>
      <c r="PJ48" s="120"/>
      <c r="PK48" s="120"/>
      <c r="PL48" s="205"/>
      <c r="PM48" s="217"/>
      <c r="PN48" s="205"/>
      <c r="PO48" s="205"/>
      <c r="PP48" s="205">
        <f t="shared" si="184"/>
        <v>0</v>
      </c>
      <c r="PQ48" s="205">
        <f t="shared" si="185"/>
        <v>5000</v>
      </c>
      <c r="PR48" s="120"/>
      <c r="PS48" s="207"/>
      <c r="PT48" s="207"/>
      <c r="PU48" s="207"/>
      <c r="PV48" s="207"/>
      <c r="PW48" s="272"/>
      <c r="PX48" s="272"/>
      <c r="PY48" s="205">
        <f t="shared" si="186"/>
        <v>0</v>
      </c>
      <c r="PZ48" s="207"/>
      <c r="QA48" s="207"/>
      <c r="QB48" s="207"/>
      <c r="QC48" s="207"/>
      <c r="QD48" s="207"/>
      <c r="QE48" s="272"/>
      <c r="QF48" s="272"/>
      <c r="QG48" s="205">
        <f t="shared" si="187"/>
        <v>0</v>
      </c>
      <c r="QH48" s="207"/>
      <c r="QI48" s="207"/>
      <c r="QJ48" s="294"/>
      <c r="QK48" s="201">
        <v>2000</v>
      </c>
      <c r="QL48" s="207"/>
      <c r="QM48" s="272"/>
      <c r="QN48" s="272"/>
      <c r="QO48" s="205">
        <f t="shared" si="188"/>
        <v>2000</v>
      </c>
      <c r="QP48" s="120"/>
      <c r="QQ48" s="207"/>
      <c r="QR48" s="217">
        <v>6000</v>
      </c>
      <c r="QS48" s="217">
        <v>4000</v>
      </c>
      <c r="QT48" s="120"/>
      <c r="QU48" s="272"/>
      <c r="QV48" s="272"/>
      <c r="QW48" s="205">
        <f t="shared" si="320"/>
        <v>10000</v>
      </c>
      <c r="QX48" s="205">
        <f t="shared" si="190"/>
        <v>12000</v>
      </c>
      <c r="QY48" s="207"/>
      <c r="QZ48" s="207"/>
      <c r="RA48" s="207"/>
      <c r="RB48" s="207"/>
      <c r="RC48" s="207"/>
      <c r="RD48" s="272"/>
      <c r="RE48" s="272"/>
      <c r="RF48" s="205">
        <f t="shared" si="191"/>
        <v>0</v>
      </c>
      <c r="RG48" s="201">
        <v>7000</v>
      </c>
      <c r="RH48" s="120"/>
      <c r="RI48" s="120"/>
      <c r="RJ48" s="120"/>
      <c r="RK48" s="120"/>
      <c r="RL48" s="272"/>
      <c r="RM48" s="272"/>
      <c r="RN48" s="205">
        <f t="shared" si="192"/>
        <v>7000</v>
      </c>
      <c r="RO48" s="272"/>
      <c r="RP48" s="272"/>
      <c r="RQ48" s="272"/>
      <c r="RR48" s="272"/>
      <c r="RS48" s="272"/>
      <c r="RT48" s="272"/>
      <c r="RU48" s="272"/>
      <c r="RV48" s="205">
        <f t="shared" si="193"/>
        <v>0</v>
      </c>
      <c r="RW48" s="120"/>
      <c r="RX48" s="207"/>
      <c r="RY48" s="207"/>
      <c r="RZ48" s="120"/>
      <c r="SA48" s="272"/>
      <c r="SB48" s="272"/>
      <c r="SC48" s="272"/>
      <c r="SD48" s="205">
        <f t="shared" si="194"/>
        <v>0</v>
      </c>
      <c r="SE48" s="205">
        <f t="shared" si="195"/>
        <v>7000</v>
      </c>
      <c r="SF48" s="207"/>
      <c r="SG48" s="207"/>
      <c r="SH48" s="207"/>
      <c r="SI48" s="207"/>
      <c r="SJ48" s="207"/>
      <c r="SK48" s="272"/>
      <c r="SL48" s="272"/>
      <c r="SM48" s="205">
        <f t="shared" si="196"/>
        <v>0</v>
      </c>
      <c r="SN48" s="207"/>
      <c r="SO48" s="120"/>
      <c r="SP48" s="207"/>
      <c r="SQ48" s="207"/>
      <c r="SR48" s="207"/>
      <c r="SS48" s="272"/>
      <c r="ST48" s="272"/>
      <c r="SU48" s="205">
        <f t="shared" si="197"/>
        <v>0</v>
      </c>
      <c r="SV48" s="207"/>
      <c r="SW48" s="207"/>
      <c r="SX48" s="207"/>
      <c r="SY48" s="207"/>
      <c r="SZ48" s="207"/>
      <c r="TA48" s="272"/>
      <c r="TB48" s="272"/>
      <c r="TC48" s="205">
        <f t="shared" si="198"/>
        <v>0</v>
      </c>
      <c r="TD48" s="207"/>
      <c r="TE48" s="124">
        <v>5000</v>
      </c>
      <c r="TF48" s="207"/>
      <c r="TG48" s="207"/>
      <c r="TH48" s="207"/>
      <c r="TI48" s="272"/>
      <c r="TJ48" s="272"/>
      <c r="TK48" s="205">
        <f t="shared" si="199"/>
        <v>5000</v>
      </c>
      <c r="TL48" s="207"/>
      <c r="TM48" s="207"/>
      <c r="TN48" s="207"/>
      <c r="TO48" s="207"/>
      <c r="TP48" s="272"/>
      <c r="TQ48" s="272"/>
      <c r="TR48" s="272"/>
      <c r="TS48" s="205">
        <f t="shared" si="200"/>
        <v>0</v>
      </c>
      <c r="TT48" s="205">
        <f t="shared" si="201"/>
        <v>5000</v>
      </c>
      <c r="TU48" s="272"/>
      <c r="TV48" s="207"/>
      <c r="TW48" s="207"/>
      <c r="TX48" s="120"/>
      <c r="TZ48" s="272"/>
      <c r="UA48" s="272"/>
      <c r="UB48" s="205">
        <f t="shared" si="202"/>
        <v>0</v>
      </c>
      <c r="UC48" s="217">
        <v>6000</v>
      </c>
      <c r="UD48" s="120"/>
      <c r="UE48" s="207"/>
      <c r="UF48" s="207"/>
      <c r="UG48" s="207"/>
      <c r="UH48" s="272"/>
      <c r="UI48" s="272"/>
      <c r="UJ48" s="205">
        <f t="shared" si="240"/>
        <v>6000</v>
      </c>
      <c r="UK48" s="207"/>
      <c r="UL48" s="207"/>
      <c r="UM48" s="207"/>
      <c r="UN48" s="207"/>
      <c r="UO48" s="120"/>
      <c r="UP48" s="272"/>
      <c r="UQ48" s="272"/>
      <c r="UR48" s="205">
        <f t="shared" si="227"/>
        <v>0</v>
      </c>
      <c r="US48" s="207"/>
      <c r="UT48" s="207"/>
      <c r="UU48" s="207"/>
      <c r="UV48" s="207"/>
      <c r="UW48" s="272"/>
      <c r="UX48" s="272"/>
      <c r="UY48" s="272"/>
      <c r="UZ48" s="205">
        <f t="shared" si="204"/>
        <v>0</v>
      </c>
      <c r="VA48" s="205">
        <f t="shared" si="205"/>
        <v>6000</v>
      </c>
      <c r="VB48" s="207"/>
      <c r="VC48" s="207"/>
      <c r="VD48" s="207"/>
      <c r="VE48" s="201">
        <v>2000</v>
      </c>
      <c r="VF48" s="207"/>
      <c r="VG48" s="272"/>
      <c r="VH48" s="272"/>
      <c r="VI48" s="205">
        <f t="shared" si="206"/>
        <v>2000</v>
      </c>
      <c r="VJ48" s="207"/>
      <c r="VK48" s="207"/>
      <c r="VL48" s="201">
        <v>8000</v>
      </c>
      <c r="VM48" s="207"/>
      <c r="VN48" s="207"/>
      <c r="VO48" s="272"/>
      <c r="VP48" s="272"/>
      <c r="VQ48" s="205">
        <f t="shared" si="321"/>
        <v>8000</v>
      </c>
      <c r="VR48" s="207"/>
      <c r="VS48" s="207"/>
      <c r="VT48" s="207"/>
      <c r="VU48" s="124">
        <v>9000</v>
      </c>
      <c r="VV48" s="207"/>
      <c r="VW48" s="272"/>
      <c r="VX48" s="272"/>
      <c r="VY48" s="205">
        <f t="shared" si="208"/>
        <v>9000</v>
      </c>
      <c r="VZ48" s="207"/>
      <c r="WA48" s="207"/>
      <c r="WB48" s="207"/>
      <c r="WC48" s="207"/>
      <c r="WD48" s="207"/>
      <c r="WE48" s="272"/>
      <c r="WF48" s="272"/>
      <c r="WG48" s="205">
        <f>SUM(WA48:WF48)</f>
        <v>0</v>
      </c>
      <c r="WH48" s="205">
        <f t="shared" si="210"/>
        <v>19000</v>
      </c>
      <c r="WI48" s="207"/>
      <c r="WJ48" s="207"/>
      <c r="WK48" s="207"/>
      <c r="WL48" s="207"/>
      <c r="WM48" s="207"/>
      <c r="WN48" s="272"/>
      <c r="WO48" s="272"/>
      <c r="WP48" s="205">
        <f t="shared" si="211"/>
        <v>0</v>
      </c>
      <c r="WQ48" s="207"/>
      <c r="WR48" s="207"/>
      <c r="WS48" s="207"/>
      <c r="WT48" s="207"/>
      <c r="WU48" s="207"/>
      <c r="WV48" s="272"/>
      <c r="WW48" s="272"/>
      <c r="WX48" s="205">
        <f t="shared" si="212"/>
        <v>0</v>
      </c>
      <c r="WY48" s="207"/>
      <c r="WZ48" s="207"/>
      <c r="XA48" s="207"/>
      <c r="XB48" s="207"/>
      <c r="XC48" s="272"/>
      <c r="XD48" s="272"/>
      <c r="XE48" s="272"/>
      <c r="XF48" s="205">
        <f t="shared" si="213"/>
        <v>0</v>
      </c>
      <c r="XG48" s="207"/>
      <c r="XH48" s="207"/>
      <c r="XI48" s="124">
        <v>1800</v>
      </c>
      <c r="XJ48" s="207"/>
      <c r="XK48" s="207"/>
      <c r="XL48" s="272"/>
      <c r="XM48" s="272"/>
      <c r="XN48" s="205">
        <f t="shared" si="214"/>
        <v>1800</v>
      </c>
      <c r="XO48" s="207"/>
      <c r="XP48" s="207"/>
      <c r="XQ48" s="207"/>
      <c r="XR48" s="207"/>
      <c r="XS48" s="207"/>
      <c r="XT48" s="272"/>
      <c r="XU48" s="272"/>
      <c r="XV48" s="205">
        <f t="shared" si="215"/>
        <v>0</v>
      </c>
      <c r="XW48" s="205">
        <f t="shared" si="216"/>
        <v>1800</v>
      </c>
      <c r="XX48" s="207"/>
      <c r="XY48" s="207"/>
      <c r="XZ48" s="207"/>
      <c r="YA48" s="207"/>
      <c r="YB48" s="207"/>
      <c r="YC48" s="272"/>
      <c r="YD48" s="272"/>
      <c r="YE48" s="205">
        <f t="shared" si="217"/>
        <v>0</v>
      </c>
      <c r="YF48" s="120"/>
      <c r="YG48" s="207"/>
      <c r="YH48" s="124">
        <v>9000</v>
      </c>
      <c r="YI48" s="207"/>
      <c r="YJ48" s="207"/>
      <c r="YK48" s="272"/>
      <c r="YL48" s="272"/>
      <c r="YM48" s="205">
        <f t="shared" si="218"/>
        <v>9000</v>
      </c>
      <c r="YN48" s="124">
        <v>4800</v>
      </c>
      <c r="YO48" s="207"/>
      <c r="YP48" s="207"/>
      <c r="YQ48" s="207"/>
      <c r="YR48" s="207"/>
      <c r="YS48" s="272"/>
      <c r="YT48" s="272"/>
      <c r="YU48" s="205">
        <f t="shared" si="148"/>
        <v>4800</v>
      </c>
      <c r="YV48" s="207"/>
      <c r="YW48" s="207"/>
      <c r="YX48" s="207"/>
      <c r="YY48" s="207"/>
      <c r="YZ48" s="207"/>
      <c r="ZA48" s="272"/>
      <c r="ZB48" s="272"/>
      <c r="ZC48" s="205">
        <f t="shared" si="219"/>
        <v>0</v>
      </c>
      <c r="ZD48" s="205">
        <f t="shared" si="149"/>
        <v>13800</v>
      </c>
      <c r="ZE48" s="207"/>
      <c r="ZF48" s="207"/>
      <c r="ZG48" s="207"/>
      <c r="ZH48" s="207"/>
      <c r="ZI48" s="207"/>
      <c r="ZJ48" s="272"/>
      <c r="ZK48" s="272"/>
      <c r="ZL48" s="205">
        <f t="shared" si="220"/>
        <v>0</v>
      </c>
      <c r="ZM48" s="207"/>
      <c r="ZN48" s="207"/>
      <c r="ZO48" s="207"/>
      <c r="ZP48" s="207"/>
      <c r="ZQ48" s="207"/>
      <c r="ZR48" s="272"/>
      <c r="ZS48" s="272"/>
      <c r="ZT48" s="205">
        <f t="shared" si="221"/>
        <v>0</v>
      </c>
      <c r="ZU48" s="207"/>
      <c r="ZV48" s="207"/>
      <c r="ZW48" s="207"/>
      <c r="ZX48" s="207"/>
      <c r="ZY48" s="207"/>
      <c r="ZZ48" s="272"/>
      <c r="AAA48" s="272"/>
      <c r="AAB48" s="205">
        <f t="shared" si="222"/>
        <v>0</v>
      </c>
      <c r="AAC48" s="207"/>
      <c r="AAD48" s="207"/>
      <c r="AAE48" s="207"/>
      <c r="AAF48" s="207"/>
      <c r="AAG48" s="207"/>
      <c r="AAH48" s="272"/>
      <c r="AAI48" s="272"/>
      <c r="AAJ48" s="205">
        <f t="shared" si="223"/>
        <v>0</v>
      </c>
      <c r="AAK48" s="207"/>
      <c r="AAL48" s="207"/>
      <c r="AAM48" s="207"/>
      <c r="AAN48" s="207"/>
      <c r="AAO48" s="207"/>
      <c r="AAP48" s="272"/>
      <c r="AAQ48" s="272"/>
      <c r="AAR48" s="205">
        <f t="shared" si="224"/>
        <v>0</v>
      </c>
      <c r="AAS48" s="205">
        <f t="shared" si="225"/>
        <v>0</v>
      </c>
    </row>
    <row r="49" spans="1:721" s="117" customFormat="1" ht="68.099999999999994" customHeight="1">
      <c r="A49" s="165"/>
      <c r="B49" s="162">
        <v>3630101204</v>
      </c>
      <c r="C49" s="331"/>
      <c r="D49" s="163" t="s">
        <v>45</v>
      </c>
      <c r="E49" s="130" t="s">
        <v>4</v>
      </c>
      <c r="F49" s="120"/>
      <c r="H49" s="120"/>
      <c r="I49" s="124">
        <v>5000</v>
      </c>
      <c r="J49" s="124">
        <v>6000</v>
      </c>
      <c r="K49" s="209"/>
      <c r="L49" s="205"/>
      <c r="M49" s="205">
        <f t="shared" si="303"/>
        <v>11000</v>
      </c>
      <c r="N49" s="120"/>
      <c r="O49" s="120"/>
      <c r="P49" s="120"/>
      <c r="Q49" s="124">
        <v>9000</v>
      </c>
      <c r="R49" s="124">
        <v>8000</v>
      </c>
      <c r="S49" s="209"/>
      <c r="T49" s="205"/>
      <c r="U49" s="205">
        <f t="shared" si="304"/>
        <v>17000</v>
      </c>
      <c r="V49" s="201">
        <v>10000</v>
      </c>
      <c r="W49" s="120"/>
      <c r="X49" s="120"/>
      <c r="Y49" s="201">
        <v>8000</v>
      </c>
      <c r="Z49" s="120"/>
      <c r="AA49" s="209"/>
      <c r="AB49" s="205"/>
      <c r="AC49" s="205">
        <f t="shared" si="305"/>
        <v>18000</v>
      </c>
      <c r="AD49" s="205"/>
      <c r="AE49" s="205"/>
      <c r="AF49" s="205"/>
      <c r="AG49" s="205"/>
      <c r="AH49" s="205"/>
      <c r="AI49" s="209"/>
      <c r="AJ49" s="205"/>
      <c r="AK49" s="205">
        <f t="shared" si="306"/>
        <v>0</v>
      </c>
      <c r="AL49" s="205" t="e">
        <f>SUM(#REF!,M49,U49,AC49,AD49:AH49)</f>
        <v>#REF!</v>
      </c>
      <c r="AM49" s="120"/>
      <c r="AN49" s="120"/>
      <c r="AO49" s="124">
        <v>8000</v>
      </c>
      <c r="AP49" s="120"/>
      <c r="AQ49" s="120"/>
      <c r="AR49" s="209"/>
      <c r="AS49" s="205"/>
      <c r="AT49" s="205">
        <f t="shared" si="245"/>
        <v>8000</v>
      </c>
      <c r="AU49" s="201">
        <v>4000</v>
      </c>
      <c r="AV49" s="201">
        <v>6000</v>
      </c>
      <c r="AW49" s="120"/>
      <c r="AX49" s="250">
        <v>6000</v>
      </c>
      <c r="AY49" s="120"/>
      <c r="AZ49" s="209"/>
      <c r="BA49" s="205"/>
      <c r="BB49" s="205">
        <f t="shared" si="246"/>
        <v>16000</v>
      </c>
      <c r="BC49" s="120"/>
      <c r="BD49" s="120"/>
      <c r="BE49" s="120"/>
      <c r="BF49" s="120"/>
      <c r="BG49" s="120"/>
      <c r="BH49" s="209"/>
      <c r="BI49" s="205"/>
      <c r="BJ49" s="205">
        <f t="shared" si="247"/>
        <v>0</v>
      </c>
      <c r="BK49" s="250">
        <v>7000</v>
      </c>
      <c r="BL49" s="250">
        <v>7000</v>
      </c>
      <c r="BM49" s="120"/>
      <c r="BN49" s="120"/>
      <c r="BO49" s="205"/>
      <c r="BP49" s="209"/>
      <c r="BQ49" s="205"/>
      <c r="BR49" s="205">
        <f t="shared" si="248"/>
        <v>14000</v>
      </c>
      <c r="BS49" s="205">
        <f t="shared" si="129"/>
        <v>38000</v>
      </c>
      <c r="BT49" s="120"/>
      <c r="BU49" s="120"/>
      <c r="BV49" s="120"/>
      <c r="BW49" s="217">
        <v>2000</v>
      </c>
      <c r="BX49" s="120"/>
      <c r="BY49" s="209"/>
      <c r="BZ49" s="205"/>
      <c r="CA49" s="205">
        <f t="shared" si="250"/>
        <v>2000</v>
      </c>
      <c r="CB49" s="120"/>
      <c r="CC49" s="120"/>
      <c r="CD49" s="120"/>
      <c r="CE49" s="201">
        <v>6000</v>
      </c>
      <c r="CF49" s="201">
        <v>8000</v>
      </c>
      <c r="CG49" s="209"/>
      <c r="CH49" s="205"/>
      <c r="CI49" s="205">
        <f t="shared" si="251"/>
        <v>14000</v>
      </c>
      <c r="CJ49" s="120"/>
      <c r="CK49" s="120"/>
      <c r="CL49" s="120"/>
      <c r="CM49" s="120"/>
      <c r="CN49" s="120"/>
      <c r="CO49" s="209"/>
      <c r="CP49" s="205"/>
      <c r="CQ49" s="205">
        <f t="shared" si="252"/>
        <v>0</v>
      </c>
      <c r="CR49" s="120"/>
      <c r="CS49" s="120"/>
      <c r="CT49" s="120"/>
      <c r="CU49" s="217">
        <v>5000</v>
      </c>
      <c r="CV49" s="120"/>
      <c r="CW49" s="209"/>
      <c r="CX49" s="205"/>
      <c r="CY49" s="205">
        <f t="shared" si="253"/>
        <v>5000</v>
      </c>
      <c r="CZ49" s="217">
        <v>8000</v>
      </c>
      <c r="DA49" s="120"/>
      <c r="DB49" s="120"/>
      <c r="DC49" s="205"/>
      <c r="DD49" s="205"/>
      <c r="DE49" s="209"/>
      <c r="DF49" s="205"/>
      <c r="DG49" s="205">
        <f t="shared" si="254"/>
        <v>8000</v>
      </c>
      <c r="DH49" s="205">
        <f t="shared" si="150"/>
        <v>29000</v>
      </c>
      <c r="DI49" s="250">
        <v>9000</v>
      </c>
      <c r="DJ49" s="250">
        <v>10000</v>
      </c>
      <c r="DK49" s="120"/>
      <c r="DL49" s="120"/>
      <c r="DM49" s="120"/>
      <c r="DN49" s="209"/>
      <c r="DO49" s="205"/>
      <c r="DP49" s="205">
        <f t="shared" si="228"/>
        <v>19000</v>
      </c>
      <c r="DQ49" s="120"/>
      <c r="DR49" s="250">
        <v>8000</v>
      </c>
      <c r="DS49" s="250">
        <v>8000</v>
      </c>
      <c r="DT49" s="120"/>
      <c r="DU49" s="120"/>
      <c r="DV49" s="209"/>
      <c r="DW49" s="205"/>
      <c r="DX49" s="205">
        <f t="shared" si="136"/>
        <v>16000</v>
      </c>
      <c r="DY49" s="120"/>
      <c r="DZ49" s="120"/>
      <c r="EA49" s="120"/>
      <c r="EB49" s="250">
        <v>9000</v>
      </c>
      <c r="EC49" s="250">
        <v>8000</v>
      </c>
      <c r="ED49" s="209"/>
      <c r="EE49" s="205"/>
      <c r="EF49" s="205">
        <f t="shared" si="137"/>
        <v>17000</v>
      </c>
      <c r="EG49" s="217">
        <v>8000</v>
      </c>
      <c r="EH49" s="120"/>
      <c r="EI49" s="120"/>
      <c r="EJ49" s="205"/>
      <c r="EK49" s="205"/>
      <c r="EL49" s="209"/>
      <c r="EM49" s="205"/>
      <c r="EN49" s="205">
        <f t="shared" si="138"/>
        <v>8000</v>
      </c>
      <c r="EO49" s="205">
        <f t="shared" si="151"/>
        <v>60000</v>
      </c>
      <c r="EP49" s="120"/>
      <c r="EQ49" s="120"/>
      <c r="ER49" s="120"/>
      <c r="ES49" s="120"/>
      <c r="ET49" s="120"/>
      <c r="EU49" s="209"/>
      <c r="EV49" s="205"/>
      <c r="EW49" s="205">
        <f t="shared" si="139"/>
        <v>0</v>
      </c>
      <c r="EX49" s="120"/>
      <c r="EY49" s="120"/>
      <c r="EZ49" s="201">
        <v>10000</v>
      </c>
      <c r="FA49" s="120"/>
      <c r="FB49" s="120"/>
      <c r="FC49" s="209"/>
      <c r="FD49" s="205"/>
      <c r="FE49" s="205">
        <f t="shared" si="140"/>
        <v>10000</v>
      </c>
      <c r="FF49" s="120"/>
      <c r="FG49" s="195">
        <v>8000</v>
      </c>
      <c r="FH49" s="120"/>
      <c r="FI49" s="120"/>
      <c r="FJ49" s="120"/>
      <c r="FK49" s="217">
        <v>8000</v>
      </c>
      <c r="FL49" s="205"/>
      <c r="FM49" s="205">
        <f t="shared" si="141"/>
        <v>16000</v>
      </c>
      <c r="FN49" s="120"/>
      <c r="FO49" s="250">
        <v>12000</v>
      </c>
      <c r="FP49" s="250">
        <v>6000</v>
      </c>
      <c r="FQ49" s="120"/>
      <c r="FR49" s="205"/>
      <c r="FS49" s="209"/>
      <c r="FT49" s="205"/>
      <c r="FU49" s="205">
        <f t="shared" si="142"/>
        <v>18000</v>
      </c>
      <c r="FV49" s="205">
        <f t="shared" si="152"/>
        <v>44000</v>
      </c>
      <c r="FW49" s="123">
        <v>8000</v>
      </c>
      <c r="FX49" s="250">
        <v>8000</v>
      </c>
      <c r="FY49" s="120"/>
      <c r="FZ49" s="120"/>
      <c r="GA49" s="120"/>
      <c r="GB49" s="209"/>
      <c r="GC49" s="205"/>
      <c r="GD49" s="205">
        <f t="shared" si="143"/>
        <v>16000</v>
      </c>
      <c r="GE49" s="120"/>
      <c r="GF49" s="120" t="s">
        <v>216</v>
      </c>
      <c r="GG49" s="120"/>
      <c r="GH49" s="120"/>
      <c r="GI49" s="120"/>
      <c r="GJ49" s="209"/>
      <c r="GK49" s="205"/>
      <c r="GL49" s="205">
        <f t="shared" si="144"/>
        <v>0</v>
      </c>
      <c r="GM49" s="120"/>
      <c r="GN49" s="120"/>
      <c r="GO49" s="120"/>
      <c r="GP49" s="250">
        <v>10000</v>
      </c>
      <c r="GQ49" s="120"/>
      <c r="GR49" s="209"/>
      <c r="GS49" s="205"/>
      <c r="GT49" s="205">
        <f t="shared" si="145"/>
        <v>10000</v>
      </c>
      <c r="GU49" s="120"/>
      <c r="GV49" s="124">
        <v>10000</v>
      </c>
      <c r="GW49" s="120"/>
      <c r="GX49" s="120"/>
      <c r="GY49" s="120"/>
      <c r="GZ49" s="209"/>
      <c r="HA49" s="205"/>
      <c r="HB49" s="205">
        <f t="shared" si="146"/>
        <v>10000</v>
      </c>
      <c r="HC49" s="250">
        <v>6000</v>
      </c>
      <c r="HD49" s="250">
        <v>8000</v>
      </c>
      <c r="HE49" s="250">
        <v>7000</v>
      </c>
      <c r="HF49" s="120"/>
      <c r="HG49" s="120"/>
      <c r="HH49" s="209"/>
      <c r="HI49" s="205"/>
      <c r="HJ49" s="205">
        <f t="shared" si="147"/>
        <v>21000</v>
      </c>
      <c r="HK49" s="205">
        <f t="shared" si="153"/>
        <v>42000</v>
      </c>
      <c r="HL49" s="124"/>
      <c r="HM49" s="120"/>
      <c r="HN49" s="120"/>
      <c r="HO49" s="120"/>
      <c r="HP49" s="250">
        <v>4000</v>
      </c>
      <c r="HQ49" s="205"/>
      <c r="HR49" s="205"/>
      <c r="HS49" s="205">
        <f t="shared" si="154"/>
        <v>4000</v>
      </c>
      <c r="HT49" s="195">
        <v>8000</v>
      </c>
      <c r="HU49" s="120"/>
      <c r="HV49" s="120"/>
      <c r="HW49" s="195">
        <v>10000</v>
      </c>
      <c r="HX49" s="120"/>
      <c r="HY49" s="205"/>
      <c r="HZ49" s="205"/>
      <c r="IA49" s="205">
        <f t="shared" si="155"/>
        <v>18000</v>
      </c>
      <c r="IB49" s="120"/>
      <c r="IC49" s="120"/>
      <c r="ID49" s="120"/>
      <c r="IE49" s="120"/>
      <c r="IF49" s="120"/>
      <c r="IG49" s="205"/>
      <c r="IH49" s="205"/>
      <c r="II49" s="205">
        <f t="shared" si="156"/>
        <v>0</v>
      </c>
      <c r="IJ49" s="201">
        <v>7000</v>
      </c>
      <c r="IK49" s="201">
        <v>10000</v>
      </c>
      <c r="IL49" s="120"/>
      <c r="IM49" s="120"/>
      <c r="IN49" s="120"/>
      <c r="IO49" s="205"/>
      <c r="IP49" s="205"/>
      <c r="IQ49" s="205">
        <f t="shared" si="157"/>
        <v>17000</v>
      </c>
      <c r="IR49" s="205">
        <f>SUM(IJ49:IM49,II49,IA49,HS49,HD49:HG49,HH49:HI49)</f>
        <v>54000</v>
      </c>
      <c r="IS49" s="120"/>
      <c r="IT49" s="217">
        <v>3000</v>
      </c>
      <c r="IU49" s="120"/>
      <c r="IV49" s="217">
        <v>1000</v>
      </c>
      <c r="IW49" s="217">
        <v>7000</v>
      </c>
      <c r="IX49" s="205"/>
      <c r="IY49" s="205"/>
      <c r="IZ49" s="205">
        <f t="shared" si="159"/>
        <v>11000</v>
      </c>
      <c r="JA49" s="120"/>
      <c r="JB49" s="217">
        <v>7000</v>
      </c>
      <c r="JC49" s="120"/>
      <c r="JD49" s="120"/>
      <c r="JE49" s="120"/>
      <c r="JF49" s="205"/>
      <c r="JG49" s="205"/>
      <c r="JH49" s="205">
        <f t="shared" si="160"/>
        <v>7000</v>
      </c>
      <c r="JI49" s="120"/>
      <c r="JJ49" s="120"/>
      <c r="JK49" s="195">
        <v>1000</v>
      </c>
      <c r="JL49" s="120"/>
      <c r="JM49" s="195">
        <v>4000</v>
      </c>
      <c r="JN49" s="205"/>
      <c r="JO49" s="205"/>
      <c r="JP49" s="205">
        <f t="shared" si="161"/>
        <v>5000</v>
      </c>
      <c r="JQ49" s="120"/>
      <c r="JR49" s="201">
        <v>11000</v>
      </c>
      <c r="JS49" s="120"/>
      <c r="JT49" s="120"/>
      <c r="JU49" s="120"/>
      <c r="JV49" s="205"/>
      <c r="JW49" s="205"/>
      <c r="JX49" s="205">
        <f t="shared" si="162"/>
        <v>11000</v>
      </c>
      <c r="JY49" s="205">
        <f t="shared" si="163"/>
        <v>34000</v>
      </c>
      <c r="JZ49" s="120"/>
      <c r="KA49" s="250">
        <v>2000</v>
      </c>
      <c r="KB49" s="120"/>
      <c r="KC49" s="217">
        <v>10000</v>
      </c>
      <c r="KD49" s="217">
        <v>8000</v>
      </c>
      <c r="KE49" s="205"/>
      <c r="KF49" s="205"/>
      <c r="KG49" s="205">
        <f t="shared" si="164"/>
        <v>20000</v>
      </c>
      <c r="KH49" s="120"/>
      <c r="KI49" s="120"/>
      <c r="KJ49" s="120"/>
      <c r="KK49" s="120"/>
      <c r="KL49" s="120"/>
      <c r="KM49" s="205"/>
      <c r="KN49" s="205"/>
      <c r="KO49" s="205">
        <f t="shared" si="165"/>
        <v>0</v>
      </c>
      <c r="KP49" s="120"/>
      <c r="KQ49" s="120"/>
      <c r="KR49" s="120"/>
      <c r="KS49" s="124">
        <v>2000</v>
      </c>
      <c r="KT49" s="124">
        <v>5000</v>
      </c>
      <c r="KU49" s="205"/>
      <c r="KV49" s="205"/>
      <c r="KW49" s="205">
        <f t="shared" si="166"/>
        <v>7000</v>
      </c>
      <c r="KX49" s="120"/>
      <c r="KY49" s="120"/>
      <c r="KZ49" s="120"/>
      <c r="LA49" s="195">
        <v>2000</v>
      </c>
      <c r="LB49" s="120"/>
      <c r="LC49" s="205"/>
      <c r="LD49" s="205"/>
      <c r="LE49" s="205">
        <f t="shared" si="167"/>
        <v>2000</v>
      </c>
      <c r="LF49" s="205"/>
      <c r="LG49" s="120"/>
      <c r="LH49" s="120"/>
      <c r="LI49" s="120"/>
      <c r="LJ49" s="250">
        <v>5000</v>
      </c>
      <c r="LK49" s="205"/>
      <c r="LL49" s="205"/>
      <c r="LM49" s="205">
        <f t="shared" si="168"/>
        <v>5000</v>
      </c>
      <c r="LN49" s="205">
        <f t="shared" si="169"/>
        <v>29000</v>
      </c>
      <c r="LO49" s="205"/>
      <c r="LP49" s="120"/>
      <c r="LQ49" s="120"/>
      <c r="LR49" s="120"/>
      <c r="LS49" s="205"/>
      <c r="LT49" s="205"/>
      <c r="LU49" s="205"/>
      <c r="LV49" s="205">
        <f t="shared" si="170"/>
        <v>0</v>
      </c>
      <c r="LW49" s="120"/>
      <c r="LX49" s="124">
        <v>8000</v>
      </c>
      <c r="LY49" s="124">
        <v>260</v>
      </c>
      <c r="LZ49" s="120"/>
      <c r="MA49" s="124">
        <v>6000</v>
      </c>
      <c r="MB49" s="205"/>
      <c r="MC49" s="205"/>
      <c r="MD49" s="205">
        <f t="shared" si="171"/>
        <v>14260</v>
      </c>
      <c r="ME49" s="120"/>
      <c r="MF49" s="120"/>
      <c r="MG49" s="120"/>
      <c r="MH49" s="120"/>
      <c r="MI49" s="205"/>
      <c r="MJ49" s="205"/>
      <c r="MK49" s="205"/>
      <c r="ML49" s="205">
        <f t="shared" si="172"/>
        <v>0</v>
      </c>
      <c r="MM49" s="120"/>
      <c r="MN49" s="120"/>
      <c r="MO49" s="120"/>
      <c r="MP49" s="217">
        <v>1000</v>
      </c>
      <c r="MQ49" s="120"/>
      <c r="MR49" s="217">
        <v>7000</v>
      </c>
      <c r="MS49" s="205"/>
      <c r="MT49" s="205">
        <f t="shared" si="173"/>
        <v>8000</v>
      </c>
      <c r="MU49" s="205">
        <f t="shared" si="174"/>
        <v>20260</v>
      </c>
      <c r="MV49" s="120"/>
      <c r="MW49" s="120"/>
      <c r="MX49" s="124">
        <v>6000</v>
      </c>
      <c r="MY49" s="124">
        <v>5000</v>
      </c>
      <c r="MZ49" s="120"/>
      <c r="NA49" s="205"/>
      <c r="NB49" s="205"/>
      <c r="NC49" s="205">
        <f t="shared" si="175"/>
        <v>11000</v>
      </c>
      <c r="ND49" s="217">
        <v>1000</v>
      </c>
      <c r="NE49" s="217">
        <v>6000</v>
      </c>
      <c r="NF49" s="120"/>
      <c r="NG49" s="217">
        <v>11000</v>
      </c>
      <c r="NH49" s="217">
        <v>8000</v>
      </c>
      <c r="NI49" s="205"/>
      <c r="NJ49" s="205"/>
      <c r="NK49" s="205">
        <f t="shared" si="176"/>
        <v>26000</v>
      </c>
      <c r="NL49" s="120"/>
      <c r="NM49" s="120"/>
      <c r="NN49" s="120"/>
      <c r="NO49" s="120"/>
      <c r="NP49" s="120"/>
      <c r="NQ49" s="205"/>
      <c r="NR49" s="205"/>
      <c r="NS49" s="205">
        <f t="shared" si="177"/>
        <v>0</v>
      </c>
      <c r="NT49" s="120"/>
      <c r="NU49" s="120"/>
      <c r="NV49" s="120"/>
      <c r="NW49" s="195">
        <v>11000</v>
      </c>
      <c r="NX49" s="120"/>
      <c r="NY49" s="205"/>
      <c r="NZ49" s="205"/>
      <c r="OA49" s="205">
        <f t="shared" si="178"/>
        <v>11000</v>
      </c>
      <c r="OB49" s="205">
        <f t="shared" si="179"/>
        <v>55000</v>
      </c>
      <c r="OC49" s="217">
        <v>7940</v>
      </c>
      <c r="OD49" s="201">
        <v>6000</v>
      </c>
      <c r="OE49" s="120"/>
      <c r="OF49" s="201">
        <v>500</v>
      </c>
      <c r="OG49" s="120"/>
      <c r="OH49" s="205"/>
      <c r="OI49" s="205"/>
      <c r="OJ49" s="205">
        <f t="shared" si="180"/>
        <v>14440</v>
      </c>
      <c r="OK49" s="120"/>
      <c r="OL49" s="120"/>
      <c r="OM49" s="120"/>
      <c r="ON49" s="195">
        <v>500</v>
      </c>
      <c r="OO49" s="195">
        <v>8000</v>
      </c>
      <c r="OP49" s="205"/>
      <c r="OQ49" s="205"/>
      <c r="OR49" s="205">
        <f t="shared" si="181"/>
        <v>8500</v>
      </c>
      <c r="OS49" s="120"/>
      <c r="OT49" s="120"/>
      <c r="OU49" s="120"/>
      <c r="OV49" s="123">
        <v>8000</v>
      </c>
      <c r="OW49" s="120"/>
      <c r="OX49" s="205"/>
      <c r="OY49" s="205"/>
      <c r="OZ49" s="205">
        <f t="shared" si="182"/>
        <v>8000</v>
      </c>
      <c r="PA49" s="120"/>
      <c r="PB49" s="120"/>
      <c r="PC49" s="120"/>
      <c r="PD49" s="205"/>
      <c r="PE49" s="217"/>
      <c r="PF49" s="205"/>
      <c r="PG49" s="205"/>
      <c r="PH49" s="205">
        <f t="shared" si="183"/>
        <v>0</v>
      </c>
      <c r="PI49" s="120"/>
      <c r="PJ49" s="120"/>
      <c r="PK49" s="120"/>
      <c r="PL49" s="205"/>
      <c r="PM49" s="217"/>
      <c r="PN49" s="205"/>
      <c r="PO49" s="205"/>
      <c r="PP49" s="205">
        <f t="shared" si="184"/>
        <v>0</v>
      </c>
      <c r="PQ49" s="205">
        <f t="shared" si="185"/>
        <v>30940</v>
      </c>
      <c r="PR49" s="120"/>
      <c r="PS49" s="206">
        <v>10000</v>
      </c>
      <c r="PT49" s="120"/>
      <c r="PU49" s="120"/>
      <c r="PV49" s="120"/>
      <c r="PW49" s="205"/>
      <c r="PX49" s="205"/>
      <c r="PY49" s="205">
        <f t="shared" si="186"/>
        <v>10000</v>
      </c>
      <c r="PZ49" s="195">
        <v>8000</v>
      </c>
      <c r="QA49" s="120"/>
      <c r="QB49" s="120"/>
      <c r="QC49" s="195">
        <v>10000</v>
      </c>
      <c r="QD49" s="195">
        <v>7000</v>
      </c>
      <c r="QE49" s="205"/>
      <c r="QF49" s="205"/>
      <c r="QG49" s="205">
        <f t="shared" si="187"/>
        <v>25000</v>
      </c>
      <c r="QH49" s="120"/>
      <c r="QI49" s="120"/>
      <c r="QJ49" s="250"/>
      <c r="QK49" s="120"/>
      <c r="QL49" s="201">
        <v>4500</v>
      </c>
      <c r="QM49" s="205"/>
      <c r="QN49" s="205"/>
      <c r="QO49" s="205">
        <f t="shared" si="188"/>
        <v>4500</v>
      </c>
      <c r="QP49" s="124">
        <v>500</v>
      </c>
      <c r="QQ49" s="123">
        <v>5000</v>
      </c>
      <c r="QR49" s="120"/>
      <c r="QS49" s="120"/>
      <c r="QT49" s="120"/>
      <c r="QU49" s="205"/>
      <c r="QV49" s="205"/>
      <c r="QW49" s="205">
        <f t="shared" si="320"/>
        <v>5500</v>
      </c>
      <c r="QX49" s="205">
        <f t="shared" si="190"/>
        <v>45000</v>
      </c>
      <c r="QY49" s="120"/>
      <c r="QZ49" s="195">
        <v>7000</v>
      </c>
      <c r="RA49" s="195">
        <v>500</v>
      </c>
      <c r="RB49" s="120"/>
      <c r="RC49" s="120"/>
      <c r="RD49" s="205"/>
      <c r="RE49" s="205"/>
      <c r="RF49" s="205">
        <f t="shared" si="191"/>
        <v>7500</v>
      </c>
      <c r="RG49" s="120"/>
      <c r="RH49" s="120"/>
      <c r="RI49" s="120"/>
      <c r="RJ49" s="124">
        <v>500</v>
      </c>
      <c r="RK49" s="120"/>
      <c r="RL49" s="205"/>
      <c r="RM49" s="205"/>
      <c r="RN49" s="205">
        <f t="shared" si="192"/>
        <v>500</v>
      </c>
      <c r="RO49" s="205"/>
      <c r="RP49" s="205"/>
      <c r="RQ49" s="205"/>
      <c r="RR49" s="205"/>
      <c r="RS49" s="205"/>
      <c r="RT49" s="205"/>
      <c r="RU49" s="205"/>
      <c r="RV49" s="205">
        <f t="shared" si="193"/>
        <v>0</v>
      </c>
      <c r="RW49" s="120"/>
      <c r="RX49" s="123">
        <v>800</v>
      </c>
      <c r="RY49" s="120"/>
      <c r="RZ49" s="120"/>
      <c r="SA49" s="123">
        <v>8000</v>
      </c>
      <c r="SB49" s="205"/>
      <c r="SC49" s="205"/>
      <c r="SD49" s="205">
        <f t="shared" si="194"/>
        <v>8800</v>
      </c>
      <c r="SE49" s="205">
        <f t="shared" si="195"/>
        <v>16800</v>
      </c>
      <c r="SF49" s="120"/>
      <c r="SG49" s="120"/>
      <c r="SH49" s="120"/>
      <c r="SI49" s="195">
        <v>5000</v>
      </c>
      <c r="SJ49" s="120"/>
      <c r="SK49" s="205"/>
      <c r="SL49" s="205"/>
      <c r="SM49" s="205">
        <f t="shared" si="196"/>
        <v>5000</v>
      </c>
      <c r="SN49" s="120"/>
      <c r="SO49" s="120"/>
      <c r="SP49" s="120"/>
      <c r="SQ49" s="124">
        <v>9000</v>
      </c>
      <c r="SR49" s="124">
        <v>7000</v>
      </c>
      <c r="SS49" s="205"/>
      <c r="ST49" s="205"/>
      <c r="SU49" s="205">
        <f t="shared" si="197"/>
        <v>16000</v>
      </c>
      <c r="SV49" s="217">
        <v>10000</v>
      </c>
      <c r="SW49" s="217">
        <v>8000</v>
      </c>
      <c r="SX49" s="120"/>
      <c r="SY49" s="120"/>
      <c r="SZ49" s="120"/>
      <c r="TA49" s="205"/>
      <c r="TB49" s="205"/>
      <c r="TC49" s="205">
        <f t="shared" si="198"/>
        <v>18000</v>
      </c>
      <c r="TD49" s="120"/>
      <c r="TE49" s="120"/>
      <c r="TF49" s="120"/>
      <c r="TG49" s="123">
        <v>9000</v>
      </c>
      <c r="TH49" s="124">
        <v>500</v>
      </c>
      <c r="TI49" s="124">
        <v>3500</v>
      </c>
      <c r="TJ49" s="205"/>
      <c r="TK49" s="205">
        <f t="shared" si="199"/>
        <v>13000</v>
      </c>
      <c r="TL49" s="120"/>
      <c r="TM49" s="120"/>
      <c r="TN49" s="120"/>
      <c r="TO49" s="195">
        <v>7000</v>
      </c>
      <c r="TP49" s="205"/>
      <c r="TQ49" s="205"/>
      <c r="TR49" s="205"/>
      <c r="TS49" s="205">
        <f t="shared" si="200"/>
        <v>7000</v>
      </c>
      <c r="TT49" s="205">
        <f t="shared" si="201"/>
        <v>52000</v>
      </c>
      <c r="TU49" s="205"/>
      <c r="TV49" s="120"/>
      <c r="TW49" s="120"/>
      <c r="TX49" s="120"/>
      <c r="TY49" s="195">
        <v>8000</v>
      </c>
      <c r="TZ49" s="217">
        <v>6000</v>
      </c>
      <c r="UA49" s="205"/>
      <c r="UB49" s="205">
        <f t="shared" si="202"/>
        <v>14000</v>
      </c>
      <c r="UC49" s="120"/>
      <c r="UD49" s="217">
        <v>8000</v>
      </c>
      <c r="UE49" s="207"/>
      <c r="UF49" s="207"/>
      <c r="UG49" s="201">
        <v>1000</v>
      </c>
      <c r="UH49" s="205"/>
      <c r="UI49" s="205"/>
      <c r="UJ49" s="205">
        <f t="shared" si="240"/>
        <v>9000</v>
      </c>
      <c r="UK49" s="120"/>
      <c r="UL49" s="207"/>
      <c r="UM49" s="207"/>
      <c r="UN49" s="120"/>
      <c r="UO49" s="201">
        <v>5000</v>
      </c>
      <c r="UP49" s="205"/>
      <c r="UQ49" s="205"/>
      <c r="UR49" s="205">
        <f>SUM(UL49:UQ49)</f>
        <v>5000</v>
      </c>
      <c r="US49" s="120"/>
      <c r="UT49" s="207"/>
      <c r="UU49" s="207"/>
      <c r="UV49" s="201">
        <v>8000</v>
      </c>
      <c r="UW49" s="272"/>
      <c r="UX49" s="205"/>
      <c r="UY49" s="205"/>
      <c r="UZ49" s="205">
        <f t="shared" si="204"/>
        <v>8000</v>
      </c>
      <c r="VA49" s="205">
        <f t="shared" si="205"/>
        <v>43000</v>
      </c>
      <c r="VB49" s="207"/>
      <c r="VC49" s="207"/>
      <c r="VE49" s="207"/>
      <c r="VF49" s="201">
        <v>1500</v>
      </c>
      <c r="VG49" s="272"/>
      <c r="VH49" s="205"/>
      <c r="VI49" s="205">
        <f t="shared" si="206"/>
        <v>1500</v>
      </c>
      <c r="VJ49" s="207"/>
      <c r="VK49" s="207"/>
      <c r="VL49" s="207"/>
      <c r="VM49" s="207"/>
      <c r="VN49" s="207"/>
      <c r="VO49" s="124">
        <v>720</v>
      </c>
      <c r="VP49" s="205"/>
      <c r="VQ49" s="205">
        <f t="shared" si="207"/>
        <v>720</v>
      </c>
      <c r="VR49" s="120"/>
      <c r="VS49" s="120"/>
      <c r="VT49" s="120"/>
      <c r="VV49" s="207"/>
      <c r="VW49" s="124">
        <v>2000</v>
      </c>
      <c r="VX49" s="205"/>
      <c r="VY49" s="205">
        <f t="shared" si="208"/>
        <v>2000</v>
      </c>
      <c r="VZ49" s="207"/>
      <c r="WA49" s="207"/>
      <c r="WB49" s="207"/>
      <c r="WC49" s="124">
        <v>3000</v>
      </c>
      <c r="WD49" s="207"/>
      <c r="WE49" s="205"/>
      <c r="WF49" s="205"/>
      <c r="WG49" s="205">
        <f t="shared" si="209"/>
        <v>3000</v>
      </c>
      <c r="WH49" s="205">
        <f t="shared" si="210"/>
        <v>7220</v>
      </c>
      <c r="WJ49" s="207"/>
      <c r="WK49" s="207"/>
      <c r="WL49" s="207"/>
      <c r="WM49" s="124">
        <v>10000</v>
      </c>
      <c r="WN49" s="272"/>
      <c r="WO49" s="205"/>
      <c r="WP49" s="205">
        <f t="shared" si="211"/>
        <v>10000</v>
      </c>
      <c r="WR49" s="124">
        <v>10000</v>
      </c>
      <c r="WS49" s="120"/>
      <c r="WT49" s="207"/>
      <c r="WU49" s="207"/>
      <c r="WV49" s="205"/>
      <c r="WW49" s="205"/>
      <c r="WX49" s="205">
        <f>SUM(WR49:WW49)</f>
        <v>10000</v>
      </c>
      <c r="WY49" s="207"/>
      <c r="WZ49" s="124">
        <v>10000</v>
      </c>
      <c r="XA49" s="120"/>
      <c r="XB49" s="207"/>
      <c r="XC49" s="205"/>
      <c r="XD49" s="205"/>
      <c r="XE49" s="205"/>
      <c r="XF49" s="205">
        <f t="shared" si="213"/>
        <v>10000</v>
      </c>
      <c r="XG49" s="120"/>
      <c r="XH49" s="120"/>
      <c r="XI49" s="120"/>
      <c r="XJ49" s="124">
        <v>3500</v>
      </c>
      <c r="XK49" s="124">
        <v>10000</v>
      </c>
      <c r="XL49" s="124">
        <v>7000</v>
      </c>
      <c r="XM49" s="205"/>
      <c r="XN49" s="205">
        <f t="shared" si="214"/>
        <v>20500</v>
      </c>
      <c r="XO49" s="120"/>
      <c r="XP49" s="120"/>
      <c r="XQ49" s="124">
        <v>10000</v>
      </c>
      <c r="XR49" s="120"/>
      <c r="XS49" s="120"/>
      <c r="XT49" s="205"/>
      <c r="XU49" s="205"/>
      <c r="XV49" s="205">
        <f t="shared" si="215"/>
        <v>10000</v>
      </c>
      <c r="XW49" s="205">
        <f t="shared" si="216"/>
        <v>50500</v>
      </c>
      <c r="XX49" s="120"/>
      <c r="XY49" s="120"/>
      <c r="XZ49" s="124">
        <v>3500</v>
      </c>
      <c r="YA49" s="120"/>
      <c r="YB49" s="120"/>
      <c r="YC49" s="272"/>
      <c r="YD49" s="272"/>
      <c r="YE49" s="205">
        <f t="shared" si="217"/>
        <v>3500</v>
      </c>
      <c r="YF49" s="120">
        <v>8000</v>
      </c>
      <c r="YG49" s="120"/>
      <c r="YH49" s="120"/>
      <c r="YI49" s="120">
        <v>10000</v>
      </c>
      <c r="YJ49" s="120"/>
      <c r="YK49" s="272"/>
      <c r="YL49" s="272"/>
      <c r="YM49" s="205">
        <f t="shared" si="218"/>
        <v>18000</v>
      </c>
      <c r="YN49" s="207"/>
      <c r="YO49" s="124">
        <v>8000</v>
      </c>
      <c r="YP49" s="124">
        <v>10000</v>
      </c>
      <c r="YQ49" s="124">
        <v>9000</v>
      </c>
      <c r="YR49" s="124">
        <v>6000</v>
      </c>
      <c r="YS49" s="272"/>
      <c r="YT49" s="272"/>
      <c r="YU49" s="205">
        <f t="shared" si="148"/>
        <v>33000</v>
      </c>
      <c r="YV49" s="120"/>
      <c r="YW49" s="120"/>
      <c r="YX49" s="124">
        <v>500</v>
      </c>
      <c r="YY49" s="124">
        <v>500</v>
      </c>
      <c r="YZ49" s="120"/>
      <c r="ZA49" s="272"/>
      <c r="ZB49" s="272"/>
      <c r="ZC49" s="205">
        <f t="shared" si="219"/>
        <v>1000</v>
      </c>
      <c r="ZD49" s="205">
        <f t="shared" si="149"/>
        <v>65500</v>
      </c>
      <c r="ZE49" s="207"/>
      <c r="ZF49" s="207"/>
      <c r="ZG49" s="207"/>
      <c r="ZH49" s="207"/>
      <c r="ZI49" s="207"/>
      <c r="ZJ49" s="272"/>
      <c r="ZK49" s="272"/>
      <c r="ZL49" s="205">
        <f t="shared" si="220"/>
        <v>0</v>
      </c>
      <c r="ZM49" s="207"/>
      <c r="ZN49" s="207"/>
      <c r="ZO49" s="207"/>
      <c r="ZP49" s="207"/>
      <c r="ZQ49" s="207"/>
      <c r="ZR49" s="272"/>
      <c r="ZS49" s="272"/>
      <c r="ZT49" s="205">
        <f t="shared" si="221"/>
        <v>0</v>
      </c>
      <c r="ZU49" s="207"/>
      <c r="ZV49" s="207"/>
      <c r="ZW49" s="207"/>
      <c r="ZX49" s="207"/>
      <c r="ZY49" s="207"/>
      <c r="ZZ49" s="272"/>
      <c r="AAA49" s="272"/>
      <c r="AAB49" s="205">
        <f t="shared" si="222"/>
        <v>0</v>
      </c>
      <c r="AAC49" s="207"/>
      <c r="AAD49" s="207"/>
      <c r="AAE49" s="207"/>
      <c r="AAF49" s="207"/>
      <c r="AAG49" s="207"/>
      <c r="AAH49" s="272"/>
      <c r="AAI49" s="272"/>
      <c r="AAJ49" s="205">
        <f t="shared" si="223"/>
        <v>0</v>
      </c>
      <c r="AAK49" s="207"/>
      <c r="AAL49" s="207"/>
      <c r="AAM49" s="207"/>
      <c r="AAN49" s="207"/>
      <c r="AAO49" s="207"/>
      <c r="AAP49" s="272"/>
      <c r="AAQ49" s="272"/>
      <c r="AAR49" s="205">
        <f t="shared" si="224"/>
        <v>0</v>
      </c>
      <c r="AAS49" s="205">
        <f t="shared" si="225"/>
        <v>0</v>
      </c>
    </row>
    <row r="50" spans="1:721" ht="69" hidden="1" customHeight="1">
      <c r="B50" s="164">
        <v>3630101205</v>
      </c>
      <c r="C50" s="330"/>
      <c r="D50" s="163" t="s">
        <v>764</v>
      </c>
      <c r="E50" s="130" t="s">
        <v>4</v>
      </c>
      <c r="F50" s="120"/>
      <c r="G50" s="120"/>
      <c r="H50" s="120"/>
      <c r="I50" s="120"/>
      <c r="J50" s="120"/>
      <c r="K50" s="209"/>
      <c r="L50" s="205"/>
      <c r="M50" s="205">
        <f t="shared" ref="M50" si="322">SUM(F50:L50)</f>
        <v>0</v>
      </c>
      <c r="N50" s="120"/>
      <c r="O50" s="120"/>
      <c r="P50" s="120"/>
      <c r="Q50" s="120"/>
      <c r="R50" s="120"/>
      <c r="S50" s="209"/>
      <c r="T50" s="205"/>
      <c r="U50" s="205">
        <f t="shared" ref="U50" si="323">SUM(N50:T50)</f>
        <v>0</v>
      </c>
      <c r="V50" s="120"/>
      <c r="W50" s="120"/>
      <c r="X50" s="120"/>
      <c r="Y50" s="120"/>
      <c r="Z50" s="120"/>
      <c r="AA50" s="209"/>
      <c r="AB50" s="205"/>
      <c r="AC50" s="205">
        <f t="shared" ref="AC50" si="324">SUM(V50:AB50)</f>
        <v>0</v>
      </c>
      <c r="AD50" s="205"/>
      <c r="AE50" s="205"/>
      <c r="AF50" s="205"/>
      <c r="AG50" s="205"/>
      <c r="AH50" s="205"/>
      <c r="AI50" s="209"/>
      <c r="AJ50" s="205"/>
      <c r="AK50" s="205">
        <f t="shared" ref="AK50" si="325">SUM(AD50:AJ50)</f>
        <v>0</v>
      </c>
      <c r="AL50" s="205" t="e">
        <f>SUM(#REF!,M50,U50,AC50,AD50:AH50)</f>
        <v>#REF!</v>
      </c>
      <c r="AM50" s="120"/>
      <c r="AN50" s="120"/>
      <c r="AO50" s="120"/>
      <c r="AP50" s="120"/>
      <c r="AQ50" s="120"/>
      <c r="AR50" s="209"/>
      <c r="AS50" s="205"/>
      <c r="AT50" s="205">
        <f t="shared" si="245"/>
        <v>0</v>
      </c>
      <c r="AU50" s="120"/>
      <c r="AV50" s="120"/>
      <c r="AW50" s="120"/>
      <c r="AX50" s="120"/>
      <c r="AY50" s="120"/>
      <c r="AZ50" s="209"/>
      <c r="BA50" s="205"/>
      <c r="BB50" s="205">
        <f t="shared" si="246"/>
        <v>0</v>
      </c>
      <c r="BC50" s="120"/>
      <c r="BD50" s="120"/>
      <c r="BE50" s="120"/>
      <c r="BF50" s="120"/>
      <c r="BG50" s="120"/>
      <c r="BH50" s="209"/>
      <c r="BI50" s="205"/>
      <c r="BJ50" s="205">
        <f t="shared" si="247"/>
        <v>0</v>
      </c>
      <c r="BK50" s="120"/>
      <c r="BL50" s="120"/>
      <c r="BM50" s="120"/>
      <c r="BN50" s="120"/>
      <c r="BO50" s="205"/>
      <c r="BP50" s="209"/>
      <c r="BQ50" s="205"/>
      <c r="BR50" s="205">
        <f t="shared" si="248"/>
        <v>0</v>
      </c>
      <c r="BS50" s="205">
        <f t="shared" ref="BS50" si="326">SUM(AI50:AJ50,AT50,BB50,BJ50,BK50:BO50)</f>
        <v>0</v>
      </c>
      <c r="BT50" s="120"/>
      <c r="BU50" s="120"/>
      <c r="BV50" s="120"/>
      <c r="BW50" s="120"/>
      <c r="BX50" s="120"/>
      <c r="BY50" s="209"/>
      <c r="BZ50" s="205"/>
      <c r="CA50" s="205">
        <f t="shared" si="250"/>
        <v>0</v>
      </c>
      <c r="CB50" s="120"/>
      <c r="CC50" s="120"/>
      <c r="CD50" s="120"/>
      <c r="CE50" s="120"/>
      <c r="CF50" s="120"/>
      <c r="CG50" s="209"/>
      <c r="CH50" s="205"/>
      <c r="CI50" s="205">
        <f t="shared" si="251"/>
        <v>0</v>
      </c>
      <c r="CJ50" s="120"/>
      <c r="CK50" s="120"/>
      <c r="CL50" s="120"/>
      <c r="CM50" s="120"/>
      <c r="CN50" s="120"/>
      <c r="CO50" s="209"/>
      <c r="CP50" s="205"/>
      <c r="CQ50" s="205">
        <f t="shared" si="252"/>
        <v>0</v>
      </c>
      <c r="CR50" s="120"/>
      <c r="CS50" s="120"/>
      <c r="CT50" s="120"/>
      <c r="CU50" s="120"/>
      <c r="CV50" s="120"/>
      <c r="CW50" s="209"/>
      <c r="CX50" s="205"/>
      <c r="CY50" s="205">
        <f t="shared" si="253"/>
        <v>0</v>
      </c>
      <c r="CZ50" s="120"/>
      <c r="DA50" s="120"/>
      <c r="DB50" s="120"/>
      <c r="DC50" s="205"/>
      <c r="DD50" s="205"/>
      <c r="DE50" s="209"/>
      <c r="DF50" s="205"/>
      <c r="DG50" s="205">
        <f t="shared" si="254"/>
        <v>0</v>
      </c>
      <c r="DH50" s="205">
        <f t="shared" ref="DH50" si="327">SUM(CA50,CI50,CQ50,CY50,CZ50)</f>
        <v>0</v>
      </c>
      <c r="DI50" s="120"/>
      <c r="DJ50" s="120"/>
      <c r="DK50" s="120"/>
      <c r="DL50" s="120"/>
      <c r="DM50" s="120"/>
      <c r="DN50" s="209"/>
      <c r="DO50" s="205"/>
      <c r="DP50" s="205">
        <f t="shared" ref="DP50" si="328">SUM(DI50:DO50)</f>
        <v>0</v>
      </c>
      <c r="DQ50" s="120"/>
      <c r="DR50" s="120"/>
      <c r="DS50" s="120"/>
      <c r="DT50" s="120"/>
      <c r="DU50" s="120"/>
      <c r="DV50" s="209"/>
      <c r="DW50" s="205"/>
      <c r="DX50" s="205">
        <f t="shared" ref="DX50" si="329">SUM(DQ50:DW50)</f>
        <v>0</v>
      </c>
      <c r="DY50" s="120"/>
      <c r="DZ50" s="120"/>
      <c r="EA50" s="120"/>
      <c r="EB50" s="120"/>
      <c r="EC50" s="120"/>
      <c r="ED50" s="209"/>
      <c r="EE50" s="205"/>
      <c r="EF50" s="205">
        <f t="shared" ref="EF50" si="330">SUM(DY50:EE50)</f>
        <v>0</v>
      </c>
      <c r="EG50" s="120"/>
      <c r="EH50" s="120"/>
      <c r="EI50" s="120"/>
      <c r="EJ50" s="205"/>
      <c r="EK50" s="205"/>
      <c r="EL50" s="209"/>
      <c r="EM50" s="205"/>
      <c r="EN50" s="205">
        <f t="shared" ref="EN50" si="331">SUM(EG50:EM50)</f>
        <v>0</v>
      </c>
      <c r="EO50" s="205">
        <f t="shared" ref="EO50" si="332">SUM(DA50:DF50,DP50,DX50,EF50,EG50:EI50)</f>
        <v>0</v>
      </c>
      <c r="EP50" s="120"/>
      <c r="EQ50" s="120"/>
      <c r="ER50" s="120"/>
      <c r="ES50" s="120"/>
      <c r="ET50" s="120"/>
      <c r="EU50" s="209"/>
      <c r="EV50" s="205"/>
      <c r="EW50" s="205">
        <f t="shared" ref="EW50" si="333">SUM(EP50:EV50)</f>
        <v>0</v>
      </c>
      <c r="EX50" s="120"/>
      <c r="EY50" s="120"/>
      <c r="EZ50" s="120"/>
      <c r="FA50" s="120"/>
      <c r="FB50" s="120"/>
      <c r="FC50" s="209"/>
      <c r="FD50" s="205"/>
      <c r="FE50" s="205">
        <f t="shared" ref="FE50" si="334">SUM(EX50:FD50)</f>
        <v>0</v>
      </c>
      <c r="FF50" s="120"/>
      <c r="FG50" s="120"/>
      <c r="FH50" s="120"/>
      <c r="FI50" s="120"/>
      <c r="FJ50" s="120"/>
      <c r="FK50" s="209"/>
      <c r="FL50" s="205"/>
      <c r="FM50" s="205">
        <f t="shared" ref="FM50" si="335">SUM(FF50:FL50)</f>
        <v>0</v>
      </c>
      <c r="FN50" s="120"/>
      <c r="FO50" s="120"/>
      <c r="FP50" s="120"/>
      <c r="FQ50" s="120"/>
      <c r="FR50" s="205"/>
      <c r="FS50" s="209"/>
      <c r="FT50" s="205"/>
      <c r="FU50" s="205">
        <f t="shared" ref="FU50" si="336">SUM(FN50:FT50)</f>
        <v>0</v>
      </c>
      <c r="FV50" s="205">
        <f t="shared" ref="FV50" si="337">SUM(EJ50:EK50,EW50,FE50,FM50,FU50)</f>
        <v>0</v>
      </c>
      <c r="FW50" s="120"/>
      <c r="FX50" s="120"/>
      <c r="FY50" s="120"/>
      <c r="FZ50" s="120"/>
      <c r="GA50" s="120"/>
      <c r="GB50" s="209"/>
      <c r="GC50" s="205"/>
      <c r="GD50" s="205">
        <f t="shared" ref="GD50" si="338">SUM(FW50:GC50)</f>
        <v>0</v>
      </c>
      <c r="GE50" s="120"/>
      <c r="GF50" s="120"/>
      <c r="GG50" s="120"/>
      <c r="GH50" s="120"/>
      <c r="GI50" s="120"/>
      <c r="GJ50" s="209"/>
      <c r="GK50" s="205"/>
      <c r="GL50" s="205">
        <f t="shared" ref="GL50" si="339">SUM(GE50:GK50)</f>
        <v>0</v>
      </c>
      <c r="GM50" s="120"/>
      <c r="GN50" s="120"/>
      <c r="GO50" s="120"/>
      <c r="GP50" s="120"/>
      <c r="GQ50" s="120"/>
      <c r="GR50" s="209"/>
      <c r="GS50" s="205"/>
      <c r="GT50" s="205">
        <f t="shared" ref="GT50" si="340">SUM(GM50:GS50)</f>
        <v>0</v>
      </c>
      <c r="GU50" s="120"/>
      <c r="GV50" s="120"/>
      <c r="GW50" s="120"/>
      <c r="GX50" s="120"/>
      <c r="GY50" s="120"/>
      <c r="GZ50" s="209"/>
      <c r="HA50" s="205"/>
      <c r="HB50" s="205">
        <f t="shared" ref="HB50" si="341">SUM(GU50:HA50)</f>
        <v>0</v>
      </c>
      <c r="HC50" s="120"/>
      <c r="HD50" s="120"/>
      <c r="HE50" s="120"/>
      <c r="HF50" s="120"/>
      <c r="HG50" s="120"/>
      <c r="HH50" s="209"/>
      <c r="HI50" s="205"/>
      <c r="HJ50" s="205">
        <f t="shared" ref="HJ50" si="342">SUM(HC50:HI50)</f>
        <v>0</v>
      </c>
      <c r="HK50" s="205">
        <f t="shared" ref="HK50" si="343">SUM(GD50,GL50,GT50,HB50,HC50)</f>
        <v>0</v>
      </c>
      <c r="HL50" s="124"/>
      <c r="HM50" s="120"/>
      <c r="HN50" s="120"/>
      <c r="HO50" s="120"/>
      <c r="HP50" s="120"/>
      <c r="HQ50" s="205"/>
      <c r="HR50" s="205"/>
      <c r="HS50" s="205">
        <f t="shared" ref="HS50" si="344">SUM(HL50:HR50)</f>
        <v>0</v>
      </c>
      <c r="HT50" s="120"/>
      <c r="HU50" s="120"/>
      <c r="HV50" s="120"/>
      <c r="HW50" s="120"/>
      <c r="HX50" s="120"/>
      <c r="HY50" s="205"/>
      <c r="HZ50" s="205"/>
      <c r="IA50" s="205">
        <f t="shared" ref="IA50" si="345">SUM(HT50:HZ50)</f>
        <v>0</v>
      </c>
      <c r="IB50" s="120"/>
      <c r="IC50" s="120"/>
      <c r="ID50" s="120"/>
      <c r="IE50" s="120"/>
      <c r="IF50" s="120"/>
      <c r="IG50" s="205"/>
      <c r="IH50" s="205"/>
      <c r="II50" s="205">
        <f t="shared" ref="II50" si="346">SUM(IB50:IH50)</f>
        <v>0</v>
      </c>
      <c r="IJ50" s="120"/>
      <c r="IK50" s="120"/>
      <c r="IL50" s="120"/>
      <c r="IM50" s="120"/>
      <c r="IN50" s="120"/>
      <c r="IO50" s="205"/>
      <c r="IP50" s="205"/>
      <c r="IQ50" s="205">
        <f t="shared" ref="IQ50" si="347">SUM(IJ50:IP50)</f>
        <v>0</v>
      </c>
      <c r="IR50" s="205">
        <f t="shared" ref="IR50" si="348">SUM(IJ50:IM50,II50,IA50,HS50,HD50:HG50,HH50:HI50)</f>
        <v>0</v>
      </c>
      <c r="IS50" s="120"/>
      <c r="IT50" s="217"/>
      <c r="IU50" s="120"/>
      <c r="IV50" s="217"/>
      <c r="IW50" s="120"/>
      <c r="IX50" s="205"/>
      <c r="IY50" s="205"/>
      <c r="IZ50" s="205">
        <f t="shared" ref="IZ50" si="349">SUM(IS50:IY50)</f>
        <v>0</v>
      </c>
      <c r="JA50" s="120"/>
      <c r="JB50" s="120"/>
      <c r="JC50" s="120"/>
      <c r="JD50" s="120"/>
      <c r="JE50" s="120"/>
      <c r="JF50" s="205"/>
      <c r="JG50" s="205"/>
      <c r="JH50" s="205">
        <f t="shared" ref="JH50" si="350">SUM(JA50:JG50)</f>
        <v>0</v>
      </c>
      <c r="JI50" s="120"/>
      <c r="JJ50" s="120"/>
      <c r="JK50" s="195"/>
      <c r="JL50" s="120"/>
      <c r="JM50" s="195"/>
      <c r="JN50" s="205"/>
      <c r="JO50" s="205"/>
      <c r="JP50" s="205">
        <f t="shared" ref="JP50" si="351">SUM(JI50:JO50)</f>
        <v>0</v>
      </c>
      <c r="JQ50" s="120"/>
      <c r="JR50" s="123"/>
      <c r="JS50" s="120"/>
      <c r="JT50" s="120"/>
      <c r="JU50" s="120"/>
      <c r="JV50" s="205"/>
      <c r="JW50" s="205"/>
      <c r="JX50" s="205">
        <f t="shared" ref="JX50" si="352">SUM(JQ50:JW50)</f>
        <v>0</v>
      </c>
      <c r="JY50" s="205">
        <f t="shared" si="163"/>
        <v>0</v>
      </c>
      <c r="JZ50" s="120"/>
      <c r="KA50" s="250"/>
      <c r="KB50" s="120"/>
      <c r="KC50" s="120"/>
      <c r="KD50" s="120"/>
      <c r="KE50" s="205"/>
      <c r="KF50" s="205"/>
      <c r="KG50" s="205">
        <f t="shared" ref="KG50" si="353">SUM(JZ50:KF50)</f>
        <v>0</v>
      </c>
      <c r="KH50" s="120"/>
      <c r="KI50" s="120"/>
      <c r="KJ50" s="120"/>
      <c r="KK50" s="120"/>
      <c r="KL50" s="120"/>
      <c r="KM50" s="205"/>
      <c r="KN50" s="205"/>
      <c r="KO50" s="205">
        <f t="shared" ref="KO50" si="354">SUM(KH50:KN50)</f>
        <v>0</v>
      </c>
      <c r="KP50" s="120"/>
      <c r="KQ50" s="120"/>
      <c r="KR50" s="120"/>
      <c r="KS50" s="120"/>
      <c r="KT50" s="120"/>
      <c r="KU50" s="205"/>
      <c r="KV50" s="205"/>
      <c r="KW50" s="205">
        <f t="shared" ref="KW50" si="355">SUM(KP50:KV50)</f>
        <v>0</v>
      </c>
      <c r="KX50" s="120"/>
      <c r="KY50" s="120"/>
      <c r="KZ50" s="120"/>
      <c r="LA50" s="120"/>
      <c r="LB50" s="120"/>
      <c r="LC50" s="205"/>
      <c r="LD50" s="205"/>
      <c r="LE50" s="205">
        <f t="shared" ref="LE50" si="356">SUM(KX50:LD50)</f>
        <v>0</v>
      </c>
      <c r="LF50" s="205"/>
      <c r="LG50" s="120"/>
      <c r="LH50" s="120"/>
      <c r="LI50" s="120"/>
      <c r="LJ50" s="120"/>
      <c r="LK50" s="205"/>
      <c r="LL50" s="205"/>
      <c r="LM50" s="205">
        <f t="shared" ref="LM50" si="357">SUM(LF50:LL50)</f>
        <v>0</v>
      </c>
      <c r="LN50" s="205">
        <f t="shared" ref="LN50" si="358">SUM(LF50:LG50,LE50,KW50,KO50,KG50)</f>
        <v>0</v>
      </c>
      <c r="LO50" s="205"/>
      <c r="LP50" s="120"/>
      <c r="LQ50" s="120"/>
      <c r="LR50" s="120"/>
      <c r="LS50" s="205"/>
      <c r="LT50" s="205"/>
      <c r="LU50" s="205"/>
      <c r="LV50" s="205">
        <f t="shared" ref="LV50" si="359">SUM(LO50:LU50)</f>
        <v>0</v>
      </c>
      <c r="LW50" s="120"/>
      <c r="LX50" s="120"/>
      <c r="LY50" s="207"/>
      <c r="LZ50" s="120"/>
      <c r="MA50" s="120"/>
      <c r="MB50" s="205"/>
      <c r="MC50" s="205"/>
      <c r="MD50" s="205">
        <f t="shared" ref="MD50" si="360">SUM(LW50:MC50)</f>
        <v>0</v>
      </c>
      <c r="ME50" s="120"/>
      <c r="MF50" s="120"/>
      <c r="MG50" s="120"/>
      <c r="MH50" s="120"/>
      <c r="MI50" s="205"/>
      <c r="MJ50" s="205"/>
      <c r="MK50" s="205"/>
      <c r="ML50" s="205">
        <f t="shared" ref="ML50" si="361">SUM(ME50:MK50)</f>
        <v>0</v>
      </c>
      <c r="MM50" s="120"/>
      <c r="MN50" s="120"/>
      <c r="MO50" s="120"/>
      <c r="MP50" s="120"/>
      <c r="MQ50" s="120"/>
      <c r="MR50" s="205"/>
      <c r="MS50" s="205"/>
      <c r="MT50" s="205">
        <f t="shared" ref="MT50" si="362">SUM(MM50:MS50)</f>
        <v>0</v>
      </c>
      <c r="MU50" s="205">
        <f t="shared" ref="MU50" si="363">SUM(LH50:LL50,LV50,MD50,ML50,MM50:MQ50)</f>
        <v>0</v>
      </c>
      <c r="MV50" s="120"/>
      <c r="MW50" s="120"/>
      <c r="MX50" s="120"/>
      <c r="MY50" s="120"/>
      <c r="MZ50" s="120"/>
      <c r="NA50" s="205"/>
      <c r="NB50" s="205"/>
      <c r="NC50" s="205">
        <f t="shared" ref="NC50" si="364">SUM(MV50:NB50)</f>
        <v>0</v>
      </c>
      <c r="ND50" s="120"/>
      <c r="NE50" s="120"/>
      <c r="NF50" s="120"/>
      <c r="NG50" s="120"/>
      <c r="NH50" s="120"/>
      <c r="NI50" s="205"/>
      <c r="NJ50" s="205"/>
      <c r="NK50" s="205">
        <f t="shared" ref="NK50" si="365">SUM(ND50:NJ50)</f>
        <v>0</v>
      </c>
      <c r="NL50" s="120"/>
      <c r="NM50" s="120"/>
      <c r="NN50" s="120"/>
      <c r="NO50" s="120"/>
      <c r="NP50" s="120"/>
      <c r="NQ50" s="205"/>
      <c r="NR50" s="205"/>
      <c r="NS50" s="205">
        <f t="shared" ref="NS50" si="366">SUM(NL50:NR50)</f>
        <v>0</v>
      </c>
      <c r="NT50" s="120"/>
      <c r="NU50" s="120"/>
      <c r="NV50" s="120"/>
      <c r="NW50" s="120"/>
      <c r="NX50" s="120"/>
      <c r="NY50" s="205"/>
      <c r="NZ50" s="205"/>
      <c r="OA50" s="205">
        <f t="shared" ref="OA50" si="367">SUM(NT50:NZ50)</f>
        <v>0</v>
      </c>
      <c r="OB50" s="205">
        <f t="shared" ref="OB50" si="368">SUM(MR50:MS50,NC50,NK50,NS50,OA50)</f>
        <v>0</v>
      </c>
      <c r="OC50" s="217">
        <v>60</v>
      </c>
      <c r="OD50" s="120"/>
      <c r="OE50" s="120"/>
      <c r="OF50" s="120"/>
      <c r="OG50" s="120"/>
      <c r="OH50" s="205"/>
      <c r="OI50" s="205"/>
      <c r="OJ50" s="205">
        <f t="shared" ref="OJ50" si="369">SUM(OC50:OI50)</f>
        <v>60</v>
      </c>
      <c r="OK50" s="120"/>
      <c r="OL50" s="120"/>
      <c r="OM50" s="120"/>
      <c r="ON50" s="120"/>
      <c r="OO50" s="120"/>
      <c r="OP50" s="205"/>
      <c r="OQ50" s="205"/>
      <c r="OR50" s="205">
        <f t="shared" ref="OR50" si="370">SUM(OK50:OQ50)</f>
        <v>0</v>
      </c>
      <c r="OS50" s="120"/>
      <c r="OT50" s="120"/>
      <c r="OU50" s="120"/>
      <c r="OV50" s="120"/>
      <c r="OW50" s="120"/>
      <c r="OX50" s="205"/>
      <c r="OY50" s="205"/>
      <c r="OZ50" s="205">
        <f t="shared" ref="OZ50" si="371">SUM(OS50:OY50)</f>
        <v>0</v>
      </c>
      <c r="PA50" s="120"/>
      <c r="PB50" s="120"/>
      <c r="PC50" s="120"/>
      <c r="PD50" s="205"/>
      <c r="PE50" s="217"/>
      <c r="PF50" s="205"/>
      <c r="PG50" s="205"/>
      <c r="PH50" s="205">
        <f t="shared" ref="PH50" si="372">SUM(PA50:PG50)</f>
        <v>0</v>
      </c>
      <c r="PI50" s="120"/>
      <c r="PJ50" s="120"/>
      <c r="PK50" s="120"/>
      <c r="PL50" s="205"/>
      <c r="PM50" s="217"/>
      <c r="PN50" s="205"/>
      <c r="PO50" s="205"/>
      <c r="PP50" s="205">
        <f t="shared" ref="PP50" si="373">SUM(PI50:PO50)</f>
        <v>0</v>
      </c>
      <c r="PQ50" s="205">
        <f t="shared" ref="PQ50" si="374">SUM(OJ50,OR50,OZ50,PH50,PI50:PK50)</f>
        <v>60</v>
      </c>
      <c r="PR50" s="207"/>
      <c r="PS50" s="207"/>
      <c r="PT50" s="207"/>
      <c r="PU50" s="207"/>
      <c r="PV50" s="207"/>
      <c r="PW50" s="272"/>
      <c r="PX50" s="272"/>
      <c r="PY50" s="205">
        <f t="shared" si="186"/>
        <v>0</v>
      </c>
      <c r="PZ50" s="207"/>
      <c r="QA50" s="207"/>
      <c r="QB50" s="207"/>
      <c r="QC50" s="207"/>
      <c r="QD50" s="207"/>
      <c r="QE50" s="272"/>
      <c r="QF50" s="272"/>
      <c r="QG50" s="205">
        <f t="shared" si="187"/>
        <v>0</v>
      </c>
      <c r="QH50" s="207"/>
      <c r="QI50" s="207"/>
      <c r="QJ50" s="294"/>
      <c r="QK50" s="120"/>
      <c r="QL50" s="201"/>
      <c r="QM50" s="272"/>
      <c r="QN50" s="272"/>
      <c r="QO50" s="205">
        <f t="shared" si="188"/>
        <v>0</v>
      </c>
      <c r="QP50" s="124"/>
      <c r="QQ50" s="123"/>
      <c r="QR50" s="120"/>
      <c r="QS50" s="120"/>
      <c r="QT50" s="120"/>
      <c r="QU50" s="272"/>
      <c r="QV50" s="272"/>
      <c r="QW50" s="205">
        <f t="shared" si="320"/>
        <v>0</v>
      </c>
      <c r="QX50" s="205">
        <f t="shared" si="190"/>
        <v>0</v>
      </c>
      <c r="QY50" s="207"/>
      <c r="QZ50" s="124"/>
      <c r="RA50" s="195"/>
      <c r="RB50" s="207"/>
      <c r="RC50" s="207"/>
      <c r="RD50" s="272"/>
      <c r="RE50" s="272"/>
      <c r="RF50" s="205">
        <f t="shared" si="191"/>
        <v>0</v>
      </c>
      <c r="RG50" s="120"/>
      <c r="RH50" s="120"/>
      <c r="RI50" s="120"/>
      <c r="RJ50" s="124"/>
      <c r="RK50" s="120"/>
      <c r="RL50" s="272"/>
      <c r="RM50" s="272"/>
      <c r="RN50" s="205">
        <f t="shared" si="192"/>
        <v>0</v>
      </c>
      <c r="RO50" s="272"/>
      <c r="RP50" s="272"/>
      <c r="RQ50" s="272"/>
      <c r="RR50" s="272"/>
      <c r="RS50" s="272"/>
      <c r="RT50" s="272"/>
      <c r="RU50" s="272"/>
      <c r="RV50" s="205">
        <f t="shared" si="193"/>
        <v>0</v>
      </c>
      <c r="RW50" s="120"/>
      <c r="RX50" s="123"/>
      <c r="RY50" s="207"/>
      <c r="RZ50" s="120"/>
      <c r="SA50" s="272"/>
      <c r="SB50" s="272"/>
      <c r="SC50" s="272"/>
      <c r="SD50" s="205">
        <f t="shared" si="194"/>
        <v>0</v>
      </c>
      <c r="SE50" s="205">
        <f t="shared" si="195"/>
        <v>0</v>
      </c>
      <c r="SF50" s="207"/>
      <c r="SG50" s="207"/>
      <c r="SH50" s="207"/>
      <c r="SI50" s="207"/>
      <c r="SJ50" s="207"/>
      <c r="SK50" s="272"/>
      <c r="SL50" s="272"/>
      <c r="SM50" s="205">
        <f t="shared" si="196"/>
        <v>0</v>
      </c>
      <c r="SN50" s="207"/>
      <c r="SO50" s="207"/>
      <c r="SP50" s="207"/>
      <c r="SQ50" s="207"/>
      <c r="SR50" s="207"/>
      <c r="SS50" s="272"/>
      <c r="ST50" s="272"/>
      <c r="SU50" s="205">
        <f t="shared" si="197"/>
        <v>0</v>
      </c>
      <c r="SV50" s="207"/>
      <c r="SW50" s="304"/>
      <c r="SX50" s="207"/>
      <c r="SY50" s="207"/>
      <c r="SZ50" s="207"/>
      <c r="TA50" s="272"/>
      <c r="TB50" s="272"/>
      <c r="TC50" s="205">
        <f t="shared" si="198"/>
        <v>0</v>
      </c>
      <c r="TD50" s="207"/>
      <c r="TE50" s="207"/>
      <c r="TF50" s="207"/>
      <c r="TG50" s="207"/>
      <c r="TH50" s="306"/>
      <c r="TI50" s="124"/>
      <c r="TJ50" s="272"/>
      <c r="TK50" s="205">
        <f t="shared" si="199"/>
        <v>0</v>
      </c>
      <c r="TL50" s="207"/>
      <c r="TM50" s="207"/>
      <c r="TN50" s="207"/>
      <c r="TO50" s="207"/>
      <c r="TP50" s="272"/>
      <c r="TQ50" s="272"/>
      <c r="TR50" s="272"/>
      <c r="TS50" s="205">
        <f t="shared" si="200"/>
        <v>0</v>
      </c>
      <c r="TT50" s="205">
        <f t="shared" si="201"/>
        <v>0</v>
      </c>
      <c r="TU50" s="272"/>
      <c r="TV50" s="207"/>
      <c r="TW50" s="207"/>
      <c r="TX50" s="120"/>
      <c r="TY50" s="207"/>
      <c r="TZ50" s="272"/>
      <c r="UA50" s="272"/>
      <c r="UB50" s="205">
        <f t="shared" si="202"/>
        <v>0</v>
      </c>
      <c r="UC50" s="207"/>
      <c r="UD50" s="207"/>
      <c r="UE50" s="207"/>
      <c r="UF50" s="207"/>
      <c r="UG50" s="201"/>
      <c r="UH50" s="272"/>
      <c r="UI50" s="272"/>
      <c r="UJ50" s="205">
        <f t="shared" si="240"/>
        <v>0</v>
      </c>
      <c r="UK50" s="207"/>
      <c r="UL50" s="207"/>
      <c r="UM50" s="207"/>
      <c r="UN50" s="120"/>
      <c r="UO50" s="201"/>
      <c r="UP50" s="272"/>
      <c r="UQ50" s="272"/>
      <c r="UR50" s="205">
        <f>SUM(UL50:UQ50)</f>
        <v>0</v>
      </c>
      <c r="US50" s="207"/>
      <c r="UT50" s="207"/>
      <c r="UU50" s="207"/>
      <c r="UV50" s="201"/>
      <c r="UW50" s="272"/>
      <c r="UX50" s="272"/>
      <c r="UY50" s="272"/>
      <c r="UZ50" s="205">
        <f t="shared" si="204"/>
        <v>0</v>
      </c>
      <c r="VA50" s="205">
        <f t="shared" si="205"/>
        <v>0</v>
      </c>
      <c r="VB50" s="207"/>
      <c r="VC50" s="207"/>
      <c r="VD50" s="207"/>
      <c r="VE50" s="207"/>
      <c r="VF50" s="201"/>
      <c r="VG50" s="272"/>
      <c r="VH50" s="272"/>
      <c r="VI50" s="205">
        <f t="shared" si="206"/>
        <v>0</v>
      </c>
      <c r="VJ50" s="207"/>
      <c r="VK50" s="207"/>
      <c r="VL50" s="207"/>
      <c r="VM50" s="207"/>
      <c r="VN50" s="207"/>
      <c r="VO50" s="124"/>
      <c r="VP50" s="272"/>
      <c r="VQ50" s="205">
        <f t="shared" si="207"/>
        <v>0</v>
      </c>
      <c r="VR50" s="207"/>
      <c r="VS50" s="207"/>
      <c r="VT50" s="207"/>
      <c r="VU50" s="207"/>
      <c r="VV50" s="207"/>
      <c r="VW50" s="306"/>
      <c r="VX50" s="272"/>
      <c r="VY50" s="205">
        <f t="shared" si="208"/>
        <v>0</v>
      </c>
      <c r="VZ50" s="120"/>
      <c r="WA50" s="207"/>
      <c r="WB50" s="207"/>
      <c r="WC50" s="124"/>
      <c r="WD50" s="207"/>
      <c r="WE50" s="272"/>
      <c r="WF50" s="272"/>
      <c r="WG50" s="205">
        <f t="shared" si="209"/>
        <v>0</v>
      </c>
      <c r="WH50" s="205">
        <f t="shared" si="210"/>
        <v>0</v>
      </c>
      <c r="WI50" s="207"/>
      <c r="WJ50" s="207"/>
      <c r="WK50" s="207"/>
      <c r="WL50" s="207"/>
      <c r="WM50" s="207"/>
      <c r="WN50" s="272"/>
      <c r="WO50" s="272"/>
      <c r="WP50" s="205">
        <f t="shared" si="211"/>
        <v>0</v>
      </c>
      <c r="WQ50" s="207"/>
      <c r="WR50" s="207"/>
      <c r="WS50" s="207"/>
      <c r="WT50" s="207"/>
      <c r="WU50" s="207"/>
      <c r="WV50" s="272"/>
      <c r="WW50" s="272"/>
      <c r="WX50" s="205">
        <f t="shared" si="212"/>
        <v>0</v>
      </c>
      <c r="WY50" s="207"/>
      <c r="WZ50" s="207"/>
      <c r="XA50" s="207"/>
      <c r="XB50" s="207"/>
      <c r="XC50" s="272"/>
      <c r="XD50" s="272"/>
      <c r="XE50" s="272"/>
      <c r="XF50" s="205">
        <f t="shared" si="213"/>
        <v>0</v>
      </c>
      <c r="XG50" s="207"/>
      <c r="XH50" s="207"/>
      <c r="XI50" s="201"/>
      <c r="XJ50" s="124"/>
      <c r="XK50" s="207"/>
      <c r="XL50" s="272"/>
      <c r="XM50" s="272"/>
      <c r="XN50" s="205">
        <f t="shared" si="214"/>
        <v>0</v>
      </c>
      <c r="XO50" s="207"/>
      <c r="XP50" s="207"/>
      <c r="XQ50" s="207"/>
      <c r="XR50" s="207"/>
      <c r="XS50" s="207"/>
      <c r="XT50" s="272"/>
      <c r="XU50" s="272"/>
      <c r="XV50" s="205">
        <f t="shared" si="215"/>
        <v>0</v>
      </c>
      <c r="XW50" s="205">
        <f t="shared" si="216"/>
        <v>0</v>
      </c>
      <c r="XX50" s="207"/>
      <c r="XY50" s="207"/>
      <c r="XZ50" s="306"/>
      <c r="YA50" s="207"/>
      <c r="YB50" s="207"/>
      <c r="YC50" s="272"/>
      <c r="YD50" s="272"/>
      <c r="YE50" s="205">
        <f t="shared" si="217"/>
        <v>0</v>
      </c>
      <c r="YF50" s="207"/>
      <c r="YG50" s="207"/>
      <c r="YH50" s="207"/>
      <c r="YI50" s="207"/>
      <c r="YJ50" s="207"/>
      <c r="YK50" s="272"/>
      <c r="YL50" s="272"/>
      <c r="YM50" s="205">
        <f t="shared" si="218"/>
        <v>0</v>
      </c>
      <c r="YN50" s="207"/>
      <c r="YO50" s="207"/>
      <c r="YP50" s="207"/>
      <c r="YQ50" s="207"/>
      <c r="YR50" s="207"/>
      <c r="YS50" s="272"/>
      <c r="YT50" s="272"/>
      <c r="YU50" s="205">
        <f t="shared" si="148"/>
        <v>0</v>
      </c>
      <c r="YV50" s="207"/>
      <c r="YW50" s="207"/>
      <c r="YX50" s="124"/>
      <c r="YY50" s="124"/>
      <c r="YZ50" s="207"/>
      <c r="ZA50" s="272"/>
      <c r="ZB50" s="272"/>
      <c r="ZC50" s="205">
        <f t="shared" si="219"/>
        <v>0</v>
      </c>
      <c r="ZD50" s="205">
        <f t="shared" si="149"/>
        <v>0</v>
      </c>
      <c r="ZE50" s="207"/>
      <c r="ZF50" s="207"/>
      <c r="ZG50" s="207"/>
      <c r="ZH50" s="207"/>
      <c r="ZI50" s="207"/>
      <c r="ZJ50" s="272"/>
      <c r="ZK50" s="272"/>
      <c r="ZL50" s="205">
        <f t="shared" si="220"/>
        <v>0</v>
      </c>
      <c r="ZM50" s="207"/>
      <c r="ZN50" s="207"/>
      <c r="ZO50" s="207"/>
      <c r="ZP50" s="207"/>
      <c r="ZQ50" s="207"/>
      <c r="ZR50" s="272"/>
      <c r="ZS50" s="272"/>
      <c r="ZT50" s="205">
        <f t="shared" si="221"/>
        <v>0</v>
      </c>
      <c r="ZU50" s="207"/>
      <c r="ZV50" s="207"/>
      <c r="ZW50" s="207"/>
      <c r="ZX50" s="207"/>
      <c r="ZY50" s="207"/>
      <c r="ZZ50" s="272"/>
      <c r="AAA50" s="272"/>
      <c r="AAB50" s="205">
        <f t="shared" si="222"/>
        <v>0</v>
      </c>
      <c r="AAC50" s="207"/>
      <c r="AAD50" s="207"/>
      <c r="AAE50" s="207"/>
      <c r="AAF50" s="207"/>
      <c r="AAG50" s="207"/>
      <c r="AAH50" s="272"/>
      <c r="AAI50" s="272"/>
      <c r="AAJ50" s="205">
        <f t="shared" si="223"/>
        <v>0</v>
      </c>
      <c r="AAK50" s="207"/>
      <c r="AAL50" s="207"/>
      <c r="AAM50" s="207"/>
      <c r="AAN50" s="207"/>
      <c r="AAO50" s="207"/>
      <c r="AAP50" s="272"/>
      <c r="AAQ50" s="272"/>
      <c r="AAR50" s="205">
        <f t="shared" si="224"/>
        <v>0</v>
      </c>
      <c r="AAS50" s="205">
        <f t="shared" si="225"/>
        <v>0</v>
      </c>
    </row>
    <row r="51" spans="1:721" ht="69" customHeight="1">
      <c r="B51" s="164">
        <v>3630101213</v>
      </c>
      <c r="C51" s="330"/>
      <c r="D51" s="163" t="s">
        <v>765</v>
      </c>
      <c r="E51" s="130" t="s">
        <v>4</v>
      </c>
      <c r="F51" s="120"/>
      <c r="G51" s="120"/>
      <c r="H51" s="120"/>
      <c r="I51" s="120"/>
      <c r="J51" s="120"/>
      <c r="K51" s="209"/>
      <c r="L51" s="205"/>
      <c r="M51" s="205">
        <f t="shared" ref="M51" si="375">SUM(F51:L51)</f>
        <v>0</v>
      </c>
      <c r="N51" s="120"/>
      <c r="O51" s="120"/>
      <c r="P51" s="120"/>
      <c r="Q51" s="120"/>
      <c r="R51" s="120"/>
      <c r="S51" s="209"/>
      <c r="T51" s="205"/>
      <c r="U51" s="205">
        <f t="shared" ref="U51" si="376">SUM(N51:T51)</f>
        <v>0</v>
      </c>
      <c r="V51" s="120"/>
      <c r="W51" s="120"/>
      <c r="X51" s="120"/>
      <c r="Y51" s="120"/>
      <c r="Z51" s="120"/>
      <c r="AA51" s="209"/>
      <c r="AB51" s="205"/>
      <c r="AC51" s="205">
        <f t="shared" ref="AC51" si="377">SUM(V51:AB51)</f>
        <v>0</v>
      </c>
      <c r="AD51" s="205"/>
      <c r="AE51" s="205"/>
      <c r="AF51" s="205"/>
      <c r="AG51" s="205"/>
      <c r="AH51" s="205"/>
      <c r="AI51" s="209"/>
      <c r="AJ51" s="205"/>
      <c r="AK51" s="205">
        <f t="shared" ref="AK51" si="378">SUM(AD51:AJ51)</f>
        <v>0</v>
      </c>
      <c r="AL51" s="205" t="e">
        <f>SUM(#REF!,M51,U51,AC51,AD51:AH51)</f>
        <v>#REF!</v>
      </c>
      <c r="AM51" s="120"/>
      <c r="AN51" s="120"/>
      <c r="AO51" s="120"/>
      <c r="AP51" s="120"/>
      <c r="AQ51" s="120"/>
      <c r="AR51" s="209"/>
      <c r="AS51" s="205"/>
      <c r="AT51" s="205">
        <f t="shared" ref="AT51" si="379">SUM(AM51:AS51)</f>
        <v>0</v>
      </c>
      <c r="AU51" s="120"/>
      <c r="AV51" s="120"/>
      <c r="AW51" s="120"/>
      <c r="AX51" s="120"/>
      <c r="AY51" s="120"/>
      <c r="AZ51" s="209"/>
      <c r="BA51" s="205"/>
      <c r="BB51" s="205">
        <f t="shared" ref="BB51" si="380">SUM(AU51:BA51)</f>
        <v>0</v>
      </c>
      <c r="BC51" s="120"/>
      <c r="BD51" s="120"/>
      <c r="BE51" s="120"/>
      <c r="BF51" s="120"/>
      <c r="BG51" s="120"/>
      <c r="BH51" s="209"/>
      <c r="BI51" s="205"/>
      <c r="BJ51" s="205">
        <f t="shared" ref="BJ51" si="381">SUM(BC51:BI51)</f>
        <v>0</v>
      </c>
      <c r="BK51" s="120"/>
      <c r="BL51" s="120"/>
      <c r="BM51" s="120"/>
      <c r="BN51" s="120"/>
      <c r="BO51" s="205"/>
      <c r="BP51" s="209"/>
      <c r="BQ51" s="205"/>
      <c r="BR51" s="205">
        <f t="shared" ref="BR51" si="382">SUM(BK51:BQ51)</f>
        <v>0</v>
      </c>
      <c r="BS51" s="205">
        <f t="shared" ref="BS51" si="383">SUM(AI51:AJ51,AT51,BB51,BJ51,BK51:BO51)</f>
        <v>0</v>
      </c>
      <c r="BT51" s="120"/>
      <c r="BU51" s="120"/>
      <c r="BV51" s="120"/>
      <c r="BW51" s="120"/>
      <c r="BX51" s="120"/>
      <c r="BY51" s="209"/>
      <c r="BZ51" s="205"/>
      <c r="CA51" s="205">
        <f t="shared" ref="CA51" si="384">SUM(BT51:BZ51)</f>
        <v>0</v>
      </c>
      <c r="CB51" s="120"/>
      <c r="CC51" s="120"/>
      <c r="CD51" s="120"/>
      <c r="CE51" s="120"/>
      <c r="CF51" s="120"/>
      <c r="CG51" s="209"/>
      <c r="CH51" s="205"/>
      <c r="CI51" s="205">
        <f t="shared" ref="CI51" si="385">SUM(CB51:CH51)</f>
        <v>0</v>
      </c>
      <c r="CJ51" s="120"/>
      <c r="CK51" s="120"/>
      <c r="CL51" s="120"/>
      <c r="CM51" s="120"/>
      <c r="CN51" s="120"/>
      <c r="CO51" s="209"/>
      <c r="CP51" s="205"/>
      <c r="CQ51" s="205">
        <f t="shared" ref="CQ51" si="386">SUM(CJ51:CP51)</f>
        <v>0</v>
      </c>
      <c r="CR51" s="120"/>
      <c r="CS51" s="120"/>
      <c r="CT51" s="120"/>
      <c r="CU51" s="120"/>
      <c r="CV51" s="120"/>
      <c r="CW51" s="209"/>
      <c r="CX51" s="205"/>
      <c r="CY51" s="205">
        <f t="shared" ref="CY51" si="387">SUM(CR51:CX51)</f>
        <v>0</v>
      </c>
      <c r="CZ51" s="120"/>
      <c r="DA51" s="120"/>
      <c r="DB51" s="120"/>
      <c r="DC51" s="205"/>
      <c r="DD51" s="205"/>
      <c r="DE51" s="209"/>
      <c r="DF51" s="205"/>
      <c r="DG51" s="205">
        <f t="shared" ref="DG51" si="388">SUM(CZ51:DF51)</f>
        <v>0</v>
      </c>
      <c r="DH51" s="205">
        <f t="shared" ref="DH51" si="389">SUM(CA51,CI51,CQ51,CY51,CZ51)</f>
        <v>0</v>
      </c>
      <c r="DI51" s="120"/>
      <c r="DJ51" s="120"/>
      <c r="DK51" s="120"/>
      <c r="DL51" s="120"/>
      <c r="DM51" s="120"/>
      <c r="DN51" s="209"/>
      <c r="DO51" s="205"/>
      <c r="DP51" s="205">
        <f t="shared" ref="DP51" si="390">SUM(DI51:DO51)</f>
        <v>0</v>
      </c>
      <c r="DQ51" s="120"/>
      <c r="DR51" s="120"/>
      <c r="DS51" s="120"/>
      <c r="DT51" s="120"/>
      <c r="DU51" s="120"/>
      <c r="DV51" s="209"/>
      <c r="DW51" s="205"/>
      <c r="DX51" s="205">
        <f t="shared" ref="DX51" si="391">SUM(DQ51:DW51)</f>
        <v>0</v>
      </c>
      <c r="DY51" s="120"/>
      <c r="DZ51" s="120"/>
      <c r="EA51" s="120"/>
      <c r="EB51" s="120"/>
      <c r="EC51" s="120"/>
      <c r="ED51" s="209"/>
      <c r="EE51" s="205"/>
      <c r="EF51" s="205">
        <f t="shared" ref="EF51" si="392">SUM(DY51:EE51)</f>
        <v>0</v>
      </c>
      <c r="EG51" s="120"/>
      <c r="EH51" s="120"/>
      <c r="EI51" s="120"/>
      <c r="EJ51" s="205"/>
      <c r="EK51" s="205"/>
      <c r="EL51" s="209"/>
      <c r="EM51" s="205"/>
      <c r="EN51" s="205">
        <f t="shared" ref="EN51" si="393">SUM(EG51:EM51)</f>
        <v>0</v>
      </c>
      <c r="EO51" s="205">
        <f t="shared" ref="EO51" si="394">SUM(DA51:DF51,DP51,DX51,EF51,EG51:EI51)</f>
        <v>0</v>
      </c>
      <c r="EP51" s="120"/>
      <c r="EQ51" s="120"/>
      <c r="ER51" s="120"/>
      <c r="ES51" s="120"/>
      <c r="ET51" s="120"/>
      <c r="EU51" s="209"/>
      <c r="EV51" s="205"/>
      <c r="EW51" s="205">
        <f t="shared" ref="EW51" si="395">SUM(EP51:EV51)</f>
        <v>0</v>
      </c>
      <c r="EX51" s="120"/>
      <c r="EY51" s="120"/>
      <c r="EZ51" s="120"/>
      <c r="FA51" s="120"/>
      <c r="FB51" s="120"/>
      <c r="FC51" s="209"/>
      <c r="FD51" s="205"/>
      <c r="FE51" s="205">
        <f t="shared" ref="FE51" si="396">SUM(EX51:FD51)</f>
        <v>0</v>
      </c>
      <c r="FF51" s="120"/>
      <c r="FG51" s="120"/>
      <c r="FH51" s="120"/>
      <c r="FI51" s="120"/>
      <c r="FJ51" s="120"/>
      <c r="FK51" s="209"/>
      <c r="FL51" s="205"/>
      <c r="FM51" s="205">
        <f t="shared" ref="FM51" si="397">SUM(FF51:FL51)</f>
        <v>0</v>
      </c>
      <c r="FN51" s="120"/>
      <c r="FO51" s="120"/>
      <c r="FP51" s="120"/>
      <c r="FQ51" s="120"/>
      <c r="FR51" s="205"/>
      <c r="FS51" s="209"/>
      <c r="FT51" s="205"/>
      <c r="FU51" s="205">
        <f t="shared" ref="FU51" si="398">SUM(FN51:FT51)</f>
        <v>0</v>
      </c>
      <c r="FV51" s="205">
        <f t="shared" ref="FV51" si="399">SUM(EJ51:EK51,EW51,FE51,FM51,FU51)</f>
        <v>0</v>
      </c>
      <c r="FW51" s="120"/>
      <c r="FX51" s="120"/>
      <c r="FY51" s="120"/>
      <c r="FZ51" s="120"/>
      <c r="GA51" s="120"/>
      <c r="GB51" s="209"/>
      <c r="GC51" s="205"/>
      <c r="GD51" s="205">
        <f t="shared" ref="GD51" si="400">SUM(FW51:GC51)</f>
        <v>0</v>
      </c>
      <c r="GE51" s="120"/>
      <c r="GF51" s="120"/>
      <c r="GG51" s="120"/>
      <c r="GH51" s="120"/>
      <c r="GI51" s="120"/>
      <c r="GJ51" s="209"/>
      <c r="GK51" s="205"/>
      <c r="GL51" s="205">
        <f t="shared" ref="GL51" si="401">SUM(GE51:GK51)</f>
        <v>0</v>
      </c>
      <c r="GM51" s="120"/>
      <c r="GN51" s="120"/>
      <c r="GO51" s="120"/>
      <c r="GP51" s="120"/>
      <c r="GQ51" s="120"/>
      <c r="GR51" s="209"/>
      <c r="GS51" s="205"/>
      <c r="GT51" s="205">
        <f t="shared" ref="GT51" si="402">SUM(GM51:GS51)</f>
        <v>0</v>
      </c>
      <c r="GU51" s="120"/>
      <c r="GV51" s="120"/>
      <c r="GW51" s="120"/>
      <c r="GX51" s="120"/>
      <c r="GY51" s="120"/>
      <c r="GZ51" s="209"/>
      <c r="HA51" s="205"/>
      <c r="HB51" s="205">
        <f t="shared" ref="HB51" si="403">SUM(GU51:HA51)</f>
        <v>0</v>
      </c>
      <c r="HC51" s="120"/>
      <c r="HD51" s="120"/>
      <c r="HE51" s="120"/>
      <c r="HF51" s="120"/>
      <c r="HG51" s="120"/>
      <c r="HH51" s="209"/>
      <c r="HI51" s="205"/>
      <c r="HJ51" s="205">
        <f t="shared" ref="HJ51" si="404">SUM(HC51:HI51)</f>
        <v>0</v>
      </c>
      <c r="HK51" s="205">
        <f t="shared" ref="HK51" si="405">SUM(GD51,GL51,GT51,HB51,HC51)</f>
        <v>0</v>
      </c>
      <c r="HL51" s="124"/>
      <c r="HM51" s="120"/>
      <c r="HN51" s="120"/>
      <c r="HO51" s="120"/>
      <c r="HP51" s="120"/>
      <c r="HQ51" s="205"/>
      <c r="HR51" s="205"/>
      <c r="HS51" s="205">
        <f t="shared" ref="HS51" si="406">SUM(HL51:HR51)</f>
        <v>0</v>
      </c>
      <c r="HT51" s="120"/>
      <c r="HU51" s="120"/>
      <c r="HV51" s="120"/>
      <c r="HW51" s="120"/>
      <c r="HX51" s="120"/>
      <c r="HY51" s="205"/>
      <c r="HZ51" s="205"/>
      <c r="IA51" s="205">
        <f t="shared" ref="IA51" si="407">SUM(HT51:HZ51)</f>
        <v>0</v>
      </c>
      <c r="IB51" s="120"/>
      <c r="IC51" s="120"/>
      <c r="ID51" s="120"/>
      <c r="IE51" s="120"/>
      <c r="IF51" s="120"/>
      <c r="IG51" s="205"/>
      <c r="IH51" s="205"/>
      <c r="II51" s="205">
        <f t="shared" ref="II51" si="408">SUM(IB51:IH51)</f>
        <v>0</v>
      </c>
      <c r="IJ51" s="120"/>
      <c r="IK51" s="120"/>
      <c r="IL51" s="120"/>
      <c r="IM51" s="120"/>
      <c r="IN51" s="120"/>
      <c r="IO51" s="205"/>
      <c r="IP51" s="205"/>
      <c r="IQ51" s="205">
        <f t="shared" ref="IQ51" si="409">SUM(IJ51:IP51)</f>
        <v>0</v>
      </c>
      <c r="IR51" s="205">
        <f t="shared" ref="IR51" si="410">SUM(IJ51:IM51,II51,IA51,HS51,HD51:HG51,HH51:HI51)</f>
        <v>0</v>
      </c>
      <c r="IS51" s="120"/>
      <c r="IT51" s="217">
        <v>7000</v>
      </c>
      <c r="IU51" s="120"/>
      <c r="IV51" s="217">
        <v>7000</v>
      </c>
      <c r="IW51" s="120"/>
      <c r="IX51" s="205"/>
      <c r="IY51" s="205"/>
      <c r="IZ51" s="205">
        <f t="shared" ref="IZ51" si="411">SUM(IS51:IY51)</f>
        <v>14000</v>
      </c>
      <c r="JA51" s="120"/>
      <c r="JB51" s="120"/>
      <c r="JC51" s="120"/>
      <c r="JD51" s="120"/>
      <c r="JE51" s="120"/>
      <c r="JF51" s="205"/>
      <c r="JG51" s="205"/>
      <c r="JH51" s="205">
        <f t="shared" ref="JH51" si="412">SUM(JA51:JG51)</f>
        <v>0</v>
      </c>
      <c r="JI51" s="120"/>
      <c r="JJ51" s="120"/>
      <c r="JK51" s="195">
        <v>9000</v>
      </c>
      <c r="JL51" s="120"/>
      <c r="JM51" s="195">
        <v>4000</v>
      </c>
      <c r="JN51" s="205"/>
      <c r="JO51" s="205"/>
      <c r="JP51" s="205">
        <f t="shared" ref="JP51" si="413">SUM(JI51:JO51)</f>
        <v>13000</v>
      </c>
      <c r="JQ51" s="120"/>
      <c r="JR51" s="120"/>
      <c r="JS51" s="120"/>
      <c r="JT51" s="120"/>
      <c r="JU51" s="120"/>
      <c r="JV51" s="205"/>
      <c r="JW51" s="205"/>
      <c r="JX51" s="205">
        <f t="shared" ref="JX51" si="414">SUM(JQ51:JW51)</f>
        <v>0</v>
      </c>
      <c r="JY51" s="205">
        <f t="shared" si="163"/>
        <v>27000</v>
      </c>
      <c r="JZ51" s="120"/>
      <c r="KA51" s="250">
        <v>2000</v>
      </c>
      <c r="KB51" s="120"/>
      <c r="KC51" s="120"/>
      <c r="KD51" s="120"/>
      <c r="KE51" s="205"/>
      <c r="KF51" s="205"/>
      <c r="KG51" s="205">
        <f t="shared" ref="KG51" si="415">SUM(JZ51:KF51)</f>
        <v>2000</v>
      </c>
      <c r="KH51" s="120"/>
      <c r="KI51" s="120"/>
      <c r="KJ51" s="120"/>
      <c r="KK51" s="120"/>
      <c r="KL51" s="120"/>
      <c r="KM51" s="205"/>
      <c r="KN51" s="205"/>
      <c r="KO51" s="205">
        <f t="shared" ref="KO51" si="416">SUM(KH51:KN51)</f>
        <v>0</v>
      </c>
      <c r="KP51" s="120"/>
      <c r="KQ51" s="120"/>
      <c r="KR51" s="120"/>
      <c r="KS51" s="124">
        <v>4000</v>
      </c>
      <c r="KT51" s="120"/>
      <c r="KU51" s="205"/>
      <c r="KV51" s="205"/>
      <c r="KW51" s="205">
        <f t="shared" ref="KW51" si="417">SUM(KP51:KV51)</f>
        <v>4000</v>
      </c>
      <c r="KX51" s="120"/>
      <c r="KY51" s="120"/>
      <c r="KZ51" s="120"/>
      <c r="LA51" s="195">
        <v>9000</v>
      </c>
      <c r="LB51" s="120"/>
      <c r="LC51" s="205"/>
      <c r="LD51" s="205"/>
      <c r="LE51" s="205">
        <f t="shared" ref="LE51" si="418">SUM(KX51:LD51)</f>
        <v>9000</v>
      </c>
      <c r="LF51" s="205"/>
      <c r="LG51" s="120"/>
      <c r="LH51" s="120"/>
      <c r="LI51" s="120"/>
      <c r="LJ51" s="120"/>
      <c r="LK51" s="205"/>
      <c r="LL51" s="205"/>
      <c r="LM51" s="205">
        <f t="shared" ref="LM51" si="419">SUM(LF51:LL51)</f>
        <v>0</v>
      </c>
      <c r="LN51" s="205">
        <f t="shared" ref="LN51" si="420">SUM(LF51:LG51,LE51,KW51,KO51,KG51)</f>
        <v>15000</v>
      </c>
      <c r="LO51" s="205"/>
      <c r="LP51" s="120"/>
      <c r="LQ51" s="120"/>
      <c r="LR51" s="120"/>
      <c r="LS51" s="205"/>
      <c r="LT51" s="205"/>
      <c r="LU51" s="205"/>
      <c r="LV51" s="205">
        <f t="shared" ref="LV51" si="421">SUM(LO51:LU51)</f>
        <v>0</v>
      </c>
      <c r="LW51" s="120"/>
      <c r="LX51" s="120"/>
      <c r="LY51" s="120"/>
      <c r="LZ51" s="120"/>
      <c r="MA51" s="124">
        <v>5000</v>
      </c>
      <c r="MB51" s="205"/>
      <c r="MC51" s="205"/>
      <c r="MD51" s="205">
        <f t="shared" ref="MD51" si="422">SUM(LW51:MC51)</f>
        <v>5000</v>
      </c>
      <c r="ME51" s="120"/>
      <c r="MF51" s="120"/>
      <c r="MG51" s="120"/>
      <c r="MH51" s="120"/>
      <c r="MI51" s="205"/>
      <c r="MJ51" s="205"/>
      <c r="MK51" s="205"/>
      <c r="ML51" s="205">
        <f t="shared" ref="ML51" si="423">SUM(ME51:MK51)</f>
        <v>0</v>
      </c>
      <c r="MM51" s="120"/>
      <c r="MN51" s="120"/>
      <c r="MO51" s="120"/>
      <c r="MP51" s="217">
        <v>9000</v>
      </c>
      <c r="MQ51" s="120"/>
      <c r="MR51" s="205"/>
      <c r="MS51" s="205"/>
      <c r="MT51" s="205">
        <f t="shared" ref="MT51" si="424">SUM(MM51:MS51)</f>
        <v>9000</v>
      </c>
      <c r="MU51" s="205">
        <f t="shared" ref="MU51" si="425">SUM(LH51:LL51,LV51,MD51,ML51,MM51:MQ51)</f>
        <v>14000</v>
      </c>
      <c r="MV51" s="120"/>
      <c r="MW51" s="120"/>
      <c r="MX51" s="120"/>
      <c r="MY51" s="120"/>
      <c r="MZ51" s="120"/>
      <c r="NA51" s="205"/>
      <c r="NB51" s="205"/>
      <c r="NC51" s="205">
        <f t="shared" ref="NC51" si="426">SUM(MV51:NB51)</f>
        <v>0</v>
      </c>
      <c r="ND51" s="217">
        <v>11000</v>
      </c>
      <c r="NE51" s="120"/>
      <c r="NF51" s="120"/>
      <c r="NG51" s="120"/>
      <c r="NH51" s="120"/>
      <c r="NI51" s="205"/>
      <c r="NJ51" s="205"/>
      <c r="NK51" s="205">
        <f t="shared" ref="NK51" si="427">SUM(ND51:NJ51)</f>
        <v>11000</v>
      </c>
      <c r="NL51" s="120"/>
      <c r="NM51" s="120"/>
      <c r="NN51" s="120"/>
      <c r="NO51" s="120"/>
      <c r="NP51" s="120"/>
      <c r="NQ51" s="205"/>
      <c r="NR51" s="205"/>
      <c r="NS51" s="205">
        <f t="shared" ref="NS51" si="428">SUM(NL51:NR51)</f>
        <v>0</v>
      </c>
      <c r="NT51" s="120"/>
      <c r="NU51" s="120"/>
      <c r="NV51" s="120"/>
      <c r="NW51" s="120"/>
      <c r="NX51" s="120"/>
      <c r="NY51" s="205"/>
      <c r="NZ51" s="205"/>
      <c r="OA51" s="205">
        <f t="shared" ref="OA51" si="429">SUM(NT51:NZ51)</f>
        <v>0</v>
      </c>
      <c r="OB51" s="205">
        <f t="shared" ref="OB51" si="430">SUM(MR51:MS51,NC51,NK51,NS51,OA51)</f>
        <v>11000</v>
      </c>
      <c r="OC51" s="120"/>
      <c r="OD51" s="201">
        <v>2000</v>
      </c>
      <c r="OE51" s="120"/>
      <c r="OF51" s="201">
        <v>7500</v>
      </c>
      <c r="OG51" s="120"/>
      <c r="OH51" s="205"/>
      <c r="OI51" s="205"/>
      <c r="OJ51" s="205">
        <f t="shared" ref="OJ51" si="431">SUM(OC51:OI51)</f>
        <v>9500</v>
      </c>
      <c r="OK51" s="120"/>
      <c r="OL51" s="120"/>
      <c r="OM51" s="120"/>
      <c r="ON51" s="195">
        <v>3500</v>
      </c>
      <c r="OO51" s="120"/>
      <c r="OP51" s="205"/>
      <c r="OQ51" s="205"/>
      <c r="OR51" s="205">
        <f t="shared" ref="OR51" si="432">SUM(OK51:OQ51)</f>
        <v>3500</v>
      </c>
      <c r="OS51" s="120"/>
      <c r="OT51" s="120"/>
      <c r="OU51" s="120"/>
      <c r="OV51" s="120"/>
      <c r="OW51" s="120"/>
      <c r="OX51" s="205"/>
      <c r="OY51" s="205"/>
      <c r="OZ51" s="205">
        <f t="shared" ref="OZ51" si="433">SUM(OS51:OY51)</f>
        <v>0</v>
      </c>
      <c r="PA51" s="120"/>
      <c r="PB51" s="120"/>
      <c r="PC51" s="120"/>
      <c r="PD51" s="205"/>
      <c r="PE51" s="217"/>
      <c r="PF51" s="205"/>
      <c r="PG51" s="205"/>
      <c r="PH51" s="205">
        <f t="shared" ref="PH51" si="434">SUM(PA51:PG51)</f>
        <v>0</v>
      </c>
      <c r="PI51" s="120"/>
      <c r="PJ51" s="120"/>
      <c r="PK51" s="120"/>
      <c r="PL51" s="205"/>
      <c r="PM51" s="217"/>
      <c r="PN51" s="205"/>
      <c r="PO51" s="205"/>
      <c r="PP51" s="205">
        <f t="shared" ref="PP51" si="435">SUM(PI51:PO51)</f>
        <v>0</v>
      </c>
      <c r="PQ51" s="205">
        <f t="shared" ref="PQ51" si="436">SUM(OJ51,OR51,OZ51,PH51,PI51:PK51)</f>
        <v>13000</v>
      </c>
      <c r="PR51" s="207"/>
      <c r="PS51" s="207"/>
      <c r="PT51" s="207"/>
      <c r="PU51" s="207"/>
      <c r="PV51" s="207"/>
      <c r="PW51" s="272"/>
      <c r="PX51" s="272"/>
      <c r="PY51" s="205">
        <f t="shared" si="186"/>
        <v>0</v>
      </c>
      <c r="PZ51" s="207"/>
      <c r="QA51" s="207"/>
      <c r="QB51" s="120"/>
      <c r="QC51" s="120"/>
      <c r="QD51" s="120"/>
      <c r="QE51" s="272"/>
      <c r="QF51" s="272"/>
      <c r="QG51" s="205">
        <f t="shared" si="187"/>
        <v>0</v>
      </c>
      <c r="QH51" s="207"/>
      <c r="QI51" s="207"/>
      <c r="QJ51" s="294"/>
      <c r="QK51" s="207"/>
      <c r="QL51" s="201">
        <v>5500</v>
      </c>
      <c r="QM51" s="272"/>
      <c r="QN51" s="272"/>
      <c r="QO51" s="205">
        <f t="shared" si="188"/>
        <v>5500</v>
      </c>
      <c r="QP51" s="124">
        <v>4500</v>
      </c>
      <c r="QQ51" s="120"/>
      <c r="QR51" s="120"/>
      <c r="QS51" s="120"/>
      <c r="QT51" s="120"/>
      <c r="QU51" s="272"/>
      <c r="QV51" s="272"/>
      <c r="QW51" s="205">
        <f t="shared" si="320"/>
        <v>4500</v>
      </c>
      <c r="QX51" s="205">
        <f t="shared" si="190"/>
        <v>10000</v>
      </c>
      <c r="QY51" s="207"/>
      <c r="QZ51" s="207"/>
      <c r="RA51" s="195">
        <v>9500</v>
      </c>
      <c r="RB51" s="207"/>
      <c r="RC51" s="207"/>
      <c r="RD51" s="272"/>
      <c r="RE51" s="272"/>
      <c r="RF51" s="205">
        <f t="shared" si="191"/>
        <v>9500</v>
      </c>
      <c r="RG51" s="120"/>
      <c r="RH51" s="120"/>
      <c r="RI51" s="120"/>
      <c r="RJ51" s="124">
        <v>9500</v>
      </c>
      <c r="RK51" s="120"/>
      <c r="RL51" s="272"/>
      <c r="RM51" s="272"/>
      <c r="RN51" s="205">
        <f t="shared" si="192"/>
        <v>9500</v>
      </c>
      <c r="RO51" s="272"/>
      <c r="RP51" s="272"/>
      <c r="RQ51" s="272"/>
      <c r="RR51" s="272"/>
      <c r="RS51" s="272"/>
      <c r="RT51" s="272"/>
      <c r="RU51" s="272"/>
      <c r="RV51" s="205">
        <f t="shared" si="193"/>
        <v>0</v>
      </c>
      <c r="RW51" s="120"/>
      <c r="RX51" s="123">
        <v>9200</v>
      </c>
      <c r="RY51" s="207"/>
      <c r="RZ51" s="120"/>
      <c r="SA51" s="272"/>
      <c r="SB51" s="272"/>
      <c r="SC51" s="272"/>
      <c r="SD51" s="205">
        <f t="shared" si="194"/>
        <v>9200</v>
      </c>
      <c r="SE51" s="205">
        <f t="shared" si="195"/>
        <v>28200</v>
      </c>
      <c r="SF51" s="207"/>
      <c r="SG51" s="207"/>
      <c r="SH51" s="207"/>
      <c r="SI51" s="207"/>
      <c r="SJ51" s="207"/>
      <c r="SK51" s="272"/>
      <c r="SL51" s="272"/>
      <c r="SM51" s="205">
        <f t="shared" si="196"/>
        <v>0</v>
      </c>
      <c r="SN51" s="207"/>
      <c r="SO51" s="207"/>
      <c r="SP51" s="207"/>
      <c r="SQ51" s="207"/>
      <c r="SR51" s="207"/>
      <c r="SS51" s="272"/>
      <c r="ST51" s="272"/>
      <c r="SU51" s="205">
        <f t="shared" si="197"/>
        <v>0</v>
      </c>
      <c r="SV51" s="207"/>
      <c r="SW51" s="207"/>
      <c r="SX51" s="207"/>
      <c r="SY51" s="207"/>
      <c r="SZ51" s="207"/>
      <c r="TA51" s="272"/>
      <c r="TB51" s="272"/>
      <c r="TC51" s="205">
        <f t="shared" si="198"/>
        <v>0</v>
      </c>
      <c r="TD51" s="207"/>
      <c r="TE51" s="207"/>
      <c r="TF51" s="207"/>
      <c r="TG51" s="207"/>
      <c r="TH51" s="124">
        <v>9500</v>
      </c>
      <c r="TI51" s="124">
        <v>2500</v>
      </c>
      <c r="TJ51" s="272"/>
      <c r="TK51" s="205">
        <f t="shared" si="199"/>
        <v>12000</v>
      </c>
      <c r="TL51" s="207"/>
      <c r="TM51" s="207"/>
      <c r="TN51" s="207"/>
      <c r="TO51" s="207"/>
      <c r="TP51" s="272"/>
      <c r="TQ51" s="272"/>
      <c r="TR51" s="272"/>
      <c r="TS51" s="205">
        <f t="shared" si="200"/>
        <v>0</v>
      </c>
      <c r="TT51" s="205">
        <f t="shared" si="201"/>
        <v>12000</v>
      </c>
      <c r="TU51" s="272"/>
      <c r="TV51" s="207"/>
      <c r="TW51" s="207"/>
      <c r="TX51" s="120"/>
      <c r="TY51" s="207"/>
      <c r="TZ51" s="272"/>
      <c r="UA51" s="272"/>
      <c r="UB51" s="205">
        <f t="shared" si="202"/>
        <v>0</v>
      </c>
      <c r="UC51" s="207"/>
      <c r="UD51" s="207"/>
      <c r="UE51" s="207"/>
      <c r="UF51" s="207"/>
      <c r="UG51" s="201">
        <v>3000</v>
      </c>
      <c r="UH51" s="272"/>
      <c r="UI51" s="272"/>
      <c r="UJ51" s="205">
        <f t="shared" si="240"/>
        <v>3000</v>
      </c>
      <c r="UK51" s="207"/>
      <c r="UL51" s="207"/>
      <c r="UM51" s="207"/>
      <c r="UN51" s="120"/>
      <c r="UO51" s="201">
        <v>8000</v>
      </c>
      <c r="UP51" s="272"/>
      <c r="UQ51" s="272"/>
      <c r="UR51" s="205">
        <f>SUM(UL51:UQ51)</f>
        <v>8000</v>
      </c>
      <c r="US51" s="207"/>
      <c r="UT51" s="207"/>
      <c r="UU51" s="207"/>
      <c r="UV51" s="201">
        <v>2000</v>
      </c>
      <c r="UW51" s="272"/>
      <c r="UX51" s="272"/>
      <c r="UY51" s="272"/>
      <c r="UZ51" s="205">
        <f t="shared" si="204"/>
        <v>2000</v>
      </c>
      <c r="VA51" s="205">
        <f t="shared" si="205"/>
        <v>13000</v>
      </c>
      <c r="VB51" s="207"/>
      <c r="VC51" s="207"/>
      <c r="VD51" s="120"/>
      <c r="VE51" s="207"/>
      <c r="VF51" s="201">
        <v>9500</v>
      </c>
      <c r="VG51" s="272"/>
      <c r="VH51" s="272"/>
      <c r="VI51" s="205">
        <f t="shared" si="206"/>
        <v>9500</v>
      </c>
      <c r="VJ51" s="207"/>
      <c r="VK51" s="207"/>
      <c r="VL51" s="207"/>
      <c r="VM51" s="207"/>
      <c r="VN51" s="207"/>
      <c r="VO51" s="124">
        <v>11280</v>
      </c>
      <c r="VP51" s="272"/>
      <c r="VQ51" s="205">
        <f t="shared" si="207"/>
        <v>11280</v>
      </c>
      <c r="VR51" s="207"/>
      <c r="VS51" s="120"/>
      <c r="VT51" s="120"/>
      <c r="VU51" s="120"/>
      <c r="VV51" s="207"/>
      <c r="VW51" s="124">
        <v>8000</v>
      </c>
      <c r="VX51" s="272"/>
      <c r="VY51" s="205">
        <f t="shared" si="208"/>
        <v>8000</v>
      </c>
      <c r="VZ51" s="120"/>
      <c r="WA51" s="207"/>
      <c r="WB51" s="207"/>
      <c r="WC51" s="124">
        <v>5000</v>
      </c>
      <c r="WD51" s="207"/>
      <c r="WE51" s="272"/>
      <c r="WF51" s="272"/>
      <c r="WG51" s="205">
        <f t="shared" si="209"/>
        <v>5000</v>
      </c>
      <c r="WH51" s="205">
        <f t="shared" si="210"/>
        <v>33780</v>
      </c>
      <c r="WI51" s="207"/>
      <c r="WJ51" s="207"/>
      <c r="WK51" s="207"/>
      <c r="WL51" s="207"/>
      <c r="WM51" s="207"/>
      <c r="WN51" s="272"/>
      <c r="WO51" s="272"/>
      <c r="WP51" s="205">
        <f t="shared" si="211"/>
        <v>0</v>
      </c>
      <c r="WQ51" s="207"/>
      <c r="WR51" s="207"/>
      <c r="WS51" s="207"/>
      <c r="WT51" s="207"/>
      <c r="WU51" s="207"/>
      <c r="WV51" s="272"/>
      <c r="WW51" s="272"/>
      <c r="WX51" s="205">
        <f t="shared" si="212"/>
        <v>0</v>
      </c>
      <c r="WY51" s="207"/>
      <c r="WZ51" s="207"/>
      <c r="XA51" s="207"/>
      <c r="XB51" s="207"/>
      <c r="XC51" s="272"/>
      <c r="XD51" s="272"/>
      <c r="XE51" s="272"/>
      <c r="XF51" s="205">
        <f t="shared" si="213"/>
        <v>0</v>
      </c>
      <c r="XG51" s="207"/>
      <c r="XH51" s="207"/>
      <c r="XI51" s="207"/>
      <c r="XJ51" s="124">
        <v>6500</v>
      </c>
      <c r="XK51" s="207"/>
      <c r="XL51" s="272"/>
      <c r="XM51" s="272"/>
      <c r="XN51" s="205">
        <f t="shared" si="214"/>
        <v>6500</v>
      </c>
      <c r="XO51" s="207"/>
      <c r="XP51" s="207"/>
      <c r="XQ51" s="207"/>
      <c r="XR51" s="207"/>
      <c r="XS51" s="207"/>
      <c r="XT51" s="272"/>
      <c r="XU51" s="272"/>
      <c r="XV51" s="205">
        <f t="shared" si="215"/>
        <v>0</v>
      </c>
      <c r="XW51" s="205">
        <f t="shared" si="216"/>
        <v>6500</v>
      </c>
      <c r="XX51" s="207"/>
      <c r="XY51" s="207"/>
      <c r="XZ51" s="124">
        <v>6500</v>
      </c>
      <c r="YA51" s="207"/>
      <c r="YB51" s="207"/>
      <c r="YC51" s="272"/>
      <c r="YD51" s="272"/>
      <c r="YE51" s="205">
        <f t="shared" si="217"/>
        <v>6500</v>
      </c>
      <c r="YF51" s="207"/>
      <c r="YG51" s="207"/>
      <c r="YH51" s="207"/>
      <c r="YI51" s="207"/>
      <c r="YJ51" s="207"/>
      <c r="YK51" s="272"/>
      <c r="YL51" s="272"/>
      <c r="YM51" s="205">
        <f t="shared" si="218"/>
        <v>0</v>
      </c>
      <c r="YN51" s="207"/>
      <c r="YO51" s="207"/>
      <c r="YP51" s="207"/>
      <c r="YQ51" s="207"/>
      <c r="YR51" s="207"/>
      <c r="YS51" s="272"/>
      <c r="YT51" s="272"/>
      <c r="YU51" s="205">
        <f t="shared" si="148"/>
        <v>0</v>
      </c>
      <c r="YV51" s="207"/>
      <c r="YW51" s="207"/>
      <c r="YX51" s="124">
        <v>9500</v>
      </c>
      <c r="YY51" s="124">
        <v>9500</v>
      </c>
      <c r="YZ51" s="207"/>
      <c r="ZA51" s="272"/>
      <c r="ZB51" s="272"/>
      <c r="ZC51" s="205">
        <f t="shared" si="219"/>
        <v>19000</v>
      </c>
      <c r="ZD51" s="205">
        <f t="shared" si="149"/>
        <v>25500</v>
      </c>
      <c r="ZE51" s="207"/>
      <c r="ZF51" s="207"/>
      <c r="ZG51" s="207"/>
      <c r="ZH51" s="207"/>
      <c r="ZI51" s="207"/>
      <c r="ZJ51" s="272"/>
      <c r="ZK51" s="272"/>
      <c r="ZL51" s="205">
        <f t="shared" si="220"/>
        <v>0</v>
      </c>
      <c r="ZM51" s="207"/>
      <c r="ZN51" s="207"/>
      <c r="ZO51" s="207"/>
      <c r="ZP51" s="207"/>
      <c r="ZQ51" s="207"/>
      <c r="ZR51" s="272"/>
      <c r="ZS51" s="272"/>
      <c r="ZT51" s="205">
        <f t="shared" si="221"/>
        <v>0</v>
      </c>
      <c r="ZU51" s="207"/>
      <c r="ZV51" s="207"/>
      <c r="ZW51" s="207"/>
      <c r="ZX51" s="207"/>
      <c r="ZY51" s="207"/>
      <c r="ZZ51" s="272"/>
      <c r="AAA51" s="272"/>
      <c r="AAB51" s="205">
        <f t="shared" si="222"/>
        <v>0</v>
      </c>
      <c r="AAC51" s="207"/>
      <c r="AAD51" s="207"/>
      <c r="AAE51" s="207"/>
      <c r="AAF51" s="207"/>
      <c r="AAG51" s="207"/>
      <c r="AAH51" s="272"/>
      <c r="AAI51" s="272"/>
      <c r="AAJ51" s="205">
        <f t="shared" si="223"/>
        <v>0</v>
      </c>
      <c r="AAK51" s="207"/>
      <c r="AAL51" s="207"/>
      <c r="AAM51" s="207"/>
      <c r="AAN51" s="207"/>
      <c r="AAO51" s="207"/>
      <c r="AAP51" s="272"/>
      <c r="AAQ51" s="272"/>
      <c r="AAR51" s="205">
        <f t="shared" si="224"/>
        <v>0</v>
      </c>
      <c r="AAS51" s="205">
        <f t="shared" si="225"/>
        <v>0</v>
      </c>
    </row>
    <row r="52" spans="1:721" ht="69.599999999999994" customHeight="1">
      <c r="B52" s="162">
        <v>3630101103</v>
      </c>
      <c r="C52" s="331"/>
      <c r="D52" s="163" t="s">
        <v>14</v>
      </c>
      <c r="E52" s="130" t="s">
        <v>4</v>
      </c>
      <c r="F52" s="120"/>
      <c r="G52" s="120"/>
      <c r="H52" s="120"/>
      <c r="I52" s="201">
        <v>1000</v>
      </c>
      <c r="J52" s="120"/>
      <c r="K52" s="209"/>
      <c r="L52" s="205"/>
      <c r="M52" s="205">
        <f t="shared" si="303"/>
        <v>1000</v>
      </c>
      <c r="N52" s="120"/>
      <c r="O52" s="120"/>
      <c r="P52" s="120"/>
      <c r="Q52" s="120"/>
      <c r="R52" s="120"/>
      <c r="S52" s="209"/>
      <c r="T52" s="205"/>
      <c r="U52" s="205">
        <f t="shared" si="304"/>
        <v>0</v>
      </c>
      <c r="V52" s="120"/>
      <c r="W52" s="120"/>
      <c r="X52" s="201">
        <v>2000</v>
      </c>
      <c r="Y52" s="120"/>
      <c r="Z52" s="120"/>
      <c r="AA52" s="209"/>
      <c r="AB52" s="205"/>
      <c r="AC52" s="205">
        <f t="shared" si="305"/>
        <v>2000</v>
      </c>
      <c r="AD52" s="205"/>
      <c r="AE52" s="205"/>
      <c r="AF52" s="205"/>
      <c r="AG52" s="205"/>
      <c r="AH52" s="205"/>
      <c r="AI52" s="209"/>
      <c r="AJ52" s="205"/>
      <c r="AK52" s="205">
        <f t="shared" si="306"/>
        <v>0</v>
      </c>
      <c r="AL52" s="205" t="e">
        <f>SUM(#REF!,M52,U52,AC52,AD52:AH52)</f>
        <v>#REF!</v>
      </c>
      <c r="AM52" s="120"/>
      <c r="AN52" s="124">
        <v>2000</v>
      </c>
      <c r="AO52" s="120"/>
      <c r="AP52" s="120"/>
      <c r="AQ52" s="120"/>
      <c r="AR52" s="209"/>
      <c r="AS52" s="205"/>
      <c r="AT52" s="205">
        <f t="shared" si="245"/>
        <v>2000</v>
      </c>
      <c r="AU52" s="120"/>
      <c r="AV52" s="120"/>
      <c r="AW52" s="120"/>
      <c r="AX52" s="250">
        <v>2000</v>
      </c>
      <c r="AY52" s="120"/>
      <c r="AZ52" s="209"/>
      <c r="BA52" s="205"/>
      <c r="BB52" s="205">
        <f t="shared" si="246"/>
        <v>2000</v>
      </c>
      <c r="BC52" s="120"/>
      <c r="BD52" s="120"/>
      <c r="BE52" s="120"/>
      <c r="BF52" s="120"/>
      <c r="BG52" s="120"/>
      <c r="BH52" s="209"/>
      <c r="BI52" s="205"/>
      <c r="BJ52" s="205">
        <f t="shared" si="247"/>
        <v>0</v>
      </c>
      <c r="BK52" s="120"/>
      <c r="BL52" s="120"/>
      <c r="BM52" s="120"/>
      <c r="BN52" s="120"/>
      <c r="BO52" s="205"/>
      <c r="BP52" s="209"/>
      <c r="BQ52" s="205"/>
      <c r="BR52" s="205">
        <f>SUM(BK52:BQ52)</f>
        <v>0</v>
      </c>
      <c r="BS52" s="205">
        <f>SUM(AI52:AJ52,AT52,BB52,BJ52,BK52:BO52)</f>
        <v>4000</v>
      </c>
      <c r="BT52" s="120"/>
      <c r="BU52" s="250">
        <v>2000</v>
      </c>
      <c r="BV52" s="120"/>
      <c r="BW52" s="120"/>
      <c r="BX52" s="120"/>
      <c r="BY52" s="209"/>
      <c r="BZ52" s="205"/>
      <c r="CA52" s="205">
        <f t="shared" si="250"/>
        <v>2000</v>
      </c>
      <c r="CB52" s="120"/>
      <c r="CC52" s="120"/>
      <c r="CD52" s="120"/>
      <c r="CE52" s="120"/>
      <c r="CF52" s="120"/>
      <c r="CG52" s="209"/>
      <c r="CH52" s="205"/>
      <c r="CI52" s="205">
        <f t="shared" si="251"/>
        <v>0</v>
      </c>
      <c r="CJ52" s="120"/>
      <c r="CK52" s="120"/>
      <c r="CL52" s="195">
        <v>2000</v>
      </c>
      <c r="CM52" s="120"/>
      <c r="CN52" s="120"/>
      <c r="CO52" s="209"/>
      <c r="CP52" s="205"/>
      <c r="CQ52" s="205">
        <f t="shared" si="252"/>
        <v>2000</v>
      </c>
      <c r="CR52" s="120"/>
      <c r="CS52" s="120"/>
      <c r="CT52" s="120"/>
      <c r="CU52" s="120"/>
      <c r="CV52" s="120"/>
      <c r="CW52" s="209"/>
      <c r="CX52" s="205"/>
      <c r="CY52" s="205">
        <f t="shared" si="253"/>
        <v>0</v>
      </c>
      <c r="CZ52" s="120"/>
      <c r="DA52" s="120"/>
      <c r="DB52" s="120"/>
      <c r="DC52" s="205"/>
      <c r="DD52" s="205"/>
      <c r="DE52" s="209"/>
      <c r="DF52" s="205"/>
      <c r="DG52" s="205">
        <f t="shared" si="254"/>
        <v>0</v>
      </c>
      <c r="DH52" s="205">
        <f t="shared" si="150"/>
        <v>4000</v>
      </c>
      <c r="DI52" s="207"/>
      <c r="DJ52" s="120"/>
      <c r="DK52" s="250">
        <v>4000</v>
      </c>
      <c r="DL52" s="120"/>
      <c r="DM52" s="120"/>
      <c r="DN52" s="209"/>
      <c r="DO52" s="205"/>
      <c r="DP52" s="205">
        <f t="shared" si="228"/>
        <v>4000</v>
      </c>
      <c r="DQ52" s="120"/>
      <c r="DR52" s="120"/>
      <c r="DS52" s="217">
        <v>2000</v>
      </c>
      <c r="DT52" s="120"/>
      <c r="DU52" s="120"/>
      <c r="DV52" s="209"/>
      <c r="DW52" s="205"/>
      <c r="DX52" s="205">
        <f t="shared" si="136"/>
        <v>2000</v>
      </c>
      <c r="DY52" s="120"/>
      <c r="DZ52" s="120"/>
      <c r="EA52" s="120"/>
      <c r="EB52" s="120"/>
      <c r="EC52" s="120"/>
      <c r="ED52" s="209"/>
      <c r="EE52" s="205"/>
      <c r="EF52" s="205">
        <f t="shared" si="137"/>
        <v>0</v>
      </c>
      <c r="EG52" s="120"/>
      <c r="EI52" s="120"/>
      <c r="EJ52" s="205"/>
      <c r="EK52" s="205"/>
      <c r="EL52" s="209"/>
      <c r="EM52" s="205"/>
      <c r="EN52" s="205">
        <f t="shared" si="138"/>
        <v>0</v>
      </c>
      <c r="EO52" s="205">
        <f t="shared" si="151"/>
        <v>6000</v>
      </c>
      <c r="EP52" s="120"/>
      <c r="EQ52" s="120"/>
      <c r="ER52" s="120"/>
      <c r="ES52" s="250">
        <v>4000</v>
      </c>
      <c r="ET52" s="120"/>
      <c r="EU52" s="209"/>
      <c r="EV52" s="205"/>
      <c r="EW52" s="205">
        <f t="shared" si="139"/>
        <v>4000</v>
      </c>
      <c r="EX52" s="120"/>
      <c r="EY52" s="120"/>
      <c r="EZ52" s="120"/>
      <c r="FA52" s="201">
        <v>2000</v>
      </c>
      <c r="FB52" s="120"/>
      <c r="FC52" s="209"/>
      <c r="FD52" s="205"/>
      <c r="FE52" s="205">
        <f t="shared" si="140"/>
        <v>2000</v>
      </c>
      <c r="FF52" s="120"/>
      <c r="FG52" s="120"/>
      <c r="FH52" s="195">
        <v>2000</v>
      </c>
      <c r="FI52" s="120"/>
      <c r="FJ52" s="120"/>
      <c r="FK52" s="209"/>
      <c r="FL52" s="205"/>
      <c r="FM52" s="205">
        <f t="shared" si="141"/>
        <v>2000</v>
      </c>
      <c r="FN52" s="120"/>
      <c r="FO52" s="207"/>
      <c r="FP52" s="207"/>
      <c r="FQ52" s="207"/>
      <c r="FR52" s="205"/>
      <c r="FS52" s="209"/>
      <c r="FT52" s="205"/>
      <c r="FU52" s="205">
        <f t="shared" si="142"/>
        <v>0</v>
      </c>
      <c r="FV52" s="205">
        <f t="shared" si="152"/>
        <v>8000</v>
      </c>
      <c r="FW52" s="120"/>
      <c r="FX52" s="120"/>
      <c r="FY52" s="120"/>
      <c r="FZ52" s="250">
        <v>2000</v>
      </c>
      <c r="GA52" s="120"/>
      <c r="GB52" s="209"/>
      <c r="GC52" s="205"/>
      <c r="GD52" s="205">
        <f t="shared" si="143"/>
        <v>2000</v>
      </c>
      <c r="GE52" s="120"/>
      <c r="GF52" s="120"/>
      <c r="GG52" s="250">
        <v>800</v>
      </c>
      <c r="GH52" s="120"/>
      <c r="GI52" s="120"/>
      <c r="GJ52" s="209"/>
      <c r="GK52" s="205"/>
      <c r="GL52" s="205">
        <f t="shared" si="144"/>
        <v>800</v>
      </c>
      <c r="GM52" s="120"/>
      <c r="GN52" s="120"/>
      <c r="GO52" s="120"/>
      <c r="GP52" s="120"/>
      <c r="GQ52" s="120"/>
      <c r="GR52" s="209"/>
      <c r="GS52" s="205"/>
      <c r="GT52" s="205">
        <f t="shared" si="145"/>
        <v>0</v>
      </c>
      <c r="GU52" s="120"/>
      <c r="GV52" s="120"/>
      <c r="GW52" s="124">
        <v>2000</v>
      </c>
      <c r="GX52" s="120"/>
      <c r="GY52" s="120"/>
      <c r="GZ52" s="209"/>
      <c r="HA52" s="205"/>
      <c r="HB52" s="205">
        <f t="shared" si="146"/>
        <v>2000</v>
      </c>
      <c r="HC52" s="120"/>
      <c r="HD52" s="120"/>
      <c r="HE52" s="120"/>
      <c r="HF52" s="120"/>
      <c r="HG52" s="120"/>
      <c r="HH52" s="209"/>
      <c r="HI52" s="205"/>
      <c r="HJ52" s="205">
        <f t="shared" si="147"/>
        <v>0</v>
      </c>
      <c r="HK52" s="205">
        <f t="shared" si="153"/>
        <v>4800</v>
      </c>
      <c r="HL52" s="124"/>
      <c r="HM52" s="120"/>
      <c r="HN52" s="120"/>
      <c r="HO52" s="120"/>
      <c r="HP52" s="120"/>
      <c r="HQ52" s="205"/>
      <c r="HR52" s="205"/>
      <c r="HS52" s="205">
        <f t="shared" si="154"/>
        <v>0</v>
      </c>
      <c r="HT52" s="120"/>
      <c r="HU52" s="195">
        <v>2000</v>
      </c>
      <c r="HV52" s="120"/>
      <c r="HW52" s="120"/>
      <c r="HX52" s="120"/>
      <c r="HY52" s="205"/>
      <c r="HZ52" s="205"/>
      <c r="IA52" s="205">
        <f t="shared" si="155"/>
        <v>2000</v>
      </c>
      <c r="IB52" s="120"/>
      <c r="IC52" s="120"/>
      <c r="ID52" s="217">
        <v>4000</v>
      </c>
      <c r="IE52" s="207"/>
      <c r="IF52" s="120"/>
      <c r="IG52" s="205"/>
      <c r="IH52" s="205"/>
      <c r="II52" s="205">
        <f t="shared" si="156"/>
        <v>4000</v>
      </c>
      <c r="IJ52" s="120"/>
      <c r="IK52" s="120"/>
      <c r="IL52" s="120"/>
      <c r="IM52" s="120"/>
      <c r="IN52" s="120"/>
      <c r="IO52" s="205"/>
      <c r="IP52" s="205"/>
      <c r="IQ52" s="205">
        <f t="shared" si="157"/>
        <v>0</v>
      </c>
      <c r="IR52" s="205">
        <f t="shared" si="158"/>
        <v>6000</v>
      </c>
      <c r="IS52" s="120"/>
      <c r="IT52" s="120"/>
      <c r="IU52" s="120"/>
      <c r="IV52" s="120"/>
      <c r="IW52" s="120"/>
      <c r="IX52" s="205"/>
      <c r="IY52" s="205"/>
      <c r="IZ52" s="205">
        <f t="shared" si="159"/>
        <v>0</v>
      </c>
      <c r="JA52" s="120"/>
      <c r="JB52" s="124">
        <v>2000</v>
      </c>
      <c r="JC52" s="120"/>
      <c r="JD52" s="120"/>
      <c r="JE52" s="120"/>
      <c r="JF52" s="205"/>
      <c r="JG52" s="205"/>
      <c r="JH52" s="205">
        <f t="shared" si="160"/>
        <v>2000</v>
      </c>
      <c r="JI52" s="120"/>
      <c r="JJ52" s="120"/>
      <c r="JK52" s="120"/>
      <c r="JL52" s="120"/>
      <c r="JM52" s="120"/>
      <c r="JN52" s="205"/>
      <c r="JO52" s="205"/>
      <c r="JP52" s="205">
        <f t="shared" si="161"/>
        <v>0</v>
      </c>
      <c r="JQ52" s="217">
        <v>2700</v>
      </c>
      <c r="JR52" s="120"/>
      <c r="JS52" s="120"/>
      <c r="JT52" s="120"/>
      <c r="JU52" s="120"/>
      <c r="JV52" s="205"/>
      <c r="JW52" s="205"/>
      <c r="JX52" s="205">
        <f t="shared" si="162"/>
        <v>2700</v>
      </c>
      <c r="JY52" s="205">
        <f t="shared" si="163"/>
        <v>4700</v>
      </c>
      <c r="JZ52" s="120"/>
      <c r="KA52" s="120"/>
      <c r="KB52" s="217">
        <v>2500</v>
      </c>
      <c r="KC52" s="120"/>
      <c r="KD52" s="120"/>
      <c r="KE52" s="205"/>
      <c r="KF52" s="205"/>
      <c r="KG52" s="205">
        <f t="shared" si="164"/>
        <v>2500</v>
      </c>
      <c r="KH52" s="120"/>
      <c r="KI52" s="120"/>
      <c r="KJ52" s="120"/>
      <c r="KK52" s="120"/>
      <c r="KL52" s="120"/>
      <c r="KM52" s="205"/>
      <c r="KN52" s="205"/>
      <c r="KO52" s="205">
        <f t="shared" si="165"/>
        <v>0</v>
      </c>
      <c r="KP52" s="120"/>
      <c r="KQ52" s="120"/>
      <c r="KR52" s="120"/>
      <c r="KS52" s="120"/>
      <c r="KT52" s="120"/>
      <c r="KU52" s="205"/>
      <c r="KV52" s="205"/>
      <c r="KW52" s="205">
        <f t="shared" si="166"/>
        <v>0</v>
      </c>
      <c r="KX52" s="120"/>
      <c r="KY52" s="120"/>
      <c r="KZ52" s="120"/>
      <c r="LA52" s="120"/>
      <c r="LB52" s="120"/>
      <c r="LC52" s="205"/>
      <c r="LD52" s="205"/>
      <c r="LE52" s="205">
        <f t="shared" si="167"/>
        <v>0</v>
      </c>
      <c r="LF52" s="205"/>
      <c r="LG52" s="120"/>
      <c r="LH52" s="120"/>
      <c r="LI52" s="120"/>
      <c r="LJ52" s="120"/>
      <c r="LK52" s="205"/>
      <c r="LL52" s="205"/>
      <c r="LM52" s="205">
        <f t="shared" si="168"/>
        <v>0</v>
      </c>
      <c r="LN52" s="205">
        <f t="shared" si="169"/>
        <v>2500</v>
      </c>
      <c r="LO52" s="205"/>
      <c r="LP52" s="120"/>
      <c r="LQ52" s="120"/>
      <c r="LR52" s="120"/>
      <c r="LS52" s="205"/>
      <c r="LT52" s="205"/>
      <c r="LU52" s="205"/>
      <c r="LV52" s="205">
        <f t="shared" si="170"/>
        <v>0</v>
      </c>
      <c r="LW52" s="120"/>
      <c r="LX52" s="124">
        <v>1100</v>
      </c>
      <c r="LY52" s="120"/>
      <c r="LZ52" s="120"/>
      <c r="MA52" s="120"/>
      <c r="MB52" s="205"/>
      <c r="MC52" s="205"/>
      <c r="MD52" s="205">
        <f t="shared" si="171"/>
        <v>1100</v>
      </c>
      <c r="ME52" s="120"/>
      <c r="MF52" s="201">
        <v>2000</v>
      </c>
      <c r="MG52" s="120"/>
      <c r="MH52" s="120"/>
      <c r="MI52" s="205"/>
      <c r="MJ52" s="205"/>
      <c r="MK52" s="205"/>
      <c r="ML52" s="205">
        <f t="shared" si="172"/>
        <v>2000</v>
      </c>
      <c r="MM52" s="120"/>
      <c r="MN52" s="120"/>
      <c r="MO52" s="120"/>
      <c r="MP52" s="120"/>
      <c r="MQ52" s="120"/>
      <c r="MR52" s="205"/>
      <c r="MS52" s="205"/>
      <c r="MT52" s="205">
        <f t="shared" si="173"/>
        <v>0</v>
      </c>
      <c r="MU52" s="205">
        <f t="shared" si="174"/>
        <v>3100</v>
      </c>
      <c r="MV52" s="120"/>
      <c r="MW52" s="120"/>
      <c r="MX52" s="120"/>
      <c r="MY52" s="120"/>
      <c r="MZ52" s="120"/>
      <c r="NA52" s="205"/>
      <c r="NB52" s="205"/>
      <c r="NC52" s="205">
        <f t="shared" si="175"/>
        <v>0</v>
      </c>
      <c r="ND52" s="120"/>
      <c r="NE52" s="217">
        <v>600</v>
      </c>
      <c r="NF52" s="120"/>
      <c r="NG52" s="120"/>
      <c r="NH52" s="120"/>
      <c r="NI52" s="205"/>
      <c r="NJ52" s="205"/>
      <c r="NK52" s="205">
        <f t="shared" si="176"/>
        <v>600</v>
      </c>
      <c r="NL52" s="120"/>
      <c r="NM52" s="120"/>
      <c r="NN52" s="120"/>
      <c r="NO52" s="120"/>
      <c r="NP52" s="120"/>
      <c r="NQ52" s="205"/>
      <c r="NR52" s="205"/>
      <c r="NS52" s="205">
        <f t="shared" si="177"/>
        <v>0</v>
      </c>
      <c r="NT52" s="120"/>
      <c r="NU52" s="217">
        <v>3000</v>
      </c>
      <c r="NV52" s="120"/>
      <c r="NW52" s="120"/>
      <c r="NX52" s="120"/>
      <c r="NY52" s="205"/>
      <c r="NZ52" s="205"/>
      <c r="OA52" s="205">
        <f t="shared" si="178"/>
        <v>3000</v>
      </c>
      <c r="OB52" s="205">
        <f t="shared" si="179"/>
        <v>3600</v>
      </c>
      <c r="OC52" s="217">
        <v>2000</v>
      </c>
      <c r="OD52" s="120"/>
      <c r="OE52" s="120"/>
      <c r="OF52" s="120"/>
      <c r="OG52" s="120"/>
      <c r="OH52" s="205"/>
      <c r="OI52" s="205"/>
      <c r="OJ52" s="205">
        <f t="shared" si="180"/>
        <v>2000</v>
      </c>
      <c r="OK52" s="195">
        <v>4100</v>
      </c>
      <c r="OL52" s="120"/>
      <c r="OM52" s="120"/>
      <c r="ON52" s="120"/>
      <c r="OO52" s="120"/>
      <c r="OP52" s="205"/>
      <c r="OQ52" s="205"/>
      <c r="OR52" s="205">
        <f t="shared" si="181"/>
        <v>4100</v>
      </c>
      <c r="OS52" s="120"/>
      <c r="OT52" s="120"/>
      <c r="OU52" s="120"/>
      <c r="OV52" s="120"/>
      <c r="OW52" s="120"/>
      <c r="OX52" s="205"/>
      <c r="OY52" s="205"/>
      <c r="OZ52" s="205">
        <f t="shared" si="182"/>
        <v>0</v>
      </c>
      <c r="PA52" s="120"/>
      <c r="PB52" s="120"/>
      <c r="PC52" s="120"/>
      <c r="PD52" s="205"/>
      <c r="PE52" s="217"/>
      <c r="PF52" s="205"/>
      <c r="PG52" s="205"/>
      <c r="PH52" s="205">
        <f t="shared" si="183"/>
        <v>0</v>
      </c>
      <c r="PI52" s="120"/>
      <c r="PJ52" s="120"/>
      <c r="PK52" s="120"/>
      <c r="PL52" s="205"/>
      <c r="PM52" s="217"/>
      <c r="PN52" s="205"/>
      <c r="PO52" s="205"/>
      <c r="PP52" s="205">
        <f t="shared" si="184"/>
        <v>0</v>
      </c>
      <c r="PQ52" s="205">
        <f t="shared" si="185"/>
        <v>6100</v>
      </c>
      <c r="PR52" s="207"/>
      <c r="PS52" s="207"/>
      <c r="PT52" s="207"/>
      <c r="PU52" s="207"/>
      <c r="PV52" s="207"/>
      <c r="PW52" s="272"/>
      <c r="PX52" s="272"/>
      <c r="PY52" s="205">
        <f t="shared" si="186"/>
        <v>0</v>
      </c>
      <c r="PZ52" s="207"/>
      <c r="QA52" s="207"/>
      <c r="QB52" s="195">
        <v>800</v>
      </c>
      <c r="QC52" s="207"/>
      <c r="QD52" s="120"/>
      <c r="QE52" s="272"/>
      <c r="QF52" s="272"/>
      <c r="QG52" s="205">
        <f t="shared" si="187"/>
        <v>800</v>
      </c>
      <c r="QH52" s="207"/>
      <c r="QI52" s="207"/>
      <c r="QJ52" s="294"/>
      <c r="QK52" s="207"/>
      <c r="QL52" s="207"/>
      <c r="QM52" s="272"/>
      <c r="QN52" s="272"/>
      <c r="QO52" s="205">
        <f t="shared" si="188"/>
        <v>0</v>
      </c>
      <c r="QP52" s="120"/>
      <c r="QQ52" s="120"/>
      <c r="QR52" s="120"/>
      <c r="QS52" s="120"/>
      <c r="QT52" s="120"/>
      <c r="QU52" s="272"/>
      <c r="QV52" s="272"/>
      <c r="QW52" s="205">
        <f t="shared" si="320"/>
        <v>0</v>
      </c>
      <c r="QX52" s="205">
        <f t="shared" si="190"/>
        <v>800</v>
      </c>
      <c r="QY52" s="207"/>
      <c r="QZ52" s="195">
        <v>1900</v>
      </c>
      <c r="RA52" s="207"/>
      <c r="RB52" s="207"/>
      <c r="RC52" s="207"/>
      <c r="RD52" s="272"/>
      <c r="RE52" s="272"/>
      <c r="RF52" s="205">
        <f t="shared" si="191"/>
        <v>1900</v>
      </c>
      <c r="RG52" s="120"/>
      <c r="RH52" s="201">
        <v>500</v>
      </c>
      <c r="RI52" s="120"/>
      <c r="RJ52" s="207"/>
      <c r="RK52" s="120"/>
      <c r="RL52" s="272"/>
      <c r="RM52" s="272"/>
      <c r="RN52" s="205">
        <f t="shared" si="192"/>
        <v>500</v>
      </c>
      <c r="RO52" s="272"/>
      <c r="RP52" s="272"/>
      <c r="RQ52" s="272"/>
      <c r="RR52" s="272"/>
      <c r="RS52" s="272"/>
      <c r="RT52" s="272"/>
      <c r="RU52" s="272"/>
      <c r="RV52" s="205">
        <f t="shared" si="193"/>
        <v>0</v>
      </c>
      <c r="RW52" s="120"/>
      <c r="RX52" s="120"/>
      <c r="RY52" s="207"/>
      <c r="RZ52" s="195">
        <v>3000</v>
      </c>
      <c r="SA52" s="272"/>
      <c r="SB52" s="272"/>
      <c r="SC52" s="272"/>
      <c r="SD52" s="205">
        <f t="shared" si="194"/>
        <v>3000</v>
      </c>
      <c r="SE52" s="205">
        <f t="shared" si="195"/>
        <v>5400</v>
      </c>
      <c r="SF52" s="207"/>
      <c r="SG52" s="207"/>
      <c r="SH52" s="207"/>
      <c r="SI52" s="207"/>
      <c r="SJ52" s="207"/>
      <c r="SK52" s="272"/>
      <c r="SL52" s="272"/>
      <c r="SM52" s="205">
        <f t="shared" si="196"/>
        <v>0</v>
      </c>
      <c r="SN52" s="207"/>
      <c r="SO52" s="195">
        <v>3000</v>
      </c>
      <c r="SP52" s="207"/>
      <c r="SQ52" s="207"/>
      <c r="SR52" s="207"/>
      <c r="SS52" s="272"/>
      <c r="ST52" s="272"/>
      <c r="SU52" s="205">
        <f t="shared" si="197"/>
        <v>3000</v>
      </c>
      <c r="SV52" s="207"/>
      <c r="SW52" s="207"/>
      <c r="SX52" s="207"/>
      <c r="SY52" s="207"/>
      <c r="SZ52" s="207"/>
      <c r="TA52" s="272"/>
      <c r="TB52" s="272"/>
      <c r="TC52" s="205">
        <f t="shared" si="198"/>
        <v>0</v>
      </c>
      <c r="TD52" s="207"/>
      <c r="TE52" s="207"/>
      <c r="TF52" s="124">
        <v>2140</v>
      </c>
      <c r="TG52" s="207"/>
      <c r="TH52" s="207"/>
      <c r="TI52" s="272"/>
      <c r="TJ52" s="272"/>
      <c r="TK52" s="205">
        <f t="shared" si="199"/>
        <v>2140</v>
      </c>
      <c r="TL52" s="207"/>
      <c r="TM52" s="207"/>
      <c r="TN52" s="207"/>
      <c r="TO52" s="207"/>
      <c r="TP52" s="272"/>
      <c r="TQ52" s="272"/>
      <c r="TR52" s="272"/>
      <c r="TS52" s="205">
        <f t="shared" si="200"/>
        <v>0</v>
      </c>
      <c r="TT52" s="205">
        <f t="shared" si="201"/>
        <v>5140</v>
      </c>
      <c r="TU52" s="272"/>
      <c r="TV52" s="207"/>
      <c r="TW52" s="207"/>
      <c r="TX52" s="120"/>
      <c r="TZ52" s="195">
        <v>3000</v>
      </c>
      <c r="UA52" s="272"/>
      <c r="UB52" s="205">
        <f t="shared" si="202"/>
        <v>3000</v>
      </c>
      <c r="UC52" s="207"/>
      <c r="UD52" s="207"/>
      <c r="UE52" s="207"/>
      <c r="UF52" s="207"/>
      <c r="UG52" s="207"/>
      <c r="UH52" s="272"/>
      <c r="UI52" s="272"/>
      <c r="UJ52" s="205">
        <f t="shared" si="240"/>
        <v>0</v>
      </c>
      <c r="UK52" s="207"/>
      <c r="UL52" s="207"/>
      <c r="UM52" s="207"/>
      <c r="UN52" s="120"/>
      <c r="UO52" s="120"/>
      <c r="UP52" s="272"/>
      <c r="UQ52" s="272"/>
      <c r="UR52" s="205">
        <f t="shared" si="227"/>
        <v>0</v>
      </c>
      <c r="US52" s="201">
        <v>300</v>
      </c>
      <c r="UT52" s="207"/>
      <c r="UU52" s="207"/>
      <c r="UV52" s="207"/>
      <c r="UW52" s="272"/>
      <c r="UX52" s="272"/>
      <c r="UY52" s="272"/>
      <c r="UZ52" s="205">
        <f t="shared" si="204"/>
        <v>300</v>
      </c>
      <c r="VA52" s="205">
        <f t="shared" si="205"/>
        <v>3300</v>
      </c>
      <c r="VB52" s="207"/>
      <c r="VC52" s="207"/>
      <c r="VD52" s="120"/>
      <c r="VE52" s="207"/>
      <c r="VF52" s="207"/>
      <c r="VG52" s="272"/>
      <c r="VH52" s="272"/>
      <c r="VI52" s="205">
        <f t="shared" si="206"/>
        <v>0</v>
      </c>
      <c r="VJ52" s="207"/>
      <c r="VK52" s="207"/>
      <c r="VL52" s="207"/>
      <c r="VM52" s="195">
        <v>1400</v>
      </c>
      <c r="VN52" s="207"/>
      <c r="VO52" s="272"/>
      <c r="VP52" s="272"/>
      <c r="VQ52" s="205">
        <f t="shared" si="207"/>
        <v>1400</v>
      </c>
      <c r="VR52" s="207"/>
      <c r="VS52" s="207"/>
      <c r="VT52" s="207"/>
      <c r="VU52" s="207"/>
      <c r="VV52" s="207"/>
      <c r="VW52" s="272"/>
      <c r="VX52" s="272"/>
      <c r="VY52" s="205">
        <f t="shared" si="208"/>
        <v>0</v>
      </c>
      <c r="VZ52" s="120"/>
      <c r="WA52" s="207"/>
      <c r="WB52" s="207"/>
      <c r="WC52" s="207"/>
      <c r="WD52" s="207"/>
      <c r="WE52" s="272"/>
      <c r="WF52" s="272"/>
      <c r="WG52" s="205">
        <f t="shared" si="209"/>
        <v>0</v>
      </c>
      <c r="WH52" s="205">
        <f t="shared" si="210"/>
        <v>1400</v>
      </c>
      <c r="WI52" s="124">
        <v>3000</v>
      </c>
      <c r="WJ52" s="207"/>
      <c r="WK52" s="207"/>
      <c r="WL52" s="207"/>
      <c r="WM52" s="207"/>
      <c r="WN52" s="272"/>
      <c r="WO52" s="272"/>
      <c r="WP52" s="205">
        <f t="shared" si="211"/>
        <v>3000</v>
      </c>
      <c r="WQ52" s="207"/>
      <c r="WR52" s="207"/>
      <c r="WS52" s="124">
        <v>2400</v>
      </c>
      <c r="WT52" s="207"/>
      <c r="WU52" s="207"/>
      <c r="WV52" s="272"/>
      <c r="WW52" s="272"/>
      <c r="WX52" s="205">
        <f t="shared" si="212"/>
        <v>2400</v>
      </c>
      <c r="WY52" s="207"/>
      <c r="WZ52" s="207"/>
      <c r="XA52" s="207"/>
      <c r="XB52" s="207"/>
      <c r="XC52" s="272"/>
      <c r="XD52" s="272"/>
      <c r="XE52" s="272"/>
      <c r="XF52" s="205">
        <f t="shared" si="213"/>
        <v>0</v>
      </c>
      <c r="XG52" s="207"/>
      <c r="XH52" s="207"/>
      <c r="XI52" s="207"/>
      <c r="XJ52" s="207"/>
      <c r="XK52" s="207"/>
      <c r="XL52" s="272"/>
      <c r="XM52" s="272"/>
      <c r="XN52" s="205">
        <f t="shared" si="214"/>
        <v>0</v>
      </c>
      <c r="XO52" s="207"/>
      <c r="XP52" s="207"/>
      <c r="XQ52" s="207"/>
      <c r="XR52" s="124">
        <v>3000</v>
      </c>
      <c r="XS52" s="207"/>
      <c r="XT52" s="272"/>
      <c r="XU52" s="272"/>
      <c r="XV52" s="205">
        <f t="shared" si="215"/>
        <v>3000</v>
      </c>
      <c r="XW52" s="205">
        <f>SUM(XO52:XR52,XN52,XF52,WX52,WP52)</f>
        <v>8400</v>
      </c>
      <c r="XX52" s="207"/>
      <c r="XY52" s="207"/>
      <c r="XZ52" s="207"/>
      <c r="YA52" s="207"/>
      <c r="YB52" s="207"/>
      <c r="YC52" s="272"/>
      <c r="YD52" s="272"/>
      <c r="YE52" s="205">
        <f t="shared" si="217"/>
        <v>0</v>
      </c>
      <c r="YF52" s="207"/>
      <c r="YG52" s="124">
        <v>900</v>
      </c>
      <c r="YH52" s="207"/>
      <c r="YI52" s="207"/>
      <c r="YJ52" s="207"/>
      <c r="YK52" s="272"/>
      <c r="YL52" s="272"/>
      <c r="YM52" s="205">
        <f t="shared" si="218"/>
        <v>900</v>
      </c>
      <c r="YN52" s="207"/>
      <c r="YO52" s="207"/>
      <c r="YP52" s="207"/>
      <c r="YQ52" s="207"/>
      <c r="YR52" s="207"/>
      <c r="YS52" s="272"/>
      <c r="YT52" s="272"/>
      <c r="YU52" s="205">
        <f t="shared" si="148"/>
        <v>0</v>
      </c>
      <c r="YV52" s="207"/>
      <c r="YW52" s="207"/>
      <c r="YX52" s="207"/>
      <c r="YY52" s="207"/>
      <c r="YZ52" s="207"/>
      <c r="ZA52" s="272"/>
      <c r="ZB52" s="272"/>
      <c r="ZC52" s="205">
        <f t="shared" si="219"/>
        <v>0</v>
      </c>
      <c r="ZD52" s="205">
        <f t="shared" si="149"/>
        <v>3900</v>
      </c>
      <c r="ZE52" s="124">
        <v>2000</v>
      </c>
      <c r="ZF52" s="207"/>
      <c r="ZG52" s="207"/>
      <c r="ZH52" s="207"/>
      <c r="ZI52" s="207"/>
      <c r="ZJ52" s="272"/>
      <c r="ZK52" s="272"/>
      <c r="ZL52" s="205">
        <f t="shared" si="220"/>
        <v>2000</v>
      </c>
      <c r="ZM52" s="207"/>
      <c r="ZN52" s="207"/>
      <c r="ZO52" s="207"/>
      <c r="ZP52" s="207"/>
      <c r="ZQ52" s="207"/>
      <c r="ZR52" s="272"/>
      <c r="ZS52" s="272"/>
      <c r="ZT52" s="205">
        <f t="shared" si="221"/>
        <v>0</v>
      </c>
      <c r="ZU52" s="207"/>
      <c r="ZV52" s="207"/>
      <c r="ZW52" s="207"/>
      <c r="ZX52" s="207"/>
      <c r="ZY52" s="207"/>
      <c r="ZZ52" s="272"/>
      <c r="AAA52" s="272"/>
      <c r="AAB52" s="205">
        <f t="shared" si="222"/>
        <v>0</v>
      </c>
      <c r="AAC52" s="207"/>
      <c r="AAD52" s="207"/>
      <c r="AAE52" s="207"/>
      <c r="AAF52" s="207"/>
      <c r="AAG52" s="207"/>
      <c r="AAH52" s="272"/>
      <c r="AAI52" s="272"/>
      <c r="AAJ52" s="205">
        <f t="shared" si="223"/>
        <v>0</v>
      </c>
      <c r="AAK52" s="207"/>
      <c r="AAL52" s="207"/>
      <c r="AAM52" s="207"/>
      <c r="AAN52" s="207"/>
      <c r="AAO52" s="207"/>
      <c r="AAP52" s="272"/>
      <c r="AAQ52" s="272"/>
      <c r="AAR52" s="205">
        <f t="shared" si="224"/>
        <v>0</v>
      </c>
      <c r="AAS52" s="205">
        <f t="shared" si="225"/>
        <v>2000</v>
      </c>
    </row>
    <row r="53" spans="1:721" ht="69" hidden="1" customHeight="1">
      <c r="B53" s="164">
        <v>3630101104</v>
      </c>
      <c r="C53" s="330"/>
      <c r="D53" s="163" t="s">
        <v>766</v>
      </c>
      <c r="E53" s="130" t="s">
        <v>4</v>
      </c>
      <c r="F53" s="120"/>
      <c r="G53" s="120"/>
      <c r="H53" s="120"/>
      <c r="I53" s="120"/>
      <c r="J53" s="120"/>
      <c r="K53" s="209"/>
      <c r="L53" s="205"/>
      <c r="M53" s="205">
        <f t="shared" ref="M53:M54" si="437">SUM(F53:L53)</f>
        <v>0</v>
      </c>
      <c r="N53" s="120"/>
      <c r="O53" s="120"/>
      <c r="P53" s="120"/>
      <c r="Q53" s="120"/>
      <c r="R53" s="120"/>
      <c r="S53" s="209"/>
      <c r="T53" s="205"/>
      <c r="U53" s="205">
        <f t="shared" ref="U53:U54" si="438">SUM(N53:T53)</f>
        <v>0</v>
      </c>
      <c r="V53" s="120"/>
      <c r="W53" s="120"/>
      <c r="X53" s="120"/>
      <c r="Y53" s="120"/>
      <c r="Z53" s="120"/>
      <c r="AA53" s="209"/>
      <c r="AB53" s="205"/>
      <c r="AC53" s="205">
        <f t="shared" ref="AC53:AC54" si="439">SUM(V53:AB53)</f>
        <v>0</v>
      </c>
      <c r="AD53" s="205"/>
      <c r="AE53" s="205"/>
      <c r="AF53" s="205"/>
      <c r="AG53" s="205"/>
      <c r="AH53" s="205"/>
      <c r="AI53" s="209"/>
      <c r="AJ53" s="205"/>
      <c r="AK53" s="205">
        <f t="shared" ref="AK53:AK54" si="440">SUM(AD53:AJ53)</f>
        <v>0</v>
      </c>
      <c r="AL53" s="205" t="e">
        <f>SUM(#REF!,M53,U53,AC53,AD53:AH53)</f>
        <v>#REF!</v>
      </c>
      <c r="AM53" s="120"/>
      <c r="AN53" s="120"/>
      <c r="AO53" s="120"/>
      <c r="AP53" s="120"/>
      <c r="AQ53" s="120"/>
      <c r="AR53" s="209"/>
      <c r="AS53" s="205"/>
      <c r="AT53" s="205">
        <f t="shared" si="245"/>
        <v>0</v>
      </c>
      <c r="AU53" s="120"/>
      <c r="AV53" s="120"/>
      <c r="AW53" s="120"/>
      <c r="AX53" s="120"/>
      <c r="AY53" s="120"/>
      <c r="AZ53" s="209"/>
      <c r="BA53" s="205"/>
      <c r="BB53" s="205">
        <f t="shared" si="246"/>
        <v>0</v>
      </c>
      <c r="BC53" s="120"/>
      <c r="BD53" s="120"/>
      <c r="BE53" s="120"/>
      <c r="BF53" s="120"/>
      <c r="BG53" s="120"/>
      <c r="BH53" s="209"/>
      <c r="BI53" s="205"/>
      <c r="BJ53" s="205">
        <f t="shared" si="247"/>
        <v>0</v>
      </c>
      <c r="BK53" s="120"/>
      <c r="BL53" s="120"/>
      <c r="BM53" s="120"/>
      <c r="BN53" s="120"/>
      <c r="BO53" s="205"/>
      <c r="BP53" s="209"/>
      <c r="BQ53" s="205"/>
      <c r="BR53" s="205">
        <f t="shared" ref="BR53:BR54" si="441">SUM(BK53:BQ53)</f>
        <v>0</v>
      </c>
      <c r="BS53" s="205">
        <f t="shared" ref="BS53:BS54" si="442">SUM(AI53:AJ53,AT53,BB53,BJ53,BK53:BO53)</f>
        <v>0</v>
      </c>
      <c r="BT53" s="120"/>
      <c r="BU53" s="120"/>
      <c r="BV53" s="120"/>
      <c r="BW53" s="120"/>
      <c r="BX53" s="120"/>
      <c r="BY53" s="209"/>
      <c r="BZ53" s="205"/>
      <c r="CA53" s="205">
        <f t="shared" si="250"/>
        <v>0</v>
      </c>
      <c r="CB53" s="120"/>
      <c r="CC53" s="120"/>
      <c r="CD53" s="120"/>
      <c r="CE53" s="120"/>
      <c r="CF53" s="120"/>
      <c r="CG53" s="209"/>
      <c r="CH53" s="205"/>
      <c r="CI53" s="205">
        <f t="shared" si="251"/>
        <v>0</v>
      </c>
      <c r="CJ53" s="120"/>
      <c r="CK53" s="120"/>
      <c r="CL53" s="120"/>
      <c r="CM53" s="120"/>
      <c r="CN53" s="120"/>
      <c r="CO53" s="209"/>
      <c r="CP53" s="205"/>
      <c r="CQ53" s="205">
        <f t="shared" si="252"/>
        <v>0</v>
      </c>
      <c r="CR53" s="120"/>
      <c r="CS53" s="120"/>
      <c r="CT53" s="120"/>
      <c r="CU53" s="120"/>
      <c r="CV53" s="120"/>
      <c r="CW53" s="209"/>
      <c r="CX53" s="205"/>
      <c r="CY53" s="205">
        <f t="shared" si="253"/>
        <v>0</v>
      </c>
      <c r="CZ53" s="120"/>
      <c r="DA53" s="120"/>
      <c r="DB53" s="120"/>
      <c r="DC53" s="205"/>
      <c r="DD53" s="205"/>
      <c r="DE53" s="209"/>
      <c r="DF53" s="205"/>
      <c r="DG53" s="205">
        <f t="shared" si="254"/>
        <v>0</v>
      </c>
      <c r="DH53" s="205">
        <f t="shared" ref="DH53:DH54" si="443">SUM(CA53,CI53,CQ53,CY53,CZ53)</f>
        <v>0</v>
      </c>
      <c r="DI53" s="120"/>
      <c r="DJ53" s="120"/>
      <c r="DK53" s="120"/>
      <c r="DL53" s="120"/>
      <c r="DM53" s="120"/>
      <c r="DN53" s="209"/>
      <c r="DO53" s="205"/>
      <c r="DP53" s="205">
        <f t="shared" ref="DP53:DP54" si="444">SUM(DI53:DO53)</f>
        <v>0</v>
      </c>
      <c r="DQ53" s="120"/>
      <c r="DR53" s="120"/>
      <c r="DS53" s="120"/>
      <c r="DT53" s="120"/>
      <c r="DU53" s="120"/>
      <c r="DV53" s="209"/>
      <c r="DW53" s="205"/>
      <c r="DX53" s="205">
        <f t="shared" ref="DX53:DX54" si="445">SUM(DQ53:DW53)</f>
        <v>0</v>
      </c>
      <c r="DY53" s="120"/>
      <c r="DZ53" s="120"/>
      <c r="EA53" s="120"/>
      <c r="EB53" s="120"/>
      <c r="EC53" s="120"/>
      <c r="ED53" s="209"/>
      <c r="EE53" s="205"/>
      <c r="EF53" s="205">
        <f t="shared" ref="EF53:EF54" si="446">SUM(DY53:EE53)</f>
        <v>0</v>
      </c>
      <c r="EG53" s="120"/>
      <c r="EH53" s="120"/>
      <c r="EI53" s="120"/>
      <c r="EJ53" s="205"/>
      <c r="EK53" s="205"/>
      <c r="EL53" s="209"/>
      <c r="EM53" s="205"/>
      <c r="EN53" s="205">
        <f t="shared" ref="EN53:EN54" si="447">SUM(EG53:EM53)</f>
        <v>0</v>
      </c>
      <c r="EO53" s="205">
        <f t="shared" ref="EO53:EO54" si="448">SUM(DA53:DF53,DP53,DX53,EF53,EG53:EI53)</f>
        <v>0</v>
      </c>
      <c r="EP53" s="120"/>
      <c r="EQ53" s="120"/>
      <c r="ER53" s="120"/>
      <c r="ES53" s="120"/>
      <c r="ET53" s="120"/>
      <c r="EU53" s="209"/>
      <c r="EV53" s="205"/>
      <c r="EW53" s="205">
        <f t="shared" ref="EW53:EW54" si="449">SUM(EP53:EV53)</f>
        <v>0</v>
      </c>
      <c r="EX53" s="120"/>
      <c r="EY53" s="120"/>
      <c r="EZ53" s="120"/>
      <c r="FA53" s="120"/>
      <c r="FB53" s="120"/>
      <c r="FC53" s="209"/>
      <c r="FD53" s="205"/>
      <c r="FE53" s="205">
        <f t="shared" ref="FE53:FE54" si="450">SUM(EX53:FD53)</f>
        <v>0</v>
      </c>
      <c r="FF53" s="120"/>
      <c r="FG53" s="120"/>
      <c r="FH53" s="120"/>
      <c r="FI53" s="120"/>
      <c r="FJ53" s="120"/>
      <c r="FK53" s="209"/>
      <c r="FL53" s="205"/>
      <c r="FM53" s="205">
        <f t="shared" ref="FM53:FM54" si="451">SUM(FF53:FL53)</f>
        <v>0</v>
      </c>
      <c r="FN53" s="120"/>
      <c r="FO53" s="120"/>
      <c r="FP53" s="120"/>
      <c r="FQ53" s="120"/>
      <c r="FR53" s="205"/>
      <c r="FS53" s="209"/>
      <c r="FT53" s="205"/>
      <c r="FU53" s="205">
        <f t="shared" ref="FU53:FU54" si="452">SUM(FN53:FT53)</f>
        <v>0</v>
      </c>
      <c r="FV53" s="205">
        <f t="shared" ref="FV53:FV54" si="453">SUM(EJ53:EK53,EW53,FE53,FM53,FU53)</f>
        <v>0</v>
      </c>
      <c r="FW53" s="120"/>
      <c r="FX53" s="120"/>
      <c r="FY53" s="120"/>
      <c r="FZ53" s="120"/>
      <c r="GA53" s="120"/>
      <c r="GB53" s="209"/>
      <c r="GC53" s="205"/>
      <c r="GD53" s="205">
        <f t="shared" ref="GD53:GD54" si="454">SUM(FW53:GC53)</f>
        <v>0</v>
      </c>
      <c r="GE53" s="120"/>
      <c r="GF53" s="120"/>
      <c r="GG53" s="120"/>
      <c r="GH53" s="120"/>
      <c r="GI53" s="120"/>
      <c r="GJ53" s="209"/>
      <c r="GK53" s="205"/>
      <c r="GL53" s="205">
        <f t="shared" ref="GL53:GL54" si="455">SUM(GE53:GK53)</f>
        <v>0</v>
      </c>
      <c r="GM53" s="120"/>
      <c r="GN53" s="120"/>
      <c r="GO53" s="120"/>
      <c r="GP53" s="120"/>
      <c r="GQ53" s="120"/>
      <c r="GR53" s="209"/>
      <c r="GS53" s="205"/>
      <c r="GT53" s="205">
        <f t="shared" ref="GT53:GT54" si="456">SUM(GM53:GS53)</f>
        <v>0</v>
      </c>
      <c r="GU53" s="120"/>
      <c r="GV53" s="120"/>
      <c r="GW53" s="120"/>
      <c r="GX53" s="120"/>
      <c r="GY53" s="120"/>
      <c r="GZ53" s="209"/>
      <c r="HA53" s="205"/>
      <c r="HB53" s="205">
        <f t="shared" ref="HB53:HB54" si="457">SUM(GU53:HA53)</f>
        <v>0</v>
      </c>
      <c r="HC53" s="120"/>
      <c r="HD53" s="120"/>
      <c r="HE53" s="120"/>
      <c r="HF53" s="120"/>
      <c r="HG53" s="120"/>
      <c r="HH53" s="209"/>
      <c r="HI53" s="205"/>
      <c r="HJ53" s="205">
        <f t="shared" ref="HJ53:HJ54" si="458">SUM(HC53:HI53)</f>
        <v>0</v>
      </c>
      <c r="HK53" s="205">
        <f t="shared" ref="HK53:HK54" si="459">SUM(GD53,GL53,GT53,HB53,HC53)</f>
        <v>0</v>
      </c>
      <c r="HL53" s="124"/>
      <c r="HM53" s="120"/>
      <c r="HN53" s="120"/>
      <c r="HO53" s="120"/>
      <c r="HP53" s="120"/>
      <c r="HQ53" s="205"/>
      <c r="HR53" s="205"/>
      <c r="HS53" s="205">
        <f t="shared" ref="HS53:HS54" si="460">SUM(HL53:HR53)</f>
        <v>0</v>
      </c>
      <c r="HT53" s="120"/>
      <c r="HU53" s="120"/>
      <c r="HV53" s="120"/>
      <c r="HW53" s="120"/>
      <c r="HX53" s="120"/>
      <c r="HY53" s="205"/>
      <c r="HZ53" s="205"/>
      <c r="IA53" s="205">
        <f t="shared" ref="IA53:IA54" si="461">SUM(HT53:HZ53)</f>
        <v>0</v>
      </c>
      <c r="IB53" s="120"/>
      <c r="IC53" s="120"/>
      <c r="ID53" s="120"/>
      <c r="IE53" s="120"/>
      <c r="IF53" s="120"/>
      <c r="IG53" s="205"/>
      <c r="IH53" s="205"/>
      <c r="II53" s="205">
        <f t="shared" ref="II53:II54" si="462">SUM(IB53:IH53)</f>
        <v>0</v>
      </c>
      <c r="IJ53" s="120"/>
      <c r="IK53" s="120"/>
      <c r="IL53" s="120"/>
      <c r="IM53" s="120"/>
      <c r="IN53" s="120"/>
      <c r="IO53" s="205"/>
      <c r="IP53" s="205"/>
      <c r="IQ53" s="205">
        <f t="shared" ref="IQ53:IQ54" si="463">SUM(IJ53:IP53)</f>
        <v>0</v>
      </c>
      <c r="IR53" s="205">
        <f t="shared" ref="IR53:IR54" si="464">SUM(IJ53:IM53,II53,IA53,HS53,HD53:HG53,HH53:HI53)</f>
        <v>0</v>
      </c>
      <c r="IS53" s="120"/>
      <c r="IT53" s="120"/>
      <c r="IU53" s="120"/>
      <c r="IV53" s="120"/>
      <c r="IW53" s="120"/>
      <c r="IX53" s="205"/>
      <c r="IY53" s="205"/>
      <c r="IZ53" s="205">
        <f t="shared" ref="IZ53:IZ54" si="465">SUM(IS53:IY53)</f>
        <v>0</v>
      </c>
      <c r="JA53" s="120"/>
      <c r="JB53" s="201"/>
      <c r="JC53" s="120"/>
      <c r="JD53" s="120"/>
      <c r="JE53" s="120"/>
      <c r="JF53" s="205"/>
      <c r="JG53" s="205"/>
      <c r="JH53" s="205">
        <f t="shared" ref="JH53:JH54" si="466">SUM(JA53:JG53)</f>
        <v>0</v>
      </c>
      <c r="JI53" s="120"/>
      <c r="JJ53" s="120"/>
      <c r="JK53" s="120"/>
      <c r="JL53" s="120"/>
      <c r="JM53" s="120"/>
      <c r="JN53" s="205"/>
      <c r="JO53" s="205"/>
      <c r="JP53" s="205">
        <f t="shared" ref="JP53:JP54" si="467">SUM(JI53:JO53)</f>
        <v>0</v>
      </c>
      <c r="JQ53" s="217"/>
      <c r="JR53" s="120"/>
      <c r="JS53" s="120"/>
      <c r="JT53" s="120"/>
      <c r="JU53" s="120"/>
      <c r="JV53" s="205"/>
      <c r="JW53" s="205"/>
      <c r="JX53" s="205">
        <f t="shared" ref="JX53:JX54" si="468">SUM(JQ53:JW53)</f>
        <v>0</v>
      </c>
      <c r="JY53" s="205">
        <f t="shared" si="163"/>
        <v>0</v>
      </c>
      <c r="JZ53" s="120"/>
      <c r="KA53" s="120"/>
      <c r="KB53" s="217"/>
      <c r="KC53" s="120"/>
      <c r="KD53" s="120"/>
      <c r="KE53" s="205"/>
      <c r="KF53" s="205"/>
      <c r="KG53" s="205">
        <f t="shared" ref="KG53:KG54" si="469">SUM(JZ53:KF53)</f>
        <v>0</v>
      </c>
      <c r="KH53" s="120"/>
      <c r="KI53" s="120"/>
      <c r="KJ53" s="120"/>
      <c r="KK53" s="120"/>
      <c r="KL53" s="120"/>
      <c r="KM53" s="205"/>
      <c r="KN53" s="205"/>
      <c r="KO53" s="205">
        <f t="shared" ref="KO53:KO54" si="470">SUM(KH53:KN53)</f>
        <v>0</v>
      </c>
      <c r="KP53" s="120"/>
      <c r="KQ53" s="120"/>
      <c r="KR53" s="120"/>
      <c r="KS53" s="120"/>
      <c r="KT53" s="120"/>
      <c r="KU53" s="205"/>
      <c r="KV53" s="205"/>
      <c r="KW53" s="205">
        <f t="shared" ref="KW53:KW54" si="471">SUM(KP53:KV53)</f>
        <v>0</v>
      </c>
      <c r="KX53" s="120"/>
      <c r="KY53" s="120"/>
      <c r="KZ53" s="120"/>
      <c r="LA53" s="120"/>
      <c r="LB53" s="120"/>
      <c r="LC53" s="205"/>
      <c r="LD53" s="205"/>
      <c r="LE53" s="205">
        <f t="shared" ref="LE53:LE54" si="472">SUM(KX53:LD53)</f>
        <v>0</v>
      </c>
      <c r="LF53" s="205"/>
      <c r="LG53" s="120"/>
      <c r="LH53" s="120"/>
      <c r="LI53" s="120"/>
      <c r="LJ53" s="120"/>
      <c r="LK53" s="205"/>
      <c r="LL53" s="205"/>
      <c r="LM53" s="205">
        <f t="shared" ref="LM53:LM54" si="473">SUM(LF53:LL53)</f>
        <v>0</v>
      </c>
      <c r="LN53" s="205">
        <f t="shared" ref="LN53:LN54" si="474">SUM(LF53:LG53,LE53,KW53,KO53,KG53)</f>
        <v>0</v>
      </c>
      <c r="LO53" s="205"/>
      <c r="LP53" s="120"/>
      <c r="LQ53" s="120"/>
      <c r="LR53" s="120"/>
      <c r="LS53" s="205"/>
      <c r="LT53" s="205"/>
      <c r="LU53" s="205"/>
      <c r="LV53" s="205">
        <f t="shared" ref="LV53:LV54" si="475">SUM(LO53:LU53)</f>
        <v>0</v>
      </c>
      <c r="LW53" s="120"/>
      <c r="LX53" s="120"/>
      <c r="LY53" s="120"/>
      <c r="LZ53" s="120"/>
      <c r="MA53" s="120"/>
      <c r="MB53" s="205"/>
      <c r="MC53" s="205"/>
      <c r="MD53" s="205">
        <f t="shared" ref="MD53:MD54" si="476">SUM(LW53:MC53)</f>
        <v>0</v>
      </c>
      <c r="ME53" s="120"/>
      <c r="MF53" s="120"/>
      <c r="MG53" s="120"/>
      <c r="MH53" s="120"/>
      <c r="MI53" s="205"/>
      <c r="MJ53" s="205"/>
      <c r="MK53" s="205"/>
      <c r="ML53" s="205">
        <f t="shared" ref="ML53:ML54" si="477">SUM(ME53:MK53)</f>
        <v>0</v>
      </c>
      <c r="MM53" s="120"/>
      <c r="MN53" s="120"/>
      <c r="MO53" s="120"/>
      <c r="MP53" s="120"/>
      <c r="MQ53" s="120"/>
      <c r="MR53" s="205"/>
      <c r="MS53" s="205"/>
      <c r="MT53" s="205">
        <f t="shared" ref="MT53:MT54" si="478">SUM(MM53:MS53)</f>
        <v>0</v>
      </c>
      <c r="MU53" s="205">
        <f t="shared" ref="MU53:MU54" si="479">SUM(LH53:LL53,LV53,MD53,ML53,MM53:MQ53)</f>
        <v>0</v>
      </c>
      <c r="MV53" s="120"/>
      <c r="MW53" s="120"/>
      <c r="MX53" s="120"/>
      <c r="MY53" s="120"/>
      <c r="MZ53" s="120"/>
      <c r="NA53" s="205"/>
      <c r="NB53" s="205"/>
      <c r="NC53" s="205">
        <f t="shared" ref="NC53:NC54" si="480">SUM(MV53:NB53)</f>
        <v>0</v>
      </c>
      <c r="ND53" s="120"/>
      <c r="NE53" s="120"/>
      <c r="NF53" s="120"/>
      <c r="NG53" s="120"/>
      <c r="NH53" s="120"/>
      <c r="NI53" s="205"/>
      <c r="NJ53" s="205"/>
      <c r="NK53" s="205">
        <f t="shared" ref="NK53:NK54" si="481">SUM(ND53:NJ53)</f>
        <v>0</v>
      </c>
      <c r="NL53" s="120"/>
      <c r="NM53" s="120"/>
      <c r="NN53" s="120"/>
      <c r="NO53" s="120"/>
      <c r="NP53" s="120"/>
      <c r="NQ53" s="205"/>
      <c r="NR53" s="205"/>
      <c r="NS53" s="205">
        <f t="shared" ref="NS53:NS54" si="482">SUM(NL53:NR53)</f>
        <v>0</v>
      </c>
      <c r="NT53" s="120"/>
      <c r="NU53" s="120"/>
      <c r="NV53" s="120"/>
      <c r="NW53" s="120"/>
      <c r="NX53" s="120"/>
      <c r="NY53" s="205"/>
      <c r="NZ53" s="205"/>
      <c r="OA53" s="205">
        <f t="shared" ref="OA53:OA54" si="483">SUM(NT53:NZ53)</f>
        <v>0</v>
      </c>
      <c r="OB53" s="205">
        <f t="shared" ref="OB53:OB54" si="484">SUM(MR53:MS53,NC53,NK53,NS53,OA53)</f>
        <v>0</v>
      </c>
      <c r="OC53" s="120"/>
      <c r="OD53" s="120"/>
      <c r="OE53" s="120"/>
      <c r="OF53" s="120"/>
      <c r="OG53" s="120"/>
      <c r="OH53" s="205"/>
      <c r="OI53" s="205"/>
      <c r="OJ53" s="205">
        <f t="shared" ref="OJ53:OJ54" si="485">SUM(OC53:OI53)</f>
        <v>0</v>
      </c>
      <c r="OK53" s="120"/>
      <c r="OL53" s="120"/>
      <c r="OM53" s="120"/>
      <c r="ON53" s="120"/>
      <c r="OO53" s="120"/>
      <c r="OP53" s="205"/>
      <c r="OQ53" s="205"/>
      <c r="OR53" s="205">
        <f t="shared" ref="OR53:OR54" si="486">SUM(OK53:OQ53)</f>
        <v>0</v>
      </c>
      <c r="OS53" s="120"/>
      <c r="OT53" s="120"/>
      <c r="OU53" s="120"/>
      <c r="OV53" s="120"/>
      <c r="OW53" s="120"/>
      <c r="OX53" s="205"/>
      <c r="OY53" s="205"/>
      <c r="OZ53" s="205">
        <f t="shared" ref="OZ53:OZ54" si="487">SUM(OS53:OY53)</f>
        <v>0</v>
      </c>
      <c r="PA53" s="120"/>
      <c r="PB53" s="120"/>
      <c r="PC53" s="120"/>
      <c r="PD53" s="205"/>
      <c r="PE53" s="217"/>
      <c r="PF53" s="205"/>
      <c r="PG53" s="205"/>
      <c r="PH53" s="205">
        <f t="shared" ref="PH53:PH54" si="488">SUM(PA53:PG53)</f>
        <v>0</v>
      </c>
      <c r="PI53" s="120"/>
      <c r="PJ53" s="120"/>
      <c r="PK53" s="120"/>
      <c r="PL53" s="205"/>
      <c r="PM53" s="217"/>
      <c r="PN53" s="205"/>
      <c r="PO53" s="205"/>
      <c r="PP53" s="205">
        <f t="shared" ref="PP53:PP54" si="489">SUM(PI53:PO53)</f>
        <v>0</v>
      </c>
      <c r="PQ53" s="205">
        <f t="shared" ref="PQ53:PQ54" si="490">SUM(OJ53,OR53,OZ53,PH53,PI53:PK53)</f>
        <v>0</v>
      </c>
      <c r="PR53" s="207"/>
      <c r="PS53" s="207"/>
      <c r="PT53" s="207"/>
      <c r="PU53" s="207"/>
      <c r="PV53" s="207"/>
      <c r="PW53" s="272"/>
      <c r="PX53" s="272"/>
      <c r="PY53" s="205">
        <f t="shared" si="186"/>
        <v>0</v>
      </c>
      <c r="PZ53" s="207"/>
      <c r="QA53" s="207"/>
      <c r="QB53" s="195"/>
      <c r="QC53" s="207"/>
      <c r="QD53" s="207"/>
      <c r="QE53" s="272"/>
      <c r="QF53" s="272"/>
      <c r="QG53" s="205">
        <f t="shared" si="187"/>
        <v>0</v>
      </c>
      <c r="QH53" s="207"/>
      <c r="QI53" s="207"/>
      <c r="QJ53" s="294"/>
      <c r="QK53" s="207"/>
      <c r="QL53" s="207"/>
      <c r="QM53" s="272"/>
      <c r="QN53" s="272"/>
      <c r="QO53" s="205">
        <f t="shared" si="188"/>
        <v>0</v>
      </c>
      <c r="QP53" s="120"/>
      <c r="QQ53" s="120"/>
      <c r="QR53" s="120"/>
      <c r="QS53" s="120"/>
      <c r="QT53" s="120"/>
      <c r="QU53" s="272"/>
      <c r="QV53" s="272"/>
      <c r="QW53" s="205">
        <f t="shared" si="320"/>
        <v>0</v>
      </c>
      <c r="QX53" s="205">
        <f t="shared" si="190"/>
        <v>0</v>
      </c>
      <c r="QY53" s="207"/>
      <c r="QZ53" s="195"/>
      <c r="RA53" s="207"/>
      <c r="RB53" s="207"/>
      <c r="RC53" s="207"/>
      <c r="RD53" s="272"/>
      <c r="RE53" s="272"/>
      <c r="RF53" s="205">
        <f t="shared" si="191"/>
        <v>0</v>
      </c>
      <c r="RG53" s="120"/>
      <c r="RH53" s="201"/>
      <c r="RI53" s="120"/>
      <c r="RJ53" s="207"/>
      <c r="RK53" s="120"/>
      <c r="RL53" s="272"/>
      <c r="RM53" s="272"/>
      <c r="RN53" s="205">
        <f t="shared" si="192"/>
        <v>0</v>
      </c>
      <c r="RO53" s="272"/>
      <c r="RP53" s="272"/>
      <c r="RQ53" s="272"/>
      <c r="RR53" s="272"/>
      <c r="RS53" s="272"/>
      <c r="RT53" s="272"/>
      <c r="RU53" s="272"/>
      <c r="RV53" s="205">
        <f t="shared" si="193"/>
        <v>0</v>
      </c>
      <c r="RW53" s="120"/>
      <c r="RX53" s="120"/>
      <c r="RY53" s="207"/>
      <c r="RZ53" s="120"/>
      <c r="SA53" s="272"/>
      <c r="SB53" s="272"/>
      <c r="SC53" s="272"/>
      <c r="SD53" s="205">
        <f t="shared" si="194"/>
        <v>0</v>
      </c>
      <c r="SE53" s="205">
        <f t="shared" si="195"/>
        <v>0</v>
      </c>
      <c r="SF53" s="207"/>
      <c r="SG53" s="207"/>
      <c r="SH53" s="207"/>
      <c r="SI53" s="207"/>
      <c r="SJ53" s="207"/>
      <c r="SK53" s="272"/>
      <c r="SL53" s="272"/>
      <c r="SM53" s="205">
        <f t="shared" si="196"/>
        <v>0</v>
      </c>
      <c r="SN53" s="207"/>
      <c r="SO53" s="195"/>
      <c r="SP53" s="207"/>
      <c r="SQ53" s="207"/>
      <c r="SR53" s="207"/>
      <c r="SS53" s="272"/>
      <c r="ST53" s="272"/>
      <c r="SU53" s="205">
        <f t="shared" si="197"/>
        <v>0</v>
      </c>
      <c r="SV53" s="207"/>
      <c r="SW53" s="207"/>
      <c r="SX53" s="207"/>
      <c r="SY53" s="207"/>
      <c r="SZ53" s="207"/>
      <c r="TA53" s="272"/>
      <c r="TB53" s="272"/>
      <c r="TC53" s="205">
        <f t="shared" si="198"/>
        <v>0</v>
      </c>
      <c r="TD53" s="207"/>
      <c r="TE53" s="207"/>
      <c r="TF53" s="124"/>
      <c r="TG53" s="207"/>
      <c r="TH53" s="207"/>
      <c r="TI53" s="272"/>
      <c r="TJ53" s="272"/>
      <c r="TK53" s="205">
        <f t="shared" si="199"/>
        <v>0</v>
      </c>
      <c r="TL53" s="207"/>
      <c r="TM53" s="207"/>
      <c r="TN53" s="207"/>
      <c r="TO53" s="207"/>
      <c r="TP53" s="272"/>
      <c r="TQ53" s="272"/>
      <c r="TR53" s="272"/>
      <c r="TS53" s="205">
        <f t="shared" si="200"/>
        <v>0</v>
      </c>
      <c r="TT53" s="205">
        <f t="shared" si="201"/>
        <v>0</v>
      </c>
      <c r="TU53" s="272"/>
      <c r="TV53" s="207"/>
      <c r="TW53" s="207"/>
      <c r="TX53" s="120"/>
      <c r="TY53" s="207"/>
      <c r="TZ53" s="272"/>
      <c r="UA53" s="272"/>
      <c r="UB53" s="205">
        <f t="shared" si="202"/>
        <v>0</v>
      </c>
      <c r="UC53" s="207"/>
      <c r="UD53" s="207"/>
      <c r="UE53" s="207"/>
      <c r="UF53" s="207"/>
      <c r="UG53" s="207"/>
      <c r="UH53" s="272"/>
      <c r="UI53" s="272"/>
      <c r="UJ53" s="205">
        <f t="shared" si="240"/>
        <v>0</v>
      </c>
      <c r="UK53" s="207"/>
      <c r="UL53" s="207"/>
      <c r="UM53" s="207"/>
      <c r="UN53" s="120"/>
      <c r="UO53" s="120"/>
      <c r="UP53" s="272"/>
      <c r="UQ53" s="272"/>
      <c r="UR53" s="205">
        <f t="shared" si="227"/>
        <v>0</v>
      </c>
      <c r="US53" s="201"/>
      <c r="UT53" s="207"/>
      <c r="UU53" s="207"/>
      <c r="UV53" s="207"/>
      <c r="UW53" s="272"/>
      <c r="UX53" s="272"/>
      <c r="UY53" s="272"/>
      <c r="UZ53" s="205">
        <f t="shared" si="204"/>
        <v>0</v>
      </c>
      <c r="VA53" s="205">
        <f t="shared" si="205"/>
        <v>0</v>
      </c>
      <c r="VB53" s="207"/>
      <c r="VC53" s="207"/>
      <c r="VD53" s="120"/>
      <c r="VE53" s="207"/>
      <c r="VF53" s="207"/>
      <c r="VG53" s="272"/>
      <c r="VH53" s="272"/>
      <c r="VI53" s="205">
        <f t="shared" si="206"/>
        <v>0</v>
      </c>
      <c r="VJ53" s="207"/>
      <c r="VK53" s="207"/>
      <c r="VL53" s="207"/>
      <c r="VM53" s="195"/>
      <c r="VN53" s="207"/>
      <c r="VO53" s="272"/>
      <c r="VP53" s="272"/>
      <c r="VQ53" s="205">
        <f t="shared" si="207"/>
        <v>0</v>
      </c>
      <c r="VR53" s="207"/>
      <c r="VS53" s="207"/>
      <c r="VT53" s="207"/>
      <c r="VU53" s="207"/>
      <c r="VV53" s="207"/>
      <c r="VW53" s="272"/>
      <c r="VX53" s="272"/>
      <c r="VY53" s="205">
        <f t="shared" si="208"/>
        <v>0</v>
      </c>
      <c r="VZ53" s="120"/>
      <c r="WA53" s="207"/>
      <c r="WB53" s="207"/>
      <c r="WC53" s="207"/>
      <c r="WD53" s="207"/>
      <c r="WE53" s="272"/>
      <c r="WF53" s="272"/>
      <c r="WG53" s="205">
        <f t="shared" si="209"/>
        <v>0</v>
      </c>
      <c r="WH53" s="205">
        <f t="shared" si="210"/>
        <v>0</v>
      </c>
      <c r="WI53" s="207"/>
      <c r="WJ53" s="207"/>
      <c r="WK53" s="207"/>
      <c r="WL53" s="207"/>
      <c r="WM53" s="207"/>
      <c r="WN53" s="272"/>
      <c r="WO53" s="272"/>
      <c r="WP53" s="205">
        <f t="shared" si="211"/>
        <v>0</v>
      </c>
      <c r="WQ53" s="207"/>
      <c r="WR53" s="207"/>
      <c r="WS53" s="124"/>
      <c r="WT53" s="207"/>
      <c r="WU53" s="207"/>
      <c r="WV53" s="272"/>
      <c r="WW53" s="272"/>
      <c r="WX53" s="205">
        <f t="shared" si="212"/>
        <v>0</v>
      </c>
      <c r="WY53" s="207"/>
      <c r="WZ53" s="207"/>
      <c r="XA53" s="207"/>
      <c r="XB53" s="207"/>
      <c r="XC53" s="272"/>
      <c r="XD53" s="272"/>
      <c r="XE53" s="272"/>
      <c r="XF53" s="205">
        <f t="shared" si="213"/>
        <v>0</v>
      </c>
      <c r="XG53" s="207"/>
      <c r="XH53" s="207"/>
      <c r="XI53" s="207"/>
      <c r="XJ53" s="207"/>
      <c r="XK53" s="207"/>
      <c r="XL53" s="272"/>
      <c r="XM53" s="272"/>
      <c r="XN53" s="205">
        <f t="shared" si="214"/>
        <v>0</v>
      </c>
      <c r="XO53" s="207"/>
      <c r="XP53" s="207"/>
      <c r="XQ53" s="207"/>
      <c r="XR53" s="207"/>
      <c r="XS53" s="207"/>
      <c r="XT53" s="272"/>
      <c r="XU53" s="272"/>
      <c r="XV53" s="205">
        <f t="shared" si="215"/>
        <v>0</v>
      </c>
      <c r="XW53" s="205">
        <f t="shared" si="216"/>
        <v>0</v>
      </c>
      <c r="XX53" s="207"/>
      <c r="XY53" s="207"/>
      <c r="XZ53" s="207"/>
      <c r="YA53" s="207"/>
      <c r="YB53" s="207"/>
      <c r="YC53" s="272"/>
      <c r="YD53" s="272"/>
      <c r="YE53" s="205">
        <f t="shared" si="217"/>
        <v>0</v>
      </c>
      <c r="YF53" s="207"/>
      <c r="YG53" s="124"/>
      <c r="YH53" s="207"/>
      <c r="YI53" s="207"/>
      <c r="YJ53" s="207"/>
      <c r="YK53" s="272"/>
      <c r="YL53" s="272"/>
      <c r="YM53" s="205">
        <f t="shared" si="218"/>
        <v>0</v>
      </c>
      <c r="YN53" s="207"/>
      <c r="YO53" s="207"/>
      <c r="YP53" s="207"/>
      <c r="YQ53" s="207"/>
      <c r="YR53" s="207"/>
      <c r="YS53" s="272"/>
      <c r="YT53" s="272"/>
      <c r="YU53" s="205">
        <f t="shared" si="148"/>
        <v>0</v>
      </c>
      <c r="YV53" s="207"/>
      <c r="YW53" s="207"/>
      <c r="YX53" s="207"/>
      <c r="YY53" s="207"/>
      <c r="YZ53" s="207"/>
      <c r="ZA53" s="272"/>
      <c r="ZB53" s="272"/>
      <c r="ZC53" s="205">
        <f t="shared" si="219"/>
        <v>0</v>
      </c>
      <c r="ZD53" s="205">
        <f t="shared" si="149"/>
        <v>0</v>
      </c>
      <c r="ZE53" s="207"/>
      <c r="ZF53" s="207"/>
      <c r="ZG53" s="207"/>
      <c r="ZH53" s="207"/>
      <c r="ZI53" s="207"/>
      <c r="ZJ53" s="272"/>
      <c r="ZK53" s="272"/>
      <c r="ZL53" s="205">
        <f t="shared" si="220"/>
        <v>0</v>
      </c>
      <c r="ZM53" s="207"/>
      <c r="ZN53" s="207"/>
      <c r="ZO53" s="207"/>
      <c r="ZP53" s="207"/>
      <c r="ZQ53" s="207"/>
      <c r="ZR53" s="272"/>
      <c r="ZS53" s="272"/>
      <c r="ZT53" s="205">
        <f t="shared" si="221"/>
        <v>0</v>
      </c>
      <c r="ZU53" s="207"/>
      <c r="ZV53" s="207"/>
      <c r="ZW53" s="207"/>
      <c r="ZX53" s="207"/>
      <c r="ZY53" s="207"/>
      <c r="ZZ53" s="272"/>
      <c r="AAA53" s="272"/>
      <c r="AAB53" s="205">
        <f t="shared" si="222"/>
        <v>0</v>
      </c>
      <c r="AAC53" s="207"/>
      <c r="AAD53" s="207"/>
      <c r="AAE53" s="207"/>
      <c r="AAF53" s="207"/>
      <c r="AAG53" s="207"/>
      <c r="AAH53" s="272"/>
      <c r="AAI53" s="272"/>
      <c r="AAJ53" s="205">
        <f t="shared" si="223"/>
        <v>0</v>
      </c>
      <c r="AAK53" s="207"/>
      <c r="AAL53" s="207"/>
      <c r="AAM53" s="207"/>
      <c r="AAN53" s="207"/>
      <c r="AAO53" s="207"/>
      <c r="AAP53" s="272"/>
      <c r="AAQ53" s="272"/>
      <c r="AAR53" s="205">
        <f t="shared" si="224"/>
        <v>0</v>
      </c>
      <c r="AAS53" s="205">
        <f t="shared" si="225"/>
        <v>0</v>
      </c>
    </row>
    <row r="54" spans="1:721" ht="69" customHeight="1">
      <c r="B54" s="164">
        <v>3630101106</v>
      </c>
      <c r="C54" s="330"/>
      <c r="D54" s="163" t="s">
        <v>767</v>
      </c>
      <c r="E54" s="130" t="s">
        <v>4</v>
      </c>
      <c r="F54" s="120"/>
      <c r="G54" s="120"/>
      <c r="H54" s="120"/>
      <c r="I54" s="120"/>
      <c r="J54" s="120"/>
      <c r="K54" s="209"/>
      <c r="L54" s="205"/>
      <c r="M54" s="205">
        <f t="shared" si="437"/>
        <v>0</v>
      </c>
      <c r="N54" s="120"/>
      <c r="O54" s="120"/>
      <c r="P54" s="120"/>
      <c r="Q54" s="120"/>
      <c r="R54" s="120"/>
      <c r="S54" s="209"/>
      <c r="T54" s="205"/>
      <c r="U54" s="205">
        <f t="shared" si="438"/>
        <v>0</v>
      </c>
      <c r="V54" s="120"/>
      <c r="W54" s="120"/>
      <c r="X54" s="120"/>
      <c r="Y54" s="120"/>
      <c r="Z54" s="120"/>
      <c r="AA54" s="209"/>
      <c r="AB54" s="205"/>
      <c r="AC54" s="205">
        <f t="shared" si="439"/>
        <v>0</v>
      </c>
      <c r="AD54" s="205"/>
      <c r="AE54" s="205"/>
      <c r="AF54" s="205"/>
      <c r="AG54" s="205"/>
      <c r="AH54" s="205"/>
      <c r="AI54" s="209"/>
      <c r="AJ54" s="205"/>
      <c r="AK54" s="205">
        <f t="shared" si="440"/>
        <v>0</v>
      </c>
      <c r="AL54" s="205" t="e">
        <f>SUM(#REF!,M54,U54,AC54,AD54:AH54)</f>
        <v>#REF!</v>
      </c>
      <c r="AM54" s="120"/>
      <c r="AN54" s="120"/>
      <c r="AO54" s="120"/>
      <c r="AP54" s="120"/>
      <c r="AQ54" s="120"/>
      <c r="AR54" s="209"/>
      <c r="AS54" s="205"/>
      <c r="AT54" s="205">
        <f t="shared" si="245"/>
        <v>0</v>
      </c>
      <c r="AU54" s="120"/>
      <c r="AV54" s="120"/>
      <c r="AW54" s="120"/>
      <c r="AX54" s="120"/>
      <c r="AY54" s="120"/>
      <c r="AZ54" s="209"/>
      <c r="BA54" s="205"/>
      <c r="BB54" s="205">
        <f t="shared" si="246"/>
        <v>0</v>
      </c>
      <c r="BC54" s="120"/>
      <c r="BD54" s="120"/>
      <c r="BE54" s="120"/>
      <c r="BF54" s="120"/>
      <c r="BG54" s="120"/>
      <c r="BH54" s="209"/>
      <c r="BI54" s="205"/>
      <c r="BJ54" s="205">
        <f t="shared" si="247"/>
        <v>0</v>
      </c>
      <c r="BK54" s="120"/>
      <c r="BL54" s="120"/>
      <c r="BM54" s="120"/>
      <c r="BN54" s="120"/>
      <c r="BO54" s="205"/>
      <c r="BP54" s="209"/>
      <c r="BQ54" s="205"/>
      <c r="BR54" s="205">
        <f t="shared" si="441"/>
        <v>0</v>
      </c>
      <c r="BS54" s="205">
        <f t="shared" si="442"/>
        <v>0</v>
      </c>
      <c r="BT54" s="120"/>
      <c r="BU54" s="120"/>
      <c r="BV54" s="120"/>
      <c r="BW54" s="120"/>
      <c r="BX54" s="120"/>
      <c r="BY54" s="209"/>
      <c r="BZ54" s="205"/>
      <c r="CA54" s="205">
        <f t="shared" si="250"/>
        <v>0</v>
      </c>
      <c r="CB54" s="120"/>
      <c r="CC54" s="120"/>
      <c r="CD54" s="120"/>
      <c r="CE54" s="120"/>
      <c r="CF54" s="120"/>
      <c r="CG54" s="209"/>
      <c r="CH54" s="205"/>
      <c r="CI54" s="205">
        <f t="shared" si="251"/>
        <v>0</v>
      </c>
      <c r="CJ54" s="120"/>
      <c r="CK54" s="120"/>
      <c r="CL54" s="120"/>
      <c r="CM54" s="120"/>
      <c r="CN54" s="120"/>
      <c r="CO54" s="209"/>
      <c r="CP54" s="205"/>
      <c r="CQ54" s="205">
        <f t="shared" si="252"/>
        <v>0</v>
      </c>
      <c r="CR54" s="120"/>
      <c r="CS54" s="120"/>
      <c r="CT54" s="120"/>
      <c r="CU54" s="120"/>
      <c r="CV54" s="120"/>
      <c r="CW54" s="209"/>
      <c r="CX54" s="205"/>
      <c r="CY54" s="205">
        <f t="shared" si="253"/>
        <v>0</v>
      </c>
      <c r="CZ54" s="120"/>
      <c r="DA54" s="120"/>
      <c r="DB54" s="120"/>
      <c r="DC54" s="205"/>
      <c r="DD54" s="205"/>
      <c r="DE54" s="209"/>
      <c r="DF54" s="205"/>
      <c r="DG54" s="205">
        <f t="shared" si="254"/>
        <v>0</v>
      </c>
      <c r="DH54" s="205">
        <f t="shared" si="443"/>
        <v>0</v>
      </c>
      <c r="DI54" s="120"/>
      <c r="DJ54" s="120"/>
      <c r="DK54" s="120"/>
      <c r="DL54" s="120"/>
      <c r="DM54" s="120"/>
      <c r="DN54" s="209"/>
      <c r="DO54" s="205"/>
      <c r="DP54" s="205">
        <f t="shared" si="444"/>
        <v>0</v>
      </c>
      <c r="DQ54" s="120"/>
      <c r="DR54" s="120"/>
      <c r="DS54" s="120"/>
      <c r="DT54" s="120"/>
      <c r="DU54" s="120"/>
      <c r="DV54" s="209"/>
      <c r="DW54" s="205"/>
      <c r="DX54" s="205">
        <f t="shared" si="445"/>
        <v>0</v>
      </c>
      <c r="DY54" s="120"/>
      <c r="DZ54" s="120"/>
      <c r="EA54" s="120"/>
      <c r="EB54" s="120"/>
      <c r="EC54" s="120"/>
      <c r="ED54" s="209"/>
      <c r="EE54" s="205"/>
      <c r="EF54" s="205">
        <f t="shared" si="446"/>
        <v>0</v>
      </c>
      <c r="EG54" s="120"/>
      <c r="EH54" s="120"/>
      <c r="EI54" s="120"/>
      <c r="EJ54" s="205"/>
      <c r="EK54" s="205"/>
      <c r="EL54" s="209"/>
      <c r="EM54" s="205"/>
      <c r="EN54" s="205">
        <f t="shared" si="447"/>
        <v>0</v>
      </c>
      <c r="EO54" s="205">
        <f t="shared" si="448"/>
        <v>0</v>
      </c>
      <c r="EP54" s="120"/>
      <c r="EQ54" s="120"/>
      <c r="ER54" s="120"/>
      <c r="ES54" s="120"/>
      <c r="ET54" s="120"/>
      <c r="EU54" s="209"/>
      <c r="EV54" s="205"/>
      <c r="EW54" s="205">
        <f t="shared" si="449"/>
        <v>0</v>
      </c>
      <c r="EX54" s="120"/>
      <c r="EY54" s="120"/>
      <c r="EZ54" s="120"/>
      <c r="FA54" s="120"/>
      <c r="FB54" s="120"/>
      <c r="FC54" s="209"/>
      <c r="FD54" s="205"/>
      <c r="FE54" s="205">
        <f t="shared" si="450"/>
        <v>0</v>
      </c>
      <c r="FF54" s="120"/>
      <c r="FG54" s="120"/>
      <c r="FH54" s="120"/>
      <c r="FI54" s="120"/>
      <c r="FJ54" s="120"/>
      <c r="FK54" s="209"/>
      <c r="FL54" s="205"/>
      <c r="FM54" s="205">
        <f t="shared" si="451"/>
        <v>0</v>
      </c>
      <c r="FN54" s="120"/>
      <c r="FO54" s="120"/>
      <c r="FP54" s="120"/>
      <c r="FQ54" s="120"/>
      <c r="FR54" s="205"/>
      <c r="FS54" s="209"/>
      <c r="FT54" s="205"/>
      <c r="FU54" s="205">
        <f t="shared" si="452"/>
        <v>0</v>
      </c>
      <c r="FV54" s="205">
        <f t="shared" si="453"/>
        <v>0</v>
      </c>
      <c r="FW54" s="120"/>
      <c r="FX54" s="120"/>
      <c r="FY54" s="120"/>
      <c r="FZ54" s="120"/>
      <c r="GA54" s="120"/>
      <c r="GB54" s="209"/>
      <c r="GC54" s="205"/>
      <c r="GD54" s="205">
        <f t="shared" si="454"/>
        <v>0</v>
      </c>
      <c r="GE54" s="120"/>
      <c r="GF54" s="120"/>
      <c r="GG54" s="120"/>
      <c r="GH54" s="120"/>
      <c r="GI54" s="120"/>
      <c r="GJ54" s="209"/>
      <c r="GK54" s="205"/>
      <c r="GL54" s="205">
        <f t="shared" si="455"/>
        <v>0</v>
      </c>
      <c r="GM54" s="120"/>
      <c r="GN54" s="120"/>
      <c r="GO54" s="120"/>
      <c r="GP54" s="120"/>
      <c r="GQ54" s="120"/>
      <c r="GR54" s="209"/>
      <c r="GS54" s="205"/>
      <c r="GT54" s="205">
        <f t="shared" si="456"/>
        <v>0</v>
      </c>
      <c r="GU54" s="120"/>
      <c r="GV54" s="120"/>
      <c r="GW54" s="120"/>
      <c r="GX54" s="120"/>
      <c r="GY54" s="120"/>
      <c r="GZ54" s="209"/>
      <c r="HA54" s="205"/>
      <c r="HB54" s="205">
        <f t="shared" si="457"/>
        <v>0</v>
      </c>
      <c r="HC54" s="120"/>
      <c r="HD54" s="120"/>
      <c r="HE54" s="120"/>
      <c r="HF54" s="120"/>
      <c r="HG54" s="120"/>
      <c r="HH54" s="209"/>
      <c r="HI54" s="205"/>
      <c r="HJ54" s="205">
        <f t="shared" si="458"/>
        <v>0</v>
      </c>
      <c r="HK54" s="205">
        <f t="shared" si="459"/>
        <v>0</v>
      </c>
      <c r="HL54" s="124"/>
      <c r="HM54" s="120"/>
      <c r="HN54" s="120"/>
      <c r="HO54" s="120"/>
      <c r="HP54" s="120"/>
      <c r="HQ54" s="205"/>
      <c r="HR54" s="205"/>
      <c r="HS54" s="205">
        <f t="shared" si="460"/>
        <v>0</v>
      </c>
      <c r="HT54" s="120"/>
      <c r="HU54" s="120"/>
      <c r="HV54" s="120"/>
      <c r="HW54" s="120"/>
      <c r="HX54" s="120"/>
      <c r="HY54" s="205"/>
      <c r="HZ54" s="205"/>
      <c r="IA54" s="205">
        <f t="shared" si="461"/>
        <v>0</v>
      </c>
      <c r="IB54" s="120"/>
      <c r="IC54" s="120"/>
      <c r="ID54" s="120"/>
      <c r="IE54" s="120"/>
      <c r="IF54" s="120"/>
      <c r="IG54" s="205"/>
      <c r="IH54" s="205"/>
      <c r="II54" s="205">
        <f t="shared" si="462"/>
        <v>0</v>
      </c>
      <c r="IJ54" s="120"/>
      <c r="IK54" s="120"/>
      <c r="IL54" s="120"/>
      <c r="IM54" s="120"/>
      <c r="IN54" s="120"/>
      <c r="IO54" s="205"/>
      <c r="IP54" s="205"/>
      <c r="IQ54" s="205">
        <f t="shared" si="463"/>
        <v>0</v>
      </c>
      <c r="IR54" s="205">
        <f t="shared" si="464"/>
        <v>0</v>
      </c>
      <c r="IS54" s="120"/>
      <c r="IT54" s="120"/>
      <c r="IU54" s="120"/>
      <c r="IV54" s="120"/>
      <c r="IW54" s="120"/>
      <c r="IX54" s="205"/>
      <c r="IY54" s="205"/>
      <c r="IZ54" s="205">
        <f t="shared" si="465"/>
        <v>0</v>
      </c>
      <c r="JA54" s="120"/>
      <c r="JB54" s="120"/>
      <c r="JC54" s="120"/>
      <c r="JD54" s="120"/>
      <c r="JE54" s="120"/>
      <c r="JF54" s="205"/>
      <c r="JG54" s="205"/>
      <c r="JH54" s="205">
        <f t="shared" si="466"/>
        <v>0</v>
      </c>
      <c r="JI54" s="120"/>
      <c r="JJ54" s="120"/>
      <c r="JK54" s="120"/>
      <c r="JL54" s="120"/>
      <c r="JM54" s="120"/>
      <c r="JN54" s="205"/>
      <c r="JO54" s="205"/>
      <c r="JP54" s="205">
        <f t="shared" si="467"/>
        <v>0</v>
      </c>
      <c r="JQ54" s="217">
        <v>300</v>
      </c>
      <c r="JR54" s="120"/>
      <c r="JS54" s="120"/>
      <c r="JT54" s="120"/>
      <c r="JU54" s="120"/>
      <c r="JV54" s="205"/>
      <c r="JW54" s="205"/>
      <c r="JX54" s="205">
        <f t="shared" si="468"/>
        <v>300</v>
      </c>
      <c r="JY54" s="205">
        <f t="shared" si="163"/>
        <v>300</v>
      </c>
      <c r="JZ54" s="120"/>
      <c r="KA54" s="120"/>
      <c r="KB54" s="217">
        <v>1500</v>
      </c>
      <c r="KC54" s="120"/>
      <c r="KD54" s="120"/>
      <c r="KE54" s="205"/>
      <c r="KF54" s="205"/>
      <c r="KG54" s="205">
        <f t="shared" si="469"/>
        <v>1500</v>
      </c>
      <c r="KH54" s="120"/>
      <c r="KI54" s="120"/>
      <c r="KJ54" s="120"/>
      <c r="KK54" s="120"/>
      <c r="KL54" s="120"/>
      <c r="KM54" s="205"/>
      <c r="KN54" s="205"/>
      <c r="KO54" s="205">
        <f t="shared" si="470"/>
        <v>0</v>
      </c>
      <c r="KP54" s="120"/>
      <c r="KQ54" s="120"/>
      <c r="KR54" s="120"/>
      <c r="KS54" s="120"/>
      <c r="KT54" s="120"/>
      <c r="KU54" s="205"/>
      <c r="KV54" s="205"/>
      <c r="KW54" s="205">
        <f t="shared" si="471"/>
        <v>0</v>
      </c>
      <c r="KX54" s="120"/>
      <c r="KY54" s="120"/>
      <c r="KZ54" s="120"/>
      <c r="LA54" s="120"/>
      <c r="LB54" s="207"/>
      <c r="LC54" s="205"/>
      <c r="LD54" s="205"/>
      <c r="LE54" s="205">
        <f t="shared" si="472"/>
        <v>0</v>
      </c>
      <c r="LF54" s="205"/>
      <c r="LG54" s="120"/>
      <c r="LH54" s="120"/>
      <c r="LI54" s="120"/>
      <c r="LJ54" s="120"/>
      <c r="LK54" s="205"/>
      <c r="LL54" s="205"/>
      <c r="LM54" s="205">
        <f t="shared" si="473"/>
        <v>0</v>
      </c>
      <c r="LN54" s="205">
        <f t="shared" si="474"/>
        <v>1500</v>
      </c>
      <c r="LO54" s="205"/>
      <c r="LP54" s="120"/>
      <c r="LQ54" s="120"/>
      <c r="LR54" s="120"/>
      <c r="LS54" s="205"/>
      <c r="LT54" s="205"/>
      <c r="LU54" s="205"/>
      <c r="LV54" s="205">
        <f t="shared" si="475"/>
        <v>0</v>
      </c>
      <c r="LW54" s="120"/>
      <c r="LX54" s="124">
        <v>900</v>
      </c>
      <c r="LY54" s="120"/>
      <c r="LZ54" s="120"/>
      <c r="MA54" s="120"/>
      <c r="MB54" s="205"/>
      <c r="MC54" s="205"/>
      <c r="MD54" s="205">
        <f t="shared" si="476"/>
        <v>900</v>
      </c>
      <c r="ME54" s="120"/>
      <c r="MF54" s="120"/>
      <c r="MG54" s="120"/>
      <c r="MH54" s="120"/>
      <c r="MI54" s="205"/>
      <c r="MJ54" s="205"/>
      <c r="MK54" s="205"/>
      <c r="ML54" s="205">
        <f t="shared" si="477"/>
        <v>0</v>
      </c>
      <c r="MM54" s="120"/>
      <c r="MN54" s="120"/>
      <c r="MO54" s="120"/>
      <c r="MP54" s="120"/>
      <c r="MQ54" s="120"/>
      <c r="MR54" s="205"/>
      <c r="MS54" s="205"/>
      <c r="MT54" s="205">
        <f t="shared" si="478"/>
        <v>0</v>
      </c>
      <c r="MU54" s="205">
        <f t="shared" si="479"/>
        <v>900</v>
      </c>
      <c r="MV54" s="120"/>
      <c r="MW54" s="120"/>
      <c r="MX54" s="120"/>
      <c r="MY54" s="120"/>
      <c r="MZ54" s="120"/>
      <c r="NA54" s="205"/>
      <c r="NB54" s="205"/>
      <c r="NC54" s="205">
        <f t="shared" si="480"/>
        <v>0</v>
      </c>
      <c r="ND54" s="120"/>
      <c r="NE54" s="217">
        <v>1400</v>
      </c>
      <c r="NF54" s="120"/>
      <c r="NG54" s="120"/>
      <c r="NH54" s="120"/>
      <c r="NI54" s="205"/>
      <c r="NJ54" s="205"/>
      <c r="NK54" s="205">
        <f t="shared" si="481"/>
        <v>1400</v>
      </c>
      <c r="NL54" s="120"/>
      <c r="NM54" s="120"/>
      <c r="NN54" s="120"/>
      <c r="NO54" s="120"/>
      <c r="NP54" s="120"/>
      <c r="NQ54" s="205"/>
      <c r="NR54" s="205"/>
      <c r="NS54" s="205">
        <f t="shared" si="482"/>
        <v>0</v>
      </c>
      <c r="NT54" s="120"/>
      <c r="NU54" s="120"/>
      <c r="NV54" s="120"/>
      <c r="NW54" s="120"/>
      <c r="NX54" s="120"/>
      <c r="NY54" s="205"/>
      <c r="NZ54" s="205"/>
      <c r="OA54" s="205">
        <f t="shared" si="483"/>
        <v>0</v>
      </c>
      <c r="OB54" s="205">
        <f t="shared" si="484"/>
        <v>1400</v>
      </c>
      <c r="OC54" s="120"/>
      <c r="OD54" s="120"/>
      <c r="OF54" s="120"/>
      <c r="OG54" s="120"/>
      <c r="OH54" s="205"/>
      <c r="OI54" s="205"/>
      <c r="OJ54" s="205">
        <f t="shared" si="485"/>
        <v>0</v>
      </c>
      <c r="OK54" s="195">
        <v>900</v>
      </c>
      <c r="OL54" s="120"/>
      <c r="OM54" s="120"/>
      <c r="ON54" s="120"/>
      <c r="OO54" s="120"/>
      <c r="OP54" s="205"/>
      <c r="OQ54" s="205"/>
      <c r="OR54" s="205">
        <f t="shared" si="486"/>
        <v>900</v>
      </c>
      <c r="OS54" s="120"/>
      <c r="OT54" s="120"/>
      <c r="OU54" s="120"/>
      <c r="OV54" s="120"/>
      <c r="OW54" s="120"/>
      <c r="OX54" s="205"/>
      <c r="OY54" s="205"/>
      <c r="OZ54" s="205">
        <f t="shared" si="487"/>
        <v>0</v>
      </c>
      <c r="PA54" s="120"/>
      <c r="PB54" s="120"/>
      <c r="PC54" s="120"/>
      <c r="PD54" s="205"/>
      <c r="PE54" s="217"/>
      <c r="PF54" s="205"/>
      <c r="PG54" s="205"/>
      <c r="PH54" s="205">
        <f t="shared" si="488"/>
        <v>0</v>
      </c>
      <c r="PI54" s="120"/>
      <c r="PJ54" s="120"/>
      <c r="PK54" s="120"/>
      <c r="PL54" s="205"/>
      <c r="PM54" s="217"/>
      <c r="PN54" s="205"/>
      <c r="PO54" s="205"/>
      <c r="PP54" s="205">
        <f t="shared" si="489"/>
        <v>0</v>
      </c>
      <c r="PQ54" s="205">
        <f t="shared" si="490"/>
        <v>900</v>
      </c>
      <c r="PR54" s="207"/>
      <c r="PS54" s="207"/>
      <c r="PT54" s="207"/>
      <c r="PU54" s="207"/>
      <c r="PV54" s="207"/>
      <c r="PW54" s="272"/>
      <c r="PX54" s="272"/>
      <c r="PY54" s="205">
        <f t="shared" si="186"/>
        <v>0</v>
      </c>
      <c r="PZ54" s="207"/>
      <c r="QA54" s="207"/>
      <c r="QB54" s="195">
        <v>1200</v>
      </c>
      <c r="QC54" s="207"/>
      <c r="QD54" s="207"/>
      <c r="QE54" s="272"/>
      <c r="QF54" s="272"/>
      <c r="QG54" s="205">
        <f t="shared" si="187"/>
        <v>1200</v>
      </c>
      <c r="QH54" s="207"/>
      <c r="QI54" s="207"/>
      <c r="QJ54" s="294"/>
      <c r="QK54" s="207"/>
      <c r="QL54" s="207"/>
      <c r="QM54" s="272"/>
      <c r="QN54" s="272"/>
      <c r="QO54" s="205">
        <f t="shared" si="188"/>
        <v>0</v>
      </c>
      <c r="QP54" s="207"/>
      <c r="QQ54" s="120"/>
      <c r="QR54" s="120"/>
      <c r="QS54" s="207"/>
      <c r="QT54" s="120"/>
      <c r="QU54" s="272"/>
      <c r="QV54" s="272"/>
      <c r="QW54" s="205">
        <f t="shared" si="320"/>
        <v>0</v>
      </c>
      <c r="QX54" s="205">
        <f t="shared" si="190"/>
        <v>1200</v>
      </c>
      <c r="QY54" s="207"/>
      <c r="QZ54" s="195">
        <v>1100</v>
      </c>
      <c r="RA54" s="207"/>
      <c r="RB54" s="207"/>
      <c r="RC54" s="207"/>
      <c r="RD54" s="272"/>
      <c r="RE54" s="272"/>
      <c r="RF54" s="205">
        <f t="shared" si="191"/>
        <v>1100</v>
      </c>
      <c r="RG54" s="120"/>
      <c r="RH54" s="201">
        <v>1500</v>
      </c>
      <c r="RI54" s="120"/>
      <c r="RJ54" s="207"/>
      <c r="RK54" s="120"/>
      <c r="RL54" s="272"/>
      <c r="RM54" s="272"/>
      <c r="RN54" s="205">
        <f t="shared" si="192"/>
        <v>1500</v>
      </c>
      <c r="RO54" s="272"/>
      <c r="RP54" s="272"/>
      <c r="RQ54" s="272"/>
      <c r="RR54" s="272"/>
      <c r="RS54" s="272"/>
      <c r="RT54" s="272"/>
      <c r="RU54" s="272"/>
      <c r="RV54" s="205">
        <f t="shared" si="193"/>
        <v>0</v>
      </c>
      <c r="RW54" s="120"/>
      <c r="RX54" s="120"/>
      <c r="RY54" s="207"/>
      <c r="RZ54" s="120"/>
      <c r="SA54" s="272"/>
      <c r="SB54" s="272"/>
      <c r="SC54" s="272"/>
      <c r="SD54" s="205">
        <f t="shared" si="194"/>
        <v>0</v>
      </c>
      <c r="SE54" s="205">
        <f t="shared" si="195"/>
        <v>2600</v>
      </c>
      <c r="SF54" s="207"/>
      <c r="SG54" s="207"/>
      <c r="SH54" s="207"/>
      <c r="SI54" s="207"/>
      <c r="SJ54" s="207"/>
      <c r="SK54" s="272"/>
      <c r="SL54" s="272"/>
      <c r="SM54" s="205">
        <f t="shared" si="196"/>
        <v>0</v>
      </c>
      <c r="SN54" s="207"/>
      <c r="SO54" s="207"/>
      <c r="SP54" s="207"/>
      <c r="SQ54" s="207"/>
      <c r="SR54" s="207"/>
      <c r="SS54" s="272"/>
      <c r="ST54" s="272"/>
      <c r="SU54" s="205">
        <f t="shared" si="197"/>
        <v>0</v>
      </c>
      <c r="SV54" s="207"/>
      <c r="SW54" s="120"/>
      <c r="SX54" s="207"/>
      <c r="SY54" s="207"/>
      <c r="SZ54" s="207"/>
      <c r="TA54" s="272"/>
      <c r="TB54" s="272"/>
      <c r="TC54" s="205">
        <f t="shared" si="198"/>
        <v>0</v>
      </c>
      <c r="TD54" s="207"/>
      <c r="TE54" s="207"/>
      <c r="TF54" s="124">
        <v>860</v>
      </c>
      <c r="TG54" s="207"/>
      <c r="TH54" s="207"/>
      <c r="TI54" s="272"/>
      <c r="TJ54" s="272"/>
      <c r="TK54" s="205">
        <f t="shared" si="199"/>
        <v>860</v>
      </c>
      <c r="TL54" s="207"/>
      <c r="TM54" s="207"/>
      <c r="TN54" s="207"/>
      <c r="TO54" s="207"/>
      <c r="TP54" s="272"/>
      <c r="TQ54" s="272"/>
      <c r="TR54" s="272"/>
      <c r="TS54" s="205">
        <f t="shared" si="200"/>
        <v>0</v>
      </c>
      <c r="TT54" s="205">
        <f t="shared" si="201"/>
        <v>860</v>
      </c>
      <c r="TU54" s="272"/>
      <c r="TV54" s="207"/>
      <c r="TW54" s="207"/>
      <c r="TX54" s="207"/>
      <c r="TY54" s="207"/>
      <c r="TZ54" s="272"/>
      <c r="UA54" s="272"/>
      <c r="UB54" s="205">
        <f t="shared" si="202"/>
        <v>0</v>
      </c>
      <c r="UC54" s="207"/>
      <c r="UD54" s="207"/>
      <c r="UE54" s="207"/>
      <c r="UF54" s="207"/>
      <c r="UG54" s="207"/>
      <c r="UH54" s="272"/>
      <c r="UI54" s="272"/>
      <c r="UJ54" s="205">
        <f t="shared" si="240"/>
        <v>0</v>
      </c>
      <c r="UK54" s="207"/>
      <c r="UL54" s="207"/>
      <c r="UM54" s="207"/>
      <c r="UN54" s="120"/>
      <c r="UO54" s="120"/>
      <c r="UP54" s="272"/>
      <c r="UQ54" s="272"/>
      <c r="UR54" s="205">
        <f t="shared" si="227"/>
        <v>0</v>
      </c>
      <c r="US54" s="201">
        <v>1700</v>
      </c>
      <c r="UT54" s="207"/>
      <c r="UU54" s="207"/>
      <c r="UV54" s="207"/>
      <c r="UW54" s="272"/>
      <c r="UX54" s="272"/>
      <c r="UY54" s="272"/>
      <c r="UZ54" s="205">
        <f t="shared" si="204"/>
        <v>1700</v>
      </c>
      <c r="VA54" s="205">
        <f t="shared" si="205"/>
        <v>1700</v>
      </c>
      <c r="VB54" s="207"/>
      <c r="VC54" s="207"/>
      <c r="VD54" s="120"/>
      <c r="VE54" s="207"/>
      <c r="VF54" s="207"/>
      <c r="VG54" s="272"/>
      <c r="VH54" s="272"/>
      <c r="VI54" s="205">
        <f t="shared" si="206"/>
        <v>0</v>
      </c>
      <c r="VJ54" s="207"/>
      <c r="VK54" s="207"/>
      <c r="VL54" s="207"/>
      <c r="VM54" s="195">
        <v>1600</v>
      </c>
      <c r="VN54" s="207"/>
      <c r="VO54" s="272"/>
      <c r="VP54" s="272"/>
      <c r="VQ54" s="205">
        <f t="shared" si="207"/>
        <v>1600</v>
      </c>
      <c r="VR54" s="207"/>
      <c r="VS54" s="207"/>
      <c r="VT54" s="207"/>
      <c r="VU54" s="207"/>
      <c r="VV54" s="207"/>
      <c r="VW54" s="272"/>
      <c r="VX54" s="272"/>
      <c r="VY54" s="205">
        <f t="shared" si="208"/>
        <v>0</v>
      </c>
      <c r="VZ54" s="120"/>
      <c r="WA54" s="207"/>
      <c r="WB54" s="207"/>
      <c r="WC54" s="207"/>
      <c r="WD54" s="207"/>
      <c r="WE54" s="272"/>
      <c r="WF54" s="272"/>
      <c r="WG54" s="205">
        <f t="shared" si="209"/>
        <v>0</v>
      </c>
      <c r="WH54" s="205">
        <f t="shared" si="210"/>
        <v>1600</v>
      </c>
      <c r="WI54" s="207"/>
      <c r="WJ54" s="207"/>
      <c r="WK54" s="207"/>
      <c r="WL54" s="207"/>
      <c r="WM54" s="207"/>
      <c r="WN54" s="272"/>
      <c r="WO54" s="272"/>
      <c r="WP54" s="205">
        <f t="shared" si="211"/>
        <v>0</v>
      </c>
      <c r="WQ54" s="207"/>
      <c r="WR54" s="207"/>
      <c r="WS54" s="124">
        <v>600</v>
      </c>
      <c r="WT54" s="207"/>
      <c r="WU54" s="207"/>
      <c r="WV54" s="272"/>
      <c r="WW54" s="272"/>
      <c r="WX54" s="205">
        <f t="shared" si="212"/>
        <v>600</v>
      </c>
      <c r="WY54" s="207"/>
      <c r="WZ54" s="207"/>
      <c r="XA54" s="207"/>
      <c r="XB54" s="207"/>
      <c r="XC54" s="272"/>
      <c r="XD54" s="272"/>
      <c r="XE54" s="272"/>
      <c r="XF54" s="205">
        <f t="shared" si="213"/>
        <v>0</v>
      </c>
      <c r="XG54" s="207"/>
      <c r="XH54" s="207"/>
      <c r="XI54" s="207"/>
      <c r="XJ54" s="207"/>
      <c r="XK54" s="207"/>
      <c r="XL54" s="272"/>
      <c r="XM54" s="272"/>
      <c r="XN54" s="205">
        <f t="shared" si="214"/>
        <v>0</v>
      </c>
      <c r="XO54" s="207"/>
      <c r="XP54" s="207"/>
      <c r="XQ54" s="207"/>
      <c r="XR54" s="207"/>
      <c r="XS54" s="207"/>
      <c r="XT54" s="272"/>
      <c r="XU54" s="272"/>
      <c r="XV54" s="205">
        <f t="shared" si="215"/>
        <v>0</v>
      </c>
      <c r="XW54" s="205">
        <f t="shared" si="216"/>
        <v>600</v>
      </c>
      <c r="XX54" s="207"/>
      <c r="XY54" s="207"/>
      <c r="XZ54" s="207"/>
      <c r="YA54" s="207"/>
      <c r="YB54" s="207"/>
      <c r="YC54" s="272"/>
      <c r="YD54" s="272"/>
      <c r="YE54" s="205">
        <f t="shared" si="217"/>
        <v>0</v>
      </c>
      <c r="YF54" s="207"/>
      <c r="YG54" s="124">
        <v>2100</v>
      </c>
      <c r="YH54" s="207"/>
      <c r="YI54" s="207"/>
      <c r="YJ54" s="207"/>
      <c r="YK54" s="272"/>
      <c r="YL54" s="272"/>
      <c r="YM54" s="205">
        <f t="shared" si="218"/>
        <v>2100</v>
      </c>
      <c r="YN54" s="207"/>
      <c r="YO54" s="207"/>
      <c r="YP54" s="207"/>
      <c r="YQ54" s="207"/>
      <c r="YR54" s="207"/>
      <c r="YS54" s="272"/>
      <c r="YT54" s="272"/>
      <c r="YU54" s="205">
        <f t="shared" si="148"/>
        <v>0</v>
      </c>
      <c r="YV54" s="207"/>
      <c r="YW54" s="207"/>
      <c r="YX54" s="207"/>
      <c r="YY54" s="207"/>
      <c r="YZ54" s="207"/>
      <c r="ZA54" s="272"/>
      <c r="ZB54" s="272"/>
      <c r="ZC54" s="205">
        <f t="shared" si="219"/>
        <v>0</v>
      </c>
      <c r="ZD54" s="205">
        <f t="shared" si="149"/>
        <v>2100</v>
      </c>
      <c r="ZE54" s="207"/>
      <c r="ZF54" s="207"/>
      <c r="ZG54" s="207"/>
      <c r="ZH54" s="207"/>
      <c r="ZI54" s="207"/>
      <c r="ZJ54" s="272"/>
      <c r="ZK54" s="272"/>
      <c r="ZL54" s="205">
        <f t="shared" si="220"/>
        <v>0</v>
      </c>
      <c r="ZM54" s="207"/>
      <c r="ZN54" s="207"/>
      <c r="ZO54" s="207"/>
      <c r="ZP54" s="207"/>
      <c r="ZQ54" s="207"/>
      <c r="ZR54" s="272"/>
      <c r="ZS54" s="272"/>
      <c r="ZT54" s="205">
        <f t="shared" si="221"/>
        <v>0</v>
      </c>
      <c r="ZU54" s="207"/>
      <c r="ZV54" s="207"/>
      <c r="ZW54" s="207"/>
      <c r="ZX54" s="207"/>
      <c r="ZY54" s="207"/>
      <c r="ZZ54" s="272"/>
      <c r="AAA54" s="272"/>
      <c r="AAB54" s="205">
        <f t="shared" si="222"/>
        <v>0</v>
      </c>
      <c r="AAC54" s="207"/>
      <c r="AAD54" s="207"/>
      <c r="AAE54" s="207"/>
      <c r="AAF54" s="207"/>
      <c r="AAG54" s="207"/>
      <c r="AAH54" s="272"/>
      <c r="AAI54" s="272"/>
      <c r="AAJ54" s="205">
        <f t="shared" si="223"/>
        <v>0</v>
      </c>
      <c r="AAK54" s="207"/>
      <c r="AAL54" s="207"/>
      <c r="AAM54" s="207"/>
      <c r="AAN54" s="207"/>
      <c r="AAO54" s="207"/>
      <c r="AAP54" s="272"/>
      <c r="AAQ54" s="272"/>
      <c r="AAR54" s="205">
        <f t="shared" si="224"/>
        <v>0</v>
      </c>
      <c r="AAS54" s="205">
        <f t="shared" si="225"/>
        <v>0</v>
      </c>
    </row>
    <row r="55" spans="1:721" ht="69.95" customHeight="1">
      <c r="A55" s="117" t="s">
        <v>216</v>
      </c>
      <c r="B55" s="162">
        <v>3630101003</v>
      </c>
      <c r="C55" s="330" t="s">
        <v>496</v>
      </c>
      <c r="D55" s="163" t="s">
        <v>35</v>
      </c>
      <c r="E55" s="130" t="s">
        <v>4</v>
      </c>
      <c r="F55" s="120"/>
      <c r="G55" s="120"/>
      <c r="H55" s="120"/>
      <c r="I55" s="120"/>
      <c r="J55" s="120"/>
      <c r="K55" s="209"/>
      <c r="L55" s="205"/>
      <c r="M55" s="205">
        <f t="shared" si="303"/>
        <v>0</v>
      </c>
      <c r="N55" s="124">
        <v>4000</v>
      </c>
      <c r="O55" s="120"/>
      <c r="P55" s="120"/>
      <c r="Q55" s="120"/>
      <c r="R55" s="120"/>
      <c r="S55" s="209"/>
      <c r="T55" s="205"/>
      <c r="U55" s="205">
        <f t="shared" si="304"/>
        <v>4000</v>
      </c>
      <c r="V55" s="120"/>
      <c r="W55" s="201">
        <v>8000</v>
      </c>
      <c r="X55" s="120"/>
      <c r="Y55" s="120"/>
      <c r="Z55" s="120"/>
      <c r="AA55" s="209"/>
      <c r="AB55" s="205"/>
      <c r="AC55" s="205">
        <f t="shared" si="305"/>
        <v>8000</v>
      </c>
      <c r="AD55" s="205"/>
      <c r="AE55" s="205"/>
      <c r="AF55" s="205"/>
      <c r="AG55" s="205"/>
      <c r="AH55" s="205"/>
      <c r="AI55" s="209"/>
      <c r="AJ55" s="205"/>
      <c r="AK55" s="205">
        <f t="shared" si="306"/>
        <v>0</v>
      </c>
      <c r="AL55" s="205" t="e">
        <f>SUM(#REF!,M55,U55,AC55,AD55:AH55)</f>
        <v>#REF!</v>
      </c>
      <c r="AM55" s="120"/>
      <c r="AN55" s="120"/>
      <c r="AO55" s="120"/>
      <c r="AP55" s="124">
        <v>8000</v>
      </c>
      <c r="AQ55" s="120"/>
      <c r="AR55" s="209"/>
      <c r="AS55" s="205"/>
      <c r="AT55" s="205">
        <f t="shared" si="245"/>
        <v>8000</v>
      </c>
      <c r="AU55" s="120"/>
      <c r="AV55" s="120"/>
      <c r="AW55" s="120"/>
      <c r="AX55" s="120"/>
      <c r="AY55" s="250">
        <v>6000</v>
      </c>
      <c r="AZ55" s="209"/>
      <c r="BA55" s="205"/>
      <c r="BB55" s="205">
        <f t="shared" si="246"/>
        <v>6000</v>
      </c>
      <c r="BC55" s="120"/>
      <c r="BD55" s="120"/>
      <c r="BE55" s="120"/>
      <c r="BF55" s="120"/>
      <c r="BG55" s="123">
        <v>2000</v>
      </c>
      <c r="BH55" s="209"/>
      <c r="BI55" s="205"/>
      <c r="BJ55" s="205">
        <f t="shared" si="247"/>
        <v>2000</v>
      </c>
      <c r="BK55" s="120"/>
      <c r="BL55" s="120"/>
      <c r="BM55" s="120"/>
      <c r="BN55" s="250">
        <v>7000</v>
      </c>
      <c r="BO55" s="205"/>
      <c r="BP55" s="209"/>
      <c r="BQ55" s="205"/>
      <c r="BR55" s="205">
        <f t="shared" si="248"/>
        <v>7000</v>
      </c>
      <c r="BS55" s="205">
        <f t="shared" si="129"/>
        <v>23000</v>
      </c>
      <c r="BT55" s="120"/>
      <c r="BU55" s="120"/>
      <c r="BV55" s="120"/>
      <c r="BW55" s="250">
        <v>9000</v>
      </c>
      <c r="BX55" s="250">
        <v>4000</v>
      </c>
      <c r="BY55" s="209"/>
      <c r="BZ55" s="205"/>
      <c r="CA55" s="205">
        <f t="shared" si="250"/>
        <v>13000</v>
      </c>
      <c r="CB55" s="201">
        <v>10000</v>
      </c>
      <c r="CC55" s="120"/>
      <c r="CD55" s="201">
        <v>4000</v>
      </c>
      <c r="CE55" s="120"/>
      <c r="CF55" s="120"/>
      <c r="CG55" s="209"/>
      <c r="CH55" s="205"/>
      <c r="CI55" s="205">
        <f t="shared" si="251"/>
        <v>14000</v>
      </c>
      <c r="CJ55" s="195">
        <v>5000</v>
      </c>
      <c r="CK55" s="195">
        <v>9500</v>
      </c>
      <c r="CL55" s="120"/>
      <c r="CM55" s="120"/>
      <c r="CN55" s="120"/>
      <c r="CO55" s="209"/>
      <c r="CP55" s="205"/>
      <c r="CQ55" s="205">
        <f t="shared" si="252"/>
        <v>14500</v>
      </c>
      <c r="CR55" s="217">
        <v>10500</v>
      </c>
      <c r="CS55" s="120"/>
      <c r="CT55" s="120"/>
      <c r="CU55" s="120"/>
      <c r="CV55" s="120"/>
      <c r="CW55" s="209"/>
      <c r="CX55" s="205"/>
      <c r="CY55" s="205">
        <f t="shared" si="253"/>
        <v>10500</v>
      </c>
      <c r="CZ55" s="120"/>
      <c r="DA55" s="217">
        <v>7000</v>
      </c>
      <c r="DB55" s="217">
        <v>14000</v>
      </c>
      <c r="DC55" s="205"/>
      <c r="DD55" s="205"/>
      <c r="DE55" s="209"/>
      <c r="DF55" s="205"/>
      <c r="DG55" s="205">
        <f t="shared" si="254"/>
        <v>21000</v>
      </c>
      <c r="DH55" s="205">
        <f t="shared" si="150"/>
        <v>52000</v>
      </c>
      <c r="DI55" s="120"/>
      <c r="DJ55" s="120" t="s">
        <v>216</v>
      </c>
      <c r="DK55" s="120"/>
      <c r="DL55" s="120"/>
      <c r="DM55" s="120"/>
      <c r="DN55" s="250">
        <v>8000</v>
      </c>
      <c r="DO55" s="205"/>
      <c r="DP55" s="205">
        <f t="shared" si="228"/>
        <v>8000</v>
      </c>
      <c r="DQ55" s="120"/>
      <c r="DR55" s="120"/>
      <c r="DS55" s="120"/>
      <c r="DT55" s="120"/>
      <c r="DU55" s="217">
        <v>12000</v>
      </c>
      <c r="DV55" s="209"/>
      <c r="DW55" s="205"/>
      <c r="DX55" s="205">
        <f t="shared" si="136"/>
        <v>12000</v>
      </c>
      <c r="DY55" s="120"/>
      <c r="DZ55" s="120"/>
      <c r="EA55" s="120"/>
      <c r="EB55" s="120"/>
      <c r="EC55" s="120"/>
      <c r="ED55" s="209"/>
      <c r="EE55" s="205"/>
      <c r="EF55" s="205">
        <f t="shared" si="137"/>
        <v>0</v>
      </c>
      <c r="EG55" s="120"/>
      <c r="EH55" s="217">
        <v>10000</v>
      </c>
      <c r="EI55" s="217">
        <v>16000</v>
      </c>
      <c r="EJ55" s="205"/>
      <c r="EK55" s="205"/>
      <c r="EL55" s="209"/>
      <c r="EM55" s="205"/>
      <c r="EN55" s="205">
        <f t="shared" si="138"/>
        <v>26000</v>
      </c>
      <c r="EO55" s="205">
        <f t="shared" si="151"/>
        <v>67000</v>
      </c>
      <c r="EP55" s="120"/>
      <c r="EQ55" s="120"/>
      <c r="ER55" s="120"/>
      <c r="ES55" s="120"/>
      <c r="ET55" s="250">
        <v>7000</v>
      </c>
      <c r="EU55" s="209"/>
      <c r="EV55" s="205"/>
      <c r="EW55" s="205">
        <f t="shared" si="139"/>
        <v>7000</v>
      </c>
      <c r="EX55" s="120"/>
      <c r="EY55" s="120"/>
      <c r="EZ55" s="120"/>
      <c r="FA55" s="120"/>
      <c r="FB55" s="201">
        <v>11000</v>
      </c>
      <c r="FC55" s="209"/>
      <c r="FD55" s="205"/>
      <c r="FE55" s="205">
        <f t="shared" si="140"/>
        <v>11000</v>
      </c>
      <c r="FF55" s="120"/>
      <c r="FG55" s="120"/>
      <c r="FH55" s="120"/>
      <c r="FI55" s="120"/>
      <c r="FJ55" s="195">
        <v>12000</v>
      </c>
      <c r="FK55" s="209"/>
      <c r="FL55" s="205"/>
      <c r="FM55" s="205">
        <f t="shared" si="141"/>
        <v>12000</v>
      </c>
      <c r="FN55" s="120"/>
      <c r="FO55" s="120"/>
      <c r="FP55" s="120"/>
      <c r="FQ55" s="250">
        <v>7000</v>
      </c>
      <c r="FR55" s="205"/>
      <c r="FS55" s="209"/>
      <c r="FT55" s="205"/>
      <c r="FU55" s="205">
        <f t="shared" si="142"/>
        <v>7000</v>
      </c>
      <c r="FV55" s="205">
        <f t="shared" si="152"/>
        <v>37000</v>
      </c>
      <c r="FW55" s="120"/>
      <c r="FX55" s="120"/>
      <c r="FY55" s="120"/>
      <c r="FZ55" s="201">
        <v>6000</v>
      </c>
      <c r="GB55" s="209"/>
      <c r="GC55" s="205"/>
      <c r="GD55" s="205">
        <f t="shared" si="143"/>
        <v>6000</v>
      </c>
      <c r="GE55" s="120"/>
      <c r="GF55" s="120"/>
      <c r="GG55" s="120"/>
      <c r="GH55" s="250">
        <v>9000</v>
      </c>
      <c r="GI55" s="250">
        <v>9000</v>
      </c>
      <c r="GJ55" s="209"/>
      <c r="GK55" s="205"/>
      <c r="GL55" s="205">
        <f t="shared" si="144"/>
        <v>18000</v>
      </c>
      <c r="GM55" s="120"/>
      <c r="GN55" s="120"/>
      <c r="GO55" s="207"/>
      <c r="GP55" s="120"/>
      <c r="GQ55" s="124">
        <v>10000</v>
      </c>
      <c r="GR55" s="209"/>
      <c r="GS55" s="205"/>
      <c r="GT55" s="205">
        <f t="shared" si="145"/>
        <v>10000</v>
      </c>
      <c r="GU55" s="120"/>
      <c r="GV55" s="120"/>
      <c r="GW55" s="120"/>
      <c r="GX55" s="120"/>
      <c r="GY55" s="120"/>
      <c r="GZ55" s="209"/>
      <c r="HA55" s="205"/>
      <c r="HB55" s="205">
        <f t="shared" si="146"/>
        <v>0</v>
      </c>
      <c r="HC55" s="120"/>
      <c r="HD55" s="120"/>
      <c r="HE55" s="120"/>
      <c r="HF55" s="250">
        <v>5000</v>
      </c>
      <c r="HG55" s="195">
        <v>10000</v>
      </c>
      <c r="HH55" s="209"/>
      <c r="HI55" s="205"/>
      <c r="HJ55" s="205">
        <f t="shared" si="147"/>
        <v>15000</v>
      </c>
      <c r="HK55" s="205">
        <f t="shared" si="153"/>
        <v>34000</v>
      </c>
      <c r="HL55" s="124"/>
      <c r="HM55" s="120"/>
      <c r="HN55" s="120"/>
      <c r="HO55" s="120"/>
      <c r="HP55" s="120"/>
      <c r="HQ55" s="205"/>
      <c r="HR55" s="205"/>
      <c r="HS55" s="205">
        <f t="shared" si="154"/>
        <v>0</v>
      </c>
      <c r="HT55" s="120"/>
      <c r="HU55" s="120"/>
      <c r="HV55" s="120"/>
      <c r="HW55" s="120"/>
      <c r="HX55" s="195">
        <v>10000</v>
      </c>
      <c r="HY55" s="205"/>
      <c r="HZ55" s="205"/>
      <c r="IA55" s="205">
        <f t="shared" si="155"/>
        <v>10000</v>
      </c>
      <c r="IB55" s="217">
        <v>10000</v>
      </c>
      <c r="IC55" s="120"/>
      <c r="ID55" s="120"/>
      <c r="IE55" s="207"/>
      <c r="IF55" s="217">
        <v>9000</v>
      </c>
      <c r="IG55" s="205"/>
      <c r="IH55" s="205"/>
      <c r="II55" s="205">
        <f t="shared" si="156"/>
        <v>19000</v>
      </c>
      <c r="IJ55" s="120"/>
      <c r="IK55" s="120"/>
      <c r="IL55" s="120"/>
      <c r="IM55" s="120"/>
      <c r="IN55" s="201">
        <v>4000</v>
      </c>
      <c r="IO55" s="205"/>
      <c r="IP55" s="205"/>
      <c r="IQ55" s="205">
        <f t="shared" si="157"/>
        <v>4000</v>
      </c>
      <c r="IR55" s="205">
        <f t="shared" si="158"/>
        <v>44000</v>
      </c>
      <c r="IS55" s="120"/>
      <c r="IT55" s="120"/>
      <c r="IU55" s="120"/>
      <c r="IV55" s="120"/>
      <c r="IW55" s="120"/>
      <c r="IX55" s="205"/>
      <c r="IY55" s="205"/>
      <c r="IZ55" s="205">
        <f t="shared" si="159"/>
        <v>0</v>
      </c>
      <c r="JA55" s="120"/>
      <c r="JB55" s="120"/>
      <c r="JC55" s="120"/>
      <c r="JD55" s="120"/>
      <c r="JE55" s="217">
        <v>7000</v>
      </c>
      <c r="JF55" s="205"/>
      <c r="JG55" s="205"/>
      <c r="JH55" s="205">
        <f t="shared" si="160"/>
        <v>7000</v>
      </c>
      <c r="JI55" s="120"/>
      <c r="JJ55" s="120"/>
      <c r="JK55" s="120"/>
      <c r="JL55" s="217">
        <v>5000</v>
      </c>
      <c r="JM55" s="120"/>
      <c r="JN55" s="205"/>
      <c r="JO55" s="205"/>
      <c r="JP55" s="205">
        <f t="shared" si="161"/>
        <v>5000</v>
      </c>
      <c r="JQ55" s="120"/>
      <c r="JR55" s="120"/>
      <c r="JS55" s="201">
        <v>10000</v>
      </c>
      <c r="JT55" s="201">
        <v>10000</v>
      </c>
      <c r="JU55" s="201">
        <v>7000</v>
      </c>
      <c r="JV55" s="205"/>
      <c r="JW55" s="205"/>
      <c r="JX55" s="205">
        <f t="shared" si="162"/>
        <v>27000</v>
      </c>
      <c r="JY55" s="205">
        <f t="shared" si="163"/>
        <v>43000</v>
      </c>
      <c r="JZ55" s="120"/>
      <c r="KA55" s="120"/>
      <c r="KB55" s="120"/>
      <c r="KC55" s="120"/>
      <c r="KD55" s="120"/>
      <c r="KE55" s="195">
        <v>8000</v>
      </c>
      <c r="KF55" s="205"/>
      <c r="KG55" s="205">
        <f t="shared" si="164"/>
        <v>8000</v>
      </c>
      <c r="KH55" s="120"/>
      <c r="KI55" s="120"/>
      <c r="KJ55" s="120"/>
      <c r="KK55" s="120"/>
      <c r="KL55" s="120"/>
      <c r="KM55" s="205"/>
      <c r="KN55" s="205"/>
      <c r="KO55" s="205">
        <f t="shared" si="165"/>
        <v>0</v>
      </c>
      <c r="KP55" s="120"/>
      <c r="KQ55" s="120"/>
      <c r="KR55" s="124">
        <v>4000</v>
      </c>
      <c r="KS55" s="120"/>
      <c r="KT55" s="120"/>
      <c r="KU55" s="205"/>
      <c r="KV55" s="205"/>
      <c r="KW55" s="205">
        <f t="shared" si="166"/>
        <v>4000</v>
      </c>
      <c r="KX55" s="120"/>
      <c r="KY55" s="120"/>
      <c r="KZ55" s="207"/>
      <c r="LA55" s="120"/>
      <c r="LB55" s="195">
        <v>3000</v>
      </c>
      <c r="LC55" s="205"/>
      <c r="LD55" s="205"/>
      <c r="LE55" s="205">
        <f t="shared" si="167"/>
        <v>3000</v>
      </c>
      <c r="LF55" s="205"/>
      <c r="LG55" s="120"/>
      <c r="LH55" s="120"/>
      <c r="LI55" s="201">
        <v>12000</v>
      </c>
      <c r="LJ55" s="120"/>
      <c r="LK55" s="205"/>
      <c r="LL55" s="205"/>
      <c r="LM55" s="205">
        <f t="shared" si="168"/>
        <v>12000</v>
      </c>
      <c r="LN55" s="205">
        <f t="shared" si="169"/>
        <v>15000</v>
      </c>
      <c r="LO55" s="205"/>
      <c r="LP55" s="120"/>
      <c r="LQ55" s="120"/>
      <c r="LR55" s="217">
        <v>11000</v>
      </c>
      <c r="LS55" s="205"/>
      <c r="LT55" s="205"/>
      <c r="LU55" s="205"/>
      <c r="LV55" s="205">
        <f t="shared" si="170"/>
        <v>11000</v>
      </c>
      <c r="LW55" s="120"/>
      <c r="LX55" s="120"/>
      <c r="LY55" s="120"/>
      <c r="LZ55" s="195">
        <v>4000</v>
      </c>
      <c r="MA55" s="120"/>
      <c r="MB55" s="205"/>
      <c r="MC55" s="205"/>
      <c r="MD55" s="205">
        <f t="shared" si="171"/>
        <v>4000</v>
      </c>
      <c r="ME55" s="120"/>
      <c r="MF55" s="120"/>
      <c r="MG55" s="120"/>
      <c r="MH55" s="120"/>
      <c r="MI55" s="205"/>
      <c r="MJ55" s="205"/>
      <c r="MK55" s="205"/>
      <c r="ML55" s="205">
        <f t="shared" si="172"/>
        <v>0</v>
      </c>
      <c r="MM55" s="120"/>
      <c r="MN55" s="120"/>
      <c r="MO55" s="120"/>
      <c r="MP55" s="120"/>
      <c r="MQ55" s="217">
        <v>10000</v>
      </c>
      <c r="MR55" s="205"/>
      <c r="MS55" s="205"/>
      <c r="MT55" s="205">
        <f t="shared" si="173"/>
        <v>10000</v>
      </c>
      <c r="MU55" s="205">
        <f t="shared" si="174"/>
        <v>37000</v>
      </c>
      <c r="MV55" s="120"/>
      <c r="MW55" s="120"/>
      <c r="MX55" s="120"/>
      <c r="MY55" s="120"/>
      <c r="MZ55" s="195">
        <v>3000</v>
      </c>
      <c r="NA55" s="205"/>
      <c r="NB55" s="205"/>
      <c r="NC55" s="205">
        <f t="shared" si="175"/>
        <v>3000</v>
      </c>
      <c r="ND55" s="120"/>
      <c r="NE55" s="120"/>
      <c r="NF55" s="120"/>
      <c r="NG55" s="120"/>
      <c r="NH55" s="120"/>
      <c r="NI55" s="205"/>
      <c r="NJ55" s="205"/>
      <c r="NK55" s="205">
        <f t="shared" si="176"/>
        <v>0</v>
      </c>
      <c r="NL55" s="124">
        <v>7000</v>
      </c>
      <c r="NM55" s="120"/>
      <c r="NN55" s="124">
        <v>5000</v>
      </c>
      <c r="NO55" s="124">
        <v>10000</v>
      </c>
      <c r="NP55" s="124">
        <v>5000</v>
      </c>
      <c r="NQ55" s="205"/>
      <c r="NR55" s="205"/>
      <c r="NS55" s="205">
        <f t="shared" si="177"/>
        <v>27000</v>
      </c>
      <c r="NT55" s="120"/>
      <c r="NU55" s="120"/>
      <c r="NV55" s="123">
        <v>700</v>
      </c>
      <c r="NW55" s="120"/>
      <c r="NX55" s="120"/>
      <c r="NY55" s="205"/>
      <c r="NZ55" s="205"/>
      <c r="OA55" s="205">
        <f t="shared" si="178"/>
        <v>700</v>
      </c>
      <c r="OB55" s="205">
        <f t="shared" si="179"/>
        <v>30700</v>
      </c>
      <c r="OC55" s="120"/>
      <c r="OD55" s="120"/>
      <c r="OE55" s="120"/>
      <c r="OF55" s="120"/>
      <c r="OG55" s="195">
        <v>5000</v>
      </c>
      <c r="OH55" s="205"/>
      <c r="OI55" s="205"/>
      <c r="OJ55" s="205">
        <f t="shared" si="180"/>
        <v>5000</v>
      </c>
      <c r="OK55" s="120"/>
      <c r="OL55" s="120"/>
      <c r="OM55" s="120"/>
      <c r="ON55" s="120"/>
      <c r="OO55" s="120"/>
      <c r="OP55" s="205"/>
      <c r="OQ55" s="205"/>
      <c r="OR55" s="205">
        <f t="shared" si="181"/>
        <v>0</v>
      </c>
      <c r="OS55" s="120"/>
      <c r="OT55" s="120"/>
      <c r="OU55" s="120"/>
      <c r="OV55" s="120"/>
      <c r="OW55" s="120">
        <v>4000</v>
      </c>
      <c r="OX55" s="205"/>
      <c r="OY55" s="205"/>
      <c r="OZ55" s="205">
        <f t="shared" si="182"/>
        <v>4000</v>
      </c>
      <c r="PA55" s="120"/>
      <c r="PB55" s="201">
        <v>8000</v>
      </c>
      <c r="PC55" s="201">
        <v>4000</v>
      </c>
      <c r="PD55" s="205"/>
      <c r="PE55" s="217"/>
      <c r="PF55" s="205"/>
      <c r="PG55" s="205"/>
      <c r="PH55" s="205">
        <f t="shared" si="183"/>
        <v>12000</v>
      </c>
      <c r="PI55" s="120"/>
      <c r="PJ55" s="195">
        <v>14000</v>
      </c>
      <c r="PK55" s="195">
        <v>7000</v>
      </c>
      <c r="PL55" s="205"/>
      <c r="PM55" s="217"/>
      <c r="PN55" s="205"/>
      <c r="PO55" s="205"/>
      <c r="PP55" s="205">
        <f t="shared" si="184"/>
        <v>21000</v>
      </c>
      <c r="PQ55" s="205">
        <f t="shared" si="185"/>
        <v>42000</v>
      </c>
      <c r="PR55" s="207"/>
      <c r="PS55" s="207"/>
      <c r="PT55" s="207"/>
      <c r="PU55" s="207"/>
      <c r="PV55" s="123">
        <v>6000</v>
      </c>
      <c r="PW55" s="272"/>
      <c r="PX55" s="272"/>
      <c r="PY55" s="205">
        <f t="shared" si="186"/>
        <v>6000</v>
      </c>
      <c r="PZ55" s="207"/>
      <c r="QA55" s="207"/>
      <c r="QB55" s="207"/>
      <c r="QC55" s="207"/>
      <c r="QD55" s="195">
        <v>6000</v>
      </c>
      <c r="QE55" s="272"/>
      <c r="QF55" s="272"/>
      <c r="QG55" s="205">
        <f t="shared" si="187"/>
        <v>6000</v>
      </c>
      <c r="QH55" s="217">
        <v>1000</v>
      </c>
      <c r="QI55" s="217">
        <v>6000</v>
      </c>
      <c r="QJ55" s="294"/>
      <c r="QK55" s="207"/>
      <c r="QL55" s="207"/>
      <c r="QM55" s="272"/>
      <c r="QN55" s="272"/>
      <c r="QO55" s="205">
        <f t="shared" si="188"/>
        <v>7000</v>
      </c>
      <c r="QP55" s="207"/>
      <c r="QQ55" s="207"/>
      <c r="QR55" s="207"/>
      <c r="QS55" s="207"/>
      <c r="QT55" s="217">
        <v>10000</v>
      </c>
      <c r="QU55" s="272"/>
      <c r="QV55" s="272"/>
      <c r="QW55" s="205">
        <f t="shared" si="320"/>
        <v>10000</v>
      </c>
      <c r="QX55" s="205">
        <f t="shared" si="190"/>
        <v>29000</v>
      </c>
      <c r="QY55" s="120"/>
      <c r="QZ55" s="120"/>
      <c r="RA55" s="207"/>
      <c r="RB55" s="124">
        <v>500</v>
      </c>
      <c r="RC55" s="124">
        <v>500</v>
      </c>
      <c r="RD55" s="272"/>
      <c r="RE55" s="272"/>
      <c r="RF55" s="205">
        <f t="shared" si="191"/>
        <v>1000</v>
      </c>
      <c r="RG55" s="120"/>
      <c r="RH55" s="120"/>
      <c r="RI55" s="120"/>
      <c r="RJ55" s="207"/>
      <c r="RK55" s="124">
        <v>6200</v>
      </c>
      <c r="RL55" s="272"/>
      <c r="RM55" s="272"/>
      <c r="RN55" s="205">
        <f t="shared" si="192"/>
        <v>6200</v>
      </c>
      <c r="RO55" s="272"/>
      <c r="RP55" s="272"/>
      <c r="RQ55" s="272"/>
      <c r="RR55" s="272"/>
      <c r="RS55" s="272"/>
      <c r="RT55" s="272"/>
      <c r="RU55" s="272"/>
      <c r="RV55" s="205">
        <f t="shared" si="193"/>
        <v>0</v>
      </c>
      <c r="RW55" s="120"/>
      <c r="RX55" s="120"/>
      <c r="RY55" s="207"/>
      <c r="RZ55" s="120"/>
      <c r="SA55" s="272"/>
      <c r="SB55" s="272"/>
      <c r="SC55" s="272"/>
      <c r="SD55" s="205">
        <f t="shared" si="194"/>
        <v>0</v>
      </c>
      <c r="SE55" s="205">
        <f t="shared" si="195"/>
        <v>7200</v>
      </c>
      <c r="SF55" s="207"/>
      <c r="SG55" s="207"/>
      <c r="SH55" s="207"/>
      <c r="SI55" s="207"/>
      <c r="SJ55" s="195">
        <v>8000</v>
      </c>
      <c r="SK55" s="195">
        <v>7000</v>
      </c>
      <c r="SL55" s="272"/>
      <c r="SM55" s="205">
        <f t="shared" si="196"/>
        <v>15000</v>
      </c>
      <c r="SN55" s="207"/>
      <c r="SO55" s="207"/>
      <c r="SP55" s="207"/>
      <c r="SQ55" s="195">
        <v>4000</v>
      </c>
      <c r="SR55" s="207"/>
      <c r="SS55" s="272"/>
      <c r="ST55" s="272"/>
      <c r="SU55" s="205">
        <f t="shared" si="197"/>
        <v>4000</v>
      </c>
      <c r="SV55" s="120"/>
      <c r="SW55" s="120"/>
      <c r="SX55" s="120"/>
      <c r="SY55" s="207"/>
      <c r="SZ55" s="195">
        <v>9000</v>
      </c>
      <c r="TA55" s="195">
        <v>7000</v>
      </c>
      <c r="TB55" s="272"/>
      <c r="TC55" s="205">
        <f t="shared" si="198"/>
        <v>16000</v>
      </c>
      <c r="TD55" s="124">
        <v>5000</v>
      </c>
      <c r="TE55" s="120"/>
      <c r="TF55" s="120"/>
      <c r="TG55" s="207"/>
      <c r="TH55" s="207"/>
      <c r="TI55" s="272"/>
      <c r="TJ55" s="272"/>
      <c r="TK55" s="205">
        <f t="shared" si="199"/>
        <v>5000</v>
      </c>
      <c r="TL55" s="120"/>
      <c r="TM55" s="207"/>
      <c r="TN55" s="195">
        <v>10000</v>
      </c>
      <c r="TO55" s="207"/>
      <c r="TP55" s="272"/>
      <c r="TQ55" s="272"/>
      <c r="TR55" s="272"/>
      <c r="TS55" s="205">
        <f t="shared" si="200"/>
        <v>10000</v>
      </c>
      <c r="TT55" s="205">
        <f t="shared" si="201"/>
        <v>40000</v>
      </c>
      <c r="TU55" s="272"/>
      <c r="TV55" s="207"/>
      <c r="TW55" s="207"/>
      <c r="TX55" s="207"/>
      <c r="TY55" s="120"/>
      <c r="TZ55" s="272"/>
      <c r="UA55" s="272"/>
      <c r="UB55" s="205">
        <f t="shared" si="202"/>
        <v>0</v>
      </c>
      <c r="UC55" s="207"/>
      <c r="UD55" s="207"/>
      <c r="UE55" s="207"/>
      <c r="UF55" s="207"/>
      <c r="UG55" s="207"/>
      <c r="UH55" s="272"/>
      <c r="UI55" s="272"/>
      <c r="UJ55" s="205">
        <f t="shared" si="240"/>
        <v>0</v>
      </c>
      <c r="UK55" s="120"/>
      <c r="UL55" s="207"/>
      <c r="UM55" s="207"/>
      <c r="UN55" s="120"/>
      <c r="UO55" s="120"/>
      <c r="UP55" s="201">
        <v>9000</v>
      </c>
      <c r="UQ55" s="272"/>
      <c r="UR55" s="205">
        <f t="shared" si="227"/>
        <v>9000</v>
      </c>
      <c r="US55" s="207"/>
      <c r="UT55" s="207"/>
      <c r="UU55" s="207"/>
      <c r="UV55" s="120"/>
      <c r="UW55" s="195">
        <v>6000</v>
      </c>
      <c r="UX55" s="272"/>
      <c r="UY55" s="272"/>
      <c r="UZ55" s="205">
        <f t="shared" si="204"/>
        <v>6000</v>
      </c>
      <c r="VA55" s="205">
        <f t="shared" si="205"/>
        <v>19000</v>
      </c>
      <c r="VB55" s="207"/>
      <c r="VC55" s="207"/>
      <c r="VD55" s="120"/>
      <c r="VE55" s="207"/>
      <c r="VF55" s="207"/>
      <c r="VG55" s="201">
        <v>4400</v>
      </c>
      <c r="VH55" s="272"/>
      <c r="VI55" s="205">
        <f t="shared" si="206"/>
        <v>4400</v>
      </c>
      <c r="VJ55" s="207"/>
      <c r="VK55" s="207"/>
      <c r="VL55" s="207"/>
      <c r="VM55" s="120"/>
      <c r="VN55" s="207"/>
      <c r="VO55" s="272"/>
      <c r="VP55" s="272"/>
      <c r="VQ55" s="205">
        <f t="shared" si="207"/>
        <v>0</v>
      </c>
      <c r="VR55" s="207"/>
      <c r="VS55" s="207"/>
      <c r="VT55" s="207"/>
      <c r="VU55" s="207"/>
      <c r="VV55" s="207"/>
      <c r="VW55" s="205"/>
      <c r="VX55" s="272"/>
      <c r="VY55" s="205">
        <f t="shared" si="208"/>
        <v>0</v>
      </c>
      <c r="VZ55" s="207"/>
      <c r="WA55" s="120"/>
      <c r="WB55" s="120"/>
      <c r="WC55" s="120"/>
      <c r="WD55" s="124">
        <v>15000</v>
      </c>
      <c r="WE55" s="272"/>
      <c r="WF55" s="272"/>
      <c r="WG55" s="205">
        <f t="shared" si="209"/>
        <v>15000</v>
      </c>
      <c r="WH55" s="205">
        <f t="shared" si="210"/>
        <v>25400</v>
      </c>
      <c r="WI55" s="207"/>
      <c r="WJ55" s="207"/>
      <c r="WK55" s="207"/>
      <c r="WL55" s="207"/>
      <c r="WM55" s="207"/>
      <c r="WN55" s="124">
        <v>8000</v>
      </c>
      <c r="WO55" s="272"/>
      <c r="WP55" s="205">
        <f t="shared" si="211"/>
        <v>8000</v>
      </c>
      <c r="WQ55" s="207"/>
      <c r="WR55" s="207"/>
      <c r="WS55" s="207"/>
      <c r="WT55" s="207"/>
      <c r="WU55" s="124">
        <v>10000</v>
      </c>
      <c r="WV55" s="124">
        <v>8000</v>
      </c>
      <c r="WW55" s="272"/>
      <c r="WX55" s="205">
        <f t="shared" si="212"/>
        <v>18000</v>
      </c>
      <c r="WY55" s="207"/>
      <c r="WZ55" s="207"/>
      <c r="XA55" s="207"/>
      <c r="XB55" s="124">
        <v>12000</v>
      </c>
      <c r="XC55" s="272"/>
      <c r="XD55" s="272"/>
      <c r="XE55" s="272"/>
      <c r="XF55" s="205">
        <f t="shared" si="213"/>
        <v>12000</v>
      </c>
      <c r="XG55" s="120">
        <v>8000</v>
      </c>
      <c r="XH55" s="120"/>
      <c r="XI55" s="120"/>
      <c r="XJ55" s="207"/>
      <c r="XK55" s="207"/>
      <c r="XL55" s="272"/>
      <c r="XM55" s="272"/>
      <c r="XN55" s="205">
        <f t="shared" si="214"/>
        <v>8000</v>
      </c>
      <c r="XO55" s="207"/>
      <c r="XP55" s="207"/>
      <c r="XQ55" s="207"/>
      <c r="XR55" s="124">
        <v>5000</v>
      </c>
      <c r="XS55" s="124">
        <v>8000</v>
      </c>
      <c r="XT55" s="205"/>
      <c r="XU55" s="272"/>
      <c r="XV55" s="205">
        <f t="shared" si="215"/>
        <v>13000</v>
      </c>
      <c r="XW55" s="205">
        <f t="shared" si="216"/>
        <v>46000</v>
      </c>
      <c r="XX55" s="207"/>
      <c r="XY55" s="207"/>
      <c r="XZ55" s="207"/>
      <c r="YA55" s="124">
        <v>500</v>
      </c>
      <c r="YB55" s="124">
        <v>5000</v>
      </c>
      <c r="YC55" s="272"/>
      <c r="YD55" s="272"/>
      <c r="YE55" s="205">
        <f t="shared" si="217"/>
        <v>5500</v>
      </c>
      <c r="YF55" s="207"/>
      <c r="YG55" s="207"/>
      <c r="YH55" s="207"/>
      <c r="YI55" s="207"/>
      <c r="YJ55" s="124">
        <v>500</v>
      </c>
      <c r="YK55" s="272"/>
      <c r="YL55" s="272"/>
      <c r="YM55" s="205">
        <f t="shared" si="218"/>
        <v>500</v>
      </c>
      <c r="YN55" s="207"/>
      <c r="YO55" s="207"/>
      <c r="YP55" s="207"/>
      <c r="YQ55" s="207"/>
      <c r="YR55" s="207"/>
      <c r="YS55" s="205"/>
      <c r="YT55" s="272"/>
      <c r="YU55" s="205">
        <f t="shared" si="148"/>
        <v>0</v>
      </c>
      <c r="YV55" s="207"/>
      <c r="YW55" s="207"/>
      <c r="YX55" s="207"/>
      <c r="YY55" s="207"/>
      <c r="YZ55" s="124">
        <v>6000</v>
      </c>
      <c r="ZA55" s="272"/>
      <c r="ZB55" s="272"/>
      <c r="ZC55" s="205">
        <f t="shared" si="219"/>
        <v>6000</v>
      </c>
      <c r="ZD55" s="205">
        <f>SUM(YV55:YZ55,YU55,YM55,YE55,XR55:XS55)</f>
        <v>25000</v>
      </c>
      <c r="ZE55" s="207"/>
      <c r="ZF55" s="207"/>
      <c r="ZG55" s="207"/>
      <c r="ZH55" s="207"/>
      <c r="ZI55" s="207"/>
      <c r="ZJ55" s="272"/>
      <c r="ZK55" s="272"/>
      <c r="ZL55" s="205">
        <f t="shared" si="220"/>
        <v>0</v>
      </c>
      <c r="ZM55" s="207"/>
      <c r="ZN55" s="207"/>
      <c r="ZO55" s="207"/>
      <c r="ZP55" s="207"/>
      <c r="ZQ55" s="207"/>
      <c r="ZR55" s="272"/>
      <c r="ZS55" s="272"/>
      <c r="ZT55" s="205">
        <f t="shared" si="221"/>
        <v>0</v>
      </c>
      <c r="ZU55" s="207"/>
      <c r="ZV55" s="207"/>
      <c r="ZW55" s="207"/>
      <c r="ZX55" s="207"/>
      <c r="ZY55" s="207"/>
      <c r="ZZ55" s="272"/>
      <c r="AAA55" s="272"/>
      <c r="AAB55" s="205">
        <f t="shared" si="222"/>
        <v>0</v>
      </c>
      <c r="AAC55" s="207"/>
      <c r="AAD55" s="207"/>
      <c r="AAE55" s="207"/>
      <c r="AAF55" s="207"/>
      <c r="AAG55" s="207"/>
      <c r="AAH55" s="272"/>
      <c r="AAI55" s="272"/>
      <c r="AAJ55" s="205">
        <f t="shared" si="223"/>
        <v>0</v>
      </c>
      <c r="AAK55" s="207"/>
      <c r="AAL55" s="207"/>
      <c r="AAM55" s="207"/>
      <c r="AAN55" s="207"/>
      <c r="AAO55" s="207"/>
      <c r="AAP55" s="272"/>
      <c r="AAQ55" s="272"/>
      <c r="AAR55" s="205">
        <f t="shared" si="224"/>
        <v>0</v>
      </c>
      <c r="AAS55" s="205">
        <f t="shared" si="225"/>
        <v>0</v>
      </c>
    </row>
    <row r="56" spans="1:721" ht="69" hidden="1" customHeight="1">
      <c r="B56" s="164">
        <v>3630101002</v>
      </c>
      <c r="C56" s="330"/>
      <c r="D56" s="163" t="s">
        <v>768</v>
      </c>
      <c r="E56" s="130" t="s">
        <v>4</v>
      </c>
      <c r="F56" s="120"/>
      <c r="G56" s="120"/>
      <c r="H56" s="120"/>
      <c r="I56" s="120"/>
      <c r="J56" s="120"/>
      <c r="K56" s="209"/>
      <c r="L56" s="205"/>
      <c r="M56" s="205">
        <f t="shared" ref="M56:M57" si="491">SUM(F56:L56)</f>
        <v>0</v>
      </c>
      <c r="N56" s="120"/>
      <c r="O56" s="120"/>
      <c r="P56" s="120"/>
      <c r="Q56" s="120"/>
      <c r="R56" s="120"/>
      <c r="S56" s="209"/>
      <c r="T56" s="205"/>
      <c r="U56" s="205">
        <f t="shared" ref="U56:U57" si="492">SUM(N56:T56)</f>
        <v>0</v>
      </c>
      <c r="V56" s="120"/>
      <c r="W56" s="120"/>
      <c r="X56" s="120"/>
      <c r="Y56" s="120"/>
      <c r="Z56" s="120"/>
      <c r="AA56" s="209"/>
      <c r="AB56" s="205"/>
      <c r="AC56" s="205">
        <f t="shared" ref="AC56:AC57" si="493">SUM(V56:AB56)</f>
        <v>0</v>
      </c>
      <c r="AD56" s="205"/>
      <c r="AE56" s="205"/>
      <c r="AF56" s="205"/>
      <c r="AG56" s="205"/>
      <c r="AH56" s="205"/>
      <c r="AI56" s="209"/>
      <c r="AJ56" s="205"/>
      <c r="AK56" s="205">
        <f t="shared" ref="AK56:AK57" si="494">SUM(AD56:AJ56)</f>
        <v>0</v>
      </c>
      <c r="AL56" s="205" t="e">
        <f>SUM(#REF!,M56,U56,AC56,AD56:AH56)</f>
        <v>#REF!</v>
      </c>
      <c r="AM56" s="120"/>
      <c r="AN56" s="120"/>
      <c r="AO56" s="120"/>
      <c r="AP56" s="120"/>
      <c r="AQ56" s="120"/>
      <c r="AR56" s="209"/>
      <c r="AS56" s="205"/>
      <c r="AT56" s="205">
        <f t="shared" ref="AT56:AT57" si="495">SUM(AM56:AS56)</f>
        <v>0</v>
      </c>
      <c r="AU56" s="120"/>
      <c r="AV56" s="120"/>
      <c r="AW56" s="120"/>
      <c r="AX56" s="120"/>
      <c r="AY56" s="120"/>
      <c r="AZ56" s="209"/>
      <c r="BA56" s="205"/>
      <c r="BB56" s="205">
        <f t="shared" ref="BB56:BB57" si="496">SUM(AU56:BA56)</f>
        <v>0</v>
      </c>
      <c r="BC56" s="120"/>
      <c r="BD56" s="120"/>
      <c r="BE56" s="120"/>
      <c r="BF56" s="120"/>
      <c r="BG56" s="120"/>
      <c r="BH56" s="209"/>
      <c r="BI56" s="205"/>
      <c r="BJ56" s="205">
        <f t="shared" ref="BJ56:BJ57" si="497">SUM(BC56:BI56)</f>
        <v>0</v>
      </c>
      <c r="BK56" s="120"/>
      <c r="BL56" s="120"/>
      <c r="BM56" s="120"/>
      <c r="BN56" s="120"/>
      <c r="BO56" s="205"/>
      <c r="BP56" s="209"/>
      <c r="BQ56" s="205"/>
      <c r="BR56" s="205">
        <f t="shared" si="248"/>
        <v>0</v>
      </c>
      <c r="BS56" s="205">
        <f t="shared" si="129"/>
        <v>0</v>
      </c>
      <c r="BT56" s="120"/>
      <c r="BU56" s="120"/>
      <c r="BV56" s="120"/>
      <c r="BW56" s="120"/>
      <c r="BX56" s="120"/>
      <c r="BY56" s="209"/>
      <c r="BZ56" s="205"/>
      <c r="CA56" s="205">
        <f t="shared" ref="CA56:CA57" si="498">SUM(BT56:BZ56)</f>
        <v>0</v>
      </c>
      <c r="CB56" s="120"/>
      <c r="CC56" s="120"/>
      <c r="CD56" s="120"/>
      <c r="CE56" s="120"/>
      <c r="CF56" s="120"/>
      <c r="CG56" s="209"/>
      <c r="CH56" s="205"/>
      <c r="CI56" s="205">
        <f t="shared" ref="CI56:CI57" si="499">SUM(CB56:CH56)</f>
        <v>0</v>
      </c>
      <c r="CJ56" s="120"/>
      <c r="CK56" s="120"/>
      <c r="CL56" s="120"/>
      <c r="CM56" s="120"/>
      <c r="CN56" s="120"/>
      <c r="CO56" s="209"/>
      <c r="CP56" s="205"/>
      <c r="CQ56" s="205">
        <f t="shared" ref="CQ56:CQ57" si="500">SUM(CJ56:CP56)</f>
        <v>0</v>
      </c>
      <c r="CR56" s="120"/>
      <c r="CS56" s="120"/>
      <c r="CT56" s="120"/>
      <c r="CU56" s="120"/>
      <c r="CV56" s="120"/>
      <c r="CW56" s="209"/>
      <c r="CX56" s="205"/>
      <c r="CY56" s="205">
        <f t="shared" ref="CY56:CY57" si="501">SUM(CR56:CX56)</f>
        <v>0</v>
      </c>
      <c r="CZ56" s="120"/>
      <c r="DA56" s="120"/>
      <c r="DB56" s="120"/>
      <c r="DC56" s="205"/>
      <c r="DD56" s="205"/>
      <c r="DE56" s="209"/>
      <c r="DF56" s="205"/>
      <c r="DG56" s="205">
        <f t="shared" ref="DG56:DG57" si="502">SUM(CZ56:DF56)</f>
        <v>0</v>
      </c>
      <c r="DH56" s="205">
        <f t="shared" si="150"/>
        <v>0</v>
      </c>
      <c r="DI56" s="120"/>
      <c r="DJ56" s="120"/>
      <c r="DK56" s="120"/>
      <c r="DL56" s="120"/>
      <c r="DM56" s="120"/>
      <c r="DN56" s="209"/>
      <c r="DO56" s="205"/>
      <c r="DP56" s="205">
        <f t="shared" si="228"/>
        <v>0</v>
      </c>
      <c r="DQ56" s="120"/>
      <c r="DR56" s="120"/>
      <c r="DS56" s="120"/>
      <c r="DT56" s="120"/>
      <c r="DU56" s="120"/>
      <c r="DV56" s="209"/>
      <c r="DW56" s="205"/>
      <c r="DX56" s="205">
        <f t="shared" si="136"/>
        <v>0</v>
      </c>
      <c r="DY56" s="120"/>
      <c r="DZ56" s="120"/>
      <c r="EA56" s="120"/>
      <c r="EB56" s="120"/>
      <c r="EC56" s="120"/>
      <c r="ED56" s="209"/>
      <c r="EE56" s="205"/>
      <c r="EF56" s="205">
        <f t="shared" si="137"/>
        <v>0</v>
      </c>
      <c r="EG56" s="120"/>
      <c r="EH56" s="120"/>
      <c r="EI56" s="120"/>
      <c r="EJ56" s="205"/>
      <c r="EK56" s="205"/>
      <c r="EL56" s="209"/>
      <c r="EM56" s="205"/>
      <c r="EN56" s="205">
        <f t="shared" si="138"/>
        <v>0</v>
      </c>
      <c r="EO56" s="205">
        <f t="shared" si="151"/>
        <v>0</v>
      </c>
      <c r="EP56" s="120"/>
      <c r="EQ56" s="120"/>
      <c r="ER56" s="120"/>
      <c r="ES56" s="120"/>
      <c r="ET56" s="120"/>
      <c r="EU56" s="209"/>
      <c r="EV56" s="205"/>
      <c r="EW56" s="205">
        <f t="shared" si="139"/>
        <v>0</v>
      </c>
      <c r="EX56" s="120"/>
      <c r="EY56" s="120"/>
      <c r="EZ56" s="120"/>
      <c r="FA56" s="120"/>
      <c r="FB56" s="120"/>
      <c r="FC56" s="209"/>
      <c r="FD56" s="205"/>
      <c r="FE56" s="205">
        <f t="shared" si="140"/>
        <v>0</v>
      </c>
      <c r="FF56" s="120"/>
      <c r="FG56" s="120"/>
      <c r="FH56" s="120"/>
      <c r="FI56" s="120"/>
      <c r="FJ56" s="120"/>
      <c r="FK56" s="209"/>
      <c r="FL56" s="205"/>
      <c r="FM56" s="205">
        <f t="shared" si="141"/>
        <v>0</v>
      </c>
      <c r="FN56" s="120"/>
      <c r="FO56" s="120"/>
      <c r="FP56" s="120"/>
      <c r="FQ56" s="120"/>
      <c r="FR56" s="205"/>
      <c r="FS56" s="209"/>
      <c r="FT56" s="205"/>
      <c r="FU56" s="205">
        <f t="shared" si="142"/>
        <v>0</v>
      </c>
      <c r="FV56" s="205">
        <f t="shared" si="152"/>
        <v>0</v>
      </c>
      <c r="FW56" s="120"/>
      <c r="FX56" s="120"/>
      <c r="FY56" s="120"/>
      <c r="FZ56" s="120"/>
      <c r="GA56" s="120"/>
      <c r="GB56" s="209"/>
      <c r="GC56" s="205"/>
      <c r="GD56" s="205">
        <f t="shared" si="143"/>
        <v>0</v>
      </c>
      <c r="GE56" s="120"/>
      <c r="GF56" s="120"/>
      <c r="GG56" s="120"/>
      <c r="GH56" s="120"/>
      <c r="GI56" s="120"/>
      <c r="GJ56" s="209"/>
      <c r="GK56" s="205"/>
      <c r="GL56" s="205">
        <f t="shared" si="144"/>
        <v>0</v>
      </c>
      <c r="GM56" s="120"/>
      <c r="GN56" s="120"/>
      <c r="GO56" s="120"/>
      <c r="GP56" s="120"/>
      <c r="GQ56" s="120"/>
      <c r="GR56" s="209"/>
      <c r="GS56" s="205"/>
      <c r="GT56" s="205">
        <f t="shared" si="145"/>
        <v>0</v>
      </c>
      <c r="GU56" s="120"/>
      <c r="GV56" s="120"/>
      <c r="GW56" s="120"/>
      <c r="GX56" s="120"/>
      <c r="GY56" s="120"/>
      <c r="GZ56" s="209"/>
      <c r="HA56" s="205"/>
      <c r="HB56" s="205">
        <f t="shared" si="146"/>
        <v>0</v>
      </c>
      <c r="HC56" s="120"/>
      <c r="HD56" s="120"/>
      <c r="HE56" s="120"/>
      <c r="HF56" s="120"/>
      <c r="HG56" s="120"/>
      <c r="HH56" s="209"/>
      <c r="HI56" s="205"/>
      <c r="HJ56" s="205">
        <f t="shared" si="147"/>
        <v>0</v>
      </c>
      <c r="HK56" s="205">
        <f t="shared" si="153"/>
        <v>0</v>
      </c>
      <c r="HL56" s="124"/>
      <c r="HM56" s="120"/>
      <c r="HN56" s="120"/>
      <c r="HO56" s="120"/>
      <c r="HP56" s="120"/>
      <c r="HQ56" s="205"/>
      <c r="HR56" s="205"/>
      <c r="HS56" s="205">
        <f t="shared" si="154"/>
        <v>0</v>
      </c>
      <c r="HT56" s="120"/>
      <c r="HU56" s="120"/>
      <c r="HV56" s="120"/>
      <c r="HW56" s="120"/>
      <c r="HX56" s="120"/>
      <c r="HY56" s="205"/>
      <c r="HZ56" s="205"/>
      <c r="IA56" s="205">
        <f t="shared" si="155"/>
        <v>0</v>
      </c>
      <c r="IB56" s="120"/>
      <c r="IC56" s="120"/>
      <c r="ID56" s="120"/>
      <c r="IE56" s="120"/>
      <c r="IF56" s="120"/>
      <c r="IG56" s="205"/>
      <c r="IH56" s="205"/>
      <c r="II56" s="205">
        <f t="shared" si="156"/>
        <v>0</v>
      </c>
      <c r="IJ56" s="120"/>
      <c r="IK56" s="120"/>
      <c r="IL56" s="120"/>
      <c r="IM56" s="120"/>
      <c r="IN56" s="201"/>
      <c r="IO56" s="205"/>
      <c r="IP56" s="205"/>
      <c r="IQ56" s="205">
        <f t="shared" si="157"/>
        <v>0</v>
      </c>
      <c r="IR56" s="205">
        <f t="shared" si="158"/>
        <v>0</v>
      </c>
      <c r="IS56" s="120"/>
      <c r="IT56" s="120"/>
      <c r="IU56" s="120"/>
      <c r="IV56" s="120"/>
      <c r="IW56" s="120"/>
      <c r="IX56" s="205"/>
      <c r="IY56" s="205"/>
      <c r="IZ56" s="205">
        <f t="shared" si="159"/>
        <v>0</v>
      </c>
      <c r="JA56" s="120"/>
      <c r="JB56" s="120"/>
      <c r="JC56" s="120"/>
      <c r="JD56" s="120"/>
      <c r="JE56" s="201"/>
      <c r="JF56" s="205"/>
      <c r="JG56" s="205"/>
      <c r="JH56" s="205">
        <f t="shared" si="160"/>
        <v>0</v>
      </c>
      <c r="JI56" s="120"/>
      <c r="JJ56" s="120"/>
      <c r="JK56" s="120"/>
      <c r="JL56" s="217"/>
      <c r="JM56" s="120"/>
      <c r="JN56" s="205"/>
      <c r="JO56" s="205"/>
      <c r="JP56" s="205">
        <f t="shared" si="161"/>
        <v>0</v>
      </c>
      <c r="JQ56" s="120"/>
      <c r="JR56" s="120"/>
      <c r="JS56" s="217"/>
      <c r="JT56" s="120"/>
      <c r="JU56" s="120"/>
      <c r="JV56" s="205"/>
      <c r="JW56" s="205"/>
      <c r="JX56" s="205">
        <f t="shared" si="162"/>
        <v>0</v>
      </c>
      <c r="JY56" s="205">
        <f t="shared" si="163"/>
        <v>0</v>
      </c>
      <c r="JZ56" s="120"/>
      <c r="KA56" s="120"/>
      <c r="KB56" s="120"/>
      <c r="KC56" s="120"/>
      <c r="KD56" s="120"/>
      <c r="KE56" s="205"/>
      <c r="KF56" s="205"/>
      <c r="KG56" s="205">
        <f t="shared" si="164"/>
        <v>0</v>
      </c>
      <c r="KH56" s="120"/>
      <c r="KI56" s="120"/>
      <c r="KJ56" s="120"/>
      <c r="KK56" s="120"/>
      <c r="KL56" s="120"/>
      <c r="KM56" s="205"/>
      <c r="KN56" s="205"/>
      <c r="KO56" s="205">
        <f t="shared" si="165"/>
        <v>0</v>
      </c>
      <c r="KP56" s="120"/>
      <c r="KQ56" s="120"/>
      <c r="KR56" s="120"/>
      <c r="KS56" s="120"/>
      <c r="KT56" s="120"/>
      <c r="KU56" s="205"/>
      <c r="KV56" s="205"/>
      <c r="KW56" s="205">
        <f t="shared" si="166"/>
        <v>0</v>
      </c>
      <c r="KX56" s="120"/>
      <c r="KY56" s="120"/>
      <c r="KZ56" s="207"/>
      <c r="LA56" s="207"/>
      <c r="LB56" s="207"/>
      <c r="LC56" s="205"/>
      <c r="LD56" s="205"/>
      <c r="LE56" s="205">
        <f t="shared" si="167"/>
        <v>0</v>
      </c>
      <c r="LF56" s="205"/>
      <c r="LG56" s="120"/>
      <c r="LH56" s="120"/>
      <c r="LI56" s="120"/>
      <c r="LJ56" s="120"/>
      <c r="LK56" s="205"/>
      <c r="LL56" s="205"/>
      <c r="LM56" s="205">
        <f t="shared" si="168"/>
        <v>0</v>
      </c>
      <c r="LN56" s="205">
        <f t="shared" si="169"/>
        <v>0</v>
      </c>
      <c r="LO56" s="205"/>
      <c r="LP56" s="120"/>
      <c r="LQ56" s="120"/>
      <c r="LR56" s="120"/>
      <c r="LS56" s="205"/>
      <c r="LT56" s="205"/>
      <c r="LU56" s="205"/>
      <c r="LV56" s="205">
        <f t="shared" si="170"/>
        <v>0</v>
      </c>
      <c r="LW56" s="120"/>
      <c r="LX56" s="120"/>
      <c r="LY56" s="120"/>
      <c r="LZ56" s="120"/>
      <c r="MA56" s="120"/>
      <c r="MB56" s="205"/>
      <c r="MC56" s="205"/>
      <c r="MD56" s="205">
        <f t="shared" si="171"/>
        <v>0</v>
      </c>
      <c r="ME56" s="120"/>
      <c r="MF56" s="120"/>
      <c r="MG56" s="120"/>
      <c r="MH56" s="120"/>
      <c r="MI56" s="205"/>
      <c r="MJ56" s="205"/>
      <c r="MK56" s="205"/>
      <c r="ML56" s="205">
        <f t="shared" si="172"/>
        <v>0</v>
      </c>
      <c r="MM56" s="120"/>
      <c r="MN56" s="120"/>
      <c r="MO56" s="120"/>
      <c r="MP56" s="120"/>
      <c r="MQ56" s="120"/>
      <c r="MR56" s="205"/>
      <c r="MS56" s="205"/>
      <c r="MT56" s="205">
        <f t="shared" si="173"/>
        <v>0</v>
      </c>
      <c r="MU56" s="205">
        <f t="shared" si="174"/>
        <v>0</v>
      </c>
      <c r="MV56" s="120"/>
      <c r="MW56" s="120"/>
      <c r="MX56" s="120"/>
      <c r="MY56" s="120"/>
      <c r="MZ56" s="120"/>
      <c r="NA56" s="205"/>
      <c r="NB56" s="205"/>
      <c r="NC56" s="205">
        <f>SUM(MV56:NB56)</f>
        <v>0</v>
      </c>
      <c r="ND56" s="120"/>
      <c r="NE56" s="120"/>
      <c r="NF56" s="120"/>
      <c r="NG56" s="120"/>
      <c r="NH56" s="120"/>
      <c r="NI56" s="205"/>
      <c r="NJ56" s="205"/>
      <c r="NK56" s="205">
        <f t="shared" si="176"/>
        <v>0</v>
      </c>
      <c r="NL56" s="120"/>
      <c r="NM56" s="120"/>
      <c r="NN56" s="120"/>
      <c r="NO56" s="120"/>
      <c r="NP56" s="120"/>
      <c r="NQ56" s="205"/>
      <c r="NR56" s="205"/>
      <c r="NS56" s="205">
        <f t="shared" si="177"/>
        <v>0</v>
      </c>
      <c r="NT56" s="120"/>
      <c r="NU56" s="120"/>
      <c r="NV56" s="123">
        <v>4300</v>
      </c>
      <c r="NW56" s="120"/>
      <c r="NX56" s="120"/>
      <c r="NY56" s="205"/>
      <c r="NZ56" s="205"/>
      <c r="OA56" s="205">
        <f t="shared" si="178"/>
        <v>4300</v>
      </c>
      <c r="OB56" s="205">
        <f t="shared" si="179"/>
        <v>4300</v>
      </c>
      <c r="OC56" s="120"/>
      <c r="OD56" s="120"/>
      <c r="OE56" s="120"/>
      <c r="OF56" s="120"/>
      <c r="OG56" s="120"/>
      <c r="OH56" s="205"/>
      <c r="OI56" s="205"/>
      <c r="OJ56" s="205">
        <f t="shared" si="180"/>
        <v>0</v>
      </c>
      <c r="OK56" s="120"/>
      <c r="OL56" s="120"/>
      <c r="OM56" s="120"/>
      <c r="ON56" s="120"/>
      <c r="OO56" s="120"/>
      <c r="OP56" s="205"/>
      <c r="OQ56" s="205"/>
      <c r="OR56" s="205">
        <f t="shared" si="181"/>
        <v>0</v>
      </c>
      <c r="OS56" s="120"/>
      <c r="OT56" s="120"/>
      <c r="OU56" s="120"/>
      <c r="OV56" s="120"/>
      <c r="OW56" s="120"/>
      <c r="OX56" s="205"/>
      <c r="OY56" s="205"/>
      <c r="OZ56" s="205">
        <f t="shared" si="182"/>
        <v>0</v>
      </c>
      <c r="PA56" s="120"/>
      <c r="PB56" s="120"/>
      <c r="PC56" s="120"/>
      <c r="PD56" s="205"/>
      <c r="PE56" s="217"/>
      <c r="PF56" s="205"/>
      <c r="PG56" s="205"/>
      <c r="PH56" s="205">
        <f t="shared" si="183"/>
        <v>0</v>
      </c>
      <c r="PI56" s="120"/>
      <c r="PJ56" s="120"/>
      <c r="PK56" s="120"/>
      <c r="PL56" s="205"/>
      <c r="PM56" s="217"/>
      <c r="PN56" s="205"/>
      <c r="PO56" s="205"/>
      <c r="PP56" s="205">
        <f t="shared" si="184"/>
        <v>0</v>
      </c>
      <c r="PQ56" s="205">
        <f t="shared" si="185"/>
        <v>0</v>
      </c>
      <c r="PR56" s="207"/>
      <c r="PS56" s="207"/>
      <c r="PT56" s="207"/>
      <c r="PU56" s="207"/>
      <c r="PV56" s="207"/>
      <c r="PW56" s="272"/>
      <c r="PX56" s="272"/>
      <c r="PY56" s="205">
        <f t="shared" si="186"/>
        <v>0</v>
      </c>
      <c r="PZ56" s="207"/>
      <c r="QA56" s="207"/>
      <c r="QB56" s="207"/>
      <c r="QC56" s="207"/>
      <c r="QD56" s="207"/>
      <c r="QE56" s="272"/>
      <c r="QF56" s="272"/>
      <c r="QG56" s="205">
        <f t="shared" si="187"/>
        <v>0</v>
      </c>
      <c r="QH56" s="301"/>
      <c r="QI56" s="207"/>
      <c r="QJ56" s="294"/>
      <c r="QK56" s="207"/>
      <c r="QL56" s="207"/>
      <c r="QM56" s="272"/>
      <c r="QN56" s="272"/>
      <c r="QO56" s="205">
        <f t="shared" si="188"/>
        <v>0</v>
      </c>
      <c r="QP56" s="207"/>
      <c r="QQ56" s="207"/>
      <c r="QR56" s="207"/>
      <c r="QS56" s="207"/>
      <c r="QT56" s="207"/>
      <c r="QU56" s="272"/>
      <c r="QV56" s="272"/>
      <c r="QW56" s="205">
        <f t="shared" si="320"/>
        <v>0</v>
      </c>
      <c r="QX56" s="205">
        <f t="shared" si="190"/>
        <v>0</v>
      </c>
      <c r="QY56" s="207"/>
      <c r="QZ56" s="207"/>
      <c r="RA56" s="207"/>
      <c r="RB56" s="306"/>
      <c r="RC56" s="306"/>
      <c r="RD56" s="272"/>
      <c r="RE56" s="272"/>
      <c r="RF56" s="205">
        <f t="shared" si="191"/>
        <v>0</v>
      </c>
      <c r="RG56" s="120"/>
      <c r="RH56" s="120"/>
      <c r="RI56" s="120"/>
      <c r="RJ56" s="207"/>
      <c r="RK56" s="124"/>
      <c r="RL56" s="272"/>
      <c r="RM56" s="272"/>
      <c r="RN56" s="205">
        <f t="shared" si="192"/>
        <v>0</v>
      </c>
      <c r="RO56" s="272"/>
      <c r="RP56" s="272"/>
      <c r="RQ56" s="272"/>
      <c r="RR56" s="272"/>
      <c r="RS56" s="272"/>
      <c r="RT56" s="272"/>
      <c r="RU56" s="272"/>
      <c r="RV56" s="205">
        <f t="shared" si="193"/>
        <v>0</v>
      </c>
      <c r="RW56" s="120"/>
      <c r="RX56" s="120"/>
      <c r="RY56" s="207"/>
      <c r="RZ56" s="120"/>
      <c r="SA56" s="272"/>
      <c r="SB56" s="272"/>
      <c r="SC56" s="272"/>
      <c r="SD56" s="205">
        <f t="shared" si="194"/>
        <v>0</v>
      </c>
      <c r="SE56" s="205">
        <f t="shared" si="195"/>
        <v>0</v>
      </c>
      <c r="SF56" s="207"/>
      <c r="SG56" s="207"/>
      <c r="SH56" s="207"/>
      <c r="SI56" s="207"/>
      <c r="SJ56" s="207"/>
      <c r="SK56" s="272"/>
      <c r="SL56" s="272"/>
      <c r="SM56" s="205">
        <f t="shared" si="196"/>
        <v>0</v>
      </c>
      <c r="SN56" s="207"/>
      <c r="SO56" s="207"/>
      <c r="SP56" s="207"/>
      <c r="SQ56" s="207"/>
      <c r="SR56" s="207"/>
      <c r="SS56" s="272"/>
      <c r="ST56" s="272"/>
      <c r="SU56" s="205">
        <f t="shared" si="197"/>
        <v>0</v>
      </c>
      <c r="SV56" s="207"/>
      <c r="SW56" s="207"/>
      <c r="SX56" s="207"/>
      <c r="SY56" s="207"/>
      <c r="SZ56" s="207"/>
      <c r="TA56" s="272"/>
      <c r="TB56" s="272"/>
      <c r="TC56" s="205">
        <f t="shared" si="198"/>
        <v>0</v>
      </c>
      <c r="TD56" s="124"/>
      <c r="TE56" s="207"/>
      <c r="TF56" s="207"/>
      <c r="TG56" s="207"/>
      <c r="TH56" s="207"/>
      <c r="TI56" s="272"/>
      <c r="TJ56" s="272"/>
      <c r="TK56" s="205">
        <f t="shared" si="199"/>
        <v>0</v>
      </c>
      <c r="TL56" s="207"/>
      <c r="TM56" s="207"/>
      <c r="TN56" s="207"/>
      <c r="TO56" s="207"/>
      <c r="TP56" s="272"/>
      <c r="TQ56" s="272"/>
      <c r="TR56" s="272"/>
      <c r="TS56" s="205">
        <f t="shared" si="200"/>
        <v>0</v>
      </c>
      <c r="TT56" s="205">
        <f t="shared" si="201"/>
        <v>0</v>
      </c>
      <c r="TU56" s="272"/>
      <c r="TV56" s="207"/>
      <c r="TW56" s="207"/>
      <c r="TX56" s="207"/>
      <c r="TY56" s="207"/>
      <c r="TZ56" s="272"/>
      <c r="UA56" s="272"/>
      <c r="UB56" s="205">
        <f t="shared" si="202"/>
        <v>0</v>
      </c>
      <c r="UC56" s="207"/>
      <c r="UD56" s="207"/>
      <c r="UE56" s="207"/>
      <c r="UF56" s="207"/>
      <c r="UG56" s="207"/>
      <c r="UH56" s="272"/>
      <c r="UI56" s="272"/>
      <c r="UJ56" s="205">
        <f t="shared" si="240"/>
        <v>0</v>
      </c>
      <c r="UK56" s="207"/>
      <c r="UL56" s="207"/>
      <c r="UM56" s="207"/>
      <c r="UN56" s="120"/>
      <c r="UO56" s="120"/>
      <c r="UP56" s="306"/>
      <c r="UQ56" s="272"/>
      <c r="UR56" s="205">
        <f t="shared" si="227"/>
        <v>0</v>
      </c>
      <c r="US56" s="207"/>
      <c r="UT56" s="207"/>
      <c r="UU56" s="207"/>
      <c r="UV56" s="207"/>
      <c r="UW56" s="300"/>
      <c r="UX56" s="272"/>
      <c r="UY56" s="272"/>
      <c r="UZ56" s="205">
        <f t="shared" si="204"/>
        <v>0</v>
      </c>
      <c r="VA56" s="205">
        <f t="shared" si="205"/>
        <v>0</v>
      </c>
      <c r="VB56" s="207"/>
      <c r="VC56" s="207"/>
      <c r="VD56" s="120"/>
      <c r="VE56" s="207"/>
      <c r="VF56" s="207"/>
      <c r="VG56" s="304"/>
      <c r="VH56" s="272"/>
      <c r="VI56" s="205">
        <f t="shared" si="206"/>
        <v>0</v>
      </c>
      <c r="VJ56" s="207"/>
      <c r="VK56" s="207"/>
      <c r="VL56" s="207"/>
      <c r="VM56" s="120"/>
      <c r="VN56" s="207"/>
      <c r="VO56" s="272"/>
      <c r="VP56" s="272"/>
      <c r="VQ56" s="205">
        <f t="shared" si="207"/>
        <v>0</v>
      </c>
      <c r="VR56" s="207"/>
      <c r="VS56" s="207"/>
      <c r="VT56" s="207"/>
      <c r="VU56" s="207"/>
      <c r="VV56" s="207"/>
      <c r="VW56" s="272"/>
      <c r="VX56" s="272"/>
      <c r="VY56" s="205">
        <f t="shared" si="208"/>
        <v>0</v>
      </c>
      <c r="VZ56" s="207"/>
      <c r="WA56" s="207"/>
      <c r="WB56" s="207"/>
      <c r="WC56" s="207"/>
      <c r="WD56" s="124"/>
      <c r="WE56" s="272"/>
      <c r="WF56" s="272"/>
      <c r="WG56" s="205">
        <f t="shared" si="209"/>
        <v>0</v>
      </c>
      <c r="WH56" s="205">
        <f t="shared" si="210"/>
        <v>0</v>
      </c>
      <c r="WI56" s="207"/>
      <c r="WJ56" s="207"/>
      <c r="WK56" s="207"/>
      <c r="WL56" s="207"/>
      <c r="WM56" s="207"/>
      <c r="WN56" s="272"/>
      <c r="WO56" s="272"/>
      <c r="WP56" s="205">
        <f t="shared" si="211"/>
        <v>0</v>
      </c>
      <c r="WQ56" s="207"/>
      <c r="WR56" s="207"/>
      <c r="WS56" s="207"/>
      <c r="WT56" s="207"/>
      <c r="WU56" s="207"/>
      <c r="WV56" s="272"/>
      <c r="WW56" s="272"/>
      <c r="WX56" s="205">
        <f t="shared" si="212"/>
        <v>0</v>
      </c>
      <c r="WY56" s="207"/>
      <c r="WZ56" s="207"/>
      <c r="XA56" s="207"/>
      <c r="XB56" s="124"/>
      <c r="XC56" s="272"/>
      <c r="XD56" s="272"/>
      <c r="XE56" s="272"/>
      <c r="XF56" s="205">
        <f t="shared" si="213"/>
        <v>0</v>
      </c>
      <c r="XG56" s="207"/>
      <c r="XH56" s="207"/>
      <c r="XI56" s="207"/>
      <c r="XJ56" s="207"/>
      <c r="XK56" s="207"/>
      <c r="XL56" s="272"/>
      <c r="XM56" s="272"/>
      <c r="XN56" s="205">
        <f t="shared" si="214"/>
        <v>0</v>
      </c>
      <c r="XO56" s="207"/>
      <c r="XP56" s="207"/>
      <c r="XQ56" s="207"/>
      <c r="XR56" s="207"/>
      <c r="XS56" s="195"/>
      <c r="XT56" s="272"/>
      <c r="XU56" s="272"/>
      <c r="XV56" s="205">
        <f t="shared" si="215"/>
        <v>0</v>
      </c>
      <c r="XW56" s="205">
        <f t="shared" si="216"/>
        <v>0</v>
      </c>
      <c r="XX56" s="207"/>
      <c r="XY56" s="207"/>
      <c r="XZ56" s="207"/>
      <c r="YA56" s="124"/>
      <c r="YB56" s="195"/>
      <c r="YC56" s="272"/>
      <c r="YD56" s="272"/>
      <c r="YE56" s="205">
        <f t="shared" si="217"/>
        <v>0</v>
      </c>
      <c r="YF56" s="207"/>
      <c r="YG56" s="207"/>
      <c r="YH56" s="207"/>
      <c r="YI56" s="207"/>
      <c r="YJ56" s="124"/>
      <c r="YK56" s="272"/>
      <c r="YL56" s="272"/>
      <c r="YM56" s="205">
        <f t="shared" si="218"/>
        <v>0</v>
      </c>
      <c r="YN56" s="207"/>
      <c r="YO56" s="207"/>
      <c r="YP56" s="207"/>
      <c r="YQ56" s="207"/>
      <c r="YR56" s="207"/>
      <c r="YS56" s="272"/>
      <c r="YT56" s="272"/>
      <c r="YU56" s="205">
        <f t="shared" si="148"/>
        <v>0</v>
      </c>
      <c r="YV56" s="207"/>
      <c r="YW56" s="207"/>
      <c r="YX56" s="207"/>
      <c r="YY56" s="207"/>
      <c r="YZ56" s="124"/>
      <c r="ZA56" s="272"/>
      <c r="ZB56" s="272"/>
      <c r="ZC56" s="205">
        <f t="shared" si="219"/>
        <v>0</v>
      </c>
      <c r="ZD56" s="205">
        <f>SUM(YV56:YZ56,YU56,YM56,YE56,XR56:XS56)</f>
        <v>0</v>
      </c>
      <c r="ZE56" s="207"/>
      <c r="ZF56" s="207"/>
      <c r="ZG56" s="207"/>
      <c r="ZH56" s="207"/>
      <c r="ZI56" s="207"/>
      <c r="ZJ56" s="272"/>
      <c r="ZK56" s="272"/>
      <c r="ZL56" s="205">
        <f t="shared" si="220"/>
        <v>0</v>
      </c>
      <c r="ZM56" s="207"/>
      <c r="ZN56" s="207"/>
      <c r="ZO56" s="207"/>
      <c r="ZP56" s="207"/>
      <c r="ZQ56" s="207"/>
      <c r="ZR56" s="272"/>
      <c r="ZS56" s="272"/>
      <c r="ZT56" s="205">
        <f t="shared" si="221"/>
        <v>0</v>
      </c>
      <c r="ZU56" s="207"/>
      <c r="ZV56" s="207"/>
      <c r="ZW56" s="207"/>
      <c r="ZX56" s="207"/>
      <c r="ZY56" s="207"/>
      <c r="ZZ56" s="272"/>
      <c r="AAA56" s="272"/>
      <c r="AAB56" s="205">
        <f t="shared" si="222"/>
        <v>0</v>
      </c>
      <c r="AAC56" s="207"/>
      <c r="AAD56" s="207"/>
      <c r="AAE56" s="207"/>
      <c r="AAF56" s="207"/>
      <c r="AAG56" s="207"/>
      <c r="AAH56" s="272"/>
      <c r="AAI56" s="272"/>
      <c r="AAJ56" s="205">
        <f t="shared" si="223"/>
        <v>0</v>
      </c>
      <c r="AAK56" s="207"/>
      <c r="AAL56" s="207"/>
      <c r="AAM56" s="207"/>
      <c r="AAN56" s="207"/>
      <c r="AAO56" s="207"/>
      <c r="AAP56" s="272"/>
      <c r="AAQ56" s="272"/>
      <c r="AAR56" s="205">
        <f t="shared" si="224"/>
        <v>0</v>
      </c>
      <c r="AAS56" s="205">
        <f t="shared" si="225"/>
        <v>0</v>
      </c>
    </row>
    <row r="57" spans="1:721" ht="69" customHeight="1">
      <c r="B57" s="164">
        <v>3630101005</v>
      </c>
      <c r="C57" s="330"/>
      <c r="D57" s="163" t="s">
        <v>769</v>
      </c>
      <c r="E57" s="130" t="s">
        <v>4</v>
      </c>
      <c r="F57" s="120"/>
      <c r="G57" s="120"/>
      <c r="H57" s="120"/>
      <c r="I57" s="120"/>
      <c r="J57" s="120"/>
      <c r="K57" s="209"/>
      <c r="L57" s="205"/>
      <c r="M57" s="205">
        <f t="shared" si="491"/>
        <v>0</v>
      </c>
      <c r="N57" s="120"/>
      <c r="O57" s="120"/>
      <c r="P57" s="120"/>
      <c r="Q57" s="120"/>
      <c r="R57" s="120"/>
      <c r="S57" s="209"/>
      <c r="T57" s="205"/>
      <c r="U57" s="205">
        <f t="shared" si="492"/>
        <v>0</v>
      </c>
      <c r="V57" s="120"/>
      <c r="W57" s="120"/>
      <c r="X57" s="120"/>
      <c r="Y57" s="120"/>
      <c r="Z57" s="120"/>
      <c r="AA57" s="209"/>
      <c r="AB57" s="205"/>
      <c r="AC57" s="205">
        <f t="shared" si="493"/>
        <v>0</v>
      </c>
      <c r="AD57" s="205"/>
      <c r="AE57" s="205"/>
      <c r="AF57" s="205"/>
      <c r="AG57" s="205"/>
      <c r="AH57" s="205"/>
      <c r="AI57" s="209"/>
      <c r="AJ57" s="205"/>
      <c r="AK57" s="205">
        <f t="shared" si="494"/>
        <v>0</v>
      </c>
      <c r="AL57" s="205" t="e">
        <f>SUM(#REF!,M57,U57,AC57,AD57:AH57)</f>
        <v>#REF!</v>
      </c>
      <c r="AM57" s="120"/>
      <c r="AN57" s="120"/>
      <c r="AO57" s="120"/>
      <c r="AP57" s="120"/>
      <c r="AQ57" s="120"/>
      <c r="AR57" s="209"/>
      <c r="AS57" s="205"/>
      <c r="AT57" s="205">
        <f t="shared" si="495"/>
        <v>0</v>
      </c>
      <c r="AU57" s="120"/>
      <c r="AV57" s="120"/>
      <c r="AW57" s="120"/>
      <c r="AX57" s="120"/>
      <c r="AY57" s="120"/>
      <c r="AZ57" s="209"/>
      <c r="BA57" s="205"/>
      <c r="BB57" s="205">
        <f t="shared" si="496"/>
        <v>0</v>
      </c>
      <c r="BC57" s="120"/>
      <c r="BD57" s="120"/>
      <c r="BE57" s="120"/>
      <c r="BF57" s="120"/>
      <c r="BG57" s="120"/>
      <c r="BH57" s="209"/>
      <c r="BI57" s="205"/>
      <c r="BJ57" s="205">
        <f t="shared" si="497"/>
        <v>0</v>
      </c>
      <c r="BK57" s="120"/>
      <c r="BL57" s="120"/>
      <c r="BM57" s="120"/>
      <c r="BN57" s="120"/>
      <c r="BO57" s="205"/>
      <c r="BP57" s="209"/>
      <c r="BQ57" s="205"/>
      <c r="BR57" s="205">
        <f t="shared" si="248"/>
        <v>0</v>
      </c>
      <c r="BS57" s="205">
        <f t="shared" si="129"/>
        <v>0</v>
      </c>
      <c r="BT57" s="120"/>
      <c r="BU57" s="120"/>
      <c r="BV57" s="120"/>
      <c r="BW57" s="120"/>
      <c r="BX57" s="120"/>
      <c r="BY57" s="209"/>
      <c r="BZ57" s="205"/>
      <c r="CA57" s="205">
        <f t="shared" si="498"/>
        <v>0</v>
      </c>
      <c r="CB57" s="120"/>
      <c r="CC57" s="120"/>
      <c r="CD57" s="120"/>
      <c r="CE57" s="120"/>
      <c r="CF57" s="120"/>
      <c r="CG57" s="209"/>
      <c r="CH57" s="205"/>
      <c r="CI57" s="205">
        <f t="shared" si="499"/>
        <v>0</v>
      </c>
      <c r="CJ57" s="120"/>
      <c r="CK57" s="120"/>
      <c r="CL57" s="120"/>
      <c r="CM57" s="120"/>
      <c r="CN57" s="120"/>
      <c r="CO57" s="209"/>
      <c r="CP57" s="205"/>
      <c r="CQ57" s="205">
        <f t="shared" si="500"/>
        <v>0</v>
      </c>
      <c r="CR57" s="120"/>
      <c r="CS57" s="120"/>
      <c r="CT57" s="120"/>
      <c r="CU57" s="120"/>
      <c r="CV57" s="120"/>
      <c r="CW57" s="209"/>
      <c r="CX57" s="205"/>
      <c r="CY57" s="205">
        <f t="shared" si="501"/>
        <v>0</v>
      </c>
      <c r="CZ57" s="120"/>
      <c r="DA57" s="120"/>
      <c r="DB57" s="120"/>
      <c r="DC57" s="205"/>
      <c r="DD57" s="205"/>
      <c r="DE57" s="209"/>
      <c r="DF57" s="205"/>
      <c r="DG57" s="205">
        <f t="shared" si="502"/>
        <v>0</v>
      </c>
      <c r="DH57" s="205">
        <f t="shared" si="150"/>
        <v>0</v>
      </c>
      <c r="DI57" s="120"/>
      <c r="DJ57" s="120"/>
      <c r="DK57" s="120"/>
      <c r="DL57" s="120"/>
      <c r="DM57" s="120"/>
      <c r="DN57" s="209"/>
      <c r="DO57" s="205"/>
      <c r="DP57" s="205">
        <f t="shared" si="228"/>
        <v>0</v>
      </c>
      <c r="DQ57" s="120"/>
      <c r="DR57" s="120"/>
      <c r="DS57" s="120"/>
      <c r="DT57" s="120"/>
      <c r="DU57" s="120"/>
      <c r="DV57" s="209"/>
      <c r="DW57" s="205"/>
      <c r="DX57" s="205">
        <f t="shared" si="136"/>
        <v>0</v>
      </c>
      <c r="DY57" s="120"/>
      <c r="DZ57" s="120"/>
      <c r="EA57" s="120"/>
      <c r="EB57" s="120"/>
      <c r="EC57" s="120"/>
      <c r="ED57" s="209"/>
      <c r="EE57" s="205"/>
      <c r="EF57" s="205">
        <f t="shared" si="137"/>
        <v>0</v>
      </c>
      <c r="EG57" s="120"/>
      <c r="EH57" s="120"/>
      <c r="EI57" s="120"/>
      <c r="EJ57" s="205"/>
      <c r="EK57" s="205"/>
      <c r="EL57" s="209"/>
      <c r="EM57" s="205"/>
      <c r="EN57" s="205">
        <f t="shared" si="138"/>
        <v>0</v>
      </c>
      <c r="EO57" s="205">
        <f t="shared" si="151"/>
        <v>0</v>
      </c>
      <c r="EP57" s="120"/>
      <c r="EQ57" s="120"/>
      <c r="ER57" s="120"/>
      <c r="ES57" s="120"/>
      <c r="ET57" s="120"/>
      <c r="EU57" s="209"/>
      <c r="EV57" s="205"/>
      <c r="EW57" s="205">
        <f t="shared" si="139"/>
        <v>0</v>
      </c>
      <c r="EX57" s="120"/>
      <c r="EY57" s="120"/>
      <c r="EZ57" s="120"/>
      <c r="FA57" s="120"/>
      <c r="FB57" s="120"/>
      <c r="FC57" s="209"/>
      <c r="FD57" s="205"/>
      <c r="FE57" s="205">
        <f t="shared" si="140"/>
        <v>0</v>
      </c>
      <c r="FF57" s="120"/>
      <c r="FG57" s="120"/>
      <c r="FH57" s="120"/>
      <c r="FI57" s="120"/>
      <c r="FJ57" s="120"/>
      <c r="FK57" s="209"/>
      <c r="FL57" s="205"/>
      <c r="FM57" s="205">
        <f t="shared" si="141"/>
        <v>0</v>
      </c>
      <c r="FN57" s="120"/>
      <c r="FO57" s="120"/>
      <c r="FP57" s="120"/>
      <c r="FQ57" s="120"/>
      <c r="FR57" s="205"/>
      <c r="FS57" s="209"/>
      <c r="FT57" s="205"/>
      <c r="FU57" s="205">
        <f t="shared" si="142"/>
        <v>0</v>
      </c>
      <c r="FV57" s="205">
        <f t="shared" si="152"/>
        <v>0</v>
      </c>
      <c r="FW57" s="120"/>
      <c r="FX57" s="120"/>
      <c r="FY57" s="120"/>
      <c r="FZ57" s="120"/>
      <c r="GA57" s="120"/>
      <c r="GB57" s="209"/>
      <c r="GC57" s="205"/>
      <c r="GD57" s="205">
        <f t="shared" si="143"/>
        <v>0</v>
      </c>
      <c r="GE57" s="120"/>
      <c r="GF57" s="120"/>
      <c r="GG57" s="120"/>
      <c r="GH57" s="120"/>
      <c r="GI57" s="120"/>
      <c r="GJ57" s="209"/>
      <c r="GK57" s="205"/>
      <c r="GL57" s="205">
        <f t="shared" si="144"/>
        <v>0</v>
      </c>
      <c r="GM57" s="120"/>
      <c r="GN57" s="120"/>
      <c r="GO57" s="120"/>
      <c r="GP57" s="120"/>
      <c r="GQ57" s="120"/>
      <c r="GR57" s="209"/>
      <c r="GS57" s="205"/>
      <c r="GT57" s="205">
        <f t="shared" si="145"/>
        <v>0</v>
      </c>
      <c r="GU57" s="120"/>
      <c r="GV57" s="120"/>
      <c r="GW57" s="120"/>
      <c r="GX57" s="120"/>
      <c r="GY57" s="120"/>
      <c r="GZ57" s="209"/>
      <c r="HA57" s="205"/>
      <c r="HB57" s="205">
        <f t="shared" si="146"/>
        <v>0</v>
      </c>
      <c r="HC57" s="120"/>
      <c r="HD57" s="120"/>
      <c r="HE57" s="120"/>
      <c r="HF57" s="120"/>
      <c r="HG57" s="120"/>
      <c r="HH57" s="209"/>
      <c r="HI57" s="205"/>
      <c r="HJ57" s="205">
        <f t="shared" si="147"/>
        <v>0</v>
      </c>
      <c r="HK57" s="205">
        <f t="shared" si="153"/>
        <v>0</v>
      </c>
      <c r="HL57" s="124"/>
      <c r="HM57" s="120"/>
      <c r="HN57" s="120"/>
      <c r="HO57" s="120"/>
      <c r="HP57" s="120"/>
      <c r="HQ57" s="205"/>
      <c r="HR57" s="205"/>
      <c r="HS57" s="205">
        <f t="shared" si="154"/>
        <v>0</v>
      </c>
      <c r="HT57" s="120"/>
      <c r="HU57" s="120"/>
      <c r="HV57" s="120"/>
      <c r="HW57" s="120"/>
      <c r="HX57" s="120"/>
      <c r="HY57" s="205"/>
      <c r="HZ57" s="205"/>
      <c r="IA57" s="205">
        <f t="shared" si="155"/>
        <v>0</v>
      </c>
      <c r="IB57" s="120"/>
      <c r="IC57" s="120"/>
      <c r="ID57" s="120"/>
      <c r="IE57" s="120"/>
      <c r="IF57" s="120"/>
      <c r="IG57" s="205"/>
      <c r="IH57" s="205"/>
      <c r="II57" s="205">
        <f t="shared" si="156"/>
        <v>0</v>
      </c>
      <c r="IJ57" s="120"/>
      <c r="IK57" s="120"/>
      <c r="IL57" s="120"/>
      <c r="IM57" s="120"/>
      <c r="IN57" s="201">
        <v>9000</v>
      </c>
      <c r="IO57" s="205"/>
      <c r="IP57" s="205"/>
      <c r="IQ57" s="205">
        <f t="shared" si="157"/>
        <v>9000</v>
      </c>
      <c r="IR57" s="205">
        <f t="shared" si="158"/>
        <v>0</v>
      </c>
      <c r="IS57" s="120"/>
      <c r="IT57" s="120"/>
      <c r="IU57" s="120"/>
      <c r="IV57" s="120"/>
      <c r="IW57" s="120"/>
      <c r="IX57" s="205"/>
      <c r="IY57" s="205"/>
      <c r="IZ57" s="205">
        <f t="shared" si="159"/>
        <v>0</v>
      </c>
      <c r="JA57" s="120"/>
      <c r="JB57" s="120"/>
      <c r="JC57" s="120"/>
      <c r="JD57" s="120"/>
      <c r="JE57" s="120"/>
      <c r="JF57" s="205"/>
      <c r="JG57" s="205"/>
      <c r="JH57" s="205">
        <f t="shared" si="160"/>
        <v>0</v>
      </c>
      <c r="JI57" s="120"/>
      <c r="JJ57" s="120"/>
      <c r="JK57" s="120"/>
      <c r="JL57" s="217">
        <v>5000</v>
      </c>
      <c r="JM57" s="120"/>
      <c r="JN57" s="205"/>
      <c r="JO57" s="205"/>
      <c r="JP57" s="205">
        <f t="shared" si="161"/>
        <v>5000</v>
      </c>
      <c r="JQ57" s="120"/>
      <c r="JR57" s="120"/>
      <c r="JS57" s="120"/>
      <c r="JT57" s="120"/>
      <c r="JU57" s="120"/>
      <c r="JV57" s="205"/>
      <c r="JW57" s="205"/>
      <c r="JX57" s="205">
        <f t="shared" si="162"/>
        <v>0</v>
      </c>
      <c r="JY57" s="205">
        <f t="shared" si="163"/>
        <v>14000</v>
      </c>
      <c r="JZ57" s="120"/>
      <c r="KA57" s="120"/>
      <c r="KB57" s="120"/>
      <c r="KC57" s="120"/>
      <c r="KD57" s="120"/>
      <c r="KE57" s="205"/>
      <c r="KF57" s="205"/>
      <c r="KG57" s="205">
        <f t="shared" si="164"/>
        <v>0</v>
      </c>
      <c r="KH57" s="120"/>
      <c r="KI57" s="120"/>
      <c r="KJ57" s="120"/>
      <c r="KK57" s="120"/>
      <c r="KL57" s="120"/>
      <c r="KM57" s="205"/>
      <c r="KN57" s="205"/>
      <c r="KO57" s="205">
        <f t="shared" si="165"/>
        <v>0</v>
      </c>
      <c r="KP57" s="120"/>
      <c r="KQ57" s="120"/>
      <c r="KR57" s="120"/>
      <c r="KS57" s="120"/>
      <c r="KT57" s="120"/>
      <c r="KU57" s="205"/>
      <c r="KV57" s="205"/>
      <c r="KW57" s="205">
        <f t="shared" si="166"/>
        <v>0</v>
      </c>
      <c r="KX57" s="120"/>
      <c r="KY57" s="120"/>
      <c r="KZ57" s="207"/>
      <c r="LA57" s="120"/>
      <c r="LB57" s="195">
        <v>5000</v>
      </c>
      <c r="LC57" s="205"/>
      <c r="LD57" s="205"/>
      <c r="LE57" s="205">
        <f t="shared" si="167"/>
        <v>5000</v>
      </c>
      <c r="LF57" s="205"/>
      <c r="LG57" s="120"/>
      <c r="LH57" s="120"/>
      <c r="LI57" s="201">
        <v>2000</v>
      </c>
      <c r="LJ57" s="120"/>
      <c r="LK57" s="205"/>
      <c r="LL57" s="205"/>
      <c r="LM57" s="205">
        <f t="shared" si="168"/>
        <v>2000</v>
      </c>
      <c r="LN57" s="205">
        <f t="shared" si="169"/>
        <v>5000</v>
      </c>
      <c r="LO57" s="205"/>
      <c r="LP57" s="120"/>
      <c r="LQ57" s="120"/>
      <c r="LR57" s="120"/>
      <c r="LS57" s="205"/>
      <c r="LT57" s="205"/>
      <c r="LU57" s="205"/>
      <c r="LV57" s="205">
        <f t="shared" si="170"/>
        <v>0</v>
      </c>
      <c r="LW57" s="120"/>
      <c r="LX57" s="120"/>
      <c r="LY57" s="120"/>
      <c r="LZ57" s="195">
        <v>7000</v>
      </c>
      <c r="MA57" s="120"/>
      <c r="MB57" s="205"/>
      <c r="MC57" s="205"/>
      <c r="MD57" s="205">
        <f t="shared" si="171"/>
        <v>7000</v>
      </c>
      <c r="ME57" s="120"/>
      <c r="MF57" s="120"/>
      <c r="MG57" s="120"/>
      <c r="MH57" s="120"/>
      <c r="MI57" s="205"/>
      <c r="MJ57" s="205"/>
      <c r="MK57" s="205"/>
      <c r="ML57" s="205">
        <f t="shared" si="172"/>
        <v>0</v>
      </c>
      <c r="MM57" s="120"/>
      <c r="MN57" s="120"/>
      <c r="MO57" s="120"/>
      <c r="MP57" s="120"/>
      <c r="MQ57" s="120"/>
      <c r="MR57" s="205"/>
      <c r="MS57" s="205"/>
      <c r="MT57" s="205">
        <f t="shared" si="173"/>
        <v>0</v>
      </c>
      <c r="MU57" s="205">
        <f t="shared" si="174"/>
        <v>9000</v>
      </c>
      <c r="MV57" s="120"/>
      <c r="MW57" s="120"/>
      <c r="MX57" s="120"/>
      <c r="MY57" s="120"/>
      <c r="MZ57" s="195">
        <v>4000</v>
      </c>
      <c r="NA57" s="205"/>
      <c r="NB57" s="205"/>
      <c r="NC57" s="205">
        <f t="shared" si="175"/>
        <v>4000</v>
      </c>
      <c r="ND57" s="120"/>
      <c r="NE57" s="120"/>
      <c r="NF57" s="120"/>
      <c r="NG57" s="120"/>
      <c r="NH57" s="120"/>
      <c r="NI57" s="205"/>
      <c r="NJ57" s="205"/>
      <c r="NK57" s="205">
        <f t="shared" si="176"/>
        <v>0</v>
      </c>
      <c r="NL57" s="120"/>
      <c r="NM57" s="120"/>
      <c r="NN57" s="120"/>
      <c r="NO57" s="120"/>
      <c r="NP57" s="124">
        <v>3000</v>
      </c>
      <c r="NQ57" s="205"/>
      <c r="NR57" s="205"/>
      <c r="NS57" s="205">
        <f t="shared" si="177"/>
        <v>3000</v>
      </c>
      <c r="NT57" s="120"/>
      <c r="NU57" s="120"/>
      <c r="NV57" s="120"/>
      <c r="NW57" s="120"/>
      <c r="NX57" s="120"/>
      <c r="NY57" s="205"/>
      <c r="NZ57" s="205"/>
      <c r="OA57" s="205">
        <f t="shared" si="178"/>
        <v>0</v>
      </c>
      <c r="OB57" s="205">
        <f t="shared" si="179"/>
        <v>7000</v>
      </c>
      <c r="OC57" s="120"/>
      <c r="OD57" s="120"/>
      <c r="OE57" s="120"/>
      <c r="OF57" s="120"/>
      <c r="OG57" s="195">
        <v>3000</v>
      </c>
      <c r="OH57" s="205"/>
      <c r="OI57" s="205"/>
      <c r="OJ57" s="205">
        <f t="shared" si="180"/>
        <v>3000</v>
      </c>
      <c r="OK57" s="120"/>
      <c r="OL57" s="120"/>
      <c r="OM57" s="120"/>
      <c r="ON57" s="120"/>
      <c r="OO57" s="120"/>
      <c r="OP57" s="205"/>
      <c r="OQ57" s="205"/>
      <c r="OR57" s="205">
        <f t="shared" si="181"/>
        <v>0</v>
      </c>
      <c r="OS57" s="120"/>
      <c r="OT57" s="120"/>
      <c r="OU57" s="120"/>
      <c r="OV57" s="120"/>
      <c r="OW57" s="120"/>
      <c r="OX57" s="205"/>
      <c r="OY57" s="205"/>
      <c r="OZ57" s="205">
        <f t="shared" si="182"/>
        <v>0</v>
      </c>
      <c r="PA57" s="120"/>
      <c r="PB57" s="120"/>
      <c r="PC57" s="120"/>
      <c r="PD57" s="205"/>
      <c r="PE57" s="217"/>
      <c r="PF57" s="205"/>
      <c r="PG57" s="205"/>
      <c r="PH57" s="205">
        <f t="shared" si="183"/>
        <v>0</v>
      </c>
      <c r="PI57" s="120"/>
      <c r="PJ57" s="120"/>
      <c r="PK57" s="120"/>
      <c r="PL57" s="205"/>
      <c r="PM57" s="217"/>
      <c r="PN57" s="205"/>
      <c r="PO57" s="205"/>
      <c r="PP57" s="205">
        <f t="shared" si="184"/>
        <v>0</v>
      </c>
      <c r="PQ57" s="205">
        <f t="shared" si="185"/>
        <v>3000</v>
      </c>
      <c r="PR57" s="207"/>
      <c r="PS57" s="207"/>
      <c r="PT57" s="207"/>
      <c r="PU57" s="207"/>
      <c r="PV57" s="207"/>
      <c r="PW57" s="272"/>
      <c r="PX57" s="272"/>
      <c r="PY57" s="205">
        <f t="shared" si="186"/>
        <v>0</v>
      </c>
      <c r="PZ57" s="207"/>
      <c r="QA57" s="207"/>
      <c r="QB57" s="207"/>
      <c r="QC57" s="207"/>
      <c r="QD57" s="207"/>
      <c r="QE57" s="272"/>
      <c r="QF57" s="272"/>
      <c r="QG57" s="205">
        <f t="shared" si="187"/>
        <v>0</v>
      </c>
      <c r="QH57" s="217">
        <v>6000</v>
      </c>
      <c r="QI57" s="207"/>
      <c r="QJ57" s="294"/>
      <c r="QK57" s="207"/>
      <c r="QL57" s="207"/>
      <c r="QM57" s="272"/>
      <c r="QN57" s="272"/>
      <c r="QO57" s="205">
        <f t="shared" si="188"/>
        <v>6000</v>
      </c>
      <c r="QP57" s="207"/>
      <c r="QQ57" s="207"/>
      <c r="QR57" s="207"/>
      <c r="QS57" s="207"/>
      <c r="QT57" s="207"/>
      <c r="QU57" s="272"/>
      <c r="QV57" s="272"/>
      <c r="QW57" s="205">
        <f t="shared" si="320"/>
        <v>0</v>
      </c>
      <c r="QX57" s="205">
        <f t="shared" si="190"/>
        <v>6000</v>
      </c>
      <c r="QY57" s="207"/>
      <c r="QZ57" s="207"/>
      <c r="RA57" s="207"/>
      <c r="RB57" s="124">
        <v>9500</v>
      </c>
      <c r="RC57" s="124">
        <v>7500</v>
      </c>
      <c r="RD57" s="272"/>
      <c r="RE57" s="272"/>
      <c r="RF57" s="205">
        <f t="shared" si="191"/>
        <v>17000</v>
      </c>
      <c r="RG57" s="207"/>
      <c r="RH57" s="120"/>
      <c r="RI57" s="207"/>
      <c r="RJ57" s="207"/>
      <c r="RK57" s="124">
        <v>3800</v>
      </c>
      <c r="RL57" s="272"/>
      <c r="RM57" s="272"/>
      <c r="RN57" s="205">
        <f t="shared" si="192"/>
        <v>3800</v>
      </c>
      <c r="RO57" s="272"/>
      <c r="RP57" s="272"/>
      <c r="RQ57" s="272"/>
      <c r="RR57" s="272"/>
      <c r="RS57" s="272"/>
      <c r="RT57" s="272"/>
      <c r="RU57" s="272"/>
      <c r="RV57" s="205">
        <f t="shared" si="193"/>
        <v>0</v>
      </c>
      <c r="RW57" s="120"/>
      <c r="RX57" s="120"/>
      <c r="RY57" s="120"/>
      <c r="RZ57" s="120"/>
      <c r="SA57" s="272"/>
      <c r="SB57" s="272"/>
      <c r="SC57" s="272"/>
      <c r="SD57" s="205">
        <f t="shared" si="194"/>
        <v>0</v>
      </c>
      <c r="SE57" s="205">
        <f t="shared" si="195"/>
        <v>20800</v>
      </c>
      <c r="SF57" s="207"/>
      <c r="SG57" s="207"/>
      <c r="SH57" s="207"/>
      <c r="SI57" s="207"/>
      <c r="SJ57" s="207"/>
      <c r="SK57" s="272"/>
      <c r="SL57" s="272"/>
      <c r="SM57" s="205">
        <f t="shared" si="196"/>
        <v>0</v>
      </c>
      <c r="SN57" s="207"/>
      <c r="SO57" s="207"/>
      <c r="SP57" s="207"/>
      <c r="SQ57" s="207"/>
      <c r="SR57" s="207"/>
      <c r="SS57" s="272"/>
      <c r="ST57" s="272"/>
      <c r="SU57" s="205">
        <f t="shared" si="197"/>
        <v>0</v>
      </c>
      <c r="SV57" s="207"/>
      <c r="SW57" s="207"/>
      <c r="SX57" s="207"/>
      <c r="SY57" s="207"/>
      <c r="SZ57" s="207"/>
      <c r="TA57" s="272"/>
      <c r="TB57" s="272"/>
      <c r="TC57" s="205">
        <f t="shared" si="198"/>
        <v>0</v>
      </c>
      <c r="TD57" s="124">
        <v>8000</v>
      </c>
      <c r="TE57" s="207"/>
      <c r="TF57" s="207"/>
      <c r="TG57" s="207"/>
      <c r="TH57" s="207"/>
      <c r="TI57" s="272"/>
      <c r="TJ57" s="272"/>
      <c r="TK57" s="205">
        <f t="shared" si="199"/>
        <v>8000</v>
      </c>
      <c r="TL57" s="207"/>
      <c r="TM57" s="207"/>
      <c r="TN57" s="207"/>
      <c r="TO57" s="207"/>
      <c r="TP57" s="272"/>
      <c r="TQ57" s="272"/>
      <c r="TR57" s="272"/>
      <c r="TS57" s="205">
        <f t="shared" si="200"/>
        <v>0</v>
      </c>
      <c r="TT57" s="205">
        <f t="shared" si="201"/>
        <v>8000</v>
      </c>
      <c r="TU57" s="272"/>
      <c r="TV57" s="207"/>
      <c r="TW57" s="207"/>
      <c r="TX57" s="207"/>
      <c r="TY57" s="207"/>
      <c r="TZ57" s="272"/>
      <c r="UA57" s="272"/>
      <c r="UB57" s="205">
        <f t="shared" si="202"/>
        <v>0</v>
      </c>
      <c r="UC57" s="207"/>
      <c r="UD57" s="207"/>
      <c r="UE57" s="207"/>
      <c r="UF57" s="207"/>
      <c r="UG57" s="207"/>
      <c r="UH57" s="272"/>
      <c r="UI57" s="272"/>
      <c r="UJ57" s="205">
        <f t="shared" si="240"/>
        <v>0</v>
      </c>
      <c r="UK57" s="207"/>
      <c r="UL57" s="207"/>
      <c r="UM57" s="207"/>
      <c r="UN57" s="120"/>
      <c r="UO57" s="120"/>
      <c r="UP57" s="272"/>
      <c r="UQ57" s="272"/>
      <c r="UR57" s="205">
        <f t="shared" si="227"/>
        <v>0</v>
      </c>
      <c r="US57" s="207"/>
      <c r="UT57" s="207"/>
      <c r="UU57" s="207"/>
      <c r="UV57" s="207"/>
      <c r="UW57" s="195">
        <v>12000</v>
      </c>
      <c r="UX57" s="272"/>
      <c r="UY57" s="272"/>
      <c r="UZ57" s="205">
        <f t="shared" si="204"/>
        <v>12000</v>
      </c>
      <c r="VA57" s="205">
        <f t="shared" si="205"/>
        <v>0</v>
      </c>
      <c r="VB57" s="207"/>
      <c r="VC57" s="207"/>
      <c r="VD57" s="120"/>
      <c r="VE57" s="207"/>
      <c r="VF57" s="120"/>
      <c r="VG57" s="201">
        <v>6600</v>
      </c>
      <c r="VH57" s="272"/>
      <c r="VI57" s="205">
        <f t="shared" si="206"/>
        <v>6600</v>
      </c>
      <c r="VJ57" s="207"/>
      <c r="VK57" s="207"/>
      <c r="VL57" s="207"/>
      <c r="VM57" s="120"/>
      <c r="VN57" s="207"/>
      <c r="VO57" s="272"/>
      <c r="VP57" s="272"/>
      <c r="VQ57" s="205">
        <f t="shared" si="207"/>
        <v>0</v>
      </c>
      <c r="VR57" s="207"/>
      <c r="VS57" s="207"/>
      <c r="VT57" s="207"/>
      <c r="VU57" s="207"/>
      <c r="VV57" s="207"/>
      <c r="VW57" s="272"/>
      <c r="VX57" s="272"/>
      <c r="VY57" s="205">
        <f t="shared" si="208"/>
        <v>0</v>
      </c>
      <c r="VZ57" s="207"/>
      <c r="WA57" s="207"/>
      <c r="WB57" s="207"/>
      <c r="WC57" s="207"/>
      <c r="WD57" s="124">
        <v>2000</v>
      </c>
      <c r="WE57" s="272"/>
      <c r="WF57" s="272"/>
      <c r="WG57" s="205">
        <f t="shared" si="209"/>
        <v>2000</v>
      </c>
      <c r="WH57" s="205">
        <f t="shared" si="210"/>
        <v>20600</v>
      </c>
      <c r="WI57" s="207"/>
      <c r="WJ57" s="207"/>
      <c r="WK57" s="207"/>
      <c r="WL57" s="207"/>
      <c r="WM57" s="207"/>
      <c r="WN57" s="272"/>
      <c r="WO57" s="272"/>
      <c r="WP57" s="205">
        <f t="shared" si="211"/>
        <v>0</v>
      </c>
      <c r="WQ57" s="207"/>
      <c r="WR57" s="207"/>
      <c r="WS57" s="207"/>
      <c r="WT57" s="207"/>
      <c r="WU57" s="207"/>
      <c r="WV57" s="272"/>
      <c r="WW57" s="272"/>
      <c r="WX57" s="205">
        <f t="shared" si="212"/>
        <v>0</v>
      </c>
      <c r="WY57" s="207"/>
      <c r="WZ57" s="207"/>
      <c r="XA57" s="207"/>
      <c r="XB57" s="124">
        <v>2000</v>
      </c>
      <c r="XC57" s="272"/>
      <c r="XD57" s="272"/>
      <c r="XE57" s="272"/>
      <c r="XF57" s="205">
        <f t="shared" si="213"/>
        <v>2000</v>
      </c>
      <c r="XG57" s="207"/>
      <c r="XH57" s="207"/>
      <c r="XI57" s="207"/>
      <c r="XJ57" s="207"/>
      <c r="XK57" s="207"/>
      <c r="XL57" s="272"/>
      <c r="XM57" s="272"/>
      <c r="XN57" s="205">
        <f t="shared" si="214"/>
        <v>0</v>
      </c>
      <c r="XO57" s="207"/>
      <c r="XP57" s="207"/>
      <c r="XQ57" s="207"/>
      <c r="XR57" s="207"/>
      <c r="XS57" s="207"/>
      <c r="XT57" s="272"/>
      <c r="XU57" s="272"/>
      <c r="XV57" s="205">
        <f t="shared" si="215"/>
        <v>0</v>
      </c>
      <c r="XW57" s="205">
        <f t="shared" si="216"/>
        <v>2000</v>
      </c>
      <c r="XX57" s="207"/>
      <c r="XY57" s="207"/>
      <c r="XZ57" s="207"/>
      <c r="YA57" s="124">
        <v>7500</v>
      </c>
      <c r="YB57" s="207"/>
      <c r="YC57" s="272"/>
      <c r="YD57" s="272"/>
      <c r="YE57" s="205">
        <f t="shared" si="217"/>
        <v>7500</v>
      </c>
      <c r="YF57" s="207"/>
      <c r="YG57" s="207"/>
      <c r="YH57" s="207"/>
      <c r="YI57" s="207"/>
      <c r="YJ57" s="124">
        <v>7500</v>
      </c>
      <c r="YK57" s="272"/>
      <c r="YL57" s="272"/>
      <c r="YM57" s="205">
        <f t="shared" si="218"/>
        <v>7500</v>
      </c>
      <c r="YN57" s="207"/>
      <c r="YO57" s="207"/>
      <c r="YP57" s="207"/>
      <c r="YQ57" s="207"/>
      <c r="YR57" s="207"/>
      <c r="YS57" s="272"/>
      <c r="YT57" s="272"/>
      <c r="YU57" s="205">
        <f t="shared" si="148"/>
        <v>0</v>
      </c>
      <c r="YV57" s="207"/>
      <c r="YW57" s="207"/>
      <c r="YX57" s="207"/>
      <c r="YY57" s="207"/>
      <c r="YZ57" s="124">
        <v>2000</v>
      </c>
      <c r="ZA57" s="272"/>
      <c r="ZB57" s="272"/>
      <c r="ZC57" s="205">
        <f t="shared" si="219"/>
        <v>2000</v>
      </c>
      <c r="ZD57" s="205">
        <f>SUM(YV57:YZ57,YU57,YM57,YE57,XR57:XS57)</f>
        <v>17000</v>
      </c>
      <c r="ZE57" s="207"/>
      <c r="ZF57" s="207"/>
      <c r="ZG57" s="207"/>
      <c r="ZH57" s="207"/>
      <c r="ZI57" s="207"/>
      <c r="ZJ57" s="272"/>
      <c r="ZK57" s="272"/>
      <c r="ZL57" s="205">
        <f t="shared" si="220"/>
        <v>0</v>
      </c>
      <c r="ZM57" s="207"/>
      <c r="ZN57" s="207"/>
      <c r="ZO57" s="207"/>
      <c r="ZP57" s="207"/>
      <c r="ZQ57" s="207"/>
      <c r="ZR57" s="272"/>
      <c r="ZS57" s="272"/>
      <c r="ZT57" s="205">
        <f t="shared" si="221"/>
        <v>0</v>
      </c>
      <c r="ZU57" s="207"/>
      <c r="ZV57" s="207"/>
      <c r="ZW57" s="207"/>
      <c r="ZX57" s="207"/>
      <c r="ZY57" s="207"/>
      <c r="ZZ57" s="272"/>
      <c r="AAA57" s="272"/>
      <c r="AAB57" s="205">
        <f t="shared" si="222"/>
        <v>0</v>
      </c>
      <c r="AAC57" s="207"/>
      <c r="AAD57" s="207"/>
      <c r="AAE57" s="207"/>
      <c r="AAF57" s="207"/>
      <c r="AAG57" s="207"/>
      <c r="AAH57" s="272"/>
      <c r="AAI57" s="272"/>
      <c r="AAJ57" s="205">
        <f t="shared" si="223"/>
        <v>0</v>
      </c>
      <c r="AAK57" s="207"/>
      <c r="AAL57" s="207"/>
      <c r="AAM57" s="207"/>
      <c r="AAN57" s="207"/>
      <c r="AAO57" s="207"/>
      <c r="AAP57" s="272"/>
      <c r="AAQ57" s="272"/>
      <c r="AAR57" s="205">
        <f t="shared" si="224"/>
        <v>0</v>
      </c>
      <c r="AAS57" s="205">
        <f t="shared" si="225"/>
        <v>0</v>
      </c>
    </row>
    <row r="58" spans="1:721" ht="66" customHeight="1">
      <c r="B58" s="166">
        <v>3630101601</v>
      </c>
      <c r="C58" s="330" t="s">
        <v>496</v>
      </c>
      <c r="D58" s="163" t="s">
        <v>15</v>
      </c>
      <c r="E58" s="130" t="s">
        <v>4</v>
      </c>
      <c r="F58" s="120"/>
      <c r="G58" s="120"/>
      <c r="H58" s="120"/>
      <c r="I58" s="120"/>
      <c r="J58" s="124">
        <v>1000</v>
      </c>
      <c r="K58" s="209"/>
      <c r="L58" s="205"/>
      <c r="M58" s="205">
        <f t="shared" si="303"/>
        <v>1000</v>
      </c>
      <c r="N58" s="124"/>
      <c r="O58" s="120"/>
      <c r="P58" s="120"/>
      <c r="Q58" s="120"/>
      <c r="R58" s="120"/>
      <c r="S58" s="209"/>
      <c r="T58" s="205"/>
      <c r="U58" s="205">
        <f t="shared" si="304"/>
        <v>0</v>
      </c>
      <c r="V58" s="120"/>
      <c r="W58" s="120"/>
      <c r="X58" s="120"/>
      <c r="Y58" s="120"/>
      <c r="Z58" s="120"/>
      <c r="AA58" s="209"/>
      <c r="AB58" s="205"/>
      <c r="AC58" s="205">
        <f t="shared" si="305"/>
        <v>0</v>
      </c>
      <c r="AD58" s="205"/>
      <c r="AE58" s="205"/>
      <c r="AF58" s="205"/>
      <c r="AG58" s="205"/>
      <c r="AH58" s="205"/>
      <c r="AI58" s="209"/>
      <c r="AJ58" s="205"/>
      <c r="AK58" s="205">
        <f t="shared" si="306"/>
        <v>0</v>
      </c>
      <c r="AL58" s="205" t="e">
        <f>SUM(#REF!,M58,U58,AC58,AD58:AH58)</f>
        <v>#REF!</v>
      </c>
      <c r="AM58" s="120"/>
      <c r="AN58" s="120"/>
      <c r="AO58" s="120"/>
      <c r="AP58" s="120"/>
      <c r="AQ58" s="124">
        <v>2000</v>
      </c>
      <c r="AR58" s="209"/>
      <c r="AS58" s="205"/>
      <c r="AT58" s="205">
        <f t="shared" si="245"/>
        <v>2000</v>
      </c>
      <c r="AU58" s="201"/>
      <c r="AV58" s="120"/>
      <c r="AW58" s="120"/>
      <c r="AX58" s="120"/>
      <c r="AY58" s="120"/>
      <c r="AZ58" s="209"/>
      <c r="BA58" s="205"/>
      <c r="BB58" s="205">
        <f t="shared" si="246"/>
        <v>0</v>
      </c>
      <c r="BC58" s="120"/>
      <c r="BD58" s="120"/>
      <c r="BE58" s="120"/>
      <c r="BF58" s="120"/>
      <c r="BG58" s="120"/>
      <c r="BH58" s="209"/>
      <c r="BI58" s="205"/>
      <c r="BJ58" s="205">
        <f t="shared" si="247"/>
        <v>0</v>
      </c>
      <c r="BK58" s="120"/>
      <c r="BL58" s="120" t="s">
        <v>712</v>
      </c>
      <c r="BM58" s="120"/>
      <c r="BN58" s="120"/>
      <c r="BO58" s="205"/>
      <c r="BP58" s="209"/>
      <c r="BQ58" s="205"/>
      <c r="BR58" s="205">
        <f t="shared" si="248"/>
        <v>0</v>
      </c>
      <c r="BS58" s="205">
        <f t="shared" si="129"/>
        <v>2000</v>
      </c>
      <c r="BT58" s="120"/>
      <c r="BU58" s="120"/>
      <c r="BV58" s="120"/>
      <c r="BW58" s="120"/>
      <c r="BX58" s="250">
        <v>2000</v>
      </c>
      <c r="BY58" s="209"/>
      <c r="BZ58" s="205"/>
      <c r="CA58" s="205">
        <f t="shared" si="250"/>
        <v>2000</v>
      </c>
      <c r="CB58" s="201"/>
      <c r="CC58" s="120"/>
      <c r="CD58" s="120"/>
      <c r="CE58" s="120"/>
      <c r="CF58" s="217">
        <v>2000</v>
      </c>
      <c r="CG58" s="209"/>
      <c r="CH58" s="205"/>
      <c r="CI58" s="205">
        <f t="shared" si="251"/>
        <v>2000</v>
      </c>
      <c r="CJ58" s="195"/>
      <c r="CK58" s="120"/>
      <c r="CL58" s="120"/>
      <c r="CM58" s="120"/>
      <c r="CN58" s="120"/>
      <c r="CO58" s="209"/>
      <c r="CP58" s="205"/>
      <c r="CQ58" s="205">
        <f t="shared" si="252"/>
        <v>0</v>
      </c>
      <c r="CR58" s="120"/>
      <c r="CS58" s="120"/>
      <c r="CT58" s="120"/>
      <c r="CU58" s="120"/>
      <c r="CV58" s="217">
        <v>1000</v>
      </c>
      <c r="CW58" s="209"/>
      <c r="CX58" s="205"/>
      <c r="CY58" s="205">
        <f t="shared" si="253"/>
        <v>1000</v>
      </c>
      <c r="CZ58" s="217"/>
      <c r="DA58" s="120"/>
      <c r="DB58" s="120"/>
      <c r="DC58" s="205"/>
      <c r="DD58" s="205"/>
      <c r="DE58" s="209"/>
      <c r="DF58" s="205"/>
      <c r="DG58" s="205">
        <f t="shared" si="254"/>
        <v>0</v>
      </c>
      <c r="DH58" s="205">
        <f t="shared" si="150"/>
        <v>5000</v>
      </c>
      <c r="DI58" s="120"/>
      <c r="DJ58" s="120"/>
      <c r="DK58" s="120"/>
      <c r="DL58" s="120"/>
      <c r="DM58" s="250">
        <v>1000</v>
      </c>
      <c r="DN58" s="209"/>
      <c r="DO58" s="205"/>
      <c r="DP58" s="205">
        <f t="shared" si="228"/>
        <v>1000</v>
      </c>
      <c r="DQ58" s="217"/>
      <c r="DR58" s="120"/>
      <c r="DS58" s="120"/>
      <c r="DT58" s="120"/>
      <c r="DU58" s="120"/>
      <c r="DV58" s="209"/>
      <c r="DW58" s="205"/>
      <c r="DX58" s="205">
        <f t="shared" si="136"/>
        <v>0</v>
      </c>
      <c r="DY58" s="120"/>
      <c r="DZ58" s="120"/>
      <c r="EA58" s="120"/>
      <c r="EB58" s="120"/>
      <c r="EC58" s="250">
        <v>2000</v>
      </c>
      <c r="ED58" s="209"/>
      <c r="EE58" s="205"/>
      <c r="EF58" s="205">
        <f t="shared" si="137"/>
        <v>2000</v>
      </c>
      <c r="EG58" s="250"/>
      <c r="EH58" s="120"/>
      <c r="EI58" s="120"/>
      <c r="EJ58" s="205"/>
      <c r="EK58" s="205"/>
      <c r="EL58" s="209"/>
      <c r="EM58" s="205"/>
      <c r="EN58" s="205">
        <f t="shared" si="138"/>
        <v>0</v>
      </c>
      <c r="EO58" s="205">
        <f t="shared" si="151"/>
        <v>3000</v>
      </c>
      <c r="EP58" s="120"/>
      <c r="EQ58" s="120"/>
      <c r="ER58" s="120"/>
      <c r="ES58" s="120"/>
      <c r="ET58" s="120"/>
      <c r="EU58" s="209"/>
      <c r="EV58" s="205"/>
      <c r="EW58" s="205">
        <f t="shared" si="139"/>
        <v>0</v>
      </c>
      <c r="EX58" s="120"/>
      <c r="EY58" s="120"/>
      <c r="EZ58" s="120"/>
      <c r="FA58" s="120"/>
      <c r="FB58" s="250">
        <v>2000</v>
      </c>
      <c r="FC58" s="209"/>
      <c r="FD58" s="205"/>
      <c r="FE58" s="205">
        <f t="shared" si="140"/>
        <v>2000</v>
      </c>
      <c r="FF58" s="250"/>
      <c r="FG58" s="120"/>
      <c r="FH58" s="120"/>
      <c r="FI58" s="120"/>
      <c r="FJ58" s="120"/>
      <c r="FK58" s="209"/>
      <c r="FL58" s="205"/>
      <c r="FM58" s="205">
        <f t="shared" si="141"/>
        <v>0</v>
      </c>
      <c r="FN58" s="120"/>
      <c r="FO58" s="120"/>
      <c r="FP58" s="207"/>
      <c r="FQ58" s="120"/>
      <c r="FR58" s="205"/>
      <c r="FS58" s="209"/>
      <c r="FT58" s="205"/>
      <c r="FU58" s="205">
        <f t="shared" si="142"/>
        <v>0</v>
      </c>
      <c r="FV58" s="205">
        <f t="shared" si="152"/>
        <v>2000</v>
      </c>
      <c r="FW58" s="120"/>
      <c r="FX58" s="120"/>
      <c r="FY58" s="120"/>
      <c r="FZ58" s="120"/>
      <c r="GA58" s="120"/>
      <c r="GB58" s="209"/>
      <c r="GC58" s="205"/>
      <c r="GD58" s="205">
        <f t="shared" si="143"/>
        <v>0</v>
      </c>
      <c r="GE58" s="120"/>
      <c r="GF58" s="120"/>
      <c r="GG58" s="120"/>
      <c r="GH58" s="120"/>
      <c r="GI58" s="123">
        <v>2000</v>
      </c>
      <c r="GJ58" s="209"/>
      <c r="GK58" s="205"/>
      <c r="GL58" s="205">
        <f t="shared" si="144"/>
        <v>2000</v>
      </c>
      <c r="GM58" s="250"/>
      <c r="GN58" s="120"/>
      <c r="GO58" s="207"/>
      <c r="GP58" s="120"/>
      <c r="GQ58" s="120"/>
      <c r="GR58" s="209"/>
      <c r="GS58" s="205"/>
      <c r="GT58" s="205">
        <f t="shared" si="145"/>
        <v>0</v>
      </c>
      <c r="GU58" s="120"/>
      <c r="GV58" s="120"/>
      <c r="GW58" s="120"/>
      <c r="GX58" s="120"/>
      <c r="GY58" s="124">
        <v>2000</v>
      </c>
      <c r="GZ58" s="209"/>
      <c r="HA58" s="205"/>
      <c r="HB58" s="205">
        <f t="shared" si="146"/>
        <v>2000</v>
      </c>
      <c r="HC58" s="250"/>
      <c r="HD58" s="120"/>
      <c r="HE58" s="120"/>
      <c r="HF58" s="120"/>
      <c r="HG58" s="120"/>
      <c r="HH58" s="209"/>
      <c r="HI58" s="205"/>
      <c r="HJ58" s="205">
        <f t="shared" si="147"/>
        <v>0</v>
      </c>
      <c r="HK58" s="205">
        <f t="shared" si="153"/>
        <v>4000</v>
      </c>
      <c r="HL58" s="124"/>
      <c r="HM58" s="120"/>
      <c r="HN58" s="120"/>
      <c r="HO58" s="120"/>
      <c r="HP58" s="120"/>
      <c r="HQ58" s="205"/>
      <c r="HR58" s="205"/>
      <c r="HS58" s="205">
        <f t="shared" si="154"/>
        <v>0</v>
      </c>
      <c r="HT58" s="120"/>
      <c r="HU58" s="120"/>
      <c r="HV58" s="120"/>
      <c r="HW58" s="120"/>
      <c r="HX58" s="123">
        <v>2000</v>
      </c>
      <c r="HY58" s="205"/>
      <c r="HZ58" s="205"/>
      <c r="IA58" s="205">
        <f t="shared" si="155"/>
        <v>2000</v>
      </c>
      <c r="IB58" s="217"/>
      <c r="IC58" s="120"/>
      <c r="ID58" s="120"/>
      <c r="IE58" s="120"/>
      <c r="IF58" s="217">
        <v>2000</v>
      </c>
      <c r="IG58" s="205"/>
      <c r="IH58" s="205"/>
      <c r="II58" s="205">
        <f t="shared" si="156"/>
        <v>2000</v>
      </c>
      <c r="IJ58" s="201"/>
      <c r="IK58" s="120"/>
      <c r="IL58" s="120"/>
      <c r="IM58" s="120"/>
      <c r="IN58" s="120"/>
      <c r="IO58" s="205"/>
      <c r="IP58" s="205"/>
      <c r="IQ58" s="205">
        <f t="shared" si="157"/>
        <v>0</v>
      </c>
      <c r="IR58" s="205">
        <f>SUM(IJ58:IM58,II58,IA58,HS58,HD58:HG58,HH58:HI58)</f>
        <v>4000</v>
      </c>
      <c r="IS58" s="120"/>
      <c r="IT58" s="120"/>
      <c r="IU58" s="120"/>
      <c r="IV58" s="120"/>
      <c r="IW58" s="120"/>
      <c r="IX58" s="205"/>
      <c r="IY58" s="205"/>
      <c r="IZ58" s="205">
        <f t="shared" si="159"/>
        <v>0</v>
      </c>
      <c r="JA58" s="120"/>
      <c r="JB58" s="120"/>
      <c r="JC58" s="120"/>
      <c r="JD58" s="120"/>
      <c r="JE58" s="217">
        <v>1900</v>
      </c>
      <c r="JF58" s="205"/>
      <c r="JG58" s="205"/>
      <c r="JH58" s="205">
        <f t="shared" si="160"/>
        <v>1900</v>
      </c>
      <c r="JI58" s="124"/>
      <c r="JJ58" s="120"/>
      <c r="JK58" s="120"/>
      <c r="JL58" s="120"/>
      <c r="JM58" s="120"/>
      <c r="JN58" s="205"/>
      <c r="JO58" s="205"/>
      <c r="JP58" s="205">
        <f t="shared" si="161"/>
        <v>0</v>
      </c>
      <c r="JQ58" s="120"/>
      <c r="JR58" s="120"/>
      <c r="JS58" s="120"/>
      <c r="JT58" s="120"/>
      <c r="JU58" s="120"/>
      <c r="JV58" s="205"/>
      <c r="JW58" s="205"/>
      <c r="JX58" s="205">
        <f t="shared" si="162"/>
        <v>0</v>
      </c>
      <c r="JY58" s="205">
        <f t="shared" si="163"/>
        <v>1900</v>
      </c>
      <c r="JZ58" s="120"/>
      <c r="KA58" s="120"/>
      <c r="KB58" s="120"/>
      <c r="KC58" s="120"/>
      <c r="KD58" s="120"/>
      <c r="KE58" s="205"/>
      <c r="KF58" s="205"/>
      <c r="KG58" s="205">
        <f t="shared" si="164"/>
        <v>0</v>
      </c>
      <c r="KH58" s="120"/>
      <c r="KI58" s="120"/>
      <c r="KJ58" s="120"/>
      <c r="KK58" s="120"/>
      <c r="KL58" s="120"/>
      <c r="KM58" s="205"/>
      <c r="KN58" s="205"/>
      <c r="KO58" s="205">
        <f t="shared" si="165"/>
        <v>0</v>
      </c>
      <c r="KP58" s="120"/>
      <c r="KQ58" s="120"/>
      <c r="KR58" s="120"/>
      <c r="KS58" s="120"/>
      <c r="KT58" s="195">
        <v>1890</v>
      </c>
      <c r="KU58" s="205"/>
      <c r="KV58" s="205"/>
      <c r="KW58" s="205">
        <f t="shared" si="166"/>
        <v>1890</v>
      </c>
      <c r="KX58" s="195"/>
      <c r="KY58" s="120"/>
      <c r="KZ58" s="120"/>
      <c r="LA58" s="120"/>
      <c r="LB58" s="120"/>
      <c r="LC58" s="205"/>
      <c r="LD58" s="205"/>
      <c r="LE58" s="205">
        <f t="shared" si="167"/>
        <v>0</v>
      </c>
      <c r="LF58" s="205"/>
      <c r="LG58" s="120"/>
      <c r="LH58" s="120"/>
      <c r="LI58" s="120"/>
      <c r="LJ58" s="120"/>
      <c r="LK58" s="205"/>
      <c r="LL58" s="205"/>
      <c r="LM58" s="205">
        <f t="shared" si="168"/>
        <v>0</v>
      </c>
      <c r="LN58" s="205">
        <f t="shared" si="169"/>
        <v>1890</v>
      </c>
      <c r="LO58" s="205"/>
      <c r="LP58" s="120"/>
      <c r="LQ58" s="120"/>
      <c r="LR58" s="120"/>
      <c r="LS58" s="205"/>
      <c r="LT58" s="205"/>
      <c r="LU58" s="205"/>
      <c r="LV58" s="205">
        <f t="shared" si="170"/>
        <v>0</v>
      </c>
      <c r="LW58" s="120"/>
      <c r="LX58" s="120"/>
      <c r="LY58" s="120"/>
      <c r="LZ58" s="120"/>
      <c r="MA58" s="120"/>
      <c r="MB58" s="205"/>
      <c r="MC58" s="205"/>
      <c r="MD58" s="205">
        <f t="shared" si="171"/>
        <v>0</v>
      </c>
      <c r="ME58" s="120"/>
      <c r="MF58" s="120"/>
      <c r="MG58" s="120"/>
      <c r="MH58" s="120"/>
      <c r="MI58" s="205"/>
      <c r="MJ58" s="205"/>
      <c r="MK58" s="205"/>
      <c r="ML58" s="205">
        <f t="shared" si="172"/>
        <v>0</v>
      </c>
      <c r="MM58" s="120"/>
      <c r="MN58" s="120"/>
      <c r="MO58" s="120"/>
      <c r="MP58" s="120"/>
      <c r="MQ58" s="120"/>
      <c r="MR58" s="201">
        <v>2000</v>
      </c>
      <c r="MS58" s="205"/>
      <c r="MT58" s="205">
        <f t="shared" si="173"/>
        <v>2000</v>
      </c>
      <c r="MU58" s="205">
        <f t="shared" si="174"/>
        <v>0</v>
      </c>
      <c r="MV58" s="120"/>
      <c r="MW58" s="195"/>
      <c r="MX58" s="120"/>
      <c r="MY58" s="120"/>
      <c r="MZ58" s="217">
        <v>1950</v>
      </c>
      <c r="NA58" s="205"/>
      <c r="NB58" s="205"/>
      <c r="NC58" s="205">
        <f t="shared" si="175"/>
        <v>1950</v>
      </c>
      <c r="ND58" s="217"/>
      <c r="NE58" s="120"/>
      <c r="NF58" s="120"/>
      <c r="NG58" s="120"/>
      <c r="NH58" s="120"/>
      <c r="NI58" s="205"/>
      <c r="NJ58" s="205"/>
      <c r="NK58" s="205">
        <f t="shared" si="176"/>
        <v>0</v>
      </c>
      <c r="NL58" s="120"/>
      <c r="NM58" s="120"/>
      <c r="NN58" s="120"/>
      <c r="NO58" s="120"/>
      <c r="NP58" s="120"/>
      <c r="NQ58" s="205"/>
      <c r="NR58" s="205"/>
      <c r="NS58" s="205">
        <f t="shared" si="177"/>
        <v>0</v>
      </c>
      <c r="NT58" s="120"/>
      <c r="NU58" s="120"/>
      <c r="NV58" s="120"/>
      <c r="NW58" s="120"/>
      <c r="NX58" s="120"/>
      <c r="NY58" s="205"/>
      <c r="NZ58" s="205"/>
      <c r="OA58" s="205">
        <f t="shared" si="178"/>
        <v>0</v>
      </c>
      <c r="OB58" s="205">
        <f t="shared" si="179"/>
        <v>3950</v>
      </c>
      <c r="OC58" s="120"/>
      <c r="OD58" s="120"/>
      <c r="OE58" s="120"/>
      <c r="OF58" s="120"/>
      <c r="OG58" s="195">
        <v>2000</v>
      </c>
      <c r="OH58" s="205"/>
      <c r="OI58" s="205"/>
      <c r="OJ58" s="205">
        <f t="shared" si="180"/>
        <v>2000</v>
      </c>
      <c r="OK58" s="195"/>
      <c r="OL58" s="120"/>
      <c r="OM58" s="120"/>
      <c r="ON58" s="120"/>
      <c r="OO58" s="120"/>
      <c r="OP58" s="205"/>
      <c r="OQ58" s="205"/>
      <c r="OR58" s="205">
        <f t="shared" si="181"/>
        <v>0</v>
      </c>
      <c r="OS58" s="120"/>
      <c r="OT58" s="120"/>
      <c r="OU58" s="120"/>
      <c r="OV58" s="120"/>
      <c r="OW58" s="124">
        <v>1950</v>
      </c>
      <c r="OX58" s="205"/>
      <c r="OY58" s="205"/>
      <c r="OZ58" s="205">
        <f t="shared" si="182"/>
        <v>1950</v>
      </c>
      <c r="PA58" s="124"/>
      <c r="PB58" s="120"/>
      <c r="PC58" s="120"/>
      <c r="PD58" s="205"/>
      <c r="PE58" s="217"/>
      <c r="PF58" s="205"/>
      <c r="PG58" s="205"/>
      <c r="PH58" s="205">
        <f t="shared" si="183"/>
        <v>0</v>
      </c>
      <c r="PI58" s="120"/>
      <c r="PJ58" s="120"/>
      <c r="PK58" s="120"/>
      <c r="PL58" s="205"/>
      <c r="PM58" s="217"/>
      <c r="PN58" s="205"/>
      <c r="PO58" s="205"/>
      <c r="PP58" s="205">
        <f t="shared" si="184"/>
        <v>0</v>
      </c>
      <c r="PQ58" s="205">
        <f t="shared" si="185"/>
        <v>3950</v>
      </c>
      <c r="PR58" s="207"/>
      <c r="PS58" s="207"/>
      <c r="PT58" s="207"/>
      <c r="PU58" s="207"/>
      <c r="PV58" s="195">
        <v>3950</v>
      </c>
      <c r="PW58" s="272"/>
      <c r="PX58" s="272"/>
      <c r="PY58" s="205">
        <f t="shared" si="186"/>
        <v>3950</v>
      </c>
      <c r="PZ58" s="300"/>
      <c r="QA58" s="207"/>
      <c r="QB58" s="207"/>
      <c r="QC58" s="207"/>
      <c r="QD58" s="207"/>
      <c r="QE58" s="272"/>
      <c r="QF58" s="272"/>
      <c r="QG58" s="205">
        <f t="shared" si="187"/>
        <v>0</v>
      </c>
      <c r="QH58" s="207"/>
      <c r="QI58" s="207"/>
      <c r="QJ58" s="294"/>
      <c r="QK58" s="207"/>
      <c r="QL58" s="207"/>
      <c r="QM58" s="272"/>
      <c r="QN58" s="272"/>
      <c r="QO58" s="205">
        <f t="shared" si="188"/>
        <v>0</v>
      </c>
      <c r="QP58" s="207"/>
      <c r="QQ58" s="207"/>
      <c r="QR58" s="207"/>
      <c r="QS58" s="207"/>
      <c r="QT58" s="207"/>
      <c r="QU58" s="272"/>
      <c r="QV58" s="272"/>
      <c r="QW58" s="205">
        <f t="shared" si="320"/>
        <v>0</v>
      </c>
      <c r="QX58" s="205">
        <f t="shared" si="190"/>
        <v>3950</v>
      </c>
      <c r="QY58" s="207"/>
      <c r="QZ58" s="207"/>
      <c r="RA58" s="207"/>
      <c r="RB58" s="207"/>
      <c r="RC58" s="207"/>
      <c r="RD58" s="272"/>
      <c r="RE58" s="272"/>
      <c r="RF58" s="205">
        <f t="shared" si="191"/>
        <v>0</v>
      </c>
      <c r="RG58" s="207"/>
      <c r="RH58" s="195">
        <v>1790</v>
      </c>
      <c r="RI58" s="207"/>
      <c r="RJ58" s="120"/>
      <c r="RK58" s="195"/>
      <c r="RL58" s="272"/>
      <c r="RM58" s="272"/>
      <c r="RN58" s="205">
        <f t="shared" si="192"/>
        <v>1790</v>
      </c>
      <c r="RO58" s="272"/>
      <c r="RP58" s="272"/>
      <c r="RQ58" s="272"/>
      <c r="RR58" s="272"/>
      <c r="RS58" s="272"/>
      <c r="RT58" s="272"/>
      <c r="RU58" s="272"/>
      <c r="RV58" s="205">
        <f t="shared" si="193"/>
        <v>0</v>
      </c>
      <c r="RW58" s="120"/>
      <c r="RX58" s="120"/>
      <c r="RY58" s="120"/>
      <c r="RZ58" s="120"/>
      <c r="SA58" s="272"/>
      <c r="SB58" s="272"/>
      <c r="SC58" s="272"/>
      <c r="SD58" s="205">
        <f t="shared" si="194"/>
        <v>0</v>
      </c>
      <c r="SE58" s="205">
        <f t="shared" si="195"/>
        <v>1790</v>
      </c>
      <c r="SF58" s="207"/>
      <c r="SG58" s="207"/>
      <c r="SH58" s="207"/>
      <c r="SI58" s="207"/>
      <c r="SJ58" s="195">
        <v>2000</v>
      </c>
      <c r="SK58" s="272"/>
      <c r="SL58" s="272"/>
      <c r="SM58" s="205">
        <f t="shared" si="196"/>
        <v>2000</v>
      </c>
      <c r="SN58" s="300"/>
      <c r="SO58" s="207"/>
      <c r="SP58" s="207"/>
      <c r="SQ58" s="207"/>
      <c r="SR58" s="207"/>
      <c r="SS58" s="272"/>
      <c r="ST58" s="272"/>
      <c r="SU58" s="205">
        <f t="shared" si="197"/>
        <v>0</v>
      </c>
      <c r="SV58" s="207"/>
      <c r="SW58" s="207"/>
      <c r="SX58" s="207"/>
      <c r="SY58" s="207"/>
      <c r="SZ58" s="207"/>
      <c r="TA58" s="272"/>
      <c r="TB58" s="272"/>
      <c r="TC58" s="205">
        <f t="shared" si="198"/>
        <v>0</v>
      </c>
      <c r="TD58" s="207"/>
      <c r="TE58" s="207"/>
      <c r="TF58" s="207"/>
      <c r="TG58" s="207"/>
      <c r="TH58" s="124">
        <v>1740</v>
      </c>
      <c r="TI58" s="272"/>
      <c r="TJ58" s="272"/>
      <c r="TK58" s="205">
        <f t="shared" si="199"/>
        <v>1740</v>
      </c>
      <c r="TL58" s="300"/>
      <c r="TM58" s="207"/>
      <c r="TN58" s="207"/>
      <c r="TO58" s="207"/>
      <c r="TP58" s="272"/>
      <c r="TQ58" s="272"/>
      <c r="TR58" s="272"/>
      <c r="TS58" s="205">
        <f t="shared" si="200"/>
        <v>0</v>
      </c>
      <c r="TT58" s="205">
        <f t="shared" si="201"/>
        <v>3740</v>
      </c>
      <c r="TU58" s="272"/>
      <c r="TV58" s="207"/>
      <c r="TW58" s="207"/>
      <c r="TX58" s="207"/>
      <c r="TY58" s="207"/>
      <c r="TZ58" s="272"/>
      <c r="UA58" s="272"/>
      <c r="UB58" s="205">
        <f t="shared" si="202"/>
        <v>0</v>
      </c>
      <c r="UC58" s="207"/>
      <c r="UD58" s="207"/>
      <c r="UE58" s="207"/>
      <c r="UF58" s="207"/>
      <c r="UG58" s="124">
        <v>2000</v>
      </c>
      <c r="UH58" s="272"/>
      <c r="UI58" s="272"/>
      <c r="UJ58" s="205">
        <f t="shared" si="240"/>
        <v>2000</v>
      </c>
      <c r="UK58" s="306"/>
      <c r="UL58" s="207"/>
      <c r="UM58" s="120"/>
      <c r="UN58" s="120"/>
      <c r="UO58" s="120"/>
      <c r="UP58" s="272"/>
      <c r="UQ58" s="272"/>
      <c r="UR58" s="205">
        <f t="shared" si="227"/>
        <v>0</v>
      </c>
      <c r="US58" s="207"/>
      <c r="UT58" s="207"/>
      <c r="UU58" s="207"/>
      <c r="UV58" s="207"/>
      <c r="UW58" s="272"/>
      <c r="UX58" s="272"/>
      <c r="UY58" s="272"/>
      <c r="UZ58" s="205">
        <f t="shared" si="204"/>
        <v>0</v>
      </c>
      <c r="VA58" s="205">
        <f t="shared" si="205"/>
        <v>2000</v>
      </c>
      <c r="VB58" s="207"/>
      <c r="VC58" s="207"/>
      <c r="VD58" s="120"/>
      <c r="VE58" s="207"/>
      <c r="VF58" s="201">
        <v>1820</v>
      </c>
      <c r="VG58" s="272"/>
      <c r="VH58" s="272"/>
      <c r="VI58" s="205">
        <f t="shared" si="206"/>
        <v>1820</v>
      </c>
      <c r="VJ58" s="304"/>
      <c r="VK58" s="207"/>
      <c r="VL58" s="207"/>
      <c r="VM58" s="120"/>
      <c r="VN58" s="207"/>
      <c r="VO58" s="272"/>
      <c r="VP58" s="272"/>
      <c r="VQ58" s="205">
        <f t="shared" si="207"/>
        <v>0</v>
      </c>
      <c r="VR58" s="207"/>
      <c r="VS58" s="207"/>
      <c r="VT58" s="207"/>
      <c r="VU58" s="207"/>
      <c r="VV58" s="207"/>
      <c r="VW58" s="272"/>
      <c r="VX58" s="272"/>
      <c r="VY58" s="205">
        <f t="shared" si="208"/>
        <v>0</v>
      </c>
      <c r="VZ58" s="207"/>
      <c r="WA58" s="207"/>
      <c r="WB58" s="207"/>
      <c r="WC58" s="207"/>
      <c r="WD58" s="207"/>
      <c r="WE58" s="272"/>
      <c r="WF58" s="272"/>
      <c r="WG58" s="205">
        <f t="shared" si="209"/>
        <v>0</v>
      </c>
      <c r="WH58" s="205">
        <f t="shared" si="210"/>
        <v>1820</v>
      </c>
      <c r="WI58" s="207"/>
      <c r="WJ58" s="207"/>
      <c r="WK58" s="207"/>
      <c r="WL58" s="207"/>
      <c r="WM58" s="124">
        <v>2000</v>
      </c>
      <c r="WN58" s="272"/>
      <c r="WO58" s="272"/>
      <c r="WP58" s="205">
        <f t="shared" si="211"/>
        <v>2000</v>
      </c>
      <c r="WQ58" s="306"/>
      <c r="WR58" s="207"/>
      <c r="WS58" s="207"/>
      <c r="WT58" s="207"/>
      <c r="WU58" s="124">
        <v>2000</v>
      </c>
      <c r="WV58" s="272"/>
      <c r="WW58" s="272"/>
      <c r="WX58" s="205">
        <f t="shared" si="212"/>
        <v>2000</v>
      </c>
      <c r="WY58" s="306"/>
      <c r="WZ58" s="207"/>
      <c r="XA58" s="207"/>
      <c r="XB58" s="207"/>
      <c r="XC58" s="272"/>
      <c r="XD58" s="272"/>
      <c r="XE58" s="272"/>
      <c r="XF58" s="205">
        <f t="shared" si="213"/>
        <v>0</v>
      </c>
      <c r="XG58" s="207"/>
      <c r="XH58" s="207"/>
      <c r="XI58" s="207"/>
      <c r="XJ58" s="207"/>
      <c r="XK58" s="207"/>
      <c r="XL58" s="272"/>
      <c r="XM58" s="272"/>
      <c r="XN58" s="205">
        <f t="shared" si="214"/>
        <v>0</v>
      </c>
      <c r="XO58" s="207"/>
      <c r="XP58" s="207"/>
      <c r="XQ58" s="207"/>
      <c r="XR58" s="207"/>
      <c r="XS58" s="207"/>
      <c r="XT58" s="272"/>
      <c r="XU58" s="272"/>
      <c r="XV58" s="205">
        <f t="shared" si="215"/>
        <v>0</v>
      </c>
      <c r="XW58" s="205">
        <f t="shared" si="216"/>
        <v>4000</v>
      </c>
      <c r="XX58" s="207"/>
      <c r="XY58" s="207"/>
      <c r="XZ58" s="207"/>
      <c r="YA58" s="207"/>
      <c r="YB58" s="207"/>
      <c r="YC58" s="272"/>
      <c r="YD58" s="272"/>
      <c r="YE58" s="205">
        <f t="shared" si="217"/>
        <v>0</v>
      </c>
      <c r="YF58" s="207"/>
      <c r="YG58" s="207"/>
      <c r="YH58" s="207"/>
      <c r="YI58" s="207"/>
      <c r="YJ58" s="124">
        <v>1930</v>
      </c>
      <c r="YK58" s="272"/>
      <c r="YL58" s="272"/>
      <c r="YM58" s="205">
        <f t="shared" si="218"/>
        <v>1930</v>
      </c>
      <c r="YN58" s="306"/>
      <c r="YO58" s="207"/>
      <c r="YP58" s="207"/>
      <c r="YQ58" s="207"/>
      <c r="YR58" s="207"/>
      <c r="YS58" s="272"/>
      <c r="YT58" s="272"/>
      <c r="YU58" s="205">
        <f t="shared" si="148"/>
        <v>0</v>
      </c>
      <c r="YV58" s="207"/>
      <c r="YW58" s="207"/>
      <c r="YX58" s="207"/>
      <c r="YY58" s="207"/>
      <c r="YZ58" s="207"/>
      <c r="ZA58" s="272"/>
      <c r="ZB58" s="272"/>
      <c r="ZC58" s="205">
        <f t="shared" si="219"/>
        <v>0</v>
      </c>
      <c r="ZD58" s="205">
        <f>SUM(YV58:YZ58,YU58,YM58,YE58,XQ58:XS58)</f>
        <v>1930</v>
      </c>
      <c r="ZE58" s="207"/>
      <c r="ZF58" s="207"/>
      <c r="ZG58" s="207"/>
      <c r="ZH58" s="207"/>
      <c r="ZI58" s="195">
        <v>2000</v>
      </c>
      <c r="ZJ58" s="272"/>
      <c r="ZK58" s="272"/>
      <c r="ZL58" s="205">
        <f t="shared" si="220"/>
        <v>2000</v>
      </c>
      <c r="ZM58" s="300"/>
      <c r="ZN58" s="207"/>
      <c r="ZO58" s="207"/>
      <c r="ZP58" s="207"/>
      <c r="ZQ58" s="207"/>
      <c r="ZR58" s="272"/>
      <c r="ZS58" s="272"/>
      <c r="ZT58" s="205">
        <f t="shared" si="221"/>
        <v>0</v>
      </c>
      <c r="ZU58" s="207"/>
      <c r="ZV58" s="207"/>
      <c r="ZW58" s="207"/>
      <c r="ZX58" s="207"/>
      <c r="ZY58" s="207"/>
      <c r="ZZ58" s="272"/>
      <c r="AAA58" s="272"/>
      <c r="AAB58" s="205">
        <f t="shared" si="222"/>
        <v>0</v>
      </c>
      <c r="AAC58" s="207"/>
      <c r="AAD58" s="207"/>
      <c r="AAE58" s="207"/>
      <c r="AAF58" s="207"/>
      <c r="AAG58" s="207"/>
      <c r="AAH58" s="272"/>
      <c r="AAI58" s="272"/>
      <c r="AAJ58" s="205">
        <f t="shared" si="223"/>
        <v>0</v>
      </c>
      <c r="AAK58" s="207"/>
      <c r="AAL58" s="207"/>
      <c r="AAM58" s="207"/>
      <c r="AAN58" s="207"/>
      <c r="AAO58" s="207"/>
      <c r="AAP58" s="272"/>
      <c r="AAQ58" s="272"/>
      <c r="AAR58" s="205">
        <f t="shared" si="224"/>
        <v>0</v>
      </c>
      <c r="AAS58" s="205">
        <f t="shared" si="225"/>
        <v>2000</v>
      </c>
    </row>
    <row r="59" spans="1:721" ht="69" hidden="1" customHeight="1">
      <c r="B59" s="164">
        <v>3630101602</v>
      </c>
      <c r="C59" s="330"/>
      <c r="D59" s="163" t="s">
        <v>770</v>
      </c>
      <c r="E59" s="130" t="s">
        <v>4</v>
      </c>
      <c r="F59" s="120"/>
      <c r="G59" s="120"/>
      <c r="H59" s="120"/>
      <c r="I59" s="120"/>
      <c r="J59" s="120"/>
      <c r="K59" s="209"/>
      <c r="L59" s="205"/>
      <c r="M59" s="205">
        <f t="shared" ref="M59:M60" si="503">SUM(F59:L59)</f>
        <v>0</v>
      </c>
      <c r="N59" s="120"/>
      <c r="O59" s="120"/>
      <c r="P59" s="120"/>
      <c r="Q59" s="120"/>
      <c r="R59" s="120"/>
      <c r="S59" s="209"/>
      <c r="T59" s="205"/>
      <c r="U59" s="205">
        <f t="shared" ref="U59:U60" si="504">SUM(N59:T59)</f>
        <v>0</v>
      </c>
      <c r="V59" s="120"/>
      <c r="W59" s="120"/>
      <c r="X59" s="120"/>
      <c r="Y59" s="120"/>
      <c r="Z59" s="120"/>
      <c r="AA59" s="209"/>
      <c r="AB59" s="205"/>
      <c r="AC59" s="205">
        <f t="shared" ref="AC59:AC60" si="505">SUM(V59:AB59)</f>
        <v>0</v>
      </c>
      <c r="AD59" s="205"/>
      <c r="AE59" s="205"/>
      <c r="AF59" s="205"/>
      <c r="AG59" s="205"/>
      <c r="AH59" s="205"/>
      <c r="AI59" s="209"/>
      <c r="AJ59" s="205"/>
      <c r="AK59" s="205">
        <f t="shared" ref="AK59:AK60" si="506">SUM(AD59:AJ59)</f>
        <v>0</v>
      </c>
      <c r="AL59" s="205" t="e">
        <f>SUM(#REF!,M59,U59,AC59,AD59:AH59)</f>
        <v>#REF!</v>
      </c>
      <c r="AM59" s="120"/>
      <c r="AN59" s="120"/>
      <c r="AO59" s="120"/>
      <c r="AP59" s="120"/>
      <c r="AQ59" s="120"/>
      <c r="AR59" s="209"/>
      <c r="AS59" s="205"/>
      <c r="AT59" s="205">
        <f t="shared" ref="AT59:AT60" si="507">SUM(AM59:AS59)</f>
        <v>0</v>
      </c>
      <c r="AU59" s="120"/>
      <c r="AV59" s="120"/>
      <c r="AW59" s="120"/>
      <c r="AX59" s="120"/>
      <c r="AY59" s="120"/>
      <c r="AZ59" s="209"/>
      <c r="BA59" s="205"/>
      <c r="BB59" s="205">
        <f t="shared" ref="BB59:BB60" si="508">SUM(AU59:BA59)</f>
        <v>0</v>
      </c>
      <c r="BC59" s="120"/>
      <c r="BD59" s="120"/>
      <c r="BE59" s="120"/>
      <c r="BF59" s="120"/>
      <c r="BG59" s="120"/>
      <c r="BH59" s="209"/>
      <c r="BI59" s="205"/>
      <c r="BJ59" s="205">
        <f t="shared" ref="BJ59:BJ60" si="509">SUM(BC59:BI59)</f>
        <v>0</v>
      </c>
      <c r="BK59" s="120"/>
      <c r="BL59" s="120"/>
      <c r="BM59" s="120"/>
      <c r="BN59" s="120"/>
      <c r="BO59" s="205"/>
      <c r="BP59" s="209"/>
      <c r="BQ59" s="205"/>
      <c r="BR59" s="205">
        <f t="shared" si="248"/>
        <v>0</v>
      </c>
      <c r="BS59" s="205">
        <f t="shared" si="129"/>
        <v>0</v>
      </c>
      <c r="BT59" s="120"/>
      <c r="BU59" s="120"/>
      <c r="BV59" s="120"/>
      <c r="BW59" s="120"/>
      <c r="BX59" s="120"/>
      <c r="BY59" s="209"/>
      <c r="BZ59" s="205"/>
      <c r="CA59" s="205">
        <f t="shared" ref="CA59:CA60" si="510">SUM(BT59:BZ59)</f>
        <v>0</v>
      </c>
      <c r="CB59" s="120"/>
      <c r="CC59" s="120"/>
      <c r="CD59" s="120"/>
      <c r="CE59" s="120"/>
      <c r="CF59" s="120"/>
      <c r="CG59" s="209"/>
      <c r="CH59" s="205"/>
      <c r="CI59" s="205">
        <f t="shared" ref="CI59:CI60" si="511">SUM(CB59:CH59)</f>
        <v>0</v>
      </c>
      <c r="CJ59" s="120"/>
      <c r="CK59" s="120"/>
      <c r="CL59" s="120"/>
      <c r="CM59" s="120"/>
      <c r="CN59" s="120"/>
      <c r="CO59" s="209"/>
      <c r="CP59" s="205"/>
      <c r="CQ59" s="205">
        <f t="shared" ref="CQ59:CQ60" si="512">SUM(CJ59:CP59)</f>
        <v>0</v>
      </c>
      <c r="CR59" s="120"/>
      <c r="CS59" s="120"/>
      <c r="CT59" s="120"/>
      <c r="CU59" s="120"/>
      <c r="CV59" s="120"/>
      <c r="CW59" s="209"/>
      <c r="CX59" s="205"/>
      <c r="CY59" s="205">
        <f t="shared" ref="CY59:CY60" si="513">SUM(CR59:CX59)</f>
        <v>0</v>
      </c>
      <c r="CZ59" s="120"/>
      <c r="DA59" s="120"/>
      <c r="DB59" s="120"/>
      <c r="DC59" s="205"/>
      <c r="DD59" s="205"/>
      <c r="DE59" s="209"/>
      <c r="DF59" s="205"/>
      <c r="DG59" s="205">
        <f t="shared" ref="DG59:DG60" si="514">SUM(CZ59:DF59)</f>
        <v>0</v>
      </c>
      <c r="DH59" s="205">
        <f t="shared" si="150"/>
        <v>0</v>
      </c>
      <c r="DI59" s="120"/>
      <c r="DJ59" s="120"/>
      <c r="DK59" s="120"/>
      <c r="DL59" s="120"/>
      <c r="DM59" s="120"/>
      <c r="DN59" s="209"/>
      <c r="DO59" s="205"/>
      <c r="DP59" s="205">
        <f t="shared" si="228"/>
        <v>0</v>
      </c>
      <c r="DQ59" s="120"/>
      <c r="DR59" s="120"/>
      <c r="DS59" s="120"/>
      <c r="DT59" s="120"/>
      <c r="DU59" s="120"/>
      <c r="DV59" s="209"/>
      <c r="DW59" s="205"/>
      <c r="DX59" s="205">
        <f t="shared" si="136"/>
        <v>0</v>
      </c>
      <c r="DY59" s="120"/>
      <c r="DZ59" s="120"/>
      <c r="EA59" s="120"/>
      <c r="EB59" s="120"/>
      <c r="EC59" s="120"/>
      <c r="ED59" s="209"/>
      <c r="EE59" s="205"/>
      <c r="EF59" s="205">
        <f t="shared" si="137"/>
        <v>0</v>
      </c>
      <c r="EG59" s="120"/>
      <c r="EH59" s="120"/>
      <c r="EI59" s="120"/>
      <c r="EJ59" s="205"/>
      <c r="EK59" s="205"/>
      <c r="EL59" s="209"/>
      <c r="EM59" s="205"/>
      <c r="EN59" s="205">
        <f t="shared" si="138"/>
        <v>0</v>
      </c>
      <c r="EO59" s="205">
        <f t="shared" si="151"/>
        <v>0</v>
      </c>
      <c r="EP59" s="120"/>
      <c r="EQ59" s="120"/>
      <c r="ER59" s="120"/>
      <c r="ES59" s="120"/>
      <c r="ET59" s="120"/>
      <c r="EU59" s="209"/>
      <c r="EV59" s="205"/>
      <c r="EW59" s="205">
        <f t="shared" si="139"/>
        <v>0</v>
      </c>
      <c r="EX59" s="120"/>
      <c r="EY59" s="120"/>
      <c r="EZ59" s="120"/>
      <c r="FA59" s="120"/>
      <c r="FB59" s="120"/>
      <c r="FC59" s="209"/>
      <c r="FD59" s="205"/>
      <c r="FE59" s="205">
        <f t="shared" si="140"/>
        <v>0</v>
      </c>
      <c r="FF59" s="120"/>
      <c r="FG59" s="120"/>
      <c r="FH59" s="120"/>
      <c r="FI59" s="120"/>
      <c r="FJ59" s="120"/>
      <c r="FK59" s="209"/>
      <c r="FL59" s="205"/>
      <c r="FM59" s="205">
        <f t="shared" si="141"/>
        <v>0</v>
      </c>
      <c r="FN59" s="120"/>
      <c r="FO59" s="120"/>
      <c r="FP59" s="120"/>
      <c r="FQ59" s="120"/>
      <c r="FR59" s="205"/>
      <c r="FS59" s="209"/>
      <c r="FT59" s="205"/>
      <c r="FU59" s="205">
        <f t="shared" si="142"/>
        <v>0</v>
      </c>
      <c r="FV59" s="205">
        <f t="shared" si="152"/>
        <v>0</v>
      </c>
      <c r="FW59" s="120"/>
      <c r="FX59" s="120"/>
      <c r="FY59" s="120"/>
      <c r="FZ59" s="120"/>
      <c r="GA59" s="120"/>
      <c r="GB59" s="209"/>
      <c r="GC59" s="205"/>
      <c r="GD59" s="205">
        <f t="shared" si="143"/>
        <v>0</v>
      </c>
      <c r="GE59" s="120"/>
      <c r="GF59" s="120"/>
      <c r="GG59" s="120"/>
      <c r="GH59" s="120"/>
      <c r="GI59" s="120"/>
      <c r="GJ59" s="209"/>
      <c r="GK59" s="205"/>
      <c r="GL59" s="205">
        <f t="shared" si="144"/>
        <v>0</v>
      </c>
      <c r="GM59" s="120"/>
      <c r="GN59" s="120"/>
      <c r="GO59" s="120"/>
      <c r="GP59" s="120"/>
      <c r="GQ59" s="120"/>
      <c r="GR59" s="209"/>
      <c r="GS59" s="205"/>
      <c r="GT59" s="205">
        <f t="shared" si="145"/>
        <v>0</v>
      </c>
      <c r="GU59" s="120"/>
      <c r="GV59" s="120"/>
      <c r="GW59" s="120"/>
      <c r="GX59" s="120"/>
      <c r="GY59" s="120"/>
      <c r="GZ59" s="209"/>
      <c r="HA59" s="205"/>
      <c r="HB59" s="205">
        <f t="shared" si="146"/>
        <v>0</v>
      </c>
      <c r="HC59" s="120"/>
      <c r="HD59" s="120"/>
      <c r="HE59" s="120"/>
      <c r="HF59" s="120"/>
      <c r="HG59" s="120"/>
      <c r="HH59" s="209"/>
      <c r="HI59" s="205"/>
      <c r="HJ59" s="205">
        <f t="shared" si="147"/>
        <v>0</v>
      </c>
      <c r="HK59" s="205">
        <f t="shared" si="153"/>
        <v>0</v>
      </c>
      <c r="HL59" s="124"/>
      <c r="HM59" s="120"/>
      <c r="HN59" s="120"/>
      <c r="HO59" s="120"/>
      <c r="HP59" s="120"/>
      <c r="HQ59" s="205"/>
      <c r="HR59" s="205"/>
      <c r="HS59" s="205">
        <f t="shared" si="154"/>
        <v>0</v>
      </c>
      <c r="HT59" s="120"/>
      <c r="HU59" s="120"/>
      <c r="HV59" s="120"/>
      <c r="HW59" s="120"/>
      <c r="HX59" s="120"/>
      <c r="HY59" s="205"/>
      <c r="HZ59" s="205"/>
      <c r="IA59" s="205">
        <f t="shared" si="155"/>
        <v>0</v>
      </c>
      <c r="IB59" s="120"/>
      <c r="IC59" s="120"/>
      <c r="ID59" s="120"/>
      <c r="IE59" s="120"/>
      <c r="IF59" s="120"/>
      <c r="IG59" s="205"/>
      <c r="IH59" s="205"/>
      <c r="II59" s="205">
        <f t="shared" si="156"/>
        <v>0</v>
      </c>
      <c r="IJ59" s="120"/>
      <c r="IK59" s="120"/>
      <c r="IL59" s="120"/>
      <c r="IM59" s="120"/>
      <c r="IN59" s="120"/>
      <c r="IO59" s="205"/>
      <c r="IP59" s="205"/>
      <c r="IQ59" s="205">
        <f t="shared" si="157"/>
        <v>0</v>
      </c>
      <c r="IR59" s="205">
        <f t="shared" ref="IR59:IR60" si="515">SUM(IJ59:IM59,II59,IA59,HS59,HD59:HG59,HH59:HI59)</f>
        <v>0</v>
      </c>
      <c r="IS59" s="120"/>
      <c r="IT59" s="120"/>
      <c r="IU59" s="120"/>
      <c r="IV59" s="120"/>
      <c r="IW59" s="120"/>
      <c r="IX59" s="205"/>
      <c r="IY59" s="205"/>
      <c r="IZ59" s="205">
        <f t="shared" si="159"/>
        <v>0</v>
      </c>
      <c r="JA59" s="120"/>
      <c r="JB59" s="120"/>
      <c r="JC59" s="120"/>
      <c r="JD59" s="120"/>
      <c r="JE59" s="217"/>
      <c r="JF59" s="205"/>
      <c r="JG59" s="205"/>
      <c r="JH59" s="205">
        <f t="shared" si="160"/>
        <v>0</v>
      </c>
      <c r="JI59" s="120"/>
      <c r="JJ59" s="120"/>
      <c r="JK59" s="120"/>
      <c r="JL59" s="120"/>
      <c r="JM59" s="120"/>
      <c r="JN59" s="205"/>
      <c r="JO59" s="205"/>
      <c r="JP59" s="205">
        <f t="shared" si="161"/>
        <v>0</v>
      </c>
      <c r="JQ59" s="120"/>
      <c r="JR59" s="120"/>
      <c r="JS59" s="120"/>
      <c r="JT59" s="120"/>
      <c r="JU59" s="120"/>
      <c r="JV59" s="205"/>
      <c r="JW59" s="205"/>
      <c r="JX59" s="205">
        <f t="shared" si="162"/>
        <v>0</v>
      </c>
      <c r="JY59" s="205">
        <f t="shared" si="163"/>
        <v>0</v>
      </c>
      <c r="JZ59" s="120"/>
      <c r="KA59" s="120"/>
      <c r="KB59" s="120"/>
      <c r="KC59" s="120"/>
      <c r="KD59" s="120"/>
      <c r="KE59" s="205"/>
      <c r="KF59" s="205"/>
      <c r="KG59" s="205">
        <f t="shared" si="164"/>
        <v>0</v>
      </c>
      <c r="KH59" s="120"/>
      <c r="KI59" s="120"/>
      <c r="KJ59" s="120"/>
      <c r="KK59" s="120"/>
      <c r="KL59" s="120"/>
      <c r="KM59" s="205"/>
      <c r="KN59" s="205"/>
      <c r="KO59" s="205">
        <f t="shared" si="165"/>
        <v>0</v>
      </c>
      <c r="KP59" s="120"/>
      <c r="KQ59" s="120"/>
      <c r="KR59" s="120"/>
      <c r="KS59" s="120"/>
      <c r="KT59" s="120"/>
      <c r="KU59" s="205"/>
      <c r="KV59" s="205"/>
      <c r="KW59" s="205">
        <f t="shared" si="166"/>
        <v>0</v>
      </c>
      <c r="KX59" s="120"/>
      <c r="KY59" s="120"/>
      <c r="KZ59" s="120"/>
      <c r="LA59" s="120"/>
      <c r="LB59" s="120"/>
      <c r="LC59" s="205"/>
      <c r="LD59" s="205"/>
      <c r="LE59" s="205">
        <f t="shared" si="167"/>
        <v>0</v>
      </c>
      <c r="LF59" s="205"/>
      <c r="LG59" s="120"/>
      <c r="LH59" s="120"/>
      <c r="LI59" s="120"/>
      <c r="LJ59" s="120"/>
      <c r="LK59" s="205"/>
      <c r="LL59" s="205"/>
      <c r="LM59" s="205">
        <f t="shared" si="168"/>
        <v>0</v>
      </c>
      <c r="LN59" s="205">
        <f t="shared" si="169"/>
        <v>0</v>
      </c>
      <c r="LO59" s="205"/>
      <c r="LP59" s="120"/>
      <c r="LQ59" s="120"/>
      <c r="LR59" s="120"/>
      <c r="LS59" s="205"/>
      <c r="LT59" s="205"/>
      <c r="LU59" s="205"/>
      <c r="LV59" s="205">
        <f t="shared" si="170"/>
        <v>0</v>
      </c>
      <c r="LW59" s="120"/>
      <c r="LX59" s="120"/>
      <c r="LY59" s="120"/>
      <c r="LZ59" s="120"/>
      <c r="MA59" s="120"/>
      <c r="MB59" s="205"/>
      <c r="MC59" s="205"/>
      <c r="MD59" s="205">
        <f t="shared" si="171"/>
        <v>0</v>
      </c>
      <c r="ME59" s="120"/>
      <c r="MF59" s="120"/>
      <c r="MG59" s="120"/>
      <c r="MH59" s="120"/>
      <c r="MI59" s="205"/>
      <c r="MJ59" s="205"/>
      <c r="MK59" s="205"/>
      <c r="ML59" s="205">
        <f t="shared" si="172"/>
        <v>0</v>
      </c>
      <c r="MM59" s="120"/>
      <c r="MN59" s="120"/>
      <c r="MO59" s="120"/>
      <c r="MP59" s="120"/>
      <c r="MQ59" s="120"/>
      <c r="MR59" s="205"/>
      <c r="MS59" s="205"/>
      <c r="MT59" s="205">
        <f t="shared" si="173"/>
        <v>0</v>
      </c>
      <c r="MU59" s="205">
        <f t="shared" si="174"/>
        <v>0</v>
      </c>
      <c r="MV59" s="120"/>
      <c r="MW59" s="120"/>
      <c r="MX59" s="120"/>
      <c r="MY59" s="120"/>
      <c r="MZ59" s="120"/>
      <c r="NA59" s="205"/>
      <c r="NB59" s="205"/>
      <c r="NC59" s="205">
        <f t="shared" si="175"/>
        <v>0</v>
      </c>
      <c r="ND59" s="120"/>
      <c r="NE59" s="120"/>
      <c r="NF59" s="120"/>
      <c r="NG59" s="120"/>
      <c r="NH59" s="120"/>
      <c r="NI59" s="205"/>
      <c r="NJ59" s="205"/>
      <c r="NK59" s="205">
        <f t="shared" si="176"/>
        <v>0</v>
      </c>
      <c r="NL59" s="120"/>
      <c r="NM59" s="120"/>
      <c r="NN59" s="120"/>
      <c r="NO59" s="120"/>
      <c r="NP59" s="120"/>
      <c r="NQ59" s="205"/>
      <c r="NR59" s="205"/>
      <c r="NS59" s="205">
        <f t="shared" si="177"/>
        <v>0</v>
      </c>
      <c r="NT59" s="120"/>
      <c r="NU59" s="120"/>
      <c r="NV59" s="120"/>
      <c r="NW59" s="120"/>
      <c r="NX59" s="120"/>
      <c r="NY59" s="205"/>
      <c r="NZ59" s="205"/>
      <c r="OA59" s="205">
        <f t="shared" si="178"/>
        <v>0</v>
      </c>
      <c r="OB59" s="205">
        <f t="shared" si="179"/>
        <v>0</v>
      </c>
      <c r="OC59" s="120"/>
      <c r="OD59" s="120"/>
      <c r="OE59" s="120"/>
      <c r="OF59" s="120"/>
      <c r="OG59" s="120"/>
      <c r="OH59" s="205"/>
      <c r="OI59" s="205"/>
      <c r="OJ59" s="205">
        <f t="shared" si="180"/>
        <v>0</v>
      </c>
      <c r="OK59" s="120"/>
      <c r="OL59" s="120"/>
      <c r="OM59" s="120"/>
      <c r="ON59" s="120"/>
      <c r="OO59" s="120"/>
      <c r="OP59" s="205"/>
      <c r="OQ59" s="205"/>
      <c r="OR59" s="205">
        <f t="shared" si="181"/>
        <v>0</v>
      </c>
      <c r="OS59" s="120"/>
      <c r="OT59" s="120"/>
      <c r="OU59" s="120"/>
      <c r="OV59" s="120"/>
      <c r="OW59" s="120"/>
      <c r="OX59" s="205"/>
      <c r="OY59" s="205"/>
      <c r="OZ59" s="205">
        <f t="shared" si="182"/>
        <v>0</v>
      </c>
      <c r="PA59" s="120"/>
      <c r="PB59" s="120"/>
      <c r="PC59" s="120"/>
      <c r="PD59" s="205"/>
      <c r="PE59" s="217"/>
      <c r="PF59" s="205"/>
      <c r="PG59" s="205"/>
      <c r="PH59" s="205">
        <f t="shared" si="183"/>
        <v>0</v>
      </c>
      <c r="PI59" s="120"/>
      <c r="PJ59" s="120"/>
      <c r="PK59" s="120"/>
      <c r="PL59" s="205"/>
      <c r="PM59" s="217"/>
      <c r="PN59" s="205"/>
      <c r="PO59" s="205"/>
      <c r="PP59" s="205">
        <f t="shared" si="184"/>
        <v>0</v>
      </c>
      <c r="PQ59" s="205">
        <f t="shared" si="185"/>
        <v>0</v>
      </c>
      <c r="PR59" s="207"/>
      <c r="PS59" s="207"/>
      <c r="PT59" s="207"/>
      <c r="PU59" s="207"/>
      <c r="PV59" s="207"/>
      <c r="PW59" s="272"/>
      <c r="PX59" s="272"/>
      <c r="PY59" s="205">
        <f t="shared" si="186"/>
        <v>0</v>
      </c>
      <c r="PZ59" s="207"/>
      <c r="QA59" s="207"/>
      <c r="QB59" s="207"/>
      <c r="QC59" s="207"/>
      <c r="QD59" s="207"/>
      <c r="QE59" s="272"/>
      <c r="QF59" s="272"/>
      <c r="QG59" s="205">
        <f t="shared" si="187"/>
        <v>0</v>
      </c>
      <c r="QH59" s="207"/>
      <c r="QI59" s="207"/>
      <c r="QJ59" s="294"/>
      <c r="QK59" s="207"/>
      <c r="QL59" s="207"/>
      <c r="QM59" s="272"/>
      <c r="QN59" s="272"/>
      <c r="QO59" s="205">
        <f t="shared" si="188"/>
        <v>0</v>
      </c>
      <c r="QP59" s="207"/>
      <c r="QQ59" s="207"/>
      <c r="QR59" s="207"/>
      <c r="QS59" s="207"/>
      <c r="QT59" s="207"/>
      <c r="QU59" s="272"/>
      <c r="QV59" s="272"/>
      <c r="QW59" s="205">
        <f t="shared" si="320"/>
        <v>0</v>
      </c>
      <c r="QX59" s="205">
        <f t="shared" si="190"/>
        <v>0</v>
      </c>
      <c r="QY59" s="207"/>
      <c r="QZ59" s="207"/>
      <c r="RA59" s="207"/>
      <c r="RB59" s="207"/>
      <c r="RC59" s="207"/>
      <c r="RD59" s="272"/>
      <c r="RE59" s="272"/>
      <c r="RF59" s="205">
        <f t="shared" si="191"/>
        <v>0</v>
      </c>
      <c r="RG59" s="207"/>
      <c r="RH59" s="120"/>
      <c r="RI59" s="207"/>
      <c r="RJ59" s="120"/>
      <c r="RK59" s="120"/>
      <c r="RL59" s="272"/>
      <c r="RM59" s="272"/>
      <c r="RN59" s="205">
        <f t="shared" si="192"/>
        <v>0</v>
      </c>
      <c r="RO59" s="272"/>
      <c r="RP59" s="272"/>
      <c r="RQ59" s="272"/>
      <c r="RR59" s="272"/>
      <c r="RS59" s="272"/>
      <c r="RT59" s="272"/>
      <c r="RU59" s="272"/>
      <c r="RV59" s="205">
        <f t="shared" si="193"/>
        <v>0</v>
      </c>
      <c r="RW59" s="120"/>
      <c r="RX59" s="120"/>
      <c r="RY59" s="120"/>
      <c r="RZ59" s="120"/>
      <c r="SA59" s="272"/>
      <c r="SB59" s="272"/>
      <c r="SC59" s="272"/>
      <c r="SD59" s="205">
        <f t="shared" si="194"/>
        <v>0</v>
      </c>
      <c r="SE59" s="205">
        <f t="shared" si="195"/>
        <v>0</v>
      </c>
      <c r="SF59" s="207"/>
      <c r="SG59" s="207"/>
      <c r="SH59" s="207"/>
      <c r="SI59" s="207"/>
      <c r="SJ59" s="207"/>
      <c r="SK59" s="272"/>
      <c r="SL59" s="272"/>
      <c r="SM59" s="205">
        <f t="shared" si="196"/>
        <v>0</v>
      </c>
      <c r="SN59" s="207"/>
      <c r="SO59" s="207"/>
      <c r="SP59" s="207"/>
      <c r="SQ59" s="207"/>
      <c r="SR59" s="207"/>
      <c r="SS59" s="272"/>
      <c r="ST59" s="272"/>
      <c r="SU59" s="205">
        <f t="shared" si="197"/>
        <v>0</v>
      </c>
      <c r="SV59" s="207"/>
      <c r="SW59" s="207"/>
      <c r="SX59" s="207"/>
      <c r="SY59" s="207"/>
      <c r="SZ59" s="207"/>
      <c r="TA59" s="272"/>
      <c r="TB59" s="272"/>
      <c r="TC59" s="205">
        <f t="shared" si="198"/>
        <v>0</v>
      </c>
      <c r="TD59" s="207"/>
      <c r="TE59" s="207"/>
      <c r="TF59" s="207"/>
      <c r="TG59" s="207"/>
      <c r="TH59" s="124">
        <v>260</v>
      </c>
      <c r="TI59" s="272"/>
      <c r="TJ59" s="272"/>
      <c r="TK59" s="205">
        <f t="shared" si="199"/>
        <v>260</v>
      </c>
      <c r="TL59" s="300"/>
      <c r="TM59" s="207"/>
      <c r="TN59" s="207"/>
      <c r="TO59" s="207"/>
      <c r="TP59" s="272"/>
      <c r="TQ59" s="272"/>
      <c r="TR59" s="272"/>
      <c r="TS59" s="205">
        <f t="shared" si="200"/>
        <v>0</v>
      </c>
      <c r="TT59" s="205">
        <f t="shared" si="201"/>
        <v>260</v>
      </c>
      <c r="TU59" s="272"/>
      <c r="TV59" s="207"/>
      <c r="TW59" s="207"/>
      <c r="TX59" s="207"/>
      <c r="TY59" s="207"/>
      <c r="TZ59" s="272"/>
      <c r="UA59" s="272"/>
      <c r="UB59" s="205">
        <f t="shared" si="202"/>
        <v>0</v>
      </c>
      <c r="UC59" s="207"/>
      <c r="UD59" s="207"/>
      <c r="UE59" s="207"/>
      <c r="UF59" s="207"/>
      <c r="UG59" s="207"/>
      <c r="UH59" s="272"/>
      <c r="UI59" s="272"/>
      <c r="UJ59" s="205">
        <f t="shared" si="203"/>
        <v>0</v>
      </c>
      <c r="UK59" s="207"/>
      <c r="UL59" s="207"/>
      <c r="UM59" s="120"/>
      <c r="UN59" s="120"/>
      <c r="UO59" s="120"/>
      <c r="UP59" s="272"/>
      <c r="UQ59" s="272"/>
      <c r="UR59" s="205">
        <f t="shared" si="227"/>
        <v>0</v>
      </c>
      <c r="US59" s="207"/>
      <c r="UT59" s="207"/>
      <c r="UU59" s="207"/>
      <c r="UV59" s="207"/>
      <c r="UW59" s="272"/>
      <c r="UX59" s="272"/>
      <c r="UY59" s="272"/>
      <c r="UZ59" s="205">
        <f t="shared" si="204"/>
        <v>0</v>
      </c>
      <c r="VA59" s="205">
        <f t="shared" si="205"/>
        <v>0</v>
      </c>
      <c r="VB59" s="207"/>
      <c r="VC59" s="207"/>
      <c r="VD59" s="120"/>
      <c r="VE59" s="207"/>
      <c r="VF59" s="304"/>
      <c r="VG59" s="272"/>
      <c r="VH59" s="272"/>
      <c r="VI59" s="205">
        <f t="shared" si="206"/>
        <v>0</v>
      </c>
      <c r="VJ59" s="304"/>
      <c r="VK59" s="207"/>
      <c r="VL59" s="207"/>
      <c r="VM59" s="207"/>
      <c r="VN59" s="207"/>
      <c r="VO59" s="272"/>
      <c r="VP59" s="272"/>
      <c r="VQ59" s="205">
        <f t="shared" si="207"/>
        <v>0</v>
      </c>
      <c r="VR59" s="207"/>
      <c r="VS59" s="207"/>
      <c r="VT59" s="207"/>
      <c r="VU59" s="207"/>
      <c r="VV59" s="207"/>
      <c r="VW59" s="272"/>
      <c r="VX59" s="272"/>
      <c r="VY59" s="205">
        <f t="shared" si="208"/>
        <v>0</v>
      </c>
      <c r="VZ59" s="207"/>
      <c r="WA59" s="207"/>
      <c r="WB59" s="207"/>
      <c r="WC59" s="207"/>
      <c r="WD59" s="207"/>
      <c r="WE59" s="272"/>
      <c r="WF59" s="272"/>
      <c r="WG59" s="205">
        <f t="shared" si="209"/>
        <v>0</v>
      </c>
      <c r="WH59" s="205">
        <f t="shared" si="210"/>
        <v>0</v>
      </c>
      <c r="WI59" s="207"/>
      <c r="WJ59" s="207"/>
      <c r="WK59" s="207"/>
      <c r="WL59" s="207"/>
      <c r="WM59" s="207"/>
      <c r="WN59" s="272"/>
      <c r="WO59" s="272"/>
      <c r="WP59" s="205">
        <f t="shared" si="211"/>
        <v>0</v>
      </c>
      <c r="WQ59" s="207"/>
      <c r="WR59" s="207"/>
      <c r="WS59" s="207"/>
      <c r="WT59" s="207"/>
      <c r="WU59" s="207"/>
      <c r="WV59" s="272"/>
      <c r="WW59" s="272"/>
      <c r="WX59" s="205">
        <f t="shared" si="212"/>
        <v>0</v>
      </c>
      <c r="WY59" s="207"/>
      <c r="WZ59" s="207"/>
      <c r="XA59" s="207"/>
      <c r="XB59" s="207"/>
      <c r="XC59" s="272"/>
      <c r="XD59" s="272"/>
      <c r="XE59" s="272"/>
      <c r="XF59" s="205">
        <f t="shared" si="213"/>
        <v>0</v>
      </c>
      <c r="XG59" s="207"/>
      <c r="XH59" s="207"/>
      <c r="XI59" s="207"/>
      <c r="XJ59" s="207"/>
      <c r="XK59" s="207"/>
      <c r="XL59" s="272"/>
      <c r="XM59" s="272"/>
      <c r="XN59" s="205">
        <f t="shared" si="214"/>
        <v>0</v>
      </c>
      <c r="XO59" s="207"/>
      <c r="XP59" s="207"/>
      <c r="XQ59" s="207"/>
      <c r="XR59" s="207"/>
      <c r="XS59" s="207"/>
      <c r="XT59" s="272"/>
      <c r="XU59" s="272"/>
      <c r="XV59" s="205">
        <f t="shared" si="215"/>
        <v>0</v>
      </c>
      <c r="XW59" s="205">
        <f t="shared" si="216"/>
        <v>0</v>
      </c>
      <c r="XX59" s="207"/>
      <c r="XY59" s="207"/>
      <c r="XZ59" s="207"/>
      <c r="YA59" s="207"/>
      <c r="YB59" s="207"/>
      <c r="YC59" s="272"/>
      <c r="YD59" s="272"/>
      <c r="YE59" s="205">
        <f t="shared" si="217"/>
        <v>0</v>
      </c>
      <c r="YF59" s="207"/>
      <c r="YG59" s="207"/>
      <c r="YH59" s="207"/>
      <c r="YI59" s="207"/>
      <c r="YJ59" s="124"/>
      <c r="YK59" s="272"/>
      <c r="YL59" s="272"/>
      <c r="YM59" s="205">
        <f t="shared" si="218"/>
        <v>0</v>
      </c>
      <c r="YN59" s="306"/>
      <c r="YO59" s="207"/>
      <c r="YP59" s="207"/>
      <c r="YQ59" s="207"/>
      <c r="YR59" s="207"/>
      <c r="YS59" s="272"/>
      <c r="YT59" s="272"/>
      <c r="YU59" s="205">
        <f t="shared" si="148"/>
        <v>0</v>
      </c>
      <c r="YV59" s="207"/>
      <c r="YW59" s="207"/>
      <c r="YX59" s="207"/>
      <c r="YY59" s="207"/>
      <c r="YZ59" s="207"/>
      <c r="ZA59" s="272"/>
      <c r="ZB59" s="272"/>
      <c r="ZC59" s="205">
        <f t="shared" si="219"/>
        <v>0</v>
      </c>
      <c r="ZD59" s="205">
        <f t="shared" ref="ZD59:ZD81" si="516">SUM(YV59:YZ59,YU59,YM59,YE59,XQ59:XS59)</f>
        <v>0</v>
      </c>
      <c r="ZE59" s="207"/>
      <c r="ZF59" s="207"/>
      <c r="ZG59" s="207"/>
      <c r="ZH59" s="207"/>
      <c r="ZI59" s="207"/>
      <c r="ZJ59" s="272"/>
      <c r="ZK59" s="272"/>
      <c r="ZL59" s="205">
        <f t="shared" si="220"/>
        <v>0</v>
      </c>
      <c r="ZM59" s="207"/>
      <c r="ZN59" s="207"/>
      <c r="ZO59" s="207"/>
      <c r="ZP59" s="207"/>
      <c r="ZQ59" s="207"/>
      <c r="ZR59" s="272"/>
      <c r="ZS59" s="272"/>
      <c r="ZT59" s="205">
        <f t="shared" si="221"/>
        <v>0</v>
      </c>
      <c r="ZU59" s="207"/>
      <c r="ZV59" s="207"/>
      <c r="ZW59" s="207"/>
      <c r="ZX59" s="207"/>
      <c r="ZY59" s="207"/>
      <c r="ZZ59" s="272"/>
      <c r="AAA59" s="272"/>
      <c r="AAB59" s="205">
        <f t="shared" si="222"/>
        <v>0</v>
      </c>
      <c r="AAC59" s="207"/>
      <c r="AAD59" s="207"/>
      <c r="AAE59" s="207"/>
      <c r="AAF59" s="207"/>
      <c r="AAG59" s="207"/>
      <c r="AAH59" s="272"/>
      <c r="AAI59" s="272"/>
      <c r="AAJ59" s="205">
        <f t="shared" si="223"/>
        <v>0</v>
      </c>
      <c r="AAK59" s="207"/>
      <c r="AAL59" s="207"/>
      <c r="AAM59" s="207"/>
      <c r="AAN59" s="207"/>
      <c r="AAO59" s="207"/>
      <c r="AAP59" s="272"/>
      <c r="AAQ59" s="272"/>
      <c r="AAR59" s="205">
        <f t="shared" si="224"/>
        <v>0</v>
      </c>
      <c r="AAS59" s="205">
        <f t="shared" si="225"/>
        <v>0</v>
      </c>
    </row>
    <row r="60" spans="1:721" ht="69" customHeight="1">
      <c r="B60" s="164">
        <v>3630101604</v>
      </c>
      <c r="C60" s="330"/>
      <c r="D60" s="163" t="s">
        <v>771</v>
      </c>
      <c r="E60" s="130" t="s">
        <v>4</v>
      </c>
      <c r="F60" s="120"/>
      <c r="G60" s="120"/>
      <c r="H60" s="120"/>
      <c r="I60" s="120"/>
      <c r="J60" s="120"/>
      <c r="K60" s="209"/>
      <c r="L60" s="205"/>
      <c r="M60" s="205">
        <f t="shared" si="503"/>
        <v>0</v>
      </c>
      <c r="N60" s="120"/>
      <c r="O60" s="120"/>
      <c r="P60" s="120"/>
      <c r="Q60" s="120"/>
      <c r="R60" s="120"/>
      <c r="S60" s="209"/>
      <c r="T60" s="205"/>
      <c r="U60" s="205">
        <f t="shared" si="504"/>
        <v>0</v>
      </c>
      <c r="V60" s="120"/>
      <c r="W60" s="120"/>
      <c r="X60" s="120"/>
      <c r="Y60" s="120"/>
      <c r="Z60" s="120"/>
      <c r="AA60" s="209"/>
      <c r="AB60" s="205"/>
      <c r="AC60" s="205">
        <f t="shared" si="505"/>
        <v>0</v>
      </c>
      <c r="AD60" s="205"/>
      <c r="AE60" s="205"/>
      <c r="AF60" s="205"/>
      <c r="AG60" s="205"/>
      <c r="AH60" s="205"/>
      <c r="AI60" s="209"/>
      <c r="AJ60" s="205"/>
      <c r="AK60" s="205">
        <f t="shared" si="506"/>
        <v>0</v>
      </c>
      <c r="AL60" s="205" t="e">
        <f>SUM(#REF!,M60,U60,AC60,AD60:AH60)</f>
        <v>#REF!</v>
      </c>
      <c r="AM60" s="120"/>
      <c r="AN60" s="120"/>
      <c r="AO60" s="120"/>
      <c r="AP60" s="120"/>
      <c r="AQ60" s="120"/>
      <c r="AR60" s="209"/>
      <c r="AS60" s="205"/>
      <c r="AT60" s="205">
        <f t="shared" si="507"/>
        <v>0</v>
      </c>
      <c r="AU60" s="120"/>
      <c r="AV60" s="120"/>
      <c r="AW60" s="120"/>
      <c r="AX60" s="120"/>
      <c r="AY60" s="120"/>
      <c r="AZ60" s="209"/>
      <c r="BA60" s="205"/>
      <c r="BB60" s="205">
        <f t="shared" si="508"/>
        <v>0</v>
      </c>
      <c r="BC60" s="120"/>
      <c r="BD60" s="120"/>
      <c r="BE60" s="120"/>
      <c r="BF60" s="120"/>
      <c r="BG60" s="120"/>
      <c r="BH60" s="209"/>
      <c r="BI60" s="205"/>
      <c r="BJ60" s="205">
        <f t="shared" si="509"/>
        <v>0</v>
      </c>
      <c r="BK60" s="120"/>
      <c r="BL60" s="120"/>
      <c r="BM60" s="120"/>
      <c r="BN60" s="120"/>
      <c r="BO60" s="205"/>
      <c r="BP60" s="209"/>
      <c r="BQ60" s="205"/>
      <c r="BR60" s="205">
        <f t="shared" si="248"/>
        <v>0</v>
      </c>
      <c r="BS60" s="205">
        <f t="shared" si="129"/>
        <v>0</v>
      </c>
      <c r="BT60" s="120"/>
      <c r="BU60" s="120"/>
      <c r="BV60" s="120"/>
      <c r="BW60" s="120"/>
      <c r="BX60" s="120"/>
      <c r="BY60" s="209"/>
      <c r="BZ60" s="205"/>
      <c r="CA60" s="205">
        <f t="shared" si="510"/>
        <v>0</v>
      </c>
      <c r="CB60" s="120"/>
      <c r="CC60" s="120"/>
      <c r="CD60" s="120"/>
      <c r="CE60" s="120"/>
      <c r="CF60" s="120"/>
      <c r="CG60" s="209"/>
      <c r="CH60" s="205"/>
      <c r="CI60" s="205">
        <f t="shared" si="511"/>
        <v>0</v>
      </c>
      <c r="CJ60" s="120"/>
      <c r="CK60" s="120"/>
      <c r="CL60" s="120"/>
      <c r="CM60" s="120"/>
      <c r="CN60" s="120"/>
      <c r="CO60" s="209"/>
      <c r="CP60" s="205"/>
      <c r="CQ60" s="205">
        <f t="shared" si="512"/>
        <v>0</v>
      </c>
      <c r="CR60" s="120"/>
      <c r="CS60" s="120"/>
      <c r="CT60" s="120"/>
      <c r="CU60" s="120"/>
      <c r="CV60" s="120"/>
      <c r="CW60" s="209"/>
      <c r="CX60" s="205"/>
      <c r="CY60" s="205">
        <f t="shared" si="513"/>
        <v>0</v>
      </c>
      <c r="CZ60" s="120"/>
      <c r="DA60" s="120"/>
      <c r="DB60" s="120"/>
      <c r="DC60" s="205"/>
      <c r="DD60" s="205"/>
      <c r="DE60" s="209"/>
      <c r="DF60" s="205"/>
      <c r="DG60" s="205">
        <f t="shared" si="514"/>
        <v>0</v>
      </c>
      <c r="DH60" s="205">
        <f t="shared" si="150"/>
        <v>0</v>
      </c>
      <c r="DI60" s="120"/>
      <c r="DJ60" s="120"/>
      <c r="DK60" s="120"/>
      <c r="DL60" s="120"/>
      <c r="DM60" s="120"/>
      <c r="DN60" s="209"/>
      <c r="DO60" s="205"/>
      <c r="DP60" s="205">
        <f t="shared" si="228"/>
        <v>0</v>
      </c>
      <c r="DQ60" s="120"/>
      <c r="DR60" s="120"/>
      <c r="DS60" s="120"/>
      <c r="DT60" s="120"/>
      <c r="DU60" s="120"/>
      <c r="DV60" s="209"/>
      <c r="DW60" s="205"/>
      <c r="DX60" s="205">
        <f t="shared" si="136"/>
        <v>0</v>
      </c>
      <c r="DY60" s="120"/>
      <c r="DZ60" s="120"/>
      <c r="EA60" s="120"/>
      <c r="EB60" s="120"/>
      <c r="EC60" s="120"/>
      <c r="ED60" s="209"/>
      <c r="EE60" s="205"/>
      <c r="EF60" s="205">
        <f t="shared" si="137"/>
        <v>0</v>
      </c>
      <c r="EG60" s="120"/>
      <c r="EH60" s="120"/>
      <c r="EI60" s="120"/>
      <c r="EJ60" s="205"/>
      <c r="EK60" s="205"/>
      <c r="EL60" s="209"/>
      <c r="EM60" s="205"/>
      <c r="EN60" s="205">
        <f t="shared" si="138"/>
        <v>0</v>
      </c>
      <c r="EO60" s="205">
        <f t="shared" si="151"/>
        <v>0</v>
      </c>
      <c r="EP60" s="120"/>
      <c r="EQ60" s="120"/>
      <c r="ER60" s="120"/>
      <c r="ES60" s="120"/>
      <c r="ET60" s="120"/>
      <c r="EU60" s="209"/>
      <c r="EV60" s="205"/>
      <c r="EW60" s="205">
        <f t="shared" si="139"/>
        <v>0</v>
      </c>
      <c r="EX60" s="120"/>
      <c r="EY60" s="120"/>
      <c r="EZ60" s="120"/>
      <c r="FA60" s="120"/>
      <c r="FB60" s="120"/>
      <c r="FC60" s="209"/>
      <c r="FD60" s="205"/>
      <c r="FE60" s="205">
        <f t="shared" si="140"/>
        <v>0</v>
      </c>
      <c r="FF60" s="120"/>
      <c r="FG60" s="120"/>
      <c r="FH60" s="120"/>
      <c r="FI60" s="120"/>
      <c r="FJ60" s="120"/>
      <c r="FK60" s="209"/>
      <c r="FL60" s="205"/>
      <c r="FM60" s="205">
        <f t="shared" si="141"/>
        <v>0</v>
      </c>
      <c r="FN60" s="120"/>
      <c r="FO60" s="120"/>
      <c r="FP60" s="120"/>
      <c r="FQ60" s="120"/>
      <c r="FR60" s="205"/>
      <c r="FS60" s="209"/>
      <c r="FT60" s="205"/>
      <c r="FU60" s="205">
        <f t="shared" si="142"/>
        <v>0</v>
      </c>
      <c r="FV60" s="205">
        <f t="shared" si="152"/>
        <v>0</v>
      </c>
      <c r="FW60" s="120"/>
      <c r="FX60" s="120"/>
      <c r="FY60" s="120"/>
      <c r="FZ60" s="120"/>
      <c r="GA60" s="120"/>
      <c r="GB60" s="209"/>
      <c r="GC60" s="205"/>
      <c r="GD60" s="205">
        <f t="shared" si="143"/>
        <v>0</v>
      </c>
      <c r="GE60" s="120"/>
      <c r="GF60" s="120"/>
      <c r="GG60" s="120"/>
      <c r="GH60" s="120"/>
      <c r="GI60" s="120"/>
      <c r="GJ60" s="209"/>
      <c r="GK60" s="205"/>
      <c r="GL60" s="205">
        <f t="shared" si="144"/>
        <v>0</v>
      </c>
      <c r="GM60" s="120"/>
      <c r="GN60" s="120"/>
      <c r="GO60" s="120"/>
      <c r="GP60" s="120"/>
      <c r="GQ60" s="120"/>
      <c r="GR60" s="209"/>
      <c r="GS60" s="205"/>
      <c r="GT60" s="205">
        <f t="shared" si="145"/>
        <v>0</v>
      </c>
      <c r="GU60" s="120"/>
      <c r="GV60" s="120"/>
      <c r="GW60" s="120"/>
      <c r="GX60" s="120"/>
      <c r="GY60" s="120"/>
      <c r="GZ60" s="209"/>
      <c r="HA60" s="205"/>
      <c r="HB60" s="205">
        <f t="shared" si="146"/>
        <v>0</v>
      </c>
      <c r="HC60" s="120"/>
      <c r="HD60" s="120"/>
      <c r="HE60" s="120"/>
      <c r="HF60" s="120"/>
      <c r="HG60" s="120"/>
      <c r="HH60" s="209"/>
      <c r="HI60" s="205"/>
      <c r="HJ60" s="205">
        <f t="shared" si="147"/>
        <v>0</v>
      </c>
      <c r="HK60" s="205">
        <f t="shared" si="153"/>
        <v>0</v>
      </c>
      <c r="HL60" s="124"/>
      <c r="HM60" s="120"/>
      <c r="HN60" s="120"/>
      <c r="HO60" s="120"/>
      <c r="HP60" s="120"/>
      <c r="HQ60" s="205"/>
      <c r="HR60" s="205"/>
      <c r="HS60" s="205">
        <f t="shared" si="154"/>
        <v>0</v>
      </c>
      <c r="HT60" s="120"/>
      <c r="HU60" s="120"/>
      <c r="HV60" s="120"/>
      <c r="HW60" s="120"/>
      <c r="HX60" s="120"/>
      <c r="HY60" s="205"/>
      <c r="HZ60" s="205"/>
      <c r="IA60" s="205">
        <f t="shared" si="155"/>
        <v>0</v>
      </c>
      <c r="IB60" s="120"/>
      <c r="IC60" s="120"/>
      <c r="ID60" s="120"/>
      <c r="IE60" s="120"/>
      <c r="IF60" s="120"/>
      <c r="IG60" s="205"/>
      <c r="IH60" s="205"/>
      <c r="II60" s="205">
        <f t="shared" si="156"/>
        <v>0</v>
      </c>
      <c r="IJ60" s="120"/>
      <c r="IK60" s="120"/>
      <c r="IL60" s="120"/>
      <c r="IM60" s="120"/>
      <c r="IN60" s="120"/>
      <c r="IO60" s="205"/>
      <c r="IP60" s="205"/>
      <c r="IQ60" s="205">
        <f t="shared" si="157"/>
        <v>0</v>
      </c>
      <c r="IR60" s="205">
        <f t="shared" si="515"/>
        <v>0</v>
      </c>
      <c r="IS60" s="120"/>
      <c r="IT60" s="120"/>
      <c r="IU60" s="120"/>
      <c r="IV60" s="120"/>
      <c r="IW60" s="120"/>
      <c r="IX60" s="205"/>
      <c r="IY60" s="205"/>
      <c r="IZ60" s="205">
        <f t="shared" si="159"/>
        <v>0</v>
      </c>
      <c r="JA60" s="120"/>
      <c r="JB60" s="120"/>
      <c r="JC60" s="120"/>
      <c r="JD60" s="120"/>
      <c r="JE60" s="217">
        <v>100</v>
      </c>
      <c r="JF60" s="205"/>
      <c r="JG60" s="205"/>
      <c r="JH60" s="205">
        <f t="shared" si="160"/>
        <v>100</v>
      </c>
      <c r="JI60" s="120"/>
      <c r="JJ60" s="120"/>
      <c r="JK60" s="120"/>
      <c r="JL60" s="120"/>
      <c r="JM60" s="120"/>
      <c r="JN60" s="205"/>
      <c r="JO60" s="205"/>
      <c r="JP60" s="205">
        <f t="shared" si="161"/>
        <v>0</v>
      </c>
      <c r="JQ60" s="120"/>
      <c r="JR60" s="120"/>
      <c r="JS60" s="120"/>
      <c r="JT60" s="120"/>
      <c r="JU60" s="120"/>
      <c r="JV60" s="205"/>
      <c r="JW60" s="205"/>
      <c r="JX60" s="205">
        <f t="shared" si="162"/>
        <v>0</v>
      </c>
      <c r="JY60" s="205">
        <f t="shared" si="163"/>
        <v>100</v>
      </c>
      <c r="JZ60" s="120"/>
      <c r="KA60" s="120"/>
      <c r="KB60" s="120"/>
      <c r="KC60" s="120"/>
      <c r="KD60" s="120"/>
      <c r="KE60" s="205"/>
      <c r="KF60" s="205"/>
      <c r="KG60" s="205">
        <f t="shared" si="164"/>
        <v>0</v>
      </c>
      <c r="KH60" s="120"/>
      <c r="KI60" s="120"/>
      <c r="KJ60" s="120"/>
      <c r="KK60" s="120"/>
      <c r="KL60" s="120"/>
      <c r="KM60" s="205"/>
      <c r="KN60" s="205"/>
      <c r="KO60" s="205">
        <f t="shared" si="165"/>
        <v>0</v>
      </c>
      <c r="KP60" s="120"/>
      <c r="KQ60" s="120"/>
      <c r="KR60" s="120"/>
      <c r="KS60" s="120"/>
      <c r="KT60" s="195">
        <v>110</v>
      </c>
      <c r="KU60" s="205"/>
      <c r="KV60" s="205"/>
      <c r="KW60" s="205">
        <f t="shared" si="166"/>
        <v>110</v>
      </c>
      <c r="KX60" s="120"/>
      <c r="KY60" s="120"/>
      <c r="KZ60" s="120"/>
      <c r="LA60" s="120"/>
      <c r="LB60" s="120"/>
      <c r="LC60" s="205"/>
      <c r="LD60" s="205"/>
      <c r="LE60" s="205">
        <f t="shared" si="167"/>
        <v>0</v>
      </c>
      <c r="LF60" s="205"/>
      <c r="LG60" s="120"/>
      <c r="LH60" s="120"/>
      <c r="LI60" s="120"/>
      <c r="LJ60" s="120"/>
      <c r="LK60" s="205"/>
      <c r="LL60" s="205"/>
      <c r="LM60" s="205">
        <f t="shared" si="168"/>
        <v>0</v>
      </c>
      <c r="LN60" s="205">
        <f t="shared" si="169"/>
        <v>110</v>
      </c>
      <c r="LO60" s="205"/>
      <c r="LP60" s="120"/>
      <c r="LQ60" s="120"/>
      <c r="LR60" s="120"/>
      <c r="LS60" s="205"/>
      <c r="LT60" s="205"/>
      <c r="LU60" s="205"/>
      <c r="LV60" s="205">
        <f t="shared" si="170"/>
        <v>0</v>
      </c>
      <c r="LW60" s="120"/>
      <c r="LX60" s="120"/>
      <c r="LY60" s="120"/>
      <c r="LZ60" s="120"/>
      <c r="MA60" s="120"/>
      <c r="MB60" s="205"/>
      <c r="MC60" s="205"/>
      <c r="MD60" s="205">
        <f t="shared" si="171"/>
        <v>0</v>
      </c>
      <c r="ME60" s="120"/>
      <c r="MF60" s="120"/>
      <c r="MG60" s="120"/>
      <c r="MH60" s="120"/>
      <c r="MI60" s="205"/>
      <c r="MJ60" s="205"/>
      <c r="MK60" s="205"/>
      <c r="ML60" s="205">
        <f t="shared" si="172"/>
        <v>0</v>
      </c>
      <c r="MM60" s="120"/>
      <c r="MN60" s="120"/>
      <c r="MO60" s="120"/>
      <c r="MP60" s="120"/>
      <c r="MQ60" s="120"/>
      <c r="MR60" s="205"/>
      <c r="MS60" s="205"/>
      <c r="MT60" s="205">
        <f t="shared" si="173"/>
        <v>0</v>
      </c>
      <c r="MU60" s="205">
        <f t="shared" si="174"/>
        <v>0</v>
      </c>
      <c r="MV60" s="120"/>
      <c r="MW60" s="120"/>
      <c r="MX60" s="120"/>
      <c r="MY60" s="120"/>
      <c r="MZ60" s="217">
        <v>50</v>
      </c>
      <c r="NA60" s="205"/>
      <c r="NB60" s="205"/>
      <c r="NC60" s="205">
        <f t="shared" si="175"/>
        <v>50</v>
      </c>
      <c r="ND60" s="217"/>
      <c r="NE60" s="120"/>
      <c r="NF60" s="120"/>
      <c r="NG60" s="120"/>
      <c r="NH60" s="120"/>
      <c r="NI60" s="205"/>
      <c r="NJ60" s="205"/>
      <c r="NK60" s="205">
        <f t="shared" si="176"/>
        <v>0</v>
      </c>
      <c r="NL60" s="120"/>
      <c r="NM60" s="120"/>
      <c r="NN60" s="120"/>
      <c r="NO60" s="120"/>
      <c r="NP60" s="120"/>
      <c r="NQ60" s="205"/>
      <c r="NR60" s="205"/>
      <c r="NS60" s="205">
        <f t="shared" si="177"/>
        <v>0</v>
      </c>
      <c r="NT60" s="120"/>
      <c r="NU60" s="120"/>
      <c r="NV60" s="120"/>
      <c r="NW60" s="120"/>
      <c r="NX60" s="120"/>
      <c r="NY60" s="205"/>
      <c r="NZ60" s="205"/>
      <c r="OA60" s="205">
        <f t="shared" si="178"/>
        <v>0</v>
      </c>
      <c r="OB60" s="205">
        <f t="shared" si="179"/>
        <v>50</v>
      </c>
      <c r="OC60" s="120"/>
      <c r="OD60" s="120"/>
      <c r="OE60" s="120"/>
      <c r="OF60" s="120"/>
      <c r="OG60" s="120"/>
      <c r="OH60" s="205"/>
      <c r="OI60" s="205"/>
      <c r="OJ60" s="205">
        <f t="shared" si="180"/>
        <v>0</v>
      </c>
      <c r="OK60" s="120"/>
      <c r="OL60" s="120"/>
      <c r="OM60" s="120"/>
      <c r="ON60" s="120"/>
      <c r="OO60" s="120"/>
      <c r="OP60" s="205"/>
      <c r="OQ60" s="205"/>
      <c r="OR60" s="205">
        <f t="shared" si="181"/>
        <v>0</v>
      </c>
      <c r="OS60" s="120"/>
      <c r="OT60" s="120"/>
      <c r="OU60" s="120"/>
      <c r="OV60" s="120"/>
      <c r="OW60" s="124">
        <v>50</v>
      </c>
      <c r="OX60" s="205"/>
      <c r="OY60" s="205"/>
      <c r="OZ60" s="205">
        <f t="shared" si="182"/>
        <v>50</v>
      </c>
      <c r="PA60" s="124"/>
      <c r="PB60" s="120"/>
      <c r="PC60" s="120"/>
      <c r="PD60" s="205"/>
      <c r="PE60" s="217"/>
      <c r="PF60" s="205"/>
      <c r="PG60" s="205"/>
      <c r="PH60" s="205">
        <f t="shared" si="183"/>
        <v>0</v>
      </c>
      <c r="PI60" s="120"/>
      <c r="PJ60" s="120"/>
      <c r="PK60" s="120"/>
      <c r="PL60" s="205"/>
      <c r="PM60" s="217"/>
      <c r="PN60" s="205"/>
      <c r="PO60" s="205"/>
      <c r="PP60" s="205">
        <f t="shared" si="184"/>
        <v>0</v>
      </c>
      <c r="PQ60" s="205">
        <f t="shared" si="185"/>
        <v>50</v>
      </c>
      <c r="PR60" s="207"/>
      <c r="PS60" s="207"/>
      <c r="PT60" s="207"/>
      <c r="PU60" s="207"/>
      <c r="PV60" s="195">
        <v>50</v>
      </c>
      <c r="PW60" s="272"/>
      <c r="PX60" s="272"/>
      <c r="PY60" s="205">
        <f t="shared" si="186"/>
        <v>50</v>
      </c>
      <c r="PZ60" s="300"/>
      <c r="QA60" s="207"/>
      <c r="QB60" s="207"/>
      <c r="QC60" s="207"/>
      <c r="QD60" s="207"/>
      <c r="QE60" s="272"/>
      <c r="QF60" s="272"/>
      <c r="QG60" s="205">
        <f t="shared" si="187"/>
        <v>0</v>
      </c>
      <c r="QH60" s="207"/>
      <c r="QI60" s="207"/>
      <c r="QJ60" s="294"/>
      <c r="QK60" s="207"/>
      <c r="QL60" s="207"/>
      <c r="QM60" s="272"/>
      <c r="QN60" s="272"/>
      <c r="QO60" s="205">
        <f t="shared" si="188"/>
        <v>0</v>
      </c>
      <c r="QP60" s="207"/>
      <c r="QQ60" s="207"/>
      <c r="QR60" s="207"/>
      <c r="QS60" s="207"/>
      <c r="QT60" s="207"/>
      <c r="QU60" s="272"/>
      <c r="QV60" s="272"/>
      <c r="QW60" s="205">
        <f t="shared" si="320"/>
        <v>0</v>
      </c>
      <c r="QX60" s="205">
        <f t="shared" si="190"/>
        <v>50</v>
      </c>
      <c r="QY60" s="207"/>
      <c r="QZ60" s="207"/>
      <c r="RA60" s="207"/>
      <c r="RB60" s="207"/>
      <c r="RC60" s="207"/>
      <c r="RD60" s="272"/>
      <c r="RE60" s="272"/>
      <c r="RF60" s="205">
        <f t="shared" si="191"/>
        <v>0</v>
      </c>
      <c r="RG60" s="207"/>
      <c r="RH60" s="195">
        <v>210</v>
      </c>
      <c r="RI60" s="207"/>
      <c r="RJ60" s="120"/>
      <c r="RK60" s="195"/>
      <c r="RL60" s="272"/>
      <c r="RM60" s="272"/>
      <c r="RN60" s="205">
        <f t="shared" si="192"/>
        <v>210</v>
      </c>
      <c r="RO60" s="272"/>
      <c r="RP60" s="272"/>
      <c r="RQ60" s="272"/>
      <c r="RR60" s="272"/>
      <c r="RS60" s="272"/>
      <c r="RT60" s="272"/>
      <c r="RU60" s="272"/>
      <c r="RV60" s="205">
        <f t="shared" si="193"/>
        <v>0</v>
      </c>
      <c r="RW60" s="120"/>
      <c r="RX60" s="120"/>
      <c r="RY60" s="120"/>
      <c r="RZ60" s="120"/>
      <c r="SA60" s="272"/>
      <c r="SB60" s="272"/>
      <c r="SC60" s="272"/>
      <c r="SD60" s="205">
        <f t="shared" si="194"/>
        <v>0</v>
      </c>
      <c r="SE60" s="205">
        <f t="shared" si="195"/>
        <v>210</v>
      </c>
      <c r="SF60" s="207"/>
      <c r="SG60" s="207"/>
      <c r="SH60" s="207"/>
      <c r="SI60" s="207"/>
      <c r="SJ60" s="207"/>
      <c r="SK60" s="272"/>
      <c r="SL60" s="272"/>
      <c r="SM60" s="205">
        <f t="shared" si="196"/>
        <v>0</v>
      </c>
      <c r="SN60" s="207"/>
      <c r="SO60" s="207"/>
      <c r="SP60" s="207"/>
      <c r="SQ60" s="207"/>
      <c r="SR60" s="207"/>
      <c r="SS60" s="272"/>
      <c r="ST60" s="272"/>
      <c r="SU60" s="205">
        <f t="shared" si="197"/>
        <v>0</v>
      </c>
      <c r="SV60" s="207"/>
      <c r="SW60" s="207"/>
      <c r="SX60" s="207"/>
      <c r="SY60" s="207"/>
      <c r="SZ60" s="207"/>
      <c r="TA60" s="272"/>
      <c r="TB60" s="272"/>
      <c r="TC60" s="205">
        <f t="shared" si="198"/>
        <v>0</v>
      </c>
      <c r="TD60" s="207"/>
      <c r="TE60" s="207"/>
      <c r="TF60" s="207"/>
      <c r="TG60" s="207"/>
      <c r="TH60" s="207"/>
      <c r="TI60" s="272"/>
      <c r="TJ60" s="272"/>
      <c r="TK60" s="205">
        <f t="shared" si="199"/>
        <v>0</v>
      </c>
      <c r="TL60" s="207"/>
      <c r="TM60" s="207"/>
      <c r="TN60" s="207"/>
      <c r="TO60" s="207"/>
      <c r="TP60" s="272"/>
      <c r="TQ60" s="272"/>
      <c r="TR60" s="272"/>
      <c r="TS60" s="205">
        <f t="shared" si="200"/>
        <v>0</v>
      </c>
      <c r="TT60" s="205">
        <f t="shared" si="201"/>
        <v>0</v>
      </c>
      <c r="TU60" s="272"/>
      <c r="TV60" s="207"/>
      <c r="TW60" s="207"/>
      <c r="TX60" s="207"/>
      <c r="TY60" s="207"/>
      <c r="TZ60" s="272"/>
      <c r="UA60" s="272"/>
      <c r="UB60" s="205">
        <f t="shared" si="202"/>
        <v>0</v>
      </c>
      <c r="UC60" s="207"/>
      <c r="UD60" s="207"/>
      <c r="UE60" s="207"/>
      <c r="UF60" s="207"/>
      <c r="UG60" s="207"/>
      <c r="UH60" s="272"/>
      <c r="UI60" s="272"/>
      <c r="UJ60" s="205">
        <f t="shared" si="203"/>
        <v>0</v>
      </c>
      <c r="UK60" s="207"/>
      <c r="UL60" s="207"/>
      <c r="UM60" s="207"/>
      <c r="UN60" s="120"/>
      <c r="UO60" s="207"/>
      <c r="UP60" s="272"/>
      <c r="UQ60" s="272"/>
      <c r="UR60" s="205">
        <f t="shared" si="227"/>
        <v>0</v>
      </c>
      <c r="US60" s="207"/>
      <c r="UT60" s="207"/>
      <c r="UU60" s="207"/>
      <c r="UV60" s="207"/>
      <c r="UW60" s="272"/>
      <c r="UX60" s="272"/>
      <c r="UY60" s="272"/>
      <c r="UZ60" s="205">
        <f t="shared" si="204"/>
        <v>0</v>
      </c>
      <c r="VA60" s="205">
        <f t="shared" si="205"/>
        <v>0</v>
      </c>
      <c r="VB60" s="207"/>
      <c r="VC60" s="207"/>
      <c r="VD60" s="120"/>
      <c r="VE60" s="207"/>
      <c r="VF60" s="201">
        <v>180</v>
      </c>
      <c r="VG60" s="272"/>
      <c r="VH60" s="272"/>
      <c r="VI60" s="205">
        <f t="shared" si="206"/>
        <v>180</v>
      </c>
      <c r="VJ60" s="304"/>
      <c r="VK60" s="207"/>
      <c r="VL60" s="207"/>
      <c r="VM60" s="207"/>
      <c r="VN60" s="207"/>
      <c r="VO60" s="272"/>
      <c r="VP60" s="272"/>
      <c r="VQ60" s="205">
        <f t="shared" si="207"/>
        <v>0</v>
      </c>
      <c r="VR60" s="207"/>
      <c r="VS60" s="207"/>
      <c r="VT60" s="207"/>
      <c r="VU60" s="207"/>
      <c r="VV60" s="207"/>
      <c r="VW60" s="272"/>
      <c r="VX60" s="272"/>
      <c r="VY60" s="205">
        <f t="shared" si="208"/>
        <v>0</v>
      </c>
      <c r="VZ60" s="207"/>
      <c r="WA60" s="207"/>
      <c r="WB60" s="207"/>
      <c r="WC60" s="207"/>
      <c r="WD60" s="207"/>
      <c r="WE60" s="272"/>
      <c r="WF60" s="272"/>
      <c r="WG60" s="205">
        <f t="shared" si="209"/>
        <v>0</v>
      </c>
      <c r="WH60" s="205">
        <f t="shared" si="210"/>
        <v>180</v>
      </c>
      <c r="WI60" s="207"/>
      <c r="WJ60" s="207"/>
      <c r="WK60" s="207"/>
      <c r="WL60" s="207"/>
      <c r="WM60" s="207"/>
      <c r="WN60" s="272"/>
      <c r="WO60" s="272"/>
      <c r="WP60" s="205">
        <f t="shared" si="211"/>
        <v>0</v>
      </c>
      <c r="WQ60" s="207"/>
      <c r="WR60" s="207"/>
      <c r="WS60" s="207"/>
      <c r="WT60" s="207"/>
      <c r="WU60" s="207"/>
      <c r="WV60" s="272"/>
      <c r="WW60" s="272"/>
      <c r="WX60" s="205">
        <f t="shared" si="212"/>
        <v>0</v>
      </c>
      <c r="WY60" s="207"/>
      <c r="WZ60" s="207"/>
      <c r="XA60" s="207"/>
      <c r="XB60" s="207"/>
      <c r="XC60" s="272"/>
      <c r="XD60" s="272"/>
      <c r="XE60" s="272"/>
      <c r="XF60" s="205">
        <f t="shared" si="213"/>
        <v>0</v>
      </c>
      <c r="XG60" s="207"/>
      <c r="XH60" s="207"/>
      <c r="XI60" s="207"/>
      <c r="XJ60" s="207"/>
      <c r="XK60" s="207"/>
      <c r="XL60" s="272"/>
      <c r="XM60" s="272"/>
      <c r="XN60" s="205">
        <f t="shared" si="214"/>
        <v>0</v>
      </c>
      <c r="XO60" s="207"/>
      <c r="XP60" s="207"/>
      <c r="XQ60" s="207"/>
      <c r="XR60" s="207"/>
      <c r="XS60" s="207"/>
      <c r="XT60" s="272"/>
      <c r="XU60" s="272"/>
      <c r="XV60" s="205">
        <f t="shared" si="215"/>
        <v>0</v>
      </c>
      <c r="XW60" s="205">
        <f t="shared" si="216"/>
        <v>0</v>
      </c>
      <c r="XX60" s="207"/>
      <c r="XY60" s="207"/>
      <c r="XZ60" s="207"/>
      <c r="YA60" s="207"/>
      <c r="YB60" s="207"/>
      <c r="YC60" s="272"/>
      <c r="YD60" s="272"/>
      <c r="YE60" s="205">
        <f t="shared" si="217"/>
        <v>0</v>
      </c>
      <c r="YF60" s="207"/>
      <c r="YG60" s="207"/>
      <c r="YH60" s="207"/>
      <c r="YI60" s="207"/>
      <c r="YJ60" s="124">
        <v>170</v>
      </c>
      <c r="YK60" s="272"/>
      <c r="YL60" s="272"/>
      <c r="YM60" s="205">
        <f t="shared" si="218"/>
        <v>170</v>
      </c>
      <c r="YN60" s="306"/>
      <c r="YO60" s="207"/>
      <c r="YP60" s="207"/>
      <c r="YQ60" s="207"/>
      <c r="YR60" s="207"/>
      <c r="YS60" s="272"/>
      <c r="YT60" s="272"/>
      <c r="YU60" s="205">
        <f t="shared" si="148"/>
        <v>0</v>
      </c>
      <c r="YV60" s="207"/>
      <c r="YW60" s="207"/>
      <c r="YX60" s="207"/>
      <c r="YY60" s="207"/>
      <c r="YZ60" s="207"/>
      <c r="ZA60" s="272"/>
      <c r="ZB60" s="272"/>
      <c r="ZC60" s="205">
        <f t="shared" si="219"/>
        <v>0</v>
      </c>
      <c r="ZD60" s="205">
        <f t="shared" si="516"/>
        <v>170</v>
      </c>
      <c r="ZE60" s="207"/>
      <c r="ZF60" s="207"/>
      <c r="ZG60" s="207"/>
      <c r="ZH60" s="207"/>
      <c r="ZI60" s="207"/>
      <c r="ZJ60" s="272"/>
      <c r="ZK60" s="272"/>
      <c r="ZL60" s="205">
        <f t="shared" si="220"/>
        <v>0</v>
      </c>
      <c r="ZM60" s="207"/>
      <c r="ZN60" s="207"/>
      <c r="ZO60" s="207"/>
      <c r="ZP60" s="207"/>
      <c r="ZQ60" s="207"/>
      <c r="ZR60" s="272"/>
      <c r="ZS60" s="272"/>
      <c r="ZT60" s="205">
        <f t="shared" si="221"/>
        <v>0</v>
      </c>
      <c r="ZU60" s="207"/>
      <c r="ZV60" s="207"/>
      <c r="ZW60" s="207"/>
      <c r="ZX60" s="207"/>
      <c r="ZY60" s="207"/>
      <c r="ZZ60" s="272"/>
      <c r="AAA60" s="272"/>
      <c r="AAB60" s="205">
        <f t="shared" si="222"/>
        <v>0</v>
      </c>
      <c r="AAC60" s="207"/>
      <c r="AAD60" s="207"/>
      <c r="AAE60" s="207"/>
      <c r="AAF60" s="207"/>
      <c r="AAG60" s="207"/>
      <c r="AAH60" s="272"/>
      <c r="AAI60" s="272"/>
      <c r="AAJ60" s="205">
        <f t="shared" si="223"/>
        <v>0</v>
      </c>
      <c r="AAK60" s="207"/>
      <c r="AAL60" s="207"/>
      <c r="AAM60" s="207"/>
      <c r="AAN60" s="207"/>
      <c r="AAO60" s="207"/>
      <c r="AAP60" s="272"/>
      <c r="AAQ60" s="272"/>
      <c r="AAR60" s="205">
        <f t="shared" si="224"/>
        <v>0</v>
      </c>
      <c r="AAS60" s="205">
        <f t="shared" si="225"/>
        <v>0</v>
      </c>
    </row>
    <row r="61" spans="1:721" ht="69.95" customHeight="1">
      <c r="A61" s="117" t="s">
        <v>6</v>
      </c>
      <c r="B61" s="166">
        <v>3630101503</v>
      </c>
      <c r="C61" s="332"/>
      <c r="D61" s="163" t="s">
        <v>44</v>
      </c>
      <c r="E61" s="130" t="s">
        <v>4</v>
      </c>
      <c r="F61" s="120"/>
      <c r="G61" s="120"/>
      <c r="H61" s="120"/>
      <c r="I61" s="120"/>
      <c r="J61" s="120"/>
      <c r="K61" s="209"/>
      <c r="L61" s="205"/>
      <c r="M61" s="205">
        <f t="shared" si="303"/>
        <v>0</v>
      </c>
      <c r="N61" s="120"/>
      <c r="O61" s="120"/>
      <c r="P61" s="124">
        <v>1000</v>
      </c>
      <c r="Q61" s="120"/>
      <c r="R61" s="120"/>
      <c r="S61" s="209"/>
      <c r="T61" s="205"/>
      <c r="U61" s="205">
        <f t="shared" si="304"/>
        <v>1000</v>
      </c>
      <c r="V61" s="120"/>
      <c r="W61" s="120"/>
      <c r="X61" s="120"/>
      <c r="Y61" s="120"/>
      <c r="Z61" s="120"/>
      <c r="AA61" s="209"/>
      <c r="AB61" s="205"/>
      <c r="AC61" s="205">
        <f t="shared" si="305"/>
        <v>0</v>
      </c>
      <c r="AD61" s="205"/>
      <c r="AE61" s="205"/>
      <c r="AF61" s="205"/>
      <c r="AG61" s="205"/>
      <c r="AH61" s="205"/>
      <c r="AI61" s="209"/>
      <c r="AJ61" s="205"/>
      <c r="AK61" s="205">
        <f t="shared" si="306"/>
        <v>0</v>
      </c>
      <c r="AL61" s="205" t="e">
        <f>SUM(#REF!,M61,U61,AC61,AD61:AH61)</f>
        <v>#REF!</v>
      </c>
      <c r="AM61" s="120"/>
      <c r="AN61" s="120"/>
      <c r="AO61" s="120"/>
      <c r="AP61" s="120"/>
      <c r="AQ61" s="120"/>
      <c r="AR61" s="209"/>
      <c r="AS61" s="205"/>
      <c r="AT61" s="205">
        <f t="shared" si="245"/>
        <v>0</v>
      </c>
      <c r="AU61" s="201">
        <v>1000</v>
      </c>
      <c r="AV61" s="120"/>
      <c r="AW61" s="120"/>
      <c r="AX61" s="120"/>
      <c r="AY61" s="120"/>
      <c r="AZ61" s="209"/>
      <c r="BA61" s="205"/>
      <c r="BB61" s="205">
        <f t="shared" si="246"/>
        <v>1000</v>
      </c>
      <c r="BC61" s="207"/>
      <c r="BD61" s="120"/>
      <c r="BE61" s="120"/>
      <c r="BF61" s="120"/>
      <c r="BG61" s="120"/>
      <c r="BH61" s="209"/>
      <c r="BI61" s="205"/>
      <c r="BJ61" s="205">
        <f t="shared" ref="BJ61:BJ79" si="517">SUM(BD61:BI61)</f>
        <v>0</v>
      </c>
      <c r="BK61" s="120"/>
      <c r="BL61" s="120"/>
      <c r="BM61" s="120"/>
      <c r="BN61" s="120"/>
      <c r="BO61" s="205"/>
      <c r="BP61" s="209"/>
      <c r="BQ61" s="205"/>
      <c r="BR61" s="205">
        <f t="shared" si="248"/>
        <v>0</v>
      </c>
      <c r="BS61" s="205">
        <f t="shared" si="129"/>
        <v>1000</v>
      </c>
      <c r="BT61" s="120"/>
      <c r="BU61" s="120"/>
      <c r="BV61" s="250">
        <v>1000</v>
      </c>
      <c r="BW61" s="120"/>
      <c r="BX61" s="120"/>
      <c r="BY61" s="209"/>
      <c r="BZ61" s="205"/>
      <c r="CA61" s="205">
        <f t="shared" si="250"/>
        <v>1000</v>
      </c>
      <c r="CB61" s="120"/>
      <c r="CC61" s="120"/>
      <c r="CD61" s="120"/>
      <c r="CE61" s="120"/>
      <c r="CF61" s="120"/>
      <c r="CG61" s="209"/>
      <c r="CH61" s="205"/>
      <c r="CI61" s="205">
        <f t="shared" si="251"/>
        <v>0</v>
      </c>
      <c r="CJ61" s="120"/>
      <c r="CK61" s="120"/>
      <c r="CL61" s="120"/>
      <c r="CM61" s="120"/>
      <c r="CN61" s="120"/>
      <c r="CO61" s="209"/>
      <c r="CP61" s="205"/>
      <c r="CQ61" s="205">
        <f t="shared" si="252"/>
        <v>0</v>
      </c>
      <c r="CR61" s="120"/>
      <c r="CS61" s="120"/>
      <c r="CT61" s="120"/>
      <c r="CU61" s="120"/>
      <c r="CV61" s="120"/>
      <c r="CW61" s="209"/>
      <c r="CX61" s="205"/>
      <c r="CY61" s="205">
        <f t="shared" si="253"/>
        <v>0</v>
      </c>
      <c r="CZ61" s="120"/>
      <c r="DA61" s="120"/>
      <c r="DB61" s="120"/>
      <c r="DC61" s="205"/>
      <c r="DD61" s="205"/>
      <c r="DE61" s="209"/>
      <c r="DF61" s="205"/>
      <c r="DG61" s="205">
        <f t="shared" si="254"/>
        <v>0</v>
      </c>
      <c r="DH61" s="205">
        <f t="shared" si="150"/>
        <v>1000</v>
      </c>
      <c r="DI61" s="250">
        <v>1500</v>
      </c>
      <c r="DJ61" s="120"/>
      <c r="DK61" s="120"/>
      <c r="DL61" s="120"/>
      <c r="DM61" s="120"/>
      <c r="DN61" s="209"/>
      <c r="DO61" s="205"/>
      <c r="DP61" s="205">
        <f t="shared" si="228"/>
        <v>1500</v>
      </c>
      <c r="DQ61" s="120"/>
      <c r="DR61" s="120"/>
      <c r="DS61" s="120"/>
      <c r="DT61" s="120"/>
      <c r="DU61" s="120"/>
      <c r="DV61" s="209"/>
      <c r="DW61" s="205"/>
      <c r="DX61" s="205">
        <f t="shared" si="136"/>
        <v>0</v>
      </c>
      <c r="DY61" s="217">
        <v>1000</v>
      </c>
      <c r="DZ61" s="120"/>
      <c r="EA61" s="120"/>
      <c r="EB61" s="120"/>
      <c r="EC61" s="120"/>
      <c r="ED61" s="209"/>
      <c r="EE61" s="205"/>
      <c r="EF61" s="205">
        <f t="shared" si="137"/>
        <v>1000</v>
      </c>
      <c r="EG61" s="120"/>
      <c r="EH61" s="120"/>
      <c r="EI61" s="120"/>
      <c r="EJ61" s="205"/>
      <c r="EK61" s="205"/>
      <c r="EL61" s="209"/>
      <c r="EM61" s="205"/>
      <c r="EN61" s="205">
        <f t="shared" si="138"/>
        <v>0</v>
      </c>
      <c r="EO61" s="205">
        <f t="shared" si="151"/>
        <v>2500</v>
      </c>
      <c r="EP61" s="120"/>
      <c r="EQ61" s="120"/>
      <c r="ER61" s="120"/>
      <c r="ES61" s="120"/>
      <c r="ET61" s="120"/>
      <c r="EU61" s="209"/>
      <c r="EV61" s="205"/>
      <c r="EW61" s="205">
        <f t="shared" si="139"/>
        <v>0</v>
      </c>
      <c r="EX61" s="120"/>
      <c r="EY61" s="120"/>
      <c r="EZ61" s="120"/>
      <c r="FA61" s="120"/>
      <c r="FB61" s="120"/>
      <c r="FC61" s="209"/>
      <c r="FD61" s="205"/>
      <c r="FE61" s="205">
        <f t="shared" si="140"/>
        <v>0</v>
      </c>
      <c r="FF61" s="120"/>
      <c r="FG61" s="120"/>
      <c r="FH61" s="120"/>
      <c r="FI61" s="120"/>
      <c r="FJ61" s="120"/>
      <c r="FK61" s="209"/>
      <c r="FL61" s="205"/>
      <c r="FM61" s="205">
        <f t="shared" si="141"/>
        <v>0</v>
      </c>
      <c r="FN61" s="124">
        <v>1500</v>
      </c>
      <c r="FO61" s="120"/>
      <c r="FP61" s="207"/>
      <c r="FQ61" s="120"/>
      <c r="FR61" s="205"/>
      <c r="FS61" s="209"/>
      <c r="FT61" s="205"/>
      <c r="FU61" s="205">
        <f t="shared" si="142"/>
        <v>1500</v>
      </c>
      <c r="FV61" s="205">
        <f t="shared" si="152"/>
        <v>1500</v>
      </c>
      <c r="FW61" s="120"/>
      <c r="FX61" s="120"/>
      <c r="FY61" s="120"/>
      <c r="FZ61" s="120"/>
      <c r="GA61" s="120"/>
      <c r="GB61" s="209"/>
      <c r="GC61" s="205"/>
      <c r="GD61" s="205">
        <f t="shared" si="143"/>
        <v>0</v>
      </c>
      <c r="GE61" s="120" t="s">
        <v>216</v>
      </c>
      <c r="GF61" s="120"/>
      <c r="GG61" s="120"/>
      <c r="GH61" s="120"/>
      <c r="GI61" s="120"/>
      <c r="GJ61" s="209"/>
      <c r="GK61" s="205"/>
      <c r="GL61" s="205">
        <f t="shared" si="144"/>
        <v>0</v>
      </c>
      <c r="GM61" s="120"/>
      <c r="GN61" s="120"/>
      <c r="GO61" s="120"/>
      <c r="GP61" s="120"/>
      <c r="GQ61" s="120"/>
      <c r="GR61" s="209"/>
      <c r="GS61" s="205"/>
      <c r="GT61" s="205">
        <f t="shared" si="145"/>
        <v>0</v>
      </c>
      <c r="GU61" s="120"/>
      <c r="GV61" s="120"/>
      <c r="GW61" s="120"/>
      <c r="GX61" s="120"/>
      <c r="GY61" s="120"/>
      <c r="GZ61" s="209"/>
      <c r="HA61" s="205"/>
      <c r="HB61" s="205">
        <f t="shared" si="146"/>
        <v>0</v>
      </c>
      <c r="HC61" s="250">
        <v>1000</v>
      </c>
      <c r="HD61" s="120"/>
      <c r="HE61" s="120"/>
      <c r="HF61" s="120"/>
      <c r="HG61" s="120"/>
      <c r="HH61" s="209"/>
      <c r="HI61" s="205"/>
      <c r="HJ61" s="205">
        <f t="shared" si="147"/>
        <v>1000</v>
      </c>
      <c r="HK61" s="205">
        <f t="shared" si="153"/>
        <v>1000</v>
      </c>
      <c r="HL61" s="124"/>
      <c r="HM61" s="120"/>
      <c r="HN61" s="217">
        <v>1000</v>
      </c>
      <c r="HO61" s="120"/>
      <c r="HP61" s="120"/>
      <c r="HQ61" s="205"/>
      <c r="HR61" s="205"/>
      <c r="HS61" s="205">
        <f t="shared" si="154"/>
        <v>1000</v>
      </c>
      <c r="HT61" s="120"/>
      <c r="HU61" s="120"/>
      <c r="HV61" s="120"/>
      <c r="HW61" s="120"/>
      <c r="HX61" s="120"/>
      <c r="HY61" s="205"/>
      <c r="HZ61" s="205"/>
      <c r="IA61" s="205">
        <f t="shared" si="155"/>
        <v>0</v>
      </c>
      <c r="IB61" s="120"/>
      <c r="IC61" s="120"/>
      <c r="ID61" s="120"/>
      <c r="IE61" s="120"/>
      <c r="IF61" s="120"/>
      <c r="IG61" s="205"/>
      <c r="IH61" s="205"/>
      <c r="II61" s="205">
        <f t="shared" si="156"/>
        <v>0</v>
      </c>
      <c r="IJ61" s="120"/>
      <c r="IK61" s="120"/>
      <c r="IL61" s="201">
        <v>1000</v>
      </c>
      <c r="IM61" s="120"/>
      <c r="IN61" s="120"/>
      <c r="IO61" s="205"/>
      <c r="IP61" s="205"/>
      <c r="IQ61" s="205">
        <f t="shared" si="157"/>
        <v>1000</v>
      </c>
      <c r="IR61" s="205">
        <f t="shared" si="158"/>
        <v>2000</v>
      </c>
      <c r="IS61" s="120"/>
      <c r="IT61" s="120"/>
      <c r="IU61" s="120"/>
      <c r="IV61" s="120"/>
      <c r="IW61" s="120"/>
      <c r="IX61" s="205"/>
      <c r="IY61" s="205"/>
      <c r="IZ61" s="205">
        <f t="shared" si="159"/>
        <v>0</v>
      </c>
      <c r="JA61" s="120"/>
      <c r="JB61" s="120"/>
      <c r="JC61" s="120"/>
      <c r="JD61" s="120"/>
      <c r="JE61" s="120"/>
      <c r="JF61" s="205"/>
      <c r="JG61" s="205"/>
      <c r="JH61" s="205">
        <f t="shared" si="160"/>
        <v>0</v>
      </c>
      <c r="JI61" s="120"/>
      <c r="JJ61" s="120"/>
      <c r="JK61" s="120"/>
      <c r="JL61" s="120"/>
      <c r="JM61" s="120"/>
      <c r="JN61" s="205"/>
      <c r="JO61" s="205"/>
      <c r="JP61" s="205">
        <f t="shared" si="161"/>
        <v>0</v>
      </c>
      <c r="JQ61" s="120"/>
      <c r="JR61" s="120"/>
      <c r="JS61" s="120"/>
      <c r="JT61" s="120"/>
      <c r="JU61" s="120"/>
      <c r="JV61" s="205"/>
      <c r="JW61" s="205"/>
      <c r="JX61" s="205">
        <f t="shared" si="162"/>
        <v>0</v>
      </c>
      <c r="JY61" s="205">
        <f t="shared" si="163"/>
        <v>0</v>
      </c>
      <c r="JZ61" s="250">
        <v>1550</v>
      </c>
      <c r="KA61" s="120"/>
      <c r="KB61" s="120"/>
      <c r="KC61" s="120"/>
      <c r="KD61" s="120"/>
      <c r="KE61" s="205"/>
      <c r="KF61" s="205"/>
      <c r="KG61" s="205">
        <f t="shared" si="164"/>
        <v>1550</v>
      </c>
      <c r="KH61" s="120"/>
      <c r="KI61" s="120"/>
      <c r="KJ61" s="120"/>
      <c r="KK61" s="120"/>
      <c r="KL61" s="120"/>
      <c r="KM61" s="205"/>
      <c r="KN61" s="205"/>
      <c r="KO61" s="205">
        <f t="shared" si="165"/>
        <v>0</v>
      </c>
      <c r="KP61" s="120"/>
      <c r="KQ61" s="120"/>
      <c r="KR61" s="120"/>
      <c r="KS61" s="120"/>
      <c r="KT61" s="120"/>
      <c r="KU61" s="205"/>
      <c r="KV61" s="205"/>
      <c r="KW61" s="205">
        <f t="shared" si="166"/>
        <v>0</v>
      </c>
      <c r="KX61" s="120"/>
      <c r="KY61" s="120"/>
      <c r="KZ61" s="120"/>
      <c r="LA61" s="120"/>
      <c r="LB61" s="120"/>
      <c r="LC61" s="205"/>
      <c r="LD61" s="205"/>
      <c r="LE61" s="205">
        <f t="shared" si="167"/>
        <v>0</v>
      </c>
      <c r="LF61" s="205"/>
      <c r="LG61" s="120"/>
      <c r="LH61" s="120"/>
      <c r="LI61" s="120"/>
      <c r="LJ61" s="120"/>
      <c r="LK61" s="205"/>
      <c r="LL61" s="205"/>
      <c r="LM61" s="205">
        <f t="shared" si="168"/>
        <v>0</v>
      </c>
      <c r="LN61" s="205">
        <f t="shared" si="169"/>
        <v>1550</v>
      </c>
      <c r="LO61" s="205"/>
      <c r="LP61" s="120"/>
      <c r="LQ61" s="120"/>
      <c r="LR61" s="120"/>
      <c r="LS61" s="205"/>
      <c r="LT61" s="205"/>
      <c r="LU61" s="205"/>
      <c r="LV61" s="205">
        <f t="shared" si="170"/>
        <v>0</v>
      </c>
      <c r="LW61" s="120"/>
      <c r="LX61" s="195">
        <v>850</v>
      </c>
      <c r="LY61" s="120"/>
      <c r="LZ61" s="120"/>
      <c r="MA61" s="120"/>
      <c r="MB61" s="205"/>
      <c r="MC61" s="205"/>
      <c r="MD61" s="205">
        <f t="shared" si="171"/>
        <v>850</v>
      </c>
      <c r="ME61" s="120"/>
      <c r="MF61" s="120"/>
      <c r="MG61" s="120"/>
      <c r="MH61" s="120"/>
      <c r="MI61" s="205"/>
      <c r="MJ61" s="205"/>
      <c r="MK61" s="205"/>
      <c r="ML61" s="205">
        <f t="shared" si="172"/>
        <v>0</v>
      </c>
      <c r="MM61" s="120"/>
      <c r="MN61" s="120"/>
      <c r="MO61" s="120"/>
      <c r="MP61" s="120"/>
      <c r="MQ61" s="120"/>
      <c r="MR61" s="205"/>
      <c r="MS61" s="205"/>
      <c r="MT61" s="205">
        <f t="shared" si="173"/>
        <v>0</v>
      </c>
      <c r="MU61" s="205">
        <f t="shared" si="174"/>
        <v>850</v>
      </c>
      <c r="MV61" s="120"/>
      <c r="MW61" s="120"/>
      <c r="MX61" s="120"/>
      <c r="MY61" s="120"/>
      <c r="MZ61" s="120"/>
      <c r="NA61" s="205"/>
      <c r="NB61" s="205"/>
      <c r="NC61" s="205">
        <f t="shared" si="175"/>
        <v>0</v>
      </c>
      <c r="ND61" s="120"/>
      <c r="NE61" s="120"/>
      <c r="NF61" s="120"/>
      <c r="NG61" s="120"/>
      <c r="NH61" s="120"/>
      <c r="NI61" s="205"/>
      <c r="NJ61" s="205"/>
      <c r="NK61" s="205">
        <f t="shared" si="176"/>
        <v>0</v>
      </c>
      <c r="NL61" s="124">
        <v>950</v>
      </c>
      <c r="NM61" s="120"/>
      <c r="NN61" s="120"/>
      <c r="NO61" s="120"/>
      <c r="NP61" s="120"/>
      <c r="NQ61" s="205"/>
      <c r="NR61" s="205"/>
      <c r="NS61" s="205">
        <f t="shared" si="177"/>
        <v>950</v>
      </c>
      <c r="NT61" s="120"/>
      <c r="NU61" s="120"/>
      <c r="NV61" s="120"/>
      <c r="NW61" s="120"/>
      <c r="NX61" s="120"/>
      <c r="NY61" s="205"/>
      <c r="NZ61" s="205"/>
      <c r="OA61" s="205">
        <f t="shared" si="178"/>
        <v>0</v>
      </c>
      <c r="OB61" s="205">
        <f t="shared" si="179"/>
        <v>950</v>
      </c>
      <c r="OC61" s="217">
        <v>800</v>
      </c>
      <c r="OD61" s="120"/>
      <c r="OE61" s="120"/>
      <c r="OF61" s="120"/>
      <c r="OG61" s="120"/>
      <c r="OH61" s="205"/>
      <c r="OI61" s="205"/>
      <c r="OJ61" s="205">
        <f t="shared" si="180"/>
        <v>800</v>
      </c>
      <c r="OK61" s="120"/>
      <c r="OL61" s="120"/>
      <c r="OM61" s="120"/>
      <c r="ON61" s="120"/>
      <c r="OO61" s="120"/>
      <c r="OP61" s="205"/>
      <c r="OQ61" s="205"/>
      <c r="OR61" s="205">
        <f t="shared" si="181"/>
        <v>0</v>
      </c>
      <c r="OS61" s="120"/>
      <c r="OT61" s="120"/>
      <c r="OU61" s="120"/>
      <c r="OV61" s="120"/>
      <c r="OW61" s="120"/>
      <c r="OX61" s="205"/>
      <c r="OY61" s="205"/>
      <c r="OZ61" s="205">
        <f t="shared" si="182"/>
        <v>0</v>
      </c>
      <c r="PA61" s="120"/>
      <c r="PB61" s="120"/>
      <c r="PC61" s="201">
        <v>1000</v>
      </c>
      <c r="PD61" s="205"/>
      <c r="PE61" s="217"/>
      <c r="PF61" s="205"/>
      <c r="PG61" s="205"/>
      <c r="PH61" s="205">
        <f t="shared" si="183"/>
        <v>1000</v>
      </c>
      <c r="PI61" s="120"/>
      <c r="PJ61" s="120"/>
      <c r="PK61" s="120"/>
      <c r="PL61" s="205"/>
      <c r="PM61" s="217"/>
      <c r="PN61" s="205"/>
      <c r="PO61" s="205"/>
      <c r="PP61" s="205">
        <f t="shared" si="184"/>
        <v>0</v>
      </c>
      <c r="PQ61" s="205">
        <f t="shared" si="185"/>
        <v>1800</v>
      </c>
      <c r="PR61" s="207"/>
      <c r="PS61" s="207"/>
      <c r="PT61" s="206">
        <v>1000</v>
      </c>
      <c r="PU61" s="207"/>
      <c r="PV61" s="207"/>
      <c r="PW61" s="272"/>
      <c r="PX61" s="272"/>
      <c r="PY61" s="205">
        <f t="shared" si="186"/>
        <v>1000</v>
      </c>
      <c r="PZ61" s="207"/>
      <c r="QA61" s="207"/>
      <c r="QB61" s="207"/>
      <c r="QC61" s="207"/>
      <c r="QD61" s="207"/>
      <c r="QE61" s="272"/>
      <c r="QF61" s="272"/>
      <c r="QG61" s="205">
        <f t="shared" si="187"/>
        <v>0</v>
      </c>
      <c r="QH61" s="207"/>
      <c r="QI61" s="207"/>
      <c r="QJ61" s="294"/>
      <c r="QK61" s="207"/>
      <c r="QL61" s="207"/>
      <c r="QM61" s="272"/>
      <c r="QN61" s="272"/>
      <c r="QO61" s="205">
        <f t="shared" si="188"/>
        <v>0</v>
      </c>
      <c r="QP61" s="207"/>
      <c r="QQ61" s="207"/>
      <c r="QR61" s="207"/>
      <c r="QS61" s="207"/>
      <c r="QT61" s="207"/>
      <c r="QU61" s="272"/>
      <c r="QV61" s="272"/>
      <c r="QW61" s="205">
        <f t="shared" si="320"/>
        <v>0</v>
      </c>
      <c r="QX61" s="205">
        <f t="shared" si="190"/>
        <v>1000</v>
      </c>
      <c r="QY61" s="207"/>
      <c r="QZ61" s="207"/>
      <c r="RA61" s="207"/>
      <c r="RB61" s="207"/>
      <c r="RC61" s="207"/>
      <c r="RD61" s="272"/>
      <c r="RE61" s="272"/>
      <c r="RF61" s="205">
        <f t="shared" si="191"/>
        <v>0</v>
      </c>
      <c r="RG61" s="207"/>
      <c r="RH61" s="195">
        <v>600</v>
      </c>
      <c r="RI61" s="207"/>
      <c r="RJ61" s="207"/>
      <c r="RK61" s="207"/>
      <c r="RL61" s="272"/>
      <c r="RM61" s="272"/>
      <c r="RN61" s="205">
        <f t="shared" si="192"/>
        <v>600</v>
      </c>
      <c r="RO61" s="272"/>
      <c r="RP61" s="272"/>
      <c r="RQ61" s="272"/>
      <c r="RR61" s="272"/>
      <c r="RS61" s="272"/>
      <c r="RT61" s="272"/>
      <c r="RU61" s="272"/>
      <c r="RV61" s="205">
        <f t="shared" si="193"/>
        <v>0</v>
      </c>
      <c r="RW61" s="120"/>
      <c r="RX61" s="120"/>
      <c r="RY61" s="120"/>
      <c r="RZ61" s="120"/>
      <c r="SA61" s="272"/>
      <c r="SB61" s="272"/>
      <c r="SC61" s="272"/>
      <c r="SD61" s="205">
        <f t="shared" si="194"/>
        <v>0</v>
      </c>
      <c r="SE61" s="205">
        <f t="shared" si="195"/>
        <v>600</v>
      </c>
      <c r="SF61" s="207"/>
      <c r="SG61" s="120"/>
      <c r="SH61" s="207"/>
      <c r="SI61" s="207"/>
      <c r="SJ61" s="207"/>
      <c r="SK61" s="272"/>
      <c r="SL61" s="272"/>
      <c r="SM61" s="205">
        <f t="shared" si="196"/>
        <v>0</v>
      </c>
      <c r="SN61" s="120"/>
      <c r="SO61" s="195">
        <v>1330</v>
      </c>
      <c r="SP61" s="207"/>
      <c r="SQ61" s="207"/>
      <c r="SR61" s="207"/>
      <c r="SS61" s="272"/>
      <c r="ST61" s="272"/>
      <c r="SU61" s="205">
        <f t="shared" si="197"/>
        <v>1330</v>
      </c>
      <c r="SV61" s="207"/>
      <c r="SW61" s="207"/>
      <c r="SX61" s="207"/>
      <c r="SY61" s="207"/>
      <c r="SZ61" s="207"/>
      <c r="TA61" s="272"/>
      <c r="TB61" s="272"/>
      <c r="TC61" s="205">
        <f t="shared" si="198"/>
        <v>0</v>
      </c>
      <c r="TD61" s="207"/>
      <c r="TE61" s="207"/>
      <c r="TF61" s="207"/>
      <c r="TG61" s="207"/>
      <c r="TH61" s="207"/>
      <c r="TI61" s="272"/>
      <c r="TJ61" s="272"/>
      <c r="TK61" s="205">
        <f t="shared" si="199"/>
        <v>0</v>
      </c>
      <c r="TL61" s="207"/>
      <c r="TM61" s="207"/>
      <c r="TN61" s="207"/>
      <c r="TO61" s="207"/>
      <c r="TP61" s="272"/>
      <c r="TQ61" s="272"/>
      <c r="TR61" s="272"/>
      <c r="TS61" s="205">
        <f t="shared" si="200"/>
        <v>0</v>
      </c>
      <c r="TT61" s="205">
        <f t="shared" si="201"/>
        <v>1330</v>
      </c>
      <c r="TU61" s="272"/>
      <c r="TV61" s="201">
        <v>1260</v>
      </c>
      <c r="TW61" s="207"/>
      <c r="TX61" s="207"/>
      <c r="TY61" s="207"/>
      <c r="TZ61" s="272"/>
      <c r="UA61" s="272"/>
      <c r="UB61" s="205">
        <f t="shared" si="202"/>
        <v>1260</v>
      </c>
      <c r="UC61" s="207"/>
      <c r="UD61" s="207"/>
      <c r="UE61" s="207"/>
      <c r="UF61" s="207"/>
      <c r="UG61" s="207"/>
      <c r="UH61" s="272"/>
      <c r="UI61" s="272"/>
      <c r="UJ61" s="205">
        <f t="shared" si="203"/>
        <v>0</v>
      </c>
      <c r="UK61" s="207"/>
      <c r="UL61" s="207"/>
      <c r="UM61" s="207"/>
      <c r="UN61" s="207"/>
      <c r="UO61" s="207"/>
      <c r="UP61" s="272"/>
      <c r="UQ61" s="272"/>
      <c r="UR61" s="205">
        <f t="shared" si="227"/>
        <v>0</v>
      </c>
      <c r="US61" s="207"/>
      <c r="UT61" s="207"/>
      <c r="UU61" s="207"/>
      <c r="UV61" s="207"/>
      <c r="UW61" s="272"/>
      <c r="UX61" s="272"/>
      <c r="UY61" s="272"/>
      <c r="UZ61" s="205">
        <f t="shared" si="204"/>
        <v>0</v>
      </c>
      <c r="VA61" s="205">
        <f t="shared" si="205"/>
        <v>1260</v>
      </c>
      <c r="VB61" s="207"/>
      <c r="VC61" s="207"/>
      <c r="VD61" s="201">
        <v>260</v>
      </c>
      <c r="VE61" s="207"/>
      <c r="VF61" s="207"/>
      <c r="VG61" s="272"/>
      <c r="VH61" s="272"/>
      <c r="VI61" s="205">
        <f t="shared" si="206"/>
        <v>260</v>
      </c>
      <c r="VJ61" s="207"/>
      <c r="VK61" s="207"/>
      <c r="VL61" s="207"/>
      <c r="VM61" s="207"/>
      <c r="VN61" s="207"/>
      <c r="VO61" s="272"/>
      <c r="VP61" s="272"/>
      <c r="VQ61" s="205">
        <f t="shared" si="207"/>
        <v>0</v>
      </c>
      <c r="VR61" s="207"/>
      <c r="VS61" s="207"/>
      <c r="VT61" s="207"/>
      <c r="VU61" s="207"/>
      <c r="VV61" s="207"/>
      <c r="VW61" s="272"/>
      <c r="VX61" s="272"/>
      <c r="VY61" s="205">
        <f t="shared" si="208"/>
        <v>0</v>
      </c>
      <c r="VZ61" s="207"/>
      <c r="WA61" s="207"/>
      <c r="WB61" s="207"/>
      <c r="WC61" s="124">
        <v>850</v>
      </c>
      <c r="WD61" s="207"/>
      <c r="WE61" s="272"/>
      <c r="WF61" s="272"/>
      <c r="WG61" s="205">
        <f t="shared" si="209"/>
        <v>850</v>
      </c>
      <c r="WH61" s="205">
        <f t="shared" si="210"/>
        <v>1110</v>
      </c>
      <c r="WI61" s="207"/>
      <c r="WJ61" s="207"/>
      <c r="WK61" s="207"/>
      <c r="WL61" s="207"/>
      <c r="WM61" s="207"/>
      <c r="WN61" s="272"/>
      <c r="WO61" s="272"/>
      <c r="WP61" s="205">
        <f t="shared" si="211"/>
        <v>0</v>
      </c>
      <c r="WQ61" s="207"/>
      <c r="WR61" s="207"/>
      <c r="WS61" s="207"/>
      <c r="WT61" s="207"/>
      <c r="WU61" s="207"/>
      <c r="WV61" s="272"/>
      <c r="WW61" s="272"/>
      <c r="WX61" s="205">
        <f t="shared" si="212"/>
        <v>0</v>
      </c>
      <c r="WY61" s="124">
        <v>1500</v>
      </c>
      <c r="WZ61" s="207"/>
      <c r="XA61" s="207"/>
      <c r="XB61" s="207"/>
      <c r="XC61" s="272"/>
      <c r="XD61" s="272"/>
      <c r="XE61" s="272"/>
      <c r="XF61" s="205">
        <f t="shared" si="213"/>
        <v>1500</v>
      </c>
      <c r="XG61" s="207"/>
      <c r="XH61" s="124">
        <v>1000</v>
      </c>
      <c r="XI61" s="207"/>
      <c r="XJ61" s="207"/>
      <c r="XK61" s="207"/>
      <c r="XL61" s="272"/>
      <c r="XM61" s="272"/>
      <c r="XN61" s="205">
        <f t="shared" si="214"/>
        <v>1000</v>
      </c>
      <c r="XO61" s="207"/>
      <c r="XP61" s="207"/>
      <c r="XQ61" s="207"/>
      <c r="XR61" s="207"/>
      <c r="XS61" s="207"/>
      <c r="XT61" s="272"/>
      <c r="XU61" s="272"/>
      <c r="XV61" s="205">
        <f t="shared" si="215"/>
        <v>0</v>
      </c>
      <c r="XW61" s="205">
        <f t="shared" si="216"/>
        <v>2500</v>
      </c>
      <c r="XX61" s="207"/>
      <c r="XY61" s="207"/>
      <c r="XZ61" s="207"/>
      <c r="YA61" s="207"/>
      <c r="YB61" s="207"/>
      <c r="YC61" s="272"/>
      <c r="YD61" s="272"/>
      <c r="YE61" s="205">
        <f t="shared" si="217"/>
        <v>0</v>
      </c>
      <c r="YF61" s="207"/>
      <c r="YG61" s="124">
        <v>680</v>
      </c>
      <c r="YH61" s="207"/>
      <c r="YI61" s="207"/>
      <c r="YJ61" s="207"/>
      <c r="YK61" s="272"/>
      <c r="YL61" s="272"/>
      <c r="YM61" s="205">
        <f t="shared" si="218"/>
        <v>680</v>
      </c>
      <c r="YN61" s="207"/>
      <c r="YO61" s="207"/>
      <c r="YP61" s="207"/>
      <c r="YQ61" s="207"/>
      <c r="YR61" s="207"/>
      <c r="YS61" s="272"/>
      <c r="YT61" s="272"/>
      <c r="YU61" s="205">
        <f t="shared" si="148"/>
        <v>0</v>
      </c>
      <c r="YV61" s="207"/>
      <c r="YW61" s="207"/>
      <c r="YX61" s="207"/>
      <c r="YY61" s="207"/>
      <c r="YZ61" s="207"/>
      <c r="ZA61" s="272"/>
      <c r="ZB61" s="272"/>
      <c r="ZC61" s="205">
        <f t="shared" si="219"/>
        <v>0</v>
      </c>
      <c r="ZD61" s="205">
        <f t="shared" si="516"/>
        <v>680</v>
      </c>
      <c r="ZE61" s="207"/>
      <c r="ZF61" s="207"/>
      <c r="ZG61" s="207"/>
      <c r="ZH61" s="207"/>
      <c r="ZI61" s="207"/>
      <c r="ZJ61" s="272"/>
      <c r="ZK61" s="272"/>
      <c r="ZL61" s="205">
        <f t="shared" si="220"/>
        <v>0</v>
      </c>
      <c r="ZM61" s="207"/>
      <c r="ZN61" s="207"/>
      <c r="ZO61" s="207"/>
      <c r="ZP61" s="207"/>
      <c r="ZQ61" s="207"/>
      <c r="ZR61" s="272"/>
      <c r="ZS61" s="272"/>
      <c r="ZT61" s="205">
        <f t="shared" si="221"/>
        <v>0</v>
      </c>
      <c r="ZU61" s="207"/>
      <c r="ZV61" s="207"/>
      <c r="ZW61" s="207"/>
      <c r="ZX61" s="207"/>
      <c r="ZY61" s="207"/>
      <c r="ZZ61" s="272"/>
      <c r="AAA61" s="272"/>
      <c r="AAB61" s="205">
        <f t="shared" si="222"/>
        <v>0</v>
      </c>
      <c r="AAC61" s="207"/>
      <c r="AAD61" s="207"/>
      <c r="AAE61" s="207"/>
      <c r="AAF61" s="207"/>
      <c r="AAG61" s="207"/>
      <c r="AAH61" s="272"/>
      <c r="AAI61" s="272"/>
      <c r="AAJ61" s="205">
        <f t="shared" si="223"/>
        <v>0</v>
      </c>
      <c r="AAK61" s="207"/>
      <c r="AAL61" s="207"/>
      <c r="AAM61" s="207"/>
      <c r="AAN61" s="207"/>
      <c r="AAO61" s="207"/>
      <c r="AAP61" s="272"/>
      <c r="AAQ61" s="272"/>
      <c r="AAR61" s="205">
        <f t="shared" si="224"/>
        <v>0</v>
      </c>
      <c r="AAS61" s="205">
        <f t="shared" si="225"/>
        <v>0</v>
      </c>
    </row>
    <row r="62" spans="1:721" ht="66.95" hidden="1" customHeight="1">
      <c r="B62" s="164">
        <v>3630101504</v>
      </c>
      <c r="C62" s="332"/>
      <c r="D62" s="191" t="s">
        <v>772</v>
      </c>
      <c r="E62" s="130" t="s">
        <v>4</v>
      </c>
      <c r="F62" s="120"/>
      <c r="G62" s="120"/>
      <c r="H62" s="120"/>
      <c r="I62" s="120"/>
      <c r="J62" s="120"/>
      <c r="K62" s="209"/>
      <c r="L62" s="205"/>
      <c r="M62" s="205">
        <f t="shared" ref="M62:M63" si="518">SUM(F62:L62)</f>
        <v>0</v>
      </c>
      <c r="N62" s="120"/>
      <c r="O62" s="120"/>
      <c r="P62" s="120"/>
      <c r="Q62" s="120"/>
      <c r="R62" s="120"/>
      <c r="S62" s="209"/>
      <c r="T62" s="205"/>
      <c r="U62" s="205">
        <f t="shared" ref="U62:U63" si="519">SUM(N62:T62)</f>
        <v>0</v>
      </c>
      <c r="V62" s="120"/>
      <c r="W62" s="120"/>
      <c r="X62" s="120"/>
      <c r="Y62" s="120"/>
      <c r="Z62" s="120"/>
      <c r="AA62" s="209"/>
      <c r="AB62" s="205"/>
      <c r="AC62" s="205">
        <f t="shared" ref="AC62:AC63" si="520">SUM(V62:AB62)</f>
        <v>0</v>
      </c>
      <c r="AD62" s="205"/>
      <c r="AE62" s="205"/>
      <c r="AF62" s="205"/>
      <c r="AG62" s="205"/>
      <c r="AH62" s="205"/>
      <c r="AI62" s="209"/>
      <c r="AJ62" s="205"/>
      <c r="AK62" s="205">
        <f t="shared" ref="AK62:AK63" si="521">SUM(AD62:AJ62)</f>
        <v>0</v>
      </c>
      <c r="AL62" s="205" t="e">
        <f>SUM(#REF!,M62,U62,AC62,AD62:AH62)</f>
        <v>#REF!</v>
      </c>
      <c r="AM62" s="120"/>
      <c r="AN62" s="120"/>
      <c r="AO62" s="120"/>
      <c r="AP62" s="120"/>
      <c r="AQ62" s="120"/>
      <c r="AR62" s="209"/>
      <c r="AS62" s="205"/>
      <c r="AT62" s="205">
        <f t="shared" ref="AT62:AT63" si="522">SUM(AM62:AS62)</f>
        <v>0</v>
      </c>
      <c r="AU62" s="120"/>
      <c r="AV62" s="120"/>
      <c r="AW62" s="120"/>
      <c r="AX62" s="120"/>
      <c r="AY62" s="120"/>
      <c r="AZ62" s="209"/>
      <c r="BA62" s="205"/>
      <c r="BB62" s="205">
        <f t="shared" ref="BB62:BB63" si="523">SUM(AU62:BA62)</f>
        <v>0</v>
      </c>
      <c r="BC62" s="120"/>
      <c r="BD62" s="120"/>
      <c r="BE62" s="120"/>
      <c r="BF62" s="120"/>
      <c r="BG62" s="120"/>
      <c r="BH62" s="209"/>
      <c r="BI62" s="205"/>
      <c r="BJ62" s="205">
        <f t="shared" ref="BJ62:BJ63" si="524">SUM(BC62:BI62)</f>
        <v>0</v>
      </c>
      <c r="BK62" s="120"/>
      <c r="BL62" s="120"/>
      <c r="BM62" s="120"/>
      <c r="BN62" s="120"/>
      <c r="BO62" s="205"/>
      <c r="BP62" s="209"/>
      <c r="BQ62" s="205"/>
      <c r="BR62" s="205">
        <f t="shared" si="248"/>
        <v>0</v>
      </c>
      <c r="BS62" s="205">
        <f t="shared" si="129"/>
        <v>0</v>
      </c>
      <c r="BT62" s="120"/>
      <c r="BU62" s="120"/>
      <c r="BV62" s="120"/>
      <c r="BW62" s="120"/>
      <c r="BX62" s="120"/>
      <c r="BY62" s="209"/>
      <c r="BZ62" s="205"/>
      <c r="CA62" s="205">
        <f t="shared" ref="CA62:CA63" si="525">SUM(BT62:BZ62)</f>
        <v>0</v>
      </c>
      <c r="CB62" s="120"/>
      <c r="CC62" s="120"/>
      <c r="CD62" s="120"/>
      <c r="CE62" s="120"/>
      <c r="CF62" s="120"/>
      <c r="CG62" s="209"/>
      <c r="CH62" s="205"/>
      <c r="CI62" s="205">
        <f t="shared" ref="CI62:CI63" si="526">SUM(CB62:CH62)</f>
        <v>0</v>
      </c>
      <c r="CJ62" s="120"/>
      <c r="CK62" s="120"/>
      <c r="CL62" s="120"/>
      <c r="CM62" s="120"/>
      <c r="CN62" s="120"/>
      <c r="CO62" s="209"/>
      <c r="CP62" s="205"/>
      <c r="CQ62" s="205">
        <f t="shared" ref="CQ62:CQ63" si="527">SUM(CJ62:CP62)</f>
        <v>0</v>
      </c>
      <c r="CR62" s="120"/>
      <c r="CS62" s="120"/>
      <c r="CT62" s="120"/>
      <c r="CU62" s="120"/>
      <c r="CV62" s="120"/>
      <c r="CW62" s="209"/>
      <c r="CX62" s="205"/>
      <c r="CY62" s="205">
        <f t="shared" ref="CY62:CY63" si="528">SUM(CR62:CX62)</f>
        <v>0</v>
      </c>
      <c r="CZ62" s="120"/>
      <c r="DA62" s="120"/>
      <c r="DB62" s="120"/>
      <c r="DC62" s="205"/>
      <c r="DD62" s="205"/>
      <c r="DE62" s="209"/>
      <c r="DF62" s="205"/>
      <c r="DG62" s="205">
        <f t="shared" ref="DG62:DG63" si="529">SUM(CZ62:DF62)</f>
        <v>0</v>
      </c>
      <c r="DH62" s="205">
        <f t="shared" si="150"/>
        <v>0</v>
      </c>
      <c r="DI62" s="120"/>
      <c r="DJ62" s="120"/>
      <c r="DK62" s="120"/>
      <c r="DL62" s="120"/>
      <c r="DM62" s="120"/>
      <c r="DN62" s="209"/>
      <c r="DO62" s="205"/>
      <c r="DP62" s="205">
        <f t="shared" si="228"/>
        <v>0</v>
      </c>
      <c r="DQ62" s="120"/>
      <c r="DR62" s="120"/>
      <c r="DS62" s="120"/>
      <c r="DT62" s="120"/>
      <c r="DU62" s="120"/>
      <c r="DV62" s="209"/>
      <c r="DW62" s="205"/>
      <c r="DX62" s="205">
        <f t="shared" si="136"/>
        <v>0</v>
      </c>
      <c r="DY62" s="120"/>
      <c r="DZ62" s="120"/>
      <c r="EA62" s="120"/>
      <c r="EB62" s="120"/>
      <c r="EC62" s="120"/>
      <c r="ED62" s="209"/>
      <c r="EE62" s="205"/>
      <c r="EF62" s="205">
        <f t="shared" si="137"/>
        <v>0</v>
      </c>
      <c r="EG62" s="120"/>
      <c r="EH62" s="120"/>
      <c r="EI62" s="120"/>
      <c r="EJ62" s="205"/>
      <c r="EK62" s="205"/>
      <c r="EL62" s="209"/>
      <c r="EM62" s="205"/>
      <c r="EN62" s="205">
        <f t="shared" si="138"/>
        <v>0</v>
      </c>
      <c r="EO62" s="205">
        <f t="shared" si="151"/>
        <v>0</v>
      </c>
      <c r="EP62" s="120"/>
      <c r="EQ62" s="120"/>
      <c r="ER62" s="120"/>
      <c r="ES62" s="120"/>
      <c r="ET62" s="120"/>
      <c r="EU62" s="209"/>
      <c r="EV62" s="205"/>
      <c r="EW62" s="205">
        <f t="shared" si="139"/>
        <v>0</v>
      </c>
      <c r="EX62" s="120"/>
      <c r="EY62" s="120"/>
      <c r="EZ62" s="120"/>
      <c r="FA62" s="120"/>
      <c r="FB62" s="120"/>
      <c r="FC62" s="209"/>
      <c r="FD62" s="205"/>
      <c r="FE62" s="205">
        <f t="shared" si="140"/>
        <v>0</v>
      </c>
      <c r="FF62" s="120"/>
      <c r="FG62" s="120"/>
      <c r="FH62" s="120"/>
      <c r="FI62" s="120"/>
      <c r="FJ62" s="120"/>
      <c r="FK62" s="209"/>
      <c r="FL62" s="205"/>
      <c r="FM62" s="205">
        <f t="shared" si="141"/>
        <v>0</v>
      </c>
      <c r="FN62" s="120"/>
      <c r="FO62" s="120"/>
      <c r="FP62" s="120"/>
      <c r="FQ62" s="120"/>
      <c r="FR62" s="205"/>
      <c r="FS62" s="209"/>
      <c r="FT62" s="205"/>
      <c r="FU62" s="205">
        <f t="shared" si="142"/>
        <v>0</v>
      </c>
      <c r="FV62" s="205">
        <f t="shared" si="152"/>
        <v>0</v>
      </c>
      <c r="FW62" s="120"/>
      <c r="FX62" s="120"/>
      <c r="FY62" s="120"/>
      <c r="FZ62" s="120"/>
      <c r="GA62" s="120"/>
      <c r="GB62" s="209"/>
      <c r="GC62" s="205"/>
      <c r="GD62" s="205">
        <f t="shared" si="143"/>
        <v>0</v>
      </c>
      <c r="GE62" s="120"/>
      <c r="GF62" s="120"/>
      <c r="GG62" s="120"/>
      <c r="GH62" s="120"/>
      <c r="GI62" s="120"/>
      <c r="GJ62" s="209"/>
      <c r="GK62" s="205"/>
      <c r="GL62" s="205">
        <f t="shared" si="144"/>
        <v>0</v>
      </c>
      <c r="GM62" s="120"/>
      <c r="GN62" s="120"/>
      <c r="GO62" s="120"/>
      <c r="GP62" s="120"/>
      <c r="GQ62" s="120"/>
      <c r="GR62" s="209"/>
      <c r="GS62" s="205"/>
      <c r="GT62" s="205">
        <f t="shared" si="145"/>
        <v>0</v>
      </c>
      <c r="GU62" s="120"/>
      <c r="GV62" s="120"/>
      <c r="GW62" s="120"/>
      <c r="GX62" s="120"/>
      <c r="GY62" s="120"/>
      <c r="GZ62" s="209"/>
      <c r="HA62" s="205"/>
      <c r="HB62" s="205">
        <f t="shared" si="146"/>
        <v>0</v>
      </c>
      <c r="HC62" s="120"/>
      <c r="HD62" s="120"/>
      <c r="HE62" s="120"/>
      <c r="HF62" s="120"/>
      <c r="HG62" s="120"/>
      <c r="HH62" s="209"/>
      <c r="HI62" s="205"/>
      <c r="HJ62" s="205">
        <f t="shared" si="147"/>
        <v>0</v>
      </c>
      <c r="HK62" s="205">
        <f t="shared" si="153"/>
        <v>0</v>
      </c>
      <c r="HL62" s="124"/>
      <c r="HM62" s="120"/>
      <c r="HN62" s="120"/>
      <c r="HO62" s="120"/>
      <c r="HP62" s="120"/>
      <c r="HQ62" s="205"/>
      <c r="HR62" s="205"/>
      <c r="HS62" s="205">
        <f t="shared" si="154"/>
        <v>0</v>
      </c>
      <c r="HT62" s="120"/>
      <c r="HU62" s="120"/>
      <c r="HV62" s="120"/>
      <c r="HW62" s="120"/>
      <c r="HX62" s="120"/>
      <c r="HY62" s="205"/>
      <c r="HZ62" s="205"/>
      <c r="IA62" s="205">
        <f t="shared" si="155"/>
        <v>0</v>
      </c>
      <c r="IB62" s="120"/>
      <c r="IC62" s="120"/>
      <c r="ID62" s="120"/>
      <c r="IE62" s="120"/>
      <c r="IF62" s="120"/>
      <c r="IG62" s="205"/>
      <c r="IH62" s="205"/>
      <c r="II62" s="205">
        <f t="shared" si="156"/>
        <v>0</v>
      </c>
      <c r="IJ62" s="120"/>
      <c r="IK62" s="120"/>
      <c r="IL62" s="120"/>
      <c r="IM62" s="120"/>
      <c r="IN62" s="120"/>
      <c r="IO62" s="205"/>
      <c r="IP62" s="205"/>
      <c r="IQ62" s="205">
        <f t="shared" si="157"/>
        <v>0</v>
      </c>
      <c r="IR62" s="205">
        <f t="shared" si="158"/>
        <v>0</v>
      </c>
      <c r="IS62" s="120"/>
      <c r="IT62" s="120"/>
      <c r="IU62" s="120"/>
      <c r="IV62" s="120"/>
      <c r="IW62" s="120"/>
      <c r="IX62" s="205"/>
      <c r="IY62" s="205"/>
      <c r="IZ62" s="205">
        <f t="shared" si="159"/>
        <v>0</v>
      </c>
      <c r="JA62" s="120"/>
      <c r="JB62" s="120"/>
      <c r="JC62" s="120"/>
      <c r="JD62" s="120"/>
      <c r="JE62" s="120"/>
      <c r="JF62" s="205"/>
      <c r="JG62" s="205"/>
      <c r="JH62" s="205">
        <f t="shared" si="160"/>
        <v>0</v>
      </c>
      <c r="JI62" s="120"/>
      <c r="JJ62" s="120"/>
      <c r="JK62" s="120"/>
      <c r="JL62" s="120"/>
      <c r="JM62" s="120"/>
      <c r="JN62" s="205"/>
      <c r="JO62" s="205"/>
      <c r="JP62" s="205">
        <f t="shared" si="161"/>
        <v>0</v>
      </c>
      <c r="JQ62" s="120"/>
      <c r="JR62" s="120"/>
      <c r="JS62" s="120"/>
      <c r="JT62" s="120"/>
      <c r="JU62" s="120"/>
      <c r="JV62" s="205"/>
      <c r="JW62" s="205"/>
      <c r="JX62" s="205">
        <f t="shared" si="162"/>
        <v>0</v>
      </c>
      <c r="JY62" s="205">
        <f t="shared" si="163"/>
        <v>0</v>
      </c>
      <c r="JZ62" s="250"/>
      <c r="KA62" s="120"/>
      <c r="KB62" s="120"/>
      <c r="KC62" s="120"/>
      <c r="KD62" s="120"/>
      <c r="KE62" s="205"/>
      <c r="KF62" s="205"/>
      <c r="KG62" s="205">
        <f t="shared" si="164"/>
        <v>0</v>
      </c>
      <c r="KH62" s="120"/>
      <c r="KI62" s="120"/>
      <c r="KJ62" s="120"/>
      <c r="KK62" s="120"/>
      <c r="KL62" s="120"/>
      <c r="KM62" s="205"/>
      <c r="KN62" s="205"/>
      <c r="KO62" s="205">
        <f t="shared" si="165"/>
        <v>0</v>
      </c>
      <c r="KP62" s="120"/>
      <c r="KQ62" s="120"/>
      <c r="KR62" s="120"/>
      <c r="KS62" s="120"/>
      <c r="KT62" s="120"/>
      <c r="KU62" s="205"/>
      <c r="KV62" s="205"/>
      <c r="KW62" s="205">
        <f t="shared" si="166"/>
        <v>0</v>
      </c>
      <c r="KX62" s="120"/>
      <c r="KY62" s="120"/>
      <c r="KZ62" s="120"/>
      <c r="LA62" s="120"/>
      <c r="LB62" s="120"/>
      <c r="LC62" s="205"/>
      <c r="LD62" s="205"/>
      <c r="LE62" s="205">
        <f t="shared" si="167"/>
        <v>0</v>
      </c>
      <c r="LF62" s="205"/>
      <c r="LG62" s="120"/>
      <c r="LH62" s="120"/>
      <c r="LI62" s="120"/>
      <c r="LJ62" s="120"/>
      <c r="LK62" s="205"/>
      <c r="LL62" s="205"/>
      <c r="LM62" s="205">
        <f t="shared" si="168"/>
        <v>0</v>
      </c>
      <c r="LN62" s="205">
        <f t="shared" si="169"/>
        <v>0</v>
      </c>
      <c r="LO62" s="205"/>
      <c r="LP62" s="120"/>
      <c r="LQ62" s="120"/>
      <c r="LR62" s="120"/>
      <c r="LS62" s="205"/>
      <c r="LT62" s="205"/>
      <c r="LU62" s="205"/>
      <c r="LV62" s="205">
        <f t="shared" si="170"/>
        <v>0</v>
      </c>
      <c r="LW62" s="120"/>
      <c r="LX62" s="120"/>
      <c r="LY62" s="120"/>
      <c r="LZ62" s="120"/>
      <c r="MA62" s="120"/>
      <c r="MB62" s="205"/>
      <c r="MC62" s="205"/>
      <c r="MD62" s="205">
        <f t="shared" si="171"/>
        <v>0</v>
      </c>
      <c r="ME62" s="120"/>
      <c r="MF62" s="120"/>
      <c r="MG62" s="120"/>
      <c r="MH62" s="120"/>
      <c r="MI62" s="205"/>
      <c r="MJ62" s="205"/>
      <c r="MK62" s="205"/>
      <c r="ML62" s="205">
        <f t="shared" si="172"/>
        <v>0</v>
      </c>
      <c r="MM62" s="120"/>
      <c r="MN62" s="120"/>
      <c r="MO62" s="120"/>
      <c r="MP62" s="120"/>
      <c r="MQ62" s="120"/>
      <c r="MR62" s="205"/>
      <c r="MS62" s="205"/>
      <c r="MT62" s="205">
        <f t="shared" si="173"/>
        <v>0</v>
      </c>
      <c r="MU62" s="205">
        <f t="shared" si="174"/>
        <v>0</v>
      </c>
      <c r="MV62" s="120"/>
      <c r="MW62" s="120"/>
      <c r="MX62" s="120"/>
      <c r="MY62" s="120"/>
      <c r="MZ62" s="120"/>
      <c r="NA62" s="205"/>
      <c r="NB62" s="205"/>
      <c r="NC62" s="205">
        <f t="shared" si="175"/>
        <v>0</v>
      </c>
      <c r="ND62" s="120"/>
      <c r="NE62" s="120"/>
      <c r="NF62" s="120"/>
      <c r="NG62" s="120"/>
      <c r="NH62" s="120"/>
      <c r="NI62" s="205"/>
      <c r="NJ62" s="205"/>
      <c r="NK62" s="205">
        <f t="shared" si="176"/>
        <v>0</v>
      </c>
      <c r="NL62" s="120"/>
      <c r="NM62" s="120"/>
      <c r="NN62" s="120"/>
      <c r="NO62" s="120"/>
      <c r="NP62" s="120"/>
      <c r="NQ62" s="205"/>
      <c r="NR62" s="205"/>
      <c r="NS62" s="205">
        <f t="shared" si="177"/>
        <v>0</v>
      </c>
      <c r="NT62" s="120"/>
      <c r="NU62" s="120"/>
      <c r="NV62" s="120"/>
      <c r="NW62" s="120"/>
      <c r="NX62" s="120"/>
      <c r="NY62" s="205"/>
      <c r="NZ62" s="205"/>
      <c r="OA62" s="205">
        <f t="shared" si="178"/>
        <v>0</v>
      </c>
      <c r="OB62" s="205">
        <f t="shared" si="179"/>
        <v>0</v>
      </c>
      <c r="OC62" s="120"/>
      <c r="OD62" s="120"/>
      <c r="OE62" s="120"/>
      <c r="OF62" s="120"/>
      <c r="OG62" s="120"/>
      <c r="OH62" s="205"/>
      <c r="OI62" s="205"/>
      <c r="OJ62" s="205">
        <f t="shared" si="180"/>
        <v>0</v>
      </c>
      <c r="OK62" s="120"/>
      <c r="OL62" s="120"/>
      <c r="OM62" s="120"/>
      <c r="ON62" s="120"/>
      <c r="OO62" s="120"/>
      <c r="OP62" s="205"/>
      <c r="OQ62" s="205"/>
      <c r="OR62" s="205">
        <f t="shared" si="181"/>
        <v>0</v>
      </c>
      <c r="OS62" s="120"/>
      <c r="OT62" s="120"/>
      <c r="OU62" s="120"/>
      <c r="OV62" s="120"/>
      <c r="OW62" s="120"/>
      <c r="OX62" s="205"/>
      <c r="OY62" s="205"/>
      <c r="OZ62" s="205">
        <f t="shared" si="182"/>
        <v>0</v>
      </c>
      <c r="PA62" s="120"/>
      <c r="PB62" s="120"/>
      <c r="PC62" s="120"/>
      <c r="PD62" s="205"/>
      <c r="PE62" s="217"/>
      <c r="PF62" s="205"/>
      <c r="PG62" s="205"/>
      <c r="PH62" s="205">
        <f t="shared" si="183"/>
        <v>0</v>
      </c>
      <c r="PI62" s="120"/>
      <c r="PJ62" s="120"/>
      <c r="PK62" s="120"/>
      <c r="PL62" s="205"/>
      <c r="PM62" s="217"/>
      <c r="PN62" s="205"/>
      <c r="PO62" s="205"/>
      <c r="PP62" s="205">
        <f t="shared" si="184"/>
        <v>0</v>
      </c>
      <c r="PQ62" s="205">
        <f t="shared" si="185"/>
        <v>0</v>
      </c>
      <c r="PR62" s="207"/>
      <c r="PS62" s="207"/>
      <c r="PT62" s="207"/>
      <c r="PU62" s="207"/>
      <c r="PV62" s="207"/>
      <c r="PW62" s="272"/>
      <c r="PX62" s="272"/>
      <c r="PY62" s="205">
        <f t="shared" si="186"/>
        <v>0</v>
      </c>
      <c r="PZ62" s="207"/>
      <c r="QA62" s="207"/>
      <c r="QB62" s="207"/>
      <c r="QC62" s="207"/>
      <c r="QD62" s="207"/>
      <c r="QE62" s="272"/>
      <c r="QF62" s="272"/>
      <c r="QG62" s="205">
        <f t="shared" si="187"/>
        <v>0</v>
      </c>
      <c r="QH62" s="207"/>
      <c r="QI62" s="207"/>
      <c r="QJ62" s="294"/>
      <c r="QK62" s="207"/>
      <c r="QL62" s="207"/>
      <c r="QM62" s="272"/>
      <c r="QN62" s="272"/>
      <c r="QO62" s="205">
        <f t="shared" si="188"/>
        <v>0</v>
      </c>
      <c r="QP62" s="207"/>
      <c r="QQ62" s="207"/>
      <c r="QR62" s="207"/>
      <c r="QS62" s="207"/>
      <c r="QT62" s="207"/>
      <c r="QU62" s="272"/>
      <c r="QV62" s="272"/>
      <c r="QW62" s="205">
        <f t="shared" si="320"/>
        <v>0</v>
      </c>
      <c r="QX62" s="205">
        <f t="shared" si="190"/>
        <v>0</v>
      </c>
      <c r="QY62" s="207"/>
      <c r="QZ62" s="207"/>
      <c r="RA62" s="207"/>
      <c r="RB62" s="207"/>
      <c r="RC62" s="207"/>
      <c r="RD62" s="272"/>
      <c r="RE62" s="272"/>
      <c r="RF62" s="205">
        <f t="shared" si="191"/>
        <v>0</v>
      </c>
      <c r="RG62" s="207"/>
      <c r="RH62" s="195"/>
      <c r="RI62" s="207"/>
      <c r="RJ62" s="207"/>
      <c r="RK62" s="207"/>
      <c r="RL62" s="272"/>
      <c r="RM62" s="272"/>
      <c r="RN62" s="205">
        <f t="shared" si="192"/>
        <v>0</v>
      </c>
      <c r="RO62" s="272"/>
      <c r="RP62" s="272"/>
      <c r="RQ62" s="272"/>
      <c r="RR62" s="272"/>
      <c r="RS62" s="272"/>
      <c r="RT62" s="272"/>
      <c r="RU62" s="272"/>
      <c r="RV62" s="205">
        <f t="shared" si="193"/>
        <v>0</v>
      </c>
      <c r="RW62" s="120"/>
      <c r="RX62" s="207"/>
      <c r="RY62" s="120"/>
      <c r="RZ62" s="120"/>
      <c r="SA62" s="272"/>
      <c r="SB62" s="272"/>
      <c r="SC62" s="272"/>
      <c r="SD62" s="205">
        <f t="shared" si="194"/>
        <v>0</v>
      </c>
      <c r="SE62" s="205">
        <f t="shared" si="195"/>
        <v>0</v>
      </c>
      <c r="SF62" s="207"/>
      <c r="SG62" s="207"/>
      <c r="SH62" s="207"/>
      <c r="SI62" s="207"/>
      <c r="SJ62" s="207"/>
      <c r="SK62" s="272"/>
      <c r="SL62" s="272"/>
      <c r="SM62" s="205">
        <f t="shared" si="196"/>
        <v>0</v>
      </c>
      <c r="SN62" s="207"/>
      <c r="SO62" s="195"/>
      <c r="SP62" s="207"/>
      <c r="SQ62" s="207"/>
      <c r="SR62" s="207"/>
      <c r="SS62" s="272"/>
      <c r="ST62" s="272"/>
      <c r="SU62" s="205">
        <f t="shared" si="197"/>
        <v>0</v>
      </c>
      <c r="SV62" s="207"/>
      <c r="SW62" s="207"/>
      <c r="SX62" s="207"/>
      <c r="SY62" s="207"/>
      <c r="SZ62" s="207"/>
      <c r="TA62" s="272"/>
      <c r="TB62" s="272"/>
      <c r="TC62" s="205">
        <f t="shared" si="198"/>
        <v>0</v>
      </c>
      <c r="TD62" s="207"/>
      <c r="TE62" s="207"/>
      <c r="TF62" s="207"/>
      <c r="TG62" s="207"/>
      <c r="TH62" s="207"/>
      <c r="TI62" s="272"/>
      <c r="TJ62" s="272"/>
      <c r="TK62" s="205">
        <f t="shared" si="199"/>
        <v>0</v>
      </c>
      <c r="TL62" s="207"/>
      <c r="TM62" s="207"/>
      <c r="TN62" s="207"/>
      <c r="TO62" s="207"/>
      <c r="TP62" s="272"/>
      <c r="TQ62" s="272"/>
      <c r="TR62" s="272"/>
      <c r="TS62" s="205">
        <f t="shared" si="200"/>
        <v>0</v>
      </c>
      <c r="TT62" s="205">
        <f t="shared" si="201"/>
        <v>0</v>
      </c>
      <c r="TU62" s="272"/>
      <c r="TV62" s="201"/>
      <c r="TW62" s="207"/>
      <c r="TX62" s="207"/>
      <c r="TY62" s="207"/>
      <c r="TZ62" s="272"/>
      <c r="UA62" s="272"/>
      <c r="UB62" s="205">
        <f t="shared" si="202"/>
        <v>0</v>
      </c>
      <c r="UC62" s="207"/>
      <c r="UD62" s="207"/>
      <c r="UE62" s="207"/>
      <c r="UF62" s="207"/>
      <c r="UG62" s="207"/>
      <c r="UH62" s="272"/>
      <c r="UI62" s="272"/>
      <c r="UJ62" s="205">
        <f t="shared" si="203"/>
        <v>0</v>
      </c>
      <c r="UK62" s="207"/>
      <c r="UL62" s="207"/>
      <c r="UM62" s="207"/>
      <c r="UN62" s="207"/>
      <c r="UO62" s="207"/>
      <c r="UP62" s="272"/>
      <c r="UQ62" s="272"/>
      <c r="UR62" s="205">
        <f t="shared" si="227"/>
        <v>0</v>
      </c>
      <c r="US62" s="207"/>
      <c r="UT62" s="207"/>
      <c r="UU62" s="207"/>
      <c r="UV62" s="207"/>
      <c r="UW62" s="272"/>
      <c r="UX62" s="272"/>
      <c r="UY62" s="272"/>
      <c r="UZ62" s="205">
        <f t="shared" si="204"/>
        <v>0</v>
      </c>
      <c r="VA62" s="205">
        <f t="shared" si="205"/>
        <v>0</v>
      </c>
      <c r="VB62" s="207"/>
      <c r="VC62" s="207"/>
      <c r="VD62" s="201"/>
      <c r="VE62" s="207"/>
      <c r="VF62" s="207"/>
      <c r="VG62" s="272"/>
      <c r="VH62" s="272"/>
      <c r="VI62" s="205">
        <f t="shared" si="206"/>
        <v>0</v>
      </c>
      <c r="VJ62" s="207"/>
      <c r="VK62" s="207"/>
      <c r="VL62" s="207"/>
      <c r="VM62" s="207"/>
      <c r="VN62" s="207"/>
      <c r="VO62" s="272"/>
      <c r="VP62" s="272"/>
      <c r="VQ62" s="205">
        <f t="shared" si="207"/>
        <v>0</v>
      </c>
      <c r="VR62" s="207"/>
      <c r="VS62" s="207"/>
      <c r="VT62" s="207"/>
      <c r="VU62" s="207"/>
      <c r="VV62" s="207"/>
      <c r="VW62" s="272"/>
      <c r="VX62" s="272"/>
      <c r="VY62" s="205">
        <f t="shared" si="208"/>
        <v>0</v>
      </c>
      <c r="VZ62" s="207"/>
      <c r="WA62" s="207"/>
      <c r="WB62" s="207"/>
      <c r="WC62" s="124"/>
      <c r="WD62" s="207"/>
      <c r="WE62" s="272"/>
      <c r="WF62" s="272"/>
      <c r="WG62" s="205">
        <f t="shared" si="209"/>
        <v>0</v>
      </c>
      <c r="WH62" s="205">
        <f t="shared" si="210"/>
        <v>0</v>
      </c>
      <c r="WI62" s="207"/>
      <c r="WJ62" s="207"/>
      <c r="WK62" s="207"/>
      <c r="WL62" s="207"/>
      <c r="WM62" s="207"/>
      <c r="WN62" s="272"/>
      <c r="WO62" s="272"/>
      <c r="WP62" s="205">
        <f t="shared" si="211"/>
        <v>0</v>
      </c>
      <c r="WQ62" s="207"/>
      <c r="WR62" s="207"/>
      <c r="WS62" s="207"/>
      <c r="WT62" s="207"/>
      <c r="WU62" s="207"/>
      <c r="WV62" s="272"/>
      <c r="WW62" s="272"/>
      <c r="WX62" s="205">
        <f t="shared" si="212"/>
        <v>0</v>
      </c>
      <c r="WY62" s="207"/>
      <c r="WZ62" s="207"/>
      <c r="XA62" s="207"/>
      <c r="XB62" s="207"/>
      <c r="XC62" s="272"/>
      <c r="XD62" s="272"/>
      <c r="XE62" s="272"/>
      <c r="XF62" s="205">
        <f t="shared" si="213"/>
        <v>0</v>
      </c>
      <c r="XG62" s="207"/>
      <c r="XH62" s="207"/>
      <c r="XI62" s="207"/>
      <c r="XJ62" s="207"/>
      <c r="XK62" s="207"/>
      <c r="XL62" s="272"/>
      <c r="XM62" s="272"/>
      <c r="XN62" s="205">
        <f t="shared" si="214"/>
        <v>0</v>
      </c>
      <c r="XO62" s="207"/>
      <c r="XP62" s="207"/>
      <c r="XQ62" s="207"/>
      <c r="XR62" s="207"/>
      <c r="XS62" s="207"/>
      <c r="XT62" s="272"/>
      <c r="XU62" s="272"/>
      <c r="XV62" s="205">
        <f t="shared" si="215"/>
        <v>0</v>
      </c>
      <c r="XW62" s="205">
        <f t="shared" si="216"/>
        <v>0</v>
      </c>
      <c r="XX62" s="207"/>
      <c r="XY62" s="207"/>
      <c r="XZ62" s="207"/>
      <c r="YA62" s="207"/>
      <c r="YB62" s="207"/>
      <c r="YC62" s="272"/>
      <c r="YD62" s="272"/>
      <c r="YE62" s="205">
        <f t="shared" si="217"/>
        <v>0</v>
      </c>
      <c r="YF62" s="207"/>
      <c r="YG62" s="124"/>
      <c r="YH62" s="207"/>
      <c r="YI62" s="207"/>
      <c r="YJ62" s="207"/>
      <c r="YK62" s="272"/>
      <c r="YL62" s="272"/>
      <c r="YM62" s="205">
        <f t="shared" si="218"/>
        <v>0</v>
      </c>
      <c r="YN62" s="207"/>
      <c r="YO62" s="207"/>
      <c r="YP62" s="207"/>
      <c r="YQ62" s="207"/>
      <c r="YR62" s="207"/>
      <c r="YS62" s="272"/>
      <c r="YT62" s="272"/>
      <c r="YU62" s="205">
        <f t="shared" si="148"/>
        <v>0</v>
      </c>
      <c r="YV62" s="207"/>
      <c r="YW62" s="207"/>
      <c r="YX62" s="207"/>
      <c r="YY62" s="207"/>
      <c r="YZ62" s="207"/>
      <c r="ZA62" s="272"/>
      <c r="ZB62" s="272"/>
      <c r="ZC62" s="205">
        <f t="shared" si="219"/>
        <v>0</v>
      </c>
      <c r="ZD62" s="205">
        <f t="shared" si="516"/>
        <v>0</v>
      </c>
      <c r="ZE62" s="207"/>
      <c r="ZF62" s="207"/>
      <c r="ZG62" s="207"/>
      <c r="ZH62" s="207"/>
      <c r="ZI62" s="207"/>
      <c r="ZJ62" s="272"/>
      <c r="ZK62" s="272"/>
      <c r="ZL62" s="205">
        <f t="shared" si="220"/>
        <v>0</v>
      </c>
      <c r="ZM62" s="207"/>
      <c r="ZN62" s="207"/>
      <c r="ZO62" s="207"/>
      <c r="ZP62" s="207"/>
      <c r="ZQ62" s="207"/>
      <c r="ZR62" s="272"/>
      <c r="ZS62" s="272"/>
      <c r="ZT62" s="205">
        <f t="shared" si="221"/>
        <v>0</v>
      </c>
      <c r="ZU62" s="207"/>
      <c r="ZV62" s="207"/>
      <c r="ZW62" s="207"/>
      <c r="ZX62" s="207"/>
      <c r="ZY62" s="207"/>
      <c r="ZZ62" s="272"/>
      <c r="AAA62" s="272"/>
      <c r="AAB62" s="205">
        <f t="shared" si="222"/>
        <v>0</v>
      </c>
      <c r="AAC62" s="207"/>
      <c r="AAD62" s="207"/>
      <c r="AAE62" s="207"/>
      <c r="AAF62" s="207"/>
      <c r="AAG62" s="207"/>
      <c r="AAH62" s="272"/>
      <c r="AAI62" s="272"/>
      <c r="AAJ62" s="205">
        <f t="shared" si="223"/>
        <v>0</v>
      </c>
      <c r="AAK62" s="207"/>
      <c r="AAL62" s="207"/>
      <c r="AAM62" s="207"/>
      <c r="AAN62" s="207"/>
      <c r="AAO62" s="207"/>
      <c r="AAP62" s="272"/>
      <c r="AAQ62" s="272"/>
      <c r="AAR62" s="205">
        <f t="shared" si="224"/>
        <v>0</v>
      </c>
      <c r="AAS62" s="205">
        <f t="shared" si="225"/>
        <v>0</v>
      </c>
    </row>
    <row r="63" spans="1:721" ht="69" customHeight="1">
      <c r="B63" s="164">
        <v>3630101506</v>
      </c>
      <c r="C63" s="332"/>
      <c r="D63" s="191" t="s">
        <v>818</v>
      </c>
      <c r="E63" s="130" t="s">
        <v>4</v>
      </c>
      <c r="F63" s="120"/>
      <c r="G63" s="120"/>
      <c r="H63" s="120"/>
      <c r="I63" s="120"/>
      <c r="J63" s="120"/>
      <c r="K63" s="209"/>
      <c r="L63" s="205"/>
      <c r="M63" s="205">
        <f t="shared" si="518"/>
        <v>0</v>
      </c>
      <c r="N63" s="120"/>
      <c r="O63" s="120"/>
      <c r="P63" s="120"/>
      <c r="Q63" s="120"/>
      <c r="R63" s="120"/>
      <c r="S63" s="209"/>
      <c r="T63" s="205"/>
      <c r="U63" s="205">
        <f t="shared" si="519"/>
        <v>0</v>
      </c>
      <c r="V63" s="120"/>
      <c r="W63" s="120"/>
      <c r="X63" s="120"/>
      <c r="Y63" s="120"/>
      <c r="Z63" s="120"/>
      <c r="AA63" s="209"/>
      <c r="AB63" s="205"/>
      <c r="AC63" s="205">
        <f t="shared" si="520"/>
        <v>0</v>
      </c>
      <c r="AD63" s="205"/>
      <c r="AE63" s="205"/>
      <c r="AF63" s="205"/>
      <c r="AG63" s="205"/>
      <c r="AH63" s="205"/>
      <c r="AI63" s="209"/>
      <c r="AJ63" s="205"/>
      <c r="AK63" s="205">
        <f t="shared" si="521"/>
        <v>0</v>
      </c>
      <c r="AL63" s="205" t="e">
        <f>SUM(#REF!,M63,U63,AC63,AD63:AH63)</f>
        <v>#REF!</v>
      </c>
      <c r="AM63" s="120"/>
      <c r="AN63" s="120"/>
      <c r="AO63" s="120"/>
      <c r="AP63" s="120"/>
      <c r="AQ63" s="120"/>
      <c r="AR63" s="209"/>
      <c r="AS63" s="205"/>
      <c r="AT63" s="205">
        <f t="shared" si="522"/>
        <v>0</v>
      </c>
      <c r="AU63" s="120"/>
      <c r="AV63" s="120"/>
      <c r="AW63" s="120"/>
      <c r="AX63" s="120"/>
      <c r="AY63" s="120"/>
      <c r="AZ63" s="209"/>
      <c r="BA63" s="205"/>
      <c r="BB63" s="205">
        <f t="shared" si="523"/>
        <v>0</v>
      </c>
      <c r="BC63" s="120"/>
      <c r="BD63" s="120"/>
      <c r="BE63" s="120"/>
      <c r="BF63" s="120"/>
      <c r="BG63" s="120"/>
      <c r="BH63" s="209"/>
      <c r="BI63" s="205"/>
      <c r="BJ63" s="205">
        <f t="shared" si="524"/>
        <v>0</v>
      </c>
      <c r="BK63" s="120"/>
      <c r="BL63" s="120"/>
      <c r="BM63" s="120"/>
      <c r="BN63" s="120"/>
      <c r="BO63" s="205"/>
      <c r="BP63" s="209"/>
      <c r="BQ63" s="205"/>
      <c r="BR63" s="205">
        <f t="shared" si="248"/>
        <v>0</v>
      </c>
      <c r="BS63" s="205">
        <f t="shared" si="129"/>
        <v>0</v>
      </c>
      <c r="BT63" s="120"/>
      <c r="BU63" s="120"/>
      <c r="BV63" s="120"/>
      <c r="BW63" s="120"/>
      <c r="BX63" s="120"/>
      <c r="BY63" s="209"/>
      <c r="BZ63" s="205"/>
      <c r="CA63" s="205">
        <f t="shared" si="525"/>
        <v>0</v>
      </c>
      <c r="CB63" s="120"/>
      <c r="CC63" s="120"/>
      <c r="CD63" s="120"/>
      <c r="CE63" s="120"/>
      <c r="CF63" s="120"/>
      <c r="CG63" s="209"/>
      <c r="CH63" s="205"/>
      <c r="CI63" s="205">
        <f t="shared" si="526"/>
        <v>0</v>
      </c>
      <c r="CJ63" s="120"/>
      <c r="CK63" s="120"/>
      <c r="CL63" s="120"/>
      <c r="CM63" s="120"/>
      <c r="CN63" s="120"/>
      <c r="CO63" s="209"/>
      <c r="CP63" s="205"/>
      <c r="CQ63" s="205">
        <f t="shared" si="527"/>
        <v>0</v>
      </c>
      <c r="CR63" s="120"/>
      <c r="CS63" s="120"/>
      <c r="CT63" s="120"/>
      <c r="CU63" s="120"/>
      <c r="CV63" s="120"/>
      <c r="CW63" s="209"/>
      <c r="CX63" s="205"/>
      <c r="CY63" s="205">
        <f t="shared" si="528"/>
        <v>0</v>
      </c>
      <c r="CZ63" s="120"/>
      <c r="DA63" s="120"/>
      <c r="DB63" s="120"/>
      <c r="DC63" s="205"/>
      <c r="DD63" s="205"/>
      <c r="DE63" s="209"/>
      <c r="DF63" s="205"/>
      <c r="DG63" s="205">
        <f t="shared" si="529"/>
        <v>0</v>
      </c>
      <c r="DH63" s="205">
        <f t="shared" si="150"/>
        <v>0</v>
      </c>
      <c r="DI63" s="120"/>
      <c r="DJ63" s="120"/>
      <c r="DK63" s="120"/>
      <c r="DL63" s="120"/>
      <c r="DM63" s="120"/>
      <c r="DN63" s="209"/>
      <c r="DO63" s="205"/>
      <c r="DP63" s="205">
        <f t="shared" si="228"/>
        <v>0</v>
      </c>
      <c r="DQ63" s="120"/>
      <c r="DR63" s="120"/>
      <c r="DS63" s="120"/>
      <c r="DT63" s="120"/>
      <c r="DU63" s="120"/>
      <c r="DV63" s="209"/>
      <c r="DW63" s="205"/>
      <c r="DX63" s="205">
        <f t="shared" si="136"/>
        <v>0</v>
      </c>
      <c r="DY63" s="120"/>
      <c r="DZ63" s="120"/>
      <c r="EA63" s="120"/>
      <c r="EB63" s="120"/>
      <c r="EC63" s="120"/>
      <c r="ED63" s="209"/>
      <c r="EE63" s="205"/>
      <c r="EF63" s="205">
        <f t="shared" si="137"/>
        <v>0</v>
      </c>
      <c r="EG63" s="120"/>
      <c r="EH63" s="120"/>
      <c r="EI63" s="120"/>
      <c r="EJ63" s="205"/>
      <c r="EK63" s="205"/>
      <c r="EL63" s="209"/>
      <c r="EM63" s="205"/>
      <c r="EN63" s="205">
        <f t="shared" si="138"/>
        <v>0</v>
      </c>
      <c r="EO63" s="205">
        <f t="shared" si="151"/>
        <v>0</v>
      </c>
      <c r="EP63" s="120"/>
      <c r="EQ63" s="120"/>
      <c r="ER63" s="120"/>
      <c r="ES63" s="120"/>
      <c r="ET63" s="120"/>
      <c r="EU63" s="209"/>
      <c r="EV63" s="205"/>
      <c r="EW63" s="205">
        <f t="shared" si="139"/>
        <v>0</v>
      </c>
      <c r="EX63" s="120"/>
      <c r="EY63" s="120"/>
      <c r="EZ63" s="120"/>
      <c r="FA63" s="120"/>
      <c r="FB63" s="120"/>
      <c r="FC63" s="209"/>
      <c r="FD63" s="205"/>
      <c r="FE63" s="205">
        <f t="shared" si="140"/>
        <v>0</v>
      </c>
      <c r="FF63" s="120"/>
      <c r="FG63" s="120"/>
      <c r="FH63" s="120"/>
      <c r="FI63" s="120"/>
      <c r="FJ63" s="120"/>
      <c r="FK63" s="209"/>
      <c r="FL63" s="205"/>
      <c r="FM63" s="205">
        <f t="shared" si="141"/>
        <v>0</v>
      </c>
      <c r="FN63" s="120"/>
      <c r="FO63" s="120"/>
      <c r="FP63" s="120"/>
      <c r="FQ63" s="120"/>
      <c r="FR63" s="205"/>
      <c r="FS63" s="209"/>
      <c r="FT63" s="205"/>
      <c r="FU63" s="205">
        <f t="shared" si="142"/>
        <v>0</v>
      </c>
      <c r="FV63" s="205">
        <f t="shared" si="152"/>
        <v>0</v>
      </c>
      <c r="FW63" s="120"/>
      <c r="FX63" s="120"/>
      <c r="FY63" s="120"/>
      <c r="FZ63" s="120"/>
      <c r="GA63" s="120"/>
      <c r="GB63" s="209"/>
      <c r="GC63" s="205"/>
      <c r="GD63" s="205">
        <f t="shared" si="143"/>
        <v>0</v>
      </c>
      <c r="GE63" s="120"/>
      <c r="GF63" s="120"/>
      <c r="GG63" s="120"/>
      <c r="GH63" s="120"/>
      <c r="GI63" s="120"/>
      <c r="GJ63" s="209"/>
      <c r="GK63" s="205"/>
      <c r="GL63" s="205">
        <f t="shared" si="144"/>
        <v>0</v>
      </c>
      <c r="GM63" s="120"/>
      <c r="GN63" s="120"/>
      <c r="GO63" s="120"/>
      <c r="GP63" s="120"/>
      <c r="GQ63" s="120"/>
      <c r="GR63" s="209"/>
      <c r="GS63" s="205"/>
      <c r="GT63" s="205">
        <f t="shared" si="145"/>
        <v>0</v>
      </c>
      <c r="GU63" s="120"/>
      <c r="GV63" s="120"/>
      <c r="GW63" s="120"/>
      <c r="GX63" s="120"/>
      <c r="GY63" s="120"/>
      <c r="GZ63" s="209"/>
      <c r="HA63" s="205"/>
      <c r="HB63" s="205">
        <f t="shared" si="146"/>
        <v>0</v>
      </c>
      <c r="HC63" s="120"/>
      <c r="HD63" s="120"/>
      <c r="HE63" s="120"/>
      <c r="HF63" s="120"/>
      <c r="HG63" s="120"/>
      <c r="HH63" s="209"/>
      <c r="HI63" s="205"/>
      <c r="HJ63" s="205">
        <f t="shared" si="147"/>
        <v>0</v>
      </c>
      <c r="HK63" s="205">
        <f t="shared" si="153"/>
        <v>0</v>
      </c>
      <c r="HL63" s="124"/>
      <c r="HM63" s="120"/>
      <c r="HN63" s="120"/>
      <c r="HO63" s="120"/>
      <c r="HP63" s="120"/>
      <c r="HQ63" s="205"/>
      <c r="HR63" s="205"/>
      <c r="HS63" s="205">
        <f t="shared" si="154"/>
        <v>0</v>
      </c>
      <c r="HT63" s="120"/>
      <c r="HU63" s="120"/>
      <c r="HV63" s="120"/>
      <c r="HW63" s="120"/>
      <c r="HX63" s="120"/>
      <c r="HY63" s="205"/>
      <c r="HZ63" s="205"/>
      <c r="IA63" s="205">
        <f t="shared" si="155"/>
        <v>0</v>
      </c>
      <c r="IB63" s="120"/>
      <c r="IC63" s="120"/>
      <c r="ID63" s="120"/>
      <c r="IE63" s="120"/>
      <c r="IF63" s="120"/>
      <c r="IG63" s="205"/>
      <c r="IH63" s="205"/>
      <c r="II63" s="205">
        <f t="shared" si="156"/>
        <v>0</v>
      </c>
      <c r="IJ63" s="120"/>
      <c r="IK63" s="120"/>
      <c r="IL63" s="120"/>
      <c r="IM63" s="120"/>
      <c r="IN63" s="120"/>
      <c r="IO63" s="205"/>
      <c r="IP63" s="205"/>
      <c r="IQ63" s="205">
        <f t="shared" si="157"/>
        <v>0</v>
      </c>
      <c r="IR63" s="205">
        <f t="shared" si="158"/>
        <v>0</v>
      </c>
      <c r="IS63" s="120"/>
      <c r="IT63" s="120"/>
      <c r="IU63" s="120"/>
      <c r="IV63" s="120"/>
      <c r="IW63" s="120"/>
      <c r="IX63" s="205"/>
      <c r="IY63" s="205"/>
      <c r="IZ63" s="205">
        <f t="shared" si="159"/>
        <v>0</v>
      </c>
      <c r="JA63" s="120"/>
      <c r="JB63" s="120"/>
      <c r="JC63" s="120"/>
      <c r="JD63" s="120"/>
      <c r="JE63" s="120"/>
      <c r="JF63" s="205"/>
      <c r="JG63" s="205"/>
      <c r="JH63" s="205">
        <f t="shared" si="160"/>
        <v>0</v>
      </c>
      <c r="JI63" s="120"/>
      <c r="JJ63" s="120"/>
      <c r="JK63" s="120"/>
      <c r="JL63" s="120"/>
      <c r="JM63" s="120"/>
      <c r="JN63" s="205"/>
      <c r="JO63" s="205"/>
      <c r="JP63" s="205">
        <f t="shared" si="161"/>
        <v>0</v>
      </c>
      <c r="JQ63" s="120"/>
      <c r="JR63" s="120"/>
      <c r="JS63" s="120"/>
      <c r="JT63" s="120"/>
      <c r="JU63" s="120"/>
      <c r="JV63" s="205"/>
      <c r="JW63" s="205"/>
      <c r="JX63" s="205">
        <f t="shared" si="162"/>
        <v>0</v>
      </c>
      <c r="JY63" s="205">
        <f t="shared" si="163"/>
        <v>0</v>
      </c>
      <c r="JZ63" s="250">
        <v>450</v>
      </c>
      <c r="KA63" s="120"/>
      <c r="KB63" s="120"/>
      <c r="KC63" s="120"/>
      <c r="KD63" s="120"/>
      <c r="KE63" s="205"/>
      <c r="KF63" s="205"/>
      <c r="KG63" s="205">
        <f t="shared" si="164"/>
        <v>450</v>
      </c>
      <c r="KH63" s="120"/>
      <c r="KI63" s="120"/>
      <c r="KJ63" s="120"/>
      <c r="KK63" s="120"/>
      <c r="KL63" s="120"/>
      <c r="KM63" s="205"/>
      <c r="KN63" s="205"/>
      <c r="KO63" s="205">
        <f t="shared" si="165"/>
        <v>0</v>
      </c>
      <c r="KP63" s="120"/>
      <c r="KQ63" s="120"/>
      <c r="KR63" s="120"/>
      <c r="KS63" s="120"/>
      <c r="KT63" s="120"/>
      <c r="KU63" s="205"/>
      <c r="KV63" s="205"/>
      <c r="KW63" s="205">
        <f t="shared" si="166"/>
        <v>0</v>
      </c>
      <c r="KX63" s="120"/>
      <c r="KY63" s="120"/>
      <c r="KZ63" s="120"/>
      <c r="LA63" s="120"/>
      <c r="LB63" s="120"/>
      <c r="LC63" s="205"/>
      <c r="LD63" s="205"/>
      <c r="LE63" s="205">
        <f t="shared" si="167"/>
        <v>0</v>
      </c>
      <c r="LF63" s="205"/>
      <c r="LG63" s="120"/>
      <c r="LH63" s="120"/>
      <c r="LI63" s="120"/>
      <c r="LJ63" s="120"/>
      <c r="LK63" s="205"/>
      <c r="LL63" s="205"/>
      <c r="LM63" s="205">
        <f t="shared" si="168"/>
        <v>0</v>
      </c>
      <c r="LN63" s="205">
        <f t="shared" si="169"/>
        <v>450</v>
      </c>
      <c r="LO63" s="205"/>
      <c r="LP63" s="120"/>
      <c r="LQ63" s="120"/>
      <c r="LR63" s="120"/>
      <c r="LS63" s="205"/>
      <c r="LT63" s="205"/>
      <c r="LU63" s="205"/>
      <c r="LV63" s="205">
        <f t="shared" si="170"/>
        <v>0</v>
      </c>
      <c r="LW63" s="120"/>
      <c r="LX63" s="195">
        <v>150</v>
      </c>
      <c r="LY63" s="120"/>
      <c r="LZ63" s="120"/>
      <c r="MA63" s="120"/>
      <c r="MB63" s="205"/>
      <c r="MC63" s="205"/>
      <c r="MD63" s="205">
        <f t="shared" si="171"/>
        <v>150</v>
      </c>
      <c r="ME63" s="120"/>
      <c r="MF63" s="120"/>
      <c r="MG63" s="120"/>
      <c r="MH63" s="120"/>
      <c r="MI63" s="205"/>
      <c r="MJ63" s="205"/>
      <c r="MK63" s="205"/>
      <c r="ML63" s="205">
        <f t="shared" si="172"/>
        <v>0</v>
      </c>
      <c r="MM63" s="120"/>
      <c r="MN63" s="120"/>
      <c r="MO63" s="120"/>
      <c r="MP63" s="120"/>
      <c r="MQ63" s="120"/>
      <c r="MR63" s="205"/>
      <c r="MS63" s="205"/>
      <c r="MT63" s="205">
        <f t="shared" si="173"/>
        <v>0</v>
      </c>
      <c r="MU63" s="205">
        <f t="shared" si="174"/>
        <v>150</v>
      </c>
      <c r="MV63" s="120"/>
      <c r="MW63" s="120"/>
      <c r="MX63" s="120"/>
      <c r="MY63" s="120"/>
      <c r="MZ63" s="120"/>
      <c r="NA63" s="205"/>
      <c r="NB63" s="205"/>
      <c r="NC63" s="205">
        <f t="shared" si="175"/>
        <v>0</v>
      </c>
      <c r="ND63" s="120"/>
      <c r="NE63" s="120"/>
      <c r="NF63" s="120"/>
      <c r="NG63" s="120"/>
      <c r="NH63" s="120"/>
      <c r="NI63" s="205"/>
      <c r="NJ63" s="205"/>
      <c r="NK63" s="205">
        <f t="shared" si="176"/>
        <v>0</v>
      </c>
      <c r="NL63" s="124">
        <v>50</v>
      </c>
      <c r="NM63" s="120"/>
      <c r="NN63" s="120"/>
      <c r="NO63" s="120"/>
      <c r="NP63" s="120"/>
      <c r="NQ63" s="205"/>
      <c r="NR63" s="205"/>
      <c r="NS63" s="205">
        <f t="shared" si="177"/>
        <v>50</v>
      </c>
      <c r="NT63" s="120"/>
      <c r="NU63" s="120"/>
      <c r="NV63" s="120"/>
      <c r="NW63" s="120"/>
      <c r="NX63" s="120"/>
      <c r="NY63" s="205"/>
      <c r="NZ63" s="205"/>
      <c r="OA63" s="205">
        <f t="shared" si="178"/>
        <v>0</v>
      </c>
      <c r="OB63" s="205">
        <f t="shared" si="179"/>
        <v>50</v>
      </c>
      <c r="OC63" s="217">
        <v>200</v>
      </c>
      <c r="OD63" s="120"/>
      <c r="OE63" s="120"/>
      <c r="OF63" s="120"/>
      <c r="OG63" s="120"/>
      <c r="OH63" s="205"/>
      <c r="OI63" s="205"/>
      <c r="OJ63" s="205">
        <f t="shared" si="180"/>
        <v>200</v>
      </c>
      <c r="OK63" s="120"/>
      <c r="OL63" s="120"/>
      <c r="OM63" s="120"/>
      <c r="ON63" s="120"/>
      <c r="OO63" s="120"/>
      <c r="OP63" s="205"/>
      <c r="OQ63" s="205"/>
      <c r="OR63" s="205">
        <f t="shared" si="181"/>
        <v>0</v>
      </c>
      <c r="OS63" s="120"/>
      <c r="OT63" s="120"/>
      <c r="OU63" s="120"/>
      <c r="OV63" s="120"/>
      <c r="OW63" s="120"/>
      <c r="OX63" s="205"/>
      <c r="OY63" s="205"/>
      <c r="OZ63" s="205">
        <f t="shared" si="182"/>
        <v>0</v>
      </c>
      <c r="PA63" s="120"/>
      <c r="PB63" s="120"/>
      <c r="PC63" s="120"/>
      <c r="PD63" s="205"/>
      <c r="PE63" s="217"/>
      <c r="PF63" s="205"/>
      <c r="PG63" s="205"/>
      <c r="PH63" s="205">
        <f t="shared" si="183"/>
        <v>0</v>
      </c>
      <c r="PI63" s="120"/>
      <c r="PJ63" s="120"/>
      <c r="PK63" s="120"/>
      <c r="PL63" s="205"/>
      <c r="PM63" s="217"/>
      <c r="PN63" s="205"/>
      <c r="PO63" s="205"/>
      <c r="PP63" s="205">
        <f t="shared" si="184"/>
        <v>0</v>
      </c>
      <c r="PQ63" s="205">
        <f t="shared" si="185"/>
        <v>200</v>
      </c>
      <c r="PR63" s="207"/>
      <c r="PS63" s="207"/>
      <c r="PT63" s="207"/>
      <c r="PU63" s="207"/>
      <c r="PV63" s="207"/>
      <c r="PW63" s="272"/>
      <c r="PX63" s="272"/>
      <c r="PY63" s="205">
        <f t="shared" si="186"/>
        <v>0</v>
      </c>
      <c r="PZ63" s="207"/>
      <c r="QA63" s="207"/>
      <c r="QB63" s="207"/>
      <c r="QC63" s="207"/>
      <c r="QD63" s="207"/>
      <c r="QE63" s="272"/>
      <c r="QF63" s="272"/>
      <c r="QG63" s="205">
        <f t="shared" si="187"/>
        <v>0</v>
      </c>
      <c r="QH63" s="207"/>
      <c r="QI63" s="207"/>
      <c r="QJ63" s="294"/>
      <c r="QK63" s="207"/>
      <c r="QL63" s="207"/>
      <c r="QM63" s="272"/>
      <c r="QN63" s="272"/>
      <c r="QO63" s="205">
        <f t="shared" si="188"/>
        <v>0</v>
      </c>
      <c r="QP63" s="207"/>
      <c r="QQ63" s="207"/>
      <c r="QR63" s="207"/>
      <c r="QS63" s="207"/>
      <c r="QT63" s="207"/>
      <c r="QU63" s="272"/>
      <c r="QV63" s="272"/>
      <c r="QW63" s="205">
        <f t="shared" si="320"/>
        <v>0</v>
      </c>
      <c r="QX63" s="205">
        <f t="shared" si="190"/>
        <v>0</v>
      </c>
      <c r="QY63" s="207"/>
      <c r="QZ63" s="207"/>
      <c r="RA63" s="207"/>
      <c r="RB63" s="207"/>
      <c r="RC63" s="207"/>
      <c r="RD63" s="272"/>
      <c r="RE63" s="272"/>
      <c r="RF63" s="205">
        <f t="shared" si="191"/>
        <v>0</v>
      </c>
      <c r="RG63" s="207"/>
      <c r="RH63" s="195">
        <v>400</v>
      </c>
      <c r="RI63" s="207"/>
      <c r="RJ63" s="207"/>
      <c r="RK63" s="207"/>
      <c r="RL63" s="272"/>
      <c r="RM63" s="272"/>
      <c r="RN63" s="205">
        <f t="shared" si="192"/>
        <v>400</v>
      </c>
      <c r="RO63" s="272"/>
      <c r="RP63" s="272"/>
      <c r="RQ63" s="272"/>
      <c r="RR63" s="272"/>
      <c r="RS63" s="272"/>
      <c r="RT63" s="272"/>
      <c r="RU63" s="272"/>
      <c r="RV63" s="205">
        <f t="shared" si="193"/>
        <v>0</v>
      </c>
      <c r="RW63" s="120"/>
      <c r="RX63" s="207"/>
      <c r="RY63" s="120"/>
      <c r="RZ63" s="120"/>
      <c r="SA63" s="272"/>
      <c r="SB63" s="272"/>
      <c r="SC63" s="272"/>
      <c r="SD63" s="205">
        <f t="shared" si="194"/>
        <v>0</v>
      </c>
      <c r="SE63" s="205">
        <f t="shared" si="195"/>
        <v>400</v>
      </c>
      <c r="SF63" s="207"/>
      <c r="SG63" s="207"/>
      <c r="SH63" s="207"/>
      <c r="SI63" s="207"/>
      <c r="SJ63" s="207"/>
      <c r="SK63" s="272"/>
      <c r="SL63" s="272"/>
      <c r="SM63" s="205">
        <f t="shared" si="196"/>
        <v>0</v>
      </c>
      <c r="SN63" s="207"/>
      <c r="SO63" s="195">
        <v>170</v>
      </c>
      <c r="SP63" s="207"/>
      <c r="SQ63" s="207"/>
      <c r="SR63" s="207"/>
      <c r="SS63" s="272"/>
      <c r="ST63" s="272"/>
      <c r="SU63" s="205">
        <f t="shared" si="197"/>
        <v>170</v>
      </c>
      <c r="SV63" s="207"/>
      <c r="SW63" s="207"/>
      <c r="SX63" s="207"/>
      <c r="SY63" s="207"/>
      <c r="SZ63" s="207"/>
      <c r="TA63" s="272"/>
      <c r="TB63" s="272"/>
      <c r="TC63" s="205">
        <f t="shared" si="198"/>
        <v>0</v>
      </c>
      <c r="TD63" s="207"/>
      <c r="TE63" s="207"/>
      <c r="TF63" s="207"/>
      <c r="TG63" s="207"/>
      <c r="TH63" s="207"/>
      <c r="TI63" s="272"/>
      <c r="TJ63" s="272"/>
      <c r="TK63" s="205">
        <f t="shared" si="199"/>
        <v>0</v>
      </c>
      <c r="TL63" s="207"/>
      <c r="TM63" s="207"/>
      <c r="TN63" s="207"/>
      <c r="TO63" s="207"/>
      <c r="TP63" s="272"/>
      <c r="TQ63" s="272"/>
      <c r="TR63" s="272"/>
      <c r="TS63" s="205">
        <f t="shared" si="200"/>
        <v>0</v>
      </c>
      <c r="TT63" s="205">
        <f t="shared" si="201"/>
        <v>170</v>
      </c>
      <c r="TU63" s="272"/>
      <c r="TV63" s="201">
        <v>240</v>
      </c>
      <c r="TW63" s="207"/>
      <c r="TX63" s="207"/>
      <c r="TY63" s="207"/>
      <c r="TZ63" s="272"/>
      <c r="UA63" s="272"/>
      <c r="UB63" s="205">
        <f t="shared" si="202"/>
        <v>240</v>
      </c>
      <c r="UC63" s="207"/>
      <c r="UD63" s="207"/>
      <c r="UE63" s="207"/>
      <c r="UF63" s="207"/>
      <c r="UG63" s="207"/>
      <c r="UH63" s="272"/>
      <c r="UI63" s="272"/>
      <c r="UJ63" s="205">
        <f t="shared" si="203"/>
        <v>0</v>
      </c>
      <c r="UK63" s="207"/>
      <c r="UL63" s="207"/>
      <c r="UM63" s="207"/>
      <c r="UN63" s="207"/>
      <c r="UO63" s="207"/>
      <c r="UP63" s="272"/>
      <c r="UQ63" s="272"/>
      <c r="UR63" s="205">
        <f t="shared" si="227"/>
        <v>0</v>
      </c>
      <c r="US63" s="207"/>
      <c r="UT63" s="207"/>
      <c r="UU63" s="207"/>
      <c r="UV63" s="207"/>
      <c r="UW63" s="272"/>
      <c r="UX63" s="272"/>
      <c r="UY63" s="272"/>
      <c r="UZ63" s="205">
        <f t="shared" si="204"/>
        <v>0</v>
      </c>
      <c r="VA63" s="205">
        <f t="shared" si="205"/>
        <v>240</v>
      </c>
      <c r="VB63" s="207"/>
      <c r="VC63" s="207"/>
      <c r="VD63" s="201">
        <v>240</v>
      </c>
      <c r="VE63" s="207"/>
      <c r="VF63" s="207"/>
      <c r="VG63" s="272"/>
      <c r="VH63" s="272"/>
      <c r="VI63" s="205">
        <f t="shared" si="206"/>
        <v>240</v>
      </c>
      <c r="VJ63" s="207"/>
      <c r="VK63" s="207"/>
      <c r="VL63" s="207"/>
      <c r="VM63" s="207"/>
      <c r="VN63" s="207"/>
      <c r="VO63" s="272"/>
      <c r="VP63" s="272"/>
      <c r="VQ63" s="205">
        <f t="shared" si="207"/>
        <v>0</v>
      </c>
      <c r="VR63" s="207"/>
      <c r="VS63" s="207"/>
      <c r="VT63" s="207"/>
      <c r="VU63" s="207"/>
      <c r="VV63" s="207"/>
      <c r="VW63" s="272"/>
      <c r="VX63" s="272"/>
      <c r="VY63" s="205">
        <f t="shared" si="208"/>
        <v>0</v>
      </c>
      <c r="VZ63" s="207"/>
      <c r="WA63" s="207"/>
      <c r="WB63" s="207"/>
      <c r="WC63" s="124">
        <v>150</v>
      </c>
      <c r="WD63" s="207"/>
      <c r="WE63" s="272"/>
      <c r="WF63" s="272"/>
      <c r="WG63" s="205">
        <f t="shared" si="209"/>
        <v>150</v>
      </c>
      <c r="WH63" s="205">
        <f t="shared" si="210"/>
        <v>390</v>
      </c>
      <c r="WI63" s="207"/>
      <c r="WJ63" s="207"/>
      <c r="WK63" s="207"/>
      <c r="WL63" s="207"/>
      <c r="WM63" s="207"/>
      <c r="WN63" s="272"/>
      <c r="WO63" s="272"/>
      <c r="WP63" s="205">
        <f t="shared" si="211"/>
        <v>0</v>
      </c>
      <c r="WQ63" s="207"/>
      <c r="WR63" s="207"/>
      <c r="WS63" s="207"/>
      <c r="WT63" s="207"/>
      <c r="WU63" s="207"/>
      <c r="WV63" s="272"/>
      <c r="WW63" s="272"/>
      <c r="WX63" s="205">
        <f t="shared" si="212"/>
        <v>0</v>
      </c>
      <c r="WY63" s="207"/>
      <c r="WZ63" s="207"/>
      <c r="XA63" s="207"/>
      <c r="XB63" s="207"/>
      <c r="XC63" s="272"/>
      <c r="XD63" s="272"/>
      <c r="XE63" s="272"/>
      <c r="XF63" s="205">
        <f t="shared" si="213"/>
        <v>0</v>
      </c>
      <c r="XG63" s="207"/>
      <c r="XH63" s="207"/>
      <c r="XI63" s="207"/>
      <c r="XJ63" s="207"/>
      <c r="XK63" s="207"/>
      <c r="XL63" s="272"/>
      <c r="XM63" s="272"/>
      <c r="XN63" s="205">
        <f t="shared" si="214"/>
        <v>0</v>
      </c>
      <c r="XO63" s="207"/>
      <c r="XP63" s="207"/>
      <c r="XQ63" s="207"/>
      <c r="XR63" s="207"/>
      <c r="XS63" s="207"/>
      <c r="XT63" s="272"/>
      <c r="XU63" s="272"/>
      <c r="XV63" s="205">
        <f t="shared" si="215"/>
        <v>0</v>
      </c>
      <c r="XW63" s="205">
        <f t="shared" si="216"/>
        <v>0</v>
      </c>
      <c r="XX63" s="207"/>
      <c r="XY63" s="207"/>
      <c r="XZ63" s="207"/>
      <c r="YA63" s="207"/>
      <c r="YB63" s="207"/>
      <c r="YC63" s="272"/>
      <c r="YD63" s="272"/>
      <c r="YE63" s="205">
        <f t="shared" si="217"/>
        <v>0</v>
      </c>
      <c r="YF63" s="207"/>
      <c r="YG63" s="124">
        <v>320</v>
      </c>
      <c r="YH63" s="207"/>
      <c r="YI63" s="207"/>
      <c r="YJ63" s="207"/>
      <c r="YK63" s="272"/>
      <c r="YL63" s="272"/>
      <c r="YM63" s="205">
        <f t="shared" si="218"/>
        <v>320</v>
      </c>
      <c r="YN63" s="207"/>
      <c r="YO63" s="207"/>
      <c r="YP63" s="207"/>
      <c r="YQ63" s="207"/>
      <c r="YR63" s="207"/>
      <c r="YS63" s="272"/>
      <c r="YT63" s="272"/>
      <c r="YU63" s="205">
        <f t="shared" si="148"/>
        <v>0</v>
      </c>
      <c r="YV63" s="207"/>
      <c r="YW63" s="207"/>
      <c r="YX63" s="207"/>
      <c r="YY63" s="207"/>
      <c r="YZ63" s="207"/>
      <c r="ZA63" s="272"/>
      <c r="ZB63" s="272"/>
      <c r="ZC63" s="205">
        <f t="shared" si="219"/>
        <v>0</v>
      </c>
      <c r="ZD63" s="205">
        <f t="shared" si="516"/>
        <v>320</v>
      </c>
      <c r="ZE63" s="207"/>
      <c r="ZF63" s="207"/>
      <c r="ZG63" s="207"/>
      <c r="ZH63" s="207"/>
      <c r="ZI63" s="207"/>
      <c r="ZJ63" s="272"/>
      <c r="ZK63" s="272"/>
      <c r="ZL63" s="205">
        <f t="shared" si="220"/>
        <v>0</v>
      </c>
      <c r="ZM63" s="207"/>
      <c r="ZN63" s="207"/>
      <c r="ZO63" s="207"/>
      <c r="ZP63" s="207"/>
      <c r="ZQ63" s="207"/>
      <c r="ZR63" s="272"/>
      <c r="ZS63" s="272"/>
      <c r="ZT63" s="205">
        <f t="shared" si="221"/>
        <v>0</v>
      </c>
      <c r="ZU63" s="207"/>
      <c r="ZV63" s="207"/>
      <c r="ZW63" s="207"/>
      <c r="ZX63" s="207"/>
      <c r="ZY63" s="207"/>
      <c r="ZZ63" s="272"/>
      <c r="AAA63" s="272"/>
      <c r="AAB63" s="205">
        <f t="shared" si="222"/>
        <v>0</v>
      </c>
      <c r="AAC63" s="207"/>
      <c r="AAD63" s="207"/>
      <c r="AAE63" s="207"/>
      <c r="AAF63" s="207"/>
      <c r="AAG63" s="207"/>
      <c r="AAH63" s="272"/>
      <c r="AAI63" s="272"/>
      <c r="AAJ63" s="205">
        <f t="shared" si="223"/>
        <v>0</v>
      </c>
      <c r="AAK63" s="207"/>
      <c r="AAL63" s="207"/>
      <c r="AAM63" s="207"/>
      <c r="AAN63" s="207"/>
      <c r="AAO63" s="207"/>
      <c r="AAP63" s="272"/>
      <c r="AAQ63" s="272"/>
      <c r="AAR63" s="205">
        <f t="shared" si="224"/>
        <v>0</v>
      </c>
      <c r="AAS63" s="205">
        <f t="shared" si="225"/>
        <v>0</v>
      </c>
    </row>
    <row r="64" spans="1:721" ht="70.5" customHeight="1">
      <c r="A64" s="117" t="s">
        <v>6</v>
      </c>
      <c r="B64" s="166">
        <v>3630101701</v>
      </c>
      <c r="C64" s="332"/>
      <c r="D64" s="163" t="s">
        <v>21</v>
      </c>
      <c r="E64" s="130" t="s">
        <v>4</v>
      </c>
      <c r="F64" s="120"/>
      <c r="G64" s="120"/>
      <c r="H64" s="120"/>
      <c r="I64" s="120"/>
      <c r="J64" s="120"/>
      <c r="K64" s="209"/>
      <c r="L64" s="205"/>
      <c r="M64" s="205">
        <f t="shared" si="303"/>
        <v>0</v>
      </c>
      <c r="N64" s="120"/>
      <c r="O64" s="120"/>
      <c r="P64" s="124">
        <v>500</v>
      </c>
      <c r="Q64" s="120"/>
      <c r="R64" s="120"/>
      <c r="S64" s="209"/>
      <c r="T64" s="205"/>
      <c r="U64" s="205">
        <f t="shared" si="304"/>
        <v>500</v>
      </c>
      <c r="V64" s="120"/>
      <c r="W64" s="120"/>
      <c r="X64" s="120"/>
      <c r="Y64" s="120"/>
      <c r="Z64" s="120"/>
      <c r="AA64" s="209"/>
      <c r="AB64" s="205"/>
      <c r="AC64" s="205">
        <f t="shared" si="305"/>
        <v>0</v>
      </c>
      <c r="AD64" s="205"/>
      <c r="AE64" s="205"/>
      <c r="AF64" s="205"/>
      <c r="AG64" s="205"/>
      <c r="AH64" s="205"/>
      <c r="AI64" s="209"/>
      <c r="AJ64" s="205"/>
      <c r="AK64" s="205">
        <f t="shared" si="306"/>
        <v>0</v>
      </c>
      <c r="AL64" s="205" t="e">
        <f>SUM(#REF!,M64,U64,AC64,AD64:AH64)</f>
        <v>#REF!</v>
      </c>
      <c r="AM64" s="120"/>
      <c r="AN64" s="120"/>
      <c r="AO64" s="120"/>
      <c r="AP64" s="120"/>
      <c r="AQ64" s="120"/>
      <c r="AR64" s="209"/>
      <c r="AS64" s="205"/>
      <c r="AT64" s="205">
        <f t="shared" si="245"/>
        <v>0</v>
      </c>
      <c r="AU64" s="201">
        <v>500</v>
      </c>
      <c r="AV64" s="120"/>
      <c r="AW64" s="120"/>
      <c r="AX64" s="120"/>
      <c r="AY64" s="120"/>
      <c r="AZ64" s="209"/>
      <c r="BA64" s="205"/>
      <c r="BB64" s="205">
        <f t="shared" si="246"/>
        <v>500</v>
      </c>
      <c r="BC64" s="207"/>
      <c r="BD64" s="120"/>
      <c r="BE64" s="120"/>
      <c r="BF64" s="120"/>
      <c r="BG64" s="120"/>
      <c r="BH64" s="209"/>
      <c r="BI64" s="205"/>
      <c r="BJ64" s="205">
        <f t="shared" si="517"/>
        <v>0</v>
      </c>
      <c r="BK64" s="120"/>
      <c r="BL64" s="120"/>
      <c r="BM64" s="120"/>
      <c r="BN64" s="120"/>
      <c r="BO64" s="205"/>
      <c r="BP64" s="209"/>
      <c r="BQ64" s="205"/>
      <c r="BR64" s="205">
        <f t="shared" si="248"/>
        <v>0</v>
      </c>
      <c r="BS64" s="205">
        <f t="shared" si="129"/>
        <v>500</v>
      </c>
      <c r="BT64" s="120"/>
      <c r="BU64" s="120"/>
      <c r="BV64" s="120"/>
      <c r="BW64" s="120"/>
      <c r="BX64" s="120"/>
      <c r="BY64" s="209"/>
      <c r="BZ64" s="205"/>
      <c r="CA64" s="205">
        <f t="shared" si="250"/>
        <v>0</v>
      </c>
      <c r="CB64" s="120"/>
      <c r="CC64" s="120"/>
      <c r="CD64" s="120"/>
      <c r="CE64" s="201">
        <v>1500</v>
      </c>
      <c r="CF64" s="120"/>
      <c r="CG64" s="209"/>
      <c r="CH64" s="205"/>
      <c r="CI64" s="205">
        <f t="shared" si="251"/>
        <v>1500</v>
      </c>
      <c r="CJ64" s="120"/>
      <c r="CK64" s="120"/>
      <c r="CL64" s="120"/>
      <c r="CM64" s="120"/>
      <c r="CN64" s="120"/>
      <c r="CO64" s="209"/>
      <c r="CP64" s="205"/>
      <c r="CQ64" s="205">
        <f t="shared" si="252"/>
        <v>0</v>
      </c>
      <c r="CR64" s="120"/>
      <c r="CS64" s="120"/>
      <c r="CT64" s="120"/>
      <c r="CU64" s="120"/>
      <c r="CV64" s="217">
        <v>800</v>
      </c>
      <c r="CW64" s="209"/>
      <c r="CX64" s="205"/>
      <c r="CY64" s="205">
        <f t="shared" si="253"/>
        <v>800</v>
      </c>
      <c r="CZ64" s="120"/>
      <c r="DA64" s="120"/>
      <c r="DB64" s="120"/>
      <c r="DC64" s="205"/>
      <c r="DD64" s="205"/>
      <c r="DE64" s="209"/>
      <c r="DF64" s="205"/>
      <c r="DG64" s="205">
        <f t="shared" si="254"/>
        <v>0</v>
      </c>
      <c r="DH64" s="205">
        <f t="shared" si="150"/>
        <v>2300</v>
      </c>
      <c r="DI64" s="120"/>
      <c r="DJ64" s="120"/>
      <c r="DK64" s="120"/>
      <c r="DL64" s="120"/>
      <c r="DM64" s="120"/>
      <c r="DN64" s="209"/>
      <c r="DO64" s="205"/>
      <c r="DP64" s="205">
        <f t="shared" si="228"/>
        <v>0</v>
      </c>
      <c r="DQ64" s="120"/>
      <c r="DR64" s="120"/>
      <c r="DS64" s="120"/>
      <c r="DT64" s="120"/>
      <c r="DU64" s="120"/>
      <c r="DV64" s="209"/>
      <c r="DW64" s="205"/>
      <c r="DX64" s="205">
        <f t="shared" si="136"/>
        <v>0</v>
      </c>
      <c r="DY64" s="120"/>
      <c r="DZ64" s="120"/>
      <c r="EA64" s="120"/>
      <c r="EB64" s="120"/>
      <c r="EC64" s="120"/>
      <c r="ED64" s="209"/>
      <c r="EE64" s="205"/>
      <c r="EF64" s="205">
        <f t="shared" si="137"/>
        <v>0</v>
      </c>
      <c r="EG64" s="120"/>
      <c r="EH64" s="120"/>
      <c r="EI64" s="120"/>
      <c r="EJ64" s="205"/>
      <c r="EK64" s="205"/>
      <c r="EL64" s="209"/>
      <c r="EM64" s="205"/>
      <c r="EN64" s="205">
        <f t="shared" si="138"/>
        <v>0</v>
      </c>
      <c r="EO64" s="205">
        <f t="shared" si="151"/>
        <v>0</v>
      </c>
      <c r="EP64" s="120"/>
      <c r="EQ64" s="120"/>
      <c r="ER64" s="120"/>
      <c r="ES64" s="250">
        <v>1000</v>
      </c>
      <c r="ET64" s="120"/>
      <c r="EU64" s="209"/>
      <c r="EV64" s="205"/>
      <c r="EW64" s="205">
        <f t="shared" si="139"/>
        <v>1000</v>
      </c>
      <c r="EX64" s="120"/>
      <c r="EY64" s="120"/>
      <c r="EZ64" s="120"/>
      <c r="FA64" s="120"/>
      <c r="FB64" s="120"/>
      <c r="FC64" s="209"/>
      <c r="FD64" s="205"/>
      <c r="FE64" s="205">
        <f t="shared" si="140"/>
        <v>0</v>
      </c>
      <c r="FF64" s="120"/>
      <c r="FG64" s="120"/>
      <c r="FH64" s="120"/>
      <c r="FI64" s="120"/>
      <c r="FJ64" s="120"/>
      <c r="FK64" s="209"/>
      <c r="FL64" s="205"/>
      <c r="FM64" s="205">
        <f t="shared" si="141"/>
        <v>0</v>
      </c>
      <c r="FN64" s="120"/>
      <c r="FO64" s="120"/>
      <c r="FP64" s="120"/>
      <c r="FQ64" s="120"/>
      <c r="FR64" s="205"/>
      <c r="FS64" s="209"/>
      <c r="FT64" s="205"/>
      <c r="FU64" s="205">
        <f t="shared" si="142"/>
        <v>0</v>
      </c>
      <c r="FV64" s="205">
        <f t="shared" si="152"/>
        <v>1000</v>
      </c>
      <c r="FW64" s="120"/>
      <c r="FX64" s="120"/>
      <c r="FY64" s="120"/>
      <c r="FZ64" s="120"/>
      <c r="GA64" s="120"/>
      <c r="GB64" s="209"/>
      <c r="GC64" s="205"/>
      <c r="GD64" s="205">
        <f t="shared" si="143"/>
        <v>0</v>
      </c>
      <c r="GE64" s="120"/>
      <c r="GF64" s="120"/>
      <c r="GG64" s="120"/>
      <c r="GH64" s="120"/>
      <c r="GI64" s="120"/>
      <c r="GJ64" s="209"/>
      <c r="GK64" s="205"/>
      <c r="GL64" s="205">
        <f t="shared" si="144"/>
        <v>0</v>
      </c>
      <c r="GM64" s="250">
        <v>1500</v>
      </c>
      <c r="GN64" s="120"/>
      <c r="GO64" s="120"/>
      <c r="GP64" s="120"/>
      <c r="GQ64" s="120"/>
      <c r="GR64" s="209"/>
      <c r="GS64" s="205"/>
      <c r="GT64" s="205">
        <f t="shared" si="145"/>
        <v>1500</v>
      </c>
      <c r="GU64" s="120"/>
      <c r="GV64" s="120"/>
      <c r="GW64" s="120"/>
      <c r="GX64" s="120"/>
      <c r="GY64" s="120"/>
      <c r="GZ64" s="209"/>
      <c r="HA64" s="205"/>
      <c r="HB64" s="205">
        <f t="shared" si="146"/>
        <v>0</v>
      </c>
      <c r="HC64" s="120"/>
      <c r="HD64" s="120"/>
      <c r="HE64" s="120"/>
      <c r="HF64" s="120"/>
      <c r="HG64" s="120"/>
      <c r="HH64" s="209"/>
      <c r="HI64" s="205"/>
      <c r="HJ64" s="205">
        <f t="shared" si="147"/>
        <v>0</v>
      </c>
      <c r="HK64" s="205">
        <f t="shared" si="153"/>
        <v>1500</v>
      </c>
      <c r="HL64" s="124"/>
      <c r="HM64" s="120"/>
      <c r="HN64" s="120"/>
      <c r="HO64" s="120"/>
      <c r="HP64" s="120"/>
      <c r="HQ64" s="205"/>
      <c r="HR64" s="205"/>
      <c r="HS64" s="205">
        <f t="shared" si="154"/>
        <v>0</v>
      </c>
      <c r="HT64" s="120"/>
      <c r="HU64" s="120"/>
      <c r="HV64" s="120"/>
      <c r="HW64" s="120"/>
      <c r="HX64" s="120"/>
      <c r="HY64" s="205"/>
      <c r="HZ64" s="205"/>
      <c r="IA64" s="205">
        <f t="shared" si="155"/>
        <v>0</v>
      </c>
      <c r="IB64" s="120"/>
      <c r="IC64" s="120"/>
      <c r="ID64" s="120"/>
      <c r="IE64" s="120"/>
      <c r="IF64" s="120"/>
      <c r="IG64" s="205"/>
      <c r="IH64" s="205"/>
      <c r="II64" s="205">
        <f t="shared" si="156"/>
        <v>0</v>
      </c>
      <c r="IJ64" s="120"/>
      <c r="IK64" s="120"/>
      <c r="IL64" s="120"/>
      <c r="IM64" s="120"/>
      <c r="IN64" s="120"/>
      <c r="IO64" s="205"/>
      <c r="IP64" s="205"/>
      <c r="IQ64" s="205">
        <f t="shared" si="157"/>
        <v>0</v>
      </c>
      <c r="IR64" s="205">
        <f t="shared" si="158"/>
        <v>0</v>
      </c>
      <c r="IS64" s="120"/>
      <c r="IT64" s="120"/>
      <c r="IU64" s="120"/>
      <c r="IV64" s="120"/>
      <c r="IW64" s="120"/>
      <c r="IX64" s="205"/>
      <c r="IY64" s="205"/>
      <c r="IZ64" s="205">
        <f t="shared" si="159"/>
        <v>0</v>
      </c>
      <c r="JA64" s="124">
        <v>500</v>
      </c>
      <c r="JB64" s="120"/>
      <c r="JC64" s="120"/>
      <c r="JD64" s="120"/>
      <c r="JE64" s="120"/>
      <c r="JF64" s="205"/>
      <c r="JG64" s="205"/>
      <c r="JH64" s="205">
        <f t="shared" si="160"/>
        <v>500</v>
      </c>
      <c r="JI64" s="120"/>
      <c r="JJ64" s="120"/>
      <c r="JK64" s="120"/>
      <c r="JL64" s="120"/>
      <c r="JM64" s="120"/>
      <c r="JN64" s="205"/>
      <c r="JO64" s="205"/>
      <c r="JP64" s="205">
        <f>SUM(JI64:JO64)</f>
        <v>0</v>
      </c>
      <c r="JQ64" s="120"/>
      <c r="JR64" s="120"/>
      <c r="JS64" s="120"/>
      <c r="JT64" s="120"/>
      <c r="JU64" s="120"/>
      <c r="JV64" s="205"/>
      <c r="JW64" s="205"/>
      <c r="JX64" s="205">
        <f t="shared" si="162"/>
        <v>0</v>
      </c>
      <c r="JY64" s="205">
        <f t="shared" si="163"/>
        <v>500</v>
      </c>
      <c r="JZ64" s="120"/>
      <c r="KA64" s="250">
        <v>810</v>
      </c>
      <c r="KB64" s="120"/>
      <c r="KC64" s="120"/>
      <c r="KD64" s="120"/>
      <c r="KE64" s="205"/>
      <c r="KF64" s="205"/>
      <c r="KG64" s="205">
        <f t="shared" si="164"/>
        <v>810</v>
      </c>
      <c r="KH64" s="120"/>
      <c r="KI64" s="120"/>
      <c r="KJ64" s="120"/>
      <c r="KK64" s="120"/>
      <c r="KL64" s="120"/>
      <c r="KM64" s="205"/>
      <c r="KN64" s="205"/>
      <c r="KO64" s="205">
        <f t="shared" si="165"/>
        <v>0</v>
      </c>
      <c r="KP64" s="120"/>
      <c r="KQ64" s="120"/>
      <c r="KR64" s="120"/>
      <c r="KS64" s="120"/>
      <c r="KT64" s="120"/>
      <c r="KU64" s="205"/>
      <c r="KV64" s="205"/>
      <c r="KW64" s="205">
        <f t="shared" si="166"/>
        <v>0</v>
      </c>
      <c r="KX64" s="120"/>
      <c r="KY64" s="120"/>
      <c r="KZ64" s="120"/>
      <c r="LA64" s="120"/>
      <c r="LB64" s="120"/>
      <c r="LC64" s="205"/>
      <c r="LD64" s="205"/>
      <c r="LE64" s="205">
        <f t="shared" si="167"/>
        <v>0</v>
      </c>
      <c r="LF64" s="205"/>
      <c r="LG64" s="120"/>
      <c r="LH64" s="120"/>
      <c r="LI64" s="120"/>
      <c r="LJ64" s="120"/>
      <c r="LK64" s="205"/>
      <c r="LL64" s="205"/>
      <c r="LM64" s="205">
        <f t="shared" si="168"/>
        <v>0</v>
      </c>
      <c r="LN64" s="205">
        <f t="shared" si="169"/>
        <v>810</v>
      </c>
      <c r="LO64" s="205"/>
      <c r="LP64" s="120"/>
      <c r="LQ64" s="120"/>
      <c r="LR64" s="120"/>
      <c r="LS64" s="205"/>
      <c r="LT64" s="205"/>
      <c r="LU64" s="205"/>
      <c r="LV64" s="205">
        <f t="shared" si="170"/>
        <v>0</v>
      </c>
      <c r="LW64" s="120"/>
      <c r="LX64" s="120"/>
      <c r="LY64" s="124">
        <v>80</v>
      </c>
      <c r="LZ64" s="120"/>
      <c r="MA64" s="120"/>
      <c r="MB64" s="205"/>
      <c r="MC64" s="205"/>
      <c r="MD64" s="205">
        <f t="shared" si="171"/>
        <v>80</v>
      </c>
      <c r="ME64" s="120"/>
      <c r="MF64" s="120"/>
      <c r="MG64" s="120"/>
      <c r="MH64" s="120"/>
      <c r="MI64" s="205"/>
      <c r="MJ64" s="205"/>
      <c r="MK64" s="205"/>
      <c r="ML64" s="205">
        <f t="shared" si="172"/>
        <v>0</v>
      </c>
      <c r="MM64" s="120"/>
      <c r="MN64" s="217">
        <v>380</v>
      </c>
      <c r="MO64" s="120"/>
      <c r="MP64" s="120"/>
      <c r="MQ64" s="120"/>
      <c r="MR64" s="205"/>
      <c r="MS64" s="205"/>
      <c r="MT64" s="205">
        <f t="shared" si="173"/>
        <v>380</v>
      </c>
      <c r="MU64" s="205">
        <f t="shared" si="174"/>
        <v>460</v>
      </c>
      <c r="MV64" s="120"/>
      <c r="MW64" s="120"/>
      <c r="MX64" s="120"/>
      <c r="MY64" s="120"/>
      <c r="MZ64" s="120"/>
      <c r="NA64" s="205"/>
      <c r="NB64" s="205"/>
      <c r="NC64" s="205">
        <f t="shared" si="175"/>
        <v>0</v>
      </c>
      <c r="ND64" s="120"/>
      <c r="NE64" s="120"/>
      <c r="NF64" s="120"/>
      <c r="NG64" s="120"/>
      <c r="NH64" s="120"/>
      <c r="NI64" s="205"/>
      <c r="NJ64" s="205"/>
      <c r="NK64" s="205">
        <f t="shared" si="176"/>
        <v>0</v>
      </c>
      <c r="NL64" s="124">
        <v>1000</v>
      </c>
      <c r="NM64" s="120"/>
      <c r="NN64" s="120"/>
      <c r="NO64" s="120"/>
      <c r="NP64" s="120"/>
      <c r="NQ64" s="205"/>
      <c r="NR64" s="205"/>
      <c r="NS64" s="205">
        <f t="shared" si="177"/>
        <v>1000</v>
      </c>
      <c r="NT64" s="120"/>
      <c r="NU64" s="120"/>
      <c r="NV64" s="120"/>
      <c r="NW64" s="120"/>
      <c r="NX64" s="120"/>
      <c r="NY64" s="205"/>
      <c r="NZ64" s="205"/>
      <c r="OA64" s="205">
        <f t="shared" si="178"/>
        <v>0</v>
      </c>
      <c r="OB64" s="205">
        <f t="shared" si="179"/>
        <v>1000</v>
      </c>
      <c r="OC64" s="120"/>
      <c r="OD64" s="120"/>
      <c r="OE64" s="120"/>
      <c r="OF64" s="120"/>
      <c r="OG64" s="120"/>
      <c r="OH64" s="205"/>
      <c r="OI64" s="205"/>
      <c r="OJ64" s="205">
        <f t="shared" si="180"/>
        <v>0</v>
      </c>
      <c r="OK64" s="195">
        <v>1850</v>
      </c>
      <c r="OL64" s="120"/>
      <c r="OM64" s="120"/>
      <c r="ON64" s="120"/>
      <c r="OO64" s="120"/>
      <c r="OP64" s="205"/>
      <c r="OQ64" s="205"/>
      <c r="OR64" s="205">
        <f t="shared" si="181"/>
        <v>1850</v>
      </c>
      <c r="OS64" s="120"/>
      <c r="OT64" s="120"/>
      <c r="OU64" s="120"/>
      <c r="OV64" s="120"/>
      <c r="OW64" s="120"/>
      <c r="OX64" s="205"/>
      <c r="OY64" s="205"/>
      <c r="OZ64" s="205">
        <f t="shared" si="182"/>
        <v>0</v>
      </c>
      <c r="PA64" s="120"/>
      <c r="PB64" s="120"/>
      <c r="PC64" s="120"/>
      <c r="PD64" s="205"/>
      <c r="PE64" s="217"/>
      <c r="PF64" s="205"/>
      <c r="PG64" s="205"/>
      <c r="PH64" s="205">
        <f t="shared" si="183"/>
        <v>0</v>
      </c>
      <c r="PI64" s="120"/>
      <c r="PJ64" s="120"/>
      <c r="PK64" s="120"/>
      <c r="PL64" s="205"/>
      <c r="PM64" s="217"/>
      <c r="PN64" s="205"/>
      <c r="PO64" s="205"/>
      <c r="PP64" s="205">
        <f t="shared" si="184"/>
        <v>0</v>
      </c>
      <c r="PQ64" s="205">
        <f t="shared" si="185"/>
        <v>1850</v>
      </c>
      <c r="PR64" s="207"/>
      <c r="PS64" s="207"/>
      <c r="PT64" s="207"/>
      <c r="PU64" s="207"/>
      <c r="PV64" s="207"/>
      <c r="PW64" s="272"/>
      <c r="PX64" s="272"/>
      <c r="PY64" s="205">
        <f t="shared" si="186"/>
        <v>0</v>
      </c>
      <c r="PZ64" s="207"/>
      <c r="QA64" s="207"/>
      <c r="QB64" s="207"/>
      <c r="QC64" s="207"/>
      <c r="QD64" s="207"/>
      <c r="QE64" s="272"/>
      <c r="QF64" s="272"/>
      <c r="QG64" s="205">
        <f t="shared" si="187"/>
        <v>0</v>
      </c>
      <c r="QH64" s="207"/>
      <c r="QI64" s="207"/>
      <c r="QJ64" s="294"/>
      <c r="QK64" s="201">
        <v>170</v>
      </c>
      <c r="QL64" s="207"/>
      <c r="QM64" s="272"/>
      <c r="QN64" s="272"/>
      <c r="QO64" s="205">
        <f t="shared" si="188"/>
        <v>170</v>
      </c>
      <c r="QP64" s="207"/>
      <c r="QQ64" s="207"/>
      <c r="QR64" s="207"/>
      <c r="QS64" s="207"/>
      <c r="QT64" s="207"/>
      <c r="QU64" s="272"/>
      <c r="QV64" s="272"/>
      <c r="QW64" s="205">
        <f t="shared" si="320"/>
        <v>0</v>
      </c>
      <c r="QX64" s="205">
        <f t="shared" si="190"/>
        <v>170</v>
      </c>
      <c r="QY64" s="120"/>
      <c r="QZ64" s="207"/>
      <c r="RA64" s="207"/>
      <c r="RB64" s="207"/>
      <c r="RC64" s="207"/>
      <c r="RD64" s="272"/>
      <c r="RE64" s="272"/>
      <c r="RF64" s="205">
        <f t="shared" si="191"/>
        <v>0</v>
      </c>
      <c r="RG64" s="120"/>
      <c r="RH64" s="120"/>
      <c r="RI64" s="120"/>
      <c r="RJ64" s="120"/>
      <c r="RK64" s="207"/>
      <c r="RL64" s="272"/>
      <c r="RM64" s="272"/>
      <c r="RN64" s="205">
        <f t="shared" ref="RN64:RN81" si="530">SUM(RG64:RM64)</f>
        <v>0</v>
      </c>
      <c r="RO64" s="272"/>
      <c r="RP64" s="272"/>
      <c r="RQ64" s="272"/>
      <c r="RR64" s="272"/>
      <c r="RS64" s="272"/>
      <c r="RT64" s="272"/>
      <c r="RU64" s="272"/>
      <c r="RV64" s="205">
        <f t="shared" si="193"/>
        <v>0</v>
      </c>
      <c r="RW64" s="207"/>
      <c r="RX64" s="123">
        <v>880</v>
      </c>
      <c r="RY64" s="207"/>
      <c r="RZ64" s="207"/>
      <c r="SA64" s="272"/>
      <c r="SB64" s="272"/>
      <c r="SC64" s="272"/>
      <c r="SD64" s="205">
        <f t="shared" si="194"/>
        <v>880</v>
      </c>
      <c r="SE64" s="205">
        <f t="shared" si="195"/>
        <v>880</v>
      </c>
      <c r="SF64" s="207"/>
      <c r="SG64" s="207"/>
      <c r="SH64" s="207"/>
      <c r="SI64" s="207"/>
      <c r="SJ64" s="207"/>
      <c r="SK64" s="272"/>
      <c r="SL64" s="272"/>
      <c r="SM64" s="205">
        <f t="shared" si="196"/>
        <v>0</v>
      </c>
      <c r="SN64" s="207"/>
      <c r="SO64" s="207"/>
      <c r="SP64" s="207"/>
      <c r="SQ64" s="207"/>
      <c r="SR64" s="207"/>
      <c r="SS64" s="272"/>
      <c r="ST64" s="272"/>
      <c r="SU64" s="205">
        <f t="shared" si="197"/>
        <v>0</v>
      </c>
      <c r="SV64" s="207"/>
      <c r="SW64" s="207"/>
      <c r="SX64" s="207"/>
      <c r="SY64" s="207"/>
      <c r="SZ64" s="207"/>
      <c r="TA64" s="272"/>
      <c r="TB64" s="272"/>
      <c r="TC64" s="205">
        <f t="shared" si="198"/>
        <v>0</v>
      </c>
      <c r="TD64" s="207"/>
      <c r="TE64" s="207"/>
      <c r="TF64" s="124">
        <v>960</v>
      </c>
      <c r="TG64" s="207"/>
      <c r="TH64" s="207"/>
      <c r="TI64" s="272"/>
      <c r="TJ64" s="272"/>
      <c r="TK64" s="205">
        <f t="shared" si="199"/>
        <v>960</v>
      </c>
      <c r="TL64" s="207"/>
      <c r="TM64" s="207"/>
      <c r="TN64" s="207"/>
      <c r="TO64" s="207"/>
      <c r="TP64" s="272"/>
      <c r="TQ64" s="272"/>
      <c r="TR64" s="272"/>
      <c r="TS64" s="205">
        <f t="shared" si="200"/>
        <v>0</v>
      </c>
      <c r="TT64" s="205">
        <f t="shared" si="201"/>
        <v>960</v>
      </c>
      <c r="TU64" s="272"/>
      <c r="TV64" s="207"/>
      <c r="TW64" s="207"/>
      <c r="TX64" s="207"/>
      <c r="TY64" s="207"/>
      <c r="TZ64" s="272"/>
      <c r="UA64" s="272"/>
      <c r="UB64" s="205">
        <f t="shared" si="202"/>
        <v>0</v>
      </c>
      <c r="UC64" s="207"/>
      <c r="UD64" s="217">
        <v>850</v>
      </c>
      <c r="UE64" s="207"/>
      <c r="UF64" s="207"/>
      <c r="UG64" s="207"/>
      <c r="UH64" s="272"/>
      <c r="UI64" s="272"/>
      <c r="UJ64" s="205">
        <f t="shared" si="203"/>
        <v>850</v>
      </c>
      <c r="UK64" s="207"/>
      <c r="UL64" s="207"/>
      <c r="UM64" s="207"/>
      <c r="UN64" s="207"/>
      <c r="UO64" s="207"/>
      <c r="UP64" s="272"/>
      <c r="UQ64" s="272"/>
      <c r="UR64" s="205">
        <f t="shared" si="227"/>
        <v>0</v>
      </c>
      <c r="US64" s="207"/>
      <c r="UT64" s="207"/>
      <c r="UU64" s="207"/>
      <c r="UV64" s="207"/>
      <c r="UW64" s="272"/>
      <c r="UX64" s="272"/>
      <c r="UY64" s="272"/>
      <c r="UZ64" s="205">
        <f t="shared" si="204"/>
        <v>0</v>
      </c>
      <c r="VA64" s="205">
        <f t="shared" si="205"/>
        <v>850</v>
      </c>
      <c r="VB64" s="207"/>
      <c r="VC64" s="207"/>
      <c r="VD64" s="120"/>
      <c r="VE64" s="207"/>
      <c r="VF64" s="207"/>
      <c r="VG64" s="272"/>
      <c r="VH64" s="272"/>
      <c r="VI64" s="205">
        <f t="shared" si="206"/>
        <v>0</v>
      </c>
      <c r="VJ64" s="207"/>
      <c r="VK64" s="207"/>
      <c r="VL64" s="207"/>
      <c r="VM64" s="207"/>
      <c r="VN64" s="207"/>
      <c r="VO64" s="272"/>
      <c r="VP64" s="272"/>
      <c r="VQ64" s="205">
        <f t="shared" si="207"/>
        <v>0</v>
      </c>
      <c r="VR64" s="207"/>
      <c r="VS64" s="207"/>
      <c r="VT64" s="124">
        <v>580</v>
      </c>
      <c r="VU64" s="207"/>
      <c r="VV64" s="207"/>
      <c r="VW64" s="272"/>
      <c r="VX64" s="272"/>
      <c r="VY64" s="205">
        <f t="shared" si="208"/>
        <v>580</v>
      </c>
      <c r="VZ64" s="207"/>
      <c r="WA64" s="207"/>
      <c r="WB64" s="207"/>
      <c r="WC64" s="207"/>
      <c r="WD64" s="207"/>
      <c r="WE64" s="272"/>
      <c r="WF64" s="272"/>
      <c r="WG64" s="205">
        <f t="shared" si="209"/>
        <v>0</v>
      </c>
      <c r="WH64" s="205">
        <f t="shared" si="210"/>
        <v>580</v>
      </c>
      <c r="WI64" s="207"/>
      <c r="WJ64" s="207"/>
      <c r="WK64" s="207"/>
      <c r="WL64" s="207"/>
      <c r="WM64" s="207"/>
      <c r="WN64" s="272"/>
      <c r="WO64" s="272"/>
      <c r="WP64" s="205">
        <f t="shared" si="211"/>
        <v>0</v>
      </c>
      <c r="WQ64" s="207"/>
      <c r="WR64" s="124">
        <v>910</v>
      </c>
      <c r="WS64" s="207"/>
      <c r="WT64" s="207"/>
      <c r="WU64" s="207"/>
      <c r="WV64" s="272"/>
      <c r="WW64" s="272"/>
      <c r="WX64" s="205">
        <f t="shared" ref="WX64:WX79" si="531">SUM(WR64:WW64)</f>
        <v>910</v>
      </c>
      <c r="WY64" s="207"/>
      <c r="WZ64" s="207"/>
      <c r="XA64" s="207"/>
      <c r="XB64" s="207"/>
      <c r="XC64" s="272"/>
      <c r="XD64" s="272"/>
      <c r="XE64" s="272"/>
      <c r="XF64" s="205">
        <f t="shared" si="213"/>
        <v>0</v>
      </c>
      <c r="XG64" s="207"/>
      <c r="XH64" s="207"/>
      <c r="XI64" s="207"/>
      <c r="XJ64" s="207"/>
      <c r="XK64" s="207"/>
      <c r="XL64" s="272"/>
      <c r="XM64" s="272"/>
      <c r="XN64" s="205">
        <f t="shared" si="214"/>
        <v>0</v>
      </c>
      <c r="XO64" s="207"/>
      <c r="XP64" s="207"/>
      <c r="XQ64" s="207"/>
      <c r="XR64" s="207"/>
      <c r="XS64" s="207"/>
      <c r="XT64" s="272"/>
      <c r="XU64" s="272"/>
      <c r="XV64" s="205">
        <f t="shared" si="215"/>
        <v>0</v>
      </c>
      <c r="XW64" s="205">
        <f t="shared" si="216"/>
        <v>910</v>
      </c>
      <c r="XX64" s="207"/>
      <c r="XY64" s="124">
        <v>850</v>
      </c>
      <c r="XZ64" s="207"/>
      <c r="YA64" s="207"/>
      <c r="YB64" s="207"/>
      <c r="YC64" s="272"/>
      <c r="YD64" s="272"/>
      <c r="YE64" s="205">
        <f t="shared" si="217"/>
        <v>850</v>
      </c>
      <c r="YF64" s="207"/>
      <c r="YG64" s="207"/>
      <c r="YH64" s="207"/>
      <c r="YI64" s="207"/>
      <c r="YJ64" s="207"/>
      <c r="YK64" s="272"/>
      <c r="YL64" s="272"/>
      <c r="YM64" s="205">
        <f t="shared" si="218"/>
        <v>0</v>
      </c>
      <c r="YN64" s="207"/>
      <c r="YO64" s="207"/>
      <c r="YP64" s="207"/>
      <c r="YQ64" s="207"/>
      <c r="YR64" s="207"/>
      <c r="YS64" s="272"/>
      <c r="YT64" s="272"/>
      <c r="YU64" s="205">
        <f t="shared" si="148"/>
        <v>0</v>
      </c>
      <c r="YV64" s="207"/>
      <c r="YW64" s="207"/>
      <c r="YX64" s="207"/>
      <c r="YY64" s="207"/>
      <c r="YZ64" s="207"/>
      <c r="ZA64" s="272"/>
      <c r="ZB64" s="272"/>
      <c r="ZC64" s="205">
        <f t="shared" si="219"/>
        <v>0</v>
      </c>
      <c r="ZD64" s="205">
        <f t="shared" si="516"/>
        <v>850</v>
      </c>
      <c r="ZE64" s="124">
        <v>1000</v>
      </c>
      <c r="ZF64" s="207"/>
      <c r="ZG64" s="207"/>
      <c r="ZH64" s="207"/>
      <c r="ZI64" s="207"/>
      <c r="ZJ64" s="272"/>
      <c r="ZK64" s="272"/>
      <c r="ZL64" s="205">
        <f t="shared" si="220"/>
        <v>1000</v>
      </c>
      <c r="ZM64" s="207"/>
      <c r="ZN64" s="207"/>
      <c r="ZO64" s="207"/>
      <c r="ZP64" s="207"/>
      <c r="ZQ64" s="207"/>
      <c r="ZR64" s="272"/>
      <c r="ZS64" s="272"/>
      <c r="ZT64" s="205">
        <f t="shared" si="221"/>
        <v>0</v>
      </c>
      <c r="ZU64" s="207"/>
      <c r="ZV64" s="207"/>
      <c r="ZW64" s="207"/>
      <c r="ZX64" s="207"/>
      <c r="ZY64" s="207"/>
      <c r="ZZ64" s="272"/>
      <c r="AAA64" s="272"/>
      <c r="AAB64" s="205">
        <f t="shared" si="222"/>
        <v>0</v>
      </c>
      <c r="AAC64" s="207"/>
      <c r="AAD64" s="207"/>
      <c r="AAE64" s="207"/>
      <c r="AAF64" s="207"/>
      <c r="AAG64" s="207"/>
      <c r="AAH64" s="272"/>
      <c r="AAI64" s="272"/>
      <c r="AAJ64" s="205">
        <f t="shared" si="223"/>
        <v>0</v>
      </c>
      <c r="AAK64" s="207"/>
      <c r="AAL64" s="207"/>
      <c r="AAM64" s="207"/>
      <c r="AAN64" s="207"/>
      <c r="AAO64" s="207"/>
      <c r="AAP64" s="272"/>
      <c r="AAQ64" s="272"/>
      <c r="AAR64" s="205">
        <f t="shared" si="224"/>
        <v>0</v>
      </c>
      <c r="AAS64" s="205">
        <f t="shared" si="225"/>
        <v>1000</v>
      </c>
    </row>
    <row r="65" spans="1:721" ht="69" hidden="1" customHeight="1">
      <c r="B65" s="164">
        <v>3630101702</v>
      </c>
      <c r="C65" s="332"/>
      <c r="D65" s="191" t="s">
        <v>773</v>
      </c>
      <c r="E65" s="130" t="s">
        <v>4</v>
      </c>
      <c r="F65" s="120"/>
      <c r="G65" s="120"/>
      <c r="H65" s="120"/>
      <c r="I65" s="120"/>
      <c r="J65" s="120"/>
      <c r="K65" s="209"/>
      <c r="L65" s="205"/>
      <c r="M65" s="205">
        <f t="shared" ref="M65:M66" si="532">SUM(F65:L65)</f>
        <v>0</v>
      </c>
      <c r="N65" s="120"/>
      <c r="O65" s="120"/>
      <c r="P65" s="120"/>
      <c r="Q65" s="120"/>
      <c r="R65" s="120"/>
      <c r="S65" s="209"/>
      <c r="T65" s="205"/>
      <c r="U65" s="205">
        <f t="shared" ref="U65:U66" si="533">SUM(N65:T65)</f>
        <v>0</v>
      </c>
      <c r="V65" s="120"/>
      <c r="W65" s="120"/>
      <c r="X65" s="120"/>
      <c r="Y65" s="120"/>
      <c r="Z65" s="120"/>
      <c r="AA65" s="209"/>
      <c r="AB65" s="205"/>
      <c r="AC65" s="205">
        <f t="shared" ref="AC65:AC66" si="534">SUM(V65:AB65)</f>
        <v>0</v>
      </c>
      <c r="AD65" s="205"/>
      <c r="AE65" s="205"/>
      <c r="AF65" s="205"/>
      <c r="AG65" s="205"/>
      <c r="AH65" s="205"/>
      <c r="AI65" s="209"/>
      <c r="AJ65" s="205"/>
      <c r="AK65" s="205">
        <f t="shared" ref="AK65:AK66" si="535">SUM(AD65:AJ65)</f>
        <v>0</v>
      </c>
      <c r="AL65" s="205" t="e">
        <f>SUM(#REF!,M65,U65,AC65,AD65:AH65)</f>
        <v>#REF!</v>
      </c>
      <c r="AM65" s="120"/>
      <c r="AN65" s="120"/>
      <c r="AO65" s="120"/>
      <c r="AP65" s="120"/>
      <c r="AQ65" s="120"/>
      <c r="AR65" s="209"/>
      <c r="AS65" s="205"/>
      <c r="AT65" s="205">
        <f t="shared" ref="AT65:AT66" si="536">SUM(AM65:AS65)</f>
        <v>0</v>
      </c>
      <c r="AU65" s="120"/>
      <c r="AV65" s="120"/>
      <c r="AW65" s="120"/>
      <c r="AX65" s="120"/>
      <c r="AY65" s="120"/>
      <c r="AZ65" s="209"/>
      <c r="BA65" s="205"/>
      <c r="BB65" s="205">
        <f t="shared" ref="BB65:BB66" si="537">SUM(AU65:BA65)</f>
        <v>0</v>
      </c>
      <c r="BC65" s="120"/>
      <c r="BD65" s="120"/>
      <c r="BE65" s="120"/>
      <c r="BF65" s="120"/>
      <c r="BG65" s="120"/>
      <c r="BH65" s="209"/>
      <c r="BI65" s="205"/>
      <c r="BJ65" s="205">
        <f t="shared" ref="BJ65:BJ66" si="538">SUM(BC65:BI65)</f>
        <v>0</v>
      </c>
      <c r="BK65" s="120"/>
      <c r="BL65" s="120"/>
      <c r="BM65" s="120"/>
      <c r="BN65" s="120"/>
      <c r="BO65" s="205"/>
      <c r="BP65" s="209"/>
      <c r="BQ65" s="205"/>
      <c r="BR65" s="205">
        <f t="shared" si="248"/>
        <v>0</v>
      </c>
      <c r="BS65" s="205">
        <f t="shared" si="129"/>
        <v>0</v>
      </c>
      <c r="BT65" s="120"/>
      <c r="BU65" s="120"/>
      <c r="BV65" s="120"/>
      <c r="BW65" s="120"/>
      <c r="BX65" s="120"/>
      <c r="BY65" s="209"/>
      <c r="BZ65" s="205"/>
      <c r="CA65" s="205">
        <f t="shared" ref="CA65:CA66" si="539">SUM(BT65:BZ65)</f>
        <v>0</v>
      </c>
      <c r="CB65" s="120"/>
      <c r="CC65" s="120"/>
      <c r="CD65" s="120"/>
      <c r="CE65" s="120"/>
      <c r="CF65" s="120"/>
      <c r="CG65" s="209"/>
      <c r="CH65" s="205"/>
      <c r="CI65" s="205">
        <f t="shared" ref="CI65:CI66" si="540">SUM(CB65:CH65)</f>
        <v>0</v>
      </c>
      <c r="CJ65" s="120"/>
      <c r="CK65" s="120"/>
      <c r="CL65" s="120"/>
      <c r="CM65" s="120"/>
      <c r="CN65" s="120"/>
      <c r="CO65" s="209"/>
      <c r="CP65" s="205"/>
      <c r="CQ65" s="205">
        <f t="shared" ref="CQ65:CQ66" si="541">SUM(CJ65:CP65)</f>
        <v>0</v>
      </c>
      <c r="CR65" s="120"/>
      <c r="CS65" s="120"/>
      <c r="CT65" s="120"/>
      <c r="CU65" s="120"/>
      <c r="CV65" s="120"/>
      <c r="CW65" s="209"/>
      <c r="CX65" s="205"/>
      <c r="CY65" s="205">
        <f t="shared" ref="CY65:CY66" si="542">SUM(CR65:CX65)</f>
        <v>0</v>
      </c>
      <c r="CZ65" s="120"/>
      <c r="DA65" s="120"/>
      <c r="DB65" s="120"/>
      <c r="DC65" s="205"/>
      <c r="DD65" s="205"/>
      <c r="DE65" s="209"/>
      <c r="DF65" s="205"/>
      <c r="DG65" s="205">
        <f t="shared" ref="DG65:DG66" si="543">SUM(CZ65:DF65)</f>
        <v>0</v>
      </c>
      <c r="DH65" s="205">
        <f t="shared" si="150"/>
        <v>0</v>
      </c>
      <c r="DI65" s="120"/>
      <c r="DJ65" s="120"/>
      <c r="DK65" s="120"/>
      <c r="DL65" s="120"/>
      <c r="DM65" s="120"/>
      <c r="DN65" s="209"/>
      <c r="DO65" s="205"/>
      <c r="DP65" s="205">
        <f t="shared" si="228"/>
        <v>0</v>
      </c>
      <c r="DQ65" s="120"/>
      <c r="DR65" s="120"/>
      <c r="DS65" s="120"/>
      <c r="DT65" s="120"/>
      <c r="DU65" s="120"/>
      <c r="DV65" s="209"/>
      <c r="DW65" s="205"/>
      <c r="DX65" s="205">
        <f t="shared" si="136"/>
        <v>0</v>
      </c>
      <c r="DY65" s="120"/>
      <c r="DZ65" s="120"/>
      <c r="EA65" s="120"/>
      <c r="EB65" s="120"/>
      <c r="EC65" s="120"/>
      <c r="ED65" s="209"/>
      <c r="EE65" s="205"/>
      <c r="EF65" s="205">
        <f t="shared" si="137"/>
        <v>0</v>
      </c>
      <c r="EG65" s="120"/>
      <c r="EH65" s="120"/>
      <c r="EI65" s="120"/>
      <c r="EJ65" s="205"/>
      <c r="EK65" s="205"/>
      <c r="EL65" s="209"/>
      <c r="EM65" s="205"/>
      <c r="EN65" s="205">
        <f t="shared" si="138"/>
        <v>0</v>
      </c>
      <c r="EO65" s="205">
        <f t="shared" si="151"/>
        <v>0</v>
      </c>
      <c r="EP65" s="120"/>
      <c r="EQ65" s="120"/>
      <c r="ER65" s="120"/>
      <c r="ES65" s="120"/>
      <c r="ET65" s="120"/>
      <c r="EU65" s="209"/>
      <c r="EV65" s="205"/>
      <c r="EW65" s="205">
        <f t="shared" si="139"/>
        <v>0</v>
      </c>
      <c r="EX65" s="120"/>
      <c r="EY65" s="120"/>
      <c r="EZ65" s="120"/>
      <c r="FA65" s="120"/>
      <c r="FB65" s="120"/>
      <c r="FC65" s="209"/>
      <c r="FD65" s="205"/>
      <c r="FE65" s="205">
        <f t="shared" si="140"/>
        <v>0</v>
      </c>
      <c r="FF65" s="120"/>
      <c r="FG65" s="120"/>
      <c r="FH65" s="120"/>
      <c r="FI65" s="120"/>
      <c r="FJ65" s="120"/>
      <c r="FK65" s="209"/>
      <c r="FL65" s="205"/>
      <c r="FM65" s="205">
        <f t="shared" si="141"/>
        <v>0</v>
      </c>
      <c r="FN65" s="120"/>
      <c r="FO65" s="120"/>
      <c r="FP65" s="120"/>
      <c r="FQ65" s="120"/>
      <c r="FR65" s="205"/>
      <c r="FS65" s="209"/>
      <c r="FT65" s="205"/>
      <c r="FU65" s="205">
        <f t="shared" si="142"/>
        <v>0</v>
      </c>
      <c r="FV65" s="205">
        <f t="shared" si="152"/>
        <v>0</v>
      </c>
      <c r="FW65" s="120"/>
      <c r="FX65" s="120"/>
      <c r="FY65" s="120"/>
      <c r="FZ65" s="120"/>
      <c r="GA65" s="120"/>
      <c r="GB65" s="209"/>
      <c r="GC65" s="205"/>
      <c r="GD65" s="205">
        <f t="shared" si="143"/>
        <v>0</v>
      </c>
      <c r="GE65" s="120"/>
      <c r="GF65" s="120"/>
      <c r="GG65" s="120"/>
      <c r="GH65" s="120"/>
      <c r="GI65" s="120"/>
      <c r="GJ65" s="209"/>
      <c r="GK65" s="205"/>
      <c r="GL65" s="205">
        <f t="shared" si="144"/>
        <v>0</v>
      </c>
      <c r="GM65" s="120"/>
      <c r="GN65" s="120"/>
      <c r="GO65" s="120"/>
      <c r="GP65" s="120"/>
      <c r="GQ65" s="120"/>
      <c r="GR65" s="209"/>
      <c r="GS65" s="205"/>
      <c r="GT65" s="205">
        <f t="shared" si="145"/>
        <v>0</v>
      </c>
      <c r="GU65" s="120"/>
      <c r="GV65" s="120"/>
      <c r="GW65" s="120"/>
      <c r="GX65" s="120"/>
      <c r="GY65" s="120"/>
      <c r="GZ65" s="209"/>
      <c r="HA65" s="205"/>
      <c r="HB65" s="205">
        <f t="shared" si="146"/>
        <v>0</v>
      </c>
      <c r="HC65" s="120"/>
      <c r="HD65" s="120"/>
      <c r="HE65" s="120"/>
      <c r="HF65" s="120"/>
      <c r="HG65" s="120"/>
      <c r="HH65" s="209"/>
      <c r="HI65" s="205"/>
      <c r="HJ65" s="205">
        <f t="shared" si="147"/>
        <v>0</v>
      </c>
      <c r="HK65" s="205">
        <f t="shared" si="153"/>
        <v>0</v>
      </c>
      <c r="HL65" s="124"/>
      <c r="HM65" s="120"/>
      <c r="HN65" s="120"/>
      <c r="HO65" s="120"/>
      <c r="HP65" s="120"/>
      <c r="HQ65" s="205"/>
      <c r="HR65" s="205"/>
      <c r="HS65" s="205">
        <f t="shared" si="154"/>
        <v>0</v>
      </c>
      <c r="HT65" s="120"/>
      <c r="HU65" s="120"/>
      <c r="HV65" s="120"/>
      <c r="HW65" s="120"/>
      <c r="HX65" s="120"/>
      <c r="HY65" s="205"/>
      <c r="HZ65" s="205"/>
      <c r="IA65" s="205">
        <f t="shared" si="155"/>
        <v>0</v>
      </c>
      <c r="IB65" s="120"/>
      <c r="IC65" s="120"/>
      <c r="ID65" s="120"/>
      <c r="IE65" s="120"/>
      <c r="IF65" s="120"/>
      <c r="IG65" s="205"/>
      <c r="IH65" s="205"/>
      <c r="II65" s="205">
        <f t="shared" si="156"/>
        <v>0</v>
      </c>
      <c r="IJ65" s="120"/>
      <c r="IK65" s="120"/>
      <c r="IL65" s="120"/>
      <c r="IM65" s="120"/>
      <c r="IN65" s="120"/>
      <c r="IO65" s="205"/>
      <c r="IP65" s="205"/>
      <c r="IQ65" s="205">
        <f t="shared" si="157"/>
        <v>0</v>
      </c>
      <c r="IR65" s="205">
        <f t="shared" si="158"/>
        <v>0</v>
      </c>
      <c r="IS65" s="120"/>
      <c r="IT65" s="120"/>
      <c r="IU65" s="120"/>
      <c r="IV65" s="120"/>
      <c r="IW65" s="120"/>
      <c r="IX65" s="205"/>
      <c r="IY65" s="205"/>
      <c r="IZ65" s="205">
        <f t="shared" si="159"/>
        <v>0</v>
      </c>
      <c r="JA65" s="120"/>
      <c r="JB65" s="120"/>
      <c r="JC65" s="120"/>
      <c r="JD65" s="120"/>
      <c r="JE65" s="120"/>
      <c r="JF65" s="205"/>
      <c r="JG65" s="205"/>
      <c r="JH65" s="205">
        <f t="shared" si="160"/>
        <v>0</v>
      </c>
      <c r="JI65" s="120"/>
      <c r="JJ65" s="120"/>
      <c r="JK65" s="120"/>
      <c r="JL65" s="120"/>
      <c r="JM65" s="120"/>
      <c r="JN65" s="205"/>
      <c r="JO65" s="205"/>
      <c r="JP65" s="205">
        <f t="shared" si="161"/>
        <v>0</v>
      </c>
      <c r="JQ65" s="120"/>
      <c r="JR65" s="120"/>
      <c r="JS65" s="120"/>
      <c r="JT65" s="120"/>
      <c r="JU65" s="120"/>
      <c r="JV65" s="205"/>
      <c r="JW65" s="205"/>
      <c r="JX65" s="205">
        <f t="shared" si="162"/>
        <v>0</v>
      </c>
      <c r="JY65" s="205">
        <f t="shared" si="163"/>
        <v>0</v>
      </c>
      <c r="JZ65" s="120"/>
      <c r="KA65" s="250"/>
      <c r="KB65" s="120"/>
      <c r="KC65" s="120"/>
      <c r="KD65" s="120"/>
      <c r="KE65" s="205"/>
      <c r="KF65" s="205"/>
      <c r="KG65" s="205">
        <f t="shared" si="164"/>
        <v>0</v>
      </c>
      <c r="KH65" s="120"/>
      <c r="KI65" s="120"/>
      <c r="KJ65" s="120"/>
      <c r="KK65" s="120"/>
      <c r="KL65" s="120"/>
      <c r="KM65" s="205"/>
      <c r="KN65" s="205"/>
      <c r="KO65" s="205">
        <f t="shared" si="165"/>
        <v>0</v>
      </c>
      <c r="KP65" s="120"/>
      <c r="KQ65" s="120"/>
      <c r="KR65" s="120"/>
      <c r="KS65" s="120"/>
      <c r="KT65" s="120"/>
      <c r="KU65" s="205"/>
      <c r="KV65" s="205"/>
      <c r="KW65" s="205">
        <f t="shared" si="166"/>
        <v>0</v>
      </c>
      <c r="KX65" s="120"/>
      <c r="KY65" s="120"/>
      <c r="KZ65" s="120"/>
      <c r="LA65" s="120"/>
      <c r="LB65" s="120"/>
      <c r="LC65" s="205"/>
      <c r="LD65" s="205"/>
      <c r="LE65" s="205">
        <f t="shared" si="167"/>
        <v>0</v>
      </c>
      <c r="LF65" s="205"/>
      <c r="LG65" s="120"/>
      <c r="LH65" s="120"/>
      <c r="LI65" s="120"/>
      <c r="LJ65" s="120"/>
      <c r="LK65" s="205"/>
      <c r="LL65" s="205"/>
      <c r="LM65" s="205">
        <f t="shared" si="168"/>
        <v>0</v>
      </c>
      <c r="LN65" s="205">
        <f t="shared" si="169"/>
        <v>0</v>
      </c>
      <c r="LO65" s="205"/>
      <c r="LP65" s="120"/>
      <c r="LQ65" s="120"/>
      <c r="LR65" s="120"/>
      <c r="LS65" s="205"/>
      <c r="LT65" s="205"/>
      <c r="LU65" s="205"/>
      <c r="LV65" s="205">
        <f t="shared" si="170"/>
        <v>0</v>
      </c>
      <c r="LW65" s="120"/>
      <c r="LX65" s="120"/>
      <c r="LY65" s="120"/>
      <c r="LZ65" s="120"/>
      <c r="MA65" s="120"/>
      <c r="MB65" s="205"/>
      <c r="MC65" s="205"/>
      <c r="MD65" s="205">
        <f t="shared" si="171"/>
        <v>0</v>
      </c>
      <c r="ME65" s="120"/>
      <c r="MF65" s="120"/>
      <c r="MG65" s="120"/>
      <c r="MH65" s="120"/>
      <c r="MI65" s="205"/>
      <c r="MJ65" s="205"/>
      <c r="MK65" s="205"/>
      <c r="ML65" s="205">
        <f t="shared" si="172"/>
        <v>0</v>
      </c>
      <c r="MM65" s="120"/>
      <c r="MN65" s="120"/>
      <c r="MO65" s="120"/>
      <c r="MP65" s="120"/>
      <c r="MQ65" s="120"/>
      <c r="MR65" s="205"/>
      <c r="MS65" s="205"/>
      <c r="MT65" s="205">
        <f t="shared" si="173"/>
        <v>0</v>
      </c>
      <c r="MU65" s="205">
        <f t="shared" si="174"/>
        <v>0</v>
      </c>
      <c r="MV65" s="120"/>
      <c r="MW65" s="120"/>
      <c r="MX65" s="120"/>
      <c r="MY65" s="120"/>
      <c r="MZ65" s="120"/>
      <c r="NA65" s="205"/>
      <c r="NB65" s="205"/>
      <c r="NC65" s="205">
        <f t="shared" si="175"/>
        <v>0</v>
      </c>
      <c r="ND65" s="120"/>
      <c r="NE65" s="120"/>
      <c r="NF65" s="120"/>
      <c r="NG65" s="120"/>
      <c r="NH65" s="120"/>
      <c r="NI65" s="205"/>
      <c r="NJ65" s="205"/>
      <c r="NK65" s="205">
        <f t="shared" si="176"/>
        <v>0</v>
      </c>
      <c r="NL65" s="120"/>
      <c r="NM65" s="120"/>
      <c r="NN65" s="120"/>
      <c r="NO65" s="120"/>
      <c r="NP65" s="120"/>
      <c r="NQ65" s="205"/>
      <c r="NR65" s="205"/>
      <c r="NS65" s="205">
        <f t="shared" si="177"/>
        <v>0</v>
      </c>
      <c r="NT65" s="120"/>
      <c r="NU65" s="120"/>
      <c r="NV65" s="120"/>
      <c r="NW65" s="120"/>
      <c r="NX65" s="120"/>
      <c r="NY65" s="205"/>
      <c r="NZ65" s="205"/>
      <c r="OA65" s="205">
        <f t="shared" si="178"/>
        <v>0</v>
      </c>
      <c r="OB65" s="205">
        <f t="shared" si="179"/>
        <v>0</v>
      </c>
      <c r="OC65" s="120"/>
      <c r="OD65" s="120"/>
      <c r="OE65" s="120"/>
      <c r="OF65" s="120"/>
      <c r="OG65" s="120"/>
      <c r="OH65" s="205"/>
      <c r="OI65" s="205"/>
      <c r="OJ65" s="205">
        <f t="shared" si="180"/>
        <v>0</v>
      </c>
      <c r="OK65" s="120"/>
      <c r="OL65" s="120"/>
      <c r="OM65" s="120"/>
      <c r="ON65" s="120"/>
      <c r="OO65" s="120"/>
      <c r="OP65" s="205"/>
      <c r="OQ65" s="205"/>
      <c r="OR65" s="205">
        <f t="shared" si="181"/>
        <v>0</v>
      </c>
      <c r="OS65" s="120"/>
      <c r="OT65" s="120"/>
      <c r="OU65" s="120"/>
      <c r="OV65" s="120"/>
      <c r="OW65" s="120"/>
      <c r="OX65" s="205"/>
      <c r="OY65" s="205"/>
      <c r="OZ65" s="205">
        <f t="shared" si="182"/>
        <v>0</v>
      </c>
      <c r="PA65" s="120"/>
      <c r="PB65" s="120"/>
      <c r="PC65" s="120"/>
      <c r="PD65" s="205"/>
      <c r="PE65" s="217"/>
      <c r="PF65" s="205"/>
      <c r="PG65" s="205"/>
      <c r="PH65" s="205">
        <f t="shared" si="183"/>
        <v>0</v>
      </c>
      <c r="PI65" s="120"/>
      <c r="PJ65" s="120"/>
      <c r="PK65" s="120"/>
      <c r="PL65" s="205"/>
      <c r="PM65" s="217"/>
      <c r="PN65" s="205"/>
      <c r="PO65" s="205"/>
      <c r="PP65" s="205">
        <f t="shared" si="184"/>
        <v>0</v>
      </c>
      <c r="PQ65" s="205">
        <f t="shared" si="185"/>
        <v>0</v>
      </c>
      <c r="PR65" s="207"/>
      <c r="PS65" s="207"/>
      <c r="PT65" s="207"/>
      <c r="PU65" s="207"/>
      <c r="PV65" s="207"/>
      <c r="PW65" s="272"/>
      <c r="PX65" s="272"/>
      <c r="PY65" s="205">
        <f t="shared" si="186"/>
        <v>0</v>
      </c>
      <c r="PZ65" s="207"/>
      <c r="QA65" s="207"/>
      <c r="QB65" s="207"/>
      <c r="QC65" s="207"/>
      <c r="QD65" s="207"/>
      <c r="QE65" s="272"/>
      <c r="QF65" s="272"/>
      <c r="QG65" s="205">
        <f t="shared" si="187"/>
        <v>0</v>
      </c>
      <c r="QH65" s="207"/>
      <c r="QI65" s="207"/>
      <c r="QJ65" s="294"/>
      <c r="QK65" s="201"/>
      <c r="QL65" s="207"/>
      <c r="QM65" s="272"/>
      <c r="QN65" s="272"/>
      <c r="QO65" s="205">
        <f t="shared" si="188"/>
        <v>0</v>
      </c>
      <c r="QP65" s="207"/>
      <c r="QQ65" s="207"/>
      <c r="QR65" s="207"/>
      <c r="QS65" s="207"/>
      <c r="QT65" s="207"/>
      <c r="QU65" s="272"/>
      <c r="QV65" s="272"/>
      <c r="QW65" s="205">
        <f t="shared" si="320"/>
        <v>0</v>
      </c>
      <c r="QX65" s="205">
        <f t="shared" si="190"/>
        <v>0</v>
      </c>
      <c r="QY65" s="207"/>
      <c r="QZ65" s="207"/>
      <c r="RA65" s="207"/>
      <c r="RB65" s="207"/>
      <c r="RC65" s="207"/>
      <c r="RD65" s="272"/>
      <c r="RE65" s="272"/>
      <c r="RF65" s="205">
        <f t="shared" si="191"/>
        <v>0</v>
      </c>
      <c r="RG65" s="207"/>
      <c r="RH65" s="207"/>
      <c r="RI65" s="207"/>
      <c r="RJ65" s="207"/>
      <c r="RK65" s="207"/>
      <c r="RL65" s="272"/>
      <c r="RM65" s="272"/>
      <c r="RN65" s="205">
        <f t="shared" si="530"/>
        <v>0</v>
      </c>
      <c r="RO65" s="272"/>
      <c r="RP65" s="272"/>
      <c r="RQ65" s="272"/>
      <c r="RR65" s="272"/>
      <c r="RS65" s="272"/>
      <c r="RT65" s="272"/>
      <c r="RU65" s="272"/>
      <c r="RV65" s="205">
        <f t="shared" si="193"/>
        <v>0</v>
      </c>
      <c r="RW65" s="207"/>
      <c r="RX65" s="308"/>
      <c r="RY65" s="207"/>
      <c r="RZ65" s="207"/>
      <c r="SA65" s="272"/>
      <c r="SB65" s="272"/>
      <c r="SC65" s="272"/>
      <c r="SD65" s="205">
        <f t="shared" si="194"/>
        <v>0</v>
      </c>
      <c r="SE65" s="205">
        <f t="shared" si="195"/>
        <v>0</v>
      </c>
      <c r="SF65" s="207"/>
      <c r="SG65" s="207"/>
      <c r="SH65" s="207"/>
      <c r="SI65" s="207"/>
      <c r="SJ65" s="207"/>
      <c r="SK65" s="272"/>
      <c r="SL65" s="272"/>
      <c r="SM65" s="205">
        <f t="shared" si="196"/>
        <v>0</v>
      </c>
      <c r="SN65" s="207"/>
      <c r="SO65" s="207"/>
      <c r="SP65" s="207"/>
      <c r="SQ65" s="207"/>
      <c r="SR65" s="207"/>
      <c r="SS65" s="272"/>
      <c r="ST65" s="272"/>
      <c r="SU65" s="205">
        <f t="shared" si="197"/>
        <v>0</v>
      </c>
      <c r="SV65" s="207"/>
      <c r="SW65" s="207"/>
      <c r="SX65" s="207"/>
      <c r="SY65" s="207"/>
      <c r="SZ65" s="207"/>
      <c r="TA65" s="272"/>
      <c r="TB65" s="272"/>
      <c r="TC65" s="205">
        <f t="shared" si="198"/>
        <v>0</v>
      </c>
      <c r="TD65" s="207"/>
      <c r="TE65" s="207"/>
      <c r="TF65" s="124"/>
      <c r="TG65" s="207"/>
      <c r="TH65" s="207"/>
      <c r="TI65" s="272"/>
      <c r="TJ65" s="272"/>
      <c r="TK65" s="205">
        <f t="shared" si="199"/>
        <v>0</v>
      </c>
      <c r="TL65" s="207"/>
      <c r="TM65" s="207"/>
      <c r="TN65" s="207"/>
      <c r="TO65" s="207"/>
      <c r="TP65" s="272"/>
      <c r="TQ65" s="272"/>
      <c r="TR65" s="272"/>
      <c r="TS65" s="205">
        <f t="shared" si="200"/>
        <v>0</v>
      </c>
      <c r="TT65" s="205">
        <f t="shared" si="201"/>
        <v>0</v>
      </c>
      <c r="TU65" s="272"/>
      <c r="TV65" s="207"/>
      <c r="TW65" s="207"/>
      <c r="TX65" s="207"/>
      <c r="TY65" s="207"/>
      <c r="TZ65" s="272"/>
      <c r="UA65" s="272"/>
      <c r="UB65" s="205">
        <f t="shared" si="202"/>
        <v>0</v>
      </c>
      <c r="UC65" s="207"/>
      <c r="UD65" s="217"/>
      <c r="UE65" s="207"/>
      <c r="UF65" s="207"/>
      <c r="UG65" s="207"/>
      <c r="UH65" s="272"/>
      <c r="UI65" s="272"/>
      <c r="UJ65" s="205">
        <f t="shared" si="203"/>
        <v>0</v>
      </c>
      <c r="UK65" s="207"/>
      <c r="UL65" s="207"/>
      <c r="UM65" s="207"/>
      <c r="UN65" s="207"/>
      <c r="UO65" s="207"/>
      <c r="UP65" s="272"/>
      <c r="UQ65" s="272"/>
      <c r="UR65" s="205">
        <f t="shared" si="227"/>
        <v>0</v>
      </c>
      <c r="US65" s="207"/>
      <c r="UT65" s="207"/>
      <c r="UU65" s="207"/>
      <c r="UV65" s="207"/>
      <c r="UW65" s="272"/>
      <c r="UX65" s="272"/>
      <c r="UY65" s="272"/>
      <c r="UZ65" s="205">
        <f t="shared" si="204"/>
        <v>0</v>
      </c>
      <c r="VA65" s="205">
        <f t="shared" si="205"/>
        <v>0</v>
      </c>
      <c r="VB65" s="207"/>
      <c r="VC65" s="207"/>
      <c r="VD65" s="120"/>
      <c r="VE65" s="207"/>
      <c r="VF65" s="207"/>
      <c r="VG65" s="272"/>
      <c r="VH65" s="272"/>
      <c r="VI65" s="205">
        <f t="shared" si="206"/>
        <v>0</v>
      </c>
      <c r="VJ65" s="207"/>
      <c r="VK65" s="207"/>
      <c r="VL65" s="207"/>
      <c r="VM65" s="207"/>
      <c r="VN65" s="207"/>
      <c r="VO65" s="272"/>
      <c r="VP65" s="272"/>
      <c r="VQ65" s="205">
        <f t="shared" si="207"/>
        <v>0</v>
      </c>
      <c r="VR65" s="207"/>
      <c r="VS65" s="207"/>
      <c r="VT65" s="124"/>
      <c r="VU65" s="207"/>
      <c r="VV65" s="207"/>
      <c r="VW65" s="272"/>
      <c r="VX65" s="272"/>
      <c r="VY65" s="205">
        <f t="shared" si="208"/>
        <v>0</v>
      </c>
      <c r="VZ65" s="207"/>
      <c r="WA65" s="207"/>
      <c r="WB65" s="207"/>
      <c r="WC65" s="207"/>
      <c r="WD65" s="207"/>
      <c r="WE65" s="272"/>
      <c r="WF65" s="272"/>
      <c r="WG65" s="205">
        <f t="shared" si="209"/>
        <v>0</v>
      </c>
      <c r="WH65" s="205">
        <f t="shared" si="210"/>
        <v>0</v>
      </c>
      <c r="WI65" s="207"/>
      <c r="WJ65" s="207"/>
      <c r="WK65" s="207"/>
      <c r="WL65" s="207"/>
      <c r="WM65" s="207"/>
      <c r="WN65" s="272"/>
      <c r="WO65" s="272"/>
      <c r="WP65" s="205">
        <f t="shared" si="211"/>
        <v>0</v>
      </c>
      <c r="WQ65" s="207"/>
      <c r="WR65" s="124"/>
      <c r="WS65" s="207"/>
      <c r="WT65" s="207"/>
      <c r="WU65" s="207"/>
      <c r="WV65" s="272"/>
      <c r="WW65" s="272"/>
      <c r="WX65" s="205">
        <f t="shared" si="531"/>
        <v>0</v>
      </c>
      <c r="WY65" s="207"/>
      <c r="WZ65" s="207"/>
      <c r="XA65" s="207"/>
      <c r="XB65" s="207"/>
      <c r="XC65" s="272"/>
      <c r="XD65" s="272"/>
      <c r="XE65" s="272"/>
      <c r="XF65" s="205">
        <f t="shared" si="213"/>
        <v>0</v>
      </c>
      <c r="XG65" s="207"/>
      <c r="XH65" s="207"/>
      <c r="XI65" s="207"/>
      <c r="XJ65" s="207"/>
      <c r="XK65" s="207"/>
      <c r="XL65" s="272"/>
      <c r="XM65" s="272"/>
      <c r="XN65" s="205">
        <f t="shared" si="214"/>
        <v>0</v>
      </c>
      <c r="XO65" s="207"/>
      <c r="XP65" s="207"/>
      <c r="XQ65" s="207"/>
      <c r="XR65" s="207"/>
      <c r="XS65" s="207"/>
      <c r="XT65" s="272"/>
      <c r="XU65" s="272"/>
      <c r="XV65" s="205">
        <f t="shared" si="215"/>
        <v>0</v>
      </c>
      <c r="XW65" s="205">
        <f t="shared" si="216"/>
        <v>0</v>
      </c>
      <c r="XX65" s="207"/>
      <c r="XY65" s="124"/>
      <c r="XZ65" s="207"/>
      <c r="YA65" s="207"/>
      <c r="YB65" s="207"/>
      <c r="YC65" s="272"/>
      <c r="YD65" s="272"/>
      <c r="YE65" s="205">
        <f t="shared" si="217"/>
        <v>0</v>
      </c>
      <c r="YF65" s="207"/>
      <c r="YG65" s="207"/>
      <c r="YH65" s="207"/>
      <c r="YI65" s="207"/>
      <c r="YJ65" s="207"/>
      <c r="YK65" s="272"/>
      <c r="YL65" s="272"/>
      <c r="YM65" s="205">
        <f t="shared" si="218"/>
        <v>0</v>
      </c>
      <c r="YN65" s="207"/>
      <c r="YO65" s="207"/>
      <c r="YP65" s="207"/>
      <c r="YQ65" s="207"/>
      <c r="YR65" s="207"/>
      <c r="YS65" s="272"/>
      <c r="YT65" s="272"/>
      <c r="YU65" s="205">
        <f t="shared" si="148"/>
        <v>0</v>
      </c>
      <c r="YV65" s="207"/>
      <c r="YW65" s="207"/>
      <c r="YX65" s="207"/>
      <c r="YY65" s="207"/>
      <c r="YZ65" s="207"/>
      <c r="ZA65" s="272"/>
      <c r="ZB65" s="272"/>
      <c r="ZC65" s="205">
        <f t="shared" si="219"/>
        <v>0</v>
      </c>
      <c r="ZD65" s="205">
        <f t="shared" si="516"/>
        <v>0</v>
      </c>
      <c r="ZE65" s="207"/>
      <c r="ZF65" s="207"/>
      <c r="ZG65" s="207"/>
      <c r="ZH65" s="207"/>
      <c r="ZI65" s="207"/>
      <c r="ZJ65" s="272"/>
      <c r="ZK65" s="272"/>
      <c r="ZL65" s="205">
        <f t="shared" si="220"/>
        <v>0</v>
      </c>
      <c r="ZM65" s="207"/>
      <c r="ZN65" s="207"/>
      <c r="ZO65" s="207"/>
      <c r="ZP65" s="207"/>
      <c r="ZQ65" s="207"/>
      <c r="ZR65" s="272"/>
      <c r="ZS65" s="272"/>
      <c r="ZT65" s="205">
        <f t="shared" si="221"/>
        <v>0</v>
      </c>
      <c r="ZU65" s="207"/>
      <c r="ZV65" s="207"/>
      <c r="ZW65" s="207"/>
      <c r="ZX65" s="207"/>
      <c r="ZY65" s="207"/>
      <c r="ZZ65" s="272"/>
      <c r="AAA65" s="272"/>
      <c r="AAB65" s="205">
        <f t="shared" si="222"/>
        <v>0</v>
      </c>
      <c r="AAC65" s="207"/>
      <c r="AAD65" s="207"/>
      <c r="AAE65" s="207"/>
      <c r="AAF65" s="207"/>
      <c r="AAG65" s="207"/>
      <c r="AAH65" s="272"/>
      <c r="AAI65" s="272"/>
      <c r="AAJ65" s="205">
        <f t="shared" si="223"/>
        <v>0</v>
      </c>
      <c r="AAK65" s="207"/>
      <c r="AAL65" s="207"/>
      <c r="AAM65" s="207"/>
      <c r="AAN65" s="207"/>
      <c r="AAO65" s="207"/>
      <c r="AAP65" s="272"/>
      <c r="AAQ65" s="272"/>
      <c r="AAR65" s="205">
        <f t="shared" si="224"/>
        <v>0</v>
      </c>
      <c r="AAS65" s="205">
        <f t="shared" si="225"/>
        <v>0</v>
      </c>
    </row>
    <row r="66" spans="1:721" ht="69" customHeight="1">
      <c r="B66" s="164">
        <v>3630101704</v>
      </c>
      <c r="C66" s="332"/>
      <c r="D66" s="191" t="s">
        <v>819</v>
      </c>
      <c r="E66" s="130" t="s">
        <v>4</v>
      </c>
      <c r="F66" s="120"/>
      <c r="G66" s="120"/>
      <c r="H66" s="120"/>
      <c r="I66" s="120"/>
      <c r="J66" s="120"/>
      <c r="K66" s="209"/>
      <c r="L66" s="205"/>
      <c r="M66" s="205">
        <f t="shared" si="532"/>
        <v>0</v>
      </c>
      <c r="N66" s="120"/>
      <c r="O66" s="120"/>
      <c r="P66" s="120"/>
      <c r="Q66" s="120"/>
      <c r="R66" s="120"/>
      <c r="S66" s="209"/>
      <c r="T66" s="205"/>
      <c r="U66" s="205">
        <f t="shared" si="533"/>
        <v>0</v>
      </c>
      <c r="V66" s="120"/>
      <c r="W66" s="120"/>
      <c r="X66" s="120"/>
      <c r="Y66" s="120"/>
      <c r="Z66" s="120"/>
      <c r="AA66" s="209"/>
      <c r="AB66" s="205"/>
      <c r="AC66" s="205">
        <f t="shared" si="534"/>
        <v>0</v>
      </c>
      <c r="AD66" s="205"/>
      <c r="AE66" s="205"/>
      <c r="AF66" s="205"/>
      <c r="AG66" s="205"/>
      <c r="AH66" s="205"/>
      <c r="AI66" s="209"/>
      <c r="AJ66" s="205"/>
      <c r="AK66" s="205">
        <f t="shared" si="535"/>
        <v>0</v>
      </c>
      <c r="AL66" s="205" t="e">
        <f>SUM(#REF!,M66,U66,AC66,AD66:AH66)</f>
        <v>#REF!</v>
      </c>
      <c r="AM66" s="120"/>
      <c r="AN66" s="120"/>
      <c r="AO66" s="120"/>
      <c r="AP66" s="120"/>
      <c r="AQ66" s="120"/>
      <c r="AR66" s="209"/>
      <c r="AS66" s="205"/>
      <c r="AT66" s="205">
        <f t="shared" si="536"/>
        <v>0</v>
      </c>
      <c r="AU66" s="120"/>
      <c r="AV66" s="120"/>
      <c r="AW66" s="120"/>
      <c r="AX66" s="120"/>
      <c r="AY66" s="120"/>
      <c r="AZ66" s="209"/>
      <c r="BA66" s="205"/>
      <c r="BB66" s="205">
        <f t="shared" si="537"/>
        <v>0</v>
      </c>
      <c r="BC66" s="120"/>
      <c r="BD66" s="120"/>
      <c r="BE66" s="120"/>
      <c r="BF66" s="120"/>
      <c r="BG66" s="120"/>
      <c r="BH66" s="209"/>
      <c r="BI66" s="205"/>
      <c r="BJ66" s="205">
        <f t="shared" si="538"/>
        <v>0</v>
      </c>
      <c r="BK66" s="120"/>
      <c r="BL66" s="120"/>
      <c r="BM66" s="120"/>
      <c r="BN66" s="120"/>
      <c r="BO66" s="205"/>
      <c r="BP66" s="209"/>
      <c r="BQ66" s="205"/>
      <c r="BR66" s="205">
        <f t="shared" si="248"/>
        <v>0</v>
      </c>
      <c r="BS66" s="205">
        <f t="shared" si="129"/>
        <v>0</v>
      </c>
      <c r="BT66" s="120"/>
      <c r="BU66" s="120"/>
      <c r="BV66" s="120"/>
      <c r="BW66" s="120"/>
      <c r="BX66" s="120"/>
      <c r="BY66" s="209"/>
      <c r="BZ66" s="205"/>
      <c r="CA66" s="205">
        <f t="shared" si="539"/>
        <v>0</v>
      </c>
      <c r="CB66" s="120"/>
      <c r="CC66" s="120"/>
      <c r="CD66" s="120"/>
      <c r="CE66" s="120"/>
      <c r="CF66" s="120"/>
      <c r="CG66" s="209"/>
      <c r="CH66" s="205"/>
      <c r="CI66" s="205">
        <f t="shared" si="540"/>
        <v>0</v>
      </c>
      <c r="CJ66" s="120"/>
      <c r="CK66" s="120"/>
      <c r="CL66" s="120"/>
      <c r="CM66" s="120"/>
      <c r="CN66" s="120"/>
      <c r="CO66" s="209"/>
      <c r="CP66" s="205"/>
      <c r="CQ66" s="205">
        <f t="shared" si="541"/>
        <v>0</v>
      </c>
      <c r="CR66" s="120"/>
      <c r="CS66" s="120"/>
      <c r="CT66" s="120"/>
      <c r="CU66" s="120"/>
      <c r="CV66" s="120"/>
      <c r="CW66" s="209"/>
      <c r="CX66" s="205"/>
      <c r="CY66" s="205">
        <f t="shared" si="542"/>
        <v>0</v>
      </c>
      <c r="CZ66" s="120"/>
      <c r="DA66" s="120"/>
      <c r="DB66" s="120"/>
      <c r="DC66" s="205"/>
      <c r="DD66" s="205"/>
      <c r="DE66" s="209"/>
      <c r="DF66" s="205"/>
      <c r="DG66" s="205">
        <f t="shared" si="543"/>
        <v>0</v>
      </c>
      <c r="DH66" s="205">
        <f t="shared" si="150"/>
        <v>0</v>
      </c>
      <c r="DI66" s="120"/>
      <c r="DJ66" s="120"/>
      <c r="DK66" s="120"/>
      <c r="DL66" s="120"/>
      <c r="DM66" s="120"/>
      <c r="DN66" s="209"/>
      <c r="DO66" s="205"/>
      <c r="DP66" s="205">
        <f t="shared" si="228"/>
        <v>0</v>
      </c>
      <c r="DQ66" s="120"/>
      <c r="DR66" s="120"/>
      <c r="DS66" s="120"/>
      <c r="DT66" s="120"/>
      <c r="DU66" s="120"/>
      <c r="DV66" s="209"/>
      <c r="DW66" s="205"/>
      <c r="DX66" s="205">
        <f t="shared" si="136"/>
        <v>0</v>
      </c>
      <c r="DY66" s="120"/>
      <c r="DZ66" s="120"/>
      <c r="EA66" s="120"/>
      <c r="EB66" s="120"/>
      <c r="EC66" s="120"/>
      <c r="ED66" s="209"/>
      <c r="EE66" s="205"/>
      <c r="EF66" s="205">
        <f t="shared" si="137"/>
        <v>0</v>
      </c>
      <c r="EG66" s="120"/>
      <c r="EH66" s="120"/>
      <c r="EI66" s="120"/>
      <c r="EJ66" s="205"/>
      <c r="EK66" s="205"/>
      <c r="EL66" s="209"/>
      <c r="EM66" s="205"/>
      <c r="EN66" s="205">
        <f t="shared" si="138"/>
        <v>0</v>
      </c>
      <c r="EO66" s="205">
        <f t="shared" si="151"/>
        <v>0</v>
      </c>
      <c r="EP66" s="120"/>
      <c r="EQ66" s="120"/>
      <c r="ER66" s="120"/>
      <c r="ES66" s="120"/>
      <c r="ET66" s="120"/>
      <c r="EU66" s="209"/>
      <c r="EV66" s="205"/>
      <c r="EW66" s="205">
        <f t="shared" si="139"/>
        <v>0</v>
      </c>
      <c r="EX66" s="120"/>
      <c r="EY66" s="120"/>
      <c r="EZ66" s="120"/>
      <c r="FA66" s="120"/>
      <c r="FB66" s="120"/>
      <c r="FC66" s="209"/>
      <c r="FD66" s="205"/>
      <c r="FE66" s="205">
        <f t="shared" si="140"/>
        <v>0</v>
      </c>
      <c r="FF66" s="120"/>
      <c r="FG66" s="120"/>
      <c r="FH66" s="120"/>
      <c r="FI66" s="120"/>
      <c r="FJ66" s="120"/>
      <c r="FK66" s="209"/>
      <c r="FL66" s="205"/>
      <c r="FM66" s="205">
        <f t="shared" si="141"/>
        <v>0</v>
      </c>
      <c r="FN66" s="120"/>
      <c r="FO66" s="120"/>
      <c r="FP66" s="120"/>
      <c r="FQ66" s="120"/>
      <c r="FR66" s="205"/>
      <c r="FS66" s="209"/>
      <c r="FT66" s="205"/>
      <c r="FU66" s="205">
        <f t="shared" si="142"/>
        <v>0</v>
      </c>
      <c r="FV66" s="205">
        <f t="shared" si="152"/>
        <v>0</v>
      </c>
      <c r="FW66" s="120"/>
      <c r="FX66" s="120"/>
      <c r="FY66" s="120"/>
      <c r="FZ66" s="120"/>
      <c r="GA66" s="120"/>
      <c r="GB66" s="209"/>
      <c r="GC66" s="205"/>
      <c r="GD66" s="205">
        <f t="shared" si="143"/>
        <v>0</v>
      </c>
      <c r="GE66" s="120"/>
      <c r="GF66" s="120"/>
      <c r="GG66" s="120"/>
      <c r="GH66" s="120"/>
      <c r="GI66" s="120"/>
      <c r="GJ66" s="209"/>
      <c r="GK66" s="205"/>
      <c r="GL66" s="205">
        <f t="shared" si="144"/>
        <v>0</v>
      </c>
      <c r="GM66" s="120"/>
      <c r="GN66" s="120"/>
      <c r="GO66" s="120"/>
      <c r="GP66" s="120"/>
      <c r="GQ66" s="120"/>
      <c r="GR66" s="209"/>
      <c r="GS66" s="205"/>
      <c r="GT66" s="205">
        <f t="shared" si="145"/>
        <v>0</v>
      </c>
      <c r="GU66" s="120"/>
      <c r="GV66" s="120"/>
      <c r="GW66" s="120"/>
      <c r="GX66" s="120"/>
      <c r="GY66" s="120"/>
      <c r="GZ66" s="209"/>
      <c r="HA66" s="205"/>
      <c r="HB66" s="205">
        <f t="shared" si="146"/>
        <v>0</v>
      </c>
      <c r="HC66" s="120"/>
      <c r="HD66" s="120"/>
      <c r="HE66" s="120"/>
      <c r="HF66" s="120"/>
      <c r="HG66" s="120"/>
      <c r="HH66" s="209"/>
      <c r="HI66" s="205"/>
      <c r="HJ66" s="205">
        <f t="shared" si="147"/>
        <v>0</v>
      </c>
      <c r="HK66" s="205">
        <f t="shared" si="153"/>
        <v>0</v>
      </c>
      <c r="HL66" s="124"/>
      <c r="HM66" s="120"/>
      <c r="HN66" s="120"/>
      <c r="HO66" s="120"/>
      <c r="HP66" s="120"/>
      <c r="HQ66" s="205"/>
      <c r="HR66" s="205"/>
      <c r="HS66" s="205">
        <f t="shared" si="154"/>
        <v>0</v>
      </c>
      <c r="HT66" s="120"/>
      <c r="HU66" s="120"/>
      <c r="HV66" s="120"/>
      <c r="HW66" s="120"/>
      <c r="HX66" s="120"/>
      <c r="HY66" s="205"/>
      <c r="HZ66" s="205"/>
      <c r="IA66" s="205">
        <f t="shared" si="155"/>
        <v>0</v>
      </c>
      <c r="IB66" s="120"/>
      <c r="IC66" s="120"/>
      <c r="ID66" s="120"/>
      <c r="IE66" s="120"/>
      <c r="IF66" s="120"/>
      <c r="IG66" s="205"/>
      <c r="IH66" s="205"/>
      <c r="II66" s="205">
        <f t="shared" si="156"/>
        <v>0</v>
      </c>
      <c r="IJ66" s="120"/>
      <c r="IK66" s="120"/>
      <c r="IL66" s="120"/>
      <c r="IM66" s="120"/>
      <c r="IN66" s="120"/>
      <c r="IO66" s="205"/>
      <c r="IP66" s="205"/>
      <c r="IQ66" s="205">
        <f t="shared" si="157"/>
        <v>0</v>
      </c>
      <c r="IR66" s="205">
        <f t="shared" si="158"/>
        <v>0</v>
      </c>
      <c r="IS66" s="120"/>
      <c r="IT66" s="120"/>
      <c r="IU66" s="120"/>
      <c r="IV66" s="120"/>
      <c r="IW66" s="120"/>
      <c r="IX66" s="205"/>
      <c r="IY66" s="205"/>
      <c r="IZ66" s="205">
        <f t="shared" si="159"/>
        <v>0</v>
      </c>
      <c r="JA66" s="120"/>
      <c r="JB66" s="120"/>
      <c r="JC66" s="120"/>
      <c r="JD66" s="120"/>
      <c r="JE66" s="120"/>
      <c r="JF66" s="205"/>
      <c r="JG66" s="205"/>
      <c r="JH66" s="205">
        <f t="shared" si="160"/>
        <v>0</v>
      </c>
      <c r="JI66" s="120"/>
      <c r="JJ66" s="120"/>
      <c r="JK66" s="120"/>
      <c r="JL66" s="120"/>
      <c r="JM66" s="120"/>
      <c r="JN66" s="205"/>
      <c r="JO66" s="205"/>
      <c r="JP66" s="205">
        <f t="shared" si="161"/>
        <v>0</v>
      </c>
      <c r="JQ66" s="120"/>
      <c r="JR66" s="120"/>
      <c r="JS66" s="120"/>
      <c r="JT66" s="120"/>
      <c r="JU66" s="120"/>
      <c r="JV66" s="205"/>
      <c r="JW66" s="205"/>
      <c r="JX66" s="205">
        <f t="shared" si="162"/>
        <v>0</v>
      </c>
      <c r="JY66" s="205">
        <f t="shared" si="163"/>
        <v>0</v>
      </c>
      <c r="JZ66" s="120"/>
      <c r="KA66" s="250">
        <v>190</v>
      </c>
      <c r="KB66" s="120"/>
      <c r="KC66" s="120"/>
      <c r="KD66" s="120"/>
      <c r="KE66" s="205"/>
      <c r="KF66" s="205"/>
      <c r="KG66" s="205">
        <f t="shared" si="164"/>
        <v>190</v>
      </c>
      <c r="KH66" s="120"/>
      <c r="KI66" s="120"/>
      <c r="KJ66" s="120"/>
      <c r="KK66" s="120"/>
      <c r="KL66" s="120"/>
      <c r="KM66" s="205"/>
      <c r="KN66" s="205"/>
      <c r="KO66" s="205">
        <f t="shared" si="165"/>
        <v>0</v>
      </c>
      <c r="KP66" s="120"/>
      <c r="KQ66" s="120"/>
      <c r="KR66" s="120"/>
      <c r="KS66" s="120"/>
      <c r="KT66" s="120"/>
      <c r="KU66" s="205"/>
      <c r="KV66" s="205"/>
      <c r="KW66" s="205">
        <f t="shared" si="166"/>
        <v>0</v>
      </c>
      <c r="KX66" s="120"/>
      <c r="KY66" s="120"/>
      <c r="KZ66" s="120"/>
      <c r="LA66" s="120"/>
      <c r="LB66" s="120"/>
      <c r="LC66" s="205"/>
      <c r="LD66" s="205"/>
      <c r="LE66" s="205">
        <f t="shared" si="167"/>
        <v>0</v>
      </c>
      <c r="LF66" s="205"/>
      <c r="LG66" s="120"/>
      <c r="LH66" s="120"/>
      <c r="LI66" s="120"/>
      <c r="LJ66" s="120"/>
      <c r="LK66" s="205"/>
      <c r="LL66" s="205"/>
      <c r="LM66" s="205">
        <f t="shared" si="168"/>
        <v>0</v>
      </c>
      <c r="LN66" s="205">
        <f t="shared" si="169"/>
        <v>190</v>
      </c>
      <c r="LO66" s="205"/>
      <c r="LP66" s="120"/>
      <c r="LQ66" s="120"/>
      <c r="LR66" s="120"/>
      <c r="LS66" s="205"/>
      <c r="LT66" s="205"/>
      <c r="LU66" s="205"/>
      <c r="LV66" s="205">
        <f t="shared" si="170"/>
        <v>0</v>
      </c>
      <c r="LW66" s="120"/>
      <c r="LX66" s="120"/>
      <c r="LY66" s="120"/>
      <c r="LZ66" s="120"/>
      <c r="MA66" s="120"/>
      <c r="MB66" s="205"/>
      <c r="MC66" s="205"/>
      <c r="MD66" s="205">
        <f t="shared" si="171"/>
        <v>0</v>
      </c>
      <c r="ME66" s="120"/>
      <c r="MF66" s="120"/>
      <c r="MG66" s="120"/>
      <c r="MH66" s="120"/>
      <c r="MI66" s="205"/>
      <c r="MJ66" s="205"/>
      <c r="MK66" s="205"/>
      <c r="ML66" s="205">
        <f t="shared" si="172"/>
        <v>0</v>
      </c>
      <c r="MM66" s="120"/>
      <c r="MN66" s="217">
        <v>120</v>
      </c>
      <c r="MO66" s="120"/>
      <c r="MP66" s="120"/>
      <c r="MQ66" s="120"/>
      <c r="MR66" s="205"/>
      <c r="MS66" s="205"/>
      <c r="MT66" s="205">
        <f t="shared" si="173"/>
        <v>120</v>
      </c>
      <c r="MU66" s="205">
        <f t="shared" si="174"/>
        <v>120</v>
      </c>
      <c r="MV66" s="120"/>
      <c r="MW66" s="120"/>
      <c r="MX66" s="120"/>
      <c r="MY66" s="120"/>
      <c r="MZ66" s="120"/>
      <c r="NA66" s="205"/>
      <c r="NB66" s="205"/>
      <c r="NC66" s="205">
        <f t="shared" si="175"/>
        <v>0</v>
      </c>
      <c r="ND66" s="120"/>
      <c r="NE66" s="120"/>
      <c r="NF66" s="120"/>
      <c r="NG66" s="120"/>
      <c r="NH66" s="120"/>
      <c r="NI66" s="205"/>
      <c r="NJ66" s="205"/>
      <c r="NK66" s="205">
        <f t="shared" si="176"/>
        <v>0</v>
      </c>
      <c r="NL66" s="120"/>
      <c r="NM66" s="120"/>
      <c r="NN66" s="120"/>
      <c r="NO66" s="120"/>
      <c r="NP66" s="120"/>
      <c r="NQ66" s="205"/>
      <c r="NR66" s="205"/>
      <c r="NS66" s="205">
        <f t="shared" si="177"/>
        <v>0</v>
      </c>
      <c r="NT66" s="120"/>
      <c r="NU66" s="120"/>
      <c r="NV66" s="120"/>
      <c r="NW66" s="120"/>
      <c r="NX66" s="120"/>
      <c r="NY66" s="205"/>
      <c r="NZ66" s="205"/>
      <c r="OA66" s="205">
        <f t="shared" si="178"/>
        <v>0</v>
      </c>
      <c r="OB66" s="205">
        <f t="shared" si="179"/>
        <v>0</v>
      </c>
      <c r="OC66" s="120"/>
      <c r="OD66" s="120"/>
      <c r="OE66" s="120"/>
      <c r="OF66" s="120"/>
      <c r="OG66" s="120"/>
      <c r="OH66" s="205"/>
      <c r="OI66" s="205"/>
      <c r="OJ66" s="205">
        <f t="shared" si="180"/>
        <v>0</v>
      </c>
      <c r="OK66" s="195">
        <v>150</v>
      </c>
      <c r="OL66" s="120"/>
      <c r="OM66" s="120"/>
      <c r="ON66" s="120"/>
      <c r="OO66" s="120"/>
      <c r="OP66" s="205"/>
      <c r="OQ66" s="205"/>
      <c r="OR66" s="205">
        <f t="shared" si="181"/>
        <v>150</v>
      </c>
      <c r="OS66" s="120"/>
      <c r="OT66" s="120"/>
      <c r="OU66" s="120"/>
      <c r="OV66" s="120"/>
      <c r="OW66" s="120"/>
      <c r="OX66" s="205"/>
      <c r="OY66" s="205"/>
      <c r="OZ66" s="205">
        <f t="shared" si="182"/>
        <v>0</v>
      </c>
      <c r="PA66" s="120"/>
      <c r="PB66" s="120"/>
      <c r="PC66" s="120"/>
      <c r="PD66" s="205"/>
      <c r="PE66" s="217"/>
      <c r="PF66" s="205"/>
      <c r="PG66" s="205"/>
      <c r="PH66" s="205">
        <f t="shared" si="183"/>
        <v>0</v>
      </c>
      <c r="PI66" s="120"/>
      <c r="PJ66" s="120"/>
      <c r="PK66" s="120"/>
      <c r="PL66" s="205"/>
      <c r="PM66" s="217"/>
      <c r="PN66" s="205"/>
      <c r="PO66" s="205"/>
      <c r="PP66" s="205">
        <f t="shared" si="184"/>
        <v>0</v>
      </c>
      <c r="PQ66" s="205">
        <f t="shared" si="185"/>
        <v>150</v>
      </c>
      <c r="PR66" s="207"/>
      <c r="PS66" s="207"/>
      <c r="PT66" s="207"/>
      <c r="PU66" s="207"/>
      <c r="PV66" s="207"/>
      <c r="PW66" s="272"/>
      <c r="PX66" s="272"/>
      <c r="PY66" s="205">
        <f t="shared" si="186"/>
        <v>0</v>
      </c>
      <c r="PZ66" s="207"/>
      <c r="QA66" s="207"/>
      <c r="QB66" s="207"/>
      <c r="QC66" s="207"/>
      <c r="QD66" s="207"/>
      <c r="QE66" s="272"/>
      <c r="QF66" s="272"/>
      <c r="QG66" s="205">
        <f t="shared" si="187"/>
        <v>0</v>
      </c>
      <c r="QH66" s="207"/>
      <c r="QI66" s="207"/>
      <c r="QJ66" s="294"/>
      <c r="QK66" s="201">
        <v>330</v>
      </c>
      <c r="QL66" s="207"/>
      <c r="QM66" s="272"/>
      <c r="QN66" s="272"/>
      <c r="QO66" s="205">
        <f t="shared" si="188"/>
        <v>330</v>
      </c>
      <c r="QP66" s="207"/>
      <c r="QQ66" s="207"/>
      <c r="QR66" s="207"/>
      <c r="QS66" s="207"/>
      <c r="QT66" s="207"/>
      <c r="QU66" s="272"/>
      <c r="QV66" s="272"/>
      <c r="QW66" s="205">
        <f t="shared" si="320"/>
        <v>0</v>
      </c>
      <c r="QX66" s="205">
        <f t="shared" si="190"/>
        <v>330</v>
      </c>
      <c r="QY66" s="207"/>
      <c r="QZ66" s="207"/>
      <c r="RA66" s="207"/>
      <c r="RB66" s="207"/>
      <c r="RC66" s="207"/>
      <c r="RD66" s="272"/>
      <c r="RE66" s="272"/>
      <c r="RF66" s="205">
        <f t="shared" si="191"/>
        <v>0</v>
      </c>
      <c r="RG66" s="207"/>
      <c r="RH66" s="207"/>
      <c r="RI66" s="207"/>
      <c r="RJ66" s="207"/>
      <c r="RK66" s="207"/>
      <c r="RL66" s="272"/>
      <c r="RM66" s="272"/>
      <c r="RN66" s="205">
        <f t="shared" si="530"/>
        <v>0</v>
      </c>
      <c r="RO66" s="272"/>
      <c r="RP66" s="272"/>
      <c r="RQ66" s="272"/>
      <c r="RR66" s="272"/>
      <c r="RS66" s="272"/>
      <c r="RT66" s="272"/>
      <c r="RU66" s="272"/>
      <c r="RV66" s="205">
        <f t="shared" si="193"/>
        <v>0</v>
      </c>
      <c r="RW66" s="207"/>
      <c r="RX66" s="123">
        <v>120</v>
      </c>
      <c r="RY66" s="207"/>
      <c r="RZ66" s="207"/>
      <c r="SA66" s="272"/>
      <c r="SB66" s="272"/>
      <c r="SC66" s="272"/>
      <c r="SD66" s="205">
        <f t="shared" si="194"/>
        <v>120</v>
      </c>
      <c r="SE66" s="205">
        <f t="shared" si="195"/>
        <v>120</v>
      </c>
      <c r="SF66" s="207"/>
      <c r="SG66" s="207"/>
      <c r="SH66" s="207"/>
      <c r="SI66" s="207"/>
      <c r="SJ66" s="207"/>
      <c r="SK66" s="272"/>
      <c r="SL66" s="272"/>
      <c r="SM66" s="205">
        <f t="shared" si="196"/>
        <v>0</v>
      </c>
      <c r="SN66" s="207"/>
      <c r="SO66" s="207"/>
      <c r="SP66" s="207"/>
      <c r="SQ66" s="207"/>
      <c r="SR66" s="207"/>
      <c r="SS66" s="272"/>
      <c r="ST66" s="272"/>
      <c r="SU66" s="205">
        <f t="shared" si="197"/>
        <v>0</v>
      </c>
      <c r="SV66" s="207"/>
      <c r="SW66" s="207"/>
      <c r="SX66" s="207"/>
      <c r="SY66" s="207"/>
      <c r="SZ66" s="207"/>
      <c r="TA66" s="272"/>
      <c r="TB66" s="272"/>
      <c r="TC66" s="205">
        <f t="shared" si="198"/>
        <v>0</v>
      </c>
      <c r="TD66" s="207"/>
      <c r="TE66" s="207"/>
      <c r="TF66" s="124">
        <v>40</v>
      </c>
      <c r="TG66" s="207"/>
      <c r="TH66" s="207"/>
      <c r="TI66" s="272"/>
      <c r="TJ66" s="272"/>
      <c r="TK66" s="205">
        <f t="shared" si="199"/>
        <v>40</v>
      </c>
      <c r="TL66" s="207"/>
      <c r="TM66" s="207"/>
      <c r="TN66" s="207"/>
      <c r="TO66" s="207"/>
      <c r="TP66" s="272"/>
      <c r="TQ66" s="272"/>
      <c r="TR66" s="272"/>
      <c r="TS66" s="205">
        <f t="shared" si="200"/>
        <v>0</v>
      </c>
      <c r="TT66" s="205">
        <f t="shared" si="201"/>
        <v>40</v>
      </c>
      <c r="TU66" s="272"/>
      <c r="TV66" s="207"/>
      <c r="TW66" s="207"/>
      <c r="TX66" s="207"/>
      <c r="TY66" s="207"/>
      <c r="TZ66" s="272"/>
      <c r="UA66" s="272"/>
      <c r="UB66" s="205">
        <f t="shared" si="202"/>
        <v>0</v>
      </c>
      <c r="UC66" s="207"/>
      <c r="UD66" s="217">
        <v>130</v>
      </c>
      <c r="UE66" s="207"/>
      <c r="UF66" s="207"/>
      <c r="UG66" s="207"/>
      <c r="UH66" s="272"/>
      <c r="UI66" s="272"/>
      <c r="UJ66" s="205">
        <f t="shared" si="203"/>
        <v>130</v>
      </c>
      <c r="UK66" s="207"/>
      <c r="UL66" s="207"/>
      <c r="UM66" s="207"/>
      <c r="UN66" s="207"/>
      <c r="UO66" s="207"/>
      <c r="UP66" s="272"/>
      <c r="UQ66" s="272"/>
      <c r="UR66" s="205">
        <f t="shared" si="227"/>
        <v>0</v>
      </c>
      <c r="US66" s="207"/>
      <c r="UT66" s="207"/>
      <c r="UU66" s="207"/>
      <c r="UV66" s="207"/>
      <c r="UW66" s="272"/>
      <c r="UX66" s="272"/>
      <c r="UY66" s="272"/>
      <c r="UZ66" s="205">
        <f t="shared" si="204"/>
        <v>0</v>
      </c>
      <c r="VA66" s="205">
        <f t="shared" si="205"/>
        <v>130</v>
      </c>
      <c r="VB66" s="207"/>
      <c r="VC66" s="207"/>
      <c r="VD66" s="120"/>
      <c r="VE66" s="207"/>
      <c r="VF66" s="207"/>
      <c r="VG66" s="272"/>
      <c r="VH66" s="272"/>
      <c r="VI66" s="205">
        <f t="shared" si="206"/>
        <v>0</v>
      </c>
      <c r="VJ66" s="207"/>
      <c r="VK66" s="207"/>
      <c r="VL66" s="207"/>
      <c r="VM66" s="207"/>
      <c r="VN66" s="207"/>
      <c r="VO66" s="272"/>
      <c r="VP66" s="272"/>
      <c r="VQ66" s="205">
        <f t="shared" si="207"/>
        <v>0</v>
      </c>
      <c r="VR66" s="207"/>
      <c r="VS66" s="207"/>
      <c r="VT66" s="124">
        <v>420</v>
      </c>
      <c r="VU66" s="207"/>
      <c r="VV66" s="207"/>
      <c r="VW66" s="272"/>
      <c r="VX66" s="272"/>
      <c r="VY66" s="205">
        <f>SUM(VR66:VX66)</f>
        <v>420</v>
      </c>
      <c r="VZ66" s="207"/>
      <c r="WA66" s="207"/>
      <c r="WB66" s="207"/>
      <c r="WC66" s="207"/>
      <c r="WD66" s="207"/>
      <c r="WE66" s="272"/>
      <c r="WF66" s="272"/>
      <c r="WG66" s="205">
        <f t="shared" si="209"/>
        <v>0</v>
      </c>
      <c r="WH66" s="205">
        <f t="shared" si="210"/>
        <v>420</v>
      </c>
      <c r="WI66" s="207"/>
      <c r="WJ66" s="207"/>
      <c r="WK66" s="207"/>
      <c r="WL66" s="207"/>
      <c r="WM66" s="207"/>
      <c r="WN66" s="272"/>
      <c r="WO66" s="272"/>
      <c r="WP66" s="205">
        <f t="shared" si="211"/>
        <v>0</v>
      </c>
      <c r="WQ66" s="207"/>
      <c r="WR66" s="124">
        <v>90</v>
      </c>
      <c r="WS66" s="207"/>
      <c r="WT66" s="207"/>
      <c r="WU66" s="207"/>
      <c r="WV66" s="272"/>
      <c r="WW66" s="272"/>
      <c r="WX66" s="205">
        <f t="shared" si="531"/>
        <v>90</v>
      </c>
      <c r="WY66" s="207"/>
      <c r="WZ66" s="207"/>
      <c r="XA66" s="207"/>
      <c r="XB66" s="207"/>
      <c r="XC66" s="272"/>
      <c r="XD66" s="272"/>
      <c r="XE66" s="272"/>
      <c r="XF66" s="205">
        <f t="shared" si="213"/>
        <v>0</v>
      </c>
      <c r="XG66" s="207"/>
      <c r="XH66" s="207"/>
      <c r="XI66" s="207"/>
      <c r="XJ66" s="207"/>
      <c r="XK66" s="207"/>
      <c r="XL66" s="272"/>
      <c r="XM66" s="272"/>
      <c r="XN66" s="205">
        <f t="shared" si="214"/>
        <v>0</v>
      </c>
      <c r="XO66" s="207"/>
      <c r="XP66" s="207"/>
      <c r="XQ66" s="207"/>
      <c r="XR66" s="207"/>
      <c r="XS66" s="207"/>
      <c r="XT66" s="272"/>
      <c r="XU66" s="272"/>
      <c r="XV66" s="205">
        <f t="shared" si="215"/>
        <v>0</v>
      </c>
      <c r="XW66" s="205">
        <f t="shared" si="216"/>
        <v>90</v>
      </c>
      <c r="XX66" s="207"/>
      <c r="XY66" s="124">
        <v>150</v>
      </c>
      <c r="XZ66" s="207"/>
      <c r="YA66" s="207"/>
      <c r="YB66" s="207"/>
      <c r="YC66" s="272"/>
      <c r="YD66" s="272"/>
      <c r="YE66" s="205">
        <f t="shared" si="217"/>
        <v>150</v>
      </c>
      <c r="YF66" s="207"/>
      <c r="YG66" s="207"/>
      <c r="YH66" s="207"/>
      <c r="YI66" s="207"/>
      <c r="YJ66" s="207"/>
      <c r="YK66" s="272"/>
      <c r="YL66" s="272"/>
      <c r="YM66" s="205">
        <f t="shared" si="218"/>
        <v>0</v>
      </c>
      <c r="YN66" s="207"/>
      <c r="YO66" s="207"/>
      <c r="YP66" s="207"/>
      <c r="YQ66" s="207"/>
      <c r="YR66" s="207"/>
      <c r="YS66" s="272"/>
      <c r="YT66" s="272"/>
      <c r="YU66" s="205">
        <f t="shared" si="148"/>
        <v>0</v>
      </c>
      <c r="YV66" s="207"/>
      <c r="YW66" s="207"/>
      <c r="YX66" s="207"/>
      <c r="YY66" s="207"/>
      <c r="YZ66" s="207"/>
      <c r="ZA66" s="272"/>
      <c r="ZB66" s="272"/>
      <c r="ZC66" s="205">
        <f t="shared" si="219"/>
        <v>0</v>
      </c>
      <c r="ZD66" s="205">
        <f t="shared" si="516"/>
        <v>150</v>
      </c>
      <c r="ZE66" s="207"/>
      <c r="ZF66" s="207"/>
      <c r="ZG66" s="207"/>
      <c r="ZH66" s="207"/>
      <c r="ZI66" s="207"/>
      <c r="ZJ66" s="272"/>
      <c r="ZK66" s="272"/>
      <c r="ZL66" s="205">
        <f t="shared" si="220"/>
        <v>0</v>
      </c>
      <c r="ZM66" s="207"/>
      <c r="ZN66" s="207"/>
      <c r="ZO66" s="207"/>
      <c r="ZP66" s="207"/>
      <c r="ZQ66" s="207"/>
      <c r="ZR66" s="272"/>
      <c r="ZS66" s="272"/>
      <c r="ZT66" s="205">
        <f t="shared" si="221"/>
        <v>0</v>
      </c>
      <c r="ZU66" s="207"/>
      <c r="ZV66" s="207"/>
      <c r="ZW66" s="207"/>
      <c r="ZX66" s="207"/>
      <c r="ZY66" s="207"/>
      <c r="ZZ66" s="272"/>
      <c r="AAA66" s="272"/>
      <c r="AAB66" s="205">
        <f t="shared" si="222"/>
        <v>0</v>
      </c>
      <c r="AAC66" s="207"/>
      <c r="AAD66" s="207"/>
      <c r="AAE66" s="207"/>
      <c r="AAF66" s="207"/>
      <c r="AAG66" s="207"/>
      <c r="AAH66" s="272"/>
      <c r="AAI66" s="272"/>
      <c r="AAJ66" s="205">
        <f t="shared" si="223"/>
        <v>0</v>
      </c>
      <c r="AAK66" s="207"/>
      <c r="AAL66" s="207"/>
      <c r="AAM66" s="207"/>
      <c r="AAN66" s="207"/>
      <c r="AAO66" s="207"/>
      <c r="AAP66" s="272"/>
      <c r="AAQ66" s="272"/>
      <c r="AAR66" s="205">
        <f t="shared" si="224"/>
        <v>0</v>
      </c>
      <c r="AAS66" s="205">
        <f t="shared" si="225"/>
        <v>0</v>
      </c>
    </row>
    <row r="67" spans="1:721" ht="72" customHeight="1">
      <c r="B67" s="162">
        <v>3630101305</v>
      </c>
      <c r="C67" s="330"/>
      <c r="D67" s="167" t="s">
        <v>42</v>
      </c>
      <c r="E67" s="130" t="s">
        <v>4</v>
      </c>
      <c r="F67" s="120"/>
      <c r="G67" s="120"/>
      <c r="H67" s="120"/>
      <c r="I67" s="120"/>
      <c r="J67" s="120"/>
      <c r="K67" s="209"/>
      <c r="L67" s="205"/>
      <c r="M67" s="205">
        <f t="shared" si="303"/>
        <v>0</v>
      </c>
      <c r="N67" s="120"/>
      <c r="O67" s="120"/>
      <c r="P67" s="120"/>
      <c r="Q67" s="120"/>
      <c r="R67" s="120"/>
      <c r="S67" s="209"/>
      <c r="T67" s="205"/>
      <c r="U67" s="205">
        <f t="shared" si="304"/>
        <v>0</v>
      </c>
      <c r="V67" s="120"/>
      <c r="W67" s="120"/>
      <c r="X67" s="201">
        <v>1000</v>
      </c>
      <c r="Y67" s="120"/>
      <c r="Z67" s="120"/>
      <c r="AA67" s="209"/>
      <c r="AB67" s="205"/>
      <c r="AC67" s="205">
        <f t="shared" si="305"/>
        <v>1000</v>
      </c>
      <c r="AD67" s="205"/>
      <c r="AE67" s="205"/>
      <c r="AF67" s="205"/>
      <c r="AG67" s="205"/>
      <c r="AH67" s="205"/>
      <c r="AI67" s="209"/>
      <c r="AJ67" s="205"/>
      <c r="AK67" s="205">
        <f t="shared" si="306"/>
        <v>0</v>
      </c>
      <c r="AL67" s="205" t="e">
        <f>SUM(#REF!,M67,U67,AC67,AD67:AH67)</f>
        <v>#REF!</v>
      </c>
      <c r="AM67" s="120"/>
      <c r="AN67" s="124">
        <v>1000</v>
      </c>
      <c r="AO67" s="120"/>
      <c r="AP67" s="120"/>
      <c r="AQ67" s="120"/>
      <c r="AR67" s="209"/>
      <c r="AS67" s="205"/>
      <c r="AT67" s="205">
        <f t="shared" si="245"/>
        <v>1000</v>
      </c>
      <c r="AU67" s="120"/>
      <c r="AV67" s="120"/>
      <c r="AW67" s="120"/>
      <c r="AX67" s="120"/>
      <c r="AY67" s="120"/>
      <c r="AZ67" s="209"/>
      <c r="BA67" s="205"/>
      <c r="BB67" s="205">
        <f t="shared" si="246"/>
        <v>0</v>
      </c>
      <c r="BC67" s="207"/>
      <c r="BD67" s="120"/>
      <c r="BE67" s="120"/>
      <c r="BF67" s="120"/>
      <c r="BG67" s="120"/>
      <c r="BH67" s="209"/>
      <c r="BI67" s="205"/>
      <c r="BJ67" s="205">
        <f t="shared" si="517"/>
        <v>0</v>
      </c>
      <c r="BK67" s="120"/>
      <c r="BL67" s="120"/>
      <c r="BM67" s="120"/>
      <c r="BN67" s="120"/>
      <c r="BO67" s="205"/>
      <c r="BP67" s="209"/>
      <c r="BQ67" s="205"/>
      <c r="BR67" s="205">
        <f t="shared" si="248"/>
        <v>0</v>
      </c>
      <c r="BS67" s="205">
        <f t="shared" si="129"/>
        <v>1000</v>
      </c>
      <c r="BT67" s="120"/>
      <c r="BU67" s="120"/>
      <c r="BV67" s="120"/>
      <c r="BW67" s="120"/>
      <c r="BX67" s="120"/>
      <c r="BY67" s="209"/>
      <c r="BZ67" s="205"/>
      <c r="CA67" s="205">
        <f t="shared" si="250"/>
        <v>0</v>
      </c>
      <c r="CB67" s="120"/>
      <c r="CC67" s="120"/>
      <c r="CD67" s="201">
        <v>1000</v>
      </c>
      <c r="CE67" s="120"/>
      <c r="CF67" s="120"/>
      <c r="CG67" s="209"/>
      <c r="CH67" s="205"/>
      <c r="CI67" s="205">
        <f t="shared" si="251"/>
        <v>1000</v>
      </c>
      <c r="CJ67" s="120"/>
      <c r="CK67" s="120"/>
      <c r="CL67" s="120"/>
      <c r="CM67" s="120"/>
      <c r="CN67" s="120"/>
      <c r="CO67" s="209"/>
      <c r="CP67" s="205"/>
      <c r="CQ67" s="205">
        <f t="shared" si="252"/>
        <v>0</v>
      </c>
      <c r="CR67" s="120"/>
      <c r="CS67" s="120"/>
      <c r="CT67" s="217">
        <v>2000</v>
      </c>
      <c r="CU67" s="120"/>
      <c r="CV67" s="120"/>
      <c r="CW67" s="209"/>
      <c r="CX67" s="205"/>
      <c r="CY67" s="205">
        <f t="shared" si="253"/>
        <v>2000</v>
      </c>
      <c r="CZ67" s="120"/>
      <c r="DA67" s="120"/>
      <c r="DB67" s="120"/>
      <c r="DC67" s="205"/>
      <c r="DD67" s="205"/>
      <c r="DE67" s="209"/>
      <c r="DF67" s="205"/>
      <c r="DG67" s="205">
        <f t="shared" si="254"/>
        <v>0</v>
      </c>
      <c r="DH67" s="205">
        <f t="shared" si="150"/>
        <v>3000</v>
      </c>
      <c r="DI67" s="120"/>
      <c r="DJ67" s="120"/>
      <c r="DK67" s="120"/>
      <c r="DL67" s="250">
        <v>2000</v>
      </c>
      <c r="DM67" s="120"/>
      <c r="DN67" s="209"/>
      <c r="DO67" s="205"/>
      <c r="DP67" s="205">
        <f t="shared" si="228"/>
        <v>2000</v>
      </c>
      <c r="DQ67" s="120"/>
      <c r="DR67" s="120"/>
      <c r="DS67" s="120"/>
      <c r="DT67" s="120"/>
      <c r="DU67" s="120"/>
      <c r="DV67" s="209"/>
      <c r="DW67" s="205"/>
      <c r="DX67" s="205">
        <f t="shared" si="136"/>
        <v>0</v>
      </c>
      <c r="DY67" s="217">
        <v>2000</v>
      </c>
      <c r="DZ67" s="120"/>
      <c r="EA67" s="120"/>
      <c r="EB67" s="120"/>
      <c r="EC67" s="120"/>
      <c r="ED67" s="209"/>
      <c r="EE67" s="205"/>
      <c r="EF67" s="205">
        <f t="shared" si="137"/>
        <v>2000</v>
      </c>
      <c r="EG67" s="120"/>
      <c r="EH67" s="120"/>
      <c r="EI67" s="120"/>
      <c r="EJ67" s="205"/>
      <c r="EK67" s="205"/>
      <c r="EL67" s="209"/>
      <c r="EM67" s="205"/>
      <c r="EN67" s="205">
        <f t="shared" si="138"/>
        <v>0</v>
      </c>
      <c r="EO67" s="205">
        <f t="shared" si="151"/>
        <v>4000</v>
      </c>
      <c r="EP67" s="120"/>
      <c r="EQ67" s="120"/>
      <c r="ER67" s="120"/>
      <c r="ES67" s="250">
        <v>1000</v>
      </c>
      <c r="ET67" s="120"/>
      <c r="EU67" s="209"/>
      <c r="EV67" s="205"/>
      <c r="EW67" s="205">
        <f t="shared" si="139"/>
        <v>1000</v>
      </c>
      <c r="EX67" s="120"/>
      <c r="EY67" s="120"/>
      <c r="EZ67" s="120"/>
      <c r="FA67" s="120"/>
      <c r="FB67" s="120"/>
      <c r="FC67" s="209"/>
      <c r="FD67" s="205"/>
      <c r="FE67" s="205">
        <f t="shared" si="140"/>
        <v>0</v>
      </c>
      <c r="FF67" s="120"/>
      <c r="FG67" s="120"/>
      <c r="FH67" s="195">
        <v>1000</v>
      </c>
      <c r="FI67" s="120"/>
      <c r="FJ67" s="120"/>
      <c r="FK67" s="209"/>
      <c r="FL67" s="205"/>
      <c r="FM67" s="205">
        <f t="shared" si="141"/>
        <v>1000</v>
      </c>
      <c r="FN67" s="120"/>
      <c r="FO67" s="120"/>
      <c r="FP67" s="120"/>
      <c r="FQ67" s="120"/>
      <c r="FR67" s="205"/>
      <c r="FS67" s="209"/>
      <c r="FT67" s="205"/>
      <c r="FU67" s="205">
        <f t="shared" si="142"/>
        <v>0</v>
      </c>
      <c r="FV67" s="205">
        <f t="shared" si="152"/>
        <v>2000</v>
      </c>
      <c r="FW67" s="120"/>
      <c r="FX67" s="120"/>
      <c r="FY67" s="120"/>
      <c r="FZ67" s="120"/>
      <c r="GA67" s="120"/>
      <c r="GB67" s="209"/>
      <c r="GC67" s="205"/>
      <c r="GD67" s="205">
        <f t="shared" si="143"/>
        <v>0</v>
      </c>
      <c r="GE67" s="120"/>
      <c r="GF67" s="120"/>
      <c r="GG67" s="120"/>
      <c r="GH67" s="120"/>
      <c r="GI67" s="120"/>
      <c r="GJ67" s="209"/>
      <c r="GK67" s="205"/>
      <c r="GL67" s="205">
        <f t="shared" si="144"/>
        <v>0</v>
      </c>
      <c r="GM67" s="250">
        <v>1500</v>
      </c>
      <c r="GO67" s="120"/>
      <c r="GP67" s="120"/>
      <c r="GQ67" s="120"/>
      <c r="GR67" s="209"/>
      <c r="GS67" s="205"/>
      <c r="GT67" s="205">
        <f>SUM(GM67:GS67)</f>
        <v>1500</v>
      </c>
      <c r="GU67" s="120"/>
      <c r="GV67" s="120"/>
      <c r="GW67" s="120"/>
      <c r="GX67" s="120"/>
      <c r="GY67" s="120"/>
      <c r="GZ67" s="209"/>
      <c r="HA67" s="205"/>
      <c r="HB67" s="205">
        <f t="shared" si="146"/>
        <v>0</v>
      </c>
      <c r="HC67" s="120"/>
      <c r="HD67" s="120"/>
      <c r="HE67" s="120"/>
      <c r="HF67" s="250">
        <v>1000</v>
      </c>
      <c r="HG67" s="120"/>
      <c r="HH67" s="209"/>
      <c r="HI67" s="205"/>
      <c r="HJ67" s="205">
        <f t="shared" si="147"/>
        <v>1000</v>
      </c>
      <c r="HK67" s="205">
        <f t="shared" si="153"/>
        <v>1500</v>
      </c>
      <c r="HL67" s="124"/>
      <c r="HM67" s="120"/>
      <c r="HN67" s="120"/>
      <c r="HO67" s="120"/>
      <c r="HP67" s="120"/>
      <c r="HQ67" s="205"/>
      <c r="HR67" s="205"/>
      <c r="HS67" s="205">
        <f t="shared" si="154"/>
        <v>0</v>
      </c>
      <c r="HT67" s="120"/>
      <c r="HU67" s="195">
        <v>1500</v>
      </c>
      <c r="HV67" s="120"/>
      <c r="HW67" s="120"/>
      <c r="HX67" s="120"/>
      <c r="HY67" s="205"/>
      <c r="HZ67" s="205"/>
      <c r="IA67" s="205">
        <f t="shared" si="155"/>
        <v>1500</v>
      </c>
      <c r="IB67" s="120"/>
      <c r="IC67" s="120"/>
      <c r="ID67" s="217">
        <v>1000</v>
      </c>
      <c r="IE67" s="120"/>
      <c r="IF67" s="120"/>
      <c r="IG67" s="205"/>
      <c r="IH67" s="205"/>
      <c r="II67" s="205">
        <f t="shared" si="156"/>
        <v>1000</v>
      </c>
      <c r="IJ67" s="120"/>
      <c r="IK67" s="120"/>
      <c r="IL67" s="217">
        <v>2000</v>
      </c>
      <c r="IM67" s="120"/>
      <c r="IN67" s="120"/>
      <c r="IO67" s="205"/>
      <c r="IP67" s="205"/>
      <c r="IQ67" s="205">
        <f t="shared" si="157"/>
        <v>2000</v>
      </c>
      <c r="IR67" s="205">
        <f t="shared" si="158"/>
        <v>5500</v>
      </c>
      <c r="IS67" s="120"/>
      <c r="IT67" s="120"/>
      <c r="IU67" s="120"/>
      <c r="IV67" s="120"/>
      <c r="IW67" s="120"/>
      <c r="IX67" s="205"/>
      <c r="IY67" s="205"/>
      <c r="IZ67" s="205">
        <f t="shared" si="159"/>
        <v>0</v>
      </c>
      <c r="JA67" s="120"/>
      <c r="JB67" s="120"/>
      <c r="JC67" s="120"/>
      <c r="JD67" s="120"/>
      <c r="JE67" s="120"/>
      <c r="JF67" s="205"/>
      <c r="JG67" s="205"/>
      <c r="JH67" s="205">
        <f t="shared" si="160"/>
        <v>0</v>
      </c>
      <c r="JI67" s="120"/>
      <c r="JJ67" s="120"/>
      <c r="JK67" s="120"/>
      <c r="JL67" s="120"/>
      <c r="JM67" s="120"/>
      <c r="JN67" s="205"/>
      <c r="JO67" s="205"/>
      <c r="JP67" s="205">
        <f t="shared" si="161"/>
        <v>0</v>
      </c>
      <c r="JQ67" s="120"/>
      <c r="JR67" s="120"/>
      <c r="JS67" s="120"/>
      <c r="JT67" s="120"/>
      <c r="JU67" s="120"/>
      <c r="JV67" s="205"/>
      <c r="JW67" s="205"/>
      <c r="JX67" s="205">
        <f t="shared" si="162"/>
        <v>0</v>
      </c>
      <c r="JY67" s="205">
        <f t="shared" si="163"/>
        <v>0</v>
      </c>
      <c r="JZ67" s="120"/>
      <c r="KA67" s="120"/>
      <c r="KB67" s="250">
        <v>1500</v>
      </c>
      <c r="KC67" s="120"/>
      <c r="KD67" s="120"/>
      <c r="KE67" s="205"/>
      <c r="KF67" s="205"/>
      <c r="KG67" s="205">
        <f t="shared" si="164"/>
        <v>1500</v>
      </c>
      <c r="KH67" s="120"/>
      <c r="KI67" s="120"/>
      <c r="KJ67" s="120"/>
      <c r="KK67" s="120"/>
      <c r="KL67" s="120"/>
      <c r="KM67" s="205"/>
      <c r="KN67" s="205"/>
      <c r="KO67" s="205">
        <f t="shared" si="165"/>
        <v>0</v>
      </c>
      <c r="KP67" s="120"/>
      <c r="KQ67" s="120"/>
      <c r="KR67" s="120"/>
      <c r="KS67" s="120"/>
      <c r="KT67" s="120"/>
      <c r="KU67" s="205"/>
      <c r="KV67" s="205"/>
      <c r="KW67" s="205">
        <f t="shared" si="166"/>
        <v>0</v>
      </c>
      <c r="KX67" s="120"/>
      <c r="KY67" s="120"/>
      <c r="KZ67" s="120"/>
      <c r="LA67" s="120"/>
      <c r="LB67" s="120"/>
      <c r="LC67" s="205"/>
      <c r="LD67" s="205"/>
      <c r="LE67" s="205">
        <f t="shared" si="167"/>
        <v>0</v>
      </c>
      <c r="LF67" s="205"/>
      <c r="LG67" s="120"/>
      <c r="LH67" s="120"/>
      <c r="LI67" s="201">
        <v>1000</v>
      </c>
      <c r="LJ67" s="120"/>
      <c r="LK67" s="205"/>
      <c r="LL67" s="205"/>
      <c r="LM67" s="205">
        <f t="shared" si="168"/>
        <v>1000</v>
      </c>
      <c r="LN67" s="205">
        <f t="shared" si="169"/>
        <v>1500</v>
      </c>
      <c r="LO67" s="205"/>
      <c r="LP67" s="120"/>
      <c r="LQ67" s="120"/>
      <c r="LR67" s="120"/>
      <c r="LS67" s="205"/>
      <c r="LT67" s="205"/>
      <c r="LU67" s="205"/>
      <c r="LV67" s="205">
        <f t="shared" si="170"/>
        <v>0</v>
      </c>
      <c r="LW67" s="195">
        <v>1100</v>
      </c>
      <c r="LX67" s="120"/>
      <c r="LY67" s="120"/>
      <c r="LZ67" s="120"/>
      <c r="MA67" s="120"/>
      <c r="MB67" s="205"/>
      <c r="MC67" s="205"/>
      <c r="MD67" s="205">
        <f t="shared" si="171"/>
        <v>1100</v>
      </c>
      <c r="ME67" s="120"/>
      <c r="MF67" s="120"/>
      <c r="MG67" s="120"/>
      <c r="MH67" s="120"/>
      <c r="MI67" s="205"/>
      <c r="MJ67" s="205"/>
      <c r="MK67" s="205"/>
      <c r="ML67" s="205">
        <f t="shared" si="172"/>
        <v>0</v>
      </c>
      <c r="MM67" s="120"/>
      <c r="MN67" s="120"/>
      <c r="MO67" s="120"/>
      <c r="MP67" s="120"/>
      <c r="MQ67" s="120"/>
      <c r="MR67" s="205"/>
      <c r="MS67" s="205"/>
      <c r="MT67" s="205">
        <f t="shared" si="173"/>
        <v>0</v>
      </c>
      <c r="MU67" s="205">
        <f t="shared" si="174"/>
        <v>2100</v>
      </c>
      <c r="MV67" s="120"/>
      <c r="MW67" s="120"/>
      <c r="MX67" s="120"/>
      <c r="MY67" s="120"/>
      <c r="MZ67" s="120"/>
      <c r="NA67" s="205"/>
      <c r="NB67" s="205"/>
      <c r="NC67" s="205">
        <f t="shared" si="175"/>
        <v>0</v>
      </c>
      <c r="ND67" s="120"/>
      <c r="NE67" s="120"/>
      <c r="NF67" s="124">
        <v>1000</v>
      </c>
      <c r="NG67" s="120"/>
      <c r="NH67" s="120"/>
      <c r="NI67" s="205"/>
      <c r="NJ67" s="205"/>
      <c r="NK67" s="205">
        <f t="shared" si="176"/>
        <v>1000</v>
      </c>
      <c r="NL67" s="120"/>
      <c r="NM67" s="120"/>
      <c r="NN67" s="120"/>
      <c r="NO67" s="120"/>
      <c r="NP67" s="120"/>
      <c r="NQ67" s="205"/>
      <c r="NR67" s="205"/>
      <c r="NS67" s="205">
        <f t="shared" si="177"/>
        <v>0</v>
      </c>
      <c r="NT67" s="120"/>
      <c r="NU67" s="201">
        <v>1000</v>
      </c>
      <c r="NV67" s="120"/>
      <c r="NW67" s="120"/>
      <c r="NX67" s="120"/>
      <c r="NY67" s="205"/>
      <c r="NZ67" s="205"/>
      <c r="OA67" s="205">
        <f t="shared" si="178"/>
        <v>1000</v>
      </c>
      <c r="OB67" s="205">
        <f t="shared" si="179"/>
        <v>2000</v>
      </c>
      <c r="OC67" s="120"/>
      <c r="OD67" s="120"/>
      <c r="OE67" s="120"/>
      <c r="OF67" s="120"/>
      <c r="OG67" s="120"/>
      <c r="OH67" s="205"/>
      <c r="OI67" s="205"/>
      <c r="OJ67" s="205">
        <f t="shared" si="180"/>
        <v>0</v>
      </c>
      <c r="OK67" s="195">
        <v>3500</v>
      </c>
      <c r="OL67" s="120"/>
      <c r="OM67" s="120"/>
      <c r="ON67" s="120"/>
      <c r="OO67" s="120"/>
      <c r="OP67" s="205"/>
      <c r="OQ67" s="205"/>
      <c r="OR67" s="205">
        <f t="shared" si="181"/>
        <v>3500</v>
      </c>
      <c r="OS67" s="120"/>
      <c r="OT67" s="120"/>
      <c r="OU67" s="120"/>
      <c r="OV67" s="120"/>
      <c r="OW67" s="120"/>
      <c r="OX67" s="205"/>
      <c r="OY67" s="205"/>
      <c r="OZ67" s="205">
        <f t="shared" si="182"/>
        <v>0</v>
      </c>
      <c r="PA67" s="120"/>
      <c r="PB67" s="120"/>
      <c r="PC67" s="120"/>
      <c r="PD67" s="205"/>
      <c r="PE67" s="217"/>
      <c r="PF67" s="205"/>
      <c r="PG67" s="205"/>
      <c r="PH67" s="205">
        <f t="shared" si="183"/>
        <v>0</v>
      </c>
      <c r="PI67" s="120"/>
      <c r="PJ67" s="120"/>
      <c r="PK67" s="120"/>
      <c r="PL67" s="205"/>
      <c r="PM67" s="217"/>
      <c r="PN67" s="205"/>
      <c r="PO67" s="205"/>
      <c r="PP67" s="205">
        <f t="shared" si="184"/>
        <v>0</v>
      </c>
      <c r="PQ67" s="205">
        <f t="shared" si="185"/>
        <v>3500</v>
      </c>
      <c r="PR67" s="207"/>
      <c r="PS67" s="207"/>
      <c r="PT67" s="207"/>
      <c r="PU67" s="207"/>
      <c r="PV67" s="207"/>
      <c r="PW67" s="272"/>
      <c r="PX67" s="272"/>
      <c r="PY67" s="205">
        <f t="shared" si="186"/>
        <v>0</v>
      </c>
      <c r="PZ67" s="207"/>
      <c r="QA67" s="195">
        <v>750</v>
      </c>
      <c r="QB67" s="207"/>
      <c r="QC67" s="207"/>
      <c r="QD67" s="207"/>
      <c r="QE67" s="272"/>
      <c r="QF67" s="272"/>
      <c r="QG67" s="205">
        <f t="shared" si="187"/>
        <v>750</v>
      </c>
      <c r="QH67" s="207"/>
      <c r="QI67" s="207"/>
      <c r="QJ67" s="294"/>
      <c r="QK67" s="207"/>
      <c r="QL67" s="207"/>
      <c r="QM67" s="272"/>
      <c r="QN67" s="272"/>
      <c r="QO67" s="205">
        <f t="shared" si="188"/>
        <v>0</v>
      </c>
      <c r="QP67" s="207"/>
      <c r="QQ67" s="207"/>
      <c r="QR67" s="207"/>
      <c r="QS67" s="207"/>
      <c r="QT67" s="207"/>
      <c r="QU67" s="272"/>
      <c r="QV67" s="272"/>
      <c r="QW67" s="205">
        <f t="shared" si="320"/>
        <v>0</v>
      </c>
      <c r="QX67" s="205">
        <f t="shared" si="190"/>
        <v>750</v>
      </c>
      <c r="QY67" s="201">
        <v>1850</v>
      </c>
      <c r="QZ67" s="207"/>
      <c r="RA67" s="207"/>
      <c r="RB67" s="207"/>
      <c r="RC67" s="207"/>
      <c r="RD67" s="272"/>
      <c r="RE67" s="272"/>
      <c r="RF67" s="205">
        <f t="shared" si="191"/>
        <v>1850</v>
      </c>
      <c r="RG67" s="207"/>
      <c r="RH67" s="207"/>
      <c r="RI67" s="207"/>
      <c r="RJ67" s="207"/>
      <c r="RK67" s="207"/>
      <c r="RL67" s="272"/>
      <c r="RM67" s="272"/>
      <c r="RN67" s="205">
        <f t="shared" si="530"/>
        <v>0</v>
      </c>
      <c r="RO67" s="272"/>
      <c r="RP67" s="272"/>
      <c r="RQ67" s="272"/>
      <c r="RR67" s="272"/>
      <c r="RS67" s="272"/>
      <c r="RT67" s="272"/>
      <c r="RU67" s="272"/>
      <c r="RV67" s="205">
        <f t="shared" si="193"/>
        <v>0</v>
      </c>
      <c r="RW67" s="120"/>
      <c r="RX67" s="120"/>
      <c r="RY67" s="207"/>
      <c r="RZ67" s="207"/>
      <c r="SA67" s="272"/>
      <c r="SB67" s="272"/>
      <c r="SC67" s="272"/>
      <c r="SD67" s="205">
        <f t="shared" si="194"/>
        <v>0</v>
      </c>
      <c r="SE67" s="205">
        <f t="shared" si="195"/>
        <v>1850</v>
      </c>
      <c r="SF67" s="207"/>
      <c r="SG67" s="207"/>
      <c r="SH67" s="120"/>
      <c r="SI67" s="195">
        <v>2000</v>
      </c>
      <c r="SJ67" s="207"/>
      <c r="SK67" s="272"/>
      <c r="SL67" s="272"/>
      <c r="SM67" s="205">
        <f t="shared" si="196"/>
        <v>2000</v>
      </c>
      <c r="SN67" s="120"/>
      <c r="SO67" s="207"/>
      <c r="SP67" s="207"/>
      <c r="SQ67" s="207"/>
      <c r="SR67" s="207"/>
      <c r="SS67" s="272"/>
      <c r="ST67" s="272"/>
      <c r="SU67" s="205">
        <f t="shared" si="197"/>
        <v>0</v>
      </c>
      <c r="SV67" s="207"/>
      <c r="SW67" s="207"/>
      <c r="SX67" s="207"/>
      <c r="SY67" s="207"/>
      <c r="SZ67" s="207"/>
      <c r="TA67" s="272"/>
      <c r="TB67" s="272"/>
      <c r="TC67" s="205">
        <f t="shared" si="198"/>
        <v>0</v>
      </c>
      <c r="TD67" s="207"/>
      <c r="TE67" s="207"/>
      <c r="TF67" s="207"/>
      <c r="TG67" s="207"/>
      <c r="TH67" s="207"/>
      <c r="TI67" s="272"/>
      <c r="TJ67" s="272"/>
      <c r="TK67" s="205">
        <f t="shared" si="199"/>
        <v>0</v>
      </c>
      <c r="TL67" s="195">
        <v>1640</v>
      </c>
      <c r="TM67" s="207"/>
      <c r="TN67" s="207"/>
      <c r="TO67" s="207"/>
      <c r="TP67" s="272"/>
      <c r="TQ67" s="272"/>
      <c r="TR67" s="272"/>
      <c r="TS67" s="205">
        <f t="shared" si="200"/>
        <v>1640</v>
      </c>
      <c r="TT67" s="205">
        <f t="shared" si="201"/>
        <v>3640</v>
      </c>
      <c r="TU67" s="272"/>
      <c r="TV67" s="207"/>
      <c r="TW67" s="207"/>
      <c r="TX67" s="207"/>
      <c r="TY67" s="207"/>
      <c r="TZ67" s="272"/>
      <c r="UA67" s="272"/>
      <c r="UB67" s="205">
        <f t="shared" si="202"/>
        <v>0</v>
      </c>
      <c r="UC67" s="207"/>
      <c r="UD67" s="217">
        <v>1500</v>
      </c>
      <c r="UE67" s="207"/>
      <c r="UF67" s="207"/>
      <c r="UG67" s="207"/>
      <c r="UH67" s="272"/>
      <c r="UI67" s="272"/>
      <c r="UJ67" s="205">
        <f t="shared" si="203"/>
        <v>1500</v>
      </c>
      <c r="UK67" s="207"/>
      <c r="UL67" s="207"/>
      <c r="UM67" s="207"/>
      <c r="UN67" s="207"/>
      <c r="UO67" s="207"/>
      <c r="UP67" s="272"/>
      <c r="UQ67" s="272"/>
      <c r="UR67" s="205">
        <f t="shared" si="227"/>
        <v>0</v>
      </c>
      <c r="US67" s="207"/>
      <c r="UT67" s="207"/>
      <c r="UU67" s="120"/>
      <c r="UV67" s="207"/>
      <c r="UW67" s="272"/>
      <c r="UX67" s="272"/>
      <c r="UY67" s="272"/>
      <c r="UZ67" s="205">
        <f t="shared" si="204"/>
        <v>0</v>
      </c>
      <c r="VA67" s="205">
        <f t="shared" si="205"/>
        <v>1500</v>
      </c>
      <c r="VB67" s="207"/>
      <c r="VC67" s="207"/>
      <c r="VD67" s="120"/>
      <c r="VE67" s="207"/>
      <c r="VF67" s="207"/>
      <c r="VG67" s="272"/>
      <c r="VH67" s="272"/>
      <c r="VI67" s="205">
        <f t="shared" si="206"/>
        <v>0</v>
      </c>
      <c r="VJ67" s="207"/>
      <c r="VK67" s="207"/>
      <c r="VL67" s="207"/>
      <c r="VM67" s="207"/>
      <c r="VN67" s="207"/>
      <c r="VO67" s="272"/>
      <c r="VP67" s="272"/>
      <c r="VQ67" s="205">
        <f t="shared" si="207"/>
        <v>0</v>
      </c>
      <c r="VR67" s="207"/>
      <c r="VT67" s="124">
        <v>1090</v>
      </c>
      <c r="VU67" s="207"/>
      <c r="VV67" s="207"/>
      <c r="VW67" s="272"/>
      <c r="VX67" s="272"/>
      <c r="VY67" s="205">
        <f t="shared" si="208"/>
        <v>1090</v>
      </c>
      <c r="VZ67" s="207"/>
      <c r="WA67" s="207"/>
      <c r="WB67" s="207"/>
      <c r="WC67" s="207"/>
      <c r="WD67" s="207"/>
      <c r="WE67" s="272"/>
      <c r="WF67" s="272"/>
      <c r="WG67" s="205">
        <f t="shared" si="209"/>
        <v>0</v>
      </c>
      <c r="WH67" s="205">
        <f t="shared" si="210"/>
        <v>1090</v>
      </c>
      <c r="WI67" s="207"/>
      <c r="WJ67" s="124">
        <v>1780</v>
      </c>
      <c r="WK67" s="207"/>
      <c r="WL67" s="207"/>
      <c r="WM67" s="207"/>
      <c r="WN67" s="272"/>
      <c r="WO67" s="272"/>
      <c r="WP67" s="205">
        <f t="shared" si="211"/>
        <v>1780</v>
      </c>
      <c r="WQ67" s="207"/>
      <c r="WR67" s="207"/>
      <c r="WS67" s="207"/>
      <c r="WT67" s="207"/>
      <c r="WU67" s="207"/>
      <c r="WV67" s="272"/>
      <c r="WW67" s="272"/>
      <c r="WX67" s="205">
        <f t="shared" si="531"/>
        <v>0</v>
      </c>
      <c r="WY67" s="207"/>
      <c r="WZ67" s="207"/>
      <c r="XA67" s="207"/>
      <c r="XB67" s="207"/>
      <c r="XC67" s="272"/>
      <c r="XD67" s="272"/>
      <c r="XE67" s="272"/>
      <c r="XF67" s="205">
        <f t="shared" si="213"/>
        <v>0</v>
      </c>
      <c r="XG67" s="124">
        <v>2000</v>
      </c>
      <c r="XH67" s="207"/>
      <c r="XI67" s="207"/>
      <c r="XJ67" s="207"/>
      <c r="XK67" s="207"/>
      <c r="XL67" s="272"/>
      <c r="XM67" s="272"/>
      <c r="XN67" s="205">
        <f t="shared" si="214"/>
        <v>2000</v>
      </c>
      <c r="XO67" s="207"/>
      <c r="XP67" s="207"/>
      <c r="XQ67" s="207"/>
      <c r="XR67" s="207"/>
      <c r="XS67" s="207"/>
      <c r="XT67" s="272"/>
      <c r="XU67" s="272"/>
      <c r="XV67" s="205">
        <f t="shared" si="215"/>
        <v>0</v>
      </c>
      <c r="XW67" s="205">
        <f t="shared" si="216"/>
        <v>3780</v>
      </c>
      <c r="XX67" s="207"/>
      <c r="XY67" s="207"/>
      <c r="XZ67" s="207"/>
      <c r="YA67" s="207"/>
      <c r="YB67" s="207"/>
      <c r="YC67" s="272"/>
      <c r="YD67" s="272"/>
      <c r="YE67" s="205">
        <f t="shared" si="217"/>
        <v>0</v>
      </c>
      <c r="YF67" s="207"/>
      <c r="YG67" s="207"/>
      <c r="YH67" s="207"/>
      <c r="YI67" s="207"/>
      <c r="YJ67" s="207"/>
      <c r="YK67" s="272"/>
      <c r="YL67" s="272"/>
      <c r="YM67" s="205">
        <f t="shared" si="218"/>
        <v>0</v>
      </c>
      <c r="YN67" s="207"/>
      <c r="YO67" s="207"/>
      <c r="YP67" s="207"/>
      <c r="YQ67" s="207"/>
      <c r="YR67" s="207"/>
      <c r="YS67" s="272"/>
      <c r="YT67" s="272"/>
      <c r="YU67" s="205">
        <f t="shared" ref="YU67:YU80" si="544">SUM(YN67:YT67)</f>
        <v>0</v>
      </c>
      <c r="YV67" s="124">
        <v>1060</v>
      </c>
      <c r="YW67" s="207"/>
      <c r="YX67" s="207"/>
      <c r="YY67" s="207"/>
      <c r="YZ67" s="207"/>
      <c r="ZA67" s="272"/>
      <c r="ZB67" s="272"/>
      <c r="ZC67" s="205">
        <f t="shared" si="219"/>
        <v>1060</v>
      </c>
      <c r="ZD67" s="205">
        <f t="shared" si="516"/>
        <v>1060</v>
      </c>
      <c r="ZE67" s="207"/>
      <c r="ZF67" s="207"/>
      <c r="ZG67" s="207"/>
      <c r="ZH67" s="207"/>
      <c r="ZI67" s="207"/>
      <c r="ZJ67" s="272"/>
      <c r="ZK67" s="272"/>
      <c r="ZL67" s="205">
        <f t="shared" si="220"/>
        <v>0</v>
      </c>
      <c r="ZM67" s="207"/>
      <c r="ZN67" s="207"/>
      <c r="ZO67" s="207"/>
      <c r="ZP67" s="207"/>
      <c r="ZQ67" s="207"/>
      <c r="ZR67" s="272"/>
      <c r="ZS67" s="272"/>
      <c r="ZT67" s="205">
        <f t="shared" si="221"/>
        <v>0</v>
      </c>
      <c r="ZU67" s="207"/>
      <c r="ZV67" s="207"/>
      <c r="ZW67" s="207"/>
      <c r="ZX67" s="207"/>
      <c r="ZY67" s="207"/>
      <c r="ZZ67" s="272"/>
      <c r="AAA67" s="272"/>
      <c r="AAB67" s="205">
        <f t="shared" si="222"/>
        <v>0</v>
      </c>
      <c r="AAC67" s="207"/>
      <c r="AAD67" s="207"/>
      <c r="AAE67" s="207"/>
      <c r="AAF67" s="207"/>
      <c r="AAG67" s="207"/>
      <c r="AAH67" s="272"/>
      <c r="AAI67" s="272"/>
      <c r="AAJ67" s="205">
        <f t="shared" si="223"/>
        <v>0</v>
      </c>
      <c r="AAK67" s="207"/>
      <c r="AAL67" s="207"/>
      <c r="AAM67" s="207"/>
      <c r="AAN67" s="207"/>
      <c r="AAO67" s="207"/>
      <c r="AAP67" s="272"/>
      <c r="AAQ67" s="272"/>
      <c r="AAR67" s="205">
        <f t="shared" si="224"/>
        <v>0</v>
      </c>
      <c r="AAS67" s="205">
        <f t="shared" si="225"/>
        <v>0</v>
      </c>
    </row>
    <row r="68" spans="1:721" ht="69" hidden="1" customHeight="1">
      <c r="B68" s="164">
        <v>3630101304</v>
      </c>
      <c r="C68" s="330"/>
      <c r="D68" s="163" t="s">
        <v>774</v>
      </c>
      <c r="E68" s="130" t="s">
        <v>4</v>
      </c>
      <c r="F68" s="120"/>
      <c r="G68" s="120"/>
      <c r="H68" s="120"/>
      <c r="I68" s="120"/>
      <c r="J68" s="120"/>
      <c r="K68" s="209"/>
      <c r="L68" s="205"/>
      <c r="M68" s="205">
        <f t="shared" ref="M68:M69" si="545">SUM(F68:L68)</f>
        <v>0</v>
      </c>
      <c r="N68" s="120"/>
      <c r="O68" s="120"/>
      <c r="P68" s="120"/>
      <c r="Q68" s="120"/>
      <c r="R68" s="120"/>
      <c r="S68" s="209"/>
      <c r="T68" s="205"/>
      <c r="U68" s="205">
        <f t="shared" ref="U68:U69" si="546">SUM(N68:T68)</f>
        <v>0</v>
      </c>
      <c r="V68" s="120"/>
      <c r="W68" s="120"/>
      <c r="X68" s="120"/>
      <c r="Y68" s="120"/>
      <c r="Z68" s="120"/>
      <c r="AA68" s="209"/>
      <c r="AB68" s="205"/>
      <c r="AC68" s="205">
        <f t="shared" ref="AC68:AC69" si="547">SUM(V68:AB68)</f>
        <v>0</v>
      </c>
      <c r="AD68" s="205"/>
      <c r="AE68" s="205"/>
      <c r="AF68" s="205"/>
      <c r="AG68" s="205"/>
      <c r="AH68" s="205"/>
      <c r="AI68" s="209"/>
      <c r="AJ68" s="205"/>
      <c r="AK68" s="205">
        <f t="shared" ref="AK68:AK69" si="548">SUM(AD68:AJ68)</f>
        <v>0</v>
      </c>
      <c r="AL68" s="205" t="e">
        <f>SUM(#REF!,M68,U68,AC68,AD68:AH68)</f>
        <v>#REF!</v>
      </c>
      <c r="AM68" s="120"/>
      <c r="AN68" s="120"/>
      <c r="AO68" s="120"/>
      <c r="AP68" s="120"/>
      <c r="AQ68" s="120"/>
      <c r="AR68" s="209"/>
      <c r="AS68" s="205"/>
      <c r="AT68" s="205">
        <f t="shared" ref="AT68:AT69" si="549">SUM(AM68:AS68)</f>
        <v>0</v>
      </c>
      <c r="AU68" s="120"/>
      <c r="AV68" s="120"/>
      <c r="AW68" s="120"/>
      <c r="AX68" s="120"/>
      <c r="AY68" s="120"/>
      <c r="AZ68" s="209"/>
      <c r="BA68" s="205"/>
      <c r="BB68" s="205">
        <f t="shared" ref="BB68:BB69" si="550">SUM(AU68:BA68)</f>
        <v>0</v>
      </c>
      <c r="BC68" s="120"/>
      <c r="BD68" s="120"/>
      <c r="BE68" s="120"/>
      <c r="BF68" s="120"/>
      <c r="BG68" s="120"/>
      <c r="BH68" s="209"/>
      <c r="BI68" s="205"/>
      <c r="BJ68" s="205">
        <f t="shared" ref="BJ68:BJ69" si="551">SUM(BC68:BI68)</f>
        <v>0</v>
      </c>
      <c r="BK68" s="120"/>
      <c r="BL68" s="120"/>
      <c r="BM68" s="120"/>
      <c r="BN68" s="120"/>
      <c r="BO68" s="205"/>
      <c r="BP68" s="209"/>
      <c r="BQ68" s="205"/>
      <c r="BR68" s="205">
        <f t="shared" si="248"/>
        <v>0</v>
      </c>
      <c r="BS68" s="205">
        <f t="shared" si="129"/>
        <v>0</v>
      </c>
      <c r="BT68" s="120"/>
      <c r="BU68" s="120"/>
      <c r="BV68" s="120"/>
      <c r="BW68" s="120"/>
      <c r="BX68" s="120"/>
      <c r="BY68" s="209"/>
      <c r="BZ68" s="205"/>
      <c r="CA68" s="205">
        <f t="shared" ref="CA68:CA69" si="552">SUM(BT68:BZ68)</f>
        <v>0</v>
      </c>
      <c r="CB68" s="120"/>
      <c r="CC68" s="120"/>
      <c r="CD68" s="120"/>
      <c r="CE68" s="120"/>
      <c r="CF68" s="120"/>
      <c r="CG68" s="209"/>
      <c r="CH68" s="205"/>
      <c r="CI68" s="205">
        <f t="shared" ref="CI68:CI69" si="553">SUM(CB68:CH68)</f>
        <v>0</v>
      </c>
      <c r="CJ68" s="120"/>
      <c r="CK68" s="120"/>
      <c r="CL68" s="120"/>
      <c r="CM68" s="120"/>
      <c r="CN68" s="120"/>
      <c r="CO68" s="209"/>
      <c r="CP68" s="205"/>
      <c r="CQ68" s="205">
        <f t="shared" ref="CQ68:CQ69" si="554">SUM(CJ68:CP68)</f>
        <v>0</v>
      </c>
      <c r="CR68" s="120"/>
      <c r="CS68" s="120"/>
      <c r="CT68" s="120"/>
      <c r="CU68" s="120"/>
      <c r="CV68" s="120"/>
      <c r="CW68" s="209"/>
      <c r="CX68" s="205"/>
      <c r="CY68" s="205">
        <f t="shared" ref="CY68:CY69" si="555">SUM(CR68:CX68)</f>
        <v>0</v>
      </c>
      <c r="CZ68" s="120"/>
      <c r="DA68" s="120"/>
      <c r="DB68" s="120"/>
      <c r="DC68" s="205"/>
      <c r="DD68" s="205"/>
      <c r="DE68" s="209"/>
      <c r="DF68" s="205"/>
      <c r="DG68" s="205">
        <f t="shared" ref="DG68:DG69" si="556">SUM(CZ68:DF68)</f>
        <v>0</v>
      </c>
      <c r="DH68" s="205">
        <f t="shared" si="150"/>
        <v>0</v>
      </c>
      <c r="DI68" s="120"/>
      <c r="DJ68" s="120"/>
      <c r="DK68" s="120"/>
      <c r="DL68" s="120"/>
      <c r="DM68" s="120"/>
      <c r="DN68" s="209"/>
      <c r="DO68" s="205"/>
      <c r="DP68" s="205">
        <f t="shared" si="228"/>
        <v>0</v>
      </c>
      <c r="DQ68" s="120"/>
      <c r="DR68" s="120"/>
      <c r="DS68" s="120"/>
      <c r="DT68" s="120"/>
      <c r="DU68" s="120"/>
      <c r="DV68" s="209"/>
      <c r="DW68" s="205"/>
      <c r="DX68" s="205">
        <f t="shared" si="136"/>
        <v>0</v>
      </c>
      <c r="DY68" s="120"/>
      <c r="DZ68" s="120"/>
      <c r="EA68" s="120"/>
      <c r="EB68" s="120"/>
      <c r="EC68" s="120"/>
      <c r="ED68" s="209"/>
      <c r="EE68" s="205"/>
      <c r="EF68" s="205">
        <f t="shared" si="137"/>
        <v>0</v>
      </c>
      <c r="EG68" s="120"/>
      <c r="EH68" s="120"/>
      <c r="EI68" s="120"/>
      <c r="EJ68" s="205"/>
      <c r="EK68" s="205"/>
      <c r="EL68" s="209"/>
      <c r="EM68" s="205"/>
      <c r="EN68" s="205">
        <f t="shared" si="138"/>
        <v>0</v>
      </c>
      <c r="EO68" s="205">
        <f t="shared" si="151"/>
        <v>0</v>
      </c>
      <c r="EP68" s="120"/>
      <c r="EQ68" s="120"/>
      <c r="ER68" s="120"/>
      <c r="ES68" s="120"/>
      <c r="ET68" s="120"/>
      <c r="EU68" s="209"/>
      <c r="EV68" s="205"/>
      <c r="EW68" s="205">
        <f t="shared" si="139"/>
        <v>0</v>
      </c>
      <c r="EX68" s="120"/>
      <c r="EY68" s="120"/>
      <c r="EZ68" s="120"/>
      <c r="FA68" s="120"/>
      <c r="FB68" s="120"/>
      <c r="FC68" s="209"/>
      <c r="FD68" s="205"/>
      <c r="FE68" s="205">
        <f t="shared" si="140"/>
        <v>0</v>
      </c>
      <c r="FF68" s="120"/>
      <c r="FG68" s="120"/>
      <c r="FH68" s="120"/>
      <c r="FI68" s="120"/>
      <c r="FJ68" s="120"/>
      <c r="FK68" s="209"/>
      <c r="FL68" s="205"/>
      <c r="FM68" s="205">
        <f t="shared" si="141"/>
        <v>0</v>
      </c>
      <c r="FN68" s="120"/>
      <c r="FO68" s="120"/>
      <c r="FP68" s="120"/>
      <c r="FQ68" s="120"/>
      <c r="FR68" s="205"/>
      <c r="FS68" s="209"/>
      <c r="FT68" s="205"/>
      <c r="FU68" s="205">
        <f t="shared" si="142"/>
        <v>0</v>
      </c>
      <c r="FV68" s="205">
        <f t="shared" si="152"/>
        <v>0</v>
      </c>
      <c r="FW68" s="120"/>
      <c r="FX68" s="120"/>
      <c r="FY68" s="120"/>
      <c r="FZ68" s="120"/>
      <c r="GA68" s="120"/>
      <c r="GB68" s="209"/>
      <c r="GC68" s="205"/>
      <c r="GD68" s="205">
        <f t="shared" si="143"/>
        <v>0</v>
      </c>
      <c r="GE68" s="120"/>
      <c r="GF68" s="120"/>
      <c r="GG68" s="120"/>
      <c r="GH68" s="120"/>
      <c r="GI68" s="120"/>
      <c r="GJ68" s="209"/>
      <c r="GK68" s="205"/>
      <c r="GL68" s="205">
        <f t="shared" si="144"/>
        <v>0</v>
      </c>
      <c r="GM68" s="120"/>
      <c r="GN68" s="120"/>
      <c r="GO68" s="120"/>
      <c r="GP68" s="120"/>
      <c r="GQ68" s="120"/>
      <c r="GR68" s="209"/>
      <c r="GS68" s="205"/>
      <c r="GT68" s="205">
        <f t="shared" ref="GT68:GT69" si="557">SUM(GM68:GS68)</f>
        <v>0</v>
      </c>
      <c r="GU68" s="120"/>
      <c r="GV68" s="120"/>
      <c r="GW68" s="120"/>
      <c r="GX68" s="120"/>
      <c r="GY68" s="120"/>
      <c r="GZ68" s="209"/>
      <c r="HA68" s="205"/>
      <c r="HB68" s="205">
        <f t="shared" si="146"/>
        <v>0</v>
      </c>
      <c r="HC68" s="120"/>
      <c r="HD68" s="120"/>
      <c r="HE68" s="120"/>
      <c r="HF68" s="120"/>
      <c r="HG68" s="120"/>
      <c r="HH68" s="209"/>
      <c r="HI68" s="205"/>
      <c r="HJ68" s="205">
        <f t="shared" si="147"/>
        <v>0</v>
      </c>
      <c r="HK68" s="205">
        <f t="shared" si="153"/>
        <v>0</v>
      </c>
      <c r="HL68" s="124"/>
      <c r="HM68" s="120"/>
      <c r="HN68" s="120"/>
      <c r="HO68" s="120"/>
      <c r="HP68" s="120"/>
      <c r="HQ68" s="205"/>
      <c r="HR68" s="205"/>
      <c r="HS68" s="205">
        <f t="shared" si="154"/>
        <v>0</v>
      </c>
      <c r="HT68" s="120"/>
      <c r="HU68" s="120"/>
      <c r="HV68" s="120"/>
      <c r="HW68" s="120"/>
      <c r="HX68" s="120"/>
      <c r="HY68" s="205"/>
      <c r="HZ68" s="205"/>
      <c r="IA68" s="205">
        <f t="shared" si="155"/>
        <v>0</v>
      </c>
      <c r="IB68" s="120"/>
      <c r="IC68" s="120"/>
      <c r="ID68" s="120"/>
      <c r="IE68" s="120"/>
      <c r="IF68" s="120"/>
      <c r="IG68" s="205"/>
      <c r="IH68" s="205"/>
      <c r="II68" s="205">
        <f t="shared" si="156"/>
        <v>0</v>
      </c>
      <c r="IJ68" s="120"/>
      <c r="IK68" s="120"/>
      <c r="IL68" s="120"/>
      <c r="IM68" s="120"/>
      <c r="IN68" s="120"/>
      <c r="IO68" s="205"/>
      <c r="IP68" s="205"/>
      <c r="IQ68" s="205">
        <f t="shared" si="157"/>
        <v>0</v>
      </c>
      <c r="IR68" s="205">
        <f t="shared" si="158"/>
        <v>0</v>
      </c>
      <c r="IS68" s="120"/>
      <c r="IT68" s="120"/>
      <c r="IU68" s="120"/>
      <c r="IV68" s="120"/>
      <c r="IW68" s="120"/>
      <c r="IX68" s="205"/>
      <c r="IY68" s="205"/>
      <c r="IZ68" s="205">
        <f t="shared" si="159"/>
        <v>0</v>
      </c>
      <c r="JA68" s="120"/>
      <c r="JB68" s="120"/>
      <c r="JC68" s="120"/>
      <c r="JD68" s="120"/>
      <c r="JE68" s="120"/>
      <c r="JF68" s="205"/>
      <c r="JG68" s="205"/>
      <c r="JH68" s="205">
        <f t="shared" si="160"/>
        <v>0</v>
      </c>
      <c r="JI68" s="120"/>
      <c r="JJ68" s="120"/>
      <c r="JK68" s="120"/>
      <c r="JL68" s="120"/>
      <c r="JM68" s="120"/>
      <c r="JN68" s="205"/>
      <c r="JO68" s="205"/>
      <c r="JP68" s="205">
        <f t="shared" si="161"/>
        <v>0</v>
      </c>
      <c r="JQ68" s="120"/>
      <c r="JR68" s="120"/>
      <c r="JS68" s="120"/>
      <c r="JT68" s="120"/>
      <c r="JU68" s="120"/>
      <c r="JV68" s="205"/>
      <c r="JW68" s="205"/>
      <c r="JX68" s="205">
        <f t="shared" si="162"/>
        <v>0</v>
      </c>
      <c r="JY68" s="205">
        <f t="shared" ref="JY68:JY81" si="558">SUM(JX68,JP68,JH68,IZ68,IN68:IP68)</f>
        <v>0</v>
      </c>
      <c r="JZ68" s="120"/>
      <c r="KA68" s="120"/>
      <c r="KB68" s="250"/>
      <c r="KC68" s="120"/>
      <c r="KD68" s="120"/>
      <c r="KE68" s="205"/>
      <c r="KF68" s="205"/>
      <c r="KG68" s="205">
        <f t="shared" si="164"/>
        <v>0</v>
      </c>
      <c r="KH68" s="120"/>
      <c r="KI68" s="120"/>
      <c r="KJ68" s="120"/>
      <c r="KK68" s="120"/>
      <c r="KL68" s="120"/>
      <c r="KM68" s="205"/>
      <c r="KN68" s="205"/>
      <c r="KO68" s="205">
        <f t="shared" si="165"/>
        <v>0</v>
      </c>
      <c r="KP68" s="120"/>
      <c r="KQ68" s="120"/>
      <c r="KR68" s="120"/>
      <c r="KS68" s="120"/>
      <c r="KT68" s="120"/>
      <c r="KU68" s="205"/>
      <c r="KV68" s="205"/>
      <c r="KW68" s="205">
        <f t="shared" si="166"/>
        <v>0</v>
      </c>
      <c r="KX68" s="120"/>
      <c r="KY68" s="120"/>
      <c r="KZ68" s="120"/>
      <c r="LA68" s="120"/>
      <c r="LB68" s="120"/>
      <c r="LC68" s="205"/>
      <c r="LD68" s="205"/>
      <c r="LE68" s="205">
        <f t="shared" si="167"/>
        <v>0</v>
      </c>
      <c r="LF68" s="205"/>
      <c r="LG68" s="120"/>
      <c r="LH68" s="120"/>
      <c r="LI68" s="120"/>
      <c r="LJ68" s="120"/>
      <c r="LK68" s="205"/>
      <c r="LL68" s="205"/>
      <c r="LM68" s="205">
        <f t="shared" si="168"/>
        <v>0</v>
      </c>
      <c r="LN68" s="205">
        <f t="shared" si="169"/>
        <v>0</v>
      </c>
      <c r="LO68" s="205"/>
      <c r="LP68" s="120"/>
      <c r="LQ68" s="120"/>
      <c r="LR68" s="120"/>
      <c r="LS68" s="205"/>
      <c r="LT68" s="205"/>
      <c r="LU68" s="205"/>
      <c r="LV68" s="205">
        <f t="shared" si="170"/>
        <v>0</v>
      </c>
      <c r="LW68" s="120"/>
      <c r="LX68" s="120"/>
      <c r="LY68" s="120"/>
      <c r="LZ68" s="120"/>
      <c r="MA68" s="120"/>
      <c r="MB68" s="205"/>
      <c r="MC68" s="205"/>
      <c r="MD68" s="205">
        <f t="shared" si="171"/>
        <v>0</v>
      </c>
      <c r="ME68" s="120"/>
      <c r="MF68" s="120"/>
      <c r="MG68" s="120"/>
      <c r="MH68" s="120"/>
      <c r="MI68" s="205"/>
      <c r="MJ68" s="205"/>
      <c r="MK68" s="205"/>
      <c r="ML68" s="205">
        <f t="shared" si="172"/>
        <v>0</v>
      </c>
      <c r="MM68" s="120"/>
      <c r="MN68" s="120"/>
      <c r="MO68" s="120"/>
      <c r="MP68" s="120"/>
      <c r="MQ68" s="120"/>
      <c r="MR68" s="205"/>
      <c r="MS68" s="205"/>
      <c r="MT68" s="205">
        <f t="shared" si="173"/>
        <v>0</v>
      </c>
      <c r="MU68" s="205">
        <f t="shared" si="174"/>
        <v>0</v>
      </c>
      <c r="MV68" s="120"/>
      <c r="MW68" s="120"/>
      <c r="MX68" s="120"/>
      <c r="MY68" s="120"/>
      <c r="MZ68" s="120"/>
      <c r="NA68" s="205"/>
      <c r="NB68" s="205"/>
      <c r="NC68" s="205">
        <f t="shared" si="175"/>
        <v>0</v>
      </c>
      <c r="ND68" s="120"/>
      <c r="NE68" s="120"/>
      <c r="NF68" s="120"/>
      <c r="NG68" s="120"/>
      <c r="NH68" s="120"/>
      <c r="NI68" s="205"/>
      <c r="NJ68" s="205"/>
      <c r="NK68" s="205">
        <f t="shared" si="176"/>
        <v>0</v>
      </c>
      <c r="NL68" s="120"/>
      <c r="NM68" s="120"/>
      <c r="NN68" s="120"/>
      <c r="NO68" s="120"/>
      <c r="NP68" s="120"/>
      <c r="NQ68" s="205"/>
      <c r="NR68" s="205"/>
      <c r="NS68" s="205">
        <f t="shared" si="177"/>
        <v>0</v>
      </c>
      <c r="NT68" s="120"/>
      <c r="NU68" s="120"/>
      <c r="NV68" s="120"/>
      <c r="NW68" s="120"/>
      <c r="NX68" s="120"/>
      <c r="NY68" s="205"/>
      <c r="NZ68" s="205"/>
      <c r="OA68" s="205">
        <f t="shared" si="178"/>
        <v>0</v>
      </c>
      <c r="OB68" s="205">
        <f t="shared" si="179"/>
        <v>0</v>
      </c>
      <c r="OC68" s="120"/>
      <c r="OD68" s="120"/>
      <c r="OE68" s="120"/>
      <c r="OF68" s="120"/>
      <c r="OG68" s="120"/>
      <c r="OH68" s="205"/>
      <c r="OI68" s="205"/>
      <c r="OJ68" s="205">
        <f t="shared" si="180"/>
        <v>0</v>
      </c>
      <c r="OK68" s="120"/>
      <c r="OL68" s="120"/>
      <c r="OM68" s="120"/>
      <c r="ON68" s="120"/>
      <c r="OO68" s="120"/>
      <c r="OP68" s="205"/>
      <c r="OQ68" s="205"/>
      <c r="OR68" s="205">
        <f t="shared" si="181"/>
        <v>0</v>
      </c>
      <c r="OS68" s="120"/>
      <c r="OT68" s="120"/>
      <c r="OU68" s="120"/>
      <c r="OV68" s="120"/>
      <c r="OW68" s="120"/>
      <c r="OX68" s="205"/>
      <c r="OY68" s="205"/>
      <c r="OZ68" s="205">
        <f t="shared" si="182"/>
        <v>0</v>
      </c>
      <c r="PA68" s="120"/>
      <c r="PB68" s="120"/>
      <c r="PC68" s="120"/>
      <c r="PD68" s="205"/>
      <c r="PE68" s="217"/>
      <c r="PF68" s="205"/>
      <c r="PG68" s="205"/>
      <c r="PH68" s="205">
        <f t="shared" si="183"/>
        <v>0</v>
      </c>
      <c r="PI68" s="120"/>
      <c r="PJ68" s="120"/>
      <c r="PK68" s="120"/>
      <c r="PL68" s="205"/>
      <c r="PM68" s="217"/>
      <c r="PN68" s="205"/>
      <c r="PO68" s="205"/>
      <c r="PP68" s="205">
        <f t="shared" si="184"/>
        <v>0</v>
      </c>
      <c r="PQ68" s="205">
        <f t="shared" si="185"/>
        <v>0</v>
      </c>
      <c r="PR68" s="207"/>
      <c r="PS68" s="207"/>
      <c r="PT68" s="207"/>
      <c r="PU68" s="207"/>
      <c r="PV68" s="207"/>
      <c r="PW68" s="272"/>
      <c r="PX68" s="272"/>
      <c r="PY68" s="205">
        <f t="shared" ref="PY68:PY81" si="559">SUM(PR68:PX68)</f>
        <v>0</v>
      </c>
      <c r="PZ68" s="207"/>
      <c r="QA68" s="195"/>
      <c r="QB68" s="207"/>
      <c r="QC68" s="207"/>
      <c r="QD68" s="207"/>
      <c r="QE68" s="272"/>
      <c r="QF68" s="272"/>
      <c r="QG68" s="205">
        <f t="shared" ref="QG68:QG81" si="560">SUM(PZ68:QF68)</f>
        <v>0</v>
      </c>
      <c r="QH68" s="207"/>
      <c r="QI68" s="207"/>
      <c r="QJ68" s="294"/>
      <c r="QK68" s="207"/>
      <c r="QL68" s="207"/>
      <c r="QM68" s="272"/>
      <c r="QN68" s="272"/>
      <c r="QO68" s="205">
        <f t="shared" ref="QO68:QO81" si="561">SUM(QH68:QN68)</f>
        <v>0</v>
      </c>
      <c r="QP68" s="207"/>
      <c r="QQ68" s="207"/>
      <c r="QR68" s="207"/>
      <c r="QS68" s="207"/>
      <c r="QT68" s="207"/>
      <c r="QU68" s="272"/>
      <c r="QV68" s="272"/>
      <c r="QW68" s="205">
        <f t="shared" si="320"/>
        <v>0</v>
      </c>
      <c r="QX68" s="205">
        <f t="shared" ref="QX68:QX81" si="562">SUM(QW68,QO68,QG68,PY68,PL68,PM68,PN68,PO68)</f>
        <v>0</v>
      </c>
      <c r="QY68" s="201"/>
      <c r="QZ68" s="207"/>
      <c r="RA68" s="207"/>
      <c r="RB68" s="207"/>
      <c r="RC68" s="207"/>
      <c r="RD68" s="272"/>
      <c r="RE68" s="272"/>
      <c r="RF68" s="205">
        <f t="shared" ref="RF68:RF81" si="563">SUM(QY68:RE68)</f>
        <v>0</v>
      </c>
      <c r="RG68" s="207"/>
      <c r="RH68" s="207"/>
      <c r="RI68" s="207"/>
      <c r="RJ68" s="207"/>
      <c r="RK68" s="207"/>
      <c r="RL68" s="272"/>
      <c r="RM68" s="272"/>
      <c r="RN68" s="205">
        <f t="shared" si="530"/>
        <v>0</v>
      </c>
      <c r="RO68" s="272"/>
      <c r="RP68" s="272"/>
      <c r="RQ68" s="272"/>
      <c r="RR68" s="272"/>
      <c r="RS68" s="272"/>
      <c r="RT68" s="272"/>
      <c r="RU68" s="272"/>
      <c r="RV68" s="205">
        <f t="shared" ref="RV68:RV81" si="564">SUM(RO68:RU68)</f>
        <v>0</v>
      </c>
      <c r="RW68" s="207"/>
      <c r="RX68" s="207"/>
      <c r="RY68" s="207"/>
      <c r="RZ68" s="207"/>
      <c r="SA68" s="272"/>
      <c r="SB68" s="272"/>
      <c r="SC68" s="272"/>
      <c r="SD68" s="205">
        <f t="shared" ref="SD68:SD81" si="565">SUM(RW68:SC68)</f>
        <v>0</v>
      </c>
      <c r="SE68" s="205">
        <f t="shared" ref="SE68:SE81" si="566">SUM(SD68,RV68,RN68,RF68,QV68)</f>
        <v>0</v>
      </c>
      <c r="SF68" s="207"/>
      <c r="SG68" s="207"/>
      <c r="SH68" s="207"/>
      <c r="SI68" s="306"/>
      <c r="SJ68" s="207"/>
      <c r="SK68" s="272"/>
      <c r="SL68" s="272"/>
      <c r="SM68" s="205">
        <f t="shared" ref="SM68:SM81" si="567">SUM(SF68:SL68)</f>
        <v>0</v>
      </c>
      <c r="SN68" s="207"/>
      <c r="SO68" s="207"/>
      <c r="SP68" s="207"/>
      <c r="SQ68" s="207"/>
      <c r="SR68" s="207"/>
      <c r="SS68" s="272"/>
      <c r="ST68" s="272"/>
      <c r="SU68" s="205">
        <f t="shared" ref="SU68:SU81" si="568">SUM(SN68:ST68)</f>
        <v>0</v>
      </c>
      <c r="SV68" s="207"/>
      <c r="SW68" s="207"/>
      <c r="SX68" s="207"/>
      <c r="SY68" s="207"/>
      <c r="SZ68" s="207"/>
      <c r="TA68" s="272"/>
      <c r="TB68" s="272"/>
      <c r="TC68" s="205">
        <f t="shared" ref="TC68:TC81" si="569">SUM(SV68:TB68)</f>
        <v>0</v>
      </c>
      <c r="TD68" s="207"/>
      <c r="TE68" s="207"/>
      <c r="TF68" s="207"/>
      <c r="TG68" s="207"/>
      <c r="TH68" s="207"/>
      <c r="TI68" s="272"/>
      <c r="TJ68" s="272"/>
      <c r="TK68" s="205">
        <f t="shared" ref="TK68:TK81" si="570">SUM(TD68:TJ68)</f>
        <v>0</v>
      </c>
      <c r="TL68" s="195">
        <v>60</v>
      </c>
      <c r="TM68" s="207"/>
      <c r="TN68" s="207"/>
      <c r="TO68" s="207"/>
      <c r="TP68" s="272"/>
      <c r="TQ68" s="272"/>
      <c r="TR68" s="272"/>
      <c r="TS68" s="205">
        <f t="shared" ref="TS68:TS81" si="571">SUM(TL68:TR68)</f>
        <v>60</v>
      </c>
      <c r="TT68" s="205">
        <f t="shared" ref="TT68:TT81" si="572">SUM(TL68:TM68,TK68,TC68,SU68,SM68,SC68)</f>
        <v>60</v>
      </c>
      <c r="TU68" s="272"/>
      <c r="TV68" s="207"/>
      <c r="TW68" s="207"/>
      <c r="TX68" s="207"/>
      <c r="TY68" s="207"/>
      <c r="TZ68" s="272"/>
      <c r="UA68" s="272"/>
      <c r="UB68" s="205">
        <f t="shared" ref="UB68:UB81" si="573">SUM(TU68:UA68)</f>
        <v>0</v>
      </c>
      <c r="UC68" s="207"/>
      <c r="UD68" s="217"/>
      <c r="UE68" s="207"/>
      <c r="UF68" s="207"/>
      <c r="UG68" s="207"/>
      <c r="UH68" s="272"/>
      <c r="UI68" s="272"/>
      <c r="UJ68" s="205">
        <f t="shared" ref="UJ68:UJ81" si="574">SUM(UC68:UI68)</f>
        <v>0</v>
      </c>
      <c r="UK68" s="207"/>
      <c r="UL68" s="207"/>
      <c r="UM68" s="207"/>
      <c r="UN68" s="207"/>
      <c r="UO68" s="207"/>
      <c r="UP68" s="272"/>
      <c r="UQ68" s="272"/>
      <c r="UR68" s="205">
        <f t="shared" ref="UR68:UR81" si="575">SUM(UK68:UQ68)</f>
        <v>0</v>
      </c>
      <c r="US68" s="207"/>
      <c r="UT68" s="207"/>
      <c r="UU68" s="207"/>
      <c r="UV68" s="207"/>
      <c r="UW68" s="272"/>
      <c r="UX68" s="272"/>
      <c r="UY68" s="272"/>
      <c r="UZ68" s="205">
        <f t="shared" ref="UZ68:UZ81" si="576">SUM(US68:UY68)</f>
        <v>0</v>
      </c>
      <c r="VA68" s="205">
        <f t="shared" ref="VA68:VA81" si="577">SUM(TN68:TR68,UB68,UJ68,UR68,US68:UV68)</f>
        <v>0</v>
      </c>
      <c r="VB68" s="207"/>
      <c r="VC68" s="207"/>
      <c r="VD68" s="120"/>
      <c r="VE68" s="207"/>
      <c r="VF68" s="207"/>
      <c r="VG68" s="272"/>
      <c r="VH68" s="272"/>
      <c r="VI68" s="205">
        <f t="shared" ref="VI68:VI81" si="578">SUM(VB68:VH68)</f>
        <v>0</v>
      </c>
      <c r="VJ68" s="207"/>
      <c r="VK68" s="207"/>
      <c r="VL68" s="207"/>
      <c r="VM68" s="207"/>
      <c r="VN68" s="207"/>
      <c r="VO68" s="272"/>
      <c r="VP68" s="272"/>
      <c r="VQ68" s="205">
        <f t="shared" ref="VQ68:VQ81" si="579">SUM(VJ68:VP68)</f>
        <v>0</v>
      </c>
      <c r="VR68" s="207"/>
      <c r="VS68" s="207"/>
      <c r="VT68" s="306"/>
      <c r="VU68" s="207"/>
      <c r="VV68" s="207"/>
      <c r="VW68" s="272"/>
      <c r="VX68" s="272"/>
      <c r="VY68" s="205">
        <f t="shared" ref="VY68:VY81" si="580">SUM(VR68:VX68)</f>
        <v>0</v>
      </c>
      <c r="VZ68" s="207"/>
      <c r="WA68" s="207"/>
      <c r="WB68" s="207"/>
      <c r="WC68" s="207"/>
      <c r="WD68" s="207"/>
      <c r="WE68" s="272"/>
      <c r="WF68" s="272"/>
      <c r="WG68" s="205">
        <f t="shared" ref="WG68:WG81" si="581">SUM(VZ68:WF68)</f>
        <v>0</v>
      </c>
      <c r="WH68" s="205">
        <f t="shared" ref="WH68:WH81" si="582">SUM(WG68,VY68,VQ68,VI68,UW68:UY68)</f>
        <v>0</v>
      </c>
      <c r="WI68" s="207"/>
      <c r="WJ68" s="124"/>
      <c r="WK68" s="207"/>
      <c r="WL68" s="207"/>
      <c r="WM68" s="207"/>
      <c r="WN68" s="272"/>
      <c r="WO68" s="272"/>
      <c r="WP68" s="205">
        <f t="shared" ref="WP68:WP81" si="583">SUM(WI68:WO68)</f>
        <v>0</v>
      </c>
      <c r="WQ68" s="207"/>
      <c r="WR68" s="207"/>
      <c r="WS68" s="207"/>
      <c r="WT68" s="207"/>
      <c r="WU68" s="207"/>
      <c r="WV68" s="272"/>
      <c r="WW68" s="272"/>
      <c r="WX68" s="205">
        <f t="shared" si="531"/>
        <v>0</v>
      </c>
      <c r="WY68" s="207"/>
      <c r="WZ68" s="207"/>
      <c r="XA68" s="207"/>
      <c r="XB68" s="207"/>
      <c r="XC68" s="272"/>
      <c r="XD68" s="272"/>
      <c r="XE68" s="272"/>
      <c r="XF68" s="205">
        <f t="shared" ref="XF68:XF81" si="584">SUM(WY68:XE68)</f>
        <v>0</v>
      </c>
      <c r="XG68" s="195"/>
      <c r="XH68" s="207"/>
      <c r="XI68" s="207"/>
      <c r="XJ68" s="207"/>
      <c r="XK68" s="207"/>
      <c r="XL68" s="272"/>
      <c r="XM68" s="272"/>
      <c r="XN68" s="205">
        <f t="shared" ref="XN68:XN81" si="585">SUM(XG68:XM68)</f>
        <v>0</v>
      </c>
      <c r="XO68" s="207"/>
      <c r="XP68" s="207"/>
      <c r="XQ68" s="207"/>
      <c r="XR68" s="207"/>
      <c r="XS68" s="207"/>
      <c r="XT68" s="272"/>
      <c r="XU68" s="272"/>
      <c r="XV68" s="205">
        <f t="shared" ref="XV68:XV81" si="586">SUM(XO68:XU68)</f>
        <v>0</v>
      </c>
      <c r="XW68" s="205">
        <f t="shared" ref="XW68:XW81" si="587">SUM(XO68:XP68,XN68,XF68,WX68,WP68)</f>
        <v>0</v>
      </c>
      <c r="XX68" s="207"/>
      <c r="XY68" s="207"/>
      <c r="XZ68" s="207"/>
      <c r="YA68" s="207"/>
      <c r="YB68" s="207"/>
      <c r="YC68" s="272"/>
      <c r="YD68" s="272"/>
      <c r="YE68" s="205">
        <f t="shared" ref="YE68:YE81" si="588">SUM(XX68:YD68)</f>
        <v>0</v>
      </c>
      <c r="YF68" s="207"/>
      <c r="YG68" s="207"/>
      <c r="YH68" s="207"/>
      <c r="YI68" s="207"/>
      <c r="YJ68" s="207"/>
      <c r="YK68" s="272"/>
      <c r="YL68" s="272"/>
      <c r="YM68" s="205">
        <f t="shared" ref="YM68:YM81" si="589">SUM(YF68:YL68)</f>
        <v>0</v>
      </c>
      <c r="YN68" s="207"/>
      <c r="YO68" s="207"/>
      <c r="YP68" s="207"/>
      <c r="YQ68" s="207"/>
      <c r="YR68" s="207"/>
      <c r="YS68" s="272"/>
      <c r="YT68" s="272"/>
      <c r="YU68" s="205">
        <f t="shared" si="544"/>
        <v>0</v>
      </c>
      <c r="YV68" s="124"/>
      <c r="YW68" s="207"/>
      <c r="YX68" s="207"/>
      <c r="YY68" s="207"/>
      <c r="YZ68" s="207"/>
      <c r="ZA68" s="272"/>
      <c r="ZB68" s="272"/>
      <c r="ZC68" s="205">
        <f t="shared" ref="ZC68:ZC81" si="590">SUM(YV68:ZB68)</f>
        <v>0</v>
      </c>
      <c r="ZD68" s="205">
        <f t="shared" si="516"/>
        <v>0</v>
      </c>
      <c r="ZE68" s="207"/>
      <c r="ZF68" s="207"/>
      <c r="ZG68" s="207"/>
      <c r="ZH68" s="207"/>
      <c r="ZI68" s="207"/>
      <c r="ZJ68" s="272"/>
      <c r="ZK68" s="272"/>
      <c r="ZL68" s="205">
        <f t="shared" ref="ZL68:ZL81" si="591">SUM(ZE68:ZK68)</f>
        <v>0</v>
      </c>
      <c r="ZM68" s="207"/>
      <c r="ZN68" s="207"/>
      <c r="ZO68" s="207"/>
      <c r="ZP68" s="207"/>
      <c r="ZQ68" s="207"/>
      <c r="ZR68" s="272"/>
      <c r="ZS68" s="272"/>
      <c r="ZT68" s="205">
        <f t="shared" ref="ZT68:ZT81" si="592">SUM(ZM68:ZS68)</f>
        <v>0</v>
      </c>
      <c r="ZU68" s="207"/>
      <c r="ZV68" s="207"/>
      <c r="ZW68" s="207"/>
      <c r="ZX68" s="207"/>
      <c r="ZY68" s="207"/>
      <c r="ZZ68" s="272"/>
      <c r="AAA68" s="272"/>
      <c r="AAB68" s="205">
        <f t="shared" ref="AAB68:AAB81" si="593">SUM(ZU68:AAA68)</f>
        <v>0</v>
      </c>
      <c r="AAC68" s="207"/>
      <c r="AAD68" s="207"/>
      <c r="AAE68" s="207"/>
      <c r="AAF68" s="207"/>
      <c r="AAG68" s="207"/>
      <c r="AAH68" s="272"/>
      <c r="AAI68" s="272"/>
      <c r="AAJ68" s="205">
        <f t="shared" ref="AAJ68:AAJ81" si="594">SUM(AAC68:AAI68)</f>
        <v>0</v>
      </c>
      <c r="AAK68" s="207"/>
      <c r="AAL68" s="207"/>
      <c r="AAM68" s="207"/>
      <c r="AAN68" s="207"/>
      <c r="AAO68" s="207"/>
      <c r="AAP68" s="272"/>
      <c r="AAQ68" s="272"/>
      <c r="AAR68" s="205">
        <f t="shared" ref="AAR68:AAR81" si="595">SUM(AAK68:AAQ68)</f>
        <v>0</v>
      </c>
      <c r="AAS68" s="205">
        <f t="shared" ref="AAS68:AAS81" si="596">SUM(AAK68:AAL68,AAJ68,AAB68,ZT68,ZL68)</f>
        <v>0</v>
      </c>
    </row>
    <row r="69" spans="1:721" ht="69" customHeight="1">
      <c r="B69" s="164">
        <v>3630101308</v>
      </c>
      <c r="C69" s="330"/>
      <c r="D69" s="163" t="s">
        <v>775</v>
      </c>
      <c r="E69" s="130" t="s">
        <v>4</v>
      </c>
      <c r="F69" s="120"/>
      <c r="G69" s="120"/>
      <c r="H69" s="120"/>
      <c r="I69" s="120"/>
      <c r="J69" s="120"/>
      <c r="K69" s="209"/>
      <c r="L69" s="205"/>
      <c r="M69" s="205">
        <f t="shared" si="545"/>
        <v>0</v>
      </c>
      <c r="N69" s="120"/>
      <c r="O69" s="120"/>
      <c r="P69" s="120"/>
      <c r="Q69" s="120"/>
      <c r="R69" s="120"/>
      <c r="S69" s="209"/>
      <c r="T69" s="205"/>
      <c r="U69" s="205">
        <f t="shared" si="546"/>
        <v>0</v>
      </c>
      <c r="V69" s="120"/>
      <c r="W69" s="120"/>
      <c r="X69" s="120"/>
      <c r="Y69" s="120"/>
      <c r="Z69" s="120"/>
      <c r="AA69" s="209"/>
      <c r="AB69" s="205"/>
      <c r="AC69" s="205">
        <f t="shared" si="547"/>
        <v>0</v>
      </c>
      <c r="AD69" s="205"/>
      <c r="AE69" s="205"/>
      <c r="AF69" s="205"/>
      <c r="AG69" s="205"/>
      <c r="AH69" s="205"/>
      <c r="AI69" s="209"/>
      <c r="AJ69" s="205"/>
      <c r="AK69" s="205">
        <f t="shared" si="548"/>
        <v>0</v>
      </c>
      <c r="AL69" s="205" t="e">
        <f>SUM(#REF!,M69,U69,AC69,AD69:AH69)</f>
        <v>#REF!</v>
      </c>
      <c r="AM69" s="120"/>
      <c r="AN69" s="120"/>
      <c r="AO69" s="120"/>
      <c r="AP69" s="120"/>
      <c r="AQ69" s="120"/>
      <c r="AR69" s="209"/>
      <c r="AS69" s="205"/>
      <c r="AT69" s="205">
        <f t="shared" si="549"/>
        <v>0</v>
      </c>
      <c r="AU69" s="120"/>
      <c r="AV69" s="120"/>
      <c r="AW69" s="120"/>
      <c r="AX69" s="120"/>
      <c r="AY69" s="120"/>
      <c r="AZ69" s="209"/>
      <c r="BA69" s="205"/>
      <c r="BB69" s="205">
        <f t="shared" si="550"/>
        <v>0</v>
      </c>
      <c r="BC69" s="120"/>
      <c r="BD69" s="120"/>
      <c r="BE69" s="120"/>
      <c r="BF69" s="120"/>
      <c r="BG69" s="120"/>
      <c r="BH69" s="209"/>
      <c r="BI69" s="205"/>
      <c r="BJ69" s="205">
        <f t="shared" si="551"/>
        <v>0</v>
      </c>
      <c r="BK69" s="120"/>
      <c r="BL69" s="120"/>
      <c r="BM69" s="120"/>
      <c r="BN69" s="120"/>
      <c r="BO69" s="205"/>
      <c r="BP69" s="209"/>
      <c r="BQ69" s="205"/>
      <c r="BR69" s="205">
        <f t="shared" si="248"/>
        <v>0</v>
      </c>
      <c r="BS69" s="205">
        <f t="shared" si="129"/>
        <v>0</v>
      </c>
      <c r="BT69" s="120"/>
      <c r="BU69" s="120"/>
      <c r="BV69" s="120"/>
      <c r="BW69" s="120"/>
      <c r="BX69" s="120"/>
      <c r="BY69" s="209"/>
      <c r="BZ69" s="205"/>
      <c r="CA69" s="205">
        <f t="shared" si="552"/>
        <v>0</v>
      </c>
      <c r="CB69" s="120"/>
      <c r="CC69" s="120"/>
      <c r="CD69" s="120"/>
      <c r="CE69" s="120"/>
      <c r="CF69" s="120"/>
      <c r="CG69" s="209"/>
      <c r="CH69" s="205"/>
      <c r="CI69" s="205">
        <f t="shared" si="553"/>
        <v>0</v>
      </c>
      <c r="CJ69" s="120"/>
      <c r="CK69" s="120"/>
      <c r="CL69" s="120"/>
      <c r="CM69" s="120"/>
      <c r="CN69" s="120"/>
      <c r="CO69" s="209"/>
      <c r="CP69" s="205"/>
      <c r="CQ69" s="205">
        <f t="shared" si="554"/>
        <v>0</v>
      </c>
      <c r="CR69" s="120"/>
      <c r="CS69" s="120"/>
      <c r="CT69" s="120"/>
      <c r="CU69" s="120"/>
      <c r="CV69" s="120"/>
      <c r="CW69" s="209"/>
      <c r="CX69" s="205"/>
      <c r="CY69" s="205">
        <f t="shared" si="555"/>
        <v>0</v>
      </c>
      <c r="CZ69" s="120"/>
      <c r="DA69" s="120"/>
      <c r="DB69" s="120"/>
      <c r="DC69" s="205"/>
      <c r="DD69" s="205"/>
      <c r="DE69" s="209"/>
      <c r="DF69" s="205"/>
      <c r="DG69" s="205">
        <f t="shared" si="556"/>
        <v>0</v>
      </c>
      <c r="DH69" s="205">
        <f t="shared" si="150"/>
        <v>0</v>
      </c>
      <c r="DI69" s="120"/>
      <c r="DJ69" s="120"/>
      <c r="DK69" s="120"/>
      <c r="DL69" s="120"/>
      <c r="DM69" s="120"/>
      <c r="DN69" s="209"/>
      <c r="DO69" s="205"/>
      <c r="DP69" s="205">
        <f t="shared" si="228"/>
        <v>0</v>
      </c>
      <c r="DQ69" s="120"/>
      <c r="DR69" s="120"/>
      <c r="DS69" s="120"/>
      <c r="DT69" s="120"/>
      <c r="DU69" s="120"/>
      <c r="DV69" s="209"/>
      <c r="DW69" s="205"/>
      <c r="DX69" s="205">
        <f t="shared" si="136"/>
        <v>0</v>
      </c>
      <c r="DY69" s="120"/>
      <c r="DZ69" s="120"/>
      <c r="EA69" s="120"/>
      <c r="EB69" s="120"/>
      <c r="EC69" s="120"/>
      <c r="ED69" s="209"/>
      <c r="EE69" s="205"/>
      <c r="EF69" s="205">
        <f t="shared" si="137"/>
        <v>0</v>
      </c>
      <c r="EG69" s="120"/>
      <c r="EH69" s="120"/>
      <c r="EI69" s="120"/>
      <c r="EJ69" s="205"/>
      <c r="EK69" s="205"/>
      <c r="EL69" s="209"/>
      <c r="EM69" s="205"/>
      <c r="EN69" s="205">
        <f t="shared" si="138"/>
        <v>0</v>
      </c>
      <c r="EO69" s="205">
        <f t="shared" si="151"/>
        <v>0</v>
      </c>
      <c r="EP69" s="120"/>
      <c r="EQ69" s="120"/>
      <c r="ER69" s="120"/>
      <c r="ES69" s="120"/>
      <c r="ET69" s="120"/>
      <c r="EU69" s="209"/>
      <c r="EV69" s="205"/>
      <c r="EW69" s="205">
        <f t="shared" si="139"/>
        <v>0</v>
      </c>
      <c r="EX69" s="120"/>
      <c r="EY69" s="120"/>
      <c r="EZ69" s="120"/>
      <c r="FA69" s="120"/>
      <c r="FB69" s="120"/>
      <c r="FC69" s="209"/>
      <c r="FD69" s="205"/>
      <c r="FE69" s="205">
        <f t="shared" si="140"/>
        <v>0</v>
      </c>
      <c r="FF69" s="120"/>
      <c r="FG69" s="120"/>
      <c r="FH69" s="120"/>
      <c r="FI69" s="120"/>
      <c r="FJ69" s="120"/>
      <c r="FK69" s="209"/>
      <c r="FL69" s="205"/>
      <c r="FM69" s="205">
        <f t="shared" si="141"/>
        <v>0</v>
      </c>
      <c r="FN69" s="120"/>
      <c r="FO69" s="120"/>
      <c r="FP69" s="120"/>
      <c r="FQ69" s="120"/>
      <c r="FR69" s="205"/>
      <c r="FS69" s="209"/>
      <c r="FT69" s="205"/>
      <c r="FU69" s="205">
        <f t="shared" si="142"/>
        <v>0</v>
      </c>
      <c r="FV69" s="205">
        <f t="shared" si="152"/>
        <v>0</v>
      </c>
      <c r="FW69" s="120"/>
      <c r="FX69" s="120"/>
      <c r="FY69" s="120"/>
      <c r="FZ69" s="120"/>
      <c r="GA69" s="120"/>
      <c r="GB69" s="209"/>
      <c r="GC69" s="205"/>
      <c r="GD69" s="205">
        <f t="shared" si="143"/>
        <v>0</v>
      </c>
      <c r="GE69" s="120"/>
      <c r="GF69" s="120"/>
      <c r="GG69" s="120"/>
      <c r="GH69" s="120"/>
      <c r="GI69" s="120"/>
      <c r="GJ69" s="209"/>
      <c r="GK69" s="205"/>
      <c r="GL69" s="205">
        <f t="shared" si="144"/>
        <v>0</v>
      </c>
      <c r="GM69" s="120"/>
      <c r="GN69" s="120"/>
      <c r="GO69" s="120"/>
      <c r="GP69" s="120"/>
      <c r="GQ69" s="120"/>
      <c r="GR69" s="209"/>
      <c r="GS69" s="205"/>
      <c r="GT69" s="205">
        <f t="shared" si="557"/>
        <v>0</v>
      </c>
      <c r="GU69" s="120"/>
      <c r="GV69" s="120"/>
      <c r="GW69" s="120"/>
      <c r="GX69" s="120"/>
      <c r="GY69" s="120"/>
      <c r="GZ69" s="209"/>
      <c r="HA69" s="205"/>
      <c r="HB69" s="205">
        <f t="shared" si="146"/>
        <v>0</v>
      </c>
      <c r="HC69" s="120"/>
      <c r="HD69" s="120"/>
      <c r="HE69" s="120"/>
      <c r="HF69" s="120"/>
      <c r="HG69" s="120"/>
      <c r="HH69" s="209"/>
      <c r="HI69" s="205"/>
      <c r="HJ69" s="205">
        <f t="shared" si="147"/>
        <v>0</v>
      </c>
      <c r="HK69" s="205">
        <f t="shared" si="153"/>
        <v>0</v>
      </c>
      <c r="HL69" s="124"/>
      <c r="HM69" s="120"/>
      <c r="HN69" s="120"/>
      <c r="HO69" s="120"/>
      <c r="HP69" s="120"/>
      <c r="HQ69" s="205"/>
      <c r="HR69" s="205"/>
      <c r="HS69" s="205">
        <f t="shared" si="154"/>
        <v>0</v>
      </c>
      <c r="HT69" s="120"/>
      <c r="HU69" s="120"/>
      <c r="HV69" s="120"/>
      <c r="HW69" s="120"/>
      <c r="HX69" s="120"/>
      <c r="HY69" s="205"/>
      <c r="HZ69" s="205"/>
      <c r="IA69" s="205">
        <f t="shared" si="155"/>
        <v>0</v>
      </c>
      <c r="IB69" s="120"/>
      <c r="IC69" s="120"/>
      <c r="ID69" s="120"/>
      <c r="IE69" s="120"/>
      <c r="IF69" s="120"/>
      <c r="IG69" s="205"/>
      <c r="IH69" s="205"/>
      <c r="II69" s="205">
        <f t="shared" si="156"/>
        <v>0</v>
      </c>
      <c r="IJ69" s="120"/>
      <c r="IK69" s="120"/>
      <c r="IL69" s="120"/>
      <c r="IM69" s="120"/>
      <c r="IN69" s="120"/>
      <c r="IO69" s="205"/>
      <c r="IP69" s="205"/>
      <c r="IQ69" s="205">
        <f t="shared" si="157"/>
        <v>0</v>
      </c>
      <c r="IR69" s="205">
        <f t="shared" si="158"/>
        <v>0</v>
      </c>
      <c r="IS69" s="120"/>
      <c r="IT69" s="120"/>
      <c r="IU69" s="120"/>
      <c r="IV69" s="120"/>
      <c r="IW69" s="120"/>
      <c r="IX69" s="205"/>
      <c r="IY69" s="205"/>
      <c r="IZ69" s="205">
        <f t="shared" si="159"/>
        <v>0</v>
      </c>
      <c r="JA69" s="120"/>
      <c r="JB69" s="120"/>
      <c r="JC69" s="120"/>
      <c r="JD69" s="120"/>
      <c r="JE69" s="120"/>
      <c r="JF69" s="205"/>
      <c r="JG69" s="205"/>
      <c r="JH69" s="205">
        <f t="shared" si="160"/>
        <v>0</v>
      </c>
      <c r="JI69" s="120"/>
      <c r="JJ69" s="120"/>
      <c r="JK69" s="120"/>
      <c r="JL69" s="120"/>
      <c r="JM69" s="120"/>
      <c r="JN69" s="205"/>
      <c r="JO69" s="205"/>
      <c r="JP69" s="205">
        <f t="shared" si="161"/>
        <v>0</v>
      </c>
      <c r="JQ69" s="120"/>
      <c r="JR69" s="120"/>
      <c r="JS69" s="120"/>
      <c r="JT69" s="120"/>
      <c r="JU69" s="120"/>
      <c r="JV69" s="205"/>
      <c r="JW69" s="205"/>
      <c r="JX69" s="205">
        <f t="shared" si="162"/>
        <v>0</v>
      </c>
      <c r="JY69" s="205">
        <f t="shared" si="558"/>
        <v>0</v>
      </c>
      <c r="JZ69" s="120"/>
      <c r="KA69" s="120"/>
      <c r="KB69" s="250">
        <v>500</v>
      </c>
      <c r="KC69" s="120"/>
      <c r="KD69" s="120"/>
      <c r="KE69" s="205"/>
      <c r="KF69" s="205"/>
      <c r="KG69" s="205">
        <f t="shared" si="164"/>
        <v>500</v>
      </c>
      <c r="KH69" s="120"/>
      <c r="KI69" s="120"/>
      <c r="KJ69" s="120"/>
      <c r="KK69" s="120"/>
      <c r="KL69" s="120"/>
      <c r="KM69" s="205"/>
      <c r="KN69" s="205"/>
      <c r="KO69" s="205">
        <f t="shared" si="165"/>
        <v>0</v>
      </c>
      <c r="KP69" s="120"/>
      <c r="KQ69" s="120"/>
      <c r="KR69" s="120"/>
      <c r="KS69" s="120"/>
      <c r="KT69" s="120"/>
      <c r="KU69" s="205"/>
      <c r="KV69" s="205"/>
      <c r="KW69" s="205">
        <f t="shared" si="166"/>
        <v>0</v>
      </c>
      <c r="KX69" s="120"/>
      <c r="KY69" s="120"/>
      <c r="KZ69" s="120"/>
      <c r="LA69" s="120"/>
      <c r="LB69" s="120"/>
      <c r="LC69" s="205"/>
      <c r="LD69" s="205"/>
      <c r="LE69" s="205">
        <f t="shared" si="167"/>
        <v>0</v>
      </c>
      <c r="LF69" s="205"/>
      <c r="LG69" s="120"/>
      <c r="LH69" s="120"/>
      <c r="LI69" s="120"/>
      <c r="LJ69" s="120"/>
      <c r="LK69" s="205"/>
      <c r="LL69" s="205"/>
      <c r="LM69" s="205">
        <f t="shared" si="168"/>
        <v>0</v>
      </c>
      <c r="LN69" s="205">
        <f t="shared" si="169"/>
        <v>500</v>
      </c>
      <c r="LO69" s="205"/>
      <c r="LP69" s="120"/>
      <c r="LQ69" s="120"/>
      <c r="LR69" s="120"/>
      <c r="LS69" s="205"/>
      <c r="LT69" s="205"/>
      <c r="LU69" s="205"/>
      <c r="LV69" s="205">
        <f t="shared" si="170"/>
        <v>0</v>
      </c>
      <c r="LW69" s="195">
        <v>900</v>
      </c>
      <c r="LX69" s="120"/>
      <c r="LY69" s="120"/>
      <c r="LZ69" s="120"/>
      <c r="MA69" s="120"/>
      <c r="MB69" s="205"/>
      <c r="MC69" s="205"/>
      <c r="MD69" s="205">
        <f t="shared" si="171"/>
        <v>900</v>
      </c>
      <c r="ME69" s="120"/>
      <c r="MF69" s="120"/>
      <c r="MG69" s="120"/>
      <c r="MH69" s="120"/>
      <c r="MI69" s="205"/>
      <c r="MJ69" s="205"/>
      <c r="MK69" s="205"/>
      <c r="ML69" s="205">
        <f t="shared" si="172"/>
        <v>0</v>
      </c>
      <c r="MM69" s="120"/>
      <c r="MN69" s="120"/>
      <c r="MO69" s="120"/>
      <c r="MP69" s="120"/>
      <c r="MQ69" s="120"/>
      <c r="MR69" s="205"/>
      <c r="MS69" s="205"/>
      <c r="MT69" s="205">
        <f t="shared" si="173"/>
        <v>0</v>
      </c>
      <c r="MU69" s="205">
        <f t="shared" si="174"/>
        <v>900</v>
      </c>
      <c r="MV69" s="120"/>
      <c r="MW69" s="120"/>
      <c r="MX69" s="120"/>
      <c r="MY69" s="120"/>
      <c r="MZ69" s="120"/>
      <c r="NA69" s="205"/>
      <c r="NB69" s="205"/>
      <c r="NC69" s="205">
        <f t="shared" si="175"/>
        <v>0</v>
      </c>
      <c r="ND69" s="120"/>
      <c r="NE69" s="120"/>
      <c r="NF69" s="120"/>
      <c r="NG69" s="120"/>
      <c r="NH69" s="120"/>
      <c r="NI69" s="205"/>
      <c r="NJ69" s="205"/>
      <c r="NK69" s="205">
        <f t="shared" si="176"/>
        <v>0</v>
      </c>
      <c r="NL69" s="120"/>
      <c r="NM69" s="120"/>
      <c r="NN69" s="120"/>
      <c r="NO69" s="120"/>
      <c r="NP69" s="120"/>
      <c r="NQ69" s="205"/>
      <c r="NR69" s="205"/>
      <c r="NS69" s="205">
        <f t="shared" si="177"/>
        <v>0</v>
      </c>
      <c r="NT69" s="120"/>
      <c r="NU69" s="120"/>
      <c r="NV69" s="120"/>
      <c r="NW69" s="120"/>
      <c r="NX69" s="120"/>
      <c r="NY69" s="205"/>
      <c r="NZ69" s="205"/>
      <c r="OA69" s="205">
        <f t="shared" si="178"/>
        <v>0</v>
      </c>
      <c r="OB69" s="205">
        <f t="shared" si="179"/>
        <v>0</v>
      </c>
      <c r="OC69" s="120"/>
      <c r="OD69" s="120"/>
      <c r="OE69" s="120"/>
      <c r="OF69" s="120"/>
      <c r="OG69" s="120"/>
      <c r="OH69" s="205"/>
      <c r="OI69" s="205"/>
      <c r="OJ69" s="205">
        <f t="shared" si="180"/>
        <v>0</v>
      </c>
      <c r="OK69" s="195">
        <v>500</v>
      </c>
      <c r="OL69" s="120"/>
      <c r="OM69" s="120"/>
      <c r="ON69" s="120"/>
      <c r="OO69" s="120"/>
      <c r="OP69" s="205"/>
      <c r="OQ69" s="205"/>
      <c r="OR69" s="205">
        <f t="shared" si="181"/>
        <v>500</v>
      </c>
      <c r="OS69" s="120"/>
      <c r="OT69" s="120"/>
      <c r="OU69" s="120"/>
      <c r="OV69" s="120"/>
      <c r="OW69" s="120"/>
      <c r="OX69" s="205"/>
      <c r="OY69" s="205"/>
      <c r="OZ69" s="205">
        <f t="shared" si="182"/>
        <v>0</v>
      </c>
      <c r="PA69" s="120"/>
      <c r="PB69" s="120"/>
      <c r="PC69" s="120"/>
      <c r="PD69" s="205"/>
      <c r="PE69" s="217"/>
      <c r="PF69" s="205"/>
      <c r="PG69" s="205"/>
      <c r="PH69" s="205">
        <f t="shared" si="183"/>
        <v>0</v>
      </c>
      <c r="PI69" s="120"/>
      <c r="PJ69" s="120"/>
      <c r="PK69" s="120"/>
      <c r="PL69" s="205"/>
      <c r="PM69" s="217"/>
      <c r="PN69" s="205"/>
      <c r="PO69" s="205"/>
      <c r="PP69" s="205">
        <f t="shared" si="184"/>
        <v>0</v>
      </c>
      <c r="PQ69" s="205">
        <f t="shared" si="185"/>
        <v>500</v>
      </c>
      <c r="PR69" s="207"/>
      <c r="PS69" s="207"/>
      <c r="PT69" s="207"/>
      <c r="PU69" s="207"/>
      <c r="PV69" s="207"/>
      <c r="PW69" s="272"/>
      <c r="PX69" s="272"/>
      <c r="PY69" s="205">
        <f t="shared" si="559"/>
        <v>0</v>
      </c>
      <c r="PZ69" s="207"/>
      <c r="QA69" s="195">
        <v>250</v>
      </c>
      <c r="QB69" s="207"/>
      <c r="QC69" s="207"/>
      <c r="QD69" s="207"/>
      <c r="QE69" s="272"/>
      <c r="QF69" s="272"/>
      <c r="QG69" s="205">
        <f t="shared" si="560"/>
        <v>250</v>
      </c>
      <c r="QH69" s="207"/>
      <c r="QI69" s="207"/>
      <c r="QJ69" s="294"/>
      <c r="QK69" s="207"/>
      <c r="QL69" s="207"/>
      <c r="QM69" s="272"/>
      <c r="QN69" s="272"/>
      <c r="QO69" s="205">
        <f t="shared" si="561"/>
        <v>0</v>
      </c>
      <c r="QP69" s="207"/>
      <c r="QQ69" s="207"/>
      <c r="QR69" s="207"/>
      <c r="QS69" s="207"/>
      <c r="QT69" s="207"/>
      <c r="QU69" s="272"/>
      <c r="QV69" s="272"/>
      <c r="QW69" s="205">
        <f t="shared" si="320"/>
        <v>0</v>
      </c>
      <c r="QX69" s="205">
        <f t="shared" si="562"/>
        <v>250</v>
      </c>
      <c r="QY69" s="201">
        <v>1150</v>
      </c>
      <c r="QZ69" s="207"/>
      <c r="RA69" s="207"/>
      <c r="RB69" s="207"/>
      <c r="RC69" s="207"/>
      <c r="RD69" s="272"/>
      <c r="RE69" s="272"/>
      <c r="RF69" s="205">
        <f t="shared" si="563"/>
        <v>1150</v>
      </c>
      <c r="RG69" s="207"/>
      <c r="RH69" s="207"/>
      <c r="RI69" s="207"/>
      <c r="RJ69" s="207"/>
      <c r="RK69" s="207"/>
      <c r="RL69" s="272"/>
      <c r="RM69" s="272"/>
      <c r="RN69" s="205">
        <f t="shared" si="530"/>
        <v>0</v>
      </c>
      <c r="RO69" s="272"/>
      <c r="RP69" s="272"/>
      <c r="RQ69" s="272"/>
      <c r="RR69" s="272"/>
      <c r="RS69" s="272"/>
      <c r="RT69" s="272"/>
      <c r="RU69" s="272"/>
      <c r="RV69" s="205">
        <f t="shared" si="564"/>
        <v>0</v>
      </c>
      <c r="RW69" s="207"/>
      <c r="RX69" s="207"/>
      <c r="RY69" s="207"/>
      <c r="RZ69" s="207"/>
      <c r="SA69" s="272"/>
      <c r="SB69" s="272"/>
      <c r="SC69" s="272"/>
      <c r="SD69" s="205">
        <f t="shared" si="565"/>
        <v>0</v>
      </c>
      <c r="SE69" s="205">
        <f t="shared" si="566"/>
        <v>1150</v>
      </c>
      <c r="SF69" s="207"/>
      <c r="SG69" s="207"/>
      <c r="SH69" s="120"/>
      <c r="SI69" s="120"/>
      <c r="SJ69" s="207"/>
      <c r="SK69" s="272"/>
      <c r="SL69" s="272"/>
      <c r="SM69" s="205">
        <f t="shared" si="567"/>
        <v>0</v>
      </c>
      <c r="SN69" s="207"/>
      <c r="SO69" s="207"/>
      <c r="SP69" s="207"/>
      <c r="SQ69" s="207"/>
      <c r="SR69" s="207"/>
      <c r="SS69" s="272"/>
      <c r="ST69" s="272"/>
      <c r="SU69" s="205">
        <f t="shared" si="568"/>
        <v>0</v>
      </c>
      <c r="SV69" s="207"/>
      <c r="SW69" s="207"/>
      <c r="SX69" s="207"/>
      <c r="SY69" s="207"/>
      <c r="SZ69" s="207"/>
      <c r="TA69" s="272"/>
      <c r="TB69" s="272"/>
      <c r="TC69" s="205">
        <f t="shared" si="569"/>
        <v>0</v>
      </c>
      <c r="TD69" s="207"/>
      <c r="TE69" s="207"/>
      <c r="TF69" s="207"/>
      <c r="TG69" s="207"/>
      <c r="TH69" s="207"/>
      <c r="TI69" s="272"/>
      <c r="TJ69" s="272"/>
      <c r="TK69" s="205">
        <f t="shared" si="570"/>
        <v>0</v>
      </c>
      <c r="TL69" s="195">
        <v>300</v>
      </c>
      <c r="TM69" s="207"/>
      <c r="TN69" s="207"/>
      <c r="TO69" s="207"/>
      <c r="TP69" s="272"/>
      <c r="TQ69" s="272"/>
      <c r="TR69" s="272"/>
      <c r="TS69" s="205">
        <f t="shared" si="571"/>
        <v>300</v>
      </c>
      <c r="TT69" s="205">
        <f t="shared" si="572"/>
        <v>300</v>
      </c>
      <c r="TU69" s="272"/>
      <c r="TV69" s="207"/>
      <c r="TW69" s="207"/>
      <c r="TX69" s="207"/>
      <c r="TY69" s="207"/>
      <c r="TZ69" s="272"/>
      <c r="UA69" s="272"/>
      <c r="UB69" s="205">
        <f t="shared" si="573"/>
        <v>0</v>
      </c>
      <c r="UC69" s="207"/>
      <c r="UD69" s="217">
        <v>500</v>
      </c>
      <c r="UE69" s="207"/>
      <c r="UF69" s="207"/>
      <c r="UG69" s="207"/>
      <c r="UH69" s="272"/>
      <c r="UI69" s="272"/>
      <c r="UJ69" s="205">
        <f t="shared" si="574"/>
        <v>500</v>
      </c>
      <c r="UK69" s="207"/>
      <c r="UL69" s="207"/>
      <c r="UM69" s="207"/>
      <c r="UN69" s="207"/>
      <c r="UO69" s="207"/>
      <c r="UP69" s="272"/>
      <c r="UQ69" s="272"/>
      <c r="UR69" s="205">
        <f t="shared" si="575"/>
        <v>0</v>
      </c>
      <c r="US69" s="207"/>
      <c r="UT69" s="207"/>
      <c r="UU69" s="207"/>
      <c r="UV69" s="207"/>
      <c r="UW69" s="272"/>
      <c r="UX69" s="272"/>
      <c r="UY69" s="272"/>
      <c r="UZ69" s="205">
        <f t="shared" si="576"/>
        <v>0</v>
      </c>
      <c r="VA69" s="205">
        <f t="shared" si="577"/>
        <v>500</v>
      </c>
      <c r="VB69" s="207"/>
      <c r="VC69" s="207"/>
      <c r="VD69" s="120"/>
      <c r="VE69" s="207"/>
      <c r="VF69" s="207"/>
      <c r="VG69" s="272"/>
      <c r="VH69" s="272"/>
      <c r="VI69" s="205">
        <f t="shared" si="578"/>
        <v>0</v>
      </c>
      <c r="VJ69" s="207"/>
      <c r="VK69" s="207"/>
      <c r="VL69" s="207"/>
      <c r="VM69" s="207"/>
      <c r="VN69" s="207"/>
      <c r="VO69" s="272"/>
      <c r="VP69" s="272"/>
      <c r="VQ69" s="205">
        <f t="shared" si="579"/>
        <v>0</v>
      </c>
      <c r="VR69" s="207"/>
      <c r="VS69" s="207"/>
      <c r="VT69" s="124">
        <v>910</v>
      </c>
      <c r="VU69" s="207"/>
      <c r="VV69" s="207"/>
      <c r="VW69" s="272"/>
      <c r="VX69" s="272"/>
      <c r="VY69" s="205">
        <f t="shared" si="580"/>
        <v>910</v>
      </c>
      <c r="VZ69" s="207"/>
      <c r="WA69" s="207"/>
      <c r="WB69" s="207"/>
      <c r="WC69" s="207"/>
      <c r="WD69" s="207"/>
      <c r="WE69" s="272"/>
      <c r="WF69" s="272"/>
      <c r="WG69" s="205">
        <f t="shared" si="581"/>
        <v>0</v>
      </c>
      <c r="WH69" s="205">
        <f t="shared" si="582"/>
        <v>910</v>
      </c>
      <c r="WI69" s="207"/>
      <c r="WJ69" s="124">
        <v>220</v>
      </c>
      <c r="WK69" s="207"/>
      <c r="WL69" s="207"/>
      <c r="WM69" s="207"/>
      <c r="WN69" s="272"/>
      <c r="WO69" s="272"/>
      <c r="WP69" s="205">
        <f t="shared" si="583"/>
        <v>220</v>
      </c>
      <c r="WQ69" s="207"/>
      <c r="WR69" s="207"/>
      <c r="WS69" s="207"/>
      <c r="WT69" s="207"/>
      <c r="WU69" s="207"/>
      <c r="WV69" s="272"/>
      <c r="WW69" s="272"/>
      <c r="WX69" s="205">
        <f t="shared" si="531"/>
        <v>0</v>
      </c>
      <c r="WY69" s="207"/>
      <c r="WZ69" s="207"/>
      <c r="XA69" s="207"/>
      <c r="XB69" s="207"/>
      <c r="XC69" s="272"/>
      <c r="XD69" s="272"/>
      <c r="XE69" s="272"/>
      <c r="XF69" s="205">
        <f t="shared" si="584"/>
        <v>0</v>
      </c>
      <c r="XG69" s="207"/>
      <c r="XH69" s="207"/>
      <c r="XI69" s="207"/>
      <c r="XJ69" s="207"/>
      <c r="XK69" s="207"/>
      <c r="XL69" s="272"/>
      <c r="XM69" s="272"/>
      <c r="XN69" s="205">
        <f t="shared" si="585"/>
        <v>0</v>
      </c>
      <c r="XO69" s="207"/>
      <c r="XP69" s="207"/>
      <c r="XQ69" s="207"/>
      <c r="XR69" s="207"/>
      <c r="XS69" s="207"/>
      <c r="XT69" s="272"/>
      <c r="XU69" s="272"/>
      <c r="XV69" s="205">
        <f t="shared" si="586"/>
        <v>0</v>
      </c>
      <c r="XW69" s="205">
        <f t="shared" si="587"/>
        <v>220</v>
      </c>
      <c r="XX69" s="207"/>
      <c r="XY69" s="207"/>
      <c r="XZ69" s="207"/>
      <c r="YA69" s="207"/>
      <c r="YB69" s="207"/>
      <c r="YC69" s="272"/>
      <c r="YD69" s="272"/>
      <c r="YE69" s="205">
        <f t="shared" si="588"/>
        <v>0</v>
      </c>
      <c r="YF69" s="207"/>
      <c r="YG69" s="207"/>
      <c r="YH69" s="207"/>
      <c r="YI69" s="207"/>
      <c r="YJ69" s="207"/>
      <c r="YK69" s="272"/>
      <c r="YL69" s="272"/>
      <c r="YM69" s="205">
        <f t="shared" si="589"/>
        <v>0</v>
      </c>
      <c r="YN69" s="207"/>
      <c r="YO69" s="207"/>
      <c r="YP69" s="207"/>
      <c r="YQ69" s="207"/>
      <c r="YR69" s="207"/>
      <c r="YS69" s="272"/>
      <c r="YT69" s="272"/>
      <c r="YU69" s="205">
        <f t="shared" si="544"/>
        <v>0</v>
      </c>
      <c r="YV69" s="124">
        <v>940</v>
      </c>
      <c r="YW69" s="207"/>
      <c r="YX69" s="207"/>
      <c r="YY69" s="207"/>
      <c r="YZ69" s="207"/>
      <c r="ZA69" s="272"/>
      <c r="ZB69" s="272"/>
      <c r="ZC69" s="205">
        <f t="shared" si="590"/>
        <v>940</v>
      </c>
      <c r="ZD69" s="205">
        <f t="shared" si="516"/>
        <v>940</v>
      </c>
      <c r="ZE69" s="207"/>
      <c r="ZF69" s="207"/>
      <c r="ZG69" s="207"/>
      <c r="ZH69" s="207"/>
      <c r="ZI69" s="207"/>
      <c r="ZJ69" s="272"/>
      <c r="ZK69" s="272"/>
      <c r="ZL69" s="205">
        <f t="shared" si="591"/>
        <v>0</v>
      </c>
      <c r="ZM69" s="207"/>
      <c r="ZN69" s="207"/>
      <c r="ZO69" s="207"/>
      <c r="ZP69" s="207"/>
      <c r="ZQ69" s="207"/>
      <c r="ZR69" s="272"/>
      <c r="ZS69" s="272"/>
      <c r="ZT69" s="205">
        <f t="shared" si="592"/>
        <v>0</v>
      </c>
      <c r="ZU69" s="207"/>
      <c r="ZV69" s="207"/>
      <c r="ZW69" s="207"/>
      <c r="ZX69" s="207"/>
      <c r="ZY69" s="207"/>
      <c r="ZZ69" s="272"/>
      <c r="AAA69" s="272"/>
      <c r="AAB69" s="205">
        <f t="shared" si="593"/>
        <v>0</v>
      </c>
      <c r="AAC69" s="207"/>
      <c r="AAD69" s="207"/>
      <c r="AAE69" s="207"/>
      <c r="AAF69" s="207"/>
      <c r="AAG69" s="207"/>
      <c r="AAH69" s="272"/>
      <c r="AAI69" s="272"/>
      <c r="AAJ69" s="205">
        <f t="shared" si="594"/>
        <v>0</v>
      </c>
      <c r="AAK69" s="207"/>
      <c r="AAL69" s="207"/>
      <c r="AAM69" s="207"/>
      <c r="AAN69" s="207"/>
      <c r="AAO69" s="207"/>
      <c r="AAP69" s="272"/>
      <c r="AAQ69" s="272"/>
      <c r="AAR69" s="205">
        <f t="shared" si="595"/>
        <v>0</v>
      </c>
      <c r="AAS69" s="205">
        <f t="shared" si="596"/>
        <v>0</v>
      </c>
    </row>
    <row r="70" spans="1:721" s="126" customFormat="1" ht="69.95" customHeight="1">
      <c r="A70" s="125" t="s">
        <v>6</v>
      </c>
      <c r="B70" s="162">
        <v>3630101801</v>
      </c>
      <c r="C70" s="331"/>
      <c r="D70" s="167" t="s">
        <v>26</v>
      </c>
      <c r="E70" s="130" t="s">
        <v>4</v>
      </c>
      <c r="F70" s="120"/>
      <c r="G70" s="120"/>
      <c r="H70" s="216"/>
      <c r="I70" s="120"/>
      <c r="J70" s="120"/>
      <c r="K70" s="209"/>
      <c r="L70" s="205"/>
      <c r="M70" s="205">
        <f t="shared" si="303"/>
        <v>0</v>
      </c>
      <c r="N70" s="124">
        <v>300</v>
      </c>
      <c r="O70" s="120"/>
      <c r="P70" s="120"/>
      <c r="Q70" s="120"/>
      <c r="R70" s="120"/>
      <c r="S70" s="209"/>
      <c r="T70" s="205"/>
      <c r="U70" s="205">
        <f t="shared" si="304"/>
        <v>300</v>
      </c>
      <c r="V70" s="120"/>
      <c r="W70" s="201">
        <v>800</v>
      </c>
      <c r="X70" s="120"/>
      <c r="Y70" s="120"/>
      <c r="Z70" s="120"/>
      <c r="AA70" s="209"/>
      <c r="AB70" s="205"/>
      <c r="AC70" s="205">
        <f t="shared" si="305"/>
        <v>800</v>
      </c>
      <c r="AD70" s="205"/>
      <c r="AE70" s="205"/>
      <c r="AF70" s="205"/>
      <c r="AG70" s="205"/>
      <c r="AH70" s="205"/>
      <c r="AI70" s="209"/>
      <c r="AJ70" s="205"/>
      <c r="AK70" s="205">
        <f t="shared" si="306"/>
        <v>0</v>
      </c>
      <c r="AL70" s="205" t="e">
        <f>SUM(#REF!,M70,U70,AC70,AD70:AH70)</f>
        <v>#REF!</v>
      </c>
      <c r="AM70" s="120"/>
      <c r="AN70" s="120"/>
      <c r="AO70" s="120"/>
      <c r="AP70" s="120"/>
      <c r="AQ70" s="120"/>
      <c r="AR70" s="209"/>
      <c r="AS70" s="205"/>
      <c r="AT70" s="205">
        <f t="shared" si="245"/>
        <v>0</v>
      </c>
      <c r="AU70" s="201">
        <v>300</v>
      </c>
      <c r="AV70" s="120"/>
      <c r="AW70" s="120"/>
      <c r="AX70" s="120"/>
      <c r="AY70" s="120"/>
      <c r="AZ70" s="209"/>
      <c r="BA70" s="205"/>
      <c r="BB70" s="205">
        <f t="shared" si="246"/>
        <v>300</v>
      </c>
      <c r="BC70" s="216"/>
      <c r="BD70" s="120"/>
      <c r="BE70" s="120"/>
      <c r="BF70" s="120"/>
      <c r="BG70" s="120"/>
      <c r="BH70" s="209"/>
      <c r="BI70" s="205"/>
      <c r="BJ70" s="205">
        <f t="shared" si="517"/>
        <v>0</v>
      </c>
      <c r="BK70" s="120"/>
      <c r="BL70" s="120"/>
      <c r="BM70" s="120"/>
      <c r="BN70" s="120"/>
      <c r="BO70" s="205"/>
      <c r="BP70" s="209"/>
      <c r="BQ70" s="205"/>
      <c r="BR70" s="205">
        <f t="shared" si="248"/>
        <v>0</v>
      </c>
      <c r="BS70" s="205">
        <f t="shared" si="129"/>
        <v>300</v>
      </c>
      <c r="BT70" s="120"/>
      <c r="BU70" s="120"/>
      <c r="BV70" s="250">
        <v>400</v>
      </c>
      <c r="BW70" s="120"/>
      <c r="BX70" s="120"/>
      <c r="BY70" s="209"/>
      <c r="BZ70" s="205"/>
      <c r="CA70" s="205">
        <f>SUM(BT70:BZ70)</f>
        <v>400</v>
      </c>
      <c r="CB70" s="120"/>
      <c r="CC70" s="120"/>
      <c r="CD70" s="120"/>
      <c r="CE70" s="120"/>
      <c r="CF70" s="120"/>
      <c r="CG70" s="209"/>
      <c r="CH70" s="205"/>
      <c r="CI70" s="205">
        <f t="shared" si="251"/>
        <v>0</v>
      </c>
      <c r="CJ70" s="120"/>
      <c r="CK70" s="120"/>
      <c r="CL70" s="120"/>
      <c r="CM70" s="120"/>
      <c r="CN70" s="120"/>
      <c r="CO70" s="209"/>
      <c r="CP70" s="205"/>
      <c r="CQ70" s="205">
        <f t="shared" si="252"/>
        <v>0</v>
      </c>
      <c r="CR70" s="120"/>
      <c r="CS70" s="120"/>
      <c r="CT70" s="217">
        <v>500</v>
      </c>
      <c r="CU70" s="120"/>
      <c r="CV70" s="120"/>
      <c r="CW70" s="209"/>
      <c r="CX70" s="205"/>
      <c r="CY70" s="205">
        <f t="shared" si="253"/>
        <v>500</v>
      </c>
      <c r="CZ70" s="120"/>
      <c r="DA70" s="120"/>
      <c r="DB70" s="120"/>
      <c r="DC70" s="205"/>
      <c r="DD70" s="205"/>
      <c r="DE70" s="209"/>
      <c r="DF70" s="205"/>
      <c r="DG70" s="205">
        <f t="shared" si="254"/>
        <v>0</v>
      </c>
      <c r="DH70" s="205">
        <f t="shared" si="150"/>
        <v>900</v>
      </c>
      <c r="DI70" s="120"/>
      <c r="DJ70" s="120"/>
      <c r="DK70" s="120"/>
      <c r="DL70" s="120"/>
      <c r="DM70" s="120"/>
      <c r="DN70" s="209"/>
      <c r="DO70" s="205"/>
      <c r="DP70" s="205">
        <f t="shared" si="228"/>
        <v>0</v>
      </c>
      <c r="DQ70" s="120"/>
      <c r="DR70" s="120"/>
      <c r="DS70" s="120"/>
      <c r="DT70" s="120"/>
      <c r="DU70" s="120"/>
      <c r="DV70" s="209"/>
      <c r="DW70" s="205"/>
      <c r="DX70" s="205">
        <f t="shared" si="136"/>
        <v>0</v>
      </c>
      <c r="DY70" s="120"/>
      <c r="DZ70" s="120"/>
      <c r="EA70" s="120"/>
      <c r="EB70" s="120"/>
      <c r="EC70" s="120"/>
      <c r="ED70" s="209"/>
      <c r="EE70" s="205"/>
      <c r="EF70" s="205">
        <f t="shared" si="137"/>
        <v>0</v>
      </c>
      <c r="EG70" s="120"/>
      <c r="EH70" s="120"/>
      <c r="EI70" s="120"/>
      <c r="EJ70" s="205"/>
      <c r="EK70" s="205"/>
      <c r="EL70" s="209"/>
      <c r="EM70" s="205"/>
      <c r="EN70" s="205">
        <f t="shared" si="138"/>
        <v>0</v>
      </c>
      <c r="EO70" s="205">
        <f t="shared" si="151"/>
        <v>0</v>
      </c>
      <c r="EP70" s="120"/>
      <c r="EQ70" s="120"/>
      <c r="ER70" s="120"/>
      <c r="ES70" s="120"/>
      <c r="ET70" s="120"/>
      <c r="EU70" s="209"/>
      <c r="EV70" s="205"/>
      <c r="EW70" s="205">
        <f t="shared" si="139"/>
        <v>0</v>
      </c>
      <c r="EX70" s="120"/>
      <c r="EY70" s="120"/>
      <c r="EZ70" s="120"/>
      <c r="FA70" s="120"/>
      <c r="FB70" s="120"/>
      <c r="FC70" s="209"/>
      <c r="FD70" s="205"/>
      <c r="FE70" s="205">
        <f t="shared" si="140"/>
        <v>0</v>
      </c>
      <c r="FF70" s="120"/>
      <c r="FG70" s="120"/>
      <c r="FI70" s="120" t="s">
        <v>216</v>
      </c>
      <c r="FJ70" s="120"/>
      <c r="FK70" s="209"/>
      <c r="FL70" s="205"/>
      <c r="FM70" s="205">
        <f t="shared" si="141"/>
        <v>0</v>
      </c>
      <c r="FN70" s="120"/>
      <c r="FO70" s="120"/>
      <c r="FP70" s="120"/>
      <c r="FQ70" s="120"/>
      <c r="FR70" s="205"/>
      <c r="FS70" s="209"/>
      <c r="FT70" s="205"/>
      <c r="FU70" s="205">
        <f t="shared" si="142"/>
        <v>0</v>
      </c>
      <c r="FV70" s="205">
        <f t="shared" si="152"/>
        <v>0</v>
      </c>
      <c r="FW70" s="120"/>
      <c r="FX70" s="120"/>
      <c r="FY70" s="123">
        <v>410</v>
      </c>
      <c r="FZ70" s="120"/>
      <c r="GA70" s="120"/>
      <c r="GB70" s="209"/>
      <c r="GC70" s="205"/>
      <c r="GD70" s="205">
        <f t="shared" si="143"/>
        <v>410</v>
      </c>
      <c r="GE70" s="120"/>
      <c r="GF70" s="120"/>
      <c r="GG70" s="120"/>
      <c r="GH70" s="120"/>
      <c r="GI70" s="120"/>
      <c r="GJ70" s="209"/>
      <c r="GK70" s="205"/>
      <c r="GL70" s="205">
        <f t="shared" si="144"/>
        <v>0</v>
      </c>
      <c r="GM70" s="120"/>
      <c r="GN70" s="120"/>
      <c r="GO70" s="120"/>
      <c r="GP70" s="120"/>
      <c r="GQ70" s="120"/>
      <c r="GR70" s="209"/>
      <c r="GS70" s="205"/>
      <c r="GT70" s="205">
        <f t="shared" si="145"/>
        <v>0</v>
      </c>
      <c r="GU70" s="120"/>
      <c r="GV70" s="120"/>
      <c r="GW70" s="120"/>
      <c r="GX70" s="120"/>
      <c r="GY70" s="120"/>
      <c r="GZ70" s="209"/>
      <c r="HA70" s="205"/>
      <c r="HB70" s="205">
        <f t="shared" si="146"/>
        <v>0</v>
      </c>
      <c r="HC70" s="250">
        <v>500</v>
      </c>
      <c r="HD70" s="120"/>
      <c r="HE70" s="120"/>
      <c r="HF70" s="120"/>
      <c r="HG70" s="120"/>
      <c r="HH70" s="209"/>
      <c r="HI70" s="205"/>
      <c r="HJ70" s="205">
        <f t="shared" si="147"/>
        <v>500</v>
      </c>
      <c r="HK70" s="205">
        <f t="shared" si="153"/>
        <v>910</v>
      </c>
      <c r="HL70" s="124"/>
      <c r="HM70" s="120"/>
      <c r="HN70" s="120"/>
      <c r="HO70" s="120"/>
      <c r="HP70" s="120"/>
      <c r="HQ70" s="205"/>
      <c r="HR70" s="205"/>
      <c r="HS70" s="205">
        <f t="shared" si="154"/>
        <v>0</v>
      </c>
      <c r="HT70" s="120"/>
      <c r="HU70" s="120"/>
      <c r="HV70" s="120"/>
      <c r="HW70" s="120"/>
      <c r="HX70" s="120"/>
      <c r="HY70" s="205"/>
      <c r="HZ70" s="205"/>
      <c r="IA70" s="205">
        <f t="shared" si="155"/>
        <v>0</v>
      </c>
      <c r="IB70" s="120"/>
      <c r="IC70" s="120"/>
      <c r="ID70" s="120"/>
      <c r="IE70" s="120"/>
      <c r="IF70" s="120"/>
      <c r="IG70" s="205"/>
      <c r="IH70" s="205"/>
      <c r="II70" s="205">
        <f t="shared" si="156"/>
        <v>0</v>
      </c>
      <c r="IJ70" s="120"/>
      <c r="IK70" s="120"/>
      <c r="IL70" s="120"/>
      <c r="IM70" s="201">
        <v>430</v>
      </c>
      <c r="IN70" s="120"/>
      <c r="IO70" s="205"/>
      <c r="IP70" s="205"/>
      <c r="IQ70" s="205">
        <f t="shared" si="157"/>
        <v>430</v>
      </c>
      <c r="IR70" s="205">
        <f t="shared" si="158"/>
        <v>430</v>
      </c>
      <c r="IS70" s="120"/>
      <c r="IT70" s="123">
        <v>1100</v>
      </c>
      <c r="IU70" s="120"/>
      <c r="IV70" s="120"/>
      <c r="IW70" s="120"/>
      <c r="IX70" s="205"/>
      <c r="IY70" s="205"/>
      <c r="IZ70" s="205">
        <f t="shared" si="159"/>
        <v>1100</v>
      </c>
      <c r="JA70" s="120"/>
      <c r="JB70" s="120"/>
      <c r="JC70" s="120"/>
      <c r="JD70" s="120"/>
      <c r="JE70" s="120"/>
      <c r="JF70" s="205"/>
      <c r="JG70" s="205"/>
      <c r="JH70" s="205">
        <f t="shared" si="160"/>
        <v>0</v>
      </c>
      <c r="JI70" s="120"/>
      <c r="JJ70" s="120"/>
      <c r="JK70" s="120"/>
      <c r="JL70" s="217">
        <v>800</v>
      </c>
      <c r="JM70" s="120"/>
      <c r="JN70" s="205"/>
      <c r="JO70" s="205"/>
      <c r="JP70" s="205">
        <f t="shared" si="161"/>
        <v>800</v>
      </c>
      <c r="JQ70" s="120"/>
      <c r="JR70" s="120"/>
      <c r="JS70" s="120"/>
      <c r="JT70" s="120"/>
      <c r="JU70" s="120"/>
      <c r="JV70" s="205"/>
      <c r="JW70" s="205"/>
      <c r="JX70" s="205">
        <f t="shared" si="162"/>
        <v>0</v>
      </c>
      <c r="JY70" s="205">
        <f t="shared" si="558"/>
        <v>1900</v>
      </c>
      <c r="JZ70" s="120"/>
      <c r="KA70" s="120"/>
      <c r="KB70" s="120"/>
      <c r="KC70" s="120"/>
      <c r="KD70" s="120"/>
      <c r="KE70" s="205"/>
      <c r="KF70" s="205"/>
      <c r="KG70" s="205">
        <f t="shared" si="164"/>
        <v>0</v>
      </c>
      <c r="KH70" s="120"/>
      <c r="KI70" s="120"/>
      <c r="KJ70" s="120"/>
      <c r="KK70" s="120"/>
      <c r="KL70" s="120"/>
      <c r="KM70" s="205"/>
      <c r="KN70" s="205"/>
      <c r="KO70" s="205">
        <f t="shared" si="165"/>
        <v>0</v>
      </c>
      <c r="KP70" s="120"/>
      <c r="KQ70" s="201">
        <v>300</v>
      </c>
      <c r="KR70" s="120"/>
      <c r="KS70" s="120"/>
      <c r="KT70" s="120"/>
      <c r="KU70" s="205"/>
      <c r="KV70" s="205"/>
      <c r="KW70" s="205">
        <f t="shared" si="166"/>
        <v>300</v>
      </c>
      <c r="KX70" s="120"/>
      <c r="KY70" s="120"/>
      <c r="KZ70" s="120"/>
      <c r="LA70" s="120"/>
      <c r="LB70" s="120"/>
      <c r="LC70" s="205"/>
      <c r="LD70" s="205"/>
      <c r="LE70" s="205">
        <f t="shared" si="167"/>
        <v>0</v>
      </c>
      <c r="LF70" s="205"/>
      <c r="LG70" s="120"/>
      <c r="LH70" s="120"/>
      <c r="LI70" s="120"/>
      <c r="LJ70" s="120"/>
      <c r="LK70" s="205"/>
      <c r="LL70" s="205"/>
      <c r="LM70" s="205">
        <f t="shared" si="168"/>
        <v>0</v>
      </c>
      <c r="LN70" s="205">
        <f t="shared" si="169"/>
        <v>300</v>
      </c>
      <c r="LO70" s="205"/>
      <c r="LP70" s="120"/>
      <c r="LQ70" s="120"/>
      <c r="LR70" s="120"/>
      <c r="LS70" s="205"/>
      <c r="LT70" s="205"/>
      <c r="LU70" s="205"/>
      <c r="LV70" s="205">
        <f t="shared" si="170"/>
        <v>0</v>
      </c>
      <c r="LW70" s="195">
        <v>400</v>
      </c>
      <c r="LX70" s="120"/>
      <c r="LY70" s="124">
        <v>80</v>
      </c>
      <c r="LZ70" s="120"/>
      <c r="MA70" s="120"/>
      <c r="MB70" s="205"/>
      <c r="MC70" s="205"/>
      <c r="MD70" s="205">
        <f t="shared" si="171"/>
        <v>480</v>
      </c>
      <c r="ME70" s="120"/>
      <c r="MF70" s="120"/>
      <c r="MG70" s="201">
        <v>400</v>
      </c>
      <c r="MH70" s="120"/>
      <c r="MI70" s="205"/>
      <c r="MJ70" s="205"/>
      <c r="MK70" s="205"/>
      <c r="ML70" s="205">
        <f t="shared" si="172"/>
        <v>400</v>
      </c>
      <c r="MM70" s="120"/>
      <c r="MN70" s="120"/>
      <c r="MO70" s="120"/>
      <c r="MP70" s="120"/>
      <c r="MQ70" s="120"/>
      <c r="MR70" s="205"/>
      <c r="MS70" s="205"/>
      <c r="MT70" s="205">
        <f t="shared" si="173"/>
        <v>0</v>
      </c>
      <c r="MU70" s="205">
        <f t="shared" si="174"/>
        <v>880</v>
      </c>
      <c r="MV70" s="120"/>
      <c r="MW70" s="120"/>
      <c r="MX70" s="120"/>
      <c r="MY70" s="120"/>
      <c r="MZ70" s="120"/>
      <c r="NA70" s="205"/>
      <c r="NB70" s="205"/>
      <c r="NC70" s="205">
        <f t="shared" si="175"/>
        <v>0</v>
      </c>
      <c r="ND70" s="120"/>
      <c r="NE70" s="120"/>
      <c r="NF70" s="124">
        <v>500</v>
      </c>
      <c r="NG70" s="120"/>
      <c r="NH70" s="120"/>
      <c r="NI70" s="205"/>
      <c r="NJ70" s="205"/>
      <c r="NK70" s="205">
        <f t="shared" si="176"/>
        <v>500</v>
      </c>
      <c r="NL70" s="120"/>
      <c r="NM70" s="120"/>
      <c r="NN70" s="120"/>
      <c r="NO70" s="120"/>
      <c r="NP70" s="120"/>
      <c r="NQ70" s="205"/>
      <c r="NR70" s="205"/>
      <c r="NS70" s="205">
        <f t="shared" si="177"/>
        <v>0</v>
      </c>
      <c r="NT70" s="217">
        <v>500</v>
      </c>
      <c r="NU70" s="120"/>
      <c r="NV70" s="120"/>
      <c r="NW70" s="120"/>
      <c r="NX70" s="120"/>
      <c r="NY70" s="205"/>
      <c r="NZ70" s="205"/>
      <c r="OA70" s="205">
        <f t="shared" si="178"/>
        <v>500</v>
      </c>
      <c r="OB70" s="205">
        <f t="shared" si="179"/>
        <v>1000</v>
      </c>
      <c r="OC70" s="120"/>
      <c r="OD70" s="120"/>
      <c r="OE70" s="120"/>
      <c r="OF70" s="120"/>
      <c r="OG70" s="120"/>
      <c r="OH70" s="205"/>
      <c r="OI70" s="205"/>
      <c r="OJ70" s="205">
        <f t="shared" si="180"/>
        <v>0</v>
      </c>
      <c r="OK70" s="120"/>
      <c r="OL70" s="120"/>
      <c r="OM70" s="120"/>
      <c r="ON70" s="195">
        <v>500</v>
      </c>
      <c r="OO70" s="120"/>
      <c r="OP70" s="205"/>
      <c r="OQ70" s="205"/>
      <c r="OR70" s="205">
        <f t="shared" si="181"/>
        <v>500</v>
      </c>
      <c r="OS70" s="120"/>
      <c r="OT70" s="120"/>
      <c r="OU70" s="120"/>
      <c r="OV70" s="120"/>
      <c r="OW70" s="120"/>
      <c r="OX70" s="205"/>
      <c r="OY70" s="205"/>
      <c r="OZ70" s="205">
        <f t="shared" si="182"/>
        <v>0</v>
      </c>
      <c r="PB70" s="120"/>
      <c r="PC70" s="201">
        <v>800</v>
      </c>
      <c r="PD70" s="205"/>
      <c r="PE70" s="217"/>
      <c r="PF70" s="205"/>
      <c r="PG70" s="205"/>
      <c r="PH70" s="205">
        <f>SUM(PB70:PG70)</f>
        <v>800</v>
      </c>
      <c r="PI70" s="120"/>
      <c r="PJ70" s="120"/>
      <c r="PK70" s="120"/>
      <c r="PL70" s="205"/>
      <c r="PM70" s="217"/>
      <c r="PN70" s="205"/>
      <c r="PO70" s="205"/>
      <c r="PP70" s="205">
        <f t="shared" si="184"/>
        <v>0</v>
      </c>
      <c r="PQ70" s="205">
        <f t="shared" si="185"/>
        <v>1300</v>
      </c>
      <c r="PR70" s="207"/>
      <c r="PS70" s="207"/>
      <c r="PT70" s="207"/>
      <c r="PU70" s="207"/>
      <c r="PV70" s="207"/>
      <c r="PW70" s="272"/>
      <c r="PX70" s="272"/>
      <c r="PY70" s="205">
        <f t="shared" si="559"/>
        <v>0</v>
      </c>
      <c r="PZ70" s="207"/>
      <c r="QA70" s="207"/>
      <c r="QB70" s="207"/>
      <c r="QC70" s="207"/>
      <c r="QD70" s="207"/>
      <c r="QE70" s="272"/>
      <c r="QF70" s="272"/>
      <c r="QG70" s="205">
        <f t="shared" si="560"/>
        <v>0</v>
      </c>
      <c r="QH70" s="207"/>
      <c r="QI70" s="207"/>
      <c r="QJ70" s="294"/>
      <c r="QK70" s="207"/>
      <c r="QL70" s="207"/>
      <c r="QM70" s="272"/>
      <c r="QN70" s="272"/>
      <c r="QO70" s="205">
        <f t="shared" si="561"/>
        <v>0</v>
      </c>
      <c r="QP70" s="207"/>
      <c r="QQ70" s="207"/>
      <c r="QR70" s="207"/>
      <c r="QS70" s="207"/>
      <c r="QT70" s="207"/>
      <c r="QU70" s="272"/>
      <c r="QV70" s="272"/>
      <c r="QW70" s="205">
        <f t="shared" si="320"/>
        <v>0</v>
      </c>
      <c r="QX70" s="205">
        <f t="shared" si="562"/>
        <v>0</v>
      </c>
      <c r="QY70" s="207"/>
      <c r="QZ70" s="207"/>
      <c r="RA70" s="207"/>
      <c r="RB70" s="207"/>
      <c r="RC70" s="207"/>
      <c r="RD70" s="272"/>
      <c r="RE70" s="272"/>
      <c r="RF70" s="205">
        <f t="shared" si="563"/>
        <v>0</v>
      </c>
      <c r="RG70" s="207"/>
      <c r="RH70" s="207"/>
      <c r="RI70" s="207"/>
      <c r="RJ70" s="207"/>
      <c r="RK70" s="207"/>
      <c r="RL70" s="272"/>
      <c r="RM70" s="272"/>
      <c r="RN70" s="205">
        <f t="shared" si="530"/>
        <v>0</v>
      </c>
      <c r="RO70" s="272"/>
      <c r="RP70" s="272"/>
      <c r="RQ70" s="272"/>
      <c r="RR70" s="272"/>
      <c r="RS70" s="272"/>
      <c r="RT70" s="272"/>
      <c r="RU70" s="272"/>
      <c r="RV70" s="205">
        <f t="shared" si="564"/>
        <v>0</v>
      </c>
      <c r="RW70" s="207"/>
      <c r="RX70" s="217">
        <v>380</v>
      </c>
      <c r="RY70" s="207"/>
      <c r="RZ70" s="207"/>
      <c r="SA70" s="272"/>
      <c r="SB70" s="272"/>
      <c r="SC70" s="272"/>
      <c r="SD70" s="205">
        <f t="shared" si="565"/>
        <v>380</v>
      </c>
      <c r="SE70" s="205">
        <f t="shared" si="566"/>
        <v>380</v>
      </c>
      <c r="SF70" s="207"/>
      <c r="SG70" s="207"/>
      <c r="SH70" s="207"/>
      <c r="SI70" s="207"/>
      <c r="SJ70" s="207"/>
      <c r="SK70" s="272"/>
      <c r="SL70" s="272"/>
      <c r="SM70" s="205">
        <f t="shared" si="567"/>
        <v>0</v>
      </c>
      <c r="SN70" s="207"/>
      <c r="SO70" s="207"/>
      <c r="SP70" s="207"/>
      <c r="SQ70" s="207"/>
      <c r="SR70" s="207"/>
      <c r="SS70" s="272"/>
      <c r="ST70" s="272"/>
      <c r="SU70" s="205">
        <f t="shared" si="568"/>
        <v>0</v>
      </c>
      <c r="SV70" s="207"/>
      <c r="SW70" s="207"/>
      <c r="SX70" s="207"/>
      <c r="SY70" s="207"/>
      <c r="SZ70" s="207"/>
      <c r="TA70" s="272"/>
      <c r="TB70" s="272"/>
      <c r="TC70" s="205">
        <f t="shared" si="569"/>
        <v>0</v>
      </c>
      <c r="TD70" s="207"/>
      <c r="TE70" s="207"/>
      <c r="TF70" s="207"/>
      <c r="TG70" s="207"/>
      <c r="TH70" s="207"/>
      <c r="TI70" s="272"/>
      <c r="TJ70" s="272"/>
      <c r="TK70" s="205">
        <f t="shared" si="570"/>
        <v>0</v>
      </c>
      <c r="TL70" s="195">
        <v>410</v>
      </c>
      <c r="TM70" s="207"/>
      <c r="TN70" s="207"/>
      <c r="TO70" s="207"/>
      <c r="TP70" s="272"/>
      <c r="TQ70" s="272"/>
      <c r="TR70" s="272"/>
      <c r="TS70" s="205">
        <f t="shared" si="571"/>
        <v>410</v>
      </c>
      <c r="TT70" s="205">
        <f t="shared" si="572"/>
        <v>410</v>
      </c>
      <c r="TU70" s="272"/>
      <c r="TV70" s="207"/>
      <c r="TW70" s="207"/>
      <c r="TX70" s="207"/>
      <c r="TY70" s="207"/>
      <c r="TZ70" s="272"/>
      <c r="UA70" s="272"/>
      <c r="UB70" s="205">
        <f t="shared" si="573"/>
        <v>0</v>
      </c>
      <c r="UC70" s="207"/>
      <c r="UD70" s="207"/>
      <c r="UE70" s="207"/>
      <c r="UF70" s="207"/>
      <c r="UG70" s="207"/>
      <c r="UH70" s="272"/>
      <c r="UI70" s="272"/>
      <c r="UJ70" s="205">
        <f t="shared" si="574"/>
        <v>0</v>
      </c>
      <c r="UK70" s="207"/>
      <c r="UL70" s="217">
        <v>500</v>
      </c>
      <c r="UM70" s="207"/>
      <c r="UN70" s="207"/>
      <c r="UO70" s="207"/>
      <c r="UP70" s="272"/>
      <c r="UQ70" s="272"/>
      <c r="UR70" s="205">
        <f t="shared" si="575"/>
        <v>500</v>
      </c>
      <c r="US70" s="207"/>
      <c r="UT70" s="207"/>
      <c r="UU70" s="207"/>
      <c r="UV70" s="207"/>
      <c r="UW70" s="272"/>
      <c r="UX70" s="272"/>
      <c r="UY70" s="272"/>
      <c r="UZ70" s="205">
        <f t="shared" si="576"/>
        <v>0</v>
      </c>
      <c r="VA70" s="205">
        <f t="shared" si="577"/>
        <v>500</v>
      </c>
      <c r="VB70" s="207"/>
      <c r="VC70" s="207"/>
      <c r="VD70" s="201">
        <v>220</v>
      </c>
      <c r="VE70" s="207"/>
      <c r="VF70" s="207"/>
      <c r="VG70" s="272"/>
      <c r="VH70" s="272"/>
      <c r="VI70" s="205">
        <f t="shared" si="578"/>
        <v>220</v>
      </c>
      <c r="VJ70" s="207"/>
      <c r="VK70" s="207"/>
      <c r="VL70" s="207"/>
      <c r="VM70" s="207"/>
      <c r="VN70" s="207"/>
      <c r="VO70" s="272"/>
      <c r="VP70" s="272"/>
      <c r="VQ70" s="205">
        <f t="shared" si="579"/>
        <v>0</v>
      </c>
      <c r="VR70" s="207"/>
      <c r="VS70" s="207"/>
      <c r="VT70" s="207"/>
      <c r="VU70" s="207"/>
      <c r="VV70" s="207"/>
      <c r="VW70" s="272"/>
      <c r="VX70" s="272"/>
      <c r="VY70" s="205">
        <f t="shared" si="580"/>
        <v>0</v>
      </c>
      <c r="VZ70" s="207"/>
      <c r="WA70" s="207"/>
      <c r="WB70" s="207"/>
      <c r="WC70" s="207"/>
      <c r="WD70" s="207"/>
      <c r="WE70" s="272"/>
      <c r="WF70" s="272"/>
      <c r="WG70" s="205">
        <f t="shared" si="581"/>
        <v>0</v>
      </c>
      <c r="WH70" s="205">
        <f t="shared" si="582"/>
        <v>220</v>
      </c>
      <c r="WI70" s="207"/>
      <c r="WJ70" s="124">
        <v>480</v>
      </c>
      <c r="WK70" s="207"/>
      <c r="WL70" s="207"/>
      <c r="WM70" s="207"/>
      <c r="WN70" s="272"/>
      <c r="WO70" s="272"/>
      <c r="WP70" s="205">
        <f t="shared" si="583"/>
        <v>480</v>
      </c>
      <c r="WQ70" s="207"/>
      <c r="WR70" s="207"/>
      <c r="WS70" s="207"/>
      <c r="WT70" s="207"/>
      <c r="WU70" s="207"/>
      <c r="WV70" s="272"/>
      <c r="WW70" s="272"/>
      <c r="WX70" s="205">
        <f t="shared" si="531"/>
        <v>0</v>
      </c>
      <c r="WY70" s="207"/>
      <c r="WZ70" s="207"/>
      <c r="XA70" s="207"/>
      <c r="XB70" s="207"/>
      <c r="XC70" s="272"/>
      <c r="XD70" s="272"/>
      <c r="XE70" s="272"/>
      <c r="XF70" s="205">
        <f t="shared" si="584"/>
        <v>0</v>
      </c>
      <c r="XG70" s="207"/>
      <c r="XH70" s="207"/>
      <c r="XI70" s="207"/>
      <c r="XJ70" s="207"/>
      <c r="XK70" s="207"/>
      <c r="XL70" s="272"/>
      <c r="XM70" s="272"/>
      <c r="XN70" s="205">
        <f t="shared" si="585"/>
        <v>0</v>
      </c>
      <c r="XO70" s="207"/>
      <c r="XP70" s="207"/>
      <c r="XQ70" s="207"/>
      <c r="XR70" s="207"/>
      <c r="XS70" s="207"/>
      <c r="XT70" s="272"/>
      <c r="XU70" s="272"/>
      <c r="XV70" s="205">
        <f t="shared" si="586"/>
        <v>0</v>
      </c>
      <c r="XW70" s="205">
        <f t="shared" si="587"/>
        <v>480</v>
      </c>
      <c r="XX70" s="207"/>
      <c r="XY70" s="207"/>
      <c r="XZ70" s="207"/>
      <c r="YA70" s="207"/>
      <c r="YB70" s="207"/>
      <c r="YC70" s="272"/>
      <c r="YD70" s="272"/>
      <c r="YE70" s="205">
        <f t="shared" si="588"/>
        <v>0</v>
      </c>
      <c r="YF70" s="207"/>
      <c r="YG70" s="124">
        <v>330</v>
      </c>
      <c r="YH70" s="207"/>
      <c r="YI70" s="207"/>
      <c r="YJ70" s="207"/>
      <c r="YK70" s="272"/>
      <c r="YL70" s="272"/>
      <c r="YM70" s="205">
        <f t="shared" si="589"/>
        <v>330</v>
      </c>
      <c r="YN70" s="207"/>
      <c r="YO70" s="207"/>
      <c r="YP70" s="207"/>
      <c r="YQ70" s="207"/>
      <c r="YR70" s="207"/>
      <c r="YS70" s="272"/>
      <c r="YT70" s="272"/>
      <c r="YU70" s="205">
        <f t="shared" si="544"/>
        <v>0</v>
      </c>
      <c r="YV70" s="207"/>
      <c r="YW70" s="207"/>
      <c r="YX70" s="207"/>
      <c r="YY70" s="207"/>
      <c r="YZ70" s="207"/>
      <c r="ZA70" s="272"/>
      <c r="ZB70" s="272"/>
      <c r="ZC70" s="205">
        <f t="shared" si="590"/>
        <v>0</v>
      </c>
      <c r="ZD70" s="205">
        <f t="shared" si="516"/>
        <v>330</v>
      </c>
      <c r="ZE70" s="207"/>
      <c r="ZF70" s="207"/>
      <c r="ZG70" s="207"/>
      <c r="ZH70" s="207"/>
      <c r="ZI70" s="207"/>
      <c r="ZJ70" s="272"/>
      <c r="ZK70" s="272"/>
      <c r="ZL70" s="205">
        <f t="shared" si="591"/>
        <v>0</v>
      </c>
      <c r="ZM70" s="207"/>
      <c r="ZN70" s="207"/>
      <c r="ZO70" s="207"/>
      <c r="ZP70" s="207"/>
      <c r="ZQ70" s="207"/>
      <c r="ZR70" s="272"/>
      <c r="ZS70" s="272"/>
      <c r="ZT70" s="205">
        <f t="shared" si="592"/>
        <v>0</v>
      </c>
      <c r="ZU70" s="207"/>
      <c r="ZV70" s="207"/>
      <c r="ZW70" s="207"/>
      <c r="ZX70" s="207"/>
      <c r="ZY70" s="207"/>
      <c r="ZZ70" s="272"/>
      <c r="AAA70" s="272"/>
      <c r="AAB70" s="205">
        <f t="shared" si="593"/>
        <v>0</v>
      </c>
      <c r="AAC70" s="207"/>
      <c r="AAD70" s="207"/>
      <c r="AAE70" s="207"/>
      <c r="AAF70" s="207"/>
      <c r="AAG70" s="207"/>
      <c r="AAH70" s="272"/>
      <c r="AAI70" s="272"/>
      <c r="AAJ70" s="205">
        <f t="shared" si="594"/>
        <v>0</v>
      </c>
      <c r="AAK70" s="207"/>
      <c r="AAL70" s="207"/>
      <c r="AAM70" s="207"/>
      <c r="AAN70" s="207"/>
      <c r="AAO70" s="207"/>
      <c r="AAP70" s="272"/>
      <c r="AAQ70" s="272"/>
      <c r="AAR70" s="205">
        <f t="shared" si="595"/>
        <v>0</v>
      </c>
      <c r="AAS70" s="205">
        <f t="shared" si="596"/>
        <v>0</v>
      </c>
    </row>
    <row r="71" spans="1:721" ht="69" hidden="1" customHeight="1">
      <c r="B71" s="164">
        <v>3630101802</v>
      </c>
      <c r="C71" s="331"/>
      <c r="D71" s="191" t="s">
        <v>776</v>
      </c>
      <c r="E71" s="130" t="s">
        <v>4</v>
      </c>
      <c r="F71" s="120"/>
      <c r="G71" s="120"/>
      <c r="H71" s="120"/>
      <c r="I71" s="120"/>
      <c r="J71" s="120"/>
      <c r="K71" s="209"/>
      <c r="L71" s="205"/>
      <c r="M71" s="205">
        <f t="shared" ref="M71:M72" si="597">SUM(F71:L71)</f>
        <v>0</v>
      </c>
      <c r="N71" s="120"/>
      <c r="O71" s="120"/>
      <c r="P71" s="120"/>
      <c r="Q71" s="120"/>
      <c r="R71" s="120"/>
      <c r="S71" s="209"/>
      <c r="T71" s="205"/>
      <c r="U71" s="205">
        <f t="shared" ref="U71:U72" si="598">SUM(N71:T71)</f>
        <v>0</v>
      </c>
      <c r="V71" s="120"/>
      <c r="W71" s="120"/>
      <c r="X71" s="120"/>
      <c r="Y71" s="120"/>
      <c r="Z71" s="120"/>
      <c r="AA71" s="209"/>
      <c r="AB71" s="205"/>
      <c r="AC71" s="205">
        <f t="shared" ref="AC71:AC72" si="599">SUM(V71:AB71)</f>
        <v>0</v>
      </c>
      <c r="AD71" s="205"/>
      <c r="AE71" s="205"/>
      <c r="AF71" s="205"/>
      <c r="AG71" s="205"/>
      <c r="AH71" s="205"/>
      <c r="AI71" s="209"/>
      <c r="AJ71" s="205"/>
      <c r="AK71" s="205">
        <f t="shared" ref="AK71:AK72" si="600">SUM(AD71:AJ71)</f>
        <v>0</v>
      </c>
      <c r="AL71" s="205" t="e">
        <f>SUM(#REF!,M71,U71,AC71,AD71:AH71)</f>
        <v>#REF!</v>
      </c>
      <c r="AM71" s="120"/>
      <c r="AN71" s="120"/>
      <c r="AO71" s="120"/>
      <c r="AP71" s="120"/>
      <c r="AQ71" s="120"/>
      <c r="AR71" s="209"/>
      <c r="AS71" s="205"/>
      <c r="AT71" s="205">
        <f t="shared" ref="AT71:AT72" si="601">SUM(AM71:AS71)</f>
        <v>0</v>
      </c>
      <c r="AU71" s="120"/>
      <c r="AV71" s="120"/>
      <c r="AW71" s="120"/>
      <c r="AX71" s="120"/>
      <c r="AY71" s="120"/>
      <c r="AZ71" s="209"/>
      <c r="BA71" s="205"/>
      <c r="BB71" s="205">
        <f t="shared" ref="BB71:BB72" si="602">SUM(AU71:BA71)</f>
        <v>0</v>
      </c>
      <c r="BC71" s="120"/>
      <c r="BD71" s="120"/>
      <c r="BE71" s="120"/>
      <c r="BF71" s="120"/>
      <c r="BG71" s="120"/>
      <c r="BH71" s="209"/>
      <c r="BI71" s="205"/>
      <c r="BJ71" s="205">
        <f t="shared" ref="BJ71:BJ72" si="603">SUM(BC71:BI71)</f>
        <v>0</v>
      </c>
      <c r="BK71" s="120"/>
      <c r="BL71" s="120"/>
      <c r="BM71" s="120"/>
      <c r="BN71" s="120"/>
      <c r="BO71" s="205"/>
      <c r="BP71" s="209"/>
      <c r="BQ71" s="205"/>
      <c r="BR71" s="205">
        <f t="shared" si="248"/>
        <v>0</v>
      </c>
      <c r="BS71" s="205">
        <f t="shared" si="129"/>
        <v>0</v>
      </c>
      <c r="BT71" s="120"/>
      <c r="BU71" s="120"/>
      <c r="BV71" s="120"/>
      <c r="BW71" s="120"/>
      <c r="BX71" s="120"/>
      <c r="BY71" s="209"/>
      <c r="BZ71" s="205"/>
      <c r="CA71" s="205">
        <f t="shared" ref="CA71:CA72" si="604">SUM(BT71:BZ71)</f>
        <v>0</v>
      </c>
      <c r="CB71" s="120"/>
      <c r="CC71" s="120"/>
      <c r="CD71" s="120"/>
      <c r="CE71" s="120"/>
      <c r="CF71" s="120"/>
      <c r="CG71" s="209"/>
      <c r="CH71" s="205"/>
      <c r="CI71" s="205">
        <f t="shared" ref="CI71:CI72" si="605">SUM(CB71:CH71)</f>
        <v>0</v>
      </c>
      <c r="CJ71" s="120"/>
      <c r="CK71" s="120"/>
      <c r="CL71" s="120"/>
      <c r="CM71" s="120"/>
      <c r="CN71" s="120"/>
      <c r="CO71" s="209"/>
      <c r="CP71" s="205"/>
      <c r="CQ71" s="205">
        <f t="shared" ref="CQ71:CQ72" si="606">SUM(CJ71:CP71)</f>
        <v>0</v>
      </c>
      <c r="CR71" s="120"/>
      <c r="CS71" s="120"/>
      <c r="CT71" s="120"/>
      <c r="CU71" s="120"/>
      <c r="CV71" s="120"/>
      <c r="CW71" s="209"/>
      <c r="CX71" s="205"/>
      <c r="CY71" s="205">
        <f t="shared" ref="CY71:CY72" si="607">SUM(CR71:CX71)</f>
        <v>0</v>
      </c>
      <c r="CZ71" s="120"/>
      <c r="DA71" s="120"/>
      <c r="DB71" s="120"/>
      <c r="DC71" s="205"/>
      <c r="DD71" s="205"/>
      <c r="DE71" s="209"/>
      <c r="DF71" s="205"/>
      <c r="DG71" s="205">
        <f t="shared" ref="DG71:DG72" si="608">SUM(CZ71:DF71)</f>
        <v>0</v>
      </c>
      <c r="DH71" s="205">
        <f t="shared" si="150"/>
        <v>0</v>
      </c>
      <c r="DI71" s="120"/>
      <c r="DJ71" s="120"/>
      <c r="DK71" s="120"/>
      <c r="DL71" s="120"/>
      <c r="DM71" s="120"/>
      <c r="DN71" s="209"/>
      <c r="DO71" s="205"/>
      <c r="DP71" s="205">
        <f t="shared" si="228"/>
        <v>0</v>
      </c>
      <c r="DQ71" s="120"/>
      <c r="DR71" s="120"/>
      <c r="DS71" s="120"/>
      <c r="DT71" s="120"/>
      <c r="DU71" s="120"/>
      <c r="DV71" s="209"/>
      <c r="DW71" s="205"/>
      <c r="DX71" s="205">
        <f t="shared" si="136"/>
        <v>0</v>
      </c>
      <c r="DY71" s="120"/>
      <c r="DZ71" s="120"/>
      <c r="EA71" s="120"/>
      <c r="EB71" s="120"/>
      <c r="EC71" s="120"/>
      <c r="ED71" s="209"/>
      <c r="EE71" s="205"/>
      <c r="EF71" s="205">
        <f t="shared" si="137"/>
        <v>0</v>
      </c>
      <c r="EG71" s="120"/>
      <c r="EH71" s="120"/>
      <c r="EI71" s="120"/>
      <c r="EJ71" s="205"/>
      <c r="EK71" s="205"/>
      <c r="EL71" s="209"/>
      <c r="EM71" s="205"/>
      <c r="EN71" s="205">
        <f t="shared" si="138"/>
        <v>0</v>
      </c>
      <c r="EO71" s="205">
        <f t="shared" si="151"/>
        <v>0</v>
      </c>
      <c r="EP71" s="120"/>
      <c r="EQ71" s="120"/>
      <c r="ER71" s="120"/>
      <c r="ES71" s="120"/>
      <c r="ET71" s="120"/>
      <c r="EU71" s="209"/>
      <c r="EV71" s="205"/>
      <c r="EW71" s="205">
        <f t="shared" si="139"/>
        <v>0</v>
      </c>
      <c r="EX71" s="120"/>
      <c r="EY71" s="120"/>
      <c r="EZ71" s="120"/>
      <c r="FA71" s="120"/>
      <c r="FB71" s="120"/>
      <c r="FC71" s="209"/>
      <c r="FD71" s="205"/>
      <c r="FE71" s="205">
        <f t="shared" si="140"/>
        <v>0</v>
      </c>
      <c r="FF71" s="120"/>
      <c r="FG71" s="120"/>
      <c r="FH71" s="120"/>
      <c r="FI71" s="120"/>
      <c r="FJ71" s="120"/>
      <c r="FK71" s="209"/>
      <c r="FL71" s="205"/>
      <c r="FM71" s="205">
        <f t="shared" si="141"/>
        <v>0</v>
      </c>
      <c r="FN71" s="120"/>
      <c r="FO71" s="120"/>
      <c r="FP71" s="120"/>
      <c r="FQ71" s="120"/>
      <c r="FR71" s="205"/>
      <c r="FS71" s="209"/>
      <c r="FT71" s="205"/>
      <c r="FU71" s="205">
        <f t="shared" si="142"/>
        <v>0</v>
      </c>
      <c r="FV71" s="205">
        <f t="shared" si="152"/>
        <v>0</v>
      </c>
      <c r="FW71" s="120"/>
      <c r="FX71" s="120"/>
      <c r="FY71" s="120"/>
      <c r="FZ71" s="120"/>
      <c r="GA71" s="120"/>
      <c r="GB71" s="209"/>
      <c r="GC71" s="205"/>
      <c r="GD71" s="205">
        <f t="shared" ref="GD71:GD72" si="609">SUM(FW71:GC71)</f>
        <v>0</v>
      </c>
      <c r="GE71" s="120"/>
      <c r="GF71" s="120"/>
      <c r="GG71" s="120"/>
      <c r="GH71" s="120"/>
      <c r="GI71" s="120"/>
      <c r="GJ71" s="209"/>
      <c r="GK71" s="205"/>
      <c r="GL71" s="205">
        <f t="shared" si="144"/>
        <v>0</v>
      </c>
      <c r="GM71" s="120"/>
      <c r="GN71" s="120"/>
      <c r="GO71" s="120"/>
      <c r="GP71" s="120"/>
      <c r="GQ71" s="120"/>
      <c r="GR71" s="209"/>
      <c r="GS71" s="205"/>
      <c r="GT71" s="205">
        <f t="shared" si="145"/>
        <v>0</v>
      </c>
      <c r="GU71" s="120"/>
      <c r="GV71" s="120"/>
      <c r="GW71" s="120"/>
      <c r="GX71" s="120"/>
      <c r="GY71" s="120"/>
      <c r="GZ71" s="209"/>
      <c r="HA71" s="205"/>
      <c r="HB71" s="205">
        <f t="shared" si="146"/>
        <v>0</v>
      </c>
      <c r="HC71" s="120"/>
      <c r="HD71" s="120"/>
      <c r="HE71" s="120"/>
      <c r="HF71" s="120"/>
      <c r="HG71" s="120"/>
      <c r="HH71" s="209"/>
      <c r="HI71" s="205"/>
      <c r="HJ71" s="205">
        <f t="shared" si="147"/>
        <v>0</v>
      </c>
      <c r="HK71" s="205">
        <f t="shared" si="153"/>
        <v>0</v>
      </c>
      <c r="HL71" s="124"/>
      <c r="HM71" s="120"/>
      <c r="HN71" s="120"/>
      <c r="HO71" s="120"/>
      <c r="HP71" s="120"/>
      <c r="HQ71" s="205"/>
      <c r="HR71" s="205"/>
      <c r="HS71" s="205">
        <f t="shared" si="154"/>
        <v>0</v>
      </c>
      <c r="HT71" s="120"/>
      <c r="HU71" s="120"/>
      <c r="HV71" s="120"/>
      <c r="HW71" s="120"/>
      <c r="HX71" s="120"/>
      <c r="HY71" s="205"/>
      <c r="HZ71" s="205"/>
      <c r="IA71" s="205">
        <f t="shared" si="155"/>
        <v>0</v>
      </c>
      <c r="IB71" s="120"/>
      <c r="IC71" s="120"/>
      <c r="ID71" s="120"/>
      <c r="IE71" s="120"/>
      <c r="IF71" s="120"/>
      <c r="IG71" s="205"/>
      <c r="IH71" s="205"/>
      <c r="II71" s="205">
        <f t="shared" si="156"/>
        <v>0</v>
      </c>
      <c r="IJ71" s="120"/>
      <c r="IK71" s="120"/>
      <c r="IL71" s="120"/>
      <c r="IM71" s="120"/>
      <c r="IN71" s="120"/>
      <c r="IO71" s="205"/>
      <c r="IP71" s="205"/>
      <c r="IQ71" s="205">
        <f t="shared" si="157"/>
        <v>0</v>
      </c>
      <c r="IR71" s="205">
        <f t="shared" si="158"/>
        <v>0</v>
      </c>
      <c r="IS71" s="120"/>
      <c r="IT71" s="120"/>
      <c r="IU71" s="120"/>
      <c r="IV71" s="120"/>
      <c r="IW71" s="120"/>
      <c r="IX71" s="205"/>
      <c r="IY71" s="205"/>
      <c r="IZ71" s="205">
        <f t="shared" si="159"/>
        <v>0</v>
      </c>
      <c r="JA71" s="120"/>
      <c r="JB71" s="120"/>
      <c r="JC71" s="120"/>
      <c r="JD71" s="120"/>
      <c r="JE71" s="120"/>
      <c r="JF71" s="205"/>
      <c r="JG71" s="205"/>
      <c r="JH71" s="205">
        <f t="shared" si="160"/>
        <v>0</v>
      </c>
      <c r="JI71" s="120"/>
      <c r="JJ71" s="120"/>
      <c r="JK71" s="120"/>
      <c r="JL71" s="120"/>
      <c r="JM71" s="120"/>
      <c r="JN71" s="205"/>
      <c r="JO71" s="205"/>
      <c r="JP71" s="205">
        <f t="shared" si="161"/>
        <v>0</v>
      </c>
      <c r="JQ71" s="120"/>
      <c r="JR71" s="120"/>
      <c r="JS71" s="120"/>
      <c r="JT71" s="120"/>
      <c r="JU71" s="120"/>
      <c r="JV71" s="205"/>
      <c r="JW71" s="205"/>
      <c r="JX71" s="205">
        <f t="shared" si="162"/>
        <v>0</v>
      </c>
      <c r="JY71" s="205">
        <f t="shared" si="558"/>
        <v>0</v>
      </c>
      <c r="JZ71" s="120"/>
      <c r="KA71" s="120"/>
      <c r="KB71" s="120"/>
      <c r="KC71" s="120"/>
      <c r="KD71" s="120"/>
      <c r="KE71" s="205"/>
      <c r="KF71" s="205"/>
      <c r="KG71" s="205">
        <f t="shared" si="164"/>
        <v>0</v>
      </c>
      <c r="KH71" s="120"/>
      <c r="KI71" s="120"/>
      <c r="KJ71" s="120"/>
      <c r="KK71" s="120"/>
      <c r="KL71" s="120"/>
      <c r="KM71" s="205"/>
      <c r="KN71" s="205"/>
      <c r="KO71" s="205">
        <f t="shared" si="165"/>
        <v>0</v>
      </c>
      <c r="KP71" s="120"/>
      <c r="KQ71" s="120"/>
      <c r="KR71" s="120"/>
      <c r="KS71" s="120"/>
      <c r="KT71" s="120"/>
      <c r="KU71" s="205"/>
      <c r="KV71" s="205"/>
      <c r="KW71" s="205">
        <f t="shared" si="166"/>
        <v>0</v>
      </c>
      <c r="KX71" s="120"/>
      <c r="KY71" s="120"/>
      <c r="KZ71" s="120"/>
      <c r="LA71" s="120"/>
      <c r="LB71" s="120"/>
      <c r="LC71" s="205"/>
      <c r="LD71" s="205"/>
      <c r="LE71" s="205">
        <f t="shared" si="167"/>
        <v>0</v>
      </c>
      <c r="LF71" s="205"/>
      <c r="LG71" s="120"/>
      <c r="LH71" s="120"/>
      <c r="LI71" s="120"/>
      <c r="LJ71" s="120"/>
      <c r="LK71" s="205"/>
      <c r="LL71" s="205"/>
      <c r="LM71" s="205">
        <f t="shared" si="168"/>
        <v>0</v>
      </c>
      <c r="LN71" s="205">
        <f t="shared" si="169"/>
        <v>0</v>
      </c>
      <c r="LO71" s="205"/>
      <c r="LP71" s="120"/>
      <c r="LQ71" s="120"/>
      <c r="LR71" s="120"/>
      <c r="LS71" s="205"/>
      <c r="LT71" s="205"/>
      <c r="LU71" s="205"/>
      <c r="LV71" s="205">
        <f t="shared" si="170"/>
        <v>0</v>
      </c>
      <c r="LW71" s="120"/>
      <c r="LX71" s="120"/>
      <c r="LY71" s="120"/>
      <c r="LZ71" s="120"/>
      <c r="MA71" s="120"/>
      <c r="MB71" s="205"/>
      <c r="MC71" s="205"/>
      <c r="MD71" s="205">
        <f t="shared" si="171"/>
        <v>0</v>
      </c>
      <c r="ME71" s="120"/>
      <c r="MF71" s="120"/>
      <c r="MG71" s="120"/>
      <c r="MH71" s="120"/>
      <c r="MI71" s="205"/>
      <c r="MJ71" s="205"/>
      <c r="MK71" s="205"/>
      <c r="ML71" s="205">
        <f t="shared" si="172"/>
        <v>0</v>
      </c>
      <c r="MM71" s="120"/>
      <c r="MN71" s="120"/>
      <c r="MO71" s="120"/>
      <c r="MP71" s="120"/>
      <c r="MQ71" s="120"/>
      <c r="MR71" s="205"/>
      <c r="MS71" s="205"/>
      <c r="MT71" s="205">
        <f t="shared" si="173"/>
        <v>0</v>
      </c>
      <c r="MU71" s="205">
        <f t="shared" si="174"/>
        <v>0</v>
      </c>
      <c r="MV71" s="120"/>
      <c r="MW71" s="120"/>
      <c r="MX71" s="120"/>
      <c r="MY71" s="120"/>
      <c r="MZ71" s="120"/>
      <c r="NA71" s="205"/>
      <c r="NB71" s="205"/>
      <c r="NC71" s="205">
        <f t="shared" si="175"/>
        <v>0</v>
      </c>
      <c r="ND71" s="120"/>
      <c r="NE71" s="120"/>
      <c r="NF71" s="120"/>
      <c r="NG71" s="120"/>
      <c r="NH71" s="120"/>
      <c r="NI71" s="205"/>
      <c r="NJ71" s="205"/>
      <c r="NK71" s="205">
        <f t="shared" si="176"/>
        <v>0</v>
      </c>
      <c r="NL71" s="120"/>
      <c r="NM71" s="120"/>
      <c r="NN71" s="120"/>
      <c r="NO71" s="120"/>
      <c r="NP71" s="120"/>
      <c r="NQ71" s="205"/>
      <c r="NR71" s="205"/>
      <c r="NS71" s="205">
        <f t="shared" si="177"/>
        <v>0</v>
      </c>
      <c r="NT71" s="120"/>
      <c r="NU71" s="120"/>
      <c r="NV71" s="120"/>
      <c r="NW71" s="120"/>
      <c r="NX71" s="120"/>
      <c r="NY71" s="205"/>
      <c r="NZ71" s="205"/>
      <c r="OA71" s="205">
        <f t="shared" si="178"/>
        <v>0</v>
      </c>
      <c r="OB71" s="205">
        <f t="shared" si="179"/>
        <v>0</v>
      </c>
      <c r="OC71" s="120"/>
      <c r="OD71" s="120"/>
      <c r="OE71" s="120"/>
      <c r="OF71" s="120"/>
      <c r="OG71" s="120"/>
      <c r="OH71" s="205"/>
      <c r="OI71" s="205"/>
      <c r="OJ71" s="205">
        <f t="shared" si="180"/>
        <v>0</v>
      </c>
      <c r="OK71" s="120"/>
      <c r="OL71" s="120"/>
      <c r="OM71" s="120"/>
      <c r="ON71" s="120"/>
      <c r="OO71" s="120"/>
      <c r="OP71" s="205"/>
      <c r="OQ71" s="205"/>
      <c r="OR71" s="205">
        <f t="shared" si="181"/>
        <v>0</v>
      </c>
      <c r="OS71" s="120"/>
      <c r="OT71" s="120"/>
      <c r="OU71" s="120"/>
      <c r="OV71" s="120"/>
      <c r="OW71" s="120"/>
      <c r="OX71" s="205"/>
      <c r="OY71" s="205"/>
      <c r="OZ71" s="205">
        <f t="shared" si="182"/>
        <v>0</v>
      </c>
      <c r="PA71" s="120"/>
      <c r="PB71" s="120"/>
      <c r="PC71" s="120"/>
      <c r="PD71" s="205"/>
      <c r="PE71" s="217"/>
      <c r="PF71" s="205"/>
      <c r="PG71" s="205"/>
      <c r="PH71" s="205">
        <f t="shared" si="183"/>
        <v>0</v>
      </c>
      <c r="PI71" s="120"/>
      <c r="PJ71" s="120"/>
      <c r="PK71" s="120"/>
      <c r="PL71" s="205"/>
      <c r="PM71" s="217"/>
      <c r="PN71" s="205"/>
      <c r="PO71" s="205"/>
      <c r="PP71" s="205">
        <f t="shared" si="184"/>
        <v>0</v>
      </c>
      <c r="PQ71" s="205">
        <f t="shared" si="185"/>
        <v>0</v>
      </c>
      <c r="PR71" s="207"/>
      <c r="PS71" s="207"/>
      <c r="PT71" s="207"/>
      <c r="PU71" s="207"/>
      <c r="PV71" s="207"/>
      <c r="PW71" s="272"/>
      <c r="PX71" s="272"/>
      <c r="PY71" s="205">
        <f t="shared" si="559"/>
        <v>0</v>
      </c>
      <c r="PZ71" s="207"/>
      <c r="QA71" s="207"/>
      <c r="QB71" s="207"/>
      <c r="QC71" s="207"/>
      <c r="QD71" s="207"/>
      <c r="QE71" s="272"/>
      <c r="QF71" s="272"/>
      <c r="QG71" s="205">
        <f t="shared" si="560"/>
        <v>0</v>
      </c>
      <c r="QH71" s="207"/>
      <c r="QI71" s="207"/>
      <c r="QJ71" s="294"/>
      <c r="QK71" s="207"/>
      <c r="QL71" s="207"/>
      <c r="QM71" s="272"/>
      <c r="QN71" s="272"/>
      <c r="QO71" s="205">
        <f t="shared" si="561"/>
        <v>0</v>
      </c>
      <c r="QP71" s="207"/>
      <c r="QQ71" s="207"/>
      <c r="QR71" s="207"/>
      <c r="QS71" s="207"/>
      <c r="QT71" s="207"/>
      <c r="QU71" s="272"/>
      <c r="QV71" s="272"/>
      <c r="QW71" s="205">
        <f t="shared" si="320"/>
        <v>0</v>
      </c>
      <c r="QX71" s="205">
        <f t="shared" si="562"/>
        <v>0</v>
      </c>
      <c r="QY71" s="207"/>
      <c r="QZ71" s="207"/>
      <c r="RA71" s="207"/>
      <c r="RB71" s="207"/>
      <c r="RC71" s="207"/>
      <c r="RD71" s="272"/>
      <c r="RE71" s="272"/>
      <c r="RF71" s="205">
        <f t="shared" si="563"/>
        <v>0</v>
      </c>
      <c r="RG71" s="207"/>
      <c r="RH71" s="207"/>
      <c r="RI71" s="207"/>
      <c r="RJ71" s="207"/>
      <c r="RK71" s="207"/>
      <c r="RL71" s="272"/>
      <c r="RM71" s="272"/>
      <c r="RN71" s="205">
        <f t="shared" si="530"/>
        <v>0</v>
      </c>
      <c r="RO71" s="272"/>
      <c r="RP71" s="272"/>
      <c r="RQ71" s="272"/>
      <c r="RR71" s="272"/>
      <c r="RS71" s="272"/>
      <c r="RT71" s="272"/>
      <c r="RU71" s="272"/>
      <c r="RV71" s="205">
        <f t="shared" si="564"/>
        <v>0</v>
      </c>
      <c r="RW71" s="207"/>
      <c r="RX71" s="217"/>
      <c r="RY71" s="207"/>
      <c r="RZ71" s="207"/>
      <c r="SA71" s="272"/>
      <c r="SB71" s="272"/>
      <c r="SC71" s="272"/>
      <c r="SD71" s="205">
        <f t="shared" si="565"/>
        <v>0</v>
      </c>
      <c r="SE71" s="205">
        <f t="shared" si="566"/>
        <v>0</v>
      </c>
      <c r="SF71" s="207"/>
      <c r="SG71" s="207"/>
      <c r="SH71" s="207"/>
      <c r="SI71" s="207"/>
      <c r="SJ71" s="207"/>
      <c r="SK71" s="272"/>
      <c r="SL71" s="272"/>
      <c r="SM71" s="205">
        <f t="shared" si="567"/>
        <v>0</v>
      </c>
      <c r="SN71" s="207"/>
      <c r="SO71" s="207"/>
      <c r="SP71" s="207"/>
      <c r="SQ71" s="207"/>
      <c r="SR71" s="207"/>
      <c r="SS71" s="272"/>
      <c r="ST71" s="272"/>
      <c r="SU71" s="205">
        <f t="shared" si="568"/>
        <v>0</v>
      </c>
      <c r="SV71" s="207"/>
      <c r="SW71" s="207"/>
      <c r="SX71" s="207"/>
      <c r="SY71" s="207"/>
      <c r="SZ71" s="207"/>
      <c r="TA71" s="272"/>
      <c r="TB71" s="272"/>
      <c r="TC71" s="205">
        <f t="shared" si="569"/>
        <v>0</v>
      </c>
      <c r="TD71" s="207"/>
      <c r="TE71" s="207"/>
      <c r="TF71" s="207"/>
      <c r="TG71" s="207"/>
      <c r="TH71" s="207"/>
      <c r="TI71" s="272"/>
      <c r="TJ71" s="272"/>
      <c r="TK71" s="205">
        <f t="shared" si="570"/>
        <v>0</v>
      </c>
      <c r="TL71" s="195">
        <v>10</v>
      </c>
      <c r="TM71" s="207"/>
      <c r="TN71" s="207"/>
      <c r="TO71" s="207"/>
      <c r="TP71" s="272"/>
      <c r="TQ71" s="272"/>
      <c r="TR71" s="272"/>
      <c r="TS71" s="205">
        <f t="shared" si="571"/>
        <v>10</v>
      </c>
      <c r="TT71" s="205">
        <f t="shared" si="572"/>
        <v>10</v>
      </c>
      <c r="TU71" s="272"/>
      <c r="TV71" s="207"/>
      <c r="TW71" s="207"/>
      <c r="TX71" s="207"/>
      <c r="TY71" s="207"/>
      <c r="TZ71" s="272"/>
      <c r="UA71" s="272"/>
      <c r="UB71" s="205">
        <f t="shared" si="573"/>
        <v>0</v>
      </c>
      <c r="UC71" s="207"/>
      <c r="UD71" s="207"/>
      <c r="UE71" s="207"/>
      <c r="UF71" s="207"/>
      <c r="UG71" s="207"/>
      <c r="UH71" s="272"/>
      <c r="UI71" s="272"/>
      <c r="UJ71" s="205">
        <f t="shared" si="574"/>
        <v>0</v>
      </c>
      <c r="UK71" s="207"/>
      <c r="UL71" s="301"/>
      <c r="UM71" s="207"/>
      <c r="UN71" s="207"/>
      <c r="UO71" s="207"/>
      <c r="UP71" s="272"/>
      <c r="UQ71" s="272"/>
      <c r="UR71" s="205">
        <f t="shared" si="575"/>
        <v>0</v>
      </c>
      <c r="US71" s="207"/>
      <c r="UT71" s="207"/>
      <c r="UU71" s="207"/>
      <c r="UV71" s="207"/>
      <c r="UW71" s="272"/>
      <c r="UX71" s="272"/>
      <c r="UY71" s="272"/>
      <c r="UZ71" s="205">
        <f t="shared" si="576"/>
        <v>0</v>
      </c>
      <c r="VA71" s="205">
        <f t="shared" si="577"/>
        <v>0</v>
      </c>
      <c r="VB71" s="207"/>
      <c r="VC71" s="207"/>
      <c r="VD71" s="304"/>
      <c r="VE71" s="207"/>
      <c r="VF71" s="207"/>
      <c r="VG71" s="272"/>
      <c r="VH71" s="272"/>
      <c r="VI71" s="205">
        <f t="shared" si="578"/>
        <v>0</v>
      </c>
      <c r="VJ71" s="207"/>
      <c r="VK71" s="207"/>
      <c r="VL71" s="207"/>
      <c r="VM71" s="207"/>
      <c r="VN71" s="207"/>
      <c r="VO71" s="272"/>
      <c r="VP71" s="272"/>
      <c r="VQ71" s="205">
        <f t="shared" si="579"/>
        <v>0</v>
      </c>
      <c r="VR71" s="207"/>
      <c r="VS71" s="207"/>
      <c r="VT71" s="207"/>
      <c r="VU71" s="207"/>
      <c r="VV71" s="207"/>
      <c r="VW71" s="272"/>
      <c r="VX71" s="272"/>
      <c r="VY71" s="205">
        <f t="shared" si="580"/>
        <v>0</v>
      </c>
      <c r="VZ71" s="207"/>
      <c r="WA71" s="207"/>
      <c r="WB71" s="207"/>
      <c r="WC71" s="207"/>
      <c r="WD71" s="207"/>
      <c r="WE71" s="272"/>
      <c r="WF71" s="272"/>
      <c r="WG71" s="205">
        <f t="shared" si="581"/>
        <v>0</v>
      </c>
      <c r="WH71" s="205">
        <f t="shared" si="582"/>
        <v>0</v>
      </c>
      <c r="WI71" s="207"/>
      <c r="WJ71" s="124"/>
      <c r="WK71" s="207"/>
      <c r="WL71" s="207"/>
      <c r="WM71" s="207"/>
      <c r="WN71" s="272"/>
      <c r="WO71" s="272"/>
      <c r="WP71" s="205">
        <f t="shared" si="583"/>
        <v>0</v>
      </c>
      <c r="WQ71" s="207"/>
      <c r="WR71" s="207"/>
      <c r="WS71" s="207"/>
      <c r="WT71" s="207"/>
      <c r="WU71" s="207"/>
      <c r="WV71" s="272"/>
      <c r="WW71" s="272"/>
      <c r="WX71" s="205">
        <f t="shared" si="531"/>
        <v>0</v>
      </c>
      <c r="WY71" s="207"/>
      <c r="WZ71" s="207"/>
      <c r="XA71" s="207"/>
      <c r="XB71" s="207"/>
      <c r="XC71" s="272"/>
      <c r="XD71" s="272"/>
      <c r="XE71" s="272"/>
      <c r="XF71" s="205">
        <f t="shared" si="584"/>
        <v>0</v>
      </c>
      <c r="XG71" s="207"/>
      <c r="XH71" s="207"/>
      <c r="XI71" s="207"/>
      <c r="XJ71" s="207"/>
      <c r="XK71" s="207"/>
      <c r="XL71" s="272"/>
      <c r="XM71" s="272"/>
      <c r="XN71" s="205">
        <f t="shared" si="585"/>
        <v>0</v>
      </c>
      <c r="XO71" s="207"/>
      <c r="XP71" s="207"/>
      <c r="XQ71" s="207"/>
      <c r="XR71" s="207"/>
      <c r="XS71" s="207"/>
      <c r="XT71" s="272"/>
      <c r="XU71" s="272"/>
      <c r="XV71" s="205">
        <f t="shared" si="586"/>
        <v>0</v>
      </c>
      <c r="XW71" s="205">
        <f t="shared" si="587"/>
        <v>0</v>
      </c>
      <c r="XX71" s="207"/>
      <c r="XY71" s="207"/>
      <c r="XZ71" s="207"/>
      <c r="YA71" s="207"/>
      <c r="YB71" s="207"/>
      <c r="YC71" s="272"/>
      <c r="YD71" s="272"/>
      <c r="YE71" s="205">
        <f t="shared" si="588"/>
        <v>0</v>
      </c>
      <c r="YF71" s="207"/>
      <c r="YG71" s="124"/>
      <c r="YH71" s="207"/>
      <c r="YI71" s="207"/>
      <c r="YJ71" s="207"/>
      <c r="YK71" s="272"/>
      <c r="YL71" s="272"/>
      <c r="YM71" s="205">
        <f t="shared" si="589"/>
        <v>0</v>
      </c>
      <c r="YN71" s="207"/>
      <c r="YO71" s="207"/>
      <c r="YP71" s="207"/>
      <c r="YQ71" s="207"/>
      <c r="YR71" s="207"/>
      <c r="YS71" s="272"/>
      <c r="YT71" s="272"/>
      <c r="YU71" s="205">
        <f t="shared" si="544"/>
        <v>0</v>
      </c>
      <c r="YV71" s="207"/>
      <c r="YW71" s="207"/>
      <c r="YX71" s="207"/>
      <c r="YY71" s="207"/>
      <c r="YZ71" s="207"/>
      <c r="ZA71" s="272"/>
      <c r="ZB71" s="272"/>
      <c r="ZC71" s="205">
        <f t="shared" si="590"/>
        <v>0</v>
      </c>
      <c r="ZD71" s="205">
        <f t="shared" si="516"/>
        <v>0</v>
      </c>
      <c r="ZE71" s="207"/>
      <c r="ZF71" s="207"/>
      <c r="ZG71" s="207"/>
      <c r="ZH71" s="207"/>
      <c r="ZI71" s="207"/>
      <c r="ZJ71" s="272"/>
      <c r="ZK71" s="272"/>
      <c r="ZL71" s="205">
        <f t="shared" si="591"/>
        <v>0</v>
      </c>
      <c r="ZM71" s="207"/>
      <c r="ZN71" s="207"/>
      <c r="ZO71" s="207"/>
      <c r="ZP71" s="207"/>
      <c r="ZQ71" s="207"/>
      <c r="ZR71" s="272"/>
      <c r="ZS71" s="272"/>
      <c r="ZT71" s="205">
        <f t="shared" si="592"/>
        <v>0</v>
      </c>
      <c r="ZU71" s="207"/>
      <c r="ZV71" s="207"/>
      <c r="ZW71" s="207"/>
      <c r="ZX71" s="207"/>
      <c r="ZY71" s="207"/>
      <c r="ZZ71" s="272"/>
      <c r="AAA71" s="272"/>
      <c r="AAB71" s="205">
        <f t="shared" si="593"/>
        <v>0</v>
      </c>
      <c r="AAC71" s="207"/>
      <c r="AAD71" s="207"/>
      <c r="AAE71" s="207"/>
      <c r="AAF71" s="207"/>
      <c r="AAG71" s="207"/>
      <c r="AAH71" s="272"/>
      <c r="AAI71" s="272"/>
      <c r="AAJ71" s="205">
        <f t="shared" si="594"/>
        <v>0</v>
      </c>
      <c r="AAK71" s="207"/>
      <c r="AAL71" s="207"/>
      <c r="AAM71" s="207"/>
      <c r="AAN71" s="207"/>
      <c r="AAO71" s="207"/>
      <c r="AAP71" s="272"/>
      <c r="AAQ71" s="272"/>
      <c r="AAR71" s="205">
        <f t="shared" si="595"/>
        <v>0</v>
      </c>
      <c r="AAS71" s="205">
        <f t="shared" si="596"/>
        <v>0</v>
      </c>
    </row>
    <row r="72" spans="1:721" ht="69" customHeight="1">
      <c r="B72" s="164">
        <v>3630101804</v>
      </c>
      <c r="C72" s="331"/>
      <c r="D72" s="191" t="s">
        <v>890</v>
      </c>
      <c r="E72" s="130" t="s">
        <v>4</v>
      </c>
      <c r="F72" s="120"/>
      <c r="G72" s="120"/>
      <c r="H72" s="120"/>
      <c r="I72" s="120"/>
      <c r="J72" s="120"/>
      <c r="K72" s="209"/>
      <c r="L72" s="205"/>
      <c r="M72" s="205">
        <f t="shared" si="597"/>
        <v>0</v>
      </c>
      <c r="N72" s="120"/>
      <c r="O72" s="120"/>
      <c r="P72" s="120"/>
      <c r="Q72" s="120"/>
      <c r="R72" s="120"/>
      <c r="S72" s="209"/>
      <c r="T72" s="205"/>
      <c r="U72" s="205">
        <f t="shared" si="598"/>
        <v>0</v>
      </c>
      <c r="V72" s="120"/>
      <c r="W72" s="120"/>
      <c r="X72" s="120"/>
      <c r="Y72" s="120"/>
      <c r="Z72" s="120"/>
      <c r="AA72" s="209"/>
      <c r="AB72" s="205"/>
      <c r="AC72" s="205">
        <f t="shared" si="599"/>
        <v>0</v>
      </c>
      <c r="AD72" s="205"/>
      <c r="AE72" s="205"/>
      <c r="AF72" s="205"/>
      <c r="AG72" s="205"/>
      <c r="AH72" s="205"/>
      <c r="AI72" s="209"/>
      <c r="AJ72" s="205"/>
      <c r="AK72" s="205">
        <f t="shared" si="600"/>
        <v>0</v>
      </c>
      <c r="AL72" s="205" t="e">
        <f>SUM(#REF!,M72,U72,AC72,AD72:AH72)</f>
        <v>#REF!</v>
      </c>
      <c r="AM72" s="120"/>
      <c r="AN72" s="120"/>
      <c r="AO72" s="120"/>
      <c r="AP72" s="120"/>
      <c r="AQ72" s="120"/>
      <c r="AR72" s="209"/>
      <c r="AS72" s="205"/>
      <c r="AT72" s="205">
        <f t="shared" si="601"/>
        <v>0</v>
      </c>
      <c r="AU72" s="120"/>
      <c r="AV72" s="120"/>
      <c r="AW72" s="120"/>
      <c r="AX72" s="120"/>
      <c r="AY72" s="120"/>
      <c r="AZ72" s="209"/>
      <c r="BA72" s="205"/>
      <c r="BB72" s="205">
        <f t="shared" si="602"/>
        <v>0</v>
      </c>
      <c r="BC72" s="120"/>
      <c r="BD72" s="120"/>
      <c r="BE72" s="120"/>
      <c r="BF72" s="120"/>
      <c r="BG72" s="120"/>
      <c r="BH72" s="209"/>
      <c r="BI72" s="205"/>
      <c r="BJ72" s="205">
        <f t="shared" si="603"/>
        <v>0</v>
      </c>
      <c r="BK72" s="120"/>
      <c r="BL72" s="120"/>
      <c r="BM72" s="120"/>
      <c r="BN72" s="120"/>
      <c r="BO72" s="205"/>
      <c r="BP72" s="209"/>
      <c r="BQ72" s="205"/>
      <c r="BR72" s="205">
        <f t="shared" si="248"/>
        <v>0</v>
      </c>
      <c r="BS72" s="205">
        <f t="shared" si="129"/>
        <v>0</v>
      </c>
      <c r="BT72" s="120"/>
      <c r="BU72" s="120"/>
      <c r="BV72" s="120"/>
      <c r="BW72" s="120"/>
      <c r="BX72" s="120"/>
      <c r="BY72" s="209"/>
      <c r="BZ72" s="205"/>
      <c r="CA72" s="205">
        <f t="shared" si="604"/>
        <v>0</v>
      </c>
      <c r="CB72" s="120"/>
      <c r="CC72" s="120"/>
      <c r="CD72" s="120"/>
      <c r="CE72" s="120"/>
      <c r="CF72" s="120"/>
      <c r="CG72" s="209"/>
      <c r="CH72" s="205"/>
      <c r="CI72" s="205">
        <f t="shared" si="605"/>
        <v>0</v>
      </c>
      <c r="CJ72" s="120"/>
      <c r="CK72" s="120"/>
      <c r="CL72" s="120"/>
      <c r="CM72" s="120"/>
      <c r="CN72" s="120"/>
      <c r="CO72" s="209"/>
      <c r="CP72" s="205"/>
      <c r="CQ72" s="205">
        <f t="shared" si="606"/>
        <v>0</v>
      </c>
      <c r="CR72" s="120"/>
      <c r="CS72" s="120"/>
      <c r="CT72" s="120"/>
      <c r="CU72" s="120"/>
      <c r="CV72" s="120"/>
      <c r="CW72" s="209"/>
      <c r="CX72" s="205"/>
      <c r="CY72" s="205">
        <f t="shared" si="607"/>
        <v>0</v>
      </c>
      <c r="CZ72" s="120"/>
      <c r="DA72" s="120"/>
      <c r="DB72" s="120"/>
      <c r="DC72" s="205"/>
      <c r="DD72" s="205"/>
      <c r="DE72" s="209"/>
      <c r="DF72" s="205"/>
      <c r="DG72" s="205">
        <f t="shared" si="608"/>
        <v>0</v>
      </c>
      <c r="DH72" s="205">
        <f t="shared" si="150"/>
        <v>0</v>
      </c>
      <c r="DI72" s="120"/>
      <c r="DJ72" s="120"/>
      <c r="DK72" s="120"/>
      <c r="DL72" s="120"/>
      <c r="DM72" s="120"/>
      <c r="DN72" s="209"/>
      <c r="DO72" s="205"/>
      <c r="DP72" s="205">
        <f t="shared" si="228"/>
        <v>0</v>
      </c>
      <c r="DQ72" s="120"/>
      <c r="DR72" s="120"/>
      <c r="DS72" s="120"/>
      <c r="DT72" s="120"/>
      <c r="DU72" s="120"/>
      <c r="DV72" s="209"/>
      <c r="DW72" s="205"/>
      <c r="DX72" s="205">
        <f t="shared" si="136"/>
        <v>0</v>
      </c>
      <c r="DY72" s="120"/>
      <c r="DZ72" s="120"/>
      <c r="EA72" s="120"/>
      <c r="EB72" s="120"/>
      <c r="EC72" s="120"/>
      <c r="ED72" s="209"/>
      <c r="EE72" s="205"/>
      <c r="EF72" s="205">
        <f t="shared" si="137"/>
        <v>0</v>
      </c>
      <c r="EG72" s="120"/>
      <c r="EH72" s="120"/>
      <c r="EI72" s="120"/>
      <c r="EJ72" s="205"/>
      <c r="EK72" s="205"/>
      <c r="EL72" s="209"/>
      <c r="EM72" s="205"/>
      <c r="EN72" s="205">
        <f t="shared" si="138"/>
        <v>0</v>
      </c>
      <c r="EO72" s="205">
        <f t="shared" si="151"/>
        <v>0</v>
      </c>
      <c r="EP72" s="120"/>
      <c r="EQ72" s="120"/>
      <c r="ER72" s="120"/>
      <c r="ES72" s="120"/>
      <c r="ET72" s="120"/>
      <c r="EU72" s="209"/>
      <c r="EV72" s="205"/>
      <c r="EW72" s="205">
        <f t="shared" si="139"/>
        <v>0</v>
      </c>
      <c r="EX72" s="120"/>
      <c r="EY72" s="120"/>
      <c r="EZ72" s="120"/>
      <c r="FA72" s="120"/>
      <c r="FB72" s="120"/>
      <c r="FC72" s="209"/>
      <c r="FD72" s="205"/>
      <c r="FE72" s="205">
        <f t="shared" si="140"/>
        <v>0</v>
      </c>
      <c r="FF72" s="120"/>
      <c r="FG72" s="120"/>
      <c r="FH72" s="120"/>
      <c r="FI72" s="120"/>
      <c r="FJ72" s="120"/>
      <c r="FK72" s="209"/>
      <c r="FL72" s="205"/>
      <c r="FM72" s="205">
        <f t="shared" si="141"/>
        <v>0</v>
      </c>
      <c r="FN72" s="120"/>
      <c r="FO72" s="120"/>
      <c r="FP72" s="120"/>
      <c r="FQ72" s="120"/>
      <c r="FR72" s="205"/>
      <c r="FS72" s="209"/>
      <c r="FT72" s="205"/>
      <c r="FU72" s="205">
        <f t="shared" si="142"/>
        <v>0</v>
      </c>
      <c r="FV72" s="205">
        <f t="shared" si="152"/>
        <v>0</v>
      </c>
      <c r="FW72" s="120"/>
      <c r="FX72" s="120"/>
      <c r="FY72" s="120"/>
      <c r="FZ72" s="120"/>
      <c r="GA72" s="120"/>
      <c r="GB72" s="209"/>
      <c r="GC72" s="205"/>
      <c r="GD72" s="205">
        <f t="shared" si="609"/>
        <v>0</v>
      </c>
      <c r="GE72" s="120"/>
      <c r="GF72" s="120"/>
      <c r="GG72" s="120"/>
      <c r="GH72" s="120"/>
      <c r="GI72" s="120"/>
      <c r="GJ72" s="209"/>
      <c r="GK72" s="205"/>
      <c r="GL72" s="205">
        <f t="shared" si="144"/>
        <v>0</v>
      </c>
      <c r="GM72" s="120"/>
      <c r="GN72" s="120"/>
      <c r="GO72" s="120"/>
      <c r="GP72" s="120"/>
      <c r="GQ72" s="120"/>
      <c r="GR72" s="209"/>
      <c r="GS72" s="205"/>
      <c r="GT72" s="205">
        <f t="shared" si="145"/>
        <v>0</v>
      </c>
      <c r="GU72" s="120"/>
      <c r="GV72" s="120"/>
      <c r="GW72" s="120"/>
      <c r="GX72" s="120"/>
      <c r="GY72" s="120"/>
      <c r="GZ72" s="209"/>
      <c r="HA72" s="205"/>
      <c r="HB72" s="205">
        <f t="shared" si="146"/>
        <v>0</v>
      </c>
      <c r="HC72" s="120"/>
      <c r="HD72" s="120"/>
      <c r="HE72" s="120"/>
      <c r="HF72" s="120"/>
      <c r="HG72" s="120"/>
      <c r="HH72" s="209"/>
      <c r="HI72" s="205"/>
      <c r="HJ72" s="205">
        <f t="shared" si="147"/>
        <v>0</v>
      </c>
      <c r="HK72" s="205">
        <f t="shared" si="153"/>
        <v>0</v>
      </c>
      <c r="HL72" s="124"/>
      <c r="HM72" s="120"/>
      <c r="HN72" s="120"/>
      <c r="HO72" s="120"/>
      <c r="HP72" s="120"/>
      <c r="HQ72" s="205"/>
      <c r="HR72" s="205"/>
      <c r="HS72" s="205">
        <f t="shared" si="154"/>
        <v>0</v>
      </c>
      <c r="HT72" s="120"/>
      <c r="HU72" s="120"/>
      <c r="HV72" s="120"/>
      <c r="HW72" s="120"/>
      <c r="HX72" s="120"/>
      <c r="HY72" s="205"/>
      <c r="HZ72" s="205"/>
      <c r="IA72" s="205">
        <f t="shared" si="155"/>
        <v>0</v>
      </c>
      <c r="IB72" s="120"/>
      <c r="IC72" s="120"/>
      <c r="ID72" s="120"/>
      <c r="IE72" s="120"/>
      <c r="IF72" s="120"/>
      <c r="IG72" s="205"/>
      <c r="IH72" s="205"/>
      <c r="II72" s="205">
        <f t="shared" si="156"/>
        <v>0</v>
      </c>
      <c r="IJ72" s="120"/>
      <c r="IK72" s="120"/>
      <c r="IL72" s="120"/>
      <c r="IM72" s="120"/>
      <c r="IN72" s="120"/>
      <c r="IO72" s="205"/>
      <c r="IP72" s="205"/>
      <c r="IQ72" s="205">
        <f t="shared" si="157"/>
        <v>0</v>
      </c>
      <c r="IR72" s="205">
        <f t="shared" si="158"/>
        <v>0</v>
      </c>
      <c r="IS72" s="120"/>
      <c r="IT72" s="120"/>
      <c r="IU72" s="120"/>
      <c r="IV72" s="120"/>
      <c r="IW72" s="120"/>
      <c r="IX72" s="205"/>
      <c r="IY72" s="205"/>
      <c r="IZ72" s="205">
        <f t="shared" si="159"/>
        <v>0</v>
      </c>
      <c r="JA72" s="120"/>
      <c r="JB72" s="120"/>
      <c r="JC72" s="120"/>
      <c r="JD72" s="120"/>
      <c r="JE72" s="120"/>
      <c r="JF72" s="205"/>
      <c r="JG72" s="205"/>
      <c r="JH72" s="205">
        <f t="shared" si="160"/>
        <v>0</v>
      </c>
      <c r="JI72" s="120"/>
      <c r="JJ72" s="120"/>
      <c r="JK72" s="120"/>
      <c r="JL72" s="120"/>
      <c r="JM72" s="120"/>
      <c r="JN72" s="205"/>
      <c r="JO72" s="205"/>
      <c r="JP72" s="205">
        <f t="shared" si="161"/>
        <v>0</v>
      </c>
      <c r="JQ72" s="120"/>
      <c r="JR72" s="120"/>
      <c r="JS72" s="120"/>
      <c r="JT72" s="120"/>
      <c r="JU72" s="120"/>
      <c r="JV72" s="205"/>
      <c r="JW72" s="205"/>
      <c r="JX72" s="205">
        <f t="shared" si="162"/>
        <v>0</v>
      </c>
      <c r="JY72" s="205">
        <f t="shared" si="558"/>
        <v>0</v>
      </c>
      <c r="JZ72" s="120"/>
      <c r="KA72" s="120"/>
      <c r="KB72" s="120"/>
      <c r="KC72" s="120"/>
      <c r="KD72" s="120"/>
      <c r="KE72" s="205"/>
      <c r="KF72" s="205"/>
      <c r="KG72" s="205">
        <f t="shared" si="164"/>
        <v>0</v>
      </c>
      <c r="KH72" s="120"/>
      <c r="KI72" s="120"/>
      <c r="KJ72" s="120"/>
      <c r="KK72" s="120"/>
      <c r="KL72" s="120"/>
      <c r="KM72" s="205"/>
      <c r="KN72" s="205"/>
      <c r="KO72" s="205">
        <f t="shared" si="165"/>
        <v>0</v>
      </c>
      <c r="KP72" s="120"/>
      <c r="KQ72" s="120"/>
      <c r="KR72" s="120"/>
      <c r="KS72" s="120"/>
      <c r="KT72" s="120"/>
      <c r="KU72" s="205"/>
      <c r="KV72" s="205"/>
      <c r="KW72" s="205">
        <f t="shared" si="166"/>
        <v>0</v>
      </c>
      <c r="KX72" s="120"/>
      <c r="KY72" s="120"/>
      <c r="KZ72" s="120"/>
      <c r="LA72" s="120"/>
      <c r="LB72" s="120"/>
      <c r="LC72" s="205"/>
      <c r="LD72" s="205"/>
      <c r="LE72" s="205">
        <f t="shared" si="167"/>
        <v>0</v>
      </c>
      <c r="LF72" s="205"/>
      <c r="LG72" s="120"/>
      <c r="LH72" s="120"/>
      <c r="LI72" s="120"/>
      <c r="LJ72" s="120"/>
      <c r="LK72" s="205"/>
      <c r="LL72" s="205"/>
      <c r="LM72" s="205">
        <f t="shared" si="168"/>
        <v>0</v>
      </c>
      <c r="LN72" s="205">
        <f t="shared" si="169"/>
        <v>0</v>
      </c>
      <c r="LO72" s="205"/>
      <c r="LP72" s="120"/>
      <c r="LQ72" s="120"/>
      <c r="LR72" s="120"/>
      <c r="LS72" s="205"/>
      <c r="LT72" s="205"/>
      <c r="LU72" s="205"/>
      <c r="LV72" s="205">
        <f t="shared" si="170"/>
        <v>0</v>
      </c>
      <c r="LW72" s="120"/>
      <c r="LX72" s="120"/>
      <c r="LY72" s="120"/>
      <c r="LZ72" s="120"/>
      <c r="MA72" s="120"/>
      <c r="MB72" s="205"/>
      <c r="MC72" s="205"/>
      <c r="MD72" s="205">
        <f t="shared" si="171"/>
        <v>0</v>
      </c>
      <c r="ME72" s="120"/>
      <c r="MF72" s="120"/>
      <c r="MG72" s="120"/>
      <c r="MH72" s="120"/>
      <c r="MI72" s="205"/>
      <c r="MJ72" s="205"/>
      <c r="MK72" s="205"/>
      <c r="ML72" s="205">
        <f t="shared" si="172"/>
        <v>0</v>
      </c>
      <c r="MM72" s="120"/>
      <c r="MN72" s="120"/>
      <c r="MO72" s="120"/>
      <c r="MP72" s="120"/>
      <c r="MQ72" s="120"/>
      <c r="MR72" s="205"/>
      <c r="MS72" s="205"/>
      <c r="MT72" s="205">
        <f t="shared" si="173"/>
        <v>0</v>
      </c>
      <c r="MU72" s="205">
        <f t="shared" si="174"/>
        <v>0</v>
      </c>
      <c r="MV72" s="120"/>
      <c r="MW72" s="120"/>
      <c r="MX72" s="120"/>
      <c r="MY72" s="120"/>
      <c r="MZ72" s="120"/>
      <c r="NA72" s="205"/>
      <c r="NB72" s="205"/>
      <c r="NC72" s="205">
        <f t="shared" si="175"/>
        <v>0</v>
      </c>
      <c r="ND72" s="120"/>
      <c r="NE72" s="120"/>
      <c r="NF72" s="120"/>
      <c r="NG72" s="120"/>
      <c r="NH72" s="120"/>
      <c r="NI72" s="205"/>
      <c r="NJ72" s="205"/>
      <c r="NK72" s="205">
        <f t="shared" si="176"/>
        <v>0</v>
      </c>
      <c r="NL72" s="120"/>
      <c r="NM72" s="120"/>
      <c r="NN72" s="120"/>
      <c r="NO72" s="120"/>
      <c r="NP72" s="120"/>
      <c r="NQ72" s="205"/>
      <c r="NR72" s="205"/>
      <c r="NS72" s="205">
        <f t="shared" si="177"/>
        <v>0</v>
      </c>
      <c r="NT72" s="120"/>
      <c r="NU72" s="120"/>
      <c r="NV72" s="120"/>
      <c r="NW72" s="120"/>
      <c r="NX72" s="120"/>
      <c r="NY72" s="205"/>
      <c r="NZ72" s="205"/>
      <c r="OA72" s="205">
        <f t="shared" si="178"/>
        <v>0</v>
      </c>
      <c r="OB72" s="205">
        <f t="shared" si="179"/>
        <v>0</v>
      </c>
      <c r="OC72" s="120"/>
      <c r="OD72" s="120"/>
      <c r="OE72" s="120"/>
      <c r="OF72" s="120"/>
      <c r="OG72" s="120"/>
      <c r="OH72" s="205"/>
      <c r="OI72" s="205"/>
      <c r="OJ72" s="205">
        <f t="shared" si="180"/>
        <v>0</v>
      </c>
      <c r="OK72" s="120"/>
      <c r="OL72" s="120"/>
      <c r="OM72" s="120"/>
      <c r="ON72" s="120"/>
      <c r="OO72" s="120"/>
      <c r="OP72" s="205"/>
      <c r="OQ72" s="205"/>
      <c r="OR72" s="205">
        <f t="shared" si="181"/>
        <v>0</v>
      </c>
      <c r="OS72" s="120"/>
      <c r="OT72" s="120"/>
      <c r="OU72" s="120"/>
      <c r="OV72" s="120"/>
      <c r="OW72" s="120"/>
      <c r="OX72" s="205"/>
      <c r="OY72" s="205"/>
      <c r="OZ72" s="205">
        <f t="shared" si="182"/>
        <v>0</v>
      </c>
      <c r="PA72" s="120"/>
      <c r="PB72" s="120"/>
      <c r="PC72" s="120"/>
      <c r="PD72" s="205"/>
      <c r="PE72" s="217"/>
      <c r="PF72" s="205"/>
      <c r="PG72" s="205"/>
      <c r="PH72" s="205">
        <f t="shared" si="183"/>
        <v>0</v>
      </c>
      <c r="PI72" s="120"/>
      <c r="PJ72" s="120"/>
      <c r="PK72" s="120"/>
      <c r="PL72" s="205"/>
      <c r="PM72" s="217"/>
      <c r="PN72" s="205"/>
      <c r="PO72" s="205"/>
      <c r="PP72" s="205">
        <f t="shared" si="184"/>
        <v>0</v>
      </c>
      <c r="PQ72" s="205">
        <f t="shared" si="185"/>
        <v>0</v>
      </c>
      <c r="PR72" s="207"/>
      <c r="PS72" s="207"/>
      <c r="PT72" s="207"/>
      <c r="PU72" s="207"/>
      <c r="PV72" s="207"/>
      <c r="PW72" s="272"/>
      <c r="PX72" s="272"/>
      <c r="PY72" s="205">
        <f t="shared" si="559"/>
        <v>0</v>
      </c>
      <c r="PZ72" s="207"/>
      <c r="QA72" s="207"/>
      <c r="QB72" s="207"/>
      <c r="QC72" s="207"/>
      <c r="QD72" s="207"/>
      <c r="QE72" s="272"/>
      <c r="QF72" s="272"/>
      <c r="QG72" s="205">
        <f t="shared" si="560"/>
        <v>0</v>
      </c>
      <c r="QH72" s="207"/>
      <c r="QI72" s="207"/>
      <c r="QJ72" s="294"/>
      <c r="QK72" s="207"/>
      <c r="QL72" s="207"/>
      <c r="QM72" s="272"/>
      <c r="QN72" s="272"/>
      <c r="QO72" s="205">
        <f t="shared" si="561"/>
        <v>0</v>
      </c>
      <c r="QP72" s="207"/>
      <c r="QQ72" s="207"/>
      <c r="QR72" s="207"/>
      <c r="QS72" s="207"/>
      <c r="QT72" s="207"/>
      <c r="QU72" s="272"/>
      <c r="QV72" s="272"/>
      <c r="QW72" s="205">
        <f t="shared" si="320"/>
        <v>0</v>
      </c>
      <c r="QX72" s="205">
        <f t="shared" si="562"/>
        <v>0</v>
      </c>
      <c r="QY72" s="207"/>
      <c r="QZ72" s="207"/>
      <c r="RA72" s="207"/>
      <c r="RB72" s="207"/>
      <c r="RC72" s="207"/>
      <c r="RD72" s="272"/>
      <c r="RE72" s="272"/>
      <c r="RF72" s="205">
        <f t="shared" si="563"/>
        <v>0</v>
      </c>
      <c r="RG72" s="207"/>
      <c r="RH72" s="207"/>
      <c r="RI72" s="207"/>
      <c r="RJ72" s="207"/>
      <c r="RK72" s="207"/>
      <c r="RL72" s="272"/>
      <c r="RM72" s="272"/>
      <c r="RN72" s="205">
        <f t="shared" si="530"/>
        <v>0</v>
      </c>
      <c r="RO72" s="272"/>
      <c r="RP72" s="272"/>
      <c r="RQ72" s="272"/>
      <c r="RR72" s="272"/>
      <c r="RS72" s="272"/>
      <c r="RT72" s="272"/>
      <c r="RU72" s="272"/>
      <c r="RV72" s="205">
        <f t="shared" si="564"/>
        <v>0</v>
      </c>
      <c r="RW72" s="207"/>
      <c r="RX72" s="217">
        <v>120</v>
      </c>
      <c r="RY72" s="207"/>
      <c r="RZ72" s="207"/>
      <c r="SA72" s="272"/>
      <c r="SB72" s="272"/>
      <c r="SC72" s="272"/>
      <c r="SD72" s="205">
        <f t="shared" si="565"/>
        <v>120</v>
      </c>
      <c r="SE72" s="205">
        <f t="shared" si="566"/>
        <v>120</v>
      </c>
      <c r="SF72" s="207"/>
      <c r="SG72" s="207"/>
      <c r="SH72" s="207"/>
      <c r="SI72" s="207"/>
      <c r="SJ72" s="207"/>
      <c r="SK72" s="272"/>
      <c r="SL72" s="272"/>
      <c r="SM72" s="205">
        <f t="shared" si="567"/>
        <v>0</v>
      </c>
      <c r="SN72" s="207"/>
      <c r="SO72" s="207"/>
      <c r="SP72" s="207"/>
      <c r="SQ72" s="207"/>
      <c r="SR72" s="207"/>
      <c r="SS72" s="272"/>
      <c r="ST72" s="272"/>
      <c r="SU72" s="205">
        <f t="shared" si="568"/>
        <v>0</v>
      </c>
      <c r="SV72" s="207"/>
      <c r="SW72" s="207"/>
      <c r="SX72" s="207"/>
      <c r="SY72" s="207"/>
      <c r="SZ72" s="207"/>
      <c r="TA72" s="272"/>
      <c r="TB72" s="272"/>
      <c r="TC72" s="205">
        <f t="shared" si="569"/>
        <v>0</v>
      </c>
      <c r="TD72" s="207"/>
      <c r="TE72" s="207"/>
      <c r="TF72" s="207"/>
      <c r="TG72" s="207"/>
      <c r="TH72" s="207"/>
      <c r="TI72" s="272"/>
      <c r="TJ72" s="272"/>
      <c r="TK72" s="205">
        <f t="shared" si="570"/>
        <v>0</v>
      </c>
      <c r="TL72" s="195">
        <v>80</v>
      </c>
      <c r="TM72" s="207"/>
      <c r="TN72" s="207"/>
      <c r="TO72" s="207"/>
      <c r="TP72" s="272"/>
      <c r="TQ72" s="272"/>
      <c r="TR72" s="272"/>
      <c r="TS72" s="205">
        <f t="shared" si="571"/>
        <v>80</v>
      </c>
      <c r="TT72" s="205">
        <f t="shared" si="572"/>
        <v>80</v>
      </c>
      <c r="TU72" s="272"/>
      <c r="TV72" s="207"/>
      <c r="TW72" s="207"/>
      <c r="TX72" s="207"/>
      <c r="TY72" s="207"/>
      <c r="TZ72" s="272"/>
      <c r="UA72" s="272"/>
      <c r="UB72" s="205">
        <f t="shared" si="573"/>
        <v>0</v>
      </c>
      <c r="UC72" s="207"/>
      <c r="UD72" s="207"/>
      <c r="UE72" s="207"/>
      <c r="UF72" s="207"/>
      <c r="UG72" s="207"/>
      <c r="UH72" s="272"/>
      <c r="UI72" s="272"/>
      <c r="UJ72" s="205">
        <f t="shared" si="574"/>
        <v>0</v>
      </c>
      <c r="UK72" s="207"/>
      <c r="UL72" s="207"/>
      <c r="UM72" s="207"/>
      <c r="UN72" s="207"/>
      <c r="UO72" s="207"/>
      <c r="UP72" s="272"/>
      <c r="UQ72" s="272"/>
      <c r="UR72" s="205">
        <f t="shared" si="575"/>
        <v>0</v>
      </c>
      <c r="US72" s="207"/>
      <c r="UT72" s="207"/>
      <c r="UU72" s="207"/>
      <c r="UV72" s="207"/>
      <c r="UW72" s="272"/>
      <c r="UX72" s="272"/>
      <c r="UY72" s="272"/>
      <c r="UZ72" s="205">
        <f t="shared" si="576"/>
        <v>0</v>
      </c>
      <c r="VA72" s="205">
        <f t="shared" si="577"/>
        <v>0</v>
      </c>
      <c r="VB72" s="207"/>
      <c r="VC72" s="207"/>
      <c r="VD72" s="201">
        <v>80</v>
      </c>
      <c r="VE72" s="207"/>
      <c r="VF72" s="207"/>
      <c r="VG72" s="272"/>
      <c r="VH72" s="272"/>
      <c r="VI72" s="205">
        <f t="shared" si="578"/>
        <v>80</v>
      </c>
      <c r="VJ72" s="207"/>
      <c r="VK72" s="207"/>
      <c r="VL72" s="207"/>
      <c r="VM72" s="207"/>
      <c r="VN72" s="207"/>
      <c r="VO72" s="272"/>
      <c r="VP72" s="272"/>
      <c r="VQ72" s="205">
        <f t="shared" si="579"/>
        <v>0</v>
      </c>
      <c r="VR72" s="207"/>
      <c r="VS72" s="207"/>
      <c r="VT72" s="207"/>
      <c r="VU72" s="207"/>
      <c r="VV72" s="207"/>
      <c r="VW72" s="272"/>
      <c r="VX72" s="272"/>
      <c r="VY72" s="205">
        <f t="shared" si="580"/>
        <v>0</v>
      </c>
      <c r="VZ72" s="207"/>
      <c r="WA72" s="207"/>
      <c r="WB72" s="207"/>
      <c r="WC72" s="207"/>
      <c r="WD72" s="207"/>
      <c r="WE72" s="272"/>
      <c r="WF72" s="272"/>
      <c r="WG72" s="205">
        <f t="shared" si="581"/>
        <v>0</v>
      </c>
      <c r="WH72" s="205">
        <f t="shared" si="582"/>
        <v>80</v>
      </c>
      <c r="WI72" s="207"/>
      <c r="WJ72" s="124">
        <v>20</v>
      </c>
      <c r="WK72" s="207"/>
      <c r="WL72" s="207"/>
      <c r="WM72" s="207"/>
      <c r="WN72" s="272"/>
      <c r="WO72" s="272"/>
      <c r="WP72" s="205">
        <f t="shared" si="583"/>
        <v>20</v>
      </c>
      <c r="WQ72" s="207"/>
      <c r="WR72" s="207"/>
      <c r="WS72" s="207"/>
      <c r="WT72" s="207"/>
      <c r="WU72" s="207"/>
      <c r="WV72" s="272"/>
      <c r="WW72" s="272"/>
      <c r="WX72" s="205">
        <f t="shared" si="531"/>
        <v>0</v>
      </c>
      <c r="WY72" s="207"/>
      <c r="WZ72" s="207"/>
      <c r="XA72" s="207"/>
      <c r="XB72" s="207"/>
      <c r="XC72" s="272"/>
      <c r="XD72" s="272"/>
      <c r="XE72" s="272"/>
      <c r="XF72" s="205">
        <f t="shared" si="584"/>
        <v>0</v>
      </c>
      <c r="XG72" s="207"/>
      <c r="XH72" s="207"/>
      <c r="XI72" s="207"/>
      <c r="XJ72" s="207"/>
      <c r="XK72" s="207"/>
      <c r="XL72" s="272"/>
      <c r="XM72" s="272"/>
      <c r="XN72" s="205">
        <f t="shared" si="585"/>
        <v>0</v>
      </c>
      <c r="XO72" s="207"/>
      <c r="XP72" s="207"/>
      <c r="XQ72" s="207"/>
      <c r="XR72" s="207"/>
      <c r="XS72" s="207"/>
      <c r="XT72" s="272"/>
      <c r="XU72" s="272"/>
      <c r="XV72" s="205">
        <f t="shared" si="586"/>
        <v>0</v>
      </c>
      <c r="XW72" s="205">
        <f t="shared" si="587"/>
        <v>20</v>
      </c>
      <c r="XX72" s="207"/>
      <c r="XY72" s="207"/>
      <c r="XZ72" s="207"/>
      <c r="YA72" s="207"/>
      <c r="YB72" s="207"/>
      <c r="YC72" s="272"/>
      <c r="YD72" s="272"/>
      <c r="YE72" s="205">
        <f t="shared" si="588"/>
        <v>0</v>
      </c>
      <c r="YF72" s="207"/>
      <c r="YG72" s="124">
        <v>170</v>
      </c>
      <c r="YH72" s="207"/>
      <c r="YI72" s="207"/>
      <c r="YJ72" s="207"/>
      <c r="YK72" s="272"/>
      <c r="YL72" s="272"/>
      <c r="YM72" s="205">
        <f t="shared" si="589"/>
        <v>170</v>
      </c>
      <c r="YN72" s="207"/>
      <c r="YO72" s="207"/>
      <c r="YP72" s="207"/>
      <c r="YQ72" s="207"/>
      <c r="YR72" s="207"/>
      <c r="YS72" s="272"/>
      <c r="YT72" s="272"/>
      <c r="YU72" s="205">
        <f t="shared" si="544"/>
        <v>0</v>
      </c>
      <c r="YV72" s="207"/>
      <c r="YW72" s="207"/>
      <c r="YX72" s="207"/>
      <c r="YY72" s="207"/>
      <c r="YZ72" s="207"/>
      <c r="ZA72" s="272"/>
      <c r="ZB72" s="272"/>
      <c r="ZC72" s="205">
        <f t="shared" si="590"/>
        <v>0</v>
      </c>
      <c r="ZD72" s="205">
        <f t="shared" si="516"/>
        <v>170</v>
      </c>
      <c r="ZE72" s="207"/>
      <c r="ZF72" s="207"/>
      <c r="ZG72" s="207"/>
      <c r="ZH72" s="207"/>
      <c r="ZI72" s="207"/>
      <c r="ZJ72" s="272"/>
      <c r="ZK72" s="272"/>
      <c r="ZL72" s="205">
        <f t="shared" si="591"/>
        <v>0</v>
      </c>
      <c r="ZM72" s="207"/>
      <c r="ZN72" s="207"/>
      <c r="ZO72" s="207"/>
      <c r="ZP72" s="207"/>
      <c r="ZQ72" s="207"/>
      <c r="ZR72" s="272"/>
      <c r="ZS72" s="272"/>
      <c r="ZT72" s="205">
        <f t="shared" si="592"/>
        <v>0</v>
      </c>
      <c r="ZU72" s="207"/>
      <c r="ZV72" s="207"/>
      <c r="ZW72" s="207"/>
      <c r="ZX72" s="207"/>
      <c r="ZY72" s="207"/>
      <c r="ZZ72" s="272"/>
      <c r="AAA72" s="272"/>
      <c r="AAB72" s="205">
        <f t="shared" si="593"/>
        <v>0</v>
      </c>
      <c r="AAC72" s="207"/>
      <c r="AAD72" s="207"/>
      <c r="AAE72" s="207"/>
      <c r="AAF72" s="207"/>
      <c r="AAG72" s="207"/>
      <c r="AAH72" s="272"/>
      <c r="AAI72" s="272"/>
      <c r="AAJ72" s="205">
        <f t="shared" si="594"/>
        <v>0</v>
      </c>
      <c r="AAK72" s="207"/>
      <c r="AAL72" s="207"/>
      <c r="AAM72" s="207"/>
      <c r="AAN72" s="207"/>
      <c r="AAO72" s="207"/>
      <c r="AAP72" s="272"/>
      <c r="AAQ72" s="272"/>
      <c r="AAR72" s="205">
        <f t="shared" si="595"/>
        <v>0</v>
      </c>
      <c r="AAS72" s="205">
        <f t="shared" si="596"/>
        <v>0</v>
      </c>
    </row>
    <row r="73" spans="1:721" s="126" customFormat="1" ht="69.95" customHeight="1">
      <c r="A73" s="125" t="s">
        <v>614</v>
      </c>
      <c r="B73" s="162" t="s">
        <v>58</v>
      </c>
      <c r="C73" s="331"/>
      <c r="D73" s="167" t="s">
        <v>60</v>
      </c>
      <c r="E73" s="130" t="s">
        <v>4</v>
      </c>
      <c r="F73" s="201">
        <v>500</v>
      </c>
      <c r="G73" s="120"/>
      <c r="H73" s="216"/>
      <c r="I73" s="120"/>
      <c r="J73" s="120"/>
      <c r="K73" s="209"/>
      <c r="L73" s="205"/>
      <c r="M73" s="205">
        <f t="shared" si="303"/>
        <v>500</v>
      </c>
      <c r="N73" s="120"/>
      <c r="O73" s="120"/>
      <c r="P73" s="120"/>
      <c r="Q73" s="120"/>
      <c r="R73" s="120"/>
      <c r="S73" s="209"/>
      <c r="T73" s="205"/>
      <c r="U73" s="205">
        <f t="shared" si="304"/>
        <v>0</v>
      </c>
      <c r="V73" s="120"/>
      <c r="W73" s="120"/>
      <c r="X73" s="120"/>
      <c r="Y73" s="120"/>
      <c r="Z73" s="120"/>
      <c r="AA73" s="209"/>
      <c r="AB73" s="205"/>
      <c r="AC73" s="205">
        <f t="shared" si="305"/>
        <v>0</v>
      </c>
      <c r="AD73" s="205"/>
      <c r="AE73" s="205"/>
      <c r="AF73" s="205"/>
      <c r="AG73" s="205"/>
      <c r="AH73" s="205"/>
      <c r="AI73" s="209"/>
      <c r="AJ73" s="205"/>
      <c r="AK73" s="205">
        <f t="shared" si="306"/>
        <v>0</v>
      </c>
      <c r="AL73" s="205" t="e">
        <f>SUM(#REF!,M73,U73,AC73,AD73:AH73)</f>
        <v>#REF!</v>
      </c>
      <c r="AM73" s="124">
        <v>2000</v>
      </c>
      <c r="AN73" s="120"/>
      <c r="AO73" s="120"/>
      <c r="AP73" s="120"/>
      <c r="AQ73" s="120"/>
      <c r="AR73" s="209"/>
      <c r="AS73" s="205"/>
      <c r="AT73" s="205">
        <f t="shared" si="245"/>
        <v>2000</v>
      </c>
      <c r="AU73" s="120"/>
      <c r="AV73" s="120"/>
      <c r="AW73" s="120"/>
      <c r="AX73" s="120"/>
      <c r="AY73" s="120"/>
      <c r="AZ73" s="209"/>
      <c r="BA73" s="205"/>
      <c r="BB73" s="205">
        <f t="shared" si="246"/>
        <v>0</v>
      </c>
      <c r="BC73" s="216"/>
      <c r="BD73" s="120"/>
      <c r="BE73" s="120"/>
      <c r="BF73" s="120"/>
      <c r="BG73" s="120"/>
      <c r="BH73" s="209"/>
      <c r="BI73" s="205"/>
      <c r="BJ73" s="205">
        <f t="shared" si="517"/>
        <v>0</v>
      </c>
      <c r="BK73" s="120"/>
      <c r="BL73" s="250">
        <v>1000</v>
      </c>
      <c r="BM73" s="120"/>
      <c r="BN73" s="120"/>
      <c r="BO73" s="205"/>
      <c r="BP73" s="209"/>
      <c r="BQ73" s="205"/>
      <c r="BR73" s="205">
        <f t="shared" si="248"/>
        <v>1000</v>
      </c>
      <c r="BS73" s="205">
        <f t="shared" si="129"/>
        <v>3000</v>
      </c>
      <c r="BT73" s="120"/>
      <c r="BU73" s="120"/>
      <c r="BV73" s="120"/>
      <c r="BW73" s="120"/>
      <c r="BX73" s="120"/>
      <c r="BY73" s="209"/>
      <c r="BZ73" s="205"/>
      <c r="CA73" s="205">
        <f t="shared" si="250"/>
        <v>0</v>
      </c>
      <c r="CB73" s="120"/>
      <c r="CC73" s="120"/>
      <c r="CD73" s="120"/>
      <c r="CE73" s="120"/>
      <c r="CF73" s="120"/>
      <c r="CG73" s="209"/>
      <c r="CH73" s="205"/>
      <c r="CI73" s="205">
        <f t="shared" si="251"/>
        <v>0</v>
      </c>
      <c r="CJ73" s="195">
        <v>2000</v>
      </c>
      <c r="CK73" s="120"/>
      <c r="CL73" s="120"/>
      <c r="CM73" s="120"/>
      <c r="CN73" s="120"/>
      <c r="CO73" s="209"/>
      <c r="CP73" s="205"/>
      <c r="CQ73" s="205">
        <f t="shared" si="252"/>
        <v>2000</v>
      </c>
      <c r="CR73" s="120"/>
      <c r="CS73" s="120"/>
      <c r="CT73" s="120"/>
      <c r="CU73" s="217">
        <v>1000</v>
      </c>
      <c r="CV73" s="120"/>
      <c r="CW73" s="209"/>
      <c r="CX73" s="205"/>
      <c r="CY73" s="205">
        <f t="shared" si="253"/>
        <v>1000</v>
      </c>
      <c r="CZ73" s="120"/>
      <c r="DA73" s="120"/>
      <c r="DB73" s="120"/>
      <c r="DC73" s="205"/>
      <c r="DD73" s="205"/>
      <c r="DE73" s="209"/>
      <c r="DF73" s="205"/>
      <c r="DG73" s="205">
        <f t="shared" si="254"/>
        <v>0</v>
      </c>
      <c r="DH73" s="205">
        <f t="shared" si="150"/>
        <v>3000</v>
      </c>
      <c r="DI73" s="120"/>
      <c r="DJ73" s="120"/>
      <c r="DK73" s="120"/>
      <c r="DL73" s="120"/>
      <c r="DM73" s="120"/>
      <c r="DN73" s="209"/>
      <c r="DO73" s="205"/>
      <c r="DP73" s="205">
        <f t="shared" si="228"/>
        <v>0</v>
      </c>
      <c r="DQ73" s="120"/>
      <c r="DR73" s="217">
        <v>1000</v>
      </c>
      <c r="DS73" s="120"/>
      <c r="DT73" s="120"/>
      <c r="DU73" s="120"/>
      <c r="DV73" s="209"/>
      <c r="DW73" s="205"/>
      <c r="DX73" s="205">
        <f t="shared" si="136"/>
        <v>1000</v>
      </c>
      <c r="DY73" s="120"/>
      <c r="DZ73" s="120"/>
      <c r="EA73" s="120"/>
      <c r="EB73" s="120"/>
      <c r="EC73" s="120"/>
      <c r="ED73" s="209"/>
      <c r="EE73" s="205"/>
      <c r="EF73" s="205">
        <f t="shared" si="137"/>
        <v>0</v>
      </c>
      <c r="EG73" s="120"/>
      <c r="EH73" s="120"/>
      <c r="EI73" s="120"/>
      <c r="EJ73" s="205"/>
      <c r="EK73" s="205"/>
      <c r="EL73" s="209"/>
      <c r="EM73" s="205"/>
      <c r="EN73" s="205">
        <f t="shared" si="138"/>
        <v>0</v>
      </c>
      <c r="EO73" s="205">
        <f t="shared" si="151"/>
        <v>1000</v>
      </c>
      <c r="EP73" s="120"/>
      <c r="EQ73" s="120"/>
      <c r="ER73" s="120"/>
      <c r="ES73" s="120"/>
      <c r="ET73" s="120"/>
      <c r="EU73" s="209"/>
      <c r="EV73" s="205"/>
      <c r="EW73" s="205">
        <f t="shared" si="139"/>
        <v>0</v>
      </c>
      <c r="EX73" s="120"/>
      <c r="EY73" s="201">
        <v>1500</v>
      </c>
      <c r="EZ73" s="120"/>
      <c r="FA73" s="120"/>
      <c r="FB73" s="120"/>
      <c r="FC73" s="209"/>
      <c r="FD73" s="205"/>
      <c r="FE73" s="205">
        <f t="shared" si="140"/>
        <v>1500</v>
      </c>
      <c r="FF73" s="120"/>
      <c r="FG73" s="120"/>
      <c r="FH73" s="120"/>
      <c r="FI73" s="120"/>
      <c r="FJ73" s="120"/>
      <c r="FK73" s="209"/>
      <c r="FL73" s="205"/>
      <c r="FM73" s="205">
        <f t="shared" si="141"/>
        <v>0</v>
      </c>
      <c r="FN73" s="120"/>
      <c r="FO73" s="120"/>
      <c r="FP73" s="120"/>
      <c r="FQ73" s="250">
        <v>1000</v>
      </c>
      <c r="FR73" s="205"/>
      <c r="FS73" s="209"/>
      <c r="FT73" s="205"/>
      <c r="FU73" s="205">
        <f t="shared" si="142"/>
        <v>1000</v>
      </c>
      <c r="FV73" s="205">
        <f t="shared" si="152"/>
        <v>2500</v>
      </c>
      <c r="FW73" s="120"/>
      <c r="FX73" s="120"/>
      <c r="FY73" s="120"/>
      <c r="FZ73" s="120"/>
      <c r="GA73" s="120"/>
      <c r="GB73" s="209"/>
      <c r="GC73" s="205"/>
      <c r="GD73" s="205">
        <f>SUM(FW73:GC73)</f>
        <v>0</v>
      </c>
      <c r="GE73" s="120"/>
      <c r="GF73" s="120"/>
      <c r="GG73" s="250">
        <v>2000</v>
      </c>
      <c r="GH73" s="120"/>
      <c r="GI73" s="120"/>
      <c r="GJ73" s="209"/>
      <c r="GK73" s="205"/>
      <c r="GL73" s="205">
        <f t="shared" si="144"/>
        <v>2000</v>
      </c>
      <c r="GM73" s="120"/>
      <c r="GN73" s="120"/>
      <c r="GO73" s="120"/>
      <c r="GP73" s="120"/>
      <c r="GQ73" s="120"/>
      <c r="GR73" s="209"/>
      <c r="GS73" s="205"/>
      <c r="GT73" s="205">
        <f t="shared" si="145"/>
        <v>0</v>
      </c>
      <c r="GU73" s="120"/>
      <c r="GV73" s="120"/>
      <c r="GW73" s="120"/>
      <c r="GX73" s="120"/>
      <c r="GY73" s="120"/>
      <c r="GZ73" s="209"/>
      <c r="HA73" s="205"/>
      <c r="HB73" s="205">
        <f t="shared" si="146"/>
        <v>0</v>
      </c>
      <c r="HC73" s="120"/>
      <c r="HD73" s="120"/>
      <c r="HE73" s="120"/>
      <c r="HF73" s="120"/>
      <c r="HG73" s="120"/>
      <c r="HH73" s="209"/>
      <c r="HI73" s="205"/>
      <c r="HJ73" s="205">
        <f t="shared" si="147"/>
        <v>0</v>
      </c>
      <c r="HK73" s="205">
        <f t="shared" si="153"/>
        <v>2000</v>
      </c>
      <c r="HL73" s="124"/>
      <c r="HM73" s="120"/>
      <c r="HN73" s="120"/>
      <c r="HO73" s="120"/>
      <c r="HP73" s="250">
        <v>1500</v>
      </c>
      <c r="HQ73" s="205"/>
      <c r="HR73" s="205"/>
      <c r="HS73" s="205">
        <f t="shared" si="154"/>
        <v>1500</v>
      </c>
      <c r="HT73" s="120"/>
      <c r="HU73" s="120"/>
      <c r="HV73" s="120"/>
      <c r="HW73" s="120"/>
      <c r="HX73" s="120"/>
      <c r="HY73" s="205"/>
      <c r="HZ73" s="205"/>
      <c r="IA73" s="205">
        <f t="shared" si="155"/>
        <v>0</v>
      </c>
      <c r="IB73" s="120"/>
      <c r="IC73" s="120"/>
      <c r="ID73" s="217">
        <v>1000</v>
      </c>
      <c r="IE73" s="120"/>
      <c r="IF73" s="120"/>
      <c r="IG73" s="205"/>
      <c r="IH73" s="205"/>
      <c r="II73" s="205">
        <f t="shared" si="156"/>
        <v>1000</v>
      </c>
      <c r="IJ73" s="120"/>
      <c r="IK73" s="120"/>
      <c r="IL73" s="120"/>
      <c r="IM73" s="120"/>
      <c r="IN73" s="120"/>
      <c r="IO73" s="205"/>
      <c r="IP73" s="205"/>
      <c r="IQ73" s="205">
        <f t="shared" si="157"/>
        <v>0</v>
      </c>
      <c r="IR73" s="205">
        <f t="shared" si="158"/>
        <v>2500</v>
      </c>
      <c r="IS73" s="120"/>
      <c r="IT73" s="120"/>
      <c r="IU73" s="120"/>
      <c r="IV73" s="120"/>
      <c r="IW73" s="120"/>
      <c r="IX73" s="205"/>
      <c r="IY73" s="205"/>
      <c r="IZ73" s="205">
        <f t="shared" si="159"/>
        <v>0</v>
      </c>
      <c r="JA73" s="124">
        <v>1000</v>
      </c>
      <c r="JB73" s="120"/>
      <c r="JC73" s="120"/>
      <c r="JD73" s="120"/>
      <c r="JE73" s="120"/>
      <c r="JF73" s="205"/>
      <c r="JG73" s="205"/>
      <c r="JH73" s="205">
        <f t="shared" si="160"/>
        <v>1000</v>
      </c>
      <c r="JI73" s="120"/>
      <c r="JJ73" s="120"/>
      <c r="JK73" s="120"/>
      <c r="JL73" s="120"/>
      <c r="JM73" s="120"/>
      <c r="JN73" s="205"/>
      <c r="JO73" s="205"/>
      <c r="JP73" s="205">
        <f t="shared" si="161"/>
        <v>0</v>
      </c>
      <c r="JQ73" s="120"/>
      <c r="JR73" s="120"/>
      <c r="JS73" s="120"/>
      <c r="JT73" s="120"/>
      <c r="JU73" s="120"/>
      <c r="JV73" s="205"/>
      <c r="JW73" s="205"/>
      <c r="JX73" s="205">
        <f t="shared" si="162"/>
        <v>0</v>
      </c>
      <c r="JY73" s="205">
        <f t="shared" si="558"/>
        <v>1000</v>
      </c>
      <c r="JZ73" s="120"/>
      <c r="KA73" s="250">
        <v>600</v>
      </c>
      <c r="KB73" s="120"/>
      <c r="KC73" s="120"/>
      <c r="KD73" s="120"/>
      <c r="KE73" s="205"/>
      <c r="KF73" s="205"/>
      <c r="KG73" s="205">
        <f t="shared" si="164"/>
        <v>600</v>
      </c>
      <c r="KH73" s="120"/>
      <c r="KI73" s="120"/>
      <c r="KJ73" s="120"/>
      <c r="KK73" s="120"/>
      <c r="KL73" s="120"/>
      <c r="KM73" s="205"/>
      <c r="KN73" s="205"/>
      <c r="KO73" s="205">
        <f t="shared" si="165"/>
        <v>0</v>
      </c>
      <c r="KP73" s="120"/>
      <c r="KQ73" s="120"/>
      <c r="KR73" s="120"/>
      <c r="KS73" s="120"/>
      <c r="KT73" s="120"/>
      <c r="KU73" s="205"/>
      <c r="KV73" s="205"/>
      <c r="KW73" s="205">
        <f t="shared" si="166"/>
        <v>0</v>
      </c>
      <c r="KX73" s="120"/>
      <c r="KY73" s="120"/>
      <c r="KZ73" s="120"/>
      <c r="LA73" s="120"/>
      <c r="LB73" s="120"/>
      <c r="LC73" s="205"/>
      <c r="LD73" s="205"/>
      <c r="LE73" s="205">
        <f t="shared" si="167"/>
        <v>0</v>
      </c>
      <c r="LF73" s="205"/>
      <c r="LG73" s="120"/>
      <c r="LH73" s="195">
        <v>900</v>
      </c>
      <c r="LI73" s="120"/>
      <c r="LJ73" s="120"/>
      <c r="LK73" s="205"/>
      <c r="LL73" s="205"/>
      <c r="LM73" s="205">
        <f t="shared" si="168"/>
        <v>900</v>
      </c>
      <c r="LN73" s="205">
        <f t="shared" si="169"/>
        <v>600</v>
      </c>
      <c r="LO73" s="205"/>
      <c r="LP73" s="120"/>
      <c r="LQ73" s="120"/>
      <c r="LR73" s="120"/>
      <c r="LS73" s="205"/>
      <c r="LT73" s="205"/>
      <c r="LU73" s="205"/>
      <c r="LV73" s="205">
        <f t="shared" si="170"/>
        <v>0</v>
      </c>
      <c r="LW73" s="120"/>
      <c r="LX73" s="124">
        <v>400</v>
      </c>
      <c r="LY73" s="120"/>
      <c r="LZ73" s="120"/>
      <c r="MA73" s="120"/>
      <c r="MB73" s="205"/>
      <c r="MC73" s="205"/>
      <c r="MD73" s="205">
        <f t="shared" si="171"/>
        <v>400</v>
      </c>
      <c r="ME73" s="120"/>
      <c r="MF73" s="120"/>
      <c r="MG73" s="120"/>
      <c r="MH73" s="201">
        <v>1100</v>
      </c>
      <c r="MI73" s="205"/>
      <c r="MJ73" s="205"/>
      <c r="MK73" s="205"/>
      <c r="ML73" s="205">
        <f t="shared" si="172"/>
        <v>1100</v>
      </c>
      <c r="MM73" s="120"/>
      <c r="MN73" s="120"/>
      <c r="MO73" s="120"/>
      <c r="MP73" s="120"/>
      <c r="MQ73" s="120"/>
      <c r="MR73" s="205"/>
      <c r="MS73" s="205"/>
      <c r="MT73" s="205">
        <f t="shared" si="173"/>
        <v>0</v>
      </c>
      <c r="MU73" s="205">
        <f t="shared" si="174"/>
        <v>2400</v>
      </c>
      <c r="MV73" s="120"/>
      <c r="MW73" s="120"/>
      <c r="MX73" s="120"/>
      <c r="MY73" s="120"/>
      <c r="MZ73" s="120"/>
      <c r="NA73" s="205"/>
      <c r="NB73" s="205"/>
      <c r="NC73" s="205">
        <f t="shared" si="175"/>
        <v>0</v>
      </c>
      <c r="ND73" s="120"/>
      <c r="NE73" s="120"/>
      <c r="NF73" s="124">
        <v>1000</v>
      </c>
      <c r="NG73" s="120"/>
      <c r="NH73" s="120"/>
      <c r="NI73" s="205"/>
      <c r="NJ73" s="205"/>
      <c r="NK73" s="205">
        <f t="shared" si="176"/>
        <v>1000</v>
      </c>
      <c r="NL73" s="120"/>
      <c r="NM73" s="120"/>
      <c r="NN73" s="120"/>
      <c r="NO73" s="120"/>
      <c r="NP73" s="120"/>
      <c r="NQ73" s="205"/>
      <c r="NR73" s="205"/>
      <c r="NS73" s="205">
        <f t="shared" si="177"/>
        <v>0</v>
      </c>
      <c r="NT73" s="120"/>
      <c r="NU73" s="120"/>
      <c r="NV73" s="201">
        <v>1000</v>
      </c>
      <c r="NW73" s="120"/>
      <c r="NX73" s="120"/>
      <c r="NY73" s="205"/>
      <c r="NZ73" s="205"/>
      <c r="OA73" s="205">
        <f t="shared" si="178"/>
        <v>1000</v>
      </c>
      <c r="OB73" s="205">
        <f t="shared" si="179"/>
        <v>2000</v>
      </c>
      <c r="OC73" s="120"/>
      <c r="OD73" s="120"/>
      <c r="OE73" s="120"/>
      <c r="OF73" s="120"/>
      <c r="OG73" s="120"/>
      <c r="OH73" s="205"/>
      <c r="OI73" s="205"/>
      <c r="OJ73" s="205">
        <f t="shared" si="180"/>
        <v>0</v>
      </c>
      <c r="OK73" s="195">
        <v>900</v>
      </c>
      <c r="OL73" s="120"/>
      <c r="OM73" s="120"/>
      <c r="ON73" s="120"/>
      <c r="OO73" s="120"/>
      <c r="OP73" s="205"/>
      <c r="OQ73" s="205"/>
      <c r="OR73" s="205">
        <f t="shared" si="181"/>
        <v>900</v>
      </c>
      <c r="OS73" s="195">
        <v>1000</v>
      </c>
      <c r="OT73" s="120"/>
      <c r="OU73" s="120"/>
      <c r="OV73" s="120"/>
      <c r="OW73" s="120"/>
      <c r="OX73" s="205"/>
      <c r="OY73" s="205"/>
      <c r="OZ73" s="205">
        <f t="shared" si="182"/>
        <v>1000</v>
      </c>
      <c r="PA73" s="120"/>
      <c r="PB73" s="120"/>
      <c r="PC73" s="120"/>
      <c r="PD73" s="205"/>
      <c r="PE73" s="217"/>
      <c r="PF73" s="205"/>
      <c r="PG73" s="205"/>
      <c r="PH73" s="205">
        <f t="shared" si="183"/>
        <v>0</v>
      </c>
      <c r="PI73" s="120"/>
      <c r="PJ73" s="120"/>
      <c r="PK73" s="120"/>
      <c r="PL73" s="205"/>
      <c r="PM73" s="217"/>
      <c r="PN73" s="205"/>
      <c r="PO73" s="205"/>
      <c r="PP73" s="205">
        <f t="shared" si="184"/>
        <v>0</v>
      </c>
      <c r="PQ73" s="205">
        <f t="shared" si="185"/>
        <v>1900</v>
      </c>
      <c r="PR73" s="207"/>
      <c r="PS73" s="207"/>
      <c r="PT73" s="207"/>
      <c r="PU73" s="207"/>
      <c r="PV73" s="207"/>
      <c r="PW73" s="272"/>
      <c r="PX73" s="272"/>
      <c r="PY73" s="205">
        <f t="shared" si="559"/>
        <v>0</v>
      </c>
      <c r="PZ73" s="195">
        <v>2000</v>
      </c>
      <c r="QA73" s="207"/>
      <c r="QB73" s="207"/>
      <c r="QC73" s="207"/>
      <c r="QD73" s="207"/>
      <c r="QE73" s="272"/>
      <c r="QF73" s="272"/>
      <c r="QG73" s="205">
        <f t="shared" si="560"/>
        <v>2000</v>
      </c>
      <c r="QH73" s="207"/>
      <c r="QI73" s="207"/>
      <c r="QJ73" s="294"/>
      <c r="QK73" s="217">
        <v>600</v>
      </c>
      <c r="QL73" s="207"/>
      <c r="QM73" s="272"/>
      <c r="QN73" s="272"/>
      <c r="QO73" s="205">
        <f t="shared" si="561"/>
        <v>600</v>
      </c>
      <c r="QP73" s="207"/>
      <c r="QQ73" s="207"/>
      <c r="QR73" s="207"/>
      <c r="QS73" s="207"/>
      <c r="QT73" s="207"/>
      <c r="QU73" s="272"/>
      <c r="QV73" s="272"/>
      <c r="QW73" s="205">
        <f t="shared" si="320"/>
        <v>0</v>
      </c>
      <c r="QX73" s="205">
        <f t="shared" si="562"/>
        <v>2600</v>
      </c>
      <c r="QY73" s="120"/>
      <c r="QZ73" s="207"/>
      <c r="RA73" s="207"/>
      <c r="RB73" s="207"/>
      <c r="RC73" s="207"/>
      <c r="RD73" s="272"/>
      <c r="RE73" s="272"/>
      <c r="RF73" s="205">
        <f t="shared" si="563"/>
        <v>0</v>
      </c>
      <c r="RG73" s="201">
        <v>1500</v>
      </c>
      <c r="RH73" s="207"/>
      <c r="RI73" s="207"/>
      <c r="RJ73" s="207"/>
      <c r="RK73" s="207"/>
      <c r="RL73" s="272"/>
      <c r="RM73" s="272"/>
      <c r="RN73" s="205">
        <f t="shared" si="530"/>
        <v>1500</v>
      </c>
      <c r="RO73" s="272"/>
      <c r="RP73" s="272"/>
      <c r="RQ73" s="272"/>
      <c r="RR73" s="272"/>
      <c r="RS73" s="272"/>
      <c r="RT73" s="272"/>
      <c r="RU73" s="272"/>
      <c r="RV73" s="205">
        <f t="shared" si="564"/>
        <v>0</v>
      </c>
      <c r="RW73" s="207"/>
      <c r="RX73" s="123">
        <v>200</v>
      </c>
      <c r="RY73" s="207"/>
      <c r="RZ73" s="207"/>
      <c r="SA73" s="272"/>
      <c r="SB73" s="272"/>
      <c r="SC73" s="272"/>
      <c r="SD73" s="205">
        <f t="shared" si="565"/>
        <v>200</v>
      </c>
      <c r="SE73" s="205">
        <f t="shared" si="566"/>
        <v>1700</v>
      </c>
      <c r="SF73" s="207"/>
      <c r="SG73" s="207"/>
      <c r="SH73" s="207"/>
      <c r="SI73" s="207"/>
      <c r="SJ73" s="207"/>
      <c r="SK73" s="272"/>
      <c r="SL73" s="272"/>
      <c r="SM73" s="205">
        <f t="shared" si="567"/>
        <v>0</v>
      </c>
      <c r="SN73" s="207"/>
      <c r="SO73" s="207"/>
      <c r="SP73" s="207"/>
      <c r="SQ73" s="207"/>
      <c r="SR73" s="207"/>
      <c r="SS73" s="272"/>
      <c r="ST73" s="272"/>
      <c r="SU73" s="205">
        <f t="shared" si="568"/>
        <v>0</v>
      </c>
      <c r="SV73" s="207"/>
      <c r="SW73" s="217">
        <v>1100</v>
      </c>
      <c r="SX73" s="207"/>
      <c r="SY73" s="207"/>
      <c r="SZ73" s="207"/>
      <c r="TA73" s="272"/>
      <c r="TB73" s="272"/>
      <c r="TC73" s="205">
        <f t="shared" si="569"/>
        <v>1100</v>
      </c>
      <c r="TD73" s="207"/>
      <c r="TE73" s="207"/>
      <c r="TF73" s="207"/>
      <c r="TG73" s="207"/>
      <c r="TH73" s="207"/>
      <c r="TI73" s="272"/>
      <c r="TJ73" s="272"/>
      <c r="TK73" s="205">
        <f t="shared" si="570"/>
        <v>0</v>
      </c>
      <c r="TL73" s="207"/>
      <c r="TM73" s="207"/>
      <c r="TN73" s="207"/>
      <c r="TO73" s="207"/>
      <c r="TP73" s="272"/>
      <c r="TQ73" s="272"/>
      <c r="TR73" s="272"/>
      <c r="TS73" s="205">
        <f t="shared" si="571"/>
        <v>0</v>
      </c>
      <c r="TT73" s="205">
        <f t="shared" si="572"/>
        <v>1100</v>
      </c>
      <c r="TU73" s="272"/>
      <c r="TV73" s="201">
        <v>2000</v>
      </c>
      <c r="TW73" s="207"/>
      <c r="TX73" s="207"/>
      <c r="TY73" s="207"/>
      <c r="TZ73" s="272"/>
      <c r="UA73" s="272"/>
      <c r="UB73" s="205">
        <f t="shared" si="573"/>
        <v>2000</v>
      </c>
      <c r="UC73" s="207"/>
      <c r="UD73" s="207"/>
      <c r="UE73" s="207"/>
      <c r="UF73" s="207"/>
      <c r="UG73" s="207"/>
      <c r="UH73" s="272"/>
      <c r="UI73" s="272"/>
      <c r="UJ73" s="205">
        <f t="shared" si="574"/>
        <v>0</v>
      </c>
      <c r="UK73" s="207"/>
      <c r="UL73" s="207"/>
      <c r="UM73" s="217">
        <v>1800</v>
      </c>
      <c r="UN73" s="207"/>
      <c r="UO73" s="207"/>
      <c r="UP73" s="272"/>
      <c r="UQ73" s="272"/>
      <c r="UR73" s="205">
        <f t="shared" si="575"/>
        <v>1800</v>
      </c>
      <c r="US73" s="207"/>
      <c r="UT73" s="207"/>
      <c r="UU73" s="207"/>
      <c r="UV73" s="207"/>
      <c r="UW73" s="272"/>
      <c r="UX73" s="272"/>
      <c r="UY73" s="272"/>
      <c r="UZ73" s="205">
        <f t="shared" si="576"/>
        <v>0</v>
      </c>
      <c r="VA73" s="205">
        <f t="shared" si="577"/>
        <v>3800</v>
      </c>
      <c r="VB73" s="207"/>
      <c r="VC73" s="207"/>
      <c r="VD73" s="207"/>
      <c r="VE73" s="207"/>
      <c r="VF73" s="207"/>
      <c r="VG73" s="272"/>
      <c r="VH73" s="272"/>
      <c r="VI73" s="205">
        <f t="shared" si="578"/>
        <v>0</v>
      </c>
      <c r="VJ73" s="207"/>
      <c r="VK73" s="207"/>
      <c r="VL73" s="207"/>
      <c r="VM73" s="207"/>
      <c r="VN73" s="207"/>
      <c r="VO73" s="272"/>
      <c r="VP73" s="272"/>
      <c r="VQ73" s="205">
        <f t="shared" si="579"/>
        <v>0</v>
      </c>
      <c r="VR73" s="207"/>
      <c r="VS73" s="207"/>
      <c r="VT73" s="207"/>
      <c r="VU73" s="124">
        <v>870</v>
      </c>
      <c r="VV73" s="207"/>
      <c r="VW73" s="272"/>
      <c r="VX73" s="272"/>
      <c r="VY73" s="205">
        <f t="shared" si="580"/>
        <v>870</v>
      </c>
      <c r="VZ73" s="207"/>
      <c r="WA73" s="207"/>
      <c r="WB73" s="207"/>
      <c r="WC73" s="207"/>
      <c r="WD73" s="207"/>
      <c r="WE73" s="272"/>
      <c r="WF73" s="272"/>
      <c r="WG73" s="205">
        <f t="shared" si="581"/>
        <v>0</v>
      </c>
      <c r="WH73" s="205">
        <f t="shared" si="582"/>
        <v>870</v>
      </c>
      <c r="WI73" s="207"/>
      <c r="WJ73" s="124">
        <v>1650</v>
      </c>
      <c r="WK73" s="207"/>
      <c r="WL73" s="207"/>
      <c r="WM73" s="207"/>
      <c r="WN73" s="272"/>
      <c r="WO73" s="272"/>
      <c r="WP73" s="205">
        <f t="shared" si="583"/>
        <v>1650</v>
      </c>
      <c r="WQ73" s="207"/>
      <c r="WR73" s="207"/>
      <c r="WS73" s="207"/>
      <c r="WT73" s="207"/>
      <c r="WU73" s="207"/>
      <c r="WV73" s="272"/>
      <c r="WW73" s="272"/>
      <c r="WX73" s="205">
        <f t="shared" si="531"/>
        <v>0</v>
      </c>
      <c r="WY73" s="207"/>
      <c r="WZ73" s="207"/>
      <c r="XA73" s="207"/>
      <c r="XB73" s="207"/>
      <c r="XC73" s="272"/>
      <c r="XD73" s="272"/>
      <c r="XE73" s="272"/>
      <c r="XF73" s="205">
        <f t="shared" si="584"/>
        <v>0</v>
      </c>
      <c r="XG73" s="207"/>
      <c r="XH73" s="207"/>
      <c r="XI73" s="207"/>
      <c r="XJ73" s="207"/>
      <c r="XK73" s="207"/>
      <c r="XL73" s="272"/>
      <c r="XM73" s="272"/>
      <c r="XN73" s="205">
        <f t="shared" si="585"/>
        <v>0</v>
      </c>
      <c r="XO73" s="207"/>
      <c r="XP73" s="207"/>
      <c r="XQ73" s="207"/>
      <c r="XR73" s="207"/>
      <c r="XS73" s="207"/>
      <c r="XT73" s="272"/>
      <c r="XU73" s="272"/>
      <c r="XV73" s="205">
        <f t="shared" si="586"/>
        <v>0</v>
      </c>
      <c r="XW73" s="205">
        <f t="shared" si="587"/>
        <v>1650</v>
      </c>
      <c r="XX73" s="207"/>
      <c r="XY73" s="124">
        <v>850</v>
      </c>
      <c r="XZ73" s="207"/>
      <c r="YA73" s="207"/>
      <c r="YB73" s="207"/>
      <c r="YC73" s="272"/>
      <c r="YD73" s="272"/>
      <c r="YE73" s="205">
        <f t="shared" si="588"/>
        <v>850</v>
      </c>
      <c r="YF73" s="207"/>
      <c r="YG73" s="207"/>
      <c r="YH73" s="207"/>
      <c r="YI73" s="207"/>
      <c r="YJ73" s="207"/>
      <c r="YK73" s="272"/>
      <c r="YL73" s="272"/>
      <c r="YM73" s="205">
        <f t="shared" si="589"/>
        <v>0</v>
      </c>
      <c r="YN73" s="207"/>
      <c r="YO73" s="207"/>
      <c r="YP73" s="207"/>
      <c r="YQ73" s="207"/>
      <c r="YR73" s="207"/>
      <c r="YS73" s="272"/>
      <c r="YT73" s="272"/>
      <c r="YU73" s="205">
        <f t="shared" si="544"/>
        <v>0</v>
      </c>
      <c r="YV73" s="207"/>
      <c r="YW73" s="207"/>
      <c r="YX73" s="207"/>
      <c r="YY73" s="207"/>
      <c r="YZ73" s="207"/>
      <c r="ZA73" s="272"/>
      <c r="ZB73" s="272"/>
      <c r="ZC73" s="205">
        <f t="shared" si="590"/>
        <v>0</v>
      </c>
      <c r="ZD73" s="205">
        <f t="shared" si="516"/>
        <v>850</v>
      </c>
      <c r="ZE73" s="207"/>
      <c r="ZF73" s="124">
        <v>2000</v>
      </c>
      <c r="ZG73" s="207"/>
      <c r="ZH73" s="207"/>
      <c r="ZI73" s="207"/>
      <c r="ZJ73" s="272"/>
      <c r="ZK73" s="272"/>
      <c r="ZL73" s="205">
        <f t="shared" si="591"/>
        <v>2000</v>
      </c>
      <c r="ZM73" s="207"/>
      <c r="ZN73" s="207"/>
      <c r="ZO73" s="207"/>
      <c r="ZP73" s="207"/>
      <c r="ZQ73" s="207"/>
      <c r="ZR73" s="272"/>
      <c r="ZS73" s="272"/>
      <c r="ZT73" s="205">
        <f t="shared" si="592"/>
        <v>0</v>
      </c>
      <c r="ZU73" s="207"/>
      <c r="ZV73" s="207"/>
      <c r="ZW73" s="207"/>
      <c r="ZX73" s="207"/>
      <c r="ZY73" s="207"/>
      <c r="ZZ73" s="272"/>
      <c r="AAA73" s="272"/>
      <c r="AAB73" s="205">
        <f t="shared" si="593"/>
        <v>0</v>
      </c>
      <c r="AAC73" s="207"/>
      <c r="AAD73" s="207"/>
      <c r="AAE73" s="207"/>
      <c r="AAF73" s="207"/>
      <c r="AAG73" s="207"/>
      <c r="AAH73" s="272"/>
      <c r="AAI73" s="272"/>
      <c r="AAJ73" s="205">
        <f t="shared" si="594"/>
        <v>0</v>
      </c>
      <c r="AAK73" s="207"/>
      <c r="AAL73" s="207"/>
      <c r="AAM73" s="207"/>
      <c r="AAN73" s="207"/>
      <c r="AAO73" s="207"/>
      <c r="AAP73" s="272"/>
      <c r="AAQ73" s="272"/>
      <c r="AAR73" s="205">
        <f t="shared" si="595"/>
        <v>0</v>
      </c>
      <c r="AAS73" s="205">
        <f t="shared" si="596"/>
        <v>2000</v>
      </c>
    </row>
    <row r="74" spans="1:721" ht="69" hidden="1" customHeight="1">
      <c r="B74" s="164" t="s">
        <v>777</v>
      </c>
      <c r="C74" s="330"/>
      <c r="D74" s="163" t="s">
        <v>778</v>
      </c>
      <c r="E74" s="130" t="s">
        <v>4</v>
      </c>
      <c r="F74" s="120"/>
      <c r="G74" s="120"/>
      <c r="H74" s="120"/>
      <c r="I74" s="120"/>
      <c r="J74" s="120"/>
      <c r="K74" s="209"/>
      <c r="L74" s="205"/>
      <c r="M74" s="205">
        <f t="shared" ref="M74:M75" si="610">SUM(F74:L74)</f>
        <v>0</v>
      </c>
      <c r="N74" s="120"/>
      <c r="O74" s="120"/>
      <c r="P74" s="120"/>
      <c r="Q74" s="120"/>
      <c r="R74" s="120"/>
      <c r="S74" s="209"/>
      <c r="T74" s="205"/>
      <c r="U74" s="205">
        <f t="shared" ref="U74:U75" si="611">SUM(N74:T74)</f>
        <v>0</v>
      </c>
      <c r="V74" s="120"/>
      <c r="W74" s="120"/>
      <c r="X74" s="120"/>
      <c r="Y74" s="120"/>
      <c r="Z74" s="120"/>
      <c r="AA74" s="209"/>
      <c r="AB74" s="205"/>
      <c r="AC74" s="205">
        <f t="shared" ref="AC74:AC75" si="612">SUM(V74:AB74)</f>
        <v>0</v>
      </c>
      <c r="AD74" s="205"/>
      <c r="AE74" s="205"/>
      <c r="AF74" s="205"/>
      <c r="AG74" s="205"/>
      <c r="AH74" s="205"/>
      <c r="AI74" s="209"/>
      <c r="AJ74" s="205"/>
      <c r="AK74" s="205">
        <f t="shared" ref="AK74:AK75" si="613">SUM(AD74:AJ74)</f>
        <v>0</v>
      </c>
      <c r="AL74" s="205" t="e">
        <f>SUM(#REF!,M74,U74,AC74,AD74:AH74)</f>
        <v>#REF!</v>
      </c>
      <c r="AM74" s="120"/>
      <c r="AN74" s="120"/>
      <c r="AO74" s="120"/>
      <c r="AP74" s="120"/>
      <c r="AQ74" s="120"/>
      <c r="AR74" s="209"/>
      <c r="AS74" s="205"/>
      <c r="AT74" s="205">
        <f t="shared" ref="AT74:AT75" si="614">SUM(AM74:AS74)</f>
        <v>0</v>
      </c>
      <c r="AU74" s="120"/>
      <c r="AV74" s="120"/>
      <c r="AW74" s="120"/>
      <c r="AX74" s="120"/>
      <c r="AY74" s="120"/>
      <c r="AZ74" s="209"/>
      <c r="BA74" s="205"/>
      <c r="BB74" s="205">
        <f t="shared" ref="BB74:BB75" si="615">SUM(AU74:BA74)</f>
        <v>0</v>
      </c>
      <c r="BC74" s="120"/>
      <c r="BD74" s="120"/>
      <c r="BE74" s="120"/>
      <c r="BF74" s="120"/>
      <c r="BG74" s="120"/>
      <c r="BH74" s="209"/>
      <c r="BI74" s="205"/>
      <c r="BJ74" s="205">
        <f t="shared" ref="BJ74:BJ75" si="616">SUM(BC74:BI74)</f>
        <v>0</v>
      </c>
      <c r="BK74" s="120"/>
      <c r="BL74" s="120"/>
      <c r="BM74" s="120"/>
      <c r="BN74" s="120"/>
      <c r="BO74" s="205"/>
      <c r="BP74" s="209"/>
      <c r="BQ74" s="205"/>
      <c r="BR74" s="205">
        <f t="shared" si="248"/>
        <v>0</v>
      </c>
      <c r="BS74" s="205">
        <f t="shared" si="129"/>
        <v>0</v>
      </c>
      <c r="BT74" s="120"/>
      <c r="BU74" s="120"/>
      <c r="BV74" s="120"/>
      <c r="BW74" s="120"/>
      <c r="BX74" s="120"/>
      <c r="BY74" s="209"/>
      <c r="BZ74" s="205"/>
      <c r="CA74" s="205">
        <f t="shared" ref="CA74:CA75" si="617">SUM(BT74:BZ74)</f>
        <v>0</v>
      </c>
      <c r="CB74" s="120"/>
      <c r="CC74" s="120"/>
      <c r="CD74" s="120"/>
      <c r="CE74" s="120"/>
      <c r="CF74" s="120"/>
      <c r="CG74" s="209"/>
      <c r="CH74" s="205"/>
      <c r="CI74" s="205">
        <f t="shared" ref="CI74:CI75" si="618">SUM(CB74:CH74)</f>
        <v>0</v>
      </c>
      <c r="CJ74" s="120"/>
      <c r="CK74" s="120"/>
      <c r="CL74" s="120"/>
      <c r="CM74" s="120"/>
      <c r="CN74" s="120"/>
      <c r="CO74" s="209"/>
      <c r="CP74" s="205"/>
      <c r="CQ74" s="205">
        <f t="shared" ref="CQ74:CQ75" si="619">SUM(CJ74:CP74)</f>
        <v>0</v>
      </c>
      <c r="CR74" s="120"/>
      <c r="CS74" s="120"/>
      <c r="CT74" s="120"/>
      <c r="CU74" s="120"/>
      <c r="CV74" s="120"/>
      <c r="CW74" s="209"/>
      <c r="CX74" s="205"/>
      <c r="CY74" s="205">
        <f t="shared" ref="CY74:CY75" si="620">SUM(CR74:CX74)</f>
        <v>0</v>
      </c>
      <c r="CZ74" s="120"/>
      <c r="DA74" s="120"/>
      <c r="DB74" s="120"/>
      <c r="DC74" s="205"/>
      <c r="DD74" s="205"/>
      <c r="DE74" s="209"/>
      <c r="DF74" s="205"/>
      <c r="DG74" s="205">
        <f t="shared" ref="DG74:DG75" si="621">SUM(CZ74:DF74)</f>
        <v>0</v>
      </c>
      <c r="DH74" s="205">
        <f t="shared" si="150"/>
        <v>0</v>
      </c>
      <c r="DI74" s="120"/>
      <c r="DJ74" s="120"/>
      <c r="DK74" s="120"/>
      <c r="DL74" s="120"/>
      <c r="DM74" s="120"/>
      <c r="DN74" s="209"/>
      <c r="DO74" s="205"/>
      <c r="DP74" s="205">
        <f t="shared" si="228"/>
        <v>0</v>
      </c>
      <c r="DQ74" s="120"/>
      <c r="DR74" s="120"/>
      <c r="DS74" s="120"/>
      <c r="DT74" s="120"/>
      <c r="DU74" s="120"/>
      <c r="DV74" s="209"/>
      <c r="DW74" s="205"/>
      <c r="DX74" s="205">
        <f t="shared" si="136"/>
        <v>0</v>
      </c>
      <c r="DY74" s="120"/>
      <c r="DZ74" s="120"/>
      <c r="EA74" s="120"/>
      <c r="EB74" s="120"/>
      <c r="EC74" s="120"/>
      <c r="ED74" s="209"/>
      <c r="EE74" s="205"/>
      <c r="EF74" s="205">
        <f t="shared" si="137"/>
        <v>0</v>
      </c>
      <c r="EG74" s="120"/>
      <c r="EH74" s="120"/>
      <c r="EI74" s="120"/>
      <c r="EJ74" s="205"/>
      <c r="EK74" s="205"/>
      <c r="EL74" s="209"/>
      <c r="EM74" s="205"/>
      <c r="EN74" s="205">
        <f t="shared" si="138"/>
        <v>0</v>
      </c>
      <c r="EO74" s="205">
        <f t="shared" si="151"/>
        <v>0</v>
      </c>
      <c r="EP74" s="120"/>
      <c r="EQ74" s="120"/>
      <c r="ER74" s="120"/>
      <c r="ES74" s="120"/>
      <c r="ET74" s="120"/>
      <c r="EU74" s="209"/>
      <c r="EV74" s="205"/>
      <c r="EW74" s="205">
        <f t="shared" si="139"/>
        <v>0</v>
      </c>
      <c r="EX74" s="120"/>
      <c r="EY74" s="120"/>
      <c r="EZ74" s="120"/>
      <c r="FA74" s="120"/>
      <c r="FB74" s="120"/>
      <c r="FC74" s="209"/>
      <c r="FD74" s="205"/>
      <c r="FE74" s="205">
        <f t="shared" si="140"/>
        <v>0</v>
      </c>
      <c r="FF74" s="120"/>
      <c r="FG74" s="120"/>
      <c r="FH74" s="120"/>
      <c r="FI74" s="120"/>
      <c r="FJ74" s="120"/>
      <c r="FK74" s="209"/>
      <c r="FL74" s="205"/>
      <c r="FM74" s="205">
        <f t="shared" si="141"/>
        <v>0</v>
      </c>
      <c r="FN74" s="120"/>
      <c r="FO74" s="120"/>
      <c r="FP74" s="120"/>
      <c r="FQ74" s="120"/>
      <c r="FR74" s="205"/>
      <c r="FS74" s="209"/>
      <c r="FT74" s="205"/>
      <c r="FU74" s="205">
        <f t="shared" si="142"/>
        <v>0</v>
      </c>
      <c r="FV74" s="205">
        <f t="shared" si="152"/>
        <v>0</v>
      </c>
      <c r="FW74" s="120"/>
      <c r="FX74" s="120"/>
      <c r="FY74" s="120"/>
      <c r="FZ74" s="120"/>
      <c r="GA74" s="120"/>
      <c r="GB74" s="209"/>
      <c r="GC74" s="205"/>
      <c r="GD74" s="205">
        <f t="shared" ref="GD74:GD75" si="622">SUM(FW74:GC74)</f>
        <v>0</v>
      </c>
      <c r="GE74" s="120"/>
      <c r="GF74" s="120"/>
      <c r="GG74" s="120"/>
      <c r="GH74" s="120"/>
      <c r="GI74" s="120"/>
      <c r="GJ74" s="209"/>
      <c r="GK74" s="205"/>
      <c r="GL74" s="205">
        <f t="shared" si="144"/>
        <v>0</v>
      </c>
      <c r="GM74" s="120"/>
      <c r="GN74" s="120"/>
      <c r="GO74" s="120"/>
      <c r="GP74" s="120"/>
      <c r="GQ74" s="120"/>
      <c r="GR74" s="209"/>
      <c r="GS74" s="205"/>
      <c r="GT74" s="205">
        <f t="shared" si="145"/>
        <v>0</v>
      </c>
      <c r="GU74" s="120"/>
      <c r="GV74" s="120"/>
      <c r="GW74" s="120"/>
      <c r="GX74" s="120"/>
      <c r="GY74" s="120"/>
      <c r="GZ74" s="209"/>
      <c r="HA74" s="205"/>
      <c r="HB74" s="205">
        <f t="shared" si="146"/>
        <v>0</v>
      </c>
      <c r="HC74" s="120"/>
      <c r="HD74" s="120"/>
      <c r="HE74" s="120"/>
      <c r="HF74" s="120"/>
      <c r="HG74" s="120"/>
      <c r="HH74" s="209"/>
      <c r="HI74" s="205"/>
      <c r="HJ74" s="205">
        <f t="shared" si="147"/>
        <v>0</v>
      </c>
      <c r="HK74" s="205">
        <f t="shared" si="153"/>
        <v>0</v>
      </c>
      <c r="HL74" s="124"/>
      <c r="HM74" s="120"/>
      <c r="HN74" s="120"/>
      <c r="HO74" s="120"/>
      <c r="HP74" s="120"/>
      <c r="HQ74" s="205"/>
      <c r="HR74" s="205"/>
      <c r="HS74" s="205">
        <f t="shared" si="154"/>
        <v>0</v>
      </c>
      <c r="HT74" s="120"/>
      <c r="HU74" s="120"/>
      <c r="HV74" s="120"/>
      <c r="HW74" s="120"/>
      <c r="HX74" s="120"/>
      <c r="HY74" s="205"/>
      <c r="HZ74" s="205"/>
      <c r="IA74" s="205">
        <f t="shared" si="155"/>
        <v>0</v>
      </c>
      <c r="IB74" s="120"/>
      <c r="IC74" s="120"/>
      <c r="ID74" s="120"/>
      <c r="IE74" s="120"/>
      <c r="IF74" s="120"/>
      <c r="IG74" s="205"/>
      <c r="IH74" s="205"/>
      <c r="II74" s="205">
        <f t="shared" si="156"/>
        <v>0</v>
      </c>
      <c r="IJ74" s="120"/>
      <c r="IK74" s="120"/>
      <c r="IL74" s="120"/>
      <c r="IM74" s="120"/>
      <c r="IN74" s="120"/>
      <c r="IO74" s="205"/>
      <c r="IP74" s="205"/>
      <c r="IQ74" s="205">
        <f t="shared" si="157"/>
        <v>0</v>
      </c>
      <c r="IR74" s="205">
        <f t="shared" si="158"/>
        <v>0</v>
      </c>
      <c r="IS74" s="120"/>
      <c r="IT74" s="120"/>
      <c r="IU74" s="120"/>
      <c r="IV74" s="120"/>
      <c r="IW74" s="120"/>
      <c r="IX74" s="205"/>
      <c r="IY74" s="205"/>
      <c r="IZ74" s="205">
        <f t="shared" si="159"/>
        <v>0</v>
      </c>
      <c r="JA74" s="201"/>
      <c r="JB74" s="120"/>
      <c r="JC74" s="120"/>
      <c r="JD74" s="120"/>
      <c r="JE74" s="120"/>
      <c r="JF74" s="205"/>
      <c r="JG74" s="205"/>
      <c r="JH74" s="205">
        <f t="shared" si="160"/>
        <v>0</v>
      </c>
      <c r="JI74" s="120"/>
      <c r="JJ74" s="120"/>
      <c r="JK74" s="120"/>
      <c r="JL74" s="120"/>
      <c r="JM74" s="120"/>
      <c r="JN74" s="205"/>
      <c r="JO74" s="205"/>
      <c r="JP74" s="205">
        <f t="shared" si="161"/>
        <v>0</v>
      </c>
      <c r="JQ74" s="120"/>
      <c r="JR74" s="120"/>
      <c r="JS74" s="120"/>
      <c r="JT74" s="120"/>
      <c r="JU74" s="120"/>
      <c r="JV74" s="205"/>
      <c r="JW74" s="205"/>
      <c r="JX74" s="205">
        <f t="shared" si="162"/>
        <v>0</v>
      </c>
      <c r="JY74" s="205">
        <f t="shared" si="558"/>
        <v>0</v>
      </c>
      <c r="JZ74" s="120"/>
      <c r="KA74" s="250"/>
      <c r="KB74" s="120"/>
      <c r="KC74" s="120"/>
      <c r="KD74" s="120"/>
      <c r="KE74" s="205"/>
      <c r="KF74" s="205"/>
      <c r="KG74" s="205">
        <f t="shared" si="164"/>
        <v>0</v>
      </c>
      <c r="KH74" s="120"/>
      <c r="KI74" s="120"/>
      <c r="KJ74" s="120"/>
      <c r="KK74" s="120"/>
      <c r="KL74" s="120"/>
      <c r="KM74" s="205"/>
      <c r="KN74" s="205"/>
      <c r="KO74" s="205">
        <f t="shared" si="165"/>
        <v>0</v>
      </c>
      <c r="KP74" s="120"/>
      <c r="KQ74" s="120"/>
      <c r="KR74" s="120"/>
      <c r="KS74" s="120"/>
      <c r="KT74" s="120"/>
      <c r="KU74" s="205"/>
      <c r="KV74" s="205"/>
      <c r="KW74" s="205">
        <f t="shared" si="166"/>
        <v>0</v>
      </c>
      <c r="KX74" s="120"/>
      <c r="KY74" s="120"/>
      <c r="KZ74" s="120"/>
      <c r="LA74" s="120"/>
      <c r="LB74" s="120"/>
      <c r="LC74" s="205"/>
      <c r="LD74" s="205"/>
      <c r="LE74" s="205">
        <f t="shared" si="167"/>
        <v>0</v>
      </c>
      <c r="LF74" s="205"/>
      <c r="LG74" s="120"/>
      <c r="LH74" s="120"/>
      <c r="LI74" s="120"/>
      <c r="LJ74" s="120"/>
      <c r="LK74" s="205"/>
      <c r="LL74" s="205"/>
      <c r="LM74" s="205">
        <f t="shared" si="168"/>
        <v>0</v>
      </c>
      <c r="LN74" s="205">
        <f t="shared" si="169"/>
        <v>0</v>
      </c>
      <c r="LO74" s="205"/>
      <c r="LP74" s="120"/>
      <c r="LQ74" s="120"/>
      <c r="LR74" s="120"/>
      <c r="LS74" s="205"/>
      <c r="LT74" s="205"/>
      <c r="LU74" s="205"/>
      <c r="LV74" s="205">
        <f t="shared" si="170"/>
        <v>0</v>
      </c>
      <c r="LW74" s="120"/>
      <c r="LX74" s="120"/>
      <c r="LY74" s="120"/>
      <c r="LZ74" s="120"/>
      <c r="MA74" s="120"/>
      <c r="MB74" s="205"/>
      <c r="MC74" s="205"/>
      <c r="MD74" s="205">
        <f t="shared" si="171"/>
        <v>0</v>
      </c>
      <c r="ME74" s="120"/>
      <c r="MF74" s="120"/>
      <c r="MG74" s="120"/>
      <c r="MH74" s="120"/>
      <c r="MI74" s="205"/>
      <c r="MJ74" s="205"/>
      <c r="MK74" s="205"/>
      <c r="ML74" s="205">
        <f t="shared" si="172"/>
        <v>0</v>
      </c>
      <c r="MM74" s="120"/>
      <c r="MN74" s="120"/>
      <c r="MO74" s="120"/>
      <c r="MP74" s="120"/>
      <c r="MQ74" s="120"/>
      <c r="MR74" s="205"/>
      <c r="MS74" s="205"/>
      <c r="MT74" s="205">
        <f t="shared" si="173"/>
        <v>0</v>
      </c>
      <c r="MU74" s="205">
        <f t="shared" si="174"/>
        <v>0</v>
      </c>
      <c r="MV74" s="120"/>
      <c r="MW74" s="120"/>
      <c r="MX74" s="120"/>
      <c r="MY74" s="120"/>
      <c r="MZ74" s="120"/>
      <c r="NA74" s="205"/>
      <c r="NB74" s="205"/>
      <c r="NC74" s="205">
        <f t="shared" si="175"/>
        <v>0</v>
      </c>
      <c r="ND74" s="120"/>
      <c r="NE74" s="120"/>
      <c r="NF74" s="120"/>
      <c r="NG74" s="120"/>
      <c r="NH74" s="120"/>
      <c r="NI74" s="205"/>
      <c r="NJ74" s="205"/>
      <c r="NK74" s="205">
        <f t="shared" si="176"/>
        <v>0</v>
      </c>
      <c r="NL74" s="120"/>
      <c r="NM74" s="120"/>
      <c r="NN74" s="120"/>
      <c r="NO74" s="120"/>
      <c r="NP74" s="120"/>
      <c r="NQ74" s="205"/>
      <c r="NR74" s="205"/>
      <c r="NS74" s="205">
        <f t="shared" si="177"/>
        <v>0</v>
      </c>
      <c r="NT74" s="120"/>
      <c r="NU74" s="120"/>
      <c r="NV74" s="120"/>
      <c r="NW74" s="120"/>
      <c r="NX74" s="120"/>
      <c r="NY74" s="205"/>
      <c r="NZ74" s="205"/>
      <c r="OA74" s="205">
        <f t="shared" si="178"/>
        <v>0</v>
      </c>
      <c r="OB74" s="205">
        <f t="shared" si="179"/>
        <v>0</v>
      </c>
      <c r="OC74" s="120"/>
      <c r="OD74" s="120"/>
      <c r="OE74" s="120"/>
      <c r="OF74" s="120"/>
      <c r="OG74" s="120"/>
      <c r="OH74" s="205"/>
      <c r="OI74" s="205"/>
      <c r="OJ74" s="205">
        <f t="shared" si="180"/>
        <v>0</v>
      </c>
      <c r="OK74" s="120"/>
      <c r="OL74" s="120"/>
      <c r="OM74" s="120"/>
      <c r="ON74" s="120"/>
      <c r="OO74" s="120"/>
      <c r="OP74" s="205"/>
      <c r="OQ74" s="205"/>
      <c r="OR74" s="205">
        <f t="shared" si="181"/>
        <v>0</v>
      </c>
      <c r="OS74" s="120"/>
      <c r="OT74" s="120"/>
      <c r="OU74" s="120"/>
      <c r="OV74" s="120"/>
      <c r="OW74" s="120"/>
      <c r="OX74" s="205"/>
      <c r="OY74" s="205"/>
      <c r="OZ74" s="205">
        <f t="shared" si="182"/>
        <v>0</v>
      </c>
      <c r="PA74" s="120"/>
      <c r="PB74" s="120"/>
      <c r="PC74" s="120"/>
      <c r="PD74" s="205"/>
      <c r="PE74" s="217"/>
      <c r="PF74" s="205"/>
      <c r="PG74" s="205"/>
      <c r="PH74" s="205">
        <f t="shared" si="183"/>
        <v>0</v>
      </c>
      <c r="PI74" s="120"/>
      <c r="PJ74" s="120"/>
      <c r="PK74" s="120"/>
      <c r="PL74" s="205"/>
      <c r="PM74" s="217"/>
      <c r="PN74" s="205"/>
      <c r="PO74" s="205"/>
      <c r="PP74" s="205">
        <f t="shared" si="184"/>
        <v>0</v>
      </c>
      <c r="PQ74" s="205">
        <f t="shared" si="185"/>
        <v>0</v>
      </c>
      <c r="PR74" s="207"/>
      <c r="PS74" s="207"/>
      <c r="PT74" s="207"/>
      <c r="PU74" s="207"/>
      <c r="PV74" s="207"/>
      <c r="PW74" s="272"/>
      <c r="PX74" s="272"/>
      <c r="PY74" s="205">
        <f t="shared" si="559"/>
        <v>0</v>
      </c>
      <c r="PZ74" s="207"/>
      <c r="QA74" s="207"/>
      <c r="QB74" s="207"/>
      <c r="QC74" s="207"/>
      <c r="QD74" s="207"/>
      <c r="QE74" s="272"/>
      <c r="QF74" s="272"/>
      <c r="QG74" s="205">
        <f t="shared" si="560"/>
        <v>0</v>
      </c>
      <c r="QH74" s="207"/>
      <c r="QI74" s="207"/>
      <c r="QJ74" s="294"/>
      <c r="QK74" s="217"/>
      <c r="QL74" s="207"/>
      <c r="QM74" s="272"/>
      <c r="QN74" s="272"/>
      <c r="QO74" s="205">
        <f t="shared" si="561"/>
        <v>0</v>
      </c>
      <c r="QP74" s="207"/>
      <c r="QQ74" s="207"/>
      <c r="QR74" s="207"/>
      <c r="QS74" s="207"/>
      <c r="QT74" s="207"/>
      <c r="QU74" s="272"/>
      <c r="QV74" s="272"/>
      <c r="QW74" s="205">
        <f t="shared" si="320"/>
        <v>0</v>
      </c>
      <c r="QX74" s="205">
        <f t="shared" si="562"/>
        <v>0</v>
      </c>
      <c r="QY74" s="207"/>
      <c r="QZ74" s="207"/>
      <c r="RA74" s="207"/>
      <c r="RB74" s="207"/>
      <c r="RC74" s="207"/>
      <c r="RD74" s="272"/>
      <c r="RE74" s="272"/>
      <c r="RF74" s="205">
        <f t="shared" si="563"/>
        <v>0</v>
      </c>
      <c r="RG74" s="201"/>
      <c r="RH74" s="207"/>
      <c r="RI74" s="207"/>
      <c r="RJ74" s="207"/>
      <c r="RK74" s="207"/>
      <c r="RL74" s="272"/>
      <c r="RM74" s="272"/>
      <c r="RN74" s="205">
        <f t="shared" si="530"/>
        <v>0</v>
      </c>
      <c r="RO74" s="272"/>
      <c r="RP74" s="272"/>
      <c r="RQ74" s="272"/>
      <c r="RR74" s="272"/>
      <c r="RS74" s="272"/>
      <c r="RT74" s="272"/>
      <c r="RU74" s="272"/>
      <c r="RV74" s="205">
        <f t="shared" si="564"/>
        <v>0</v>
      </c>
      <c r="RW74" s="207"/>
      <c r="RX74" s="123"/>
      <c r="RY74" s="207"/>
      <c r="RZ74" s="207"/>
      <c r="SA74" s="272"/>
      <c r="SB74" s="272"/>
      <c r="SC74" s="272"/>
      <c r="SD74" s="205">
        <f t="shared" si="565"/>
        <v>0</v>
      </c>
      <c r="SE74" s="205">
        <f t="shared" si="566"/>
        <v>0</v>
      </c>
      <c r="SF74" s="207"/>
      <c r="SG74" s="207"/>
      <c r="SH74" s="207"/>
      <c r="SI74" s="207"/>
      <c r="SJ74" s="207"/>
      <c r="SK74" s="272"/>
      <c r="SL74" s="272"/>
      <c r="SM74" s="205">
        <f t="shared" si="567"/>
        <v>0</v>
      </c>
      <c r="SN74" s="207"/>
      <c r="SO74" s="207"/>
      <c r="SP74" s="207"/>
      <c r="SQ74" s="207"/>
      <c r="SR74" s="207"/>
      <c r="SS74" s="272"/>
      <c r="ST74" s="272"/>
      <c r="SU74" s="205">
        <f t="shared" si="568"/>
        <v>0</v>
      </c>
      <c r="SV74" s="207"/>
      <c r="SW74" s="217"/>
      <c r="SX74" s="207"/>
      <c r="SY74" s="207"/>
      <c r="SZ74" s="207"/>
      <c r="TA74" s="272"/>
      <c r="TB74" s="272"/>
      <c r="TC74" s="205">
        <f t="shared" si="569"/>
        <v>0</v>
      </c>
      <c r="TD74" s="207"/>
      <c r="TE74" s="207"/>
      <c r="TF74" s="207"/>
      <c r="TG74" s="207"/>
      <c r="TH74" s="207"/>
      <c r="TI74" s="272"/>
      <c r="TJ74" s="272"/>
      <c r="TK74" s="205">
        <f t="shared" si="570"/>
        <v>0</v>
      </c>
      <c r="TL74" s="207"/>
      <c r="TM74" s="207"/>
      <c r="TN74" s="207"/>
      <c r="TO74" s="207"/>
      <c r="TP74" s="272"/>
      <c r="TQ74" s="272"/>
      <c r="TR74" s="272"/>
      <c r="TS74" s="205">
        <f t="shared" si="571"/>
        <v>0</v>
      </c>
      <c r="TT74" s="205">
        <f t="shared" si="572"/>
        <v>0</v>
      </c>
      <c r="TU74" s="272"/>
      <c r="TV74" s="195"/>
      <c r="TW74" s="207"/>
      <c r="TX74" s="207"/>
      <c r="TY74" s="207"/>
      <c r="TZ74" s="272"/>
      <c r="UA74" s="272"/>
      <c r="UB74" s="205">
        <f t="shared" si="573"/>
        <v>0</v>
      </c>
      <c r="UC74" s="207"/>
      <c r="UD74" s="207"/>
      <c r="UE74" s="207"/>
      <c r="UF74" s="207"/>
      <c r="UG74" s="207"/>
      <c r="UH74" s="272"/>
      <c r="UI74" s="272"/>
      <c r="UJ74" s="205">
        <f t="shared" si="574"/>
        <v>0</v>
      </c>
      <c r="UK74" s="207"/>
      <c r="UL74" s="207"/>
      <c r="UM74" s="217"/>
      <c r="UN74" s="207"/>
      <c r="UO74" s="207"/>
      <c r="UP74" s="272"/>
      <c r="UQ74" s="272"/>
      <c r="UR74" s="205">
        <f t="shared" si="575"/>
        <v>0</v>
      </c>
      <c r="US74" s="207"/>
      <c r="UT74" s="207"/>
      <c r="UU74" s="207"/>
      <c r="UV74" s="207"/>
      <c r="UW74" s="272"/>
      <c r="UX74" s="272"/>
      <c r="UY74" s="272"/>
      <c r="UZ74" s="205">
        <f t="shared" si="576"/>
        <v>0</v>
      </c>
      <c r="VA74" s="205">
        <f t="shared" si="577"/>
        <v>0</v>
      </c>
      <c r="VB74" s="207"/>
      <c r="VC74" s="207"/>
      <c r="VD74" s="207"/>
      <c r="VE74" s="207"/>
      <c r="VF74" s="207"/>
      <c r="VG74" s="272"/>
      <c r="VH74" s="272"/>
      <c r="VI74" s="205">
        <f t="shared" si="578"/>
        <v>0</v>
      </c>
      <c r="VJ74" s="207"/>
      <c r="VK74" s="207"/>
      <c r="VL74" s="207"/>
      <c r="VM74" s="207"/>
      <c r="VN74" s="207"/>
      <c r="VO74" s="272"/>
      <c r="VP74" s="272"/>
      <c r="VQ74" s="205">
        <f t="shared" si="579"/>
        <v>0</v>
      </c>
      <c r="VR74" s="207"/>
      <c r="VS74" s="207"/>
      <c r="VT74" s="207"/>
      <c r="VU74" s="124"/>
      <c r="VV74" s="207"/>
      <c r="VW74" s="272"/>
      <c r="VX74" s="272"/>
      <c r="VY74" s="205">
        <f t="shared" si="580"/>
        <v>0</v>
      </c>
      <c r="VZ74" s="207"/>
      <c r="WA74" s="207"/>
      <c r="WB74" s="207"/>
      <c r="WC74" s="207"/>
      <c r="WD74" s="207"/>
      <c r="WE74" s="272"/>
      <c r="WF74" s="272"/>
      <c r="WG74" s="205">
        <f t="shared" si="581"/>
        <v>0</v>
      </c>
      <c r="WH74" s="205">
        <f t="shared" si="582"/>
        <v>0</v>
      </c>
      <c r="WI74" s="207"/>
      <c r="WJ74" s="124"/>
      <c r="WK74" s="207"/>
      <c r="WL74" s="207"/>
      <c r="WM74" s="207"/>
      <c r="WN74" s="272"/>
      <c r="WO74" s="272"/>
      <c r="WP74" s="205">
        <f t="shared" si="583"/>
        <v>0</v>
      </c>
      <c r="WQ74" s="207"/>
      <c r="WR74" s="207"/>
      <c r="WS74" s="207"/>
      <c r="WT74" s="207"/>
      <c r="WU74" s="207"/>
      <c r="WV74" s="272"/>
      <c r="WW74" s="272"/>
      <c r="WX74" s="205">
        <f t="shared" si="531"/>
        <v>0</v>
      </c>
      <c r="WY74" s="207"/>
      <c r="WZ74" s="207"/>
      <c r="XA74" s="207"/>
      <c r="XB74" s="207"/>
      <c r="XC74" s="272"/>
      <c r="XD74" s="272"/>
      <c r="XE74" s="272"/>
      <c r="XF74" s="205">
        <f t="shared" si="584"/>
        <v>0</v>
      </c>
      <c r="XG74" s="207"/>
      <c r="XH74" s="207"/>
      <c r="XI74" s="207"/>
      <c r="XJ74" s="207"/>
      <c r="XK74" s="207"/>
      <c r="XL74" s="272"/>
      <c r="XM74" s="272"/>
      <c r="XN74" s="205">
        <f t="shared" si="585"/>
        <v>0</v>
      </c>
      <c r="XO74" s="207"/>
      <c r="XP74" s="207"/>
      <c r="XQ74" s="207"/>
      <c r="XR74" s="207"/>
      <c r="XS74" s="207"/>
      <c r="XT74" s="272"/>
      <c r="XU74" s="272"/>
      <c r="XV74" s="205">
        <f t="shared" si="586"/>
        <v>0</v>
      </c>
      <c r="XW74" s="205">
        <f t="shared" si="587"/>
        <v>0</v>
      </c>
      <c r="XX74" s="207"/>
      <c r="XY74" s="124"/>
      <c r="XZ74" s="207"/>
      <c r="YA74" s="207"/>
      <c r="YB74" s="207"/>
      <c r="YC74" s="272"/>
      <c r="YD74" s="272"/>
      <c r="YE74" s="205">
        <f t="shared" si="588"/>
        <v>0</v>
      </c>
      <c r="YF74" s="207"/>
      <c r="YG74" s="207"/>
      <c r="YH74" s="207"/>
      <c r="YI74" s="207"/>
      <c r="YJ74" s="207"/>
      <c r="YK74" s="272"/>
      <c r="YL74" s="272"/>
      <c r="YM74" s="205">
        <f t="shared" si="589"/>
        <v>0</v>
      </c>
      <c r="YN74" s="207"/>
      <c r="YO74" s="207"/>
      <c r="YP74" s="207"/>
      <c r="YQ74" s="207"/>
      <c r="YR74" s="207"/>
      <c r="YS74" s="272"/>
      <c r="YT74" s="272"/>
      <c r="YU74" s="205">
        <f t="shared" si="544"/>
        <v>0</v>
      </c>
      <c r="YV74" s="207"/>
      <c r="YW74" s="207"/>
      <c r="YX74" s="207"/>
      <c r="YY74" s="207"/>
      <c r="YZ74" s="207"/>
      <c r="ZA74" s="272"/>
      <c r="ZB74" s="272"/>
      <c r="ZC74" s="205">
        <f t="shared" si="590"/>
        <v>0</v>
      </c>
      <c r="ZD74" s="205">
        <f t="shared" si="516"/>
        <v>0</v>
      </c>
      <c r="ZE74" s="207"/>
      <c r="ZF74" s="207"/>
      <c r="ZG74" s="207"/>
      <c r="ZH74" s="207"/>
      <c r="ZI74" s="207"/>
      <c r="ZJ74" s="272"/>
      <c r="ZK74" s="272"/>
      <c r="ZL74" s="205">
        <f t="shared" si="591"/>
        <v>0</v>
      </c>
      <c r="ZM74" s="207"/>
      <c r="ZN74" s="207"/>
      <c r="ZO74" s="207"/>
      <c r="ZP74" s="207"/>
      <c r="ZQ74" s="207"/>
      <c r="ZR74" s="272"/>
      <c r="ZS74" s="272"/>
      <c r="ZT74" s="205">
        <f t="shared" si="592"/>
        <v>0</v>
      </c>
      <c r="ZU74" s="207"/>
      <c r="ZV74" s="207"/>
      <c r="ZW74" s="207"/>
      <c r="ZX74" s="207"/>
      <c r="ZY74" s="207"/>
      <c r="ZZ74" s="272"/>
      <c r="AAA74" s="272"/>
      <c r="AAB74" s="205">
        <f t="shared" si="593"/>
        <v>0</v>
      </c>
      <c r="AAC74" s="207"/>
      <c r="AAD74" s="207"/>
      <c r="AAE74" s="207"/>
      <c r="AAF74" s="207"/>
      <c r="AAG74" s="207"/>
      <c r="AAH74" s="272"/>
      <c r="AAI74" s="272"/>
      <c r="AAJ74" s="205">
        <f t="shared" si="594"/>
        <v>0</v>
      </c>
      <c r="AAK74" s="207"/>
      <c r="AAL74" s="207"/>
      <c r="AAM74" s="207"/>
      <c r="AAN74" s="207"/>
      <c r="AAO74" s="207"/>
      <c r="AAP74" s="272"/>
      <c r="AAQ74" s="272"/>
      <c r="AAR74" s="205">
        <f t="shared" si="595"/>
        <v>0</v>
      </c>
      <c r="AAS74" s="205">
        <f t="shared" si="596"/>
        <v>0</v>
      </c>
    </row>
    <row r="75" spans="1:721" ht="69" customHeight="1">
      <c r="B75" s="164" t="s">
        <v>779</v>
      </c>
      <c r="C75" s="330"/>
      <c r="D75" s="163" t="s">
        <v>821</v>
      </c>
      <c r="E75" s="130" t="s">
        <v>4</v>
      </c>
      <c r="F75" s="120"/>
      <c r="G75" s="120"/>
      <c r="H75" s="120"/>
      <c r="I75" s="120"/>
      <c r="J75" s="120"/>
      <c r="K75" s="209"/>
      <c r="L75" s="205"/>
      <c r="M75" s="205">
        <f t="shared" si="610"/>
        <v>0</v>
      </c>
      <c r="N75" s="120"/>
      <c r="O75" s="120"/>
      <c r="P75" s="120"/>
      <c r="Q75" s="120"/>
      <c r="R75" s="120"/>
      <c r="S75" s="209"/>
      <c r="T75" s="205"/>
      <c r="U75" s="205">
        <f t="shared" si="611"/>
        <v>0</v>
      </c>
      <c r="V75" s="120"/>
      <c r="W75" s="120"/>
      <c r="X75" s="120"/>
      <c r="Y75" s="120"/>
      <c r="Z75" s="120"/>
      <c r="AA75" s="209"/>
      <c r="AB75" s="205"/>
      <c r="AC75" s="205">
        <f t="shared" si="612"/>
        <v>0</v>
      </c>
      <c r="AD75" s="205"/>
      <c r="AE75" s="205"/>
      <c r="AF75" s="205"/>
      <c r="AG75" s="205"/>
      <c r="AH75" s="205"/>
      <c r="AI75" s="209"/>
      <c r="AJ75" s="205"/>
      <c r="AK75" s="205">
        <f t="shared" si="613"/>
        <v>0</v>
      </c>
      <c r="AL75" s="205" t="e">
        <f>SUM(#REF!,M75,U75,AC75,AD75:AH75)</f>
        <v>#REF!</v>
      </c>
      <c r="AM75" s="120"/>
      <c r="AN75" s="120"/>
      <c r="AO75" s="120"/>
      <c r="AP75" s="120"/>
      <c r="AQ75" s="120"/>
      <c r="AR75" s="209"/>
      <c r="AS75" s="205"/>
      <c r="AT75" s="205">
        <f t="shared" si="614"/>
        <v>0</v>
      </c>
      <c r="AU75" s="120"/>
      <c r="AV75" s="120"/>
      <c r="AW75" s="120"/>
      <c r="AX75" s="120"/>
      <c r="AY75" s="120"/>
      <c r="AZ75" s="209"/>
      <c r="BA75" s="205"/>
      <c r="BB75" s="205">
        <f t="shared" si="615"/>
        <v>0</v>
      </c>
      <c r="BC75" s="120"/>
      <c r="BD75" s="120"/>
      <c r="BE75" s="120"/>
      <c r="BF75" s="120"/>
      <c r="BG75" s="120"/>
      <c r="BH75" s="209"/>
      <c r="BI75" s="205"/>
      <c r="BJ75" s="205">
        <f t="shared" si="616"/>
        <v>0</v>
      </c>
      <c r="BK75" s="120"/>
      <c r="BL75" s="120"/>
      <c r="BM75" s="120"/>
      <c r="BN75" s="120"/>
      <c r="BO75" s="205"/>
      <c r="BP75" s="209"/>
      <c r="BQ75" s="205"/>
      <c r="BR75" s="205">
        <f t="shared" si="248"/>
        <v>0</v>
      </c>
      <c r="BS75" s="205">
        <f t="shared" si="129"/>
        <v>0</v>
      </c>
      <c r="BT75" s="120"/>
      <c r="BU75" s="120"/>
      <c r="BV75" s="120"/>
      <c r="BW75" s="120"/>
      <c r="BX75" s="120"/>
      <c r="BY75" s="209"/>
      <c r="BZ75" s="205"/>
      <c r="CA75" s="205">
        <f t="shared" si="617"/>
        <v>0</v>
      </c>
      <c r="CB75" s="120"/>
      <c r="CC75" s="120"/>
      <c r="CD75" s="120"/>
      <c r="CE75" s="120"/>
      <c r="CF75" s="120"/>
      <c r="CG75" s="209"/>
      <c r="CH75" s="205"/>
      <c r="CI75" s="205">
        <f t="shared" si="618"/>
        <v>0</v>
      </c>
      <c r="CJ75" s="120"/>
      <c r="CK75" s="120"/>
      <c r="CL75" s="120"/>
      <c r="CM75" s="120"/>
      <c r="CN75" s="120"/>
      <c r="CO75" s="209"/>
      <c r="CP75" s="205"/>
      <c r="CQ75" s="205">
        <f t="shared" si="619"/>
        <v>0</v>
      </c>
      <c r="CR75" s="120"/>
      <c r="CS75" s="120"/>
      <c r="CT75" s="120"/>
      <c r="CU75" s="120"/>
      <c r="CV75" s="120"/>
      <c r="CW75" s="209"/>
      <c r="CX75" s="205"/>
      <c r="CY75" s="205">
        <f t="shared" si="620"/>
        <v>0</v>
      </c>
      <c r="CZ75" s="120"/>
      <c r="DA75" s="120"/>
      <c r="DB75" s="120"/>
      <c r="DC75" s="205"/>
      <c r="DD75" s="205"/>
      <c r="DE75" s="209"/>
      <c r="DF75" s="205"/>
      <c r="DG75" s="205">
        <f t="shared" si="621"/>
        <v>0</v>
      </c>
      <c r="DH75" s="205">
        <f t="shared" si="150"/>
        <v>0</v>
      </c>
      <c r="DI75" s="120"/>
      <c r="DJ75" s="120"/>
      <c r="DK75" s="120"/>
      <c r="DL75" s="120"/>
      <c r="DM75" s="120"/>
      <c r="DN75" s="209"/>
      <c r="DO75" s="205"/>
      <c r="DP75" s="205">
        <f t="shared" si="228"/>
        <v>0</v>
      </c>
      <c r="DQ75" s="120"/>
      <c r="DR75" s="120"/>
      <c r="DS75" s="120"/>
      <c r="DT75" s="120"/>
      <c r="DU75" s="120"/>
      <c r="DV75" s="209"/>
      <c r="DW75" s="205"/>
      <c r="DX75" s="205">
        <f t="shared" si="136"/>
        <v>0</v>
      </c>
      <c r="DY75" s="120"/>
      <c r="DZ75" s="120"/>
      <c r="EA75" s="120"/>
      <c r="EB75" s="120"/>
      <c r="EC75" s="120"/>
      <c r="ED75" s="209"/>
      <c r="EE75" s="205"/>
      <c r="EF75" s="205">
        <f t="shared" si="137"/>
        <v>0</v>
      </c>
      <c r="EG75" s="120"/>
      <c r="EH75" s="120"/>
      <c r="EI75" s="120"/>
      <c r="EJ75" s="205"/>
      <c r="EK75" s="205"/>
      <c r="EL75" s="209"/>
      <c r="EM75" s="205"/>
      <c r="EN75" s="205">
        <f t="shared" si="138"/>
        <v>0</v>
      </c>
      <c r="EO75" s="205">
        <f t="shared" si="151"/>
        <v>0</v>
      </c>
      <c r="EP75" s="120"/>
      <c r="EQ75" s="120"/>
      <c r="ER75" s="120"/>
      <c r="ES75" s="120"/>
      <c r="ET75" s="120"/>
      <c r="EU75" s="209"/>
      <c r="EV75" s="205"/>
      <c r="EW75" s="205">
        <f t="shared" si="139"/>
        <v>0</v>
      </c>
      <c r="EX75" s="120"/>
      <c r="EY75" s="120"/>
      <c r="EZ75" s="120"/>
      <c r="FA75" s="120"/>
      <c r="FB75" s="120"/>
      <c r="FC75" s="209"/>
      <c r="FD75" s="205"/>
      <c r="FE75" s="205">
        <f t="shared" si="140"/>
        <v>0</v>
      </c>
      <c r="FF75" s="120"/>
      <c r="FG75" s="120"/>
      <c r="FH75" s="120"/>
      <c r="FI75" s="120"/>
      <c r="FJ75" s="120"/>
      <c r="FK75" s="209"/>
      <c r="FL75" s="205"/>
      <c r="FM75" s="205">
        <f t="shared" si="141"/>
        <v>0</v>
      </c>
      <c r="FN75" s="120"/>
      <c r="FO75" s="120"/>
      <c r="FP75" s="120"/>
      <c r="FQ75" s="120"/>
      <c r="FR75" s="205"/>
      <c r="FS75" s="209"/>
      <c r="FT75" s="205"/>
      <c r="FU75" s="205">
        <f t="shared" si="142"/>
        <v>0</v>
      </c>
      <c r="FV75" s="205">
        <f t="shared" si="152"/>
        <v>0</v>
      </c>
      <c r="FW75" s="120"/>
      <c r="FX75" s="120"/>
      <c r="FY75" s="120"/>
      <c r="FZ75" s="120"/>
      <c r="GA75" s="120"/>
      <c r="GB75" s="209"/>
      <c r="GC75" s="205"/>
      <c r="GD75" s="205">
        <f t="shared" si="622"/>
        <v>0</v>
      </c>
      <c r="GE75" s="120"/>
      <c r="GF75" s="120"/>
      <c r="GG75" s="120"/>
      <c r="GH75" s="120"/>
      <c r="GI75" s="120"/>
      <c r="GJ75" s="209"/>
      <c r="GK75" s="205"/>
      <c r="GL75" s="205">
        <f t="shared" si="144"/>
        <v>0</v>
      </c>
      <c r="GM75" s="120"/>
      <c r="GN75" s="120"/>
      <c r="GO75" s="120"/>
      <c r="GP75" s="120"/>
      <c r="GQ75" s="120"/>
      <c r="GR75" s="209"/>
      <c r="GS75" s="205"/>
      <c r="GT75" s="205">
        <f t="shared" si="145"/>
        <v>0</v>
      </c>
      <c r="GU75" s="120"/>
      <c r="GV75" s="120"/>
      <c r="GW75" s="120"/>
      <c r="GX75" s="120"/>
      <c r="GY75" s="120"/>
      <c r="GZ75" s="209"/>
      <c r="HA75" s="205"/>
      <c r="HB75" s="205">
        <f t="shared" si="146"/>
        <v>0</v>
      </c>
      <c r="HC75" s="120"/>
      <c r="HD75" s="120"/>
      <c r="HE75" s="120"/>
      <c r="HF75" s="120"/>
      <c r="HG75" s="120"/>
      <c r="HH75" s="209"/>
      <c r="HI75" s="205"/>
      <c r="HJ75" s="205">
        <f t="shared" si="147"/>
        <v>0</v>
      </c>
      <c r="HK75" s="205">
        <f t="shared" si="153"/>
        <v>0</v>
      </c>
      <c r="HL75" s="124"/>
      <c r="HM75" s="120"/>
      <c r="HN75" s="120"/>
      <c r="HO75" s="120"/>
      <c r="HP75" s="120"/>
      <c r="HQ75" s="205"/>
      <c r="HR75" s="205"/>
      <c r="HS75" s="205">
        <f t="shared" si="154"/>
        <v>0</v>
      </c>
      <c r="HT75" s="120"/>
      <c r="HU75" s="120"/>
      <c r="HV75" s="120"/>
      <c r="HW75" s="120"/>
      <c r="HX75" s="120"/>
      <c r="HY75" s="205"/>
      <c r="HZ75" s="205"/>
      <c r="IA75" s="205">
        <f t="shared" si="155"/>
        <v>0</v>
      </c>
      <c r="IB75" s="120"/>
      <c r="IC75" s="120"/>
      <c r="ID75" s="120"/>
      <c r="IE75" s="120"/>
      <c r="IF75" s="120"/>
      <c r="IG75" s="205"/>
      <c r="IH75" s="205"/>
      <c r="II75" s="205">
        <f t="shared" si="156"/>
        <v>0</v>
      </c>
      <c r="IJ75" s="120"/>
      <c r="IK75" s="120"/>
      <c r="IL75" s="120"/>
      <c r="IM75" s="120"/>
      <c r="IN75" s="120"/>
      <c r="IO75" s="205"/>
      <c r="IP75" s="205"/>
      <c r="IQ75" s="205">
        <f t="shared" si="157"/>
        <v>0</v>
      </c>
      <c r="IR75" s="205">
        <f t="shared" si="158"/>
        <v>0</v>
      </c>
      <c r="IS75" s="120"/>
      <c r="IT75" s="120"/>
      <c r="IU75" s="120"/>
      <c r="IV75" s="120"/>
      <c r="IW75" s="120"/>
      <c r="IX75" s="205"/>
      <c r="IY75" s="205"/>
      <c r="IZ75" s="205">
        <f t="shared" si="159"/>
        <v>0</v>
      </c>
      <c r="JA75" s="120"/>
      <c r="JB75" s="120"/>
      <c r="JC75" s="120"/>
      <c r="JD75" s="120"/>
      <c r="JE75" s="120"/>
      <c r="JF75" s="205"/>
      <c r="JG75" s="205"/>
      <c r="JH75" s="205">
        <f t="shared" si="160"/>
        <v>0</v>
      </c>
      <c r="JI75" s="120"/>
      <c r="JJ75" s="120"/>
      <c r="JK75" s="120"/>
      <c r="JL75" s="120"/>
      <c r="JM75" s="120"/>
      <c r="JN75" s="205"/>
      <c r="JO75" s="205"/>
      <c r="JP75" s="205">
        <f t="shared" si="161"/>
        <v>0</v>
      </c>
      <c r="JQ75" s="120"/>
      <c r="JR75" s="120"/>
      <c r="JS75" s="120"/>
      <c r="JT75" s="120"/>
      <c r="JU75" s="120"/>
      <c r="JV75" s="205"/>
      <c r="JW75" s="205"/>
      <c r="JX75" s="205">
        <f t="shared" si="162"/>
        <v>0</v>
      </c>
      <c r="JY75" s="205">
        <f t="shared" si="558"/>
        <v>0</v>
      </c>
      <c r="JZ75" s="120"/>
      <c r="KA75" s="250">
        <v>400</v>
      </c>
      <c r="KB75" s="120"/>
      <c r="KC75" s="120"/>
      <c r="KD75" s="120"/>
      <c r="KE75" s="205"/>
      <c r="KF75" s="205"/>
      <c r="KG75" s="205">
        <f t="shared" si="164"/>
        <v>400</v>
      </c>
      <c r="KH75" s="120"/>
      <c r="KI75" s="120"/>
      <c r="KJ75" s="120"/>
      <c r="KK75" s="120"/>
      <c r="KL75" s="120"/>
      <c r="KM75" s="205"/>
      <c r="KN75" s="205"/>
      <c r="KO75" s="205">
        <f t="shared" si="165"/>
        <v>0</v>
      </c>
      <c r="KP75" s="120"/>
      <c r="KQ75" s="120"/>
      <c r="KR75" s="120"/>
      <c r="KS75" s="120"/>
      <c r="KT75" s="120"/>
      <c r="KU75" s="205"/>
      <c r="KV75" s="205"/>
      <c r="KW75" s="205">
        <f t="shared" si="166"/>
        <v>0</v>
      </c>
      <c r="KX75" s="120"/>
      <c r="KY75" s="120"/>
      <c r="KZ75" s="120"/>
      <c r="LA75" s="120"/>
      <c r="LB75" s="120"/>
      <c r="LC75" s="205"/>
      <c r="LD75" s="205"/>
      <c r="LE75" s="205">
        <f t="shared" si="167"/>
        <v>0</v>
      </c>
      <c r="LF75" s="205"/>
      <c r="LG75" s="120"/>
      <c r="LH75" s="195">
        <v>100</v>
      </c>
      <c r="LI75" s="120"/>
      <c r="LJ75" s="120"/>
      <c r="LK75" s="205"/>
      <c r="LL75" s="205" t="s">
        <v>760</v>
      </c>
      <c r="LM75" s="205">
        <f t="shared" si="168"/>
        <v>100</v>
      </c>
      <c r="LN75" s="205">
        <f t="shared" si="169"/>
        <v>400</v>
      </c>
      <c r="LO75" s="205"/>
      <c r="LP75" s="120"/>
      <c r="LQ75" s="120"/>
      <c r="LR75" s="120"/>
      <c r="LS75" s="205"/>
      <c r="LT75" s="205"/>
      <c r="LU75" s="205"/>
      <c r="LV75" s="205">
        <f t="shared" si="170"/>
        <v>0</v>
      </c>
      <c r="LW75" s="120"/>
      <c r="LX75" s="124">
        <v>500</v>
      </c>
      <c r="LY75" s="120"/>
      <c r="LZ75" s="120"/>
      <c r="MA75" s="120"/>
      <c r="MB75" s="205"/>
      <c r="MC75" s="205"/>
      <c r="MD75" s="205">
        <f t="shared" si="171"/>
        <v>500</v>
      </c>
      <c r="ME75" s="120"/>
      <c r="MF75" s="120"/>
      <c r="MG75" s="120"/>
      <c r="MH75" s="201">
        <v>900</v>
      </c>
      <c r="MI75" s="205"/>
      <c r="MJ75" s="205"/>
      <c r="MK75" s="205"/>
      <c r="ML75" s="205">
        <f t="shared" si="172"/>
        <v>900</v>
      </c>
      <c r="MM75" s="120"/>
      <c r="MN75" s="120"/>
      <c r="MO75" s="120"/>
      <c r="MP75" s="120"/>
      <c r="MQ75" s="120"/>
      <c r="MR75" s="205"/>
      <c r="MS75" s="205"/>
      <c r="MT75" s="205">
        <f t="shared" si="173"/>
        <v>0</v>
      </c>
      <c r="MU75" s="205">
        <f t="shared" si="174"/>
        <v>1500</v>
      </c>
      <c r="MV75" s="120"/>
      <c r="MW75" s="120"/>
      <c r="MX75" s="120"/>
      <c r="MY75" s="120"/>
      <c r="MZ75" s="120"/>
      <c r="NA75" s="205"/>
      <c r="NB75" s="205"/>
      <c r="NC75" s="205">
        <f t="shared" si="175"/>
        <v>0</v>
      </c>
      <c r="ND75" s="120"/>
      <c r="NE75" s="120"/>
      <c r="NF75" s="120"/>
      <c r="NG75" s="120"/>
      <c r="NH75" s="120"/>
      <c r="NI75" s="205"/>
      <c r="NJ75" s="205"/>
      <c r="NK75" s="205">
        <f t="shared" si="176"/>
        <v>0</v>
      </c>
      <c r="NL75" s="120"/>
      <c r="NM75" s="120"/>
      <c r="NN75" s="120"/>
      <c r="NO75" s="120"/>
      <c r="NP75" s="120"/>
      <c r="NQ75" s="205"/>
      <c r="NR75" s="205"/>
      <c r="NS75" s="205">
        <f t="shared" si="177"/>
        <v>0</v>
      </c>
      <c r="NT75" s="120"/>
      <c r="NU75" s="120"/>
      <c r="NV75" s="120"/>
      <c r="NW75" s="120"/>
      <c r="NX75" s="120"/>
      <c r="NY75" s="205"/>
      <c r="NZ75" s="205"/>
      <c r="OA75" s="205">
        <f t="shared" si="178"/>
        <v>0</v>
      </c>
      <c r="OB75" s="205">
        <f t="shared" si="179"/>
        <v>0</v>
      </c>
      <c r="OC75" s="120"/>
      <c r="OD75" s="120"/>
      <c r="OE75" s="120"/>
      <c r="OF75" s="120"/>
      <c r="OG75" s="120"/>
      <c r="OH75" s="205"/>
      <c r="OI75" s="205"/>
      <c r="OJ75" s="205">
        <f t="shared" si="180"/>
        <v>0</v>
      </c>
      <c r="OK75" s="195">
        <v>600</v>
      </c>
      <c r="OL75" s="120"/>
      <c r="OM75" s="120"/>
      <c r="ON75" s="120"/>
      <c r="OO75" s="120"/>
      <c r="OP75" s="205"/>
      <c r="OQ75" s="205"/>
      <c r="OR75" s="205">
        <f t="shared" si="181"/>
        <v>600</v>
      </c>
      <c r="OS75" s="120"/>
      <c r="OT75" s="120"/>
      <c r="OU75" s="120"/>
      <c r="OV75" s="120"/>
      <c r="OW75" s="120"/>
      <c r="OX75" s="205"/>
      <c r="OY75" s="205"/>
      <c r="OZ75" s="205">
        <f t="shared" si="182"/>
        <v>0</v>
      </c>
      <c r="PA75" s="120"/>
      <c r="PB75" s="120"/>
      <c r="PC75" s="120"/>
      <c r="PD75" s="205"/>
      <c r="PE75" s="217"/>
      <c r="PF75" s="205"/>
      <c r="PG75" s="205"/>
      <c r="PH75" s="205">
        <f t="shared" si="183"/>
        <v>0</v>
      </c>
      <c r="PI75" s="120"/>
      <c r="PJ75" s="120"/>
      <c r="PK75" s="120"/>
      <c r="PL75" s="205"/>
      <c r="PM75" s="217"/>
      <c r="PN75" s="205"/>
      <c r="PO75" s="205"/>
      <c r="PP75" s="205">
        <f t="shared" si="184"/>
        <v>0</v>
      </c>
      <c r="PQ75" s="205">
        <f t="shared" si="185"/>
        <v>600</v>
      </c>
      <c r="PR75" s="207"/>
      <c r="PS75" s="207"/>
      <c r="PT75" s="207"/>
      <c r="PU75" s="207"/>
      <c r="PV75" s="207"/>
      <c r="PW75" s="272"/>
      <c r="PX75" s="272"/>
      <c r="PY75" s="205">
        <f t="shared" si="559"/>
        <v>0</v>
      </c>
      <c r="PZ75" s="207"/>
      <c r="QA75" s="207"/>
      <c r="QB75" s="207"/>
      <c r="QC75" s="207"/>
      <c r="QD75" s="207"/>
      <c r="QE75" s="272"/>
      <c r="QF75" s="272"/>
      <c r="QG75" s="205">
        <f t="shared" si="560"/>
        <v>0</v>
      </c>
      <c r="QH75" s="207"/>
      <c r="QI75" s="207"/>
      <c r="QJ75" s="294"/>
      <c r="QK75" s="217">
        <v>900</v>
      </c>
      <c r="QL75" s="207"/>
      <c r="QM75" s="272"/>
      <c r="QN75" s="272"/>
      <c r="QO75" s="205">
        <f t="shared" si="561"/>
        <v>900</v>
      </c>
      <c r="QP75" s="207"/>
      <c r="QQ75" s="207"/>
      <c r="QR75" s="207"/>
      <c r="QS75" s="207"/>
      <c r="QT75" s="207"/>
      <c r="QU75" s="272"/>
      <c r="QV75" s="272"/>
      <c r="QW75" s="205">
        <f t="shared" si="320"/>
        <v>0</v>
      </c>
      <c r="QX75" s="205">
        <f t="shared" si="562"/>
        <v>900</v>
      </c>
      <c r="QY75" s="207"/>
      <c r="QZ75" s="207"/>
      <c r="RA75" s="207"/>
      <c r="RB75" s="207"/>
      <c r="RC75" s="207"/>
      <c r="RD75" s="272"/>
      <c r="RE75" s="272"/>
      <c r="RF75" s="205">
        <f t="shared" si="563"/>
        <v>0</v>
      </c>
      <c r="RG75" s="201">
        <v>500</v>
      </c>
      <c r="RH75" s="207"/>
      <c r="RI75" s="207"/>
      <c r="RJ75" s="207"/>
      <c r="RK75" s="207"/>
      <c r="RL75" s="272"/>
      <c r="RM75" s="272"/>
      <c r="RN75" s="205">
        <f t="shared" si="530"/>
        <v>500</v>
      </c>
      <c r="RO75" s="272"/>
      <c r="RP75" s="272"/>
      <c r="RQ75" s="272"/>
      <c r="RR75" s="272"/>
      <c r="RS75" s="272"/>
      <c r="RT75" s="272"/>
      <c r="RU75" s="272"/>
      <c r="RV75" s="205">
        <f t="shared" si="564"/>
        <v>0</v>
      </c>
      <c r="RW75" s="207"/>
      <c r="RX75" s="123">
        <v>800</v>
      </c>
      <c r="RY75" s="207"/>
      <c r="RZ75" s="207"/>
      <c r="SA75" s="272"/>
      <c r="SB75" s="272"/>
      <c r="SC75" s="272"/>
      <c r="SD75" s="205">
        <f t="shared" si="565"/>
        <v>800</v>
      </c>
      <c r="SE75" s="205">
        <f t="shared" si="566"/>
        <v>1300</v>
      </c>
      <c r="SF75" s="207"/>
      <c r="SG75" s="207"/>
      <c r="SH75" s="207"/>
      <c r="SI75" s="207"/>
      <c r="SJ75" s="207"/>
      <c r="SK75" s="272"/>
      <c r="SL75" s="272"/>
      <c r="SM75" s="205">
        <f t="shared" si="567"/>
        <v>0</v>
      </c>
      <c r="SN75" s="207"/>
      <c r="SO75" s="207"/>
      <c r="SP75" s="207"/>
      <c r="SQ75" s="207"/>
      <c r="SR75" s="207"/>
      <c r="SS75" s="272"/>
      <c r="ST75" s="272"/>
      <c r="SU75" s="205">
        <f t="shared" si="568"/>
        <v>0</v>
      </c>
      <c r="SV75" s="207"/>
      <c r="SW75" s="217">
        <v>900</v>
      </c>
      <c r="SX75" s="207"/>
      <c r="SY75" s="207"/>
      <c r="SZ75" s="207"/>
      <c r="TA75" s="272"/>
      <c r="TB75" s="272"/>
      <c r="TC75" s="205">
        <f t="shared" si="569"/>
        <v>900</v>
      </c>
      <c r="TD75" s="207"/>
      <c r="TE75" s="207"/>
      <c r="TF75" s="207"/>
      <c r="TG75" s="207"/>
      <c r="TH75" s="207"/>
      <c r="TI75" s="272"/>
      <c r="TJ75" s="272"/>
      <c r="TK75" s="205">
        <f t="shared" si="570"/>
        <v>0</v>
      </c>
      <c r="TL75" s="207"/>
      <c r="TM75" s="207"/>
      <c r="TN75" s="207"/>
      <c r="TO75" s="207"/>
      <c r="TP75" s="272"/>
      <c r="TQ75" s="272"/>
      <c r="TR75" s="272"/>
      <c r="TS75" s="205">
        <f t="shared" si="571"/>
        <v>0</v>
      </c>
      <c r="TT75" s="205">
        <f t="shared" si="572"/>
        <v>900</v>
      </c>
      <c r="TU75" s="272"/>
      <c r="TV75" s="207"/>
      <c r="TW75" s="207"/>
      <c r="TX75" s="207"/>
      <c r="TY75" s="207"/>
      <c r="TZ75" s="272"/>
      <c r="UA75" s="272"/>
      <c r="UB75" s="205">
        <f t="shared" si="573"/>
        <v>0</v>
      </c>
      <c r="UC75" s="207"/>
      <c r="UD75" s="207"/>
      <c r="UE75" s="207"/>
      <c r="UF75" s="207"/>
      <c r="UG75" s="207"/>
      <c r="UH75" s="272"/>
      <c r="UI75" s="272"/>
      <c r="UJ75" s="205">
        <f t="shared" si="574"/>
        <v>0</v>
      </c>
      <c r="UK75" s="207"/>
      <c r="UL75" s="207"/>
      <c r="UM75" s="217">
        <v>200</v>
      </c>
      <c r="UN75" s="207"/>
      <c r="UO75" s="207"/>
      <c r="UP75" s="272"/>
      <c r="UQ75" s="272"/>
      <c r="UR75" s="205">
        <f t="shared" si="575"/>
        <v>200</v>
      </c>
      <c r="US75" s="207"/>
      <c r="UT75" s="207"/>
      <c r="UU75" s="207"/>
      <c r="UV75" s="207"/>
      <c r="UW75" s="272"/>
      <c r="UX75" s="272"/>
      <c r="UY75" s="272"/>
      <c r="UZ75" s="205">
        <f t="shared" si="576"/>
        <v>0</v>
      </c>
      <c r="VA75" s="205">
        <f t="shared" si="577"/>
        <v>200</v>
      </c>
      <c r="VB75" s="207"/>
      <c r="VC75" s="207"/>
      <c r="VD75" s="207"/>
      <c r="VE75" s="207"/>
      <c r="VF75" s="207"/>
      <c r="VG75" s="272"/>
      <c r="VH75" s="272"/>
      <c r="VI75" s="205">
        <f t="shared" si="578"/>
        <v>0</v>
      </c>
      <c r="VJ75" s="207"/>
      <c r="VK75" s="207"/>
      <c r="VL75" s="207"/>
      <c r="VM75" s="207"/>
      <c r="VN75" s="207"/>
      <c r="VO75" s="272"/>
      <c r="VP75" s="272"/>
      <c r="VQ75" s="205">
        <f t="shared" si="579"/>
        <v>0</v>
      </c>
      <c r="VR75" s="207"/>
      <c r="VS75" s="207"/>
      <c r="VT75" s="207"/>
      <c r="VU75" s="124">
        <v>1130</v>
      </c>
      <c r="VV75" s="207"/>
      <c r="VW75" s="272"/>
      <c r="VX75" s="272"/>
      <c r="VY75" s="205">
        <f t="shared" si="580"/>
        <v>1130</v>
      </c>
      <c r="VZ75" s="207"/>
      <c r="WA75" s="207"/>
      <c r="WB75" s="207"/>
      <c r="WC75" s="207"/>
      <c r="WD75" s="207"/>
      <c r="WE75" s="272"/>
      <c r="WF75" s="272"/>
      <c r="WG75" s="205">
        <f t="shared" si="581"/>
        <v>0</v>
      </c>
      <c r="WH75" s="205">
        <f t="shared" si="582"/>
        <v>1130</v>
      </c>
      <c r="WI75" s="207"/>
      <c r="WJ75" s="124">
        <v>350</v>
      </c>
      <c r="WK75" s="207"/>
      <c r="WL75" s="207"/>
      <c r="WM75" s="207"/>
      <c r="WN75" s="272"/>
      <c r="WO75" s="272"/>
      <c r="WP75" s="205">
        <f t="shared" si="583"/>
        <v>350</v>
      </c>
      <c r="WQ75" s="207"/>
      <c r="WR75" s="207"/>
      <c r="WS75" s="207"/>
      <c r="WT75" s="207"/>
      <c r="WU75" s="207"/>
      <c r="WV75" s="272"/>
      <c r="WW75" s="272"/>
      <c r="WX75" s="205">
        <f t="shared" si="531"/>
        <v>0</v>
      </c>
      <c r="WY75" s="207"/>
      <c r="WZ75" s="207"/>
      <c r="XA75" s="207"/>
      <c r="XB75" s="207"/>
      <c r="XC75" s="272"/>
      <c r="XD75" s="272"/>
      <c r="XE75" s="272"/>
      <c r="XF75" s="205">
        <f t="shared" si="584"/>
        <v>0</v>
      </c>
      <c r="XG75" s="207"/>
      <c r="XH75" s="207"/>
      <c r="XI75" s="207"/>
      <c r="XJ75" s="207"/>
      <c r="XK75" s="207"/>
      <c r="XL75" s="272"/>
      <c r="XM75" s="272"/>
      <c r="XN75" s="205">
        <f t="shared" si="585"/>
        <v>0</v>
      </c>
      <c r="XO75" s="207"/>
      <c r="XP75" s="207"/>
      <c r="XQ75" s="207"/>
      <c r="XR75" s="207"/>
      <c r="XS75" s="207"/>
      <c r="XT75" s="272"/>
      <c r="XU75" s="272"/>
      <c r="XV75" s="205">
        <f t="shared" si="586"/>
        <v>0</v>
      </c>
      <c r="XW75" s="205">
        <f t="shared" si="587"/>
        <v>350</v>
      </c>
      <c r="XX75" s="207"/>
      <c r="XY75" s="124">
        <v>1150</v>
      </c>
      <c r="XZ75" s="207"/>
      <c r="YA75" s="207"/>
      <c r="YB75" s="207"/>
      <c r="YC75" s="272"/>
      <c r="YD75" s="272"/>
      <c r="YE75" s="205">
        <f t="shared" si="588"/>
        <v>1150</v>
      </c>
      <c r="YF75" s="207"/>
      <c r="YG75" s="207"/>
      <c r="YH75" s="207"/>
      <c r="YI75" s="207"/>
      <c r="YJ75" s="207"/>
      <c r="YK75" s="272"/>
      <c r="YL75" s="272"/>
      <c r="YM75" s="205">
        <f t="shared" si="589"/>
        <v>0</v>
      </c>
      <c r="YN75" s="207"/>
      <c r="YO75" s="207"/>
      <c r="YP75" s="207"/>
      <c r="YQ75" s="207"/>
      <c r="YR75" s="207"/>
      <c r="YS75" s="272"/>
      <c r="YT75" s="272"/>
      <c r="YU75" s="205">
        <f t="shared" si="544"/>
        <v>0</v>
      </c>
      <c r="YV75" s="207"/>
      <c r="YW75" s="207"/>
      <c r="YX75" s="207"/>
      <c r="YY75" s="207"/>
      <c r="YZ75" s="207"/>
      <c r="ZA75" s="272"/>
      <c r="ZB75" s="272"/>
      <c r="ZC75" s="205">
        <f t="shared" si="590"/>
        <v>0</v>
      </c>
      <c r="ZD75" s="205">
        <f t="shared" si="516"/>
        <v>1150</v>
      </c>
      <c r="ZE75" s="207"/>
      <c r="ZF75" s="207"/>
      <c r="ZG75" s="207"/>
      <c r="ZH75" s="207"/>
      <c r="ZI75" s="207"/>
      <c r="ZJ75" s="272"/>
      <c r="ZK75" s="272"/>
      <c r="ZL75" s="205">
        <f t="shared" si="591"/>
        <v>0</v>
      </c>
      <c r="ZM75" s="207"/>
      <c r="ZN75" s="207"/>
      <c r="ZO75" s="207"/>
      <c r="ZP75" s="207"/>
      <c r="ZQ75" s="207"/>
      <c r="ZR75" s="272"/>
      <c r="ZS75" s="272"/>
      <c r="ZT75" s="205">
        <f t="shared" si="592"/>
        <v>0</v>
      </c>
      <c r="ZU75" s="207"/>
      <c r="ZV75" s="207"/>
      <c r="ZW75" s="207"/>
      <c r="ZX75" s="207"/>
      <c r="ZY75" s="207"/>
      <c r="ZZ75" s="272"/>
      <c r="AAA75" s="272"/>
      <c r="AAB75" s="205">
        <f t="shared" si="593"/>
        <v>0</v>
      </c>
      <c r="AAC75" s="207"/>
      <c r="AAD75" s="207"/>
      <c r="AAE75" s="207"/>
      <c r="AAF75" s="207"/>
      <c r="AAG75" s="207"/>
      <c r="AAH75" s="272"/>
      <c r="AAI75" s="272"/>
      <c r="AAJ75" s="205">
        <f t="shared" si="594"/>
        <v>0</v>
      </c>
      <c r="AAK75" s="207"/>
      <c r="AAL75" s="207"/>
      <c r="AAM75" s="207"/>
      <c r="AAN75" s="207"/>
      <c r="AAO75" s="207"/>
      <c r="AAP75" s="272"/>
      <c r="AAQ75" s="272"/>
      <c r="AAR75" s="205">
        <f t="shared" si="595"/>
        <v>0</v>
      </c>
      <c r="AAS75" s="205">
        <f t="shared" si="596"/>
        <v>0</v>
      </c>
    </row>
    <row r="76" spans="1:721" s="127" customFormat="1" ht="66" customHeight="1">
      <c r="A76" s="125" t="s">
        <v>218</v>
      </c>
      <c r="B76" s="162" t="s">
        <v>802</v>
      </c>
      <c r="C76" s="331"/>
      <c r="D76" s="167" t="s">
        <v>41</v>
      </c>
      <c r="E76" s="130" t="s">
        <v>4</v>
      </c>
      <c r="F76" s="201">
        <v>1000</v>
      </c>
      <c r="G76" s="120"/>
      <c r="H76" s="216"/>
      <c r="I76" s="120"/>
      <c r="J76" s="120"/>
      <c r="K76" s="209"/>
      <c r="L76" s="205"/>
      <c r="M76" s="205">
        <f t="shared" si="303"/>
        <v>1000</v>
      </c>
      <c r="N76" s="124">
        <v>1000</v>
      </c>
      <c r="O76" s="120"/>
      <c r="P76" s="120"/>
      <c r="Q76" s="120"/>
      <c r="R76" s="120"/>
      <c r="S76" s="209"/>
      <c r="T76" s="205"/>
      <c r="U76" s="205">
        <f t="shared" si="304"/>
        <v>1000</v>
      </c>
      <c r="V76" s="120"/>
      <c r="W76" s="120"/>
      <c r="X76" s="201">
        <v>2000</v>
      </c>
      <c r="Y76" s="120"/>
      <c r="Z76" s="120"/>
      <c r="AA76" s="209"/>
      <c r="AB76" s="205"/>
      <c r="AC76" s="205">
        <f t="shared" si="305"/>
        <v>2000</v>
      </c>
      <c r="AD76" s="205"/>
      <c r="AE76" s="205"/>
      <c r="AF76" s="205"/>
      <c r="AG76" s="205"/>
      <c r="AH76" s="205"/>
      <c r="AI76" s="209"/>
      <c r="AJ76" s="205"/>
      <c r="AK76" s="205">
        <f t="shared" si="306"/>
        <v>0</v>
      </c>
      <c r="AL76" s="205" t="e">
        <f>SUM(#REF!,M76,U76,AC76,AD76:AH76)</f>
        <v>#REF!</v>
      </c>
      <c r="AM76" s="120"/>
      <c r="AN76" s="120"/>
      <c r="AO76" s="120"/>
      <c r="AP76" s="120"/>
      <c r="AQ76" s="120"/>
      <c r="AR76" s="209"/>
      <c r="AS76" s="205"/>
      <c r="AT76" s="205">
        <f t="shared" si="245"/>
        <v>0</v>
      </c>
      <c r="AU76" s="120"/>
      <c r="AV76" s="201">
        <v>1000</v>
      </c>
      <c r="AW76" s="120"/>
      <c r="AX76" s="120"/>
      <c r="AY76" s="120"/>
      <c r="AZ76" s="209"/>
      <c r="BA76" s="205"/>
      <c r="BB76" s="205">
        <f t="shared" si="246"/>
        <v>1000</v>
      </c>
      <c r="BC76" s="227"/>
      <c r="BD76" s="120"/>
      <c r="BE76" s="120"/>
      <c r="BF76" s="120"/>
      <c r="BG76" s="120"/>
      <c r="BH76" s="209"/>
      <c r="BI76" s="205"/>
      <c r="BJ76" s="205">
        <f t="shared" si="517"/>
        <v>0</v>
      </c>
      <c r="BK76" s="250">
        <v>1000</v>
      </c>
      <c r="BL76" s="120"/>
      <c r="BM76" s="120"/>
      <c r="BN76" s="120"/>
      <c r="BO76" s="205"/>
      <c r="BP76" s="209"/>
      <c r="BQ76" s="205"/>
      <c r="BR76" s="205">
        <f t="shared" si="248"/>
        <v>1000</v>
      </c>
      <c r="BS76" s="205">
        <f t="shared" si="129"/>
        <v>2000</v>
      </c>
      <c r="BT76" s="120"/>
      <c r="BU76" s="120"/>
      <c r="BV76" s="250">
        <v>1000</v>
      </c>
      <c r="BW76" s="120"/>
      <c r="BX76" s="120"/>
      <c r="BY76" s="209"/>
      <c r="BZ76" s="205"/>
      <c r="CA76" s="205">
        <f t="shared" si="250"/>
        <v>1000</v>
      </c>
      <c r="CB76" s="120"/>
      <c r="CC76" s="120"/>
      <c r="CD76" s="120"/>
      <c r="CE76" s="120"/>
      <c r="CF76" s="120"/>
      <c r="CG76" s="209"/>
      <c r="CH76" s="205"/>
      <c r="CI76" s="205">
        <f t="shared" si="251"/>
        <v>0</v>
      </c>
      <c r="CJ76" s="120"/>
      <c r="CK76" s="120"/>
      <c r="CL76" s="120"/>
      <c r="CM76" s="120"/>
      <c r="CN76" s="120"/>
      <c r="CO76" s="209"/>
      <c r="CP76" s="205"/>
      <c r="CQ76" s="205">
        <f t="shared" si="252"/>
        <v>0</v>
      </c>
      <c r="CR76" s="120"/>
      <c r="CS76" s="120"/>
      <c r="CT76" s="120"/>
      <c r="CU76" s="217">
        <v>1000</v>
      </c>
      <c r="CV76" s="120"/>
      <c r="CW76" s="209"/>
      <c r="CX76" s="205"/>
      <c r="CY76" s="205">
        <f t="shared" si="253"/>
        <v>1000</v>
      </c>
      <c r="CZ76" s="120"/>
      <c r="DA76" s="120"/>
      <c r="DB76" s="120"/>
      <c r="DC76" s="205"/>
      <c r="DD76" s="205"/>
      <c r="DE76" s="209"/>
      <c r="DF76" s="205"/>
      <c r="DG76" s="205">
        <f t="shared" si="254"/>
        <v>0</v>
      </c>
      <c r="DH76" s="205">
        <f t="shared" si="150"/>
        <v>2000</v>
      </c>
      <c r="DI76" s="120"/>
      <c r="DJ76" s="120"/>
      <c r="DK76" s="250">
        <v>4000</v>
      </c>
      <c r="DL76" s="120"/>
      <c r="DM76" s="120"/>
      <c r="DN76" s="209"/>
      <c r="DO76" s="205"/>
      <c r="DP76" s="205">
        <f t="shared" si="228"/>
        <v>4000</v>
      </c>
      <c r="DQ76" s="120"/>
      <c r="DR76" s="120"/>
      <c r="DS76" s="120"/>
      <c r="DT76" s="120"/>
      <c r="DU76" s="120"/>
      <c r="DV76" s="209"/>
      <c r="DW76" s="205"/>
      <c r="DX76" s="205">
        <f t="shared" si="136"/>
        <v>0</v>
      </c>
      <c r="DY76" s="217">
        <v>3000</v>
      </c>
      <c r="DZ76" s="120"/>
      <c r="EA76" s="120"/>
      <c r="EB76" s="120"/>
      <c r="EC76" s="120"/>
      <c r="ED76" s="209"/>
      <c r="EE76" s="205"/>
      <c r="EF76" s="205">
        <f t="shared" si="137"/>
        <v>3000</v>
      </c>
      <c r="EG76" s="120"/>
      <c r="EH76" s="120"/>
      <c r="EI76" s="120"/>
      <c r="EJ76" s="205"/>
      <c r="EK76" s="205"/>
      <c r="EL76" s="209"/>
      <c r="EM76" s="205"/>
      <c r="EN76" s="205">
        <f t="shared" si="138"/>
        <v>0</v>
      </c>
      <c r="EO76" s="205">
        <f t="shared" si="151"/>
        <v>7000</v>
      </c>
      <c r="EP76" s="120"/>
      <c r="EQ76" s="120"/>
      <c r="ER76" s="120"/>
      <c r="ES76" s="250">
        <v>2000</v>
      </c>
      <c r="ET76" s="120"/>
      <c r="EU76" s="209"/>
      <c r="EV76" s="205"/>
      <c r="EW76" s="205">
        <f t="shared" si="139"/>
        <v>2000</v>
      </c>
      <c r="EX76" s="120"/>
      <c r="EY76" s="120"/>
      <c r="EZ76" s="120"/>
      <c r="FA76" s="120"/>
      <c r="FB76" s="120"/>
      <c r="FC76" s="209"/>
      <c r="FD76" s="205"/>
      <c r="FE76" s="205">
        <f t="shared" si="140"/>
        <v>0</v>
      </c>
      <c r="FF76" s="120"/>
      <c r="FG76" s="120"/>
      <c r="FH76" s="195">
        <v>2000</v>
      </c>
      <c r="FI76" s="120"/>
      <c r="FJ76" s="120"/>
      <c r="FK76" s="209"/>
      <c r="FL76" s="205"/>
      <c r="FM76" s="205">
        <f t="shared" si="141"/>
        <v>2000</v>
      </c>
      <c r="FN76" s="120"/>
      <c r="FO76" s="120"/>
      <c r="FP76" s="120"/>
      <c r="FQ76" s="120"/>
      <c r="FR76" s="205"/>
      <c r="FS76" s="209"/>
      <c r="FT76" s="205"/>
      <c r="FU76" s="205">
        <f t="shared" si="142"/>
        <v>0</v>
      </c>
      <c r="FV76" s="205">
        <f t="shared" si="152"/>
        <v>4000</v>
      </c>
      <c r="FW76" s="120"/>
      <c r="FX76" s="120"/>
      <c r="FY76" s="120"/>
      <c r="FZ76" s="120"/>
      <c r="GA76" s="120"/>
      <c r="GB76" s="209"/>
      <c r="GC76" s="205"/>
      <c r="GD76" s="205">
        <f>SUM(FW76:GC76)</f>
        <v>0</v>
      </c>
      <c r="GE76" s="120"/>
      <c r="GF76" s="123">
        <v>1000</v>
      </c>
      <c r="GG76" s="227"/>
      <c r="GH76" s="120"/>
      <c r="GI76" s="120"/>
      <c r="GJ76" s="209"/>
      <c r="GK76" s="205"/>
      <c r="GL76" s="205">
        <f t="shared" si="144"/>
        <v>1000</v>
      </c>
      <c r="GM76" s="250">
        <v>2000</v>
      </c>
      <c r="GN76" s="120"/>
      <c r="GO76" s="120"/>
      <c r="GP76" s="120"/>
      <c r="GQ76" s="120"/>
      <c r="GR76" s="209"/>
      <c r="GS76" s="205"/>
      <c r="GT76" s="205">
        <f t="shared" si="145"/>
        <v>2000</v>
      </c>
      <c r="GU76" s="120"/>
      <c r="GV76" s="120"/>
      <c r="GW76" s="120"/>
      <c r="GX76" s="120"/>
      <c r="GY76" s="120"/>
      <c r="GZ76" s="209"/>
      <c r="HA76" s="205"/>
      <c r="HB76" s="205">
        <f t="shared" si="146"/>
        <v>0</v>
      </c>
      <c r="HC76" s="250">
        <v>1000</v>
      </c>
      <c r="HD76" s="120"/>
      <c r="HE76" s="120"/>
      <c r="HF76" s="120"/>
      <c r="HG76" s="120"/>
      <c r="HH76" s="209"/>
      <c r="HI76" s="205"/>
      <c r="HJ76" s="205">
        <f t="shared" si="147"/>
        <v>1000</v>
      </c>
      <c r="HK76" s="205">
        <f t="shared" si="153"/>
        <v>4000</v>
      </c>
      <c r="HL76" s="124"/>
      <c r="HM76" s="120"/>
      <c r="HN76" s="120"/>
      <c r="HO76" s="120"/>
      <c r="HP76" s="120"/>
      <c r="HQ76" s="205"/>
      <c r="HR76" s="205"/>
      <c r="HS76" s="205">
        <f t="shared" si="154"/>
        <v>0</v>
      </c>
      <c r="HT76" s="120"/>
      <c r="HU76" s="195">
        <v>1000</v>
      </c>
      <c r="HV76" s="120"/>
      <c r="HW76" s="120"/>
      <c r="HX76" s="120"/>
      <c r="HY76" s="205"/>
      <c r="HZ76" s="205"/>
      <c r="IA76" s="205">
        <f t="shared" si="155"/>
        <v>1000</v>
      </c>
      <c r="IB76" s="120"/>
      <c r="IC76" s="120"/>
      <c r="ID76" s="120"/>
      <c r="IE76" s="120"/>
      <c r="IF76" s="120"/>
      <c r="IG76" s="205"/>
      <c r="IH76" s="205"/>
      <c r="II76" s="205">
        <f>SUM(IB76:IH76)</f>
        <v>0</v>
      </c>
      <c r="IJ76" s="120"/>
      <c r="IK76" s="120"/>
      <c r="IL76" s="120"/>
      <c r="IM76" s="201">
        <v>2000</v>
      </c>
      <c r="IN76" s="120"/>
      <c r="IO76" s="205"/>
      <c r="IP76" s="205"/>
      <c r="IQ76" s="205">
        <f t="shared" si="157"/>
        <v>2000</v>
      </c>
      <c r="IR76" s="205">
        <f t="shared" si="158"/>
        <v>3000</v>
      </c>
      <c r="IS76" s="120"/>
      <c r="IT76" s="120"/>
      <c r="IU76" s="120"/>
      <c r="IV76" s="217">
        <v>350</v>
      </c>
      <c r="IW76" s="120"/>
      <c r="IX76" s="205"/>
      <c r="IY76" s="205"/>
      <c r="IZ76" s="205">
        <f t="shared" si="159"/>
        <v>350</v>
      </c>
      <c r="JA76" s="120"/>
      <c r="JB76" s="120"/>
      <c r="JC76" s="120"/>
      <c r="JD76" s="120"/>
      <c r="JE76" s="120"/>
      <c r="JF76" s="205"/>
      <c r="JG76" s="205"/>
      <c r="JH76" s="205">
        <f t="shared" si="160"/>
        <v>0</v>
      </c>
      <c r="JI76" s="120"/>
      <c r="JJ76" s="120"/>
      <c r="JK76" s="120"/>
      <c r="JL76" s="120"/>
      <c r="JM76" s="120"/>
      <c r="JN76" s="205"/>
      <c r="JO76" s="205"/>
      <c r="JP76" s="205">
        <f t="shared" si="161"/>
        <v>0</v>
      </c>
      <c r="JQ76" s="201">
        <v>5000</v>
      </c>
      <c r="JR76" s="120"/>
      <c r="JS76" s="120"/>
      <c r="JT76" s="120"/>
      <c r="JU76" s="120"/>
      <c r="JV76" s="205"/>
      <c r="JW76" s="205"/>
      <c r="JX76" s="205">
        <f t="shared" si="162"/>
        <v>5000</v>
      </c>
      <c r="JY76" s="205">
        <f t="shared" si="558"/>
        <v>5350</v>
      </c>
      <c r="JZ76" s="120"/>
      <c r="KA76" s="217">
        <v>2700</v>
      </c>
      <c r="KB76" s="120"/>
      <c r="KC76" s="120"/>
      <c r="KD76" s="120"/>
      <c r="KE76" s="205"/>
      <c r="KF76" s="205"/>
      <c r="KG76" s="205">
        <f t="shared" si="164"/>
        <v>2700</v>
      </c>
      <c r="KH76" s="120"/>
      <c r="KI76" s="120"/>
      <c r="KJ76" s="206">
        <v>2000</v>
      </c>
      <c r="KK76" s="120"/>
      <c r="KL76" s="120"/>
      <c r="KM76" s="205"/>
      <c r="KN76" s="205"/>
      <c r="KO76" s="205">
        <f t="shared" si="165"/>
        <v>2000</v>
      </c>
      <c r="KP76" s="120"/>
      <c r="KQ76" s="120"/>
      <c r="KR76" s="120"/>
      <c r="KS76" s="120"/>
      <c r="KT76" s="120"/>
      <c r="KU76" s="205"/>
      <c r="KV76" s="205"/>
      <c r="KW76" s="205">
        <f t="shared" si="166"/>
        <v>0</v>
      </c>
      <c r="KX76" s="195">
        <v>1700</v>
      </c>
      <c r="KY76" s="120"/>
      <c r="KZ76" s="120"/>
      <c r="LA76" s="120"/>
      <c r="LB76" s="120"/>
      <c r="LC76" s="205"/>
      <c r="LD76" s="205"/>
      <c r="LE76" s="205">
        <f t="shared" si="167"/>
        <v>1700</v>
      </c>
      <c r="LF76" s="205"/>
      <c r="LG76" s="120"/>
      <c r="LH76" s="195">
        <v>1000</v>
      </c>
      <c r="LI76" s="120"/>
      <c r="LJ76" s="120"/>
      <c r="LK76" s="205"/>
      <c r="LL76" s="205"/>
      <c r="LM76" s="205">
        <f t="shared" si="168"/>
        <v>1000</v>
      </c>
      <c r="LN76" s="205">
        <f t="shared" si="169"/>
        <v>6400</v>
      </c>
      <c r="LO76" s="205"/>
      <c r="LP76" s="120"/>
      <c r="LQ76" s="195">
        <v>1550</v>
      </c>
      <c r="LR76" s="120"/>
      <c r="LS76" s="205"/>
      <c r="LT76" s="205"/>
      <c r="LU76" s="205"/>
      <c r="LV76" s="205">
        <f t="shared" si="170"/>
        <v>1550</v>
      </c>
      <c r="LW76" s="120"/>
      <c r="LX76" s="120"/>
      <c r="LY76" s="124">
        <v>260</v>
      </c>
      <c r="LZ76" s="120"/>
      <c r="MA76" s="120"/>
      <c r="MB76" s="205"/>
      <c r="MC76" s="205"/>
      <c r="MD76" s="205">
        <f t="shared" si="171"/>
        <v>260</v>
      </c>
      <c r="ME76" s="120"/>
      <c r="MF76" s="120"/>
      <c r="MG76" s="120"/>
      <c r="MH76" s="120"/>
      <c r="MI76" s="205"/>
      <c r="MJ76" s="205"/>
      <c r="MK76" s="205"/>
      <c r="ML76" s="205">
        <f t="shared" si="172"/>
        <v>0</v>
      </c>
      <c r="MM76" s="120"/>
      <c r="MN76" s="120"/>
      <c r="MO76" s="120"/>
      <c r="MP76" s="120"/>
      <c r="MQ76" s="120"/>
      <c r="MR76" s="205"/>
      <c r="MS76" s="205"/>
      <c r="MT76" s="205">
        <f t="shared" si="173"/>
        <v>0</v>
      </c>
      <c r="MU76" s="205">
        <f t="shared" si="174"/>
        <v>2810</v>
      </c>
      <c r="MV76" s="120"/>
      <c r="MW76" s="195">
        <v>1000</v>
      </c>
      <c r="MX76" s="120"/>
      <c r="MY76" s="120"/>
      <c r="MZ76" s="120"/>
      <c r="NA76" s="205"/>
      <c r="NB76" s="205"/>
      <c r="NC76" s="205">
        <f t="shared" si="175"/>
        <v>1000</v>
      </c>
      <c r="ND76" s="120"/>
      <c r="NE76" s="120"/>
      <c r="NF76" s="120"/>
      <c r="NG76" s="120"/>
      <c r="NH76" s="120"/>
      <c r="NI76" s="205"/>
      <c r="NJ76" s="205"/>
      <c r="NK76" s="205">
        <f t="shared" si="176"/>
        <v>0</v>
      </c>
      <c r="NL76" s="120"/>
      <c r="NM76" s="120"/>
      <c r="NN76" s="120"/>
      <c r="NO76" s="120"/>
      <c r="NP76" s="120"/>
      <c r="NQ76" s="205"/>
      <c r="NR76" s="205"/>
      <c r="NS76" s="205">
        <f t="shared" si="177"/>
        <v>0</v>
      </c>
      <c r="NT76" s="120"/>
      <c r="NU76" s="217">
        <v>2500</v>
      </c>
      <c r="NV76" s="120"/>
      <c r="NW76" s="120"/>
      <c r="NX76" s="120"/>
      <c r="NY76" s="205"/>
      <c r="NZ76" s="205"/>
      <c r="OA76" s="205">
        <f t="shared" si="178"/>
        <v>2500</v>
      </c>
      <c r="OB76" s="205">
        <f t="shared" si="179"/>
        <v>3500</v>
      </c>
      <c r="OC76" s="120"/>
      <c r="OD76" s="120"/>
      <c r="OE76" s="120"/>
      <c r="OF76" s="120"/>
      <c r="OG76" s="120"/>
      <c r="OH76" s="205"/>
      <c r="OI76" s="205"/>
      <c r="OJ76" s="205">
        <f t="shared" si="180"/>
        <v>0</v>
      </c>
      <c r="OK76" s="120"/>
      <c r="OL76" s="123">
        <v>2000</v>
      </c>
      <c r="OM76" s="120"/>
      <c r="ON76" s="120"/>
      <c r="OO76" s="120"/>
      <c r="OP76" s="205"/>
      <c r="OQ76" s="205"/>
      <c r="OR76" s="205">
        <f t="shared" si="181"/>
        <v>2000</v>
      </c>
      <c r="OS76" s="195">
        <v>6650</v>
      </c>
      <c r="OT76" s="120"/>
      <c r="OU76" s="120"/>
      <c r="OV76" s="120"/>
      <c r="OW76" s="120"/>
      <c r="OX76" s="205"/>
      <c r="OY76" s="205"/>
      <c r="OZ76" s="205">
        <f t="shared" si="182"/>
        <v>6650</v>
      </c>
      <c r="PA76" s="120"/>
      <c r="PB76" s="120"/>
      <c r="PC76" s="120"/>
      <c r="PD76" s="205"/>
      <c r="PE76" s="217"/>
      <c r="PF76" s="205"/>
      <c r="PG76" s="205"/>
      <c r="PH76" s="205">
        <f t="shared" si="183"/>
        <v>0</v>
      </c>
      <c r="PI76" s="120"/>
      <c r="PJ76" s="120"/>
      <c r="PK76" s="120"/>
      <c r="PL76" s="205"/>
      <c r="PM76" s="217"/>
      <c r="PN76" s="205"/>
      <c r="PO76" s="205"/>
      <c r="PP76" s="205">
        <f t="shared" si="184"/>
        <v>0</v>
      </c>
      <c r="PQ76" s="205">
        <f t="shared" si="185"/>
        <v>8650</v>
      </c>
      <c r="PR76" s="207"/>
      <c r="PS76" s="207"/>
      <c r="PT76" s="207"/>
      <c r="PU76" s="207"/>
      <c r="PV76" s="207"/>
      <c r="PW76" s="272"/>
      <c r="PX76" s="272"/>
      <c r="PY76" s="205">
        <f t="shared" si="559"/>
        <v>0</v>
      </c>
      <c r="PZ76" s="120"/>
      <c r="QA76" s="207"/>
      <c r="QB76" s="207"/>
      <c r="QC76" s="207"/>
      <c r="QD76" s="207"/>
      <c r="QE76" s="272"/>
      <c r="QF76" s="272"/>
      <c r="QG76" s="205">
        <f>SUM(PZ76:QF76)</f>
        <v>0</v>
      </c>
      <c r="QH76" s="207"/>
      <c r="QI76" s="207"/>
      <c r="QJ76" s="294"/>
      <c r="QK76" s="207"/>
      <c r="QL76" s="207"/>
      <c r="QM76" s="272"/>
      <c r="QN76" s="272"/>
      <c r="QO76" s="205">
        <f t="shared" si="561"/>
        <v>0</v>
      </c>
      <c r="QP76" s="207"/>
      <c r="QQ76" s="124">
        <v>450</v>
      </c>
      <c r="QR76" s="207"/>
      <c r="QS76" s="207"/>
      <c r="QT76" s="207"/>
      <c r="QU76" s="272"/>
      <c r="QV76" s="272"/>
      <c r="QW76" s="205">
        <f t="shared" si="320"/>
        <v>450</v>
      </c>
      <c r="QX76" s="205">
        <f t="shared" si="562"/>
        <v>450</v>
      </c>
      <c r="QY76" s="207"/>
      <c r="QZ76" s="207"/>
      <c r="RA76" s="207"/>
      <c r="RB76" s="207"/>
      <c r="RC76" s="207"/>
      <c r="RD76" s="272"/>
      <c r="RE76" s="272"/>
      <c r="RF76" s="205">
        <f t="shared" si="563"/>
        <v>0</v>
      </c>
      <c r="RG76" s="207"/>
      <c r="RH76" s="195">
        <v>1300</v>
      </c>
      <c r="RI76" s="207"/>
      <c r="RJ76" s="207"/>
      <c r="RK76" s="207"/>
      <c r="RL76" s="272"/>
      <c r="RM76" s="272"/>
      <c r="RN76" s="205">
        <f t="shared" si="530"/>
        <v>1300</v>
      </c>
      <c r="RO76" s="272"/>
      <c r="RP76" s="272"/>
      <c r="RQ76" s="272"/>
      <c r="RR76" s="272"/>
      <c r="RS76" s="272"/>
      <c r="RT76" s="272"/>
      <c r="RU76" s="272"/>
      <c r="RV76" s="205">
        <f t="shared" si="564"/>
        <v>0</v>
      </c>
      <c r="RW76" s="207"/>
      <c r="RX76" s="207"/>
      <c r="RY76" s="207"/>
      <c r="RZ76" s="207"/>
      <c r="SA76" s="272"/>
      <c r="SB76" s="272"/>
      <c r="SC76" s="272"/>
      <c r="SD76" s="205">
        <f t="shared" si="565"/>
        <v>0</v>
      </c>
      <c r="SE76" s="205">
        <f t="shared" si="566"/>
        <v>1300</v>
      </c>
      <c r="SF76" s="207"/>
      <c r="SG76" s="207"/>
      <c r="SH76" s="207"/>
      <c r="SI76" s="195">
        <v>2000</v>
      </c>
      <c r="SJ76" s="207"/>
      <c r="SK76" s="272"/>
      <c r="SL76" s="272"/>
      <c r="SM76" s="205">
        <f t="shared" si="567"/>
        <v>2000</v>
      </c>
      <c r="SN76" s="207"/>
      <c r="SO76" s="195">
        <v>2450</v>
      </c>
      <c r="SP76" s="207"/>
      <c r="SQ76" s="207"/>
      <c r="SR76" s="207"/>
      <c r="SS76" s="272"/>
      <c r="ST76" s="272"/>
      <c r="SU76" s="205">
        <f t="shared" si="568"/>
        <v>2450</v>
      </c>
      <c r="SV76" s="207"/>
      <c r="SW76" s="207"/>
      <c r="SX76" s="207"/>
      <c r="SY76" s="207"/>
      <c r="SZ76" s="207"/>
      <c r="TA76" s="272"/>
      <c r="TB76" s="272"/>
      <c r="TC76" s="205">
        <f t="shared" si="569"/>
        <v>0</v>
      </c>
      <c r="TD76" s="207"/>
      <c r="TE76" s="207"/>
      <c r="TF76" s="207"/>
      <c r="TG76" s="207"/>
      <c r="TH76" s="207"/>
      <c r="TI76" s="272"/>
      <c r="TJ76" s="272"/>
      <c r="TK76" s="205">
        <f>SUM(TD76:TJ76)</f>
        <v>0</v>
      </c>
      <c r="TL76" s="207"/>
      <c r="TM76" s="195"/>
      <c r="TN76" s="207"/>
      <c r="TO76" s="207"/>
      <c r="TP76" s="272"/>
      <c r="TQ76" s="272"/>
      <c r="TR76" s="272"/>
      <c r="TS76" s="205">
        <f t="shared" si="571"/>
        <v>0</v>
      </c>
      <c r="TT76" s="205">
        <f t="shared" si="572"/>
        <v>4450</v>
      </c>
      <c r="TU76" s="272"/>
      <c r="TV76" s="207"/>
      <c r="TW76" s="207"/>
      <c r="TX76" s="195">
        <v>2000</v>
      </c>
      <c r="TY76" s="207"/>
      <c r="TZ76" s="272"/>
      <c r="UA76" s="272"/>
      <c r="UB76" s="205">
        <f t="shared" si="573"/>
        <v>2000</v>
      </c>
      <c r="UC76" s="207"/>
      <c r="UD76" s="120"/>
      <c r="UE76" s="217">
        <v>1650</v>
      </c>
      <c r="UF76" s="207"/>
      <c r="UG76" s="207"/>
      <c r="UH76" s="272"/>
      <c r="UI76" s="272"/>
      <c r="UJ76" s="205">
        <f t="shared" si="574"/>
        <v>1650</v>
      </c>
      <c r="UK76" s="207"/>
      <c r="UL76" s="207"/>
      <c r="UM76" s="207"/>
      <c r="UN76" s="207"/>
      <c r="UO76" s="207"/>
      <c r="UP76" s="272"/>
      <c r="UQ76" s="272"/>
      <c r="UR76" s="205">
        <f t="shared" si="575"/>
        <v>0</v>
      </c>
      <c r="US76" s="207"/>
      <c r="UT76" s="207"/>
      <c r="UU76" s="207"/>
      <c r="UV76" s="207"/>
      <c r="UW76" s="272"/>
      <c r="UX76" s="272"/>
      <c r="UY76" s="272"/>
      <c r="UZ76" s="205">
        <f t="shared" si="576"/>
        <v>0</v>
      </c>
      <c r="VA76" s="205">
        <f t="shared" si="577"/>
        <v>3650</v>
      </c>
      <c r="VB76" s="207"/>
      <c r="VC76" s="207"/>
      <c r="VD76" s="207"/>
      <c r="VE76" s="207"/>
      <c r="VF76" s="207"/>
      <c r="VG76" s="272"/>
      <c r="VH76" s="272"/>
      <c r="VI76" s="205">
        <f t="shared" si="578"/>
        <v>0</v>
      </c>
      <c r="VK76" s="207"/>
      <c r="VL76" s="207"/>
      <c r="VM76" s="124">
        <v>1060</v>
      </c>
      <c r="VN76" s="207"/>
      <c r="VO76" s="272"/>
      <c r="VP76" s="272"/>
      <c r="VQ76" s="205">
        <f t="shared" si="579"/>
        <v>1060</v>
      </c>
      <c r="VR76" s="207"/>
      <c r="VS76" s="207"/>
      <c r="VT76" s="207"/>
      <c r="VU76" s="207"/>
      <c r="VV76" s="207"/>
      <c r="VW76" s="272"/>
      <c r="VX76" s="272"/>
      <c r="VY76" s="205">
        <f t="shared" si="580"/>
        <v>0</v>
      </c>
      <c r="VZ76" s="207"/>
      <c r="WA76" s="207"/>
      <c r="WB76" s="207"/>
      <c r="WC76" s="207"/>
      <c r="WD76" s="207"/>
      <c r="WE76" s="272"/>
      <c r="WF76" s="272"/>
      <c r="WG76" s="205">
        <f t="shared" si="581"/>
        <v>0</v>
      </c>
      <c r="WH76" s="205">
        <f t="shared" si="582"/>
        <v>1060</v>
      </c>
      <c r="WI76" s="207"/>
      <c r="WJ76" s="207"/>
      <c r="WK76" s="207"/>
      <c r="WL76" s="124">
        <v>5000</v>
      </c>
      <c r="WM76" s="207"/>
      <c r="WN76" s="272"/>
      <c r="WO76" s="272"/>
      <c r="WP76" s="205">
        <f t="shared" si="583"/>
        <v>5000</v>
      </c>
      <c r="WQ76" s="207"/>
      <c r="WR76" s="120"/>
      <c r="WS76" s="124">
        <v>3890</v>
      </c>
      <c r="WT76" s="207"/>
      <c r="WU76" s="207"/>
      <c r="WV76" s="272"/>
      <c r="WW76" s="272"/>
      <c r="WX76" s="205">
        <f t="shared" si="531"/>
        <v>3890</v>
      </c>
      <c r="WY76" s="207"/>
      <c r="WZ76" s="207"/>
      <c r="XA76" s="207"/>
      <c r="XB76" s="207"/>
      <c r="XC76" s="272"/>
      <c r="XD76" s="272"/>
      <c r="XE76" s="272"/>
      <c r="XF76" s="205">
        <f t="shared" si="584"/>
        <v>0</v>
      </c>
      <c r="XG76" s="207"/>
      <c r="XH76" s="207"/>
      <c r="XI76" s="207"/>
      <c r="XJ76" s="207"/>
      <c r="XK76" s="207"/>
      <c r="XL76" s="272"/>
      <c r="XM76" s="272"/>
      <c r="XN76" s="205">
        <f t="shared" si="585"/>
        <v>0</v>
      </c>
      <c r="XO76" s="207"/>
      <c r="XP76" s="207"/>
      <c r="XQ76" s="207"/>
      <c r="XR76" s="207"/>
      <c r="XS76" s="207"/>
      <c r="XT76" s="272"/>
      <c r="XU76" s="272"/>
      <c r="XV76" s="205">
        <f t="shared" si="586"/>
        <v>0</v>
      </c>
      <c r="XW76" s="205">
        <f t="shared" si="587"/>
        <v>8890</v>
      </c>
      <c r="XX76" s="207"/>
      <c r="XY76" s="207"/>
      <c r="XZ76" s="207"/>
      <c r="YA76" s="207"/>
      <c r="YB76" s="207"/>
      <c r="YC76" s="272"/>
      <c r="YD76" s="272"/>
      <c r="YE76" s="205">
        <f t="shared" si="588"/>
        <v>0</v>
      </c>
      <c r="YF76" s="124">
        <v>2090</v>
      </c>
      <c r="YG76" s="207"/>
      <c r="YH76" s="207"/>
      <c r="YI76" s="207"/>
      <c r="YJ76" s="207"/>
      <c r="YK76" s="272"/>
      <c r="YL76" s="272"/>
      <c r="YM76" s="205">
        <f t="shared" si="589"/>
        <v>2090</v>
      </c>
      <c r="YN76" s="207"/>
      <c r="YO76" s="207"/>
      <c r="YP76" s="207"/>
      <c r="YQ76" s="207"/>
      <c r="YR76" s="207"/>
      <c r="YS76" s="272"/>
      <c r="YT76" s="272"/>
      <c r="YU76" s="205">
        <f t="shared" si="544"/>
        <v>0</v>
      </c>
      <c r="YV76" s="207"/>
      <c r="YW76" s="207"/>
      <c r="YX76" s="207"/>
      <c r="YY76" s="207"/>
      <c r="YZ76" s="207"/>
      <c r="ZA76" s="272"/>
      <c r="ZB76" s="272"/>
      <c r="ZC76" s="205">
        <f t="shared" si="590"/>
        <v>0</v>
      </c>
      <c r="ZD76" s="205">
        <f t="shared" si="516"/>
        <v>2090</v>
      </c>
      <c r="ZE76" s="207"/>
      <c r="ZF76" s="207"/>
      <c r="ZG76" s="207"/>
      <c r="ZH76" s="207"/>
      <c r="ZI76" s="207"/>
      <c r="ZJ76" s="272"/>
      <c r="ZK76" s="272"/>
      <c r="ZL76" s="205">
        <f t="shared" si="591"/>
        <v>0</v>
      </c>
      <c r="ZM76" s="207"/>
      <c r="ZN76" s="207"/>
      <c r="ZO76" s="207"/>
      <c r="ZP76" s="207"/>
      <c r="ZQ76" s="207"/>
      <c r="ZR76" s="272"/>
      <c r="ZS76" s="272"/>
      <c r="ZT76" s="205">
        <f t="shared" si="592"/>
        <v>0</v>
      </c>
      <c r="ZU76" s="207"/>
      <c r="ZV76" s="207"/>
      <c r="ZW76" s="207"/>
      <c r="ZX76" s="207"/>
      <c r="ZY76" s="207"/>
      <c r="ZZ76" s="272"/>
      <c r="AAA76" s="272"/>
      <c r="AAB76" s="205">
        <f t="shared" si="593"/>
        <v>0</v>
      </c>
      <c r="AAC76" s="207"/>
      <c r="AAD76" s="207"/>
      <c r="AAE76" s="207"/>
      <c r="AAF76" s="207"/>
      <c r="AAG76" s="207"/>
      <c r="AAH76" s="272"/>
      <c r="AAI76" s="272"/>
      <c r="AAJ76" s="205">
        <f t="shared" si="594"/>
        <v>0</v>
      </c>
      <c r="AAK76" s="207"/>
      <c r="AAL76" s="207"/>
      <c r="AAM76" s="207"/>
      <c r="AAN76" s="207"/>
      <c r="AAO76" s="207"/>
      <c r="AAP76" s="272"/>
      <c r="AAQ76" s="272"/>
      <c r="AAR76" s="205">
        <f t="shared" si="595"/>
        <v>0</v>
      </c>
      <c r="AAS76" s="205">
        <f t="shared" si="596"/>
        <v>0</v>
      </c>
    </row>
    <row r="77" spans="1:721" ht="69" hidden="1" customHeight="1">
      <c r="B77" s="164" t="s">
        <v>780</v>
      </c>
      <c r="C77" s="331"/>
      <c r="D77" s="191" t="s">
        <v>781</v>
      </c>
      <c r="E77" s="130" t="s">
        <v>4</v>
      </c>
      <c r="F77" s="120"/>
      <c r="G77" s="120"/>
      <c r="H77" s="120"/>
      <c r="I77" s="120"/>
      <c r="J77" s="120"/>
      <c r="K77" s="209"/>
      <c r="L77" s="205"/>
      <c r="M77" s="205">
        <f t="shared" ref="M77:M78" si="623">SUM(F77:L77)</f>
        <v>0</v>
      </c>
      <c r="N77" s="120"/>
      <c r="O77" s="120"/>
      <c r="P77" s="120"/>
      <c r="Q77" s="120"/>
      <c r="R77" s="120"/>
      <c r="S77" s="209"/>
      <c r="T77" s="205"/>
      <c r="U77" s="205">
        <f t="shared" ref="U77:U78" si="624">SUM(N77:T77)</f>
        <v>0</v>
      </c>
      <c r="V77" s="120"/>
      <c r="W77" s="120"/>
      <c r="X77" s="120"/>
      <c r="Y77" s="120"/>
      <c r="Z77" s="120"/>
      <c r="AA77" s="209"/>
      <c r="AB77" s="205"/>
      <c r="AC77" s="205">
        <f t="shared" ref="AC77:AC78" si="625">SUM(V77:AB77)</f>
        <v>0</v>
      </c>
      <c r="AD77" s="205"/>
      <c r="AE77" s="205"/>
      <c r="AF77" s="205"/>
      <c r="AG77" s="205"/>
      <c r="AH77" s="205"/>
      <c r="AI77" s="209"/>
      <c r="AJ77" s="205"/>
      <c r="AK77" s="205">
        <f t="shared" ref="AK77:AK78" si="626">SUM(AD77:AJ77)</f>
        <v>0</v>
      </c>
      <c r="AL77" s="205" t="e">
        <f>SUM(#REF!,M77,U77,AC77,AD77:AH77)</f>
        <v>#REF!</v>
      </c>
      <c r="AM77" s="120"/>
      <c r="AN77" s="120"/>
      <c r="AO77" s="120"/>
      <c r="AP77" s="120"/>
      <c r="AQ77" s="120"/>
      <c r="AR77" s="209"/>
      <c r="AS77" s="205"/>
      <c r="AT77" s="205">
        <f t="shared" ref="AT77:AT78" si="627">SUM(AM77:AS77)</f>
        <v>0</v>
      </c>
      <c r="AU77" s="120"/>
      <c r="AV77" s="120"/>
      <c r="AW77" s="120"/>
      <c r="AX77" s="120"/>
      <c r="AY77" s="120"/>
      <c r="AZ77" s="209"/>
      <c r="BA77" s="205"/>
      <c r="BB77" s="205">
        <f t="shared" ref="BB77:BB78" si="628">SUM(AU77:BA77)</f>
        <v>0</v>
      </c>
      <c r="BC77" s="120"/>
      <c r="BD77" s="120"/>
      <c r="BE77" s="120"/>
      <c r="BF77" s="120"/>
      <c r="BG77" s="120"/>
      <c r="BH77" s="209"/>
      <c r="BI77" s="205"/>
      <c r="BJ77" s="205">
        <f t="shared" ref="BJ77:BJ78" si="629">SUM(BC77:BI77)</f>
        <v>0</v>
      </c>
      <c r="BK77" s="120"/>
      <c r="BL77" s="120"/>
      <c r="BM77" s="120"/>
      <c r="BN77" s="120"/>
      <c r="BO77" s="205"/>
      <c r="BP77" s="209"/>
      <c r="BQ77" s="205"/>
      <c r="BR77" s="205">
        <f t="shared" si="248"/>
        <v>0</v>
      </c>
      <c r="BS77" s="205">
        <f t="shared" si="129"/>
        <v>0</v>
      </c>
      <c r="BT77" s="120"/>
      <c r="BU77" s="120"/>
      <c r="BV77" s="120"/>
      <c r="BW77" s="120"/>
      <c r="BX77" s="120"/>
      <c r="BY77" s="209"/>
      <c r="BZ77" s="205"/>
      <c r="CA77" s="205">
        <f t="shared" ref="CA77:CA78" si="630">SUM(BT77:BZ77)</f>
        <v>0</v>
      </c>
      <c r="CB77" s="120"/>
      <c r="CC77" s="120"/>
      <c r="CD77" s="120"/>
      <c r="CE77" s="120"/>
      <c r="CF77" s="120"/>
      <c r="CG77" s="209"/>
      <c r="CH77" s="205"/>
      <c r="CI77" s="205">
        <f t="shared" ref="CI77:CI78" si="631">SUM(CB77:CH77)</f>
        <v>0</v>
      </c>
      <c r="CJ77" s="120"/>
      <c r="CK77" s="120"/>
      <c r="CL77" s="120"/>
      <c r="CM77" s="120"/>
      <c r="CN77" s="120"/>
      <c r="CO77" s="209"/>
      <c r="CP77" s="205"/>
      <c r="CQ77" s="205">
        <f t="shared" ref="CQ77:CQ78" si="632">SUM(CJ77:CP77)</f>
        <v>0</v>
      </c>
      <c r="CR77" s="120"/>
      <c r="CS77" s="120"/>
      <c r="CT77" s="120"/>
      <c r="CU77" s="120"/>
      <c r="CV77" s="120"/>
      <c r="CW77" s="209"/>
      <c r="CX77" s="205"/>
      <c r="CY77" s="205">
        <f t="shared" ref="CY77:CY78" si="633">SUM(CR77:CX77)</f>
        <v>0</v>
      </c>
      <c r="CZ77" s="120"/>
      <c r="DA77" s="120"/>
      <c r="DB77" s="120"/>
      <c r="DC77" s="205"/>
      <c r="DD77" s="205"/>
      <c r="DE77" s="209"/>
      <c r="DF77" s="205"/>
      <c r="DG77" s="205">
        <f t="shared" ref="DG77:DG78" si="634">SUM(CZ77:DF77)</f>
        <v>0</v>
      </c>
      <c r="DH77" s="205">
        <f t="shared" si="150"/>
        <v>0</v>
      </c>
      <c r="DI77" s="120"/>
      <c r="DJ77" s="120"/>
      <c r="DK77" s="120"/>
      <c r="DL77" s="120"/>
      <c r="DM77" s="120"/>
      <c r="DN77" s="209"/>
      <c r="DO77" s="205"/>
      <c r="DP77" s="205">
        <f t="shared" si="228"/>
        <v>0</v>
      </c>
      <c r="DQ77" s="120"/>
      <c r="DR77" s="120"/>
      <c r="DS77" s="120"/>
      <c r="DT77" s="120"/>
      <c r="DU77" s="120"/>
      <c r="DV77" s="209"/>
      <c r="DW77" s="205"/>
      <c r="DX77" s="205">
        <f t="shared" si="136"/>
        <v>0</v>
      </c>
      <c r="DY77" s="120"/>
      <c r="DZ77" s="120"/>
      <c r="EA77" s="120"/>
      <c r="EB77" s="120"/>
      <c r="EC77" s="120"/>
      <c r="ED77" s="209"/>
      <c r="EE77" s="205"/>
      <c r="EF77" s="205">
        <f t="shared" si="137"/>
        <v>0</v>
      </c>
      <c r="EG77" s="120"/>
      <c r="EH77" s="120"/>
      <c r="EI77" s="120"/>
      <c r="EJ77" s="205"/>
      <c r="EK77" s="205"/>
      <c r="EL77" s="209"/>
      <c r="EM77" s="205"/>
      <c r="EN77" s="205">
        <f t="shared" si="138"/>
        <v>0</v>
      </c>
      <c r="EO77" s="205">
        <f t="shared" si="151"/>
        <v>0</v>
      </c>
      <c r="EP77" s="120"/>
      <c r="EQ77" s="120"/>
      <c r="ER77" s="120"/>
      <c r="ES77" s="120"/>
      <c r="ET77" s="120"/>
      <c r="EU77" s="209"/>
      <c r="EV77" s="205"/>
      <c r="EW77" s="205">
        <f t="shared" si="139"/>
        <v>0</v>
      </c>
      <c r="EX77" s="120"/>
      <c r="EY77" s="120"/>
      <c r="EZ77" s="120"/>
      <c r="FA77" s="120"/>
      <c r="FB77" s="120"/>
      <c r="FC77" s="209"/>
      <c r="FD77" s="205"/>
      <c r="FE77" s="205">
        <f t="shared" si="140"/>
        <v>0</v>
      </c>
      <c r="FF77" s="120"/>
      <c r="FG77" s="120"/>
      <c r="FH77" s="120"/>
      <c r="FI77" s="120"/>
      <c r="FJ77" s="120"/>
      <c r="FK77" s="209"/>
      <c r="FL77" s="205"/>
      <c r="FM77" s="205">
        <f t="shared" si="141"/>
        <v>0</v>
      </c>
      <c r="FN77" s="120"/>
      <c r="FO77" s="120"/>
      <c r="FP77" s="120"/>
      <c r="FQ77" s="120"/>
      <c r="FR77" s="205"/>
      <c r="FS77" s="209"/>
      <c r="FT77" s="205"/>
      <c r="FU77" s="205">
        <f t="shared" si="142"/>
        <v>0</v>
      </c>
      <c r="FV77" s="205">
        <f t="shared" si="152"/>
        <v>0</v>
      </c>
      <c r="FW77" s="120"/>
      <c r="FX77" s="120"/>
      <c r="FY77" s="120"/>
      <c r="FZ77" s="120"/>
      <c r="GA77" s="120"/>
      <c r="GB77" s="209"/>
      <c r="GC77" s="205"/>
      <c r="GD77" s="205">
        <f t="shared" ref="GD77:GD78" si="635">SUM(FW77:GC77)</f>
        <v>0</v>
      </c>
      <c r="GE77" s="120"/>
      <c r="GF77" s="120"/>
      <c r="GG77" s="120"/>
      <c r="GH77" s="120"/>
      <c r="GI77" s="120"/>
      <c r="GJ77" s="209"/>
      <c r="GK77" s="205"/>
      <c r="GL77" s="205">
        <f t="shared" si="144"/>
        <v>0</v>
      </c>
      <c r="GM77" s="120"/>
      <c r="GN77" s="120"/>
      <c r="GO77" s="120"/>
      <c r="GP77" s="120"/>
      <c r="GQ77" s="120"/>
      <c r="GR77" s="209"/>
      <c r="GS77" s="205"/>
      <c r="GT77" s="205">
        <f t="shared" si="145"/>
        <v>0</v>
      </c>
      <c r="GU77" s="120"/>
      <c r="GV77" s="120"/>
      <c r="GW77" s="120"/>
      <c r="GX77" s="120"/>
      <c r="GY77" s="120"/>
      <c r="GZ77" s="209"/>
      <c r="HA77" s="205"/>
      <c r="HB77" s="205">
        <f t="shared" si="146"/>
        <v>0</v>
      </c>
      <c r="HC77" s="120"/>
      <c r="HD77" s="120"/>
      <c r="HE77" s="120"/>
      <c r="HF77" s="120"/>
      <c r="HG77" s="120"/>
      <c r="HH77" s="209"/>
      <c r="HI77" s="205"/>
      <c r="HJ77" s="205">
        <f t="shared" si="147"/>
        <v>0</v>
      </c>
      <c r="HK77" s="205">
        <f t="shared" si="153"/>
        <v>0</v>
      </c>
      <c r="HL77" s="124"/>
      <c r="HM77" s="120"/>
      <c r="HN77" s="120"/>
      <c r="HO77" s="120"/>
      <c r="HP77" s="120"/>
      <c r="HQ77" s="205"/>
      <c r="HR77" s="205"/>
      <c r="HS77" s="205">
        <f t="shared" si="154"/>
        <v>0</v>
      </c>
      <c r="HT77" s="120"/>
      <c r="HU77" s="120"/>
      <c r="HV77" s="120"/>
      <c r="HW77" s="120"/>
      <c r="HX77" s="120"/>
      <c r="HY77" s="205"/>
      <c r="HZ77" s="205"/>
      <c r="IA77" s="205">
        <f t="shared" si="155"/>
        <v>0</v>
      </c>
      <c r="IB77" s="120"/>
      <c r="IC77" s="120"/>
      <c r="ID77" s="120"/>
      <c r="IE77" s="120"/>
      <c r="IF77" s="120"/>
      <c r="IG77" s="205"/>
      <c r="IH77" s="205"/>
      <c r="II77" s="205">
        <f>SUM(IB77:IH77)</f>
        <v>0</v>
      </c>
      <c r="IJ77" s="120"/>
      <c r="IK77" s="120"/>
      <c r="IL77" s="120"/>
      <c r="IM77" s="120"/>
      <c r="IN77" s="120"/>
      <c r="IO77" s="205"/>
      <c r="IP77" s="205"/>
      <c r="IQ77" s="205">
        <f t="shared" si="157"/>
        <v>0</v>
      </c>
      <c r="IR77" s="205">
        <f t="shared" si="158"/>
        <v>0</v>
      </c>
      <c r="IS77" s="120"/>
      <c r="IT77" s="120"/>
      <c r="IU77" s="120"/>
      <c r="IV77" s="217"/>
      <c r="IW77" s="120"/>
      <c r="IX77" s="205"/>
      <c r="IY77" s="205"/>
      <c r="IZ77" s="205">
        <f t="shared" si="159"/>
        <v>0</v>
      </c>
      <c r="JA77" s="120"/>
      <c r="JB77" s="120"/>
      <c r="JC77" s="120"/>
      <c r="JD77" s="120"/>
      <c r="JE77" s="120"/>
      <c r="JF77" s="205"/>
      <c r="JG77" s="205"/>
      <c r="JH77" s="205">
        <f t="shared" si="160"/>
        <v>0</v>
      </c>
      <c r="JI77" s="120"/>
      <c r="JJ77" s="120"/>
      <c r="JK77" s="120"/>
      <c r="JL77" s="120"/>
      <c r="JM77" s="120"/>
      <c r="JN77" s="205"/>
      <c r="JO77" s="205"/>
      <c r="JP77" s="205">
        <f t="shared" si="161"/>
        <v>0</v>
      </c>
      <c r="JQ77" s="123"/>
      <c r="JR77" s="120"/>
      <c r="JS77" s="120"/>
      <c r="JT77" s="120"/>
      <c r="JU77" s="120"/>
      <c r="JV77" s="205"/>
      <c r="JW77" s="205"/>
      <c r="JX77" s="205">
        <f t="shared" si="162"/>
        <v>0</v>
      </c>
      <c r="JY77" s="205">
        <f t="shared" si="558"/>
        <v>0</v>
      </c>
      <c r="JZ77" s="120"/>
      <c r="KA77" s="217"/>
      <c r="KB77" s="120"/>
      <c r="KC77" s="120"/>
      <c r="KD77" s="120"/>
      <c r="KE77" s="205"/>
      <c r="KF77" s="205"/>
      <c r="KG77" s="205">
        <f t="shared" si="164"/>
        <v>0</v>
      </c>
      <c r="KH77" s="120"/>
      <c r="KI77" s="120"/>
      <c r="KJ77" s="217"/>
      <c r="KK77" s="120"/>
      <c r="KL77" s="120"/>
      <c r="KM77" s="205"/>
      <c r="KN77" s="205"/>
      <c r="KO77" s="205">
        <f t="shared" si="165"/>
        <v>0</v>
      </c>
      <c r="KP77" s="120"/>
      <c r="KQ77" s="120"/>
      <c r="KR77" s="120"/>
      <c r="KS77" s="120"/>
      <c r="KT77" s="120"/>
      <c r="KU77" s="205"/>
      <c r="KV77" s="205"/>
      <c r="KW77" s="205">
        <f t="shared" si="166"/>
        <v>0</v>
      </c>
      <c r="KX77" s="120"/>
      <c r="KY77" s="120"/>
      <c r="KZ77" s="120"/>
      <c r="LA77" s="120"/>
      <c r="LB77" s="120"/>
      <c r="LC77" s="205"/>
      <c r="LD77" s="205"/>
      <c r="LE77" s="205">
        <f t="shared" si="167"/>
        <v>0</v>
      </c>
      <c r="LF77" s="205"/>
      <c r="LG77" s="120"/>
      <c r="LH77" s="120"/>
      <c r="LI77" s="120"/>
      <c r="LJ77" s="120"/>
      <c r="LK77" s="205"/>
      <c r="LL77" s="205"/>
      <c r="LM77" s="205">
        <f t="shared" si="168"/>
        <v>0</v>
      </c>
      <c r="LN77" s="205">
        <f t="shared" si="169"/>
        <v>0</v>
      </c>
      <c r="LO77" s="205"/>
      <c r="LP77" s="120"/>
      <c r="LQ77" s="120"/>
      <c r="LR77" s="120"/>
      <c r="LS77" s="205"/>
      <c r="LT77" s="205"/>
      <c r="LU77" s="205"/>
      <c r="LV77" s="205">
        <f t="shared" si="170"/>
        <v>0</v>
      </c>
      <c r="LW77" s="120"/>
      <c r="LX77" s="120"/>
      <c r="LY77" s="120"/>
      <c r="LZ77" s="120"/>
      <c r="MA77" s="120"/>
      <c r="MB77" s="205"/>
      <c r="MC77" s="205"/>
      <c r="MD77" s="205">
        <f t="shared" si="171"/>
        <v>0</v>
      </c>
      <c r="ME77" s="120"/>
      <c r="MF77" s="120"/>
      <c r="MG77" s="120"/>
      <c r="MH77" s="120"/>
      <c r="MI77" s="205"/>
      <c r="MJ77" s="205"/>
      <c r="MK77" s="205"/>
      <c r="ML77" s="205">
        <f t="shared" si="172"/>
        <v>0</v>
      </c>
      <c r="MM77" s="120"/>
      <c r="MN77" s="120"/>
      <c r="MO77" s="120"/>
      <c r="MP77" s="120"/>
      <c r="MQ77" s="120"/>
      <c r="MR77" s="205"/>
      <c r="MS77" s="205"/>
      <c r="MT77" s="205">
        <f t="shared" si="173"/>
        <v>0</v>
      </c>
      <c r="MU77" s="205">
        <f t="shared" si="174"/>
        <v>0</v>
      </c>
      <c r="MV77" s="120"/>
      <c r="MW77" s="120"/>
      <c r="MX77" s="120"/>
      <c r="MY77" s="120"/>
      <c r="MZ77" s="120"/>
      <c r="NA77" s="205"/>
      <c r="NB77" s="205"/>
      <c r="NC77" s="205">
        <f t="shared" si="175"/>
        <v>0</v>
      </c>
      <c r="ND77" s="120"/>
      <c r="NE77" s="120"/>
      <c r="NF77" s="120"/>
      <c r="NG77" s="120"/>
      <c r="NH77" s="120"/>
      <c r="NI77" s="205"/>
      <c r="NJ77" s="205"/>
      <c r="NK77" s="205">
        <f t="shared" si="176"/>
        <v>0</v>
      </c>
      <c r="NL77" s="120"/>
      <c r="NM77" s="120"/>
      <c r="NN77" s="120"/>
      <c r="NO77" s="120"/>
      <c r="NP77" s="120"/>
      <c r="NQ77" s="205"/>
      <c r="NR77" s="205"/>
      <c r="NS77" s="205">
        <f t="shared" si="177"/>
        <v>0</v>
      </c>
      <c r="NT77" s="120"/>
      <c r="NU77" s="120"/>
      <c r="NV77" s="120"/>
      <c r="NW77" s="120"/>
      <c r="NX77" s="120"/>
      <c r="NY77" s="205"/>
      <c r="NZ77" s="205"/>
      <c r="OA77" s="205">
        <f t="shared" si="178"/>
        <v>0</v>
      </c>
      <c r="OB77" s="205">
        <f t="shared" si="179"/>
        <v>0</v>
      </c>
      <c r="OC77" s="120"/>
      <c r="OD77" s="120"/>
      <c r="OE77" s="120"/>
      <c r="OF77" s="120"/>
      <c r="OG77" s="120"/>
      <c r="OH77" s="205"/>
      <c r="OI77" s="205"/>
      <c r="OJ77" s="205">
        <f t="shared" si="180"/>
        <v>0</v>
      </c>
      <c r="OK77" s="120"/>
      <c r="OL77" s="120"/>
      <c r="OM77" s="120"/>
      <c r="ON77" s="120"/>
      <c r="OO77" s="120"/>
      <c r="OP77" s="205"/>
      <c r="OQ77" s="205"/>
      <c r="OR77" s="205">
        <f t="shared" si="181"/>
        <v>0</v>
      </c>
      <c r="OS77" s="120"/>
      <c r="OT77" s="120"/>
      <c r="OU77" s="120"/>
      <c r="OV77" s="120"/>
      <c r="OW77" s="120"/>
      <c r="OX77" s="205"/>
      <c r="OY77" s="205"/>
      <c r="OZ77" s="205">
        <f t="shared" si="182"/>
        <v>0</v>
      </c>
      <c r="PA77" s="120"/>
      <c r="PB77" s="120"/>
      <c r="PC77" s="120"/>
      <c r="PD77" s="205"/>
      <c r="PE77" s="217"/>
      <c r="PF77" s="205"/>
      <c r="PG77" s="205"/>
      <c r="PH77" s="205">
        <f t="shared" si="183"/>
        <v>0</v>
      </c>
      <c r="PI77" s="120"/>
      <c r="PJ77" s="120"/>
      <c r="PK77" s="120"/>
      <c r="PL77" s="205"/>
      <c r="PM77" s="217"/>
      <c r="PN77" s="205"/>
      <c r="PO77" s="205"/>
      <c r="PP77" s="205">
        <f t="shared" si="184"/>
        <v>0</v>
      </c>
      <c r="PQ77" s="205">
        <f t="shared" si="185"/>
        <v>0</v>
      </c>
      <c r="PR77" s="207"/>
      <c r="PS77" s="207"/>
      <c r="PT77" s="207"/>
      <c r="PU77" s="207"/>
      <c r="PV77" s="207"/>
      <c r="PW77" s="272"/>
      <c r="PX77" s="272"/>
      <c r="PY77" s="205">
        <f t="shared" si="559"/>
        <v>0</v>
      </c>
      <c r="PZ77" s="207"/>
      <c r="QA77" s="207"/>
      <c r="QB77" s="207"/>
      <c r="QC77" s="207"/>
      <c r="QD77" s="207"/>
      <c r="QE77" s="272"/>
      <c r="QF77" s="272"/>
      <c r="QG77" s="205">
        <f t="shared" si="560"/>
        <v>0</v>
      </c>
      <c r="QH77" s="207"/>
      <c r="QI77" s="207"/>
      <c r="QJ77" s="294"/>
      <c r="QK77" s="207"/>
      <c r="QL77" s="207"/>
      <c r="QM77" s="272"/>
      <c r="QN77" s="272"/>
      <c r="QO77" s="205">
        <f t="shared" si="561"/>
        <v>0</v>
      </c>
      <c r="QP77" s="207"/>
      <c r="QQ77" s="306"/>
      <c r="QR77" s="207"/>
      <c r="QS77" s="207"/>
      <c r="QT77" s="207"/>
      <c r="QU77" s="272"/>
      <c r="QV77" s="272"/>
      <c r="QW77" s="205">
        <f t="shared" si="320"/>
        <v>0</v>
      </c>
      <c r="QX77" s="205">
        <f t="shared" si="562"/>
        <v>0</v>
      </c>
      <c r="QY77" s="207"/>
      <c r="QZ77" s="207"/>
      <c r="RA77" s="207"/>
      <c r="RB77" s="207"/>
      <c r="RC77" s="207"/>
      <c r="RD77" s="272"/>
      <c r="RE77" s="272"/>
      <c r="RF77" s="205">
        <f t="shared" si="563"/>
        <v>0</v>
      </c>
      <c r="RG77" s="207"/>
      <c r="RH77" s="195"/>
      <c r="RI77" s="207"/>
      <c r="RJ77" s="207"/>
      <c r="RK77" s="207"/>
      <c r="RL77" s="272"/>
      <c r="RM77" s="272"/>
      <c r="RN77" s="205">
        <f t="shared" si="530"/>
        <v>0</v>
      </c>
      <c r="RO77" s="272"/>
      <c r="RP77" s="272"/>
      <c r="RQ77" s="272"/>
      <c r="RR77" s="272"/>
      <c r="RS77" s="272"/>
      <c r="RT77" s="272"/>
      <c r="RU77" s="272"/>
      <c r="RV77" s="205">
        <f t="shared" si="564"/>
        <v>0</v>
      </c>
      <c r="RW77" s="207"/>
      <c r="RX77" s="207"/>
      <c r="RY77" s="207"/>
      <c r="RZ77" s="207"/>
      <c r="SA77" s="272"/>
      <c r="SB77" s="272"/>
      <c r="SC77" s="272"/>
      <c r="SD77" s="205">
        <f t="shared" si="565"/>
        <v>0</v>
      </c>
      <c r="SE77" s="205">
        <f t="shared" si="566"/>
        <v>0</v>
      </c>
      <c r="SF77" s="207"/>
      <c r="SG77" s="207"/>
      <c r="SH77" s="207"/>
      <c r="SI77" s="207"/>
      <c r="SJ77" s="207"/>
      <c r="SK77" s="272"/>
      <c r="SL77" s="272"/>
      <c r="SM77" s="205">
        <f t="shared" si="567"/>
        <v>0</v>
      </c>
      <c r="SN77" s="207"/>
      <c r="SO77" s="195"/>
      <c r="SP77" s="207"/>
      <c r="SQ77" s="207"/>
      <c r="SR77" s="207"/>
      <c r="SS77" s="272"/>
      <c r="ST77" s="272"/>
      <c r="SU77" s="205">
        <f t="shared" si="568"/>
        <v>0</v>
      </c>
      <c r="SV77" s="207"/>
      <c r="SW77" s="207"/>
      <c r="SX77" s="207"/>
      <c r="SY77" s="207"/>
      <c r="SZ77" s="207"/>
      <c r="TA77" s="272"/>
      <c r="TB77" s="272"/>
      <c r="TC77" s="205">
        <f t="shared" si="569"/>
        <v>0</v>
      </c>
      <c r="TD77" s="207"/>
      <c r="TE77" s="207"/>
      <c r="TF77" s="207"/>
      <c r="TG77" s="207"/>
      <c r="TH77" s="207"/>
      <c r="TI77" s="272"/>
      <c r="TJ77" s="272"/>
      <c r="TK77" s="205">
        <f t="shared" si="570"/>
        <v>0</v>
      </c>
      <c r="TL77" s="207"/>
      <c r="TM77" s="207"/>
      <c r="TN77" s="207"/>
      <c r="TO77" s="207"/>
      <c r="TP77" s="272"/>
      <c r="TQ77" s="272"/>
      <c r="TR77" s="272"/>
      <c r="TS77" s="205">
        <f t="shared" si="571"/>
        <v>0</v>
      </c>
      <c r="TT77" s="205">
        <f t="shared" si="572"/>
        <v>0</v>
      </c>
      <c r="TU77" s="272"/>
      <c r="TV77" s="207"/>
      <c r="TW77" s="207"/>
      <c r="TX77" s="207"/>
      <c r="TY77" s="207"/>
      <c r="TZ77" s="272"/>
      <c r="UA77" s="272"/>
      <c r="UB77" s="205">
        <f t="shared" si="573"/>
        <v>0</v>
      </c>
      <c r="UC77" s="207"/>
      <c r="UD77" s="207"/>
      <c r="UE77" s="301"/>
      <c r="UF77" s="207"/>
      <c r="UG77" s="207"/>
      <c r="UH77" s="272"/>
      <c r="UI77" s="272"/>
      <c r="UJ77" s="205">
        <f t="shared" si="574"/>
        <v>0</v>
      </c>
      <c r="UK77" s="207"/>
      <c r="UL77" s="207"/>
      <c r="UM77" s="207"/>
      <c r="UN77" s="207"/>
      <c r="UO77" s="207"/>
      <c r="UP77" s="272"/>
      <c r="UQ77" s="272"/>
      <c r="UR77" s="205">
        <f t="shared" si="575"/>
        <v>0</v>
      </c>
      <c r="US77" s="207"/>
      <c r="UT77" s="207"/>
      <c r="UU77" s="207"/>
      <c r="UV77" s="207"/>
      <c r="UW77" s="272"/>
      <c r="UX77" s="272"/>
      <c r="UY77" s="272"/>
      <c r="UZ77" s="205">
        <f t="shared" si="576"/>
        <v>0</v>
      </c>
      <c r="VA77" s="205">
        <f t="shared" si="577"/>
        <v>0</v>
      </c>
      <c r="VB77" s="207"/>
      <c r="VC77" s="207"/>
      <c r="VD77" s="207"/>
      <c r="VE77" s="207"/>
      <c r="VF77" s="207"/>
      <c r="VG77" s="272"/>
      <c r="VH77" s="272"/>
      <c r="VI77" s="205">
        <f t="shared" si="578"/>
        <v>0</v>
      </c>
      <c r="VJ77" s="300"/>
      <c r="VK77" s="207"/>
      <c r="VL77" s="207"/>
      <c r="VM77" s="306"/>
      <c r="VN77" s="207"/>
      <c r="VO77" s="272"/>
      <c r="VP77" s="272"/>
      <c r="VQ77" s="205">
        <f t="shared" si="579"/>
        <v>0</v>
      </c>
      <c r="VR77" s="207"/>
      <c r="VS77" s="207"/>
      <c r="VT77" s="207"/>
      <c r="VU77" s="207"/>
      <c r="VV77" s="207"/>
      <c r="VW77" s="272"/>
      <c r="VX77" s="272"/>
      <c r="VY77" s="205">
        <f t="shared" si="580"/>
        <v>0</v>
      </c>
      <c r="VZ77" s="207"/>
      <c r="WA77" s="207"/>
      <c r="WB77" s="207"/>
      <c r="WC77" s="207"/>
      <c r="WD77" s="207"/>
      <c r="WE77" s="272"/>
      <c r="WF77" s="272"/>
      <c r="WG77" s="205">
        <f t="shared" si="581"/>
        <v>0</v>
      </c>
      <c r="WH77" s="205">
        <f t="shared" si="582"/>
        <v>0</v>
      </c>
      <c r="WI77" s="207"/>
      <c r="WJ77" s="207"/>
      <c r="WK77" s="207"/>
      <c r="WL77" s="207"/>
      <c r="WM77" s="207"/>
      <c r="WN77" s="272"/>
      <c r="WO77" s="272"/>
      <c r="WP77" s="205">
        <f t="shared" si="583"/>
        <v>0</v>
      </c>
      <c r="WQ77" s="207"/>
      <c r="WR77" s="207"/>
      <c r="WS77" s="124"/>
      <c r="WT77" s="207"/>
      <c r="WU77" s="207"/>
      <c r="WV77" s="272"/>
      <c r="WW77" s="272"/>
      <c r="WX77" s="205">
        <f t="shared" si="531"/>
        <v>0</v>
      </c>
      <c r="WY77" s="207"/>
      <c r="WZ77" s="207"/>
      <c r="XA77" s="207"/>
      <c r="XB77" s="207"/>
      <c r="XC77" s="272"/>
      <c r="XD77" s="272"/>
      <c r="XE77" s="272"/>
      <c r="XF77" s="205">
        <f t="shared" si="584"/>
        <v>0</v>
      </c>
      <c r="XG77" s="207"/>
      <c r="XH77" s="207"/>
      <c r="XI77" s="207"/>
      <c r="XJ77" s="207"/>
      <c r="XK77" s="207"/>
      <c r="XL77" s="272"/>
      <c r="XM77" s="272"/>
      <c r="XN77" s="205">
        <f t="shared" si="585"/>
        <v>0</v>
      </c>
      <c r="XO77" s="207"/>
      <c r="XP77" s="207"/>
      <c r="XQ77" s="207"/>
      <c r="XR77" s="207"/>
      <c r="XS77" s="207"/>
      <c r="XT77" s="272"/>
      <c r="XU77" s="272"/>
      <c r="XV77" s="205">
        <f t="shared" si="586"/>
        <v>0</v>
      </c>
      <c r="XW77" s="205">
        <f t="shared" si="587"/>
        <v>0</v>
      </c>
      <c r="XX77" s="207"/>
      <c r="XY77" s="207"/>
      <c r="XZ77" s="207"/>
      <c r="YA77" s="207"/>
      <c r="YB77" s="207"/>
      <c r="YC77" s="272"/>
      <c r="YD77" s="272"/>
      <c r="YE77" s="205">
        <f t="shared" si="588"/>
        <v>0</v>
      </c>
      <c r="YF77" s="124"/>
      <c r="YG77" s="207"/>
      <c r="YH77" s="207"/>
      <c r="YI77" s="207"/>
      <c r="YJ77" s="207"/>
      <c r="YK77" s="272"/>
      <c r="YL77" s="272"/>
      <c r="YM77" s="205">
        <f t="shared" si="589"/>
        <v>0</v>
      </c>
      <c r="YN77" s="207"/>
      <c r="YO77" s="207"/>
      <c r="YP77" s="207"/>
      <c r="YQ77" s="207"/>
      <c r="YR77" s="207"/>
      <c r="YS77" s="272"/>
      <c r="YT77" s="272"/>
      <c r="YU77" s="205">
        <f t="shared" si="544"/>
        <v>0</v>
      </c>
      <c r="YV77" s="207"/>
      <c r="YW77" s="207"/>
      <c r="YX77" s="207"/>
      <c r="YY77" s="207"/>
      <c r="YZ77" s="207"/>
      <c r="ZA77" s="272"/>
      <c r="ZB77" s="272"/>
      <c r="ZC77" s="205">
        <f t="shared" si="590"/>
        <v>0</v>
      </c>
      <c r="ZD77" s="205">
        <f t="shared" si="516"/>
        <v>0</v>
      </c>
      <c r="ZE77" s="207"/>
      <c r="ZF77" s="207"/>
      <c r="ZG77" s="207"/>
      <c r="ZH77" s="207"/>
      <c r="ZI77" s="207"/>
      <c r="ZJ77" s="272"/>
      <c r="ZK77" s="272"/>
      <c r="ZL77" s="205">
        <f t="shared" si="591"/>
        <v>0</v>
      </c>
      <c r="ZM77" s="207"/>
      <c r="ZN77" s="207"/>
      <c r="ZO77" s="207"/>
      <c r="ZP77" s="207"/>
      <c r="ZQ77" s="207"/>
      <c r="ZR77" s="272"/>
      <c r="ZS77" s="272"/>
      <c r="ZT77" s="205">
        <f t="shared" si="592"/>
        <v>0</v>
      </c>
      <c r="ZU77" s="207"/>
      <c r="ZV77" s="207"/>
      <c r="ZW77" s="207"/>
      <c r="ZX77" s="207"/>
      <c r="ZY77" s="207"/>
      <c r="ZZ77" s="272"/>
      <c r="AAA77" s="272"/>
      <c r="AAB77" s="205">
        <f t="shared" si="593"/>
        <v>0</v>
      </c>
      <c r="AAC77" s="207"/>
      <c r="AAD77" s="207"/>
      <c r="AAE77" s="207"/>
      <c r="AAF77" s="207"/>
      <c r="AAG77" s="207"/>
      <c r="AAH77" s="272"/>
      <c r="AAI77" s="272"/>
      <c r="AAJ77" s="205">
        <f t="shared" si="594"/>
        <v>0</v>
      </c>
      <c r="AAK77" s="207"/>
      <c r="AAL77" s="207"/>
      <c r="AAM77" s="207"/>
      <c r="AAN77" s="207"/>
      <c r="AAO77" s="207"/>
      <c r="AAP77" s="272"/>
      <c r="AAQ77" s="272"/>
      <c r="AAR77" s="205">
        <f t="shared" si="595"/>
        <v>0</v>
      </c>
      <c r="AAS77" s="205">
        <f t="shared" si="596"/>
        <v>0</v>
      </c>
    </row>
    <row r="78" spans="1:721" ht="69" customHeight="1">
      <c r="B78" s="164" t="s">
        <v>820</v>
      </c>
      <c r="C78" s="331"/>
      <c r="D78" s="167" t="s">
        <v>822</v>
      </c>
      <c r="E78" s="130" t="s">
        <v>4</v>
      </c>
      <c r="F78" s="120"/>
      <c r="G78" s="120"/>
      <c r="H78" s="120"/>
      <c r="I78" s="120"/>
      <c r="J78" s="120"/>
      <c r="K78" s="209"/>
      <c r="L78" s="205"/>
      <c r="M78" s="205">
        <f t="shared" si="623"/>
        <v>0</v>
      </c>
      <c r="N78" s="120"/>
      <c r="O78" s="120"/>
      <c r="P78" s="120"/>
      <c r="Q78" s="120"/>
      <c r="R78" s="120"/>
      <c r="S78" s="209"/>
      <c r="T78" s="205"/>
      <c r="U78" s="205">
        <f t="shared" si="624"/>
        <v>0</v>
      </c>
      <c r="V78" s="120"/>
      <c r="W78" s="120"/>
      <c r="X78" s="120"/>
      <c r="Y78" s="120"/>
      <c r="Z78" s="120"/>
      <c r="AA78" s="209"/>
      <c r="AB78" s="205"/>
      <c r="AC78" s="205">
        <f t="shared" si="625"/>
        <v>0</v>
      </c>
      <c r="AD78" s="205"/>
      <c r="AE78" s="205"/>
      <c r="AF78" s="205"/>
      <c r="AG78" s="205"/>
      <c r="AH78" s="205"/>
      <c r="AI78" s="209"/>
      <c r="AJ78" s="205"/>
      <c r="AK78" s="205">
        <f t="shared" si="626"/>
        <v>0</v>
      </c>
      <c r="AL78" s="205" t="e">
        <f>SUM(#REF!,M78,U78,AC78,AD78:AH78)</f>
        <v>#REF!</v>
      </c>
      <c r="AM78" s="120"/>
      <c r="AN78" s="120"/>
      <c r="AO78" s="120"/>
      <c r="AP78" s="120"/>
      <c r="AQ78" s="120"/>
      <c r="AR78" s="209"/>
      <c r="AS78" s="205"/>
      <c r="AT78" s="205">
        <f t="shared" si="627"/>
        <v>0</v>
      </c>
      <c r="AU78" s="120"/>
      <c r="AV78" s="120"/>
      <c r="AW78" s="120"/>
      <c r="AX78" s="120"/>
      <c r="AY78" s="120"/>
      <c r="AZ78" s="209"/>
      <c r="BA78" s="205"/>
      <c r="BB78" s="205">
        <f t="shared" si="628"/>
        <v>0</v>
      </c>
      <c r="BC78" s="120"/>
      <c r="BD78" s="120"/>
      <c r="BE78" s="120"/>
      <c r="BF78" s="120"/>
      <c r="BG78" s="120"/>
      <c r="BH78" s="209"/>
      <c r="BI78" s="205"/>
      <c r="BJ78" s="205">
        <f t="shared" si="629"/>
        <v>0</v>
      </c>
      <c r="BK78" s="120"/>
      <c r="BL78" s="120"/>
      <c r="BM78" s="120"/>
      <c r="BN78" s="120"/>
      <c r="BO78" s="205"/>
      <c r="BP78" s="209"/>
      <c r="BQ78" s="205"/>
      <c r="BR78" s="205">
        <f t="shared" si="248"/>
        <v>0</v>
      </c>
      <c r="BS78" s="205">
        <f t="shared" si="129"/>
        <v>0</v>
      </c>
      <c r="BT78" s="120"/>
      <c r="BU78" s="120"/>
      <c r="BV78" s="120"/>
      <c r="BW78" s="120"/>
      <c r="BX78" s="120"/>
      <c r="BY78" s="209"/>
      <c r="BZ78" s="205"/>
      <c r="CA78" s="205">
        <f t="shared" si="630"/>
        <v>0</v>
      </c>
      <c r="CB78" s="120"/>
      <c r="CC78" s="120"/>
      <c r="CD78" s="120"/>
      <c r="CE78" s="120"/>
      <c r="CF78" s="120"/>
      <c r="CG78" s="209"/>
      <c r="CH78" s="205"/>
      <c r="CI78" s="205">
        <f t="shared" si="631"/>
        <v>0</v>
      </c>
      <c r="CJ78" s="120"/>
      <c r="CK78" s="120"/>
      <c r="CL78" s="120"/>
      <c r="CM78" s="120"/>
      <c r="CN78" s="120"/>
      <c r="CO78" s="209"/>
      <c r="CP78" s="205"/>
      <c r="CQ78" s="205">
        <f t="shared" si="632"/>
        <v>0</v>
      </c>
      <c r="CR78" s="120"/>
      <c r="CS78" s="120"/>
      <c r="CT78" s="120"/>
      <c r="CU78" s="120"/>
      <c r="CV78" s="120"/>
      <c r="CW78" s="209"/>
      <c r="CX78" s="205"/>
      <c r="CY78" s="205">
        <f t="shared" si="633"/>
        <v>0</v>
      </c>
      <c r="CZ78" s="120"/>
      <c r="DA78" s="120"/>
      <c r="DB78" s="120"/>
      <c r="DC78" s="205"/>
      <c r="DD78" s="205"/>
      <c r="DE78" s="209"/>
      <c r="DF78" s="205"/>
      <c r="DG78" s="205">
        <f t="shared" si="634"/>
        <v>0</v>
      </c>
      <c r="DH78" s="205">
        <f t="shared" si="150"/>
        <v>0</v>
      </c>
      <c r="DI78" s="120"/>
      <c r="DJ78" s="120"/>
      <c r="DK78" s="120"/>
      <c r="DL78" s="120"/>
      <c r="DM78" s="120"/>
      <c r="DN78" s="209"/>
      <c r="DO78" s="205"/>
      <c r="DP78" s="205">
        <f t="shared" si="228"/>
        <v>0</v>
      </c>
      <c r="DQ78" s="120"/>
      <c r="DR78" s="120"/>
      <c r="DS78" s="120"/>
      <c r="DT78" s="120"/>
      <c r="DU78" s="120"/>
      <c r="DV78" s="209"/>
      <c r="DW78" s="205"/>
      <c r="DX78" s="205">
        <f t="shared" si="136"/>
        <v>0</v>
      </c>
      <c r="DY78" s="120"/>
      <c r="DZ78" s="120"/>
      <c r="EA78" s="120"/>
      <c r="EB78" s="120"/>
      <c r="EC78" s="120"/>
      <c r="ED78" s="209"/>
      <c r="EE78" s="205"/>
      <c r="EF78" s="205">
        <f t="shared" si="137"/>
        <v>0</v>
      </c>
      <c r="EG78" s="120"/>
      <c r="EH78" s="120"/>
      <c r="EI78" s="120"/>
      <c r="EJ78" s="205"/>
      <c r="EK78" s="205"/>
      <c r="EL78" s="209"/>
      <c r="EM78" s="205"/>
      <c r="EN78" s="205">
        <f t="shared" si="138"/>
        <v>0</v>
      </c>
      <c r="EO78" s="205">
        <f t="shared" si="151"/>
        <v>0</v>
      </c>
      <c r="EP78" s="120"/>
      <c r="EQ78" s="120"/>
      <c r="ER78" s="120"/>
      <c r="ES78" s="120"/>
      <c r="ET78" s="120"/>
      <c r="EU78" s="209"/>
      <c r="EV78" s="205"/>
      <c r="EW78" s="205">
        <f t="shared" si="139"/>
        <v>0</v>
      </c>
      <c r="EX78" s="120"/>
      <c r="EY78" s="120"/>
      <c r="EZ78" s="120"/>
      <c r="FA78" s="120"/>
      <c r="FB78" s="120"/>
      <c r="FC78" s="209"/>
      <c r="FD78" s="205"/>
      <c r="FE78" s="205">
        <f t="shared" si="140"/>
        <v>0</v>
      </c>
      <c r="FF78" s="120"/>
      <c r="FG78" s="120"/>
      <c r="FH78" s="120"/>
      <c r="FI78" s="120"/>
      <c r="FJ78" s="120"/>
      <c r="FK78" s="209"/>
      <c r="FL78" s="205"/>
      <c r="FM78" s="205">
        <f t="shared" si="141"/>
        <v>0</v>
      </c>
      <c r="FN78" s="120"/>
      <c r="FO78" s="120"/>
      <c r="FP78" s="120"/>
      <c r="FQ78" s="120"/>
      <c r="FR78" s="205"/>
      <c r="FS78" s="209"/>
      <c r="FT78" s="205"/>
      <c r="FU78" s="205">
        <f t="shared" si="142"/>
        <v>0</v>
      </c>
      <c r="FV78" s="205">
        <f t="shared" si="152"/>
        <v>0</v>
      </c>
      <c r="FW78" s="120"/>
      <c r="FX78" s="120"/>
      <c r="FY78" s="120"/>
      <c r="FZ78" s="120"/>
      <c r="GA78" s="120"/>
      <c r="GB78" s="209"/>
      <c r="GC78" s="205"/>
      <c r="GD78" s="205">
        <f t="shared" si="635"/>
        <v>0</v>
      </c>
      <c r="GE78" s="120"/>
      <c r="GF78" s="120"/>
      <c r="GG78" s="120"/>
      <c r="GH78" s="120"/>
      <c r="GI78" s="120"/>
      <c r="GJ78" s="209"/>
      <c r="GK78" s="205"/>
      <c r="GL78" s="205">
        <f t="shared" si="144"/>
        <v>0</v>
      </c>
      <c r="GM78" s="120"/>
      <c r="GN78" s="120"/>
      <c r="GO78" s="120"/>
      <c r="GP78" s="120"/>
      <c r="GQ78" s="120"/>
      <c r="GR78" s="209"/>
      <c r="GS78" s="205"/>
      <c r="GT78" s="205">
        <f t="shared" si="145"/>
        <v>0</v>
      </c>
      <c r="GU78" s="120"/>
      <c r="GV78" s="120"/>
      <c r="GW78" s="120"/>
      <c r="GX78" s="120"/>
      <c r="GY78" s="120"/>
      <c r="GZ78" s="209"/>
      <c r="HA78" s="205"/>
      <c r="HB78" s="205">
        <f t="shared" si="146"/>
        <v>0</v>
      </c>
      <c r="HC78" s="120"/>
      <c r="HD78" s="120"/>
      <c r="HE78" s="120"/>
      <c r="HF78" s="120"/>
      <c r="HG78" s="120"/>
      <c r="HH78" s="209"/>
      <c r="HI78" s="205"/>
      <c r="HJ78" s="205">
        <f t="shared" si="147"/>
        <v>0</v>
      </c>
      <c r="HK78" s="205">
        <f t="shared" si="153"/>
        <v>0</v>
      </c>
      <c r="HL78" s="124"/>
      <c r="HM78" s="120"/>
      <c r="HN78" s="120"/>
      <c r="HO78" s="120"/>
      <c r="HP78" s="120"/>
      <c r="HQ78" s="205"/>
      <c r="HR78" s="205"/>
      <c r="HS78" s="205">
        <f t="shared" si="154"/>
        <v>0</v>
      </c>
      <c r="HT78" s="120"/>
      <c r="HU78" s="120"/>
      <c r="HV78" s="120"/>
      <c r="HW78" s="120"/>
      <c r="HX78" s="120"/>
      <c r="HY78" s="205"/>
      <c r="HZ78" s="205"/>
      <c r="IA78" s="205">
        <f t="shared" si="155"/>
        <v>0</v>
      </c>
      <c r="IB78" s="120"/>
      <c r="IC78" s="120"/>
      <c r="ID78" s="120"/>
      <c r="IE78" s="120"/>
      <c r="IF78" s="120"/>
      <c r="IG78" s="205"/>
      <c r="IH78" s="205"/>
      <c r="II78" s="205">
        <f>SUM(IB78:IH78)</f>
        <v>0</v>
      </c>
      <c r="IJ78" s="120"/>
      <c r="IK78" s="120"/>
      <c r="IL78" s="120"/>
      <c r="IM78" s="120"/>
      <c r="IN78" s="120"/>
      <c r="IO78" s="205"/>
      <c r="IP78" s="205"/>
      <c r="IQ78" s="205">
        <f t="shared" si="157"/>
        <v>0</v>
      </c>
      <c r="IR78" s="205">
        <f t="shared" si="158"/>
        <v>0</v>
      </c>
      <c r="IS78" s="120"/>
      <c r="IT78" s="120"/>
      <c r="IU78" s="120"/>
      <c r="IV78" s="217">
        <v>650</v>
      </c>
      <c r="IW78" s="120"/>
      <c r="IX78" s="205"/>
      <c r="IY78" s="205"/>
      <c r="IZ78" s="205">
        <f t="shared" si="159"/>
        <v>650</v>
      </c>
      <c r="JA78" s="120"/>
      <c r="JB78" s="120"/>
      <c r="JC78" s="120"/>
      <c r="JD78" s="120"/>
      <c r="JE78" s="120"/>
      <c r="JF78" s="205"/>
      <c r="JG78" s="205"/>
      <c r="JH78" s="205">
        <f t="shared" si="160"/>
        <v>0</v>
      </c>
      <c r="JI78" s="120"/>
      <c r="JJ78" s="120"/>
      <c r="JK78" s="120"/>
      <c r="JL78" s="120"/>
      <c r="JM78" s="120"/>
      <c r="JN78" s="205"/>
      <c r="JO78" s="205"/>
      <c r="JP78" s="205">
        <f t="shared" si="161"/>
        <v>0</v>
      </c>
      <c r="JQ78" s="120"/>
      <c r="JR78" s="120"/>
      <c r="JS78" s="120"/>
      <c r="JT78" s="120"/>
      <c r="JU78" s="120"/>
      <c r="JV78" s="205"/>
      <c r="JW78" s="205"/>
      <c r="JX78" s="205">
        <f t="shared" si="162"/>
        <v>0</v>
      </c>
      <c r="JY78" s="205">
        <f t="shared" si="558"/>
        <v>650</v>
      </c>
      <c r="JZ78" s="120"/>
      <c r="KA78" s="217">
        <v>300</v>
      </c>
      <c r="KB78" s="120"/>
      <c r="KC78" s="120"/>
      <c r="KD78" s="120"/>
      <c r="KE78" s="205"/>
      <c r="KF78" s="205"/>
      <c r="KG78" s="205">
        <f t="shared" si="164"/>
        <v>300</v>
      </c>
      <c r="KH78" s="120"/>
      <c r="KI78" s="120"/>
      <c r="KJ78" s="120"/>
      <c r="KK78" s="120"/>
      <c r="KL78" s="120"/>
      <c r="KM78" s="205"/>
      <c r="KN78" s="205"/>
      <c r="KO78" s="205">
        <f t="shared" si="165"/>
        <v>0</v>
      </c>
      <c r="KP78" s="120"/>
      <c r="KQ78" s="120"/>
      <c r="KR78" s="120"/>
      <c r="KS78" s="120"/>
      <c r="KT78" s="120"/>
      <c r="KU78" s="205"/>
      <c r="KV78" s="205"/>
      <c r="KW78" s="205">
        <f t="shared" si="166"/>
        <v>0</v>
      </c>
      <c r="KX78" s="195">
        <v>300</v>
      </c>
      <c r="KY78" s="120"/>
      <c r="KZ78" s="120"/>
      <c r="LA78" s="120"/>
      <c r="LB78" s="120"/>
      <c r="LC78" s="205"/>
      <c r="LD78" s="205"/>
      <c r="LE78" s="205">
        <f t="shared" si="167"/>
        <v>300</v>
      </c>
      <c r="LF78" s="205"/>
      <c r="LG78" s="120"/>
      <c r="LH78" s="120"/>
      <c r="LI78" s="120"/>
      <c r="LJ78" s="120"/>
      <c r="LK78" s="205"/>
      <c r="LL78" s="205"/>
      <c r="LM78" s="205">
        <f t="shared" si="168"/>
        <v>0</v>
      </c>
      <c r="LN78" s="205">
        <f t="shared" si="169"/>
        <v>600</v>
      </c>
      <c r="LO78" s="205"/>
      <c r="LP78" s="120"/>
      <c r="LQ78" s="195">
        <v>450</v>
      </c>
      <c r="LR78" s="120"/>
      <c r="LS78" s="205"/>
      <c r="LT78" s="205"/>
      <c r="LU78" s="205"/>
      <c r="LV78" s="205">
        <f t="shared" si="170"/>
        <v>450</v>
      </c>
      <c r="LW78" s="120"/>
      <c r="LX78" s="120"/>
      <c r="LY78" s="120"/>
      <c r="LZ78" s="120"/>
      <c r="MA78" s="120"/>
      <c r="MB78" s="205"/>
      <c r="MC78" s="205"/>
      <c r="MD78" s="205">
        <f t="shared" si="171"/>
        <v>0</v>
      </c>
      <c r="ME78" s="120"/>
      <c r="MF78" s="120"/>
      <c r="MG78" s="120"/>
      <c r="MH78" s="120"/>
      <c r="MI78" s="205"/>
      <c r="MJ78" s="205"/>
      <c r="MK78" s="205"/>
      <c r="ML78" s="205">
        <f t="shared" si="172"/>
        <v>0</v>
      </c>
      <c r="MM78" s="120"/>
      <c r="MN78" s="120"/>
      <c r="MO78" s="120"/>
      <c r="MP78" s="120"/>
      <c r="MQ78" s="120"/>
      <c r="MR78" s="205"/>
      <c r="MS78" s="205"/>
      <c r="MT78" s="205">
        <f t="shared" si="173"/>
        <v>0</v>
      </c>
      <c r="MU78" s="205">
        <f t="shared" si="174"/>
        <v>450</v>
      </c>
      <c r="MV78" s="120"/>
      <c r="MW78" s="120"/>
      <c r="MX78" s="120"/>
      <c r="MY78" s="120"/>
      <c r="MZ78" s="120"/>
      <c r="NA78" s="205"/>
      <c r="NB78" s="205"/>
      <c r="NC78" s="205">
        <f t="shared" si="175"/>
        <v>0</v>
      </c>
      <c r="ND78" s="120"/>
      <c r="NE78" s="120"/>
      <c r="NF78" s="120"/>
      <c r="NG78" s="120"/>
      <c r="NH78" s="120"/>
      <c r="NI78" s="205"/>
      <c r="NJ78" s="205"/>
      <c r="NK78" s="205">
        <f t="shared" si="176"/>
        <v>0</v>
      </c>
      <c r="NL78" s="120"/>
      <c r="NM78" s="120"/>
      <c r="NN78" s="120"/>
      <c r="NO78" s="120"/>
      <c r="NP78" s="120"/>
      <c r="NQ78" s="205"/>
      <c r="NR78" s="205"/>
      <c r="NS78" s="205">
        <f t="shared" si="177"/>
        <v>0</v>
      </c>
      <c r="NT78" s="120"/>
      <c r="NU78" s="217">
        <v>500</v>
      </c>
      <c r="NV78" s="120"/>
      <c r="NW78" s="120"/>
      <c r="NX78" s="120"/>
      <c r="NY78" s="205"/>
      <c r="NZ78" s="205"/>
      <c r="OA78" s="205">
        <f t="shared" si="178"/>
        <v>500</v>
      </c>
      <c r="OB78" s="205">
        <f t="shared" si="179"/>
        <v>500</v>
      </c>
      <c r="OC78" s="120"/>
      <c r="OD78" s="120"/>
      <c r="OE78" s="120"/>
      <c r="OF78" s="120"/>
      <c r="OG78" s="120"/>
      <c r="OH78" s="205"/>
      <c r="OI78" s="205"/>
      <c r="OJ78" s="205">
        <f t="shared" si="180"/>
        <v>0</v>
      </c>
      <c r="OK78" s="120"/>
      <c r="OL78" s="120"/>
      <c r="OM78" s="120"/>
      <c r="ON78" s="120"/>
      <c r="OO78" s="120"/>
      <c r="OP78" s="205"/>
      <c r="OQ78" s="205"/>
      <c r="OR78" s="205">
        <f t="shared" si="181"/>
        <v>0</v>
      </c>
      <c r="OS78" s="195">
        <v>350</v>
      </c>
      <c r="OT78" s="120"/>
      <c r="OU78" s="120"/>
      <c r="OV78" s="120"/>
      <c r="OW78" s="120"/>
      <c r="OX78" s="205"/>
      <c r="OY78" s="205"/>
      <c r="OZ78" s="205">
        <f t="shared" si="182"/>
        <v>350</v>
      </c>
      <c r="PA78" s="120"/>
      <c r="PB78" s="120"/>
      <c r="PC78" s="120"/>
      <c r="PD78" s="205"/>
      <c r="PE78" s="217"/>
      <c r="PF78" s="205"/>
      <c r="PG78" s="205"/>
      <c r="PH78" s="205">
        <f t="shared" si="183"/>
        <v>0</v>
      </c>
      <c r="PI78" s="120"/>
      <c r="PJ78" s="120"/>
      <c r="PK78" s="120"/>
      <c r="PL78" s="205"/>
      <c r="PM78" s="217"/>
      <c r="PN78" s="205"/>
      <c r="PO78" s="205"/>
      <c r="PP78" s="205">
        <f t="shared" si="184"/>
        <v>0</v>
      </c>
      <c r="PQ78" s="205">
        <f t="shared" si="185"/>
        <v>350</v>
      </c>
      <c r="PR78" s="207"/>
      <c r="PS78" s="207"/>
      <c r="PT78" s="207"/>
      <c r="PU78" s="207"/>
      <c r="PV78" s="207"/>
      <c r="PW78" s="272"/>
      <c r="PX78" s="272"/>
      <c r="PY78" s="205">
        <f t="shared" si="559"/>
        <v>0</v>
      </c>
      <c r="PZ78" s="207"/>
      <c r="QA78" s="207"/>
      <c r="QB78" s="207"/>
      <c r="QC78" s="207"/>
      <c r="QD78" s="207"/>
      <c r="QE78" s="272"/>
      <c r="QF78" s="272"/>
      <c r="QG78" s="205">
        <f t="shared" si="560"/>
        <v>0</v>
      </c>
      <c r="QH78" s="207"/>
      <c r="QI78" s="207"/>
      <c r="QJ78" s="294"/>
      <c r="QK78" s="207"/>
      <c r="QL78" s="207"/>
      <c r="QM78" s="272"/>
      <c r="QN78" s="272"/>
      <c r="QO78" s="205">
        <f t="shared" si="561"/>
        <v>0</v>
      </c>
      <c r="QP78" s="207"/>
      <c r="QQ78" s="124">
        <v>550</v>
      </c>
      <c r="QR78" s="207"/>
      <c r="QS78" s="207"/>
      <c r="QT78" s="207"/>
      <c r="QU78" s="272"/>
      <c r="QV78" s="272"/>
      <c r="QW78" s="205">
        <f t="shared" si="320"/>
        <v>550</v>
      </c>
      <c r="QX78" s="205">
        <f t="shared" si="562"/>
        <v>550</v>
      </c>
      <c r="QY78" s="207"/>
      <c r="QZ78" s="207"/>
      <c r="RA78" s="207"/>
      <c r="RB78" s="207"/>
      <c r="RC78" s="207"/>
      <c r="RD78" s="272"/>
      <c r="RE78" s="272"/>
      <c r="RF78" s="205">
        <f t="shared" si="563"/>
        <v>0</v>
      </c>
      <c r="RG78" s="207"/>
      <c r="RH78" s="195">
        <v>700</v>
      </c>
      <c r="RI78" s="207"/>
      <c r="RJ78" s="207"/>
      <c r="RK78" s="207"/>
      <c r="RL78" s="272"/>
      <c r="RM78" s="272"/>
      <c r="RN78" s="205">
        <f t="shared" si="530"/>
        <v>700</v>
      </c>
      <c r="RO78" s="272"/>
      <c r="RP78" s="272"/>
      <c r="RQ78" s="272"/>
      <c r="RR78" s="272"/>
      <c r="RS78" s="272"/>
      <c r="RT78" s="272"/>
      <c r="RU78" s="272"/>
      <c r="RV78" s="205">
        <f t="shared" si="564"/>
        <v>0</v>
      </c>
      <c r="RW78" s="207"/>
      <c r="RX78" s="207"/>
      <c r="RY78" s="207"/>
      <c r="RZ78" s="207"/>
      <c r="SA78" s="272"/>
      <c r="SB78" s="272"/>
      <c r="SC78" s="272"/>
      <c r="SD78" s="205">
        <f t="shared" si="565"/>
        <v>0</v>
      </c>
      <c r="SE78" s="205">
        <f t="shared" si="566"/>
        <v>700</v>
      </c>
      <c r="SF78" s="207"/>
      <c r="SG78" s="207"/>
      <c r="SH78" s="207"/>
      <c r="SI78" s="207"/>
      <c r="SJ78" s="207"/>
      <c r="SK78" s="272"/>
      <c r="SL78" s="272"/>
      <c r="SM78" s="205">
        <f t="shared" si="567"/>
        <v>0</v>
      </c>
      <c r="SN78" s="207"/>
      <c r="SO78" s="195">
        <v>550</v>
      </c>
      <c r="SP78" s="207"/>
      <c r="SQ78" s="207"/>
      <c r="SR78" s="207"/>
      <c r="SS78" s="272"/>
      <c r="ST78" s="272"/>
      <c r="SU78" s="205">
        <f t="shared" si="568"/>
        <v>550</v>
      </c>
      <c r="SV78" s="207"/>
      <c r="SW78" s="207"/>
      <c r="SX78" s="207"/>
      <c r="SY78" s="207"/>
      <c r="SZ78" s="207"/>
      <c r="TA78" s="272"/>
      <c r="TB78" s="272"/>
      <c r="TC78" s="205">
        <f t="shared" si="569"/>
        <v>0</v>
      </c>
      <c r="TD78" s="207"/>
      <c r="TE78" s="207"/>
      <c r="TF78" s="207"/>
      <c r="TG78" s="207"/>
      <c r="TH78" s="207"/>
      <c r="TI78" s="272"/>
      <c r="TJ78" s="272"/>
      <c r="TK78" s="205">
        <f t="shared" si="570"/>
        <v>0</v>
      </c>
      <c r="TL78" s="207"/>
      <c r="TM78" s="207"/>
      <c r="TN78" s="207"/>
      <c r="TO78" s="207"/>
      <c r="TP78" s="272"/>
      <c r="TQ78" s="272"/>
      <c r="TR78" s="272"/>
      <c r="TS78" s="205">
        <f t="shared" si="571"/>
        <v>0</v>
      </c>
      <c r="TT78" s="205">
        <f t="shared" si="572"/>
        <v>550</v>
      </c>
      <c r="TU78" s="272"/>
      <c r="TV78" s="207"/>
      <c r="TW78" s="207"/>
      <c r="TX78" s="207"/>
      <c r="TY78" s="207"/>
      <c r="TZ78" s="272"/>
      <c r="UA78" s="272"/>
      <c r="UB78" s="205">
        <f t="shared" si="573"/>
        <v>0</v>
      </c>
      <c r="UC78" s="207"/>
      <c r="UD78" s="207"/>
      <c r="UE78" s="217">
        <v>350</v>
      </c>
      <c r="UF78" s="207"/>
      <c r="UG78" s="207"/>
      <c r="UH78" s="272"/>
      <c r="UI78" s="272"/>
      <c r="UJ78" s="205">
        <f t="shared" si="574"/>
        <v>350</v>
      </c>
      <c r="UK78" s="207"/>
      <c r="UL78" s="207"/>
      <c r="UM78" s="207"/>
      <c r="UN78" s="207"/>
      <c r="UO78" s="207"/>
      <c r="UP78" s="272"/>
      <c r="UQ78" s="272"/>
      <c r="UR78" s="205">
        <f t="shared" si="575"/>
        <v>0</v>
      </c>
      <c r="US78" s="207"/>
      <c r="UT78" s="207"/>
      <c r="UU78" s="207"/>
      <c r="UV78" s="207"/>
      <c r="UW78" s="272"/>
      <c r="UX78" s="272"/>
      <c r="UY78" s="272"/>
      <c r="UZ78" s="205">
        <f t="shared" si="576"/>
        <v>0</v>
      </c>
      <c r="VA78" s="205">
        <f t="shared" si="577"/>
        <v>350</v>
      </c>
      <c r="VB78" s="207"/>
      <c r="VC78" s="207"/>
      <c r="VD78" s="207"/>
      <c r="VE78" s="207"/>
      <c r="VF78" s="207"/>
      <c r="VG78" s="272"/>
      <c r="VH78" s="272"/>
      <c r="VI78" s="205">
        <f t="shared" si="578"/>
        <v>0</v>
      </c>
      <c r="VJ78" s="207"/>
      <c r="VK78" s="207"/>
      <c r="VL78" s="207"/>
      <c r="VM78" s="124">
        <v>940</v>
      </c>
      <c r="VN78" s="207"/>
      <c r="VO78" s="272"/>
      <c r="VP78" s="272"/>
      <c r="VQ78" s="205">
        <f t="shared" si="579"/>
        <v>940</v>
      </c>
      <c r="VR78" s="207"/>
      <c r="VS78" s="207"/>
      <c r="VT78" s="207"/>
      <c r="VU78" s="207"/>
      <c r="VV78" s="207"/>
      <c r="VW78" s="272"/>
      <c r="VX78" s="272"/>
      <c r="VY78" s="205">
        <f t="shared" si="580"/>
        <v>0</v>
      </c>
      <c r="VZ78" s="207"/>
      <c r="WA78" s="207"/>
      <c r="WB78" s="207"/>
      <c r="WC78" s="207"/>
      <c r="WD78" s="207"/>
      <c r="WE78" s="272"/>
      <c r="WF78" s="272"/>
      <c r="WG78" s="205">
        <f t="shared" si="581"/>
        <v>0</v>
      </c>
      <c r="WH78" s="205">
        <f t="shared" si="582"/>
        <v>940</v>
      </c>
      <c r="WI78" s="207"/>
      <c r="WJ78" s="207"/>
      <c r="WK78" s="207"/>
      <c r="WL78" s="207"/>
      <c r="WM78" s="207"/>
      <c r="WN78" s="272"/>
      <c r="WO78" s="272"/>
      <c r="WP78" s="205">
        <f t="shared" si="583"/>
        <v>0</v>
      </c>
      <c r="WQ78" s="207"/>
      <c r="WR78" s="207"/>
      <c r="WS78" s="124">
        <v>110</v>
      </c>
      <c r="WT78" s="207"/>
      <c r="WU78" s="207"/>
      <c r="WV78" s="272"/>
      <c r="WW78" s="272"/>
      <c r="WX78" s="205">
        <f t="shared" si="531"/>
        <v>110</v>
      </c>
      <c r="WY78" s="207"/>
      <c r="WZ78" s="207"/>
      <c r="XA78" s="207"/>
      <c r="XB78" s="207"/>
      <c r="XC78" s="272"/>
      <c r="XD78" s="272"/>
      <c r="XE78" s="272"/>
      <c r="XF78" s="205">
        <f t="shared" si="584"/>
        <v>0</v>
      </c>
      <c r="XG78" s="207"/>
      <c r="XH78" s="207"/>
      <c r="XI78" s="207"/>
      <c r="XJ78" s="207"/>
      <c r="XK78" s="207"/>
      <c r="XL78" s="272"/>
      <c r="XM78" s="272"/>
      <c r="XN78" s="205">
        <f t="shared" si="585"/>
        <v>0</v>
      </c>
      <c r="XO78" s="207"/>
      <c r="XP78" s="207"/>
      <c r="XQ78" s="207"/>
      <c r="XR78" s="207"/>
      <c r="XS78" s="207"/>
      <c r="XT78" s="272"/>
      <c r="XU78" s="272"/>
      <c r="XV78" s="205">
        <f t="shared" si="586"/>
        <v>0</v>
      </c>
      <c r="XW78" s="205">
        <f t="shared" si="587"/>
        <v>110</v>
      </c>
      <c r="XX78" s="207"/>
      <c r="XY78" s="207"/>
      <c r="XZ78" s="207"/>
      <c r="YA78" s="207"/>
      <c r="YB78" s="207"/>
      <c r="YC78" s="272"/>
      <c r="YD78" s="272"/>
      <c r="YE78" s="205">
        <f t="shared" si="588"/>
        <v>0</v>
      </c>
      <c r="YF78" s="124">
        <v>910</v>
      </c>
      <c r="YG78" s="207"/>
      <c r="YH78" s="207"/>
      <c r="YI78" s="207"/>
      <c r="YJ78" s="207"/>
      <c r="YK78" s="272"/>
      <c r="YL78" s="272"/>
      <c r="YM78" s="205">
        <f t="shared" si="589"/>
        <v>910</v>
      </c>
      <c r="YN78" s="207"/>
      <c r="YO78" s="207"/>
      <c r="YP78" s="207"/>
      <c r="YQ78" s="207"/>
      <c r="YR78" s="207"/>
      <c r="YS78" s="272"/>
      <c r="YT78" s="272"/>
      <c r="YU78" s="205">
        <f t="shared" si="544"/>
        <v>0</v>
      </c>
      <c r="YV78" s="207"/>
      <c r="YW78" s="207"/>
      <c r="YX78" s="207"/>
      <c r="YY78" s="207"/>
      <c r="YZ78" s="207"/>
      <c r="ZA78" s="272"/>
      <c r="ZB78" s="272"/>
      <c r="ZC78" s="205">
        <f t="shared" si="590"/>
        <v>0</v>
      </c>
      <c r="ZD78" s="205">
        <f t="shared" si="516"/>
        <v>910</v>
      </c>
      <c r="ZE78" s="207"/>
      <c r="ZF78" s="207"/>
      <c r="ZG78" s="207"/>
      <c r="ZH78" s="207"/>
      <c r="ZI78" s="207"/>
      <c r="ZJ78" s="272"/>
      <c r="ZK78" s="272"/>
      <c r="ZL78" s="205">
        <f t="shared" si="591"/>
        <v>0</v>
      </c>
      <c r="ZM78" s="207"/>
      <c r="ZN78" s="207"/>
      <c r="ZO78" s="207"/>
      <c r="ZP78" s="207"/>
      <c r="ZQ78" s="207"/>
      <c r="ZR78" s="272"/>
      <c r="ZS78" s="272"/>
      <c r="ZT78" s="205">
        <f t="shared" si="592"/>
        <v>0</v>
      </c>
      <c r="ZU78" s="207"/>
      <c r="ZV78" s="207"/>
      <c r="ZW78" s="207"/>
      <c r="ZX78" s="207"/>
      <c r="ZY78" s="207"/>
      <c r="ZZ78" s="272"/>
      <c r="AAA78" s="272"/>
      <c r="AAB78" s="205">
        <f t="shared" si="593"/>
        <v>0</v>
      </c>
      <c r="AAC78" s="207"/>
      <c r="AAD78" s="207"/>
      <c r="AAE78" s="207"/>
      <c r="AAF78" s="207"/>
      <c r="AAG78" s="207"/>
      <c r="AAH78" s="272"/>
      <c r="AAI78" s="272"/>
      <c r="AAJ78" s="205">
        <f t="shared" si="594"/>
        <v>0</v>
      </c>
      <c r="AAK78" s="207"/>
      <c r="AAL78" s="207"/>
      <c r="AAM78" s="207"/>
      <c r="AAN78" s="207"/>
      <c r="AAO78" s="207"/>
      <c r="AAP78" s="272"/>
      <c r="AAQ78" s="272"/>
      <c r="AAR78" s="205">
        <f t="shared" si="595"/>
        <v>0</v>
      </c>
      <c r="AAS78" s="205">
        <f t="shared" si="596"/>
        <v>0</v>
      </c>
    </row>
    <row r="79" spans="1:721" ht="69.95" customHeight="1">
      <c r="B79" s="192" t="s">
        <v>59</v>
      </c>
      <c r="C79" s="330" t="s">
        <v>496</v>
      </c>
      <c r="D79" s="265" t="s">
        <v>46</v>
      </c>
      <c r="E79" s="130" t="s">
        <v>4</v>
      </c>
      <c r="F79" s="201">
        <v>500</v>
      </c>
      <c r="G79" s="120"/>
      <c r="H79" s="216"/>
      <c r="I79" s="120"/>
      <c r="J79" s="120"/>
      <c r="K79" s="209"/>
      <c r="L79" s="205"/>
      <c r="M79" s="205">
        <f t="shared" si="303"/>
        <v>500</v>
      </c>
      <c r="N79" s="120"/>
      <c r="O79" s="120"/>
      <c r="P79" s="120"/>
      <c r="Q79" s="120"/>
      <c r="R79" s="120"/>
      <c r="S79" s="209"/>
      <c r="T79" s="205"/>
      <c r="U79" s="205">
        <f t="shared" si="304"/>
        <v>0</v>
      </c>
      <c r="V79" s="120"/>
      <c r="W79" s="120"/>
      <c r="X79" s="120"/>
      <c r="Y79" s="120"/>
      <c r="Z79" s="120"/>
      <c r="AA79" s="209"/>
      <c r="AB79" s="205"/>
      <c r="AC79" s="205">
        <f t="shared" si="305"/>
        <v>0</v>
      </c>
      <c r="AD79" s="205"/>
      <c r="AE79" s="205"/>
      <c r="AF79" s="205"/>
      <c r="AG79" s="205"/>
      <c r="AH79" s="205"/>
      <c r="AI79" s="209"/>
      <c r="AJ79" s="205"/>
      <c r="AK79" s="205">
        <f t="shared" si="306"/>
        <v>0</v>
      </c>
      <c r="AL79" s="205" t="e">
        <f>SUM(#REF!,M79,U79,AC79,AD79:AH79)</f>
        <v>#REF!</v>
      </c>
      <c r="AM79" s="120"/>
      <c r="AN79" s="124">
        <v>1680</v>
      </c>
      <c r="AO79" s="120"/>
      <c r="AP79" s="120"/>
      <c r="AQ79" s="120"/>
      <c r="AR79" s="209"/>
      <c r="AS79" s="205"/>
      <c r="AT79" s="205">
        <f t="shared" si="245"/>
        <v>1680</v>
      </c>
      <c r="AU79" s="120"/>
      <c r="AV79" s="120"/>
      <c r="AW79" s="120"/>
      <c r="AX79" s="120"/>
      <c r="AY79" s="120"/>
      <c r="AZ79" s="209"/>
      <c r="BA79" s="205"/>
      <c r="BB79" s="205">
        <f t="shared" si="246"/>
        <v>0</v>
      </c>
      <c r="BC79" s="207"/>
      <c r="BD79" s="120"/>
      <c r="BE79" s="120"/>
      <c r="BF79" s="120"/>
      <c r="BG79" s="120"/>
      <c r="BH79" s="209"/>
      <c r="BI79" s="205"/>
      <c r="BJ79" s="205">
        <f t="shared" si="517"/>
        <v>0</v>
      </c>
      <c r="BK79" s="120"/>
      <c r="BL79" s="120"/>
      <c r="BM79" s="120"/>
      <c r="BN79" s="120"/>
      <c r="BO79" s="205"/>
      <c r="BP79" s="209"/>
      <c r="BQ79" s="205"/>
      <c r="BR79" s="205">
        <f t="shared" si="248"/>
        <v>0</v>
      </c>
      <c r="BS79" s="205">
        <f t="shared" si="129"/>
        <v>1680</v>
      </c>
      <c r="BT79" s="120"/>
      <c r="BU79" s="120"/>
      <c r="BV79" s="250">
        <v>1000</v>
      </c>
      <c r="BW79" s="120"/>
      <c r="BX79" s="120"/>
      <c r="BY79" s="209"/>
      <c r="BZ79" s="205"/>
      <c r="CA79" s="205">
        <f t="shared" si="250"/>
        <v>1000</v>
      </c>
      <c r="CB79" s="120"/>
      <c r="CC79" s="120"/>
      <c r="CD79" s="120"/>
      <c r="CE79" s="120"/>
      <c r="CF79" s="120"/>
      <c r="CG79" s="209"/>
      <c r="CH79" s="205"/>
      <c r="CI79" s="205">
        <f t="shared" si="251"/>
        <v>0</v>
      </c>
      <c r="CJ79" s="120"/>
      <c r="CK79" s="120"/>
      <c r="CL79" s="120"/>
      <c r="CM79" s="120"/>
      <c r="CN79" s="120"/>
      <c r="CO79" s="209"/>
      <c r="CP79" s="205"/>
      <c r="CQ79" s="205">
        <f t="shared" si="252"/>
        <v>0</v>
      </c>
      <c r="CR79" s="120"/>
      <c r="CS79" s="120"/>
      <c r="CT79" s="120"/>
      <c r="CU79" s="120"/>
      <c r="CV79" s="120"/>
      <c r="CW79" s="209"/>
      <c r="CX79" s="205"/>
      <c r="CY79" s="205">
        <f t="shared" si="253"/>
        <v>0</v>
      </c>
      <c r="CZ79" s="120"/>
      <c r="DA79" s="217">
        <v>1000</v>
      </c>
      <c r="DB79" s="120"/>
      <c r="DC79" s="205"/>
      <c r="DD79" s="205"/>
      <c r="DE79" s="209"/>
      <c r="DF79" s="205"/>
      <c r="DG79" s="205">
        <f t="shared" si="254"/>
        <v>1000</v>
      </c>
      <c r="DH79" s="205">
        <f t="shared" si="150"/>
        <v>1000</v>
      </c>
      <c r="DI79" s="120"/>
      <c r="DJ79" s="120"/>
      <c r="DK79" s="120"/>
      <c r="DL79" s="120"/>
      <c r="DM79" s="120"/>
      <c r="DN79" s="209"/>
      <c r="DO79" s="205"/>
      <c r="DP79" s="205">
        <f t="shared" si="228"/>
        <v>0</v>
      </c>
      <c r="DQ79" s="120"/>
      <c r="DR79" s="120"/>
      <c r="DS79" s="120"/>
      <c r="DT79" s="120"/>
      <c r="DU79" s="120"/>
      <c r="DV79" s="209"/>
      <c r="DW79" s="205"/>
      <c r="DX79" s="205">
        <f t="shared" si="136"/>
        <v>0</v>
      </c>
      <c r="DY79" s="217">
        <v>610</v>
      </c>
      <c r="DZ79" s="120"/>
      <c r="EA79" s="120"/>
      <c r="EB79" s="120"/>
      <c r="EC79" s="120"/>
      <c r="ED79" s="209"/>
      <c r="EE79" s="205"/>
      <c r="EF79" s="205">
        <f t="shared" si="137"/>
        <v>610</v>
      </c>
      <c r="EG79" s="120"/>
      <c r="EH79" s="120"/>
      <c r="EI79" s="120"/>
      <c r="EJ79" s="205"/>
      <c r="EK79" s="205"/>
      <c r="EL79" s="209"/>
      <c r="EM79" s="205"/>
      <c r="EN79" s="205">
        <f t="shared" si="138"/>
        <v>0</v>
      </c>
      <c r="EO79" s="205">
        <f t="shared" si="151"/>
        <v>1610</v>
      </c>
      <c r="EP79" s="120"/>
      <c r="EQ79" s="120"/>
      <c r="ER79" s="120"/>
      <c r="ES79" s="120"/>
      <c r="ET79" s="120"/>
      <c r="EU79" s="209"/>
      <c r="EV79" s="205"/>
      <c r="EW79" s="205">
        <f t="shared" si="139"/>
        <v>0</v>
      </c>
      <c r="EX79" s="120"/>
      <c r="EY79" s="201">
        <v>1000</v>
      </c>
      <c r="EZ79" s="120"/>
      <c r="FA79" s="120"/>
      <c r="FB79" s="120"/>
      <c r="FC79" s="209"/>
      <c r="FD79" s="205"/>
      <c r="FE79" s="205">
        <f t="shared" si="140"/>
        <v>1000</v>
      </c>
      <c r="FF79" s="120"/>
      <c r="FG79" s="120"/>
      <c r="FH79" s="120"/>
      <c r="FI79" s="120"/>
      <c r="FJ79" s="120"/>
      <c r="FK79" s="209"/>
      <c r="FL79" s="205"/>
      <c r="FM79" s="205">
        <f t="shared" si="141"/>
        <v>0</v>
      </c>
      <c r="FN79" s="250">
        <v>800</v>
      </c>
      <c r="FO79" s="120"/>
      <c r="FP79" s="120"/>
      <c r="FQ79" s="120"/>
      <c r="FR79" s="205"/>
      <c r="FS79" s="209"/>
      <c r="FT79" s="205"/>
      <c r="FU79" s="205">
        <f t="shared" si="142"/>
        <v>800</v>
      </c>
      <c r="FV79" s="205">
        <f t="shared" si="152"/>
        <v>1800</v>
      </c>
      <c r="FW79" s="120"/>
      <c r="FX79" s="120"/>
      <c r="FY79" s="120"/>
      <c r="FZ79" s="120"/>
      <c r="GA79" s="120"/>
      <c r="GB79" s="209"/>
      <c r="GC79" s="205"/>
      <c r="GD79" s="205">
        <f>SUM(FW79:GC79)</f>
        <v>0</v>
      </c>
      <c r="GE79" s="120"/>
      <c r="GF79" s="120"/>
      <c r="GG79" s="227"/>
      <c r="GH79" s="123">
        <v>1000</v>
      </c>
      <c r="GI79" s="120"/>
      <c r="GJ79" s="209"/>
      <c r="GK79" s="205"/>
      <c r="GL79" s="205">
        <f t="shared" si="144"/>
        <v>1000</v>
      </c>
      <c r="GM79" s="120"/>
      <c r="GN79" s="120"/>
      <c r="GO79" s="120"/>
      <c r="GP79" s="120"/>
      <c r="GQ79" s="120"/>
      <c r="GR79" s="209"/>
      <c r="GS79" s="205"/>
      <c r="GT79" s="205">
        <f t="shared" si="145"/>
        <v>0</v>
      </c>
      <c r="GU79" s="120"/>
      <c r="GV79" s="120"/>
      <c r="GW79" s="124">
        <v>1000</v>
      </c>
      <c r="GX79" s="120"/>
      <c r="GY79" s="120"/>
      <c r="GZ79" s="209"/>
      <c r="HA79" s="205"/>
      <c r="HB79" s="205">
        <f t="shared" si="146"/>
        <v>1000</v>
      </c>
      <c r="HC79" s="120"/>
      <c r="HD79" s="120"/>
      <c r="HE79" s="120"/>
      <c r="HF79" s="120"/>
      <c r="HG79" s="120"/>
      <c r="HH79" s="209"/>
      <c r="HI79" s="205"/>
      <c r="HJ79" s="205">
        <f t="shared" si="147"/>
        <v>0</v>
      </c>
      <c r="HK79" s="205">
        <f t="shared" si="153"/>
        <v>2000</v>
      </c>
      <c r="HL79" s="124"/>
      <c r="HM79" s="120"/>
      <c r="HN79" s="120"/>
      <c r="HO79" s="120"/>
      <c r="HP79" s="120"/>
      <c r="HQ79" s="205"/>
      <c r="HR79" s="205"/>
      <c r="HS79" s="205">
        <f t="shared" si="154"/>
        <v>0</v>
      </c>
      <c r="HT79" s="120"/>
      <c r="HU79" s="195">
        <v>1260</v>
      </c>
      <c r="HV79" s="120"/>
      <c r="HW79" s="120"/>
      <c r="HX79" s="120"/>
      <c r="HY79" s="205"/>
      <c r="HZ79" s="205"/>
      <c r="IA79" s="205">
        <f t="shared" si="155"/>
        <v>1260</v>
      </c>
      <c r="IB79" s="120"/>
      <c r="IC79" s="120"/>
      <c r="ID79" s="120"/>
      <c r="IE79" s="120"/>
      <c r="IF79" s="120"/>
      <c r="IG79" s="205"/>
      <c r="IH79" s="205"/>
      <c r="II79" s="205">
        <f>SUM(IB79:IH79)</f>
        <v>0</v>
      </c>
      <c r="IJ79" s="120"/>
      <c r="IK79" s="120"/>
      <c r="IL79" s="120"/>
      <c r="IM79" s="120"/>
      <c r="IN79" s="120"/>
      <c r="IO79" s="205"/>
      <c r="IP79" s="205"/>
      <c r="IQ79" s="205">
        <f t="shared" si="157"/>
        <v>0</v>
      </c>
      <c r="IR79" s="205">
        <f t="shared" si="158"/>
        <v>1260</v>
      </c>
      <c r="IS79" s="120"/>
      <c r="IT79" s="120"/>
      <c r="IU79" s="120"/>
      <c r="IV79" s="120"/>
      <c r="IW79" s="120"/>
      <c r="IX79" s="205"/>
      <c r="IY79" s="205"/>
      <c r="IZ79" s="205">
        <f t="shared" si="159"/>
        <v>0</v>
      </c>
      <c r="JA79" s="120"/>
      <c r="JB79" s="120"/>
      <c r="JC79" s="120"/>
      <c r="JD79" s="120"/>
      <c r="JE79" s="120"/>
      <c r="JF79" s="205"/>
      <c r="JG79" s="205"/>
      <c r="JH79" s="205">
        <f t="shared" si="160"/>
        <v>0</v>
      </c>
      <c r="JI79" s="120"/>
      <c r="JJ79" s="124">
        <v>550</v>
      </c>
      <c r="JK79" s="120"/>
      <c r="JL79" s="120"/>
      <c r="JM79" s="120"/>
      <c r="JN79" s="205"/>
      <c r="JO79" s="205"/>
      <c r="JP79" s="205">
        <f t="shared" si="161"/>
        <v>550</v>
      </c>
      <c r="JQ79" s="120"/>
      <c r="JR79" s="120"/>
      <c r="JS79" s="120"/>
      <c r="JT79" s="120"/>
      <c r="JU79" s="120"/>
      <c r="JV79" s="205"/>
      <c r="JW79" s="205"/>
      <c r="JX79" s="205">
        <f t="shared" si="162"/>
        <v>0</v>
      </c>
      <c r="JY79" s="205">
        <f t="shared" si="558"/>
        <v>550</v>
      </c>
      <c r="JZ79" s="120"/>
      <c r="KA79" s="120"/>
      <c r="KB79" s="120"/>
      <c r="KC79" s="120"/>
      <c r="KD79" s="217">
        <v>740</v>
      </c>
      <c r="KE79" s="205"/>
      <c r="KF79" s="205"/>
      <c r="KG79" s="205">
        <f t="shared" si="164"/>
        <v>740</v>
      </c>
      <c r="KH79" s="120"/>
      <c r="KI79" s="120"/>
      <c r="KJ79" s="120"/>
      <c r="KK79" s="120"/>
      <c r="KL79" s="120"/>
      <c r="KM79" s="205"/>
      <c r="KN79" s="205"/>
      <c r="KO79" s="205">
        <f t="shared" si="165"/>
        <v>0</v>
      </c>
      <c r="KP79" s="120"/>
      <c r="KQ79" s="120"/>
      <c r="KR79" s="120"/>
      <c r="KS79" s="120"/>
      <c r="KT79" s="120"/>
      <c r="KU79" s="205"/>
      <c r="KV79" s="205"/>
      <c r="KW79" s="205">
        <f t="shared" si="166"/>
        <v>0</v>
      </c>
      <c r="KX79" s="120"/>
      <c r="KY79" s="120"/>
      <c r="KZ79" s="120"/>
      <c r="LA79" s="120"/>
      <c r="LB79" s="120"/>
      <c r="LC79" s="205"/>
      <c r="LD79" s="205"/>
      <c r="LE79" s="205">
        <f t="shared" si="167"/>
        <v>0</v>
      </c>
      <c r="LF79" s="205"/>
      <c r="LG79" s="120"/>
      <c r="LH79" s="120"/>
      <c r="LI79" s="120"/>
      <c r="LJ79" s="120"/>
      <c r="LK79" s="205"/>
      <c r="LL79" s="205"/>
      <c r="LM79" s="205">
        <f t="shared" si="168"/>
        <v>0</v>
      </c>
      <c r="LN79" s="205">
        <f t="shared" si="169"/>
        <v>740</v>
      </c>
      <c r="LO79" s="205"/>
      <c r="LP79" s="195">
        <v>660</v>
      </c>
      <c r="LQ79" s="120"/>
      <c r="LR79" s="120"/>
      <c r="LS79" s="205"/>
      <c r="LT79" s="205"/>
      <c r="LU79" s="205"/>
      <c r="LV79" s="205">
        <f t="shared" si="170"/>
        <v>660</v>
      </c>
      <c r="LW79" s="120"/>
      <c r="LX79" s="120"/>
      <c r="LY79" s="120"/>
      <c r="LZ79" s="120"/>
      <c r="MA79" s="120"/>
      <c r="MB79" s="205"/>
      <c r="MC79" s="205"/>
      <c r="MD79" s="205">
        <f t="shared" si="171"/>
        <v>0</v>
      </c>
      <c r="ME79" s="120"/>
      <c r="MF79" s="120"/>
      <c r="MG79" s="120"/>
      <c r="MH79" s="120"/>
      <c r="MI79" s="205"/>
      <c r="MJ79" s="205"/>
      <c r="MK79" s="205"/>
      <c r="ML79" s="205">
        <f t="shared" si="172"/>
        <v>0</v>
      </c>
      <c r="MM79" s="120"/>
      <c r="MN79" s="120"/>
      <c r="MO79" s="120"/>
      <c r="MP79" s="120"/>
      <c r="MQ79" s="120"/>
      <c r="MR79" s="205"/>
      <c r="MS79" s="205"/>
      <c r="MT79" s="205">
        <f t="shared" si="173"/>
        <v>0</v>
      </c>
      <c r="MU79" s="205">
        <f t="shared" si="174"/>
        <v>660</v>
      </c>
      <c r="MV79" s="120"/>
      <c r="MW79" s="120"/>
      <c r="MX79" s="120"/>
      <c r="MY79" s="120"/>
      <c r="MZ79" s="120"/>
      <c r="NA79" s="205"/>
      <c r="NB79" s="205"/>
      <c r="NC79" s="205">
        <f t="shared" si="175"/>
        <v>0</v>
      </c>
      <c r="ND79" s="120"/>
      <c r="NE79" s="124">
        <v>1000</v>
      </c>
      <c r="NF79" s="120"/>
      <c r="NG79" s="120"/>
      <c r="NH79" s="120"/>
      <c r="NI79" s="205"/>
      <c r="NJ79" s="205"/>
      <c r="NK79" s="205">
        <f t="shared" si="176"/>
        <v>1000</v>
      </c>
      <c r="NL79" s="120"/>
      <c r="NM79" s="120"/>
      <c r="NN79" s="120"/>
      <c r="NO79" s="120"/>
      <c r="NP79" s="120"/>
      <c r="NQ79" s="205"/>
      <c r="NR79" s="205"/>
      <c r="NS79" s="205">
        <f t="shared" si="177"/>
        <v>0</v>
      </c>
      <c r="NT79" s="120"/>
      <c r="NU79" s="120"/>
      <c r="NV79" s="120"/>
      <c r="NW79" s="120"/>
      <c r="NX79" s="120"/>
      <c r="NY79" s="205"/>
      <c r="NZ79" s="205"/>
      <c r="OA79" s="205">
        <f t="shared" si="178"/>
        <v>0</v>
      </c>
      <c r="OB79" s="205">
        <f t="shared" si="179"/>
        <v>1000</v>
      </c>
      <c r="OC79" s="120"/>
      <c r="OD79" s="120"/>
      <c r="OE79" s="120"/>
      <c r="OF79" s="120"/>
      <c r="OG79" s="120"/>
      <c r="OH79" s="205"/>
      <c r="OI79" s="205"/>
      <c r="OJ79" s="205">
        <f t="shared" si="180"/>
        <v>0</v>
      </c>
      <c r="OK79" s="120"/>
      <c r="OL79" s="120"/>
      <c r="OM79" s="120"/>
      <c r="ON79" s="120"/>
      <c r="OO79" s="120"/>
      <c r="OP79" s="205"/>
      <c r="OQ79" s="205"/>
      <c r="OR79" s="205">
        <f t="shared" si="181"/>
        <v>0</v>
      </c>
      <c r="OS79" s="195">
        <v>850</v>
      </c>
      <c r="OT79" s="120"/>
      <c r="OU79" s="120"/>
      <c r="OV79" s="120"/>
      <c r="OW79" s="120"/>
      <c r="OX79" s="205"/>
      <c r="OY79" s="205"/>
      <c r="OZ79" s="205">
        <f t="shared" si="182"/>
        <v>850</v>
      </c>
      <c r="PA79" s="120"/>
      <c r="PB79" s="120"/>
      <c r="PC79" s="120"/>
      <c r="PD79" s="205"/>
      <c r="PE79" s="217"/>
      <c r="PF79" s="205"/>
      <c r="PG79" s="205"/>
      <c r="PH79" s="205">
        <f t="shared" si="183"/>
        <v>0</v>
      </c>
      <c r="PI79" s="120"/>
      <c r="PJ79" s="120"/>
      <c r="PK79" s="120"/>
      <c r="PL79" s="205"/>
      <c r="PM79" s="217"/>
      <c r="PN79" s="205"/>
      <c r="PO79" s="205"/>
      <c r="PP79" s="205">
        <f t="shared" si="184"/>
        <v>0</v>
      </c>
      <c r="PQ79" s="205">
        <f t="shared" si="185"/>
        <v>850</v>
      </c>
      <c r="PR79" s="207"/>
      <c r="PS79" s="120"/>
      <c r="PT79" s="206">
        <v>1000</v>
      </c>
      <c r="PU79" s="207"/>
      <c r="PV79" s="207"/>
      <c r="PW79" s="272"/>
      <c r="PX79" s="272"/>
      <c r="PY79" s="205">
        <f t="shared" si="559"/>
        <v>1000</v>
      </c>
      <c r="PZ79" s="207"/>
      <c r="QA79" s="207"/>
      <c r="QB79" s="207"/>
      <c r="QC79" s="207"/>
      <c r="QD79" s="207"/>
      <c r="QE79" s="272"/>
      <c r="QF79" s="272"/>
      <c r="QG79" s="205">
        <f t="shared" si="560"/>
        <v>0</v>
      </c>
      <c r="QH79" s="207"/>
      <c r="QI79" s="207"/>
      <c r="QJ79" s="294"/>
      <c r="QK79" s="207"/>
      <c r="QL79" s="207"/>
      <c r="QM79" s="272"/>
      <c r="QN79" s="272"/>
      <c r="QO79" s="205">
        <f t="shared" si="561"/>
        <v>0</v>
      </c>
      <c r="QP79" s="207"/>
      <c r="QQ79" s="207"/>
      <c r="QR79" s="207"/>
      <c r="QS79" s="207"/>
      <c r="QT79" s="207"/>
      <c r="QU79" s="272"/>
      <c r="QV79" s="272"/>
      <c r="QW79" s="205">
        <f t="shared" si="320"/>
        <v>0</v>
      </c>
      <c r="QX79" s="205">
        <f t="shared" si="562"/>
        <v>1000</v>
      </c>
      <c r="QY79" s="207"/>
      <c r="QZ79" s="207"/>
      <c r="RA79" s="207"/>
      <c r="RB79" s="207"/>
      <c r="RC79" s="207"/>
      <c r="RD79" s="272"/>
      <c r="RE79" s="272"/>
      <c r="RF79" s="205">
        <f t="shared" si="563"/>
        <v>0</v>
      </c>
      <c r="RG79" s="201">
        <v>620</v>
      </c>
      <c r="RH79" s="207"/>
      <c r="RI79" s="207"/>
      <c r="RJ79" s="207"/>
      <c r="RK79" s="207"/>
      <c r="RL79" s="272"/>
      <c r="RM79" s="272"/>
      <c r="RN79" s="205">
        <f t="shared" si="530"/>
        <v>620</v>
      </c>
      <c r="RO79" s="272"/>
      <c r="RP79" s="272"/>
      <c r="RQ79" s="272"/>
      <c r="RR79" s="272"/>
      <c r="RS79" s="272"/>
      <c r="RT79" s="272"/>
      <c r="RU79" s="272"/>
      <c r="RV79" s="205">
        <f t="shared" si="564"/>
        <v>0</v>
      </c>
      <c r="RW79" s="207"/>
      <c r="RX79" s="207"/>
      <c r="RY79" s="207"/>
      <c r="RZ79" s="207"/>
      <c r="SA79" s="272"/>
      <c r="SB79" s="272"/>
      <c r="SC79" s="272"/>
      <c r="SD79" s="205">
        <f t="shared" si="565"/>
        <v>0</v>
      </c>
      <c r="SE79" s="205">
        <f t="shared" si="566"/>
        <v>620</v>
      </c>
      <c r="SF79" s="207"/>
      <c r="SG79" s="207"/>
      <c r="SH79" s="120"/>
      <c r="SI79" s="123">
        <v>590</v>
      </c>
      <c r="SJ79" s="207"/>
      <c r="SK79" s="272"/>
      <c r="SL79" s="272"/>
      <c r="SM79" s="205">
        <f t="shared" si="567"/>
        <v>590</v>
      </c>
      <c r="SN79" s="207"/>
      <c r="SO79" s="207"/>
      <c r="SP79" s="207"/>
      <c r="SQ79" s="207"/>
      <c r="SR79" s="207"/>
      <c r="SS79" s="272"/>
      <c r="ST79" s="272"/>
      <c r="SU79" s="205">
        <f t="shared" si="568"/>
        <v>0</v>
      </c>
      <c r="SV79" s="207"/>
      <c r="SW79" s="207"/>
      <c r="SX79" s="207"/>
      <c r="SY79" s="207"/>
      <c r="SZ79" s="207"/>
      <c r="TA79" s="272"/>
      <c r="TB79" s="272"/>
      <c r="TC79" s="205">
        <f t="shared" si="569"/>
        <v>0</v>
      </c>
      <c r="TD79" s="124">
        <v>1000</v>
      </c>
      <c r="TE79" s="207"/>
      <c r="TF79" s="207"/>
      <c r="TG79" s="207"/>
      <c r="TH79" s="207"/>
      <c r="TI79" s="272"/>
      <c r="TJ79" s="272"/>
      <c r="TK79" s="205">
        <f t="shared" si="570"/>
        <v>1000</v>
      </c>
      <c r="TL79" s="207"/>
      <c r="TM79" s="207"/>
      <c r="TN79" s="207"/>
      <c r="TO79" s="207"/>
      <c r="TP79" s="272"/>
      <c r="TQ79" s="272"/>
      <c r="TR79" s="272"/>
      <c r="TS79" s="205">
        <f t="shared" si="571"/>
        <v>0</v>
      </c>
      <c r="TT79" s="205">
        <f t="shared" si="572"/>
        <v>1590</v>
      </c>
      <c r="TU79" s="272"/>
      <c r="TV79" s="207"/>
      <c r="TW79" s="207"/>
      <c r="TX79" s="207"/>
      <c r="TY79" s="207"/>
      <c r="TZ79" s="272"/>
      <c r="UA79" s="272"/>
      <c r="UB79" s="205">
        <f t="shared" si="573"/>
        <v>0</v>
      </c>
      <c r="UC79" s="207"/>
      <c r="UD79" s="207"/>
      <c r="UE79" s="207"/>
      <c r="UF79" s="217">
        <v>650</v>
      </c>
      <c r="UG79" s="207"/>
      <c r="UH79" s="272"/>
      <c r="UI79" s="272"/>
      <c r="UJ79" s="205">
        <f t="shared" si="574"/>
        <v>650</v>
      </c>
      <c r="UK79" s="207"/>
      <c r="UL79" s="207"/>
      <c r="UM79" s="207"/>
      <c r="UN79" s="207"/>
      <c r="UO79" s="207"/>
      <c r="UP79" s="272"/>
      <c r="UQ79" s="272"/>
      <c r="UR79" s="205">
        <f t="shared" si="575"/>
        <v>0</v>
      </c>
      <c r="US79" s="207"/>
      <c r="UT79" s="207"/>
      <c r="UU79" s="207"/>
      <c r="UV79" s="207"/>
      <c r="UW79" s="272"/>
      <c r="UX79" s="272"/>
      <c r="UY79" s="272"/>
      <c r="UZ79" s="205">
        <f t="shared" si="576"/>
        <v>0</v>
      </c>
      <c r="VA79" s="205">
        <f t="shared" si="577"/>
        <v>650</v>
      </c>
      <c r="VB79" s="120"/>
      <c r="VC79" s="207"/>
      <c r="VD79" s="207"/>
      <c r="VE79" s="207"/>
      <c r="VF79" s="207"/>
      <c r="VG79" s="272"/>
      <c r="VH79" s="272"/>
      <c r="VI79" s="205">
        <f t="shared" si="578"/>
        <v>0</v>
      </c>
      <c r="VJ79" s="207"/>
      <c r="VK79" s="207"/>
      <c r="VL79" s="207"/>
      <c r="VM79" s="195">
        <v>410</v>
      </c>
      <c r="VN79" s="207"/>
      <c r="VO79" s="272"/>
      <c r="VP79" s="272"/>
      <c r="VQ79" s="205">
        <f t="shared" si="579"/>
        <v>410</v>
      </c>
      <c r="VR79" s="207"/>
      <c r="VS79" s="207"/>
      <c r="VT79" s="207"/>
      <c r="VU79" s="207"/>
      <c r="VV79" s="207"/>
      <c r="VW79" s="272"/>
      <c r="VX79" s="272"/>
      <c r="VY79" s="205">
        <f t="shared" si="580"/>
        <v>0</v>
      </c>
      <c r="VZ79" s="207"/>
      <c r="WA79" s="207"/>
      <c r="WB79" s="207"/>
      <c r="WC79" s="207"/>
      <c r="WD79" s="207"/>
      <c r="WE79" s="272"/>
      <c r="WF79" s="272"/>
      <c r="WG79" s="205">
        <f t="shared" si="581"/>
        <v>0</v>
      </c>
      <c r="WH79" s="205">
        <f t="shared" si="582"/>
        <v>410</v>
      </c>
      <c r="WI79" s="207"/>
      <c r="WJ79" s="207"/>
      <c r="WK79" s="207"/>
      <c r="WL79" s="207"/>
      <c r="WM79" s="207"/>
      <c r="WN79" s="272"/>
      <c r="WO79" s="272"/>
      <c r="WP79" s="205">
        <f t="shared" si="583"/>
        <v>0</v>
      </c>
      <c r="WQ79" s="207"/>
      <c r="WR79" s="207"/>
      <c r="WS79" s="207"/>
      <c r="WT79" s="124">
        <v>1850</v>
      </c>
      <c r="WU79" s="207"/>
      <c r="WV79" s="272"/>
      <c r="WW79" s="272"/>
      <c r="WX79" s="205">
        <f t="shared" si="531"/>
        <v>1850</v>
      </c>
      <c r="WY79" s="207"/>
      <c r="WZ79" s="207"/>
      <c r="XA79" s="207"/>
      <c r="XB79" s="207"/>
      <c r="XC79" s="272"/>
      <c r="XD79" s="272"/>
      <c r="XE79" s="272"/>
      <c r="XF79" s="205">
        <f t="shared" si="584"/>
        <v>0</v>
      </c>
      <c r="XG79" s="207"/>
      <c r="XH79" s="207"/>
      <c r="XI79" s="207"/>
      <c r="XJ79" s="207"/>
      <c r="XK79" s="207"/>
      <c r="XL79" s="272"/>
      <c r="XM79" s="272"/>
      <c r="XN79" s="205">
        <f t="shared" si="585"/>
        <v>0</v>
      </c>
      <c r="XO79" s="207"/>
      <c r="XP79" s="207"/>
      <c r="XQ79" s="207"/>
      <c r="XR79" s="207"/>
      <c r="XS79" s="207"/>
      <c r="XT79" s="272"/>
      <c r="XU79" s="272"/>
      <c r="XV79" s="205">
        <f t="shared" si="586"/>
        <v>0</v>
      </c>
      <c r="XW79" s="205">
        <f t="shared" si="587"/>
        <v>1850</v>
      </c>
      <c r="XX79" s="207"/>
      <c r="XY79" s="207"/>
      <c r="XZ79" s="207"/>
      <c r="YA79" s="207"/>
      <c r="YB79" s="207"/>
      <c r="YC79" s="272"/>
      <c r="YD79" s="272"/>
      <c r="YE79" s="205">
        <f t="shared" si="588"/>
        <v>0</v>
      </c>
      <c r="YF79" s="207"/>
      <c r="YG79" s="124">
        <v>550</v>
      </c>
      <c r="YH79" s="207"/>
      <c r="YI79" s="207"/>
      <c r="YJ79" s="207"/>
      <c r="YK79" s="272"/>
      <c r="YL79" s="272"/>
      <c r="YM79" s="205">
        <f t="shared" si="589"/>
        <v>550</v>
      </c>
      <c r="YN79" s="207"/>
      <c r="YO79" s="207"/>
      <c r="YP79" s="207"/>
      <c r="YQ79" s="207"/>
      <c r="YR79" s="207"/>
      <c r="YS79" s="272"/>
      <c r="YT79" s="272"/>
      <c r="YU79" s="205">
        <f t="shared" si="544"/>
        <v>0</v>
      </c>
      <c r="YV79" s="207"/>
      <c r="YW79" s="207"/>
      <c r="YX79" s="207"/>
      <c r="YY79" s="207"/>
      <c r="YZ79" s="207"/>
      <c r="ZA79" s="272"/>
      <c r="ZB79" s="272"/>
      <c r="ZC79" s="205">
        <f t="shared" si="590"/>
        <v>0</v>
      </c>
      <c r="ZD79" s="205">
        <f t="shared" si="516"/>
        <v>550</v>
      </c>
      <c r="ZE79" s="207"/>
      <c r="ZF79" s="207"/>
      <c r="ZG79" s="207"/>
      <c r="ZH79" s="207"/>
      <c r="ZI79" s="207"/>
      <c r="ZJ79" s="272"/>
      <c r="ZK79" s="272"/>
      <c r="ZL79" s="205">
        <f t="shared" si="591"/>
        <v>0</v>
      </c>
      <c r="ZM79" s="207"/>
      <c r="ZN79" s="207"/>
      <c r="ZO79" s="207"/>
      <c r="ZP79" s="207"/>
      <c r="ZQ79" s="207"/>
      <c r="ZR79" s="272"/>
      <c r="ZS79" s="272"/>
      <c r="ZT79" s="205">
        <f t="shared" si="592"/>
        <v>0</v>
      </c>
      <c r="ZU79" s="207"/>
      <c r="ZV79" s="207"/>
      <c r="ZW79" s="207"/>
      <c r="ZX79" s="207"/>
      <c r="ZY79" s="207"/>
      <c r="ZZ79" s="272"/>
      <c r="AAA79" s="272"/>
      <c r="AAB79" s="205">
        <f t="shared" si="593"/>
        <v>0</v>
      </c>
      <c r="AAC79" s="207"/>
      <c r="AAD79" s="207"/>
      <c r="AAE79" s="207"/>
      <c r="AAF79" s="207"/>
      <c r="AAG79" s="207"/>
      <c r="AAH79" s="272"/>
      <c r="AAI79" s="272"/>
      <c r="AAJ79" s="205">
        <f t="shared" si="594"/>
        <v>0</v>
      </c>
      <c r="AAK79" s="207"/>
      <c r="AAL79" s="207"/>
      <c r="AAM79" s="207"/>
      <c r="AAN79" s="207"/>
      <c r="AAO79" s="207"/>
      <c r="AAP79" s="272"/>
      <c r="AAQ79" s="272"/>
      <c r="AAR79" s="205">
        <f t="shared" si="595"/>
        <v>0</v>
      </c>
      <c r="AAS79" s="205">
        <f t="shared" si="596"/>
        <v>0</v>
      </c>
    </row>
    <row r="80" spans="1:721" ht="69" hidden="1" customHeight="1">
      <c r="B80" s="193" t="s">
        <v>784</v>
      </c>
      <c r="C80" s="331"/>
      <c r="D80" s="192" t="s">
        <v>782</v>
      </c>
      <c r="E80" s="130" t="s">
        <v>4</v>
      </c>
      <c r="F80" s="120"/>
      <c r="G80" s="120"/>
      <c r="H80" s="120"/>
      <c r="I80" s="120"/>
      <c r="J80" s="120"/>
      <c r="K80" s="209"/>
      <c r="L80" s="205"/>
      <c r="M80" s="205">
        <f t="shared" ref="M80:M81" si="636">SUM(F80:L80)</f>
        <v>0</v>
      </c>
      <c r="N80" s="120"/>
      <c r="O80" s="120"/>
      <c r="P80" s="120"/>
      <c r="Q80" s="120"/>
      <c r="R80" s="120"/>
      <c r="S80" s="209"/>
      <c r="T80" s="205"/>
      <c r="U80" s="205">
        <f t="shared" ref="U80:U81" si="637">SUM(N80:T80)</f>
        <v>0</v>
      </c>
      <c r="V80" s="120"/>
      <c r="W80" s="120"/>
      <c r="X80" s="120"/>
      <c r="Y80" s="120"/>
      <c r="Z80" s="120"/>
      <c r="AA80" s="209"/>
      <c r="AB80" s="205"/>
      <c r="AC80" s="205">
        <f t="shared" ref="AC80:AC81" si="638">SUM(V80:AB80)</f>
        <v>0</v>
      </c>
      <c r="AD80" s="205"/>
      <c r="AE80" s="205"/>
      <c r="AF80" s="205"/>
      <c r="AG80" s="205"/>
      <c r="AH80" s="205"/>
      <c r="AI80" s="209"/>
      <c r="AJ80" s="205"/>
      <c r="AK80" s="205">
        <f t="shared" ref="AK80:AK81" si="639">SUM(AD80:AJ80)</f>
        <v>0</v>
      </c>
      <c r="AL80" s="205" t="e">
        <f>SUM(#REF!,M80,U80,AC80,AD80:AH80)</f>
        <v>#REF!</v>
      </c>
      <c r="AM80" s="120"/>
      <c r="AN80" s="120"/>
      <c r="AO80" s="120"/>
      <c r="AP80" s="120"/>
      <c r="AQ80" s="120"/>
      <c r="AR80" s="209"/>
      <c r="AS80" s="205"/>
      <c r="AT80" s="205">
        <f t="shared" ref="AT80:AT81" si="640">SUM(AM80:AS80)</f>
        <v>0</v>
      </c>
      <c r="AU80" s="120"/>
      <c r="AV80" s="120"/>
      <c r="AW80" s="120"/>
      <c r="AX80" s="120"/>
      <c r="AY80" s="120"/>
      <c r="AZ80" s="209"/>
      <c r="BA80" s="205"/>
      <c r="BB80" s="205">
        <f t="shared" ref="BB80:BB81" si="641">SUM(AU80:BA80)</f>
        <v>0</v>
      </c>
      <c r="BC80" s="120"/>
      <c r="BD80" s="120"/>
      <c r="BE80" s="120"/>
      <c r="BF80" s="120"/>
      <c r="BG80" s="120"/>
      <c r="BH80" s="209"/>
      <c r="BI80" s="205"/>
      <c r="BJ80" s="205">
        <f t="shared" ref="BJ80:BJ81" si="642">SUM(BC80:BI80)</f>
        <v>0</v>
      </c>
      <c r="BK80" s="120"/>
      <c r="BL80" s="120"/>
      <c r="BM80" s="120"/>
      <c r="BN80" s="120"/>
      <c r="BO80" s="205"/>
      <c r="BP80" s="209"/>
      <c r="BQ80" s="205"/>
      <c r="BR80" s="205">
        <f t="shared" si="248"/>
        <v>0</v>
      </c>
      <c r="BS80" s="205">
        <f t="shared" ref="BS80:BS81" si="643">SUM(AI80:AJ80,AT80,BB80,BJ80,BK80:BO80)</f>
        <v>0</v>
      </c>
      <c r="BT80" s="120"/>
      <c r="BU80" s="120"/>
      <c r="BV80" s="120"/>
      <c r="BW80" s="120"/>
      <c r="BX80" s="120"/>
      <c r="BY80" s="209"/>
      <c r="BZ80" s="205"/>
      <c r="CA80" s="205">
        <f t="shared" ref="CA80:CA81" si="644">SUM(BT80:BZ80)</f>
        <v>0</v>
      </c>
      <c r="CB80" s="120"/>
      <c r="CC80" s="120"/>
      <c r="CD80" s="120"/>
      <c r="CE80" s="120"/>
      <c r="CF80" s="120"/>
      <c r="CG80" s="209"/>
      <c r="CH80" s="205"/>
      <c r="CI80" s="205">
        <f t="shared" ref="CI80:CI81" si="645">SUM(CB80:CH80)</f>
        <v>0</v>
      </c>
      <c r="CJ80" s="120"/>
      <c r="CK80" s="120"/>
      <c r="CL80" s="120"/>
      <c r="CM80" s="120"/>
      <c r="CN80" s="120"/>
      <c r="CO80" s="209"/>
      <c r="CP80" s="205"/>
      <c r="CQ80" s="205">
        <f t="shared" ref="CQ80:CQ81" si="646">SUM(CJ80:CP80)</f>
        <v>0</v>
      </c>
      <c r="CR80" s="120"/>
      <c r="CS80" s="120"/>
      <c r="CT80" s="120"/>
      <c r="CU80" s="120"/>
      <c r="CV80" s="120"/>
      <c r="CW80" s="209"/>
      <c r="CX80" s="205"/>
      <c r="CY80" s="205">
        <f t="shared" ref="CY80:CY81" si="647">SUM(CR80:CX80)</f>
        <v>0</v>
      </c>
      <c r="CZ80" s="120"/>
      <c r="DA80" s="120"/>
      <c r="DB80" s="120"/>
      <c r="DC80" s="205"/>
      <c r="DD80" s="205"/>
      <c r="DE80" s="209"/>
      <c r="DF80" s="205"/>
      <c r="DG80" s="205">
        <f t="shared" ref="DG80:DG81" si="648">SUM(CZ80:DF80)</f>
        <v>0</v>
      </c>
      <c r="DH80" s="205">
        <f t="shared" ref="DH80:DH81" si="649">SUM(CA80,CI80,CQ80,CY80,CZ80)</f>
        <v>0</v>
      </c>
      <c r="DI80" s="120"/>
      <c r="DJ80" s="120"/>
      <c r="DK80" s="120"/>
      <c r="DL80" s="120"/>
      <c r="DM80" s="120"/>
      <c r="DN80" s="209"/>
      <c r="DO80" s="205"/>
      <c r="DP80" s="205">
        <f t="shared" si="228"/>
        <v>0</v>
      </c>
      <c r="DQ80" s="120"/>
      <c r="DR80" s="120"/>
      <c r="DS80" s="120"/>
      <c r="DT80" s="120"/>
      <c r="DU80" s="120"/>
      <c r="DV80" s="209"/>
      <c r="DW80" s="205"/>
      <c r="DX80" s="205">
        <f t="shared" ref="DX80:DX81" si="650">SUM(DQ80:DW80)</f>
        <v>0</v>
      </c>
      <c r="DY80" s="120"/>
      <c r="DZ80" s="120"/>
      <c r="EA80" s="120"/>
      <c r="EB80" s="120"/>
      <c r="EC80" s="120"/>
      <c r="ED80" s="209"/>
      <c r="EE80" s="205"/>
      <c r="EF80" s="205">
        <f t="shared" ref="EF80:EF81" si="651">SUM(DY80:EE80)</f>
        <v>0</v>
      </c>
      <c r="EG80" s="120"/>
      <c r="EH80" s="120"/>
      <c r="EI80" s="120"/>
      <c r="EJ80" s="205"/>
      <c r="EK80" s="205"/>
      <c r="EL80" s="209"/>
      <c r="EM80" s="205"/>
      <c r="EN80" s="205">
        <f t="shared" ref="EN80:EN81" si="652">SUM(EG80:EM80)</f>
        <v>0</v>
      </c>
      <c r="EO80" s="205">
        <f t="shared" ref="EO80:EO81" si="653">SUM(DA80:DF80,DP80,DX80,EF80,EG80:EI80)</f>
        <v>0</v>
      </c>
      <c r="EP80" s="120"/>
      <c r="EQ80" s="120"/>
      <c r="ER80" s="120"/>
      <c r="ES80" s="120"/>
      <c r="ET80" s="120"/>
      <c r="EU80" s="209"/>
      <c r="EV80" s="205"/>
      <c r="EW80" s="205">
        <f t="shared" ref="EW80:EW81" si="654">SUM(EP80:EV80)</f>
        <v>0</v>
      </c>
      <c r="EX80" s="120"/>
      <c r="EY80" s="120"/>
      <c r="EZ80" s="120"/>
      <c r="FA80" s="120"/>
      <c r="FB80" s="120"/>
      <c r="FC80" s="209"/>
      <c r="FD80" s="205"/>
      <c r="FE80" s="205">
        <f t="shared" ref="FE80:FE81" si="655">SUM(EX80:FD80)</f>
        <v>0</v>
      </c>
      <c r="FF80" s="120"/>
      <c r="FG80" s="120"/>
      <c r="FH80" s="120"/>
      <c r="FI80" s="120"/>
      <c r="FJ80" s="120"/>
      <c r="FK80" s="209"/>
      <c r="FL80" s="205"/>
      <c r="FM80" s="205">
        <f t="shared" ref="FM80:FM81" si="656">SUM(FF80:FL80)</f>
        <v>0</v>
      </c>
      <c r="FN80" s="120"/>
      <c r="FO80" s="120"/>
      <c r="FP80" s="120"/>
      <c r="FQ80" s="120"/>
      <c r="FR80" s="205"/>
      <c r="FS80" s="209"/>
      <c r="FT80" s="205"/>
      <c r="FU80" s="205">
        <f t="shared" ref="FU80:FU81" si="657">SUM(FN80:FT80)</f>
        <v>0</v>
      </c>
      <c r="FV80" s="205">
        <f t="shared" ref="FV80:FV81" si="658">SUM(EJ80:EK80,EW80,FE80,FM80,FU80)</f>
        <v>0</v>
      </c>
      <c r="FW80" s="120"/>
      <c r="FX80" s="120"/>
      <c r="FY80" s="120"/>
      <c r="FZ80" s="120"/>
      <c r="GA80" s="120"/>
      <c r="GB80" s="209"/>
      <c r="GC80" s="205"/>
      <c r="GD80" s="205">
        <f t="shared" ref="GD80:GD81" si="659">SUM(FW80:GC80)</f>
        <v>0</v>
      </c>
      <c r="GE80" s="120"/>
      <c r="GF80" s="120"/>
      <c r="GG80" s="120"/>
      <c r="GH80" s="120"/>
      <c r="GI80" s="120"/>
      <c r="GJ80" s="209"/>
      <c r="GK80" s="205"/>
      <c r="GL80" s="205">
        <f t="shared" ref="GL80:GL81" si="660">SUM(GE80:GK80)</f>
        <v>0</v>
      </c>
      <c r="GM80" s="120"/>
      <c r="GN80" s="120"/>
      <c r="GO80" s="120"/>
      <c r="GP80" s="120"/>
      <c r="GQ80" s="120"/>
      <c r="GR80" s="209"/>
      <c r="GS80" s="205"/>
      <c r="GT80" s="205">
        <f t="shared" ref="GT80:GT81" si="661">SUM(GM80:GS80)</f>
        <v>0</v>
      </c>
      <c r="GU80" s="120"/>
      <c r="GV80" s="120"/>
      <c r="GW80" s="120"/>
      <c r="GX80" s="120"/>
      <c r="GY80" s="120"/>
      <c r="GZ80" s="209"/>
      <c r="HA80" s="205"/>
      <c r="HB80" s="205">
        <f t="shared" ref="HB80:HB81" si="662">SUM(GU80:HA80)</f>
        <v>0</v>
      </c>
      <c r="HC80" s="120"/>
      <c r="HD80" s="120"/>
      <c r="HE80" s="120"/>
      <c r="HF80" s="120"/>
      <c r="HG80" s="120"/>
      <c r="HH80" s="209"/>
      <c r="HI80" s="205"/>
      <c r="HJ80" s="205">
        <f t="shared" ref="HJ80:HJ81" si="663">SUM(HC80:HI80)</f>
        <v>0</v>
      </c>
      <c r="HK80" s="205">
        <f t="shared" ref="HK80:HK81" si="664">SUM(GD80,GL80,GT80,HB80,HC80)</f>
        <v>0</v>
      </c>
      <c r="HL80" s="124"/>
      <c r="HM80" s="120"/>
      <c r="HN80" s="120"/>
      <c r="HO80" s="120"/>
      <c r="HP80" s="120"/>
      <c r="HQ80" s="205"/>
      <c r="HR80" s="205"/>
      <c r="HS80" s="205">
        <f t="shared" ref="HS80:HS81" si="665">SUM(HL80:HR80)</f>
        <v>0</v>
      </c>
      <c r="HT80" s="120"/>
      <c r="HU80" s="120"/>
      <c r="HV80" s="120"/>
      <c r="HW80" s="120"/>
      <c r="HX80" s="120"/>
      <c r="HY80" s="205"/>
      <c r="HZ80" s="205"/>
      <c r="IA80" s="205">
        <f t="shared" ref="IA80:IA81" si="666">SUM(HT80:HZ80)</f>
        <v>0</v>
      </c>
      <c r="IB80" s="120"/>
      <c r="IC80" s="120"/>
      <c r="ID80" s="120"/>
      <c r="IE80" s="120"/>
      <c r="IF80" s="120"/>
      <c r="IG80" s="205"/>
      <c r="IH80" s="205"/>
      <c r="II80" s="205">
        <f t="shared" ref="II80:II81" si="667">SUM(IB80:IH80)</f>
        <v>0</v>
      </c>
      <c r="IJ80" s="120"/>
      <c r="IK80" s="120"/>
      <c r="IL80" s="120"/>
      <c r="IM80" s="120"/>
      <c r="IN80" s="120"/>
      <c r="IO80" s="205"/>
      <c r="IP80" s="205"/>
      <c r="IQ80" s="205">
        <f t="shared" ref="IQ80:IQ81" si="668">SUM(IJ80:IP80)</f>
        <v>0</v>
      </c>
      <c r="IR80" s="205">
        <f t="shared" ref="IR80:IR81" si="669">SUM(IJ80:IM80,II80,IA80,HS80,HD80:HG80,HH80:HI80)</f>
        <v>0</v>
      </c>
      <c r="IS80" s="120"/>
      <c r="IT80" s="120"/>
      <c r="IU80" s="120"/>
      <c r="IV80" s="120"/>
      <c r="IW80" s="120"/>
      <c r="IX80" s="205"/>
      <c r="IY80" s="205"/>
      <c r="IZ80" s="205">
        <f t="shared" ref="IZ80:IZ81" si="670">SUM(IS80:IY80)</f>
        <v>0</v>
      </c>
      <c r="JA80" s="120"/>
      <c r="JB80" s="120"/>
      <c r="JC80" s="120"/>
      <c r="JD80" s="120"/>
      <c r="JE80" s="120"/>
      <c r="JF80" s="205"/>
      <c r="JG80" s="205"/>
      <c r="JH80" s="205">
        <f t="shared" ref="JH80:JH81" si="671">SUM(JA80:JG80)</f>
        <v>0</v>
      </c>
      <c r="JI80" s="120"/>
      <c r="JJ80" s="124"/>
      <c r="JK80" s="120"/>
      <c r="JL80" s="120"/>
      <c r="JM80" s="120"/>
      <c r="JN80" s="205"/>
      <c r="JO80" s="205"/>
      <c r="JP80" s="205">
        <f t="shared" ref="JP80:JP81" si="672">SUM(JI80:JO80)</f>
        <v>0</v>
      </c>
      <c r="JQ80" s="120"/>
      <c r="JR80" s="120"/>
      <c r="JS80" s="120"/>
      <c r="JT80" s="120"/>
      <c r="JU80" s="120"/>
      <c r="JV80" s="205"/>
      <c r="JW80" s="205"/>
      <c r="JX80" s="205">
        <f t="shared" ref="JX80:JX81" si="673">SUM(JQ80:JW80)</f>
        <v>0</v>
      </c>
      <c r="JY80" s="205">
        <f t="shared" si="558"/>
        <v>0</v>
      </c>
      <c r="JZ80" s="120"/>
      <c r="KA80" s="120"/>
      <c r="KB80" s="120"/>
      <c r="KC80" s="120"/>
      <c r="KD80" s="217"/>
      <c r="KE80" s="205"/>
      <c r="KF80" s="205"/>
      <c r="KG80" s="205">
        <f t="shared" ref="KG80:KG81" si="674">SUM(JZ80:KF80)</f>
        <v>0</v>
      </c>
      <c r="KH80" s="120"/>
      <c r="KI80" s="120"/>
      <c r="KJ80" s="120"/>
      <c r="KK80" s="120"/>
      <c r="KL80" s="120"/>
      <c r="KM80" s="205"/>
      <c r="KN80" s="205"/>
      <c r="KO80" s="205">
        <f t="shared" ref="KO80:KO81" si="675">SUM(KH80:KN80)</f>
        <v>0</v>
      </c>
      <c r="KP80" s="120"/>
      <c r="KQ80" s="120"/>
      <c r="KR80" s="120"/>
      <c r="KS80" s="120"/>
      <c r="KT80" s="120"/>
      <c r="KU80" s="205"/>
      <c r="KV80" s="205"/>
      <c r="KW80" s="205">
        <f t="shared" ref="KW80:KW81" si="676">SUM(KP80:KV80)</f>
        <v>0</v>
      </c>
      <c r="KX80" s="120"/>
      <c r="KY80" s="120"/>
      <c r="KZ80" s="120"/>
      <c r="LA80" s="120"/>
      <c r="LB80" s="120"/>
      <c r="LC80" s="205"/>
      <c r="LD80" s="205"/>
      <c r="LE80" s="205">
        <f t="shared" ref="LE80:LE81" si="677">SUM(KX80:LD80)</f>
        <v>0</v>
      </c>
      <c r="LF80" s="205"/>
      <c r="LG80" s="120"/>
      <c r="LH80" s="120"/>
      <c r="LI80" s="120"/>
      <c r="LJ80" s="120"/>
      <c r="LK80" s="205"/>
      <c r="LL80" s="205"/>
      <c r="LM80" s="205">
        <f t="shared" ref="LM80:LM81" si="678">SUM(LF80:LL80)</f>
        <v>0</v>
      </c>
      <c r="LN80" s="205">
        <f t="shared" ref="LN80:LN81" si="679">SUM(LF80:LG80,LE80,KW80,KO80,KG80)</f>
        <v>0</v>
      </c>
      <c r="LO80" s="205"/>
      <c r="LP80" s="120"/>
      <c r="LQ80" s="120"/>
      <c r="LR80" s="120"/>
      <c r="LS80" s="205"/>
      <c r="LT80" s="205"/>
      <c r="LU80" s="205"/>
      <c r="LV80" s="205">
        <f t="shared" ref="LV80:LV81" si="680">SUM(LO80:LU80)</f>
        <v>0</v>
      </c>
      <c r="LW80" s="120"/>
      <c r="LX80" s="120"/>
      <c r="LY80" s="120"/>
      <c r="LZ80" s="120"/>
      <c r="MA80" s="120"/>
      <c r="MB80" s="205"/>
      <c r="MC80" s="205"/>
      <c r="MD80" s="205">
        <f t="shared" ref="MD80:MD81" si="681">SUM(LW80:MC80)</f>
        <v>0</v>
      </c>
      <c r="ME80" s="120"/>
      <c r="MF80" s="120"/>
      <c r="MG80" s="120"/>
      <c r="MH80" s="120"/>
      <c r="MI80" s="205"/>
      <c r="MJ80" s="205"/>
      <c r="MK80" s="205"/>
      <c r="ML80" s="205">
        <f t="shared" ref="ML80:ML81" si="682">SUM(ME80:MK80)</f>
        <v>0</v>
      </c>
      <c r="MM80" s="120"/>
      <c r="MN80" s="120"/>
      <c r="MO80" s="120"/>
      <c r="MP80" s="120"/>
      <c r="MQ80" s="120"/>
      <c r="MR80" s="205"/>
      <c r="MS80" s="205"/>
      <c r="MT80" s="205">
        <f t="shared" ref="MT80:MT81" si="683">SUM(MM80:MS80)</f>
        <v>0</v>
      </c>
      <c r="MU80" s="205">
        <f t="shared" ref="MU80:MU81" si="684">SUM(LH80:LL80,LV80,MD80,ML80,MM80:MQ80)</f>
        <v>0</v>
      </c>
      <c r="MV80" s="120"/>
      <c r="MW80" s="120"/>
      <c r="MX80" s="120"/>
      <c r="MY80" s="120"/>
      <c r="MZ80" s="120"/>
      <c r="NA80" s="205"/>
      <c r="NB80" s="205"/>
      <c r="NC80" s="205">
        <f t="shared" ref="NC80:NC81" si="685">SUM(MV80:NB80)</f>
        <v>0</v>
      </c>
      <c r="ND80" s="120"/>
      <c r="NE80" s="120"/>
      <c r="NF80" s="120"/>
      <c r="NG80" s="120"/>
      <c r="NH80" s="120"/>
      <c r="NI80" s="205"/>
      <c r="NJ80" s="205"/>
      <c r="NK80" s="205">
        <f t="shared" ref="NK80:NK81" si="686">SUM(ND80:NJ80)</f>
        <v>0</v>
      </c>
      <c r="NL80" s="120"/>
      <c r="NM80" s="120"/>
      <c r="NN80" s="120"/>
      <c r="NO80" s="120"/>
      <c r="NP80" s="120"/>
      <c r="NQ80" s="205"/>
      <c r="NR80" s="205"/>
      <c r="NS80" s="205">
        <f t="shared" ref="NS80:NS81" si="687">SUM(NL80:NR80)</f>
        <v>0</v>
      </c>
      <c r="NT80" s="120"/>
      <c r="NU80" s="120"/>
      <c r="NV80" s="120"/>
      <c r="NW80" s="120"/>
      <c r="NX80" s="120"/>
      <c r="NY80" s="205"/>
      <c r="NZ80" s="205"/>
      <c r="OA80" s="205">
        <f t="shared" ref="OA80:OA81" si="688">SUM(NT80:NZ80)</f>
        <v>0</v>
      </c>
      <c r="OB80" s="205">
        <f t="shared" ref="OB80:OB81" si="689">SUM(MR80:MS80,NC80,NK80,NS80,OA80)</f>
        <v>0</v>
      </c>
      <c r="OC80" s="120"/>
      <c r="OD80" s="120"/>
      <c r="OE80" s="120"/>
      <c r="OF80" s="120"/>
      <c r="OG80" s="120"/>
      <c r="OH80" s="205"/>
      <c r="OI80" s="205"/>
      <c r="OJ80" s="205">
        <f t="shared" ref="OJ80:OJ81" si="690">SUM(OC80:OI80)</f>
        <v>0</v>
      </c>
      <c r="OK80" s="120"/>
      <c r="OL80" s="120"/>
      <c r="OM80" s="120"/>
      <c r="ON80" s="120"/>
      <c r="OO80" s="120"/>
      <c r="OP80" s="205"/>
      <c r="OQ80" s="205"/>
      <c r="OR80" s="205">
        <f t="shared" ref="OR80:OR81" si="691">SUM(OK80:OQ80)</f>
        <v>0</v>
      </c>
      <c r="OS80" s="120"/>
      <c r="OT80" s="120"/>
      <c r="OU80" s="120"/>
      <c r="OV80" s="120"/>
      <c r="OW80" s="120"/>
      <c r="OX80" s="205"/>
      <c r="OY80" s="205"/>
      <c r="OZ80" s="205">
        <f t="shared" ref="OZ80:OZ81" si="692">SUM(OS80:OY80)</f>
        <v>0</v>
      </c>
      <c r="PA80" s="120"/>
      <c r="PB80" s="120"/>
      <c r="PC80" s="120"/>
      <c r="PD80" s="205"/>
      <c r="PE80" s="217"/>
      <c r="PF80" s="205"/>
      <c r="PG80" s="205"/>
      <c r="PH80" s="205">
        <f t="shared" ref="PH80:PH81" si="693">SUM(PA80:PG80)</f>
        <v>0</v>
      </c>
      <c r="PI80" s="120"/>
      <c r="PJ80" s="120"/>
      <c r="PK80" s="120"/>
      <c r="PL80" s="205"/>
      <c r="PM80" s="217"/>
      <c r="PN80" s="205"/>
      <c r="PO80" s="205"/>
      <c r="PP80" s="205">
        <f t="shared" ref="PP80:PP81" si="694">SUM(PI80:PO80)</f>
        <v>0</v>
      </c>
      <c r="PQ80" s="205">
        <f t="shared" ref="PQ80:PQ81" si="695">SUM(OJ80,OR80,OZ80,PH80,PI80:PK80)</f>
        <v>0</v>
      </c>
      <c r="PR80" s="207"/>
      <c r="PS80" s="120"/>
      <c r="PT80" s="207"/>
      <c r="PU80" s="207"/>
      <c r="PV80" s="207"/>
      <c r="PW80" s="272"/>
      <c r="PX80" s="272"/>
      <c r="PY80" s="205">
        <f t="shared" si="559"/>
        <v>0</v>
      </c>
      <c r="PZ80" s="207"/>
      <c r="QA80" s="120"/>
      <c r="QB80" s="207"/>
      <c r="QC80" s="207"/>
      <c r="QD80" s="207"/>
      <c r="QE80" s="272"/>
      <c r="QF80" s="272"/>
      <c r="QG80" s="205">
        <f t="shared" si="560"/>
        <v>0</v>
      </c>
      <c r="QH80" s="207"/>
      <c r="QI80" s="207"/>
      <c r="QJ80" s="294"/>
      <c r="QK80" s="207"/>
      <c r="QL80" s="207"/>
      <c r="QM80" s="272"/>
      <c r="QN80" s="272"/>
      <c r="QO80" s="205">
        <f t="shared" si="561"/>
        <v>0</v>
      </c>
      <c r="QP80" s="207"/>
      <c r="QQ80" s="207"/>
      <c r="QR80" s="207"/>
      <c r="QS80" s="207"/>
      <c r="QT80" s="207"/>
      <c r="QU80" s="272"/>
      <c r="QV80" s="272"/>
      <c r="QW80" s="205">
        <f t="shared" si="320"/>
        <v>0</v>
      </c>
      <c r="QX80" s="205">
        <f t="shared" si="562"/>
        <v>0</v>
      </c>
      <c r="QY80" s="207"/>
      <c r="QZ80" s="207"/>
      <c r="RA80" s="207"/>
      <c r="RB80" s="207"/>
      <c r="RC80" s="207"/>
      <c r="RD80" s="272"/>
      <c r="RE80" s="272"/>
      <c r="RF80" s="205">
        <f t="shared" si="563"/>
        <v>0</v>
      </c>
      <c r="RG80" s="201"/>
      <c r="RH80" s="207"/>
      <c r="RI80" s="207"/>
      <c r="RJ80" s="207"/>
      <c r="RK80" s="207"/>
      <c r="RL80" s="272"/>
      <c r="RM80" s="272"/>
      <c r="RN80" s="205">
        <f t="shared" si="530"/>
        <v>0</v>
      </c>
      <c r="RO80" s="272"/>
      <c r="RP80" s="272"/>
      <c r="RQ80" s="272"/>
      <c r="RR80" s="272"/>
      <c r="RS80" s="272"/>
      <c r="RT80" s="272"/>
      <c r="RU80" s="272"/>
      <c r="RV80" s="205">
        <f t="shared" si="564"/>
        <v>0</v>
      </c>
      <c r="RW80" s="207"/>
      <c r="RX80" s="207"/>
      <c r="RY80" s="207"/>
      <c r="RZ80" s="207"/>
      <c r="SA80" s="272"/>
      <c r="SB80" s="272"/>
      <c r="SC80" s="272"/>
      <c r="SD80" s="205">
        <f t="shared" si="565"/>
        <v>0</v>
      </c>
      <c r="SE80" s="205">
        <f t="shared" si="566"/>
        <v>0</v>
      </c>
      <c r="SF80" s="207"/>
      <c r="SG80" s="207"/>
      <c r="SH80" s="120"/>
      <c r="SI80" s="123"/>
      <c r="SJ80" s="207"/>
      <c r="SK80" s="272"/>
      <c r="SL80" s="272"/>
      <c r="SM80" s="205">
        <f t="shared" si="567"/>
        <v>0</v>
      </c>
      <c r="SN80" s="207"/>
      <c r="SO80" s="207"/>
      <c r="SP80" s="207"/>
      <c r="SQ80" s="207"/>
      <c r="SR80" s="207"/>
      <c r="SS80" s="272"/>
      <c r="ST80" s="272"/>
      <c r="SU80" s="205">
        <f t="shared" si="568"/>
        <v>0</v>
      </c>
      <c r="SV80" s="207"/>
      <c r="SW80" s="207"/>
      <c r="SX80" s="207"/>
      <c r="SY80" s="207"/>
      <c r="SZ80" s="207"/>
      <c r="TA80" s="272"/>
      <c r="TB80" s="272"/>
      <c r="TC80" s="205">
        <f t="shared" si="569"/>
        <v>0</v>
      </c>
      <c r="TD80" s="207"/>
      <c r="TE80" s="207"/>
      <c r="TF80" s="207"/>
      <c r="TG80" s="207"/>
      <c r="TH80" s="207"/>
      <c r="TI80" s="272"/>
      <c r="TJ80" s="272"/>
      <c r="TK80" s="205">
        <f t="shared" si="570"/>
        <v>0</v>
      </c>
      <c r="TL80" s="207"/>
      <c r="TM80" s="207"/>
      <c r="TN80" s="207"/>
      <c r="TO80" s="207"/>
      <c r="TP80" s="272"/>
      <c r="TQ80" s="272"/>
      <c r="TR80" s="272"/>
      <c r="TS80" s="205">
        <f t="shared" si="571"/>
        <v>0</v>
      </c>
      <c r="TT80" s="205">
        <f t="shared" si="572"/>
        <v>0</v>
      </c>
      <c r="TU80" s="272"/>
      <c r="TV80" s="207"/>
      <c r="TW80" s="207"/>
      <c r="TX80" s="207"/>
      <c r="TY80" s="207"/>
      <c r="TZ80" s="272"/>
      <c r="UA80" s="272"/>
      <c r="UB80" s="205">
        <f t="shared" si="573"/>
        <v>0</v>
      </c>
      <c r="UC80" s="207"/>
      <c r="UD80" s="207"/>
      <c r="UE80" s="207"/>
      <c r="UF80" s="217"/>
      <c r="UG80" s="207"/>
      <c r="UH80" s="272"/>
      <c r="UI80" s="272"/>
      <c r="UJ80" s="205">
        <f t="shared" si="574"/>
        <v>0</v>
      </c>
      <c r="UK80" s="207"/>
      <c r="UL80" s="207"/>
      <c r="UM80" s="207"/>
      <c r="UN80" s="207"/>
      <c r="UO80" s="207"/>
      <c r="UP80" s="272"/>
      <c r="UQ80" s="272"/>
      <c r="UR80" s="205">
        <f t="shared" si="575"/>
        <v>0</v>
      </c>
      <c r="US80" s="207"/>
      <c r="UT80" s="207"/>
      <c r="UU80" s="207"/>
      <c r="UV80" s="207"/>
      <c r="UW80" s="272"/>
      <c r="UX80" s="272"/>
      <c r="UY80" s="272"/>
      <c r="UZ80" s="205">
        <f t="shared" si="576"/>
        <v>0</v>
      </c>
      <c r="VA80" s="205">
        <f t="shared" si="577"/>
        <v>0</v>
      </c>
      <c r="VB80" s="207"/>
      <c r="VC80" s="207"/>
      <c r="VD80" s="207"/>
      <c r="VE80" s="207"/>
      <c r="VF80" s="207"/>
      <c r="VG80" s="272"/>
      <c r="VH80" s="272"/>
      <c r="VI80" s="205">
        <f t="shared" si="578"/>
        <v>0</v>
      </c>
      <c r="VJ80" s="207"/>
      <c r="VK80" s="207"/>
      <c r="VL80" s="207"/>
      <c r="VM80" s="300"/>
      <c r="VN80" s="207"/>
      <c r="VO80" s="272"/>
      <c r="VP80" s="272"/>
      <c r="VQ80" s="205">
        <f t="shared" si="579"/>
        <v>0</v>
      </c>
      <c r="VR80" s="207"/>
      <c r="VS80" s="207"/>
      <c r="VT80" s="207"/>
      <c r="VU80" s="207"/>
      <c r="VV80" s="207"/>
      <c r="VW80" s="272"/>
      <c r="VX80" s="272"/>
      <c r="VY80" s="205">
        <f t="shared" si="580"/>
        <v>0</v>
      </c>
      <c r="VZ80" s="207"/>
      <c r="WA80" s="207"/>
      <c r="WB80" s="207"/>
      <c r="WC80" s="207"/>
      <c r="WD80" s="207"/>
      <c r="WE80" s="272"/>
      <c r="WF80" s="272"/>
      <c r="WG80" s="205">
        <f t="shared" si="581"/>
        <v>0</v>
      </c>
      <c r="WH80" s="205">
        <f t="shared" si="582"/>
        <v>0</v>
      </c>
      <c r="WI80" s="207"/>
      <c r="WJ80" s="207"/>
      <c r="WK80" s="207"/>
      <c r="WL80" s="207"/>
      <c r="WM80" s="207"/>
      <c r="WN80" s="272"/>
      <c r="WO80" s="272"/>
      <c r="WP80" s="205">
        <f t="shared" si="583"/>
        <v>0</v>
      </c>
      <c r="WQ80" s="207"/>
      <c r="WR80" s="207"/>
      <c r="WS80" s="207"/>
      <c r="WT80" s="306"/>
      <c r="WU80" s="207"/>
      <c r="WV80" s="272"/>
      <c r="WW80" s="272"/>
      <c r="WX80" s="205">
        <f t="shared" ref="WX80:WX81" si="696">SUM(WQ80:WW80)</f>
        <v>0</v>
      </c>
      <c r="WY80" s="207"/>
      <c r="WZ80" s="207"/>
      <c r="XA80" s="207"/>
      <c r="XB80" s="207"/>
      <c r="XC80" s="272"/>
      <c r="XD80" s="272"/>
      <c r="XE80" s="272"/>
      <c r="XF80" s="205">
        <f t="shared" si="584"/>
        <v>0</v>
      </c>
      <c r="XG80" s="207"/>
      <c r="XH80" s="207"/>
      <c r="XI80" s="207"/>
      <c r="XJ80" s="207"/>
      <c r="XK80" s="207"/>
      <c r="XL80" s="272"/>
      <c r="XM80" s="272"/>
      <c r="XN80" s="205">
        <f t="shared" si="585"/>
        <v>0</v>
      </c>
      <c r="XO80" s="207"/>
      <c r="XP80" s="207"/>
      <c r="XQ80" s="207"/>
      <c r="XR80" s="207"/>
      <c r="XS80" s="207"/>
      <c r="XT80" s="272"/>
      <c r="XU80" s="272"/>
      <c r="XV80" s="205">
        <f t="shared" si="586"/>
        <v>0</v>
      </c>
      <c r="XW80" s="205">
        <f t="shared" si="587"/>
        <v>0</v>
      </c>
      <c r="XX80" s="207"/>
      <c r="XY80" s="207"/>
      <c r="XZ80" s="207"/>
      <c r="YA80" s="207"/>
      <c r="YB80" s="207"/>
      <c r="YC80" s="272"/>
      <c r="YD80" s="272"/>
      <c r="YE80" s="205">
        <f t="shared" si="588"/>
        <v>0</v>
      </c>
      <c r="YF80" s="207"/>
      <c r="YG80" s="124"/>
      <c r="YH80" s="207"/>
      <c r="YI80" s="207"/>
      <c r="YJ80" s="207"/>
      <c r="YK80" s="272"/>
      <c r="YL80" s="272"/>
      <c r="YM80" s="205">
        <f t="shared" si="589"/>
        <v>0</v>
      </c>
      <c r="YN80" s="207"/>
      <c r="YO80" s="207"/>
      <c r="YP80" s="207"/>
      <c r="YQ80" s="207"/>
      <c r="YR80" s="207"/>
      <c r="YS80" s="272"/>
      <c r="YT80" s="272"/>
      <c r="YU80" s="205">
        <f t="shared" si="544"/>
        <v>0</v>
      </c>
      <c r="YV80" s="207"/>
      <c r="YW80" s="207"/>
      <c r="YX80" s="207"/>
      <c r="YY80" s="207"/>
      <c r="YZ80" s="207"/>
      <c r="ZA80" s="272"/>
      <c r="ZB80" s="272"/>
      <c r="ZC80" s="205">
        <f t="shared" si="590"/>
        <v>0</v>
      </c>
      <c r="ZD80" s="205">
        <f t="shared" si="516"/>
        <v>0</v>
      </c>
      <c r="ZE80" s="207"/>
      <c r="ZF80" s="207"/>
      <c r="ZG80" s="207"/>
      <c r="ZH80" s="207"/>
      <c r="ZI80" s="207"/>
      <c r="ZJ80" s="272"/>
      <c r="ZK80" s="272"/>
      <c r="ZL80" s="205">
        <f t="shared" si="591"/>
        <v>0</v>
      </c>
      <c r="ZM80" s="207"/>
      <c r="ZN80" s="207"/>
      <c r="ZO80" s="207"/>
      <c r="ZP80" s="207"/>
      <c r="ZQ80" s="207"/>
      <c r="ZR80" s="272"/>
      <c r="ZS80" s="272"/>
      <c r="ZT80" s="205">
        <f t="shared" si="592"/>
        <v>0</v>
      </c>
      <c r="ZU80" s="207"/>
      <c r="ZV80" s="207"/>
      <c r="ZW80" s="207"/>
      <c r="ZX80" s="207"/>
      <c r="ZY80" s="207"/>
      <c r="ZZ80" s="272"/>
      <c r="AAA80" s="272"/>
      <c r="AAB80" s="205">
        <f t="shared" si="593"/>
        <v>0</v>
      </c>
      <c r="AAC80" s="207"/>
      <c r="AAD80" s="207"/>
      <c r="AAE80" s="207"/>
      <c r="AAF80" s="207"/>
      <c r="AAG80" s="207"/>
      <c r="AAH80" s="272"/>
      <c r="AAI80" s="272"/>
      <c r="AAJ80" s="205">
        <f t="shared" si="594"/>
        <v>0</v>
      </c>
      <c r="AAK80" s="207"/>
      <c r="AAL80" s="207"/>
      <c r="AAM80" s="207"/>
      <c r="AAN80" s="207"/>
      <c r="AAO80" s="207"/>
      <c r="AAP80" s="272"/>
      <c r="AAQ80" s="272"/>
      <c r="AAR80" s="205">
        <f t="shared" si="595"/>
        <v>0</v>
      </c>
      <c r="AAS80" s="205">
        <f t="shared" si="596"/>
        <v>0</v>
      </c>
    </row>
    <row r="81" spans="1:721" ht="69" customHeight="1">
      <c r="B81" s="193" t="s">
        <v>785</v>
      </c>
      <c r="C81" s="331"/>
      <c r="D81" s="192" t="s">
        <v>783</v>
      </c>
      <c r="E81" s="130" t="s">
        <v>4</v>
      </c>
      <c r="F81" s="120"/>
      <c r="G81" s="120"/>
      <c r="H81" s="120"/>
      <c r="I81" s="120"/>
      <c r="J81" s="120"/>
      <c r="K81" s="209"/>
      <c r="L81" s="205"/>
      <c r="M81" s="205">
        <f t="shared" si="636"/>
        <v>0</v>
      </c>
      <c r="N81" s="120"/>
      <c r="O81" s="120"/>
      <c r="P81" s="120"/>
      <c r="Q81" s="120"/>
      <c r="R81" s="120"/>
      <c r="S81" s="209"/>
      <c r="T81" s="205"/>
      <c r="U81" s="205">
        <f t="shared" si="637"/>
        <v>0</v>
      </c>
      <c r="V81" s="120"/>
      <c r="W81" s="120"/>
      <c r="X81" s="120"/>
      <c r="Y81" s="120"/>
      <c r="Z81" s="120"/>
      <c r="AA81" s="209"/>
      <c r="AB81" s="205"/>
      <c r="AC81" s="205">
        <f t="shared" si="638"/>
        <v>0</v>
      </c>
      <c r="AD81" s="205"/>
      <c r="AE81" s="205"/>
      <c r="AF81" s="205"/>
      <c r="AG81" s="205"/>
      <c r="AH81" s="205"/>
      <c r="AI81" s="209"/>
      <c r="AJ81" s="205"/>
      <c r="AK81" s="205">
        <f t="shared" si="639"/>
        <v>0</v>
      </c>
      <c r="AL81" s="205" t="e">
        <f>SUM(#REF!,M81,U81,AC81,AD81:AH81)</f>
        <v>#REF!</v>
      </c>
      <c r="AM81" s="120"/>
      <c r="AN81" s="120"/>
      <c r="AO81" s="120"/>
      <c r="AP81" s="120"/>
      <c r="AQ81" s="120"/>
      <c r="AR81" s="209"/>
      <c r="AS81" s="205"/>
      <c r="AT81" s="205">
        <f t="shared" si="640"/>
        <v>0</v>
      </c>
      <c r="AU81" s="120"/>
      <c r="AV81" s="120"/>
      <c r="AW81" s="120"/>
      <c r="AX81" s="120"/>
      <c r="AY81" s="120"/>
      <c r="AZ81" s="209"/>
      <c r="BA81" s="205"/>
      <c r="BB81" s="205">
        <f t="shared" si="641"/>
        <v>0</v>
      </c>
      <c r="BC81" s="120"/>
      <c r="BD81" s="120"/>
      <c r="BE81" s="120"/>
      <c r="BF81" s="120"/>
      <c r="BG81" s="120"/>
      <c r="BH81" s="209"/>
      <c r="BI81" s="205"/>
      <c r="BJ81" s="205">
        <f t="shared" si="642"/>
        <v>0</v>
      </c>
      <c r="BK81" s="120"/>
      <c r="BL81" s="120"/>
      <c r="BM81" s="120"/>
      <c r="BN81" s="120"/>
      <c r="BO81" s="205"/>
      <c r="BP81" s="209"/>
      <c r="BQ81" s="205"/>
      <c r="BR81" s="205">
        <f t="shared" si="248"/>
        <v>0</v>
      </c>
      <c r="BS81" s="205">
        <f t="shared" si="643"/>
        <v>0</v>
      </c>
      <c r="BT81" s="120"/>
      <c r="BU81" s="120"/>
      <c r="BV81" s="120"/>
      <c r="BW81" s="120"/>
      <c r="BX81" s="120"/>
      <c r="BY81" s="209"/>
      <c r="BZ81" s="205"/>
      <c r="CA81" s="205">
        <f t="shared" si="644"/>
        <v>0</v>
      </c>
      <c r="CB81" s="120"/>
      <c r="CC81" s="120"/>
      <c r="CD81" s="120"/>
      <c r="CE81" s="120"/>
      <c r="CF81" s="120"/>
      <c r="CG81" s="209"/>
      <c r="CH81" s="205"/>
      <c r="CI81" s="205">
        <f t="shared" si="645"/>
        <v>0</v>
      </c>
      <c r="CJ81" s="120"/>
      <c r="CK81" s="120"/>
      <c r="CL81" s="120"/>
      <c r="CM81" s="120"/>
      <c r="CN81" s="120"/>
      <c r="CO81" s="209"/>
      <c r="CP81" s="205"/>
      <c r="CQ81" s="205">
        <f t="shared" si="646"/>
        <v>0</v>
      </c>
      <c r="CR81" s="120"/>
      <c r="CS81" s="120"/>
      <c r="CT81" s="120"/>
      <c r="CU81" s="120"/>
      <c r="CV81" s="120"/>
      <c r="CW81" s="209"/>
      <c r="CX81" s="205"/>
      <c r="CY81" s="205">
        <f t="shared" si="647"/>
        <v>0</v>
      </c>
      <c r="CZ81" s="120"/>
      <c r="DA81" s="120"/>
      <c r="DB81" s="120"/>
      <c r="DC81" s="205"/>
      <c r="DD81" s="205"/>
      <c r="DE81" s="209"/>
      <c r="DF81" s="205"/>
      <c r="DG81" s="205">
        <f t="shared" si="648"/>
        <v>0</v>
      </c>
      <c r="DH81" s="205">
        <f t="shared" si="649"/>
        <v>0</v>
      </c>
      <c r="DI81" s="120"/>
      <c r="DJ81" s="120"/>
      <c r="DK81" s="120"/>
      <c r="DL81" s="120"/>
      <c r="DM81" s="120"/>
      <c r="DN81" s="209"/>
      <c r="DO81" s="205"/>
      <c r="DP81" s="205">
        <f t="shared" si="228"/>
        <v>0</v>
      </c>
      <c r="DQ81" s="120"/>
      <c r="DR81" s="120"/>
      <c r="DS81" s="120"/>
      <c r="DT81" s="120"/>
      <c r="DU81" s="120"/>
      <c r="DV81" s="209"/>
      <c r="DW81" s="205"/>
      <c r="DX81" s="205">
        <f t="shared" si="650"/>
        <v>0</v>
      </c>
      <c r="DY81" s="120"/>
      <c r="DZ81" s="120"/>
      <c r="EA81" s="120"/>
      <c r="EB81" s="120"/>
      <c r="EC81" s="120"/>
      <c r="ED81" s="209"/>
      <c r="EE81" s="205"/>
      <c r="EF81" s="205">
        <f t="shared" si="651"/>
        <v>0</v>
      </c>
      <c r="EG81" s="120"/>
      <c r="EH81" s="120"/>
      <c r="EI81" s="120"/>
      <c r="EJ81" s="205"/>
      <c r="EK81" s="205"/>
      <c r="EL81" s="209"/>
      <c r="EM81" s="205"/>
      <c r="EN81" s="205">
        <f t="shared" si="652"/>
        <v>0</v>
      </c>
      <c r="EO81" s="205">
        <f t="shared" si="653"/>
        <v>0</v>
      </c>
      <c r="EP81" s="120"/>
      <c r="EQ81" s="120"/>
      <c r="ER81" s="120"/>
      <c r="ES81" s="120"/>
      <c r="ET81" s="120"/>
      <c r="EU81" s="209"/>
      <c r="EV81" s="205"/>
      <c r="EW81" s="205">
        <f t="shared" si="654"/>
        <v>0</v>
      </c>
      <c r="EX81" s="120"/>
      <c r="EY81" s="120"/>
      <c r="EZ81" s="120"/>
      <c r="FA81" s="120"/>
      <c r="FB81" s="120"/>
      <c r="FC81" s="209"/>
      <c r="FD81" s="205"/>
      <c r="FE81" s="205">
        <f t="shared" si="655"/>
        <v>0</v>
      </c>
      <c r="FF81" s="120"/>
      <c r="FG81" s="120"/>
      <c r="FH81" s="120"/>
      <c r="FI81" s="120"/>
      <c r="FJ81" s="120"/>
      <c r="FK81" s="209"/>
      <c r="FL81" s="205"/>
      <c r="FM81" s="205">
        <f t="shared" si="656"/>
        <v>0</v>
      </c>
      <c r="FN81" s="120"/>
      <c r="FO81" s="120"/>
      <c r="FP81" s="120"/>
      <c r="FQ81" s="120"/>
      <c r="FR81" s="205"/>
      <c r="FS81" s="209"/>
      <c r="FT81" s="205"/>
      <c r="FU81" s="205">
        <f t="shared" si="657"/>
        <v>0</v>
      </c>
      <c r="FV81" s="205">
        <f t="shared" si="658"/>
        <v>0</v>
      </c>
      <c r="FW81" s="120"/>
      <c r="FX81" s="120"/>
      <c r="FY81" s="120"/>
      <c r="FZ81" s="120"/>
      <c r="GA81" s="120"/>
      <c r="GB81" s="209"/>
      <c r="GC81" s="205"/>
      <c r="GD81" s="205">
        <f t="shared" si="659"/>
        <v>0</v>
      </c>
      <c r="GE81" s="120"/>
      <c r="GF81" s="120"/>
      <c r="GG81" s="120"/>
      <c r="GH81" s="120"/>
      <c r="GI81" s="120"/>
      <c r="GJ81" s="209"/>
      <c r="GK81" s="205"/>
      <c r="GL81" s="205">
        <f t="shared" si="660"/>
        <v>0</v>
      </c>
      <c r="GM81" s="120"/>
      <c r="GN81" s="120"/>
      <c r="GO81" s="120"/>
      <c r="GP81" s="120"/>
      <c r="GQ81" s="120"/>
      <c r="GR81" s="209"/>
      <c r="GS81" s="205"/>
      <c r="GT81" s="205">
        <f t="shared" si="661"/>
        <v>0</v>
      </c>
      <c r="GU81" s="120"/>
      <c r="GV81" s="120"/>
      <c r="GW81" s="120"/>
      <c r="GX81" s="120"/>
      <c r="GY81" s="120"/>
      <c r="GZ81" s="209"/>
      <c r="HA81" s="205"/>
      <c r="HB81" s="205">
        <f t="shared" si="662"/>
        <v>0</v>
      </c>
      <c r="HC81" s="120"/>
      <c r="HD81" s="120"/>
      <c r="HE81" s="120"/>
      <c r="HF81" s="120"/>
      <c r="HG81" s="120"/>
      <c r="HH81" s="209"/>
      <c r="HI81" s="205"/>
      <c r="HJ81" s="205">
        <f t="shared" si="663"/>
        <v>0</v>
      </c>
      <c r="HK81" s="205">
        <f t="shared" si="664"/>
        <v>0</v>
      </c>
      <c r="HL81" s="124"/>
      <c r="HM81" s="120"/>
      <c r="HN81" s="120"/>
      <c r="HO81" s="120"/>
      <c r="HP81" s="120"/>
      <c r="HQ81" s="205"/>
      <c r="HR81" s="205"/>
      <c r="HS81" s="205">
        <f t="shared" si="665"/>
        <v>0</v>
      </c>
      <c r="HT81" s="120"/>
      <c r="HU81" s="120"/>
      <c r="HV81" s="120"/>
      <c r="HW81" s="120"/>
      <c r="HX81" s="120"/>
      <c r="HY81" s="205"/>
      <c r="HZ81" s="205"/>
      <c r="IA81" s="205">
        <f t="shared" si="666"/>
        <v>0</v>
      </c>
      <c r="IB81" s="120"/>
      <c r="IC81" s="120"/>
      <c r="ID81" s="120"/>
      <c r="IE81" s="120"/>
      <c r="IF81" s="120"/>
      <c r="IG81" s="205"/>
      <c r="IH81" s="205"/>
      <c r="II81" s="205">
        <f t="shared" si="667"/>
        <v>0</v>
      </c>
      <c r="IJ81" s="120"/>
      <c r="IK81" s="120"/>
      <c r="IL81" s="120"/>
      <c r="IM81" s="120"/>
      <c r="IN81" s="120"/>
      <c r="IO81" s="205"/>
      <c r="IP81" s="205"/>
      <c r="IQ81" s="205">
        <f t="shared" si="668"/>
        <v>0</v>
      </c>
      <c r="IR81" s="205">
        <f t="shared" si="669"/>
        <v>0</v>
      </c>
      <c r="IS81" s="120"/>
      <c r="IT81" s="120"/>
      <c r="IU81" s="120"/>
      <c r="IV81" s="120"/>
      <c r="IW81" s="120"/>
      <c r="IX81" s="205"/>
      <c r="IY81" s="205"/>
      <c r="IZ81" s="205">
        <f t="shared" si="670"/>
        <v>0</v>
      </c>
      <c r="JA81" s="120"/>
      <c r="JB81" s="120"/>
      <c r="JC81" s="120"/>
      <c r="JD81" s="120"/>
      <c r="JE81" s="120"/>
      <c r="JF81" s="205"/>
      <c r="JG81" s="205"/>
      <c r="JH81" s="205">
        <f t="shared" si="671"/>
        <v>0</v>
      </c>
      <c r="JI81" s="120"/>
      <c r="JJ81" s="124">
        <v>450</v>
      </c>
      <c r="JK81" s="120"/>
      <c r="JL81" s="120"/>
      <c r="JM81" s="120"/>
      <c r="JN81" s="205"/>
      <c r="JO81" s="205"/>
      <c r="JP81" s="205">
        <f t="shared" si="672"/>
        <v>450</v>
      </c>
      <c r="JQ81" s="120"/>
      <c r="JR81" s="120"/>
      <c r="JS81" s="120"/>
      <c r="JT81" s="120"/>
      <c r="JU81" s="120"/>
      <c r="JV81" s="205"/>
      <c r="JW81" s="205"/>
      <c r="JX81" s="205">
        <f t="shared" si="673"/>
        <v>0</v>
      </c>
      <c r="JY81" s="205">
        <f t="shared" si="558"/>
        <v>450</v>
      </c>
      <c r="JZ81" s="120"/>
      <c r="KA81" s="120"/>
      <c r="KB81" s="120"/>
      <c r="KC81" s="120"/>
      <c r="KD81" s="217">
        <v>260</v>
      </c>
      <c r="KE81" s="205"/>
      <c r="KF81" s="205"/>
      <c r="KG81" s="205">
        <f t="shared" si="674"/>
        <v>260</v>
      </c>
      <c r="KH81" s="120"/>
      <c r="KI81" s="120"/>
      <c r="KJ81" s="120"/>
      <c r="KK81" s="120"/>
      <c r="KL81" s="120"/>
      <c r="KM81" s="205"/>
      <c r="KN81" s="205"/>
      <c r="KO81" s="205">
        <f t="shared" si="675"/>
        <v>0</v>
      </c>
      <c r="KP81" s="120"/>
      <c r="KQ81" s="120"/>
      <c r="KR81" s="120"/>
      <c r="KS81" s="120"/>
      <c r="KT81" s="120"/>
      <c r="KU81" s="205"/>
      <c r="KV81" s="205"/>
      <c r="KW81" s="205">
        <f t="shared" si="676"/>
        <v>0</v>
      </c>
      <c r="KX81" s="120"/>
      <c r="KY81" s="120"/>
      <c r="KZ81" s="120"/>
      <c r="LA81" s="120"/>
      <c r="LB81" s="120"/>
      <c r="LC81" s="205"/>
      <c r="LD81" s="205"/>
      <c r="LE81" s="205">
        <f t="shared" si="677"/>
        <v>0</v>
      </c>
      <c r="LF81" s="205"/>
      <c r="LG81" s="120"/>
      <c r="LH81" s="120"/>
      <c r="LI81" s="120"/>
      <c r="LJ81" s="120"/>
      <c r="LK81" s="205"/>
      <c r="LL81" s="205"/>
      <c r="LM81" s="205">
        <f t="shared" si="678"/>
        <v>0</v>
      </c>
      <c r="LN81" s="205">
        <f t="shared" si="679"/>
        <v>260</v>
      </c>
      <c r="LO81" s="205"/>
      <c r="LP81" s="195">
        <v>340</v>
      </c>
      <c r="LQ81" s="120"/>
      <c r="LR81" s="120"/>
      <c r="LS81" s="205"/>
      <c r="LT81" s="205"/>
      <c r="LU81" s="205"/>
      <c r="LV81" s="205">
        <f t="shared" si="680"/>
        <v>340</v>
      </c>
      <c r="LW81" s="120"/>
      <c r="LX81" s="120"/>
      <c r="LY81" s="120"/>
      <c r="LZ81" s="120"/>
      <c r="MA81" s="120"/>
      <c r="MB81" s="205"/>
      <c r="MC81" s="205"/>
      <c r="MD81" s="205">
        <f t="shared" si="681"/>
        <v>0</v>
      </c>
      <c r="ME81" s="120"/>
      <c r="MF81" s="120"/>
      <c r="MG81" s="120"/>
      <c r="MH81" s="120"/>
      <c r="MI81" s="205"/>
      <c r="MJ81" s="205"/>
      <c r="MK81" s="205"/>
      <c r="ML81" s="205">
        <f t="shared" si="682"/>
        <v>0</v>
      </c>
      <c r="MM81" s="120"/>
      <c r="MN81" s="120"/>
      <c r="MO81" s="120"/>
      <c r="MP81" s="120"/>
      <c r="MQ81" s="120"/>
      <c r="MR81" s="205"/>
      <c r="MS81" s="205"/>
      <c r="MT81" s="205">
        <f t="shared" si="683"/>
        <v>0</v>
      </c>
      <c r="MU81" s="205">
        <f t="shared" si="684"/>
        <v>340</v>
      </c>
      <c r="MV81" s="120"/>
      <c r="MW81" s="120"/>
      <c r="MX81" s="120"/>
      <c r="MY81" s="120"/>
      <c r="MZ81" s="120"/>
      <c r="NA81" s="205"/>
      <c r="NB81" s="205"/>
      <c r="NC81" s="205">
        <f t="shared" si="685"/>
        <v>0</v>
      </c>
      <c r="ND81" s="120"/>
      <c r="NE81" s="120"/>
      <c r="NF81" s="120"/>
      <c r="NG81" s="120"/>
      <c r="NH81" s="120"/>
      <c r="NI81" s="205"/>
      <c r="NJ81" s="205"/>
      <c r="NK81" s="205">
        <f t="shared" si="686"/>
        <v>0</v>
      </c>
      <c r="NL81" s="120"/>
      <c r="NM81" s="120"/>
      <c r="NN81" s="120"/>
      <c r="NO81" s="120"/>
      <c r="NP81" s="120"/>
      <c r="NQ81" s="205"/>
      <c r="NR81" s="205"/>
      <c r="NS81" s="205">
        <f t="shared" si="687"/>
        <v>0</v>
      </c>
      <c r="NT81" s="120"/>
      <c r="NU81" s="120"/>
      <c r="NV81" s="120"/>
      <c r="NW81" s="120"/>
      <c r="NX81" s="120"/>
      <c r="NY81" s="205"/>
      <c r="NZ81" s="205"/>
      <c r="OA81" s="205">
        <f t="shared" si="688"/>
        <v>0</v>
      </c>
      <c r="OB81" s="205">
        <f t="shared" si="689"/>
        <v>0</v>
      </c>
      <c r="OC81" s="120"/>
      <c r="OD81" s="120"/>
      <c r="OE81" s="120"/>
      <c r="OF81" s="120"/>
      <c r="OG81" s="120"/>
      <c r="OH81" s="205"/>
      <c r="OI81" s="205"/>
      <c r="OJ81" s="205">
        <f t="shared" si="690"/>
        <v>0</v>
      </c>
      <c r="OK81" s="120"/>
      <c r="OL81" s="120"/>
      <c r="OM81" s="120"/>
      <c r="ON81" s="120"/>
      <c r="OO81" s="120"/>
      <c r="OP81" s="205"/>
      <c r="OQ81" s="205"/>
      <c r="OR81" s="205">
        <f t="shared" si="691"/>
        <v>0</v>
      </c>
      <c r="OS81" s="195">
        <v>150</v>
      </c>
      <c r="OT81" s="120"/>
      <c r="OU81" s="120"/>
      <c r="OV81" s="120"/>
      <c r="OW81" s="120"/>
      <c r="OX81" s="205"/>
      <c r="OY81" s="205"/>
      <c r="OZ81" s="205">
        <f t="shared" si="692"/>
        <v>150</v>
      </c>
      <c r="PA81" s="120"/>
      <c r="PB81" s="120"/>
      <c r="PC81" s="120"/>
      <c r="PD81" s="205"/>
      <c r="PE81" s="217"/>
      <c r="PF81" s="205"/>
      <c r="PG81" s="205"/>
      <c r="PH81" s="205">
        <f t="shared" si="693"/>
        <v>0</v>
      </c>
      <c r="PI81" s="120"/>
      <c r="PJ81" s="120"/>
      <c r="PK81" s="120"/>
      <c r="PL81" s="205"/>
      <c r="PM81" s="217"/>
      <c r="PN81" s="205"/>
      <c r="PO81" s="205"/>
      <c r="PP81" s="205">
        <f t="shared" si="694"/>
        <v>0</v>
      </c>
      <c r="PQ81" s="205">
        <f t="shared" si="695"/>
        <v>150</v>
      </c>
      <c r="PR81" s="207"/>
      <c r="PS81" s="120"/>
      <c r="PT81" s="207"/>
      <c r="PU81" s="207"/>
      <c r="PV81" s="207"/>
      <c r="PW81" s="272"/>
      <c r="PX81" s="272"/>
      <c r="PY81" s="205">
        <f t="shared" si="559"/>
        <v>0</v>
      </c>
      <c r="PZ81" s="207"/>
      <c r="QA81" s="207"/>
      <c r="QB81" s="207"/>
      <c r="QC81" s="207"/>
      <c r="QD81" s="207"/>
      <c r="QE81" s="272"/>
      <c r="QF81" s="272"/>
      <c r="QG81" s="205">
        <f t="shared" si="560"/>
        <v>0</v>
      </c>
      <c r="QH81" s="207"/>
      <c r="QI81" s="207"/>
      <c r="QJ81" s="294"/>
      <c r="QK81" s="207"/>
      <c r="QL81" s="207"/>
      <c r="QM81" s="272"/>
      <c r="QN81" s="272"/>
      <c r="QO81" s="205">
        <f t="shared" si="561"/>
        <v>0</v>
      </c>
      <c r="QP81" s="207"/>
      <c r="QQ81" s="207"/>
      <c r="QR81" s="207"/>
      <c r="QS81" s="207"/>
      <c r="QT81" s="207"/>
      <c r="QU81" s="272"/>
      <c r="QV81" s="272"/>
      <c r="QW81" s="205">
        <f t="shared" si="320"/>
        <v>0</v>
      </c>
      <c r="QX81" s="205">
        <f t="shared" si="562"/>
        <v>0</v>
      </c>
      <c r="QY81" s="207"/>
      <c r="QZ81" s="207"/>
      <c r="RA81" s="207"/>
      <c r="RB81" s="207"/>
      <c r="RC81" s="207"/>
      <c r="RD81" s="272"/>
      <c r="RE81" s="272"/>
      <c r="RF81" s="205">
        <f t="shared" si="563"/>
        <v>0</v>
      </c>
      <c r="RG81" s="201">
        <v>580</v>
      </c>
      <c r="RH81" s="207"/>
      <c r="RI81" s="207"/>
      <c r="RJ81" s="207"/>
      <c r="RK81" s="207"/>
      <c r="RL81" s="272"/>
      <c r="RM81" s="272"/>
      <c r="RN81" s="205">
        <f t="shared" si="530"/>
        <v>580</v>
      </c>
      <c r="RO81" s="272"/>
      <c r="RP81" s="272"/>
      <c r="RQ81" s="272"/>
      <c r="RR81" s="272"/>
      <c r="RS81" s="272"/>
      <c r="RT81" s="272"/>
      <c r="RU81" s="272"/>
      <c r="RV81" s="205">
        <f t="shared" si="564"/>
        <v>0</v>
      </c>
      <c r="RW81" s="207"/>
      <c r="RX81" s="207"/>
      <c r="RY81" s="207"/>
      <c r="RZ81" s="207"/>
      <c r="SA81" s="272"/>
      <c r="SB81" s="272"/>
      <c r="SC81" s="272"/>
      <c r="SD81" s="205">
        <f t="shared" si="565"/>
        <v>0</v>
      </c>
      <c r="SE81" s="205">
        <f t="shared" si="566"/>
        <v>580</v>
      </c>
      <c r="SF81" s="207"/>
      <c r="SG81" s="207"/>
      <c r="SH81" s="120"/>
      <c r="SI81" s="123">
        <v>410</v>
      </c>
      <c r="SJ81" s="207"/>
      <c r="SK81" s="272"/>
      <c r="SL81" s="272"/>
      <c r="SM81" s="205">
        <f t="shared" si="567"/>
        <v>410</v>
      </c>
      <c r="SN81" s="207"/>
      <c r="SO81" s="207"/>
      <c r="SP81" s="207"/>
      <c r="SQ81" s="207"/>
      <c r="SR81" s="207"/>
      <c r="SS81" s="272"/>
      <c r="ST81" s="272"/>
      <c r="SU81" s="205">
        <f t="shared" si="568"/>
        <v>0</v>
      </c>
      <c r="SV81" s="207"/>
      <c r="SW81" s="207"/>
      <c r="SX81" s="207"/>
      <c r="SY81" s="207"/>
      <c r="SZ81" s="207"/>
      <c r="TA81" s="272"/>
      <c r="TB81" s="272"/>
      <c r="TC81" s="205">
        <f t="shared" si="569"/>
        <v>0</v>
      </c>
      <c r="TD81" s="207"/>
      <c r="TE81" s="207"/>
      <c r="TF81" s="207"/>
      <c r="TG81" s="207"/>
      <c r="TH81" s="207"/>
      <c r="TI81" s="272"/>
      <c r="TJ81" s="272"/>
      <c r="TK81" s="205">
        <f t="shared" si="570"/>
        <v>0</v>
      </c>
      <c r="TL81" s="207"/>
      <c r="TM81" s="207"/>
      <c r="TN81" s="207"/>
      <c r="TO81" s="207"/>
      <c r="TP81" s="272"/>
      <c r="TQ81" s="272"/>
      <c r="TR81" s="272"/>
      <c r="TS81" s="205">
        <f t="shared" si="571"/>
        <v>0</v>
      </c>
      <c r="TT81" s="205">
        <f t="shared" si="572"/>
        <v>410</v>
      </c>
      <c r="TU81" s="272"/>
      <c r="TV81" s="207"/>
      <c r="TW81" s="207"/>
      <c r="TX81" s="207"/>
      <c r="TY81" s="207"/>
      <c r="TZ81" s="272"/>
      <c r="UA81" s="272"/>
      <c r="UB81" s="205">
        <f t="shared" si="573"/>
        <v>0</v>
      </c>
      <c r="UC81" s="207"/>
      <c r="UD81" s="207"/>
      <c r="UE81" s="207"/>
      <c r="UF81" s="217">
        <v>350</v>
      </c>
      <c r="UG81" s="207"/>
      <c r="UH81" s="272"/>
      <c r="UI81" s="272"/>
      <c r="UJ81" s="205">
        <f t="shared" si="574"/>
        <v>350</v>
      </c>
      <c r="UK81" s="207"/>
      <c r="UL81" s="207"/>
      <c r="UM81" s="207"/>
      <c r="UN81" s="207"/>
      <c r="UO81" s="207"/>
      <c r="UP81" s="272"/>
      <c r="UQ81" s="272"/>
      <c r="UR81" s="205">
        <f t="shared" si="575"/>
        <v>0</v>
      </c>
      <c r="US81" s="207"/>
      <c r="UT81" s="207"/>
      <c r="UU81" s="207"/>
      <c r="UV81" s="207"/>
      <c r="UW81" s="272"/>
      <c r="UX81" s="272"/>
      <c r="UY81" s="272"/>
      <c r="UZ81" s="205">
        <f t="shared" si="576"/>
        <v>0</v>
      </c>
      <c r="VA81" s="205">
        <f t="shared" si="577"/>
        <v>350</v>
      </c>
      <c r="VB81" s="207"/>
      <c r="VC81" s="207"/>
      <c r="VD81" s="207"/>
      <c r="VE81" s="207"/>
      <c r="VF81" s="207"/>
      <c r="VG81" s="272"/>
      <c r="VH81" s="272"/>
      <c r="VI81" s="205">
        <f t="shared" si="578"/>
        <v>0</v>
      </c>
      <c r="VJ81" s="207"/>
      <c r="VK81" s="207"/>
      <c r="VL81" s="207"/>
      <c r="VM81" s="195">
        <v>590</v>
      </c>
      <c r="VN81" s="207"/>
      <c r="VO81" s="272"/>
      <c r="VP81" s="272"/>
      <c r="VQ81" s="205">
        <f t="shared" si="579"/>
        <v>590</v>
      </c>
      <c r="VR81" s="207"/>
      <c r="VS81" s="207"/>
      <c r="VT81" s="207"/>
      <c r="VU81" s="207"/>
      <c r="VV81" s="207"/>
      <c r="VW81" s="272"/>
      <c r="VX81" s="272"/>
      <c r="VY81" s="205">
        <f t="shared" si="580"/>
        <v>0</v>
      </c>
      <c r="VZ81" s="207"/>
      <c r="WA81" s="207"/>
      <c r="WB81" s="207"/>
      <c r="WC81" s="207"/>
      <c r="WD81" s="207"/>
      <c r="WE81" s="272"/>
      <c r="WF81" s="272"/>
      <c r="WG81" s="205">
        <f t="shared" si="581"/>
        <v>0</v>
      </c>
      <c r="WH81" s="205">
        <f t="shared" si="582"/>
        <v>590</v>
      </c>
      <c r="WI81" s="207"/>
      <c r="WJ81" s="207"/>
      <c r="WK81" s="207"/>
      <c r="WL81" s="207"/>
      <c r="WM81" s="207"/>
      <c r="WN81" s="272"/>
      <c r="WO81" s="272"/>
      <c r="WP81" s="205">
        <f t="shared" si="583"/>
        <v>0</v>
      </c>
      <c r="WQ81" s="207"/>
      <c r="WR81" s="207"/>
      <c r="WS81" s="207"/>
      <c r="WT81" s="124">
        <v>150</v>
      </c>
      <c r="WU81" s="207"/>
      <c r="WV81" s="272"/>
      <c r="WW81" s="272"/>
      <c r="WX81" s="205">
        <f t="shared" si="696"/>
        <v>150</v>
      </c>
      <c r="WY81" s="207"/>
      <c r="WZ81" s="207"/>
      <c r="XA81" s="207"/>
      <c r="XB81" s="207"/>
      <c r="XC81" s="272"/>
      <c r="XD81" s="272"/>
      <c r="XE81" s="272"/>
      <c r="XF81" s="205">
        <f t="shared" si="584"/>
        <v>0</v>
      </c>
      <c r="XG81" s="207"/>
      <c r="XH81" s="207"/>
      <c r="XI81" s="207"/>
      <c r="XJ81" s="207"/>
      <c r="XK81" s="207"/>
      <c r="XL81" s="272"/>
      <c r="XM81" s="272"/>
      <c r="XN81" s="205">
        <f t="shared" si="585"/>
        <v>0</v>
      </c>
      <c r="XO81" s="207"/>
      <c r="XP81" s="207"/>
      <c r="XQ81" s="207"/>
      <c r="XR81" s="207"/>
      <c r="XS81" s="207"/>
      <c r="XT81" s="272"/>
      <c r="XU81" s="272"/>
      <c r="XV81" s="205">
        <f t="shared" si="586"/>
        <v>0</v>
      </c>
      <c r="XW81" s="205">
        <f t="shared" si="587"/>
        <v>150</v>
      </c>
      <c r="XX81" s="207"/>
      <c r="XY81" s="207"/>
      <c r="XZ81" s="207"/>
      <c r="YA81" s="207"/>
      <c r="YB81" s="207"/>
      <c r="YC81" s="272"/>
      <c r="YD81" s="272"/>
      <c r="YE81" s="205">
        <f t="shared" si="588"/>
        <v>0</v>
      </c>
      <c r="YF81" s="207"/>
      <c r="YG81" s="124">
        <v>450</v>
      </c>
      <c r="YH81" s="207"/>
      <c r="YI81" s="207"/>
      <c r="YJ81" s="207"/>
      <c r="YK81" s="272"/>
      <c r="YL81" s="272"/>
      <c r="YM81" s="205">
        <f t="shared" si="589"/>
        <v>450</v>
      </c>
      <c r="YN81" s="207"/>
      <c r="YO81" s="207"/>
      <c r="YP81" s="207"/>
      <c r="YQ81" s="207"/>
      <c r="YR81" s="207"/>
      <c r="YS81" s="272"/>
      <c r="YT81" s="272"/>
      <c r="YU81" s="205">
        <f t="shared" ref="YU81" si="697">SUM(YN81:YT81)</f>
        <v>0</v>
      </c>
      <c r="YV81" s="207"/>
      <c r="YW81" s="207"/>
      <c r="YX81" s="207"/>
      <c r="YY81" s="207"/>
      <c r="YZ81" s="207"/>
      <c r="ZA81" s="272"/>
      <c r="ZB81" s="272"/>
      <c r="ZC81" s="205">
        <f t="shared" si="590"/>
        <v>0</v>
      </c>
      <c r="ZD81" s="205">
        <f t="shared" si="516"/>
        <v>450</v>
      </c>
      <c r="ZE81" s="207"/>
      <c r="ZF81" s="207"/>
      <c r="ZG81" s="207"/>
      <c r="ZH81" s="207"/>
      <c r="ZI81" s="207"/>
      <c r="ZJ81" s="272"/>
      <c r="ZK81" s="272"/>
      <c r="ZL81" s="205">
        <f t="shared" si="591"/>
        <v>0</v>
      </c>
      <c r="ZM81" s="207"/>
      <c r="ZN81" s="207"/>
      <c r="ZO81" s="207"/>
      <c r="ZP81" s="207"/>
      <c r="ZQ81" s="207"/>
      <c r="ZR81" s="272"/>
      <c r="ZS81" s="272"/>
      <c r="ZT81" s="205">
        <f t="shared" si="592"/>
        <v>0</v>
      </c>
      <c r="ZU81" s="207"/>
      <c r="ZV81" s="207"/>
      <c r="ZW81" s="207"/>
      <c r="ZX81" s="207"/>
      <c r="ZY81" s="207"/>
      <c r="ZZ81" s="272"/>
      <c r="AAA81" s="272"/>
      <c r="AAB81" s="205">
        <f t="shared" si="593"/>
        <v>0</v>
      </c>
      <c r="AAC81" s="207"/>
      <c r="AAD81" s="207"/>
      <c r="AAE81" s="207"/>
      <c r="AAF81" s="207"/>
      <c r="AAG81" s="207"/>
      <c r="AAH81" s="272"/>
      <c r="AAI81" s="272"/>
      <c r="AAJ81" s="205">
        <f t="shared" si="594"/>
        <v>0</v>
      </c>
      <c r="AAK81" s="207"/>
      <c r="AAL81" s="207"/>
      <c r="AAM81" s="207"/>
      <c r="AAN81" s="207"/>
      <c r="AAO81" s="207"/>
      <c r="AAP81" s="272"/>
      <c r="AAQ81" s="272"/>
      <c r="AAR81" s="205">
        <f t="shared" si="595"/>
        <v>0</v>
      </c>
      <c r="AAS81" s="205">
        <f t="shared" si="596"/>
        <v>0</v>
      </c>
    </row>
    <row r="82" spans="1:721" s="126" customFormat="1" ht="69.95" customHeight="1">
      <c r="A82" s="125"/>
      <c r="B82" s="168"/>
      <c r="C82" s="333"/>
      <c r="D82" s="169"/>
      <c r="E82" s="150" t="s">
        <v>5</v>
      </c>
      <c r="F82" s="129">
        <f t="shared" ref="F82:BQ82" si="698">SUMIF($E$3:$E$79,"Plan",F$3:F$79)</f>
        <v>7000</v>
      </c>
      <c r="G82" s="129">
        <f t="shared" si="698"/>
        <v>10000</v>
      </c>
      <c r="H82" s="129">
        <f t="shared" si="698"/>
        <v>8300</v>
      </c>
      <c r="I82" s="129">
        <f t="shared" si="698"/>
        <v>6450</v>
      </c>
      <c r="J82" s="129">
        <f t="shared" si="698"/>
        <v>7000</v>
      </c>
      <c r="K82" s="129">
        <f t="shared" si="698"/>
        <v>0</v>
      </c>
      <c r="L82" s="129">
        <f t="shared" si="698"/>
        <v>0</v>
      </c>
      <c r="M82" s="129">
        <f t="shared" si="698"/>
        <v>38750</v>
      </c>
      <c r="N82" s="129">
        <f t="shared" si="698"/>
        <v>5700</v>
      </c>
      <c r="O82" s="129">
        <f t="shared" si="698"/>
        <v>10000</v>
      </c>
      <c r="P82" s="129">
        <f t="shared" si="698"/>
        <v>6500</v>
      </c>
      <c r="Q82" s="129">
        <f t="shared" si="698"/>
        <v>9000</v>
      </c>
      <c r="R82" s="129">
        <f t="shared" si="698"/>
        <v>8000</v>
      </c>
      <c r="S82" s="129">
        <f t="shared" si="698"/>
        <v>0</v>
      </c>
      <c r="T82" s="129">
        <f t="shared" si="698"/>
        <v>0</v>
      </c>
      <c r="U82" s="129">
        <f t="shared" si="698"/>
        <v>39200</v>
      </c>
      <c r="V82" s="129">
        <f t="shared" si="698"/>
        <v>10000</v>
      </c>
      <c r="W82" s="129">
        <f t="shared" si="698"/>
        <v>9320</v>
      </c>
      <c r="X82" s="129">
        <f t="shared" si="698"/>
        <v>5000</v>
      </c>
      <c r="Y82" s="129">
        <f t="shared" si="698"/>
        <v>8000</v>
      </c>
      <c r="Z82" s="129">
        <f t="shared" si="698"/>
        <v>5000</v>
      </c>
      <c r="AA82" s="129">
        <f t="shared" si="698"/>
        <v>0</v>
      </c>
      <c r="AB82" s="129">
        <f t="shared" si="698"/>
        <v>0</v>
      </c>
      <c r="AC82" s="129">
        <f t="shared" si="698"/>
        <v>37320</v>
      </c>
      <c r="AD82" s="129">
        <f t="shared" si="698"/>
        <v>0</v>
      </c>
      <c r="AE82" s="129">
        <f t="shared" si="698"/>
        <v>0</v>
      </c>
      <c r="AF82" s="129">
        <f t="shared" si="698"/>
        <v>0</v>
      </c>
      <c r="AG82" s="129">
        <f t="shared" si="698"/>
        <v>0</v>
      </c>
      <c r="AH82" s="129">
        <f t="shared" si="698"/>
        <v>0</v>
      </c>
      <c r="AI82" s="129">
        <f t="shared" si="698"/>
        <v>0</v>
      </c>
      <c r="AJ82" s="129">
        <f t="shared" si="698"/>
        <v>0</v>
      </c>
      <c r="AK82" s="129">
        <f t="shared" si="698"/>
        <v>0</v>
      </c>
      <c r="AL82" s="129" t="e">
        <f t="shared" si="698"/>
        <v>#REF!</v>
      </c>
      <c r="AM82" s="129">
        <f t="shared" si="698"/>
        <v>7000</v>
      </c>
      <c r="AN82" s="129">
        <f t="shared" si="698"/>
        <v>9680</v>
      </c>
      <c r="AO82" s="129">
        <f t="shared" si="698"/>
        <v>8000</v>
      </c>
      <c r="AP82" s="129">
        <f t="shared" si="698"/>
        <v>8000</v>
      </c>
      <c r="AQ82" s="129">
        <f t="shared" si="698"/>
        <v>2000</v>
      </c>
      <c r="AR82" s="129">
        <f t="shared" si="698"/>
        <v>0</v>
      </c>
      <c r="AS82" s="129">
        <f t="shared" si="698"/>
        <v>0</v>
      </c>
      <c r="AT82" s="129">
        <f t="shared" si="698"/>
        <v>34680</v>
      </c>
      <c r="AU82" s="129">
        <f t="shared" si="698"/>
        <v>5800</v>
      </c>
      <c r="AV82" s="129">
        <f t="shared" si="698"/>
        <v>7000</v>
      </c>
      <c r="AW82" s="129">
        <f t="shared" si="698"/>
        <v>10000</v>
      </c>
      <c r="AX82" s="129">
        <f t="shared" si="698"/>
        <v>8000</v>
      </c>
      <c r="AY82" s="129">
        <f t="shared" si="698"/>
        <v>6000</v>
      </c>
      <c r="AZ82" s="129">
        <f t="shared" si="698"/>
        <v>0</v>
      </c>
      <c r="BA82" s="129">
        <f t="shared" si="698"/>
        <v>0</v>
      </c>
      <c r="BB82" s="129">
        <f t="shared" si="698"/>
        <v>36800</v>
      </c>
      <c r="BC82" s="129">
        <f t="shared" si="698"/>
        <v>9400</v>
      </c>
      <c r="BD82" s="129">
        <f t="shared" si="698"/>
        <v>9400</v>
      </c>
      <c r="BE82" s="129">
        <f t="shared" si="698"/>
        <v>5860</v>
      </c>
      <c r="BF82" s="129">
        <f t="shared" si="698"/>
        <v>7680</v>
      </c>
      <c r="BG82" s="129">
        <f t="shared" si="698"/>
        <v>7000</v>
      </c>
      <c r="BH82" s="129">
        <f t="shared" si="698"/>
        <v>0</v>
      </c>
      <c r="BI82" s="129">
        <f t="shared" si="698"/>
        <v>0</v>
      </c>
      <c r="BJ82" s="129">
        <f t="shared" si="698"/>
        <v>39340</v>
      </c>
      <c r="BK82" s="129">
        <f t="shared" si="698"/>
        <v>8000</v>
      </c>
      <c r="BL82" s="129">
        <f t="shared" si="698"/>
        <v>8000</v>
      </c>
      <c r="BM82" s="129">
        <f t="shared" si="698"/>
        <v>9500</v>
      </c>
      <c r="BN82" s="129">
        <f t="shared" si="698"/>
        <v>7000</v>
      </c>
      <c r="BO82" s="129">
        <f t="shared" si="698"/>
        <v>0</v>
      </c>
      <c r="BP82" s="129">
        <f t="shared" si="698"/>
        <v>0</v>
      </c>
      <c r="BQ82" s="129">
        <f t="shared" si="698"/>
        <v>0</v>
      </c>
      <c r="BR82" s="129">
        <f t="shared" ref="BR82:EC82" si="699">SUMIF($E$3:$E$79,"Plan",BR$3:BR$79)</f>
        <v>32500</v>
      </c>
      <c r="BS82" s="129">
        <f t="shared" si="699"/>
        <v>143320</v>
      </c>
      <c r="BT82" s="129">
        <f t="shared" si="699"/>
        <v>9800</v>
      </c>
      <c r="BU82" s="129">
        <f t="shared" si="699"/>
        <v>6700</v>
      </c>
      <c r="BV82" s="129">
        <f t="shared" si="699"/>
        <v>8900</v>
      </c>
      <c r="BW82" s="129">
        <f t="shared" si="699"/>
        <v>11000</v>
      </c>
      <c r="BX82" s="129">
        <f t="shared" si="699"/>
        <v>6000</v>
      </c>
      <c r="BY82" s="129">
        <f t="shared" si="699"/>
        <v>0</v>
      </c>
      <c r="BZ82" s="129">
        <f t="shared" si="699"/>
        <v>0</v>
      </c>
      <c r="CA82" s="129">
        <f t="shared" si="699"/>
        <v>42400</v>
      </c>
      <c r="CB82" s="129">
        <f t="shared" si="699"/>
        <v>10000</v>
      </c>
      <c r="CC82" s="129">
        <f t="shared" si="699"/>
        <v>10450</v>
      </c>
      <c r="CD82" s="129">
        <f t="shared" si="699"/>
        <v>5000</v>
      </c>
      <c r="CE82" s="129">
        <f t="shared" si="699"/>
        <v>7500</v>
      </c>
      <c r="CF82" s="129">
        <f t="shared" si="699"/>
        <v>10000</v>
      </c>
      <c r="CG82" s="129">
        <f t="shared" si="699"/>
        <v>0</v>
      </c>
      <c r="CH82" s="129">
        <f t="shared" si="699"/>
        <v>0</v>
      </c>
      <c r="CI82" s="129">
        <f t="shared" si="699"/>
        <v>42950</v>
      </c>
      <c r="CJ82" s="129">
        <f t="shared" si="699"/>
        <v>11000</v>
      </c>
      <c r="CK82" s="129">
        <f t="shared" si="699"/>
        <v>9500</v>
      </c>
      <c r="CL82" s="129">
        <f t="shared" si="699"/>
        <v>7200</v>
      </c>
      <c r="CM82" s="129">
        <f t="shared" si="699"/>
        <v>10000</v>
      </c>
      <c r="CN82" s="129">
        <f t="shared" si="699"/>
        <v>5000</v>
      </c>
      <c r="CO82" s="129">
        <f t="shared" si="699"/>
        <v>0</v>
      </c>
      <c r="CP82" s="129">
        <f t="shared" si="699"/>
        <v>0</v>
      </c>
      <c r="CQ82" s="129">
        <f t="shared" si="699"/>
        <v>42700</v>
      </c>
      <c r="CR82" s="129">
        <f t="shared" si="699"/>
        <v>10500</v>
      </c>
      <c r="CS82" s="129">
        <f t="shared" si="699"/>
        <v>10000</v>
      </c>
      <c r="CT82" s="129">
        <f t="shared" si="699"/>
        <v>5700</v>
      </c>
      <c r="CU82" s="129">
        <f t="shared" si="699"/>
        <v>12000</v>
      </c>
      <c r="CV82" s="129">
        <f t="shared" si="699"/>
        <v>6800</v>
      </c>
      <c r="CW82" s="129">
        <f t="shared" si="699"/>
        <v>0</v>
      </c>
      <c r="CX82" s="129">
        <f t="shared" si="699"/>
        <v>0</v>
      </c>
      <c r="CY82" s="129">
        <f t="shared" si="699"/>
        <v>45000</v>
      </c>
      <c r="CZ82" s="129">
        <f t="shared" si="699"/>
        <v>8900</v>
      </c>
      <c r="DA82" s="129">
        <f t="shared" si="699"/>
        <v>8000</v>
      </c>
      <c r="DB82" s="129">
        <f t="shared" si="699"/>
        <v>14000</v>
      </c>
      <c r="DC82" s="129">
        <f t="shared" si="699"/>
        <v>0</v>
      </c>
      <c r="DD82" s="129">
        <f t="shared" si="699"/>
        <v>0</v>
      </c>
      <c r="DE82" s="129">
        <f t="shared" si="699"/>
        <v>0</v>
      </c>
      <c r="DF82" s="129">
        <f t="shared" si="699"/>
        <v>0</v>
      </c>
      <c r="DG82" s="129">
        <f t="shared" si="699"/>
        <v>30900</v>
      </c>
      <c r="DH82" s="129">
        <f t="shared" si="699"/>
        <v>181950</v>
      </c>
      <c r="DI82" s="129">
        <f t="shared" si="699"/>
        <v>10500</v>
      </c>
      <c r="DJ82" s="129">
        <f t="shared" si="699"/>
        <v>10000</v>
      </c>
      <c r="DK82" s="129">
        <f t="shared" si="699"/>
        <v>8000</v>
      </c>
      <c r="DL82" s="129">
        <f t="shared" si="699"/>
        <v>7000</v>
      </c>
      <c r="DM82" s="129">
        <f t="shared" si="699"/>
        <v>11000</v>
      </c>
      <c r="DN82" s="129">
        <f t="shared" si="699"/>
        <v>8000</v>
      </c>
      <c r="DO82" s="129">
        <f t="shared" si="699"/>
        <v>0</v>
      </c>
      <c r="DP82" s="129">
        <f t="shared" si="699"/>
        <v>54500</v>
      </c>
      <c r="DQ82" s="129">
        <f t="shared" si="699"/>
        <v>7700</v>
      </c>
      <c r="DR82" s="129">
        <f t="shared" si="699"/>
        <v>9000</v>
      </c>
      <c r="DS82" s="129">
        <f t="shared" si="699"/>
        <v>10000</v>
      </c>
      <c r="DT82" s="129">
        <f t="shared" si="699"/>
        <v>8400</v>
      </c>
      <c r="DU82" s="129">
        <f t="shared" si="699"/>
        <v>12000</v>
      </c>
      <c r="DV82" s="129">
        <f t="shared" si="699"/>
        <v>5000</v>
      </c>
      <c r="DW82" s="129">
        <f t="shared" si="699"/>
        <v>0</v>
      </c>
      <c r="DX82" s="129">
        <f t="shared" si="699"/>
        <v>52100</v>
      </c>
      <c r="DY82" s="129">
        <f t="shared" si="699"/>
        <v>6610</v>
      </c>
      <c r="DZ82" s="129">
        <f t="shared" si="699"/>
        <v>10000</v>
      </c>
      <c r="EA82" s="129">
        <f t="shared" si="699"/>
        <v>10000</v>
      </c>
      <c r="EB82" s="129">
        <f t="shared" si="699"/>
        <v>9000</v>
      </c>
      <c r="EC82" s="129">
        <f t="shared" si="699"/>
        <v>10000</v>
      </c>
      <c r="ED82" s="129">
        <f t="shared" ref="ED82:GO82" si="700">SUMIF($E$3:$E$79,"Plan",ED$3:ED$79)</f>
        <v>0</v>
      </c>
      <c r="EE82" s="129">
        <f t="shared" si="700"/>
        <v>0</v>
      </c>
      <c r="EF82" s="129">
        <f t="shared" si="700"/>
        <v>45610</v>
      </c>
      <c r="EG82" s="129">
        <f t="shared" si="700"/>
        <v>8000</v>
      </c>
      <c r="EH82" s="129">
        <f t="shared" si="700"/>
        <v>10000</v>
      </c>
      <c r="EI82" s="129">
        <f t="shared" si="700"/>
        <v>16000</v>
      </c>
      <c r="EJ82" s="129">
        <f t="shared" si="700"/>
        <v>0</v>
      </c>
      <c r="EK82" s="129">
        <f t="shared" si="700"/>
        <v>0</v>
      </c>
      <c r="EL82" s="129">
        <f t="shared" si="700"/>
        <v>0</v>
      </c>
      <c r="EM82" s="129">
        <f t="shared" si="700"/>
        <v>0</v>
      </c>
      <c r="EN82" s="129">
        <f t="shared" si="700"/>
        <v>34000</v>
      </c>
      <c r="EO82" s="129">
        <f t="shared" si="700"/>
        <v>208210</v>
      </c>
      <c r="EP82" s="129">
        <f t="shared" si="700"/>
        <v>7500</v>
      </c>
      <c r="EQ82" s="129">
        <f t="shared" si="700"/>
        <v>10000</v>
      </c>
      <c r="ER82" s="129">
        <f t="shared" si="700"/>
        <v>12800</v>
      </c>
      <c r="ES82" s="129">
        <f t="shared" si="700"/>
        <v>8000</v>
      </c>
      <c r="ET82" s="129">
        <f t="shared" si="700"/>
        <v>7000</v>
      </c>
      <c r="EU82" s="129">
        <f t="shared" si="700"/>
        <v>0</v>
      </c>
      <c r="EV82" s="129">
        <f t="shared" si="700"/>
        <v>0</v>
      </c>
      <c r="EW82" s="129">
        <f t="shared" si="700"/>
        <v>45300</v>
      </c>
      <c r="EX82" s="129">
        <f t="shared" si="700"/>
        <v>10000</v>
      </c>
      <c r="EY82" s="129">
        <f t="shared" si="700"/>
        <v>7500</v>
      </c>
      <c r="EZ82" s="129">
        <f t="shared" si="700"/>
        <v>10000</v>
      </c>
      <c r="FA82" s="129">
        <f t="shared" si="700"/>
        <v>5000</v>
      </c>
      <c r="FB82" s="129">
        <f t="shared" si="700"/>
        <v>13000</v>
      </c>
      <c r="FC82" s="129">
        <f t="shared" si="700"/>
        <v>0</v>
      </c>
      <c r="FD82" s="129">
        <f t="shared" si="700"/>
        <v>0</v>
      </c>
      <c r="FE82" s="129">
        <f t="shared" si="700"/>
        <v>45500</v>
      </c>
      <c r="FF82" s="129">
        <f t="shared" si="700"/>
        <v>8600</v>
      </c>
      <c r="FG82" s="129">
        <f t="shared" si="700"/>
        <v>8500</v>
      </c>
      <c r="FH82" s="129">
        <f t="shared" si="700"/>
        <v>5500</v>
      </c>
      <c r="FI82" s="129">
        <f t="shared" si="700"/>
        <v>10000</v>
      </c>
      <c r="FJ82" s="129">
        <f t="shared" si="700"/>
        <v>12000</v>
      </c>
      <c r="FK82" s="129">
        <f t="shared" si="700"/>
        <v>8000</v>
      </c>
      <c r="FL82" s="129">
        <f t="shared" si="700"/>
        <v>0</v>
      </c>
      <c r="FM82" s="129">
        <f t="shared" si="700"/>
        <v>52600</v>
      </c>
      <c r="FN82" s="129">
        <f t="shared" si="700"/>
        <v>6450</v>
      </c>
      <c r="FO82" s="129">
        <f t="shared" si="700"/>
        <v>12000</v>
      </c>
      <c r="FP82" s="129">
        <f t="shared" si="700"/>
        <v>6000</v>
      </c>
      <c r="FQ82" s="129">
        <f t="shared" si="700"/>
        <v>8000</v>
      </c>
      <c r="FR82" s="129">
        <f t="shared" si="700"/>
        <v>0</v>
      </c>
      <c r="FS82" s="129">
        <f t="shared" si="700"/>
        <v>0</v>
      </c>
      <c r="FT82" s="129">
        <f t="shared" si="700"/>
        <v>0</v>
      </c>
      <c r="FU82" s="129">
        <f t="shared" si="700"/>
        <v>32450</v>
      </c>
      <c r="FV82" s="129">
        <f t="shared" si="700"/>
        <v>175850</v>
      </c>
      <c r="FW82" s="129">
        <f t="shared" si="700"/>
        <v>8000</v>
      </c>
      <c r="FX82" s="129">
        <f t="shared" si="700"/>
        <v>8000</v>
      </c>
      <c r="FY82" s="129">
        <f t="shared" si="700"/>
        <v>10410</v>
      </c>
      <c r="FZ82" s="129">
        <f t="shared" si="700"/>
        <v>8000</v>
      </c>
      <c r="GA82" s="129">
        <f t="shared" si="700"/>
        <v>0</v>
      </c>
      <c r="GB82" s="129">
        <f t="shared" si="700"/>
        <v>0</v>
      </c>
      <c r="GC82" s="129">
        <f t="shared" si="700"/>
        <v>0</v>
      </c>
      <c r="GD82" s="129">
        <f t="shared" si="700"/>
        <v>34410</v>
      </c>
      <c r="GE82" s="129">
        <f t="shared" si="700"/>
        <v>9700</v>
      </c>
      <c r="GF82" s="129">
        <f t="shared" si="700"/>
        <v>11000</v>
      </c>
      <c r="GG82" s="129">
        <f t="shared" si="700"/>
        <v>2800</v>
      </c>
      <c r="GH82" s="129">
        <f t="shared" si="700"/>
        <v>10000</v>
      </c>
      <c r="GI82" s="129">
        <f t="shared" si="700"/>
        <v>11000</v>
      </c>
      <c r="GJ82" s="129">
        <f t="shared" si="700"/>
        <v>0</v>
      </c>
      <c r="GK82" s="129">
        <f t="shared" si="700"/>
        <v>0</v>
      </c>
      <c r="GL82" s="129">
        <f t="shared" si="700"/>
        <v>44500</v>
      </c>
      <c r="GM82" s="129">
        <f t="shared" si="700"/>
        <v>10000</v>
      </c>
      <c r="GN82" s="129">
        <f t="shared" si="700"/>
        <v>5000</v>
      </c>
      <c r="GO82" s="129">
        <f t="shared" si="700"/>
        <v>10000</v>
      </c>
      <c r="GP82" s="129">
        <f t="shared" ref="GP82:JA82" si="701">SUMIF($E$3:$E$79,"Plan",GP$3:GP$79)</f>
        <v>10000</v>
      </c>
      <c r="GQ82" s="129">
        <f t="shared" si="701"/>
        <v>10000</v>
      </c>
      <c r="GR82" s="129">
        <f t="shared" si="701"/>
        <v>0</v>
      </c>
      <c r="GS82" s="129">
        <f t="shared" si="701"/>
        <v>0</v>
      </c>
      <c r="GT82" s="129">
        <f t="shared" si="701"/>
        <v>45000</v>
      </c>
      <c r="GU82" s="129">
        <f t="shared" si="701"/>
        <v>11500</v>
      </c>
      <c r="GV82" s="129">
        <f t="shared" si="701"/>
        <v>10000</v>
      </c>
      <c r="GW82" s="129">
        <f t="shared" si="701"/>
        <v>7000</v>
      </c>
      <c r="GX82" s="129">
        <f t="shared" si="701"/>
        <v>10000</v>
      </c>
      <c r="GY82" s="129">
        <f t="shared" si="701"/>
        <v>7000</v>
      </c>
      <c r="GZ82" s="129">
        <f t="shared" si="701"/>
        <v>0</v>
      </c>
      <c r="HA82" s="129">
        <f t="shared" si="701"/>
        <v>0</v>
      </c>
      <c r="HB82" s="129">
        <f t="shared" si="701"/>
        <v>45500</v>
      </c>
      <c r="HC82" s="129">
        <f t="shared" si="701"/>
        <v>8900</v>
      </c>
      <c r="HD82" s="129">
        <f t="shared" si="701"/>
        <v>8000</v>
      </c>
      <c r="HE82" s="129">
        <f t="shared" si="701"/>
        <v>12000</v>
      </c>
      <c r="HF82" s="129">
        <f t="shared" si="701"/>
        <v>6000</v>
      </c>
      <c r="HG82" s="129">
        <f t="shared" si="701"/>
        <v>10000</v>
      </c>
      <c r="HH82" s="129">
        <f t="shared" si="701"/>
        <v>0</v>
      </c>
      <c r="HI82" s="129">
        <f t="shared" si="701"/>
        <v>0</v>
      </c>
      <c r="HJ82" s="129">
        <f t="shared" si="701"/>
        <v>44900</v>
      </c>
      <c r="HK82" s="129">
        <f t="shared" si="701"/>
        <v>178310</v>
      </c>
      <c r="HL82" s="129">
        <f t="shared" si="701"/>
        <v>0</v>
      </c>
      <c r="HM82" s="129">
        <f t="shared" si="701"/>
        <v>9400</v>
      </c>
      <c r="HN82" s="129">
        <f t="shared" si="701"/>
        <v>10850</v>
      </c>
      <c r="HO82" s="129">
        <f t="shared" si="701"/>
        <v>11300</v>
      </c>
      <c r="HP82" s="129">
        <f t="shared" si="701"/>
        <v>5500</v>
      </c>
      <c r="HQ82" s="129">
        <f t="shared" si="701"/>
        <v>8000</v>
      </c>
      <c r="HR82" s="129">
        <f t="shared" si="701"/>
        <v>0</v>
      </c>
      <c r="HS82" s="129">
        <f t="shared" si="701"/>
        <v>45050</v>
      </c>
      <c r="HT82" s="129">
        <f t="shared" si="701"/>
        <v>9950</v>
      </c>
      <c r="HU82" s="129">
        <f t="shared" si="701"/>
        <v>8760</v>
      </c>
      <c r="HV82" s="129">
        <f t="shared" si="701"/>
        <v>5000</v>
      </c>
      <c r="HW82" s="129">
        <f t="shared" si="701"/>
        <v>10000</v>
      </c>
      <c r="HX82" s="129">
        <f t="shared" si="701"/>
        <v>12000</v>
      </c>
      <c r="HY82" s="129">
        <f t="shared" si="701"/>
        <v>0</v>
      </c>
      <c r="HZ82" s="129">
        <f t="shared" si="701"/>
        <v>0</v>
      </c>
      <c r="IA82" s="129">
        <f t="shared" si="701"/>
        <v>45710</v>
      </c>
      <c r="IB82" s="129">
        <f t="shared" si="701"/>
        <v>13000</v>
      </c>
      <c r="IC82" s="129">
        <f t="shared" si="701"/>
        <v>5000</v>
      </c>
      <c r="ID82" s="129">
        <f t="shared" si="701"/>
        <v>6000</v>
      </c>
      <c r="IE82" s="129">
        <f t="shared" si="701"/>
        <v>10000</v>
      </c>
      <c r="IF82" s="129">
        <f>SUMIF($E$3:$E$79,"Plan",IF$3:IF$79)</f>
        <v>11000</v>
      </c>
      <c r="IG82" s="129">
        <f t="shared" si="701"/>
        <v>0</v>
      </c>
      <c r="IH82" s="129">
        <f t="shared" si="701"/>
        <v>0</v>
      </c>
      <c r="II82" s="129">
        <f t="shared" si="701"/>
        <v>45000</v>
      </c>
      <c r="IJ82" s="129">
        <f t="shared" si="701"/>
        <v>7000</v>
      </c>
      <c r="IK82" s="129">
        <f t="shared" si="701"/>
        <v>10000</v>
      </c>
      <c r="IL82" s="129">
        <f t="shared" si="701"/>
        <v>7800</v>
      </c>
      <c r="IM82" s="129">
        <f t="shared" si="701"/>
        <v>7430</v>
      </c>
      <c r="IN82" s="129">
        <f t="shared" si="701"/>
        <v>13000</v>
      </c>
      <c r="IO82" s="129">
        <f t="shared" si="701"/>
        <v>0</v>
      </c>
      <c r="IP82" s="129">
        <f t="shared" si="701"/>
        <v>0</v>
      </c>
      <c r="IQ82" s="129">
        <f t="shared" si="701"/>
        <v>45230</v>
      </c>
      <c r="IR82" s="129">
        <f t="shared" si="701"/>
        <v>203990</v>
      </c>
      <c r="IS82" s="129">
        <f t="shared" si="701"/>
        <v>8250</v>
      </c>
      <c r="IT82" s="129">
        <f t="shared" si="701"/>
        <v>11100</v>
      </c>
      <c r="IU82" s="129">
        <f t="shared" si="701"/>
        <v>10000</v>
      </c>
      <c r="IV82" s="129">
        <f t="shared" si="701"/>
        <v>9000</v>
      </c>
      <c r="IW82" s="129">
        <f t="shared" si="701"/>
        <v>7000</v>
      </c>
      <c r="IX82" s="129">
        <f t="shared" si="701"/>
        <v>0</v>
      </c>
      <c r="IY82" s="129">
        <f t="shared" si="701"/>
        <v>0</v>
      </c>
      <c r="IZ82" s="129">
        <f t="shared" si="701"/>
        <v>45350</v>
      </c>
      <c r="JA82" s="129">
        <f t="shared" si="701"/>
        <v>8400</v>
      </c>
      <c r="JB82" s="129">
        <f t="shared" ref="JB82:JH82" si="702">SUMIF($E$3:$E$79,"Plan",JB$3:JB$79)</f>
        <v>9000</v>
      </c>
      <c r="JC82" s="129">
        <f t="shared" si="702"/>
        <v>10000</v>
      </c>
      <c r="JD82" s="129">
        <f t="shared" si="702"/>
        <v>9000</v>
      </c>
      <c r="JE82" s="129">
        <f t="shared" si="702"/>
        <v>9000</v>
      </c>
      <c r="JF82" s="129">
        <f t="shared" si="702"/>
        <v>0</v>
      </c>
      <c r="JG82" s="129">
        <f t="shared" si="702"/>
        <v>0</v>
      </c>
      <c r="JH82" s="129">
        <f t="shared" si="702"/>
        <v>45400</v>
      </c>
      <c r="JI82" s="129">
        <f>SUMIF($E$3:$E$81,"Plan",JI$3:JI$81)</f>
        <v>10000</v>
      </c>
      <c r="JJ82" s="129">
        <f t="shared" ref="JJ82:LU82" si="703">SUMIF($E$3:$E$81,"Plan",JJ$3:JJ$81)</f>
        <v>6000</v>
      </c>
      <c r="JK82" s="129">
        <f t="shared" si="703"/>
        <v>10000</v>
      </c>
      <c r="JL82" s="129">
        <f t="shared" si="703"/>
        <v>10800</v>
      </c>
      <c r="JM82" s="129">
        <f t="shared" si="703"/>
        <v>8000</v>
      </c>
      <c r="JN82" s="129">
        <f t="shared" si="703"/>
        <v>0</v>
      </c>
      <c r="JO82" s="129">
        <f t="shared" si="703"/>
        <v>0</v>
      </c>
      <c r="JP82" s="129">
        <f t="shared" si="703"/>
        <v>44800</v>
      </c>
      <c r="JQ82" s="129">
        <f t="shared" si="703"/>
        <v>8000</v>
      </c>
      <c r="JR82" s="129">
        <f t="shared" si="703"/>
        <v>11000</v>
      </c>
      <c r="JS82" s="129">
        <f t="shared" si="703"/>
        <v>10000</v>
      </c>
      <c r="JT82" s="129">
        <f t="shared" si="703"/>
        <v>10000</v>
      </c>
      <c r="JU82" s="129">
        <f t="shared" si="703"/>
        <v>7000</v>
      </c>
      <c r="JV82" s="129">
        <f t="shared" si="703"/>
        <v>0</v>
      </c>
      <c r="JW82" s="129">
        <f t="shared" si="703"/>
        <v>0</v>
      </c>
      <c r="JX82" s="129">
        <f t="shared" si="703"/>
        <v>46000</v>
      </c>
      <c r="JY82" s="129">
        <f t="shared" si="703"/>
        <v>194550</v>
      </c>
      <c r="JZ82" s="129">
        <f t="shared" si="703"/>
        <v>12000</v>
      </c>
      <c r="KA82" s="129">
        <f t="shared" si="703"/>
        <v>9000</v>
      </c>
      <c r="KB82" s="129">
        <f t="shared" si="703"/>
        <v>6000</v>
      </c>
      <c r="KC82" s="129">
        <f t="shared" si="703"/>
        <v>10000</v>
      </c>
      <c r="KD82" s="129">
        <f t="shared" si="703"/>
        <v>9000</v>
      </c>
      <c r="KE82" s="129">
        <f t="shared" si="703"/>
        <v>8000</v>
      </c>
      <c r="KF82" s="129">
        <f t="shared" si="703"/>
        <v>0</v>
      </c>
      <c r="KG82" s="129">
        <f t="shared" si="703"/>
        <v>54000</v>
      </c>
      <c r="KH82" s="129">
        <f t="shared" si="703"/>
        <v>9400</v>
      </c>
      <c r="KI82" s="129">
        <f t="shared" si="703"/>
        <v>5700</v>
      </c>
      <c r="KJ82" s="129">
        <f t="shared" si="703"/>
        <v>8800</v>
      </c>
      <c r="KK82" s="129">
        <f t="shared" si="703"/>
        <v>16300</v>
      </c>
      <c r="KL82" s="129">
        <f t="shared" si="703"/>
        <v>7500</v>
      </c>
      <c r="KM82" s="129">
        <f t="shared" si="703"/>
        <v>6600</v>
      </c>
      <c r="KN82" s="129">
        <f t="shared" si="703"/>
        <v>0</v>
      </c>
      <c r="KO82" s="129">
        <f t="shared" si="703"/>
        <v>54300</v>
      </c>
      <c r="KP82" s="129">
        <f t="shared" si="703"/>
        <v>12500</v>
      </c>
      <c r="KQ82" s="129">
        <f t="shared" si="703"/>
        <v>10300</v>
      </c>
      <c r="KR82" s="129">
        <f t="shared" si="703"/>
        <v>10000</v>
      </c>
      <c r="KS82" s="129">
        <f t="shared" si="703"/>
        <v>6000</v>
      </c>
      <c r="KT82" s="129">
        <f t="shared" si="703"/>
        <v>7000</v>
      </c>
      <c r="KU82" s="129">
        <f t="shared" si="703"/>
        <v>0</v>
      </c>
      <c r="KV82" s="129">
        <f t="shared" si="703"/>
        <v>0</v>
      </c>
      <c r="KW82" s="129">
        <f t="shared" si="703"/>
        <v>45800</v>
      </c>
      <c r="KX82" s="129">
        <f t="shared" si="703"/>
        <v>7600</v>
      </c>
      <c r="KY82" s="129">
        <f t="shared" si="703"/>
        <v>9000</v>
      </c>
      <c r="KZ82" s="129">
        <f t="shared" si="703"/>
        <v>10000</v>
      </c>
      <c r="LA82" s="129">
        <f t="shared" si="703"/>
        <v>11000</v>
      </c>
      <c r="LB82" s="129">
        <f t="shared" si="703"/>
        <v>8000</v>
      </c>
      <c r="LC82" s="129">
        <f t="shared" si="703"/>
        <v>0</v>
      </c>
      <c r="LD82" s="129">
        <f t="shared" si="703"/>
        <v>0</v>
      </c>
      <c r="LE82" s="129">
        <f t="shared" si="703"/>
        <v>45600</v>
      </c>
      <c r="LF82" s="129">
        <f t="shared" si="703"/>
        <v>0</v>
      </c>
      <c r="LG82" s="129">
        <f t="shared" si="703"/>
        <v>9400</v>
      </c>
      <c r="LH82" s="129">
        <f t="shared" si="703"/>
        <v>7000</v>
      </c>
      <c r="LI82" s="129">
        <f t="shared" si="703"/>
        <v>15000</v>
      </c>
      <c r="LJ82" s="129">
        <f t="shared" si="703"/>
        <v>5000</v>
      </c>
      <c r="LK82" s="129">
        <f t="shared" si="703"/>
        <v>0</v>
      </c>
      <c r="LL82" s="129">
        <f t="shared" si="703"/>
        <v>0</v>
      </c>
      <c r="LM82" s="129">
        <f t="shared" si="703"/>
        <v>36400</v>
      </c>
      <c r="LN82" s="129">
        <f t="shared" si="703"/>
        <v>209100</v>
      </c>
      <c r="LO82" s="129">
        <f t="shared" si="703"/>
        <v>0</v>
      </c>
      <c r="LP82" s="129">
        <f t="shared" si="703"/>
        <v>11000</v>
      </c>
      <c r="LQ82" s="129">
        <f t="shared" si="703"/>
        <v>5000</v>
      </c>
      <c r="LR82" s="129">
        <f t="shared" si="703"/>
        <v>11000</v>
      </c>
      <c r="LS82" s="129">
        <f t="shared" si="703"/>
        <v>0</v>
      </c>
      <c r="LT82" s="129">
        <f t="shared" si="703"/>
        <v>0</v>
      </c>
      <c r="LU82" s="129">
        <f t="shared" si="703"/>
        <v>0</v>
      </c>
      <c r="LV82" s="129">
        <f t="shared" ref="LV82:OG82" si="704">SUMIF($E$3:$E$81,"Plan",LV$3:LV$81)</f>
        <v>27000</v>
      </c>
      <c r="LW82" s="129">
        <f t="shared" si="704"/>
        <v>12400</v>
      </c>
      <c r="LX82" s="129">
        <f t="shared" si="704"/>
        <v>11900</v>
      </c>
      <c r="LY82" s="129">
        <f t="shared" si="704"/>
        <v>2310</v>
      </c>
      <c r="LZ82" s="129">
        <f t="shared" si="704"/>
        <v>11000</v>
      </c>
      <c r="MA82" s="129">
        <f t="shared" si="704"/>
        <v>11000</v>
      </c>
      <c r="MB82" s="129">
        <f t="shared" si="704"/>
        <v>0</v>
      </c>
      <c r="MC82" s="129">
        <f t="shared" si="704"/>
        <v>0</v>
      </c>
      <c r="MD82" s="129">
        <f t="shared" si="704"/>
        <v>48610</v>
      </c>
      <c r="ME82" s="129">
        <f t="shared" si="704"/>
        <v>9840</v>
      </c>
      <c r="MF82" s="129">
        <f t="shared" si="704"/>
        <v>9000</v>
      </c>
      <c r="MG82" s="129">
        <f t="shared" si="704"/>
        <v>11900</v>
      </c>
      <c r="MH82" s="129">
        <f t="shared" si="704"/>
        <v>7300</v>
      </c>
      <c r="MI82" s="129">
        <f t="shared" si="704"/>
        <v>0</v>
      </c>
      <c r="MJ82" s="129">
        <f t="shared" si="704"/>
        <v>0</v>
      </c>
      <c r="MK82" s="129">
        <f t="shared" si="704"/>
        <v>0</v>
      </c>
      <c r="ML82" s="129">
        <f t="shared" si="704"/>
        <v>38040</v>
      </c>
      <c r="MM82" s="129">
        <f t="shared" si="704"/>
        <v>8750</v>
      </c>
      <c r="MN82" s="129">
        <f t="shared" si="704"/>
        <v>10800</v>
      </c>
      <c r="MO82" s="129">
        <f t="shared" si="704"/>
        <v>10000</v>
      </c>
      <c r="MP82" s="129">
        <f t="shared" si="704"/>
        <v>10000</v>
      </c>
      <c r="MQ82" s="129">
        <f t="shared" si="704"/>
        <v>10000</v>
      </c>
      <c r="MR82" s="129">
        <f t="shared" si="704"/>
        <v>9000</v>
      </c>
      <c r="MS82" s="129">
        <f t="shared" si="704"/>
        <v>0</v>
      </c>
      <c r="MT82" s="129">
        <f t="shared" si="704"/>
        <v>58550</v>
      </c>
      <c r="MU82" s="129">
        <f t="shared" si="704"/>
        <v>190200</v>
      </c>
      <c r="MV82" s="129">
        <f t="shared" si="704"/>
        <v>13200</v>
      </c>
      <c r="MW82" s="129">
        <f t="shared" si="704"/>
        <v>11000</v>
      </c>
      <c r="MX82" s="129">
        <f t="shared" si="704"/>
        <v>8000</v>
      </c>
      <c r="MY82" s="129">
        <f t="shared" si="704"/>
        <v>6200</v>
      </c>
      <c r="MZ82" s="129">
        <f t="shared" si="704"/>
        <v>9000</v>
      </c>
      <c r="NA82" s="129">
        <f t="shared" si="704"/>
        <v>0</v>
      </c>
      <c r="NB82" s="129">
        <f t="shared" si="704"/>
        <v>0</v>
      </c>
      <c r="NC82" s="129">
        <f t="shared" si="704"/>
        <v>47400</v>
      </c>
      <c r="ND82" s="129">
        <f t="shared" si="704"/>
        <v>13050</v>
      </c>
      <c r="NE82" s="129">
        <f t="shared" si="704"/>
        <v>9000</v>
      </c>
      <c r="NF82" s="129">
        <f t="shared" si="704"/>
        <v>7500</v>
      </c>
      <c r="NG82" s="129">
        <f t="shared" si="704"/>
        <v>11000</v>
      </c>
      <c r="NH82" s="129">
        <f t="shared" si="704"/>
        <v>8000</v>
      </c>
      <c r="NI82" s="129">
        <f t="shared" si="704"/>
        <v>0</v>
      </c>
      <c r="NJ82" s="129">
        <f t="shared" si="704"/>
        <v>0</v>
      </c>
      <c r="NK82" s="129">
        <f t="shared" si="704"/>
        <v>48550</v>
      </c>
      <c r="NL82" s="129">
        <f t="shared" si="704"/>
        <v>9600</v>
      </c>
      <c r="NM82" s="129">
        <f t="shared" si="704"/>
        <v>10000</v>
      </c>
      <c r="NN82" s="129">
        <f t="shared" si="704"/>
        <v>10000</v>
      </c>
      <c r="NO82" s="129">
        <f t="shared" si="704"/>
        <v>10000</v>
      </c>
      <c r="NP82" s="129">
        <f t="shared" si="704"/>
        <v>8000</v>
      </c>
      <c r="NQ82" s="129">
        <f t="shared" si="704"/>
        <v>0</v>
      </c>
      <c r="NR82" s="129">
        <f t="shared" si="704"/>
        <v>0</v>
      </c>
      <c r="NS82" s="129">
        <f t="shared" si="704"/>
        <v>47600</v>
      </c>
      <c r="NT82" s="129">
        <f t="shared" si="704"/>
        <v>10650</v>
      </c>
      <c r="NU82" s="129">
        <f t="shared" si="704"/>
        <v>7000</v>
      </c>
      <c r="NV82" s="129">
        <f t="shared" si="704"/>
        <v>11000</v>
      </c>
      <c r="NW82" s="129">
        <f t="shared" si="704"/>
        <v>11000</v>
      </c>
      <c r="NX82" s="129">
        <f t="shared" si="704"/>
        <v>8000</v>
      </c>
      <c r="NY82" s="129">
        <f t="shared" si="704"/>
        <v>0</v>
      </c>
      <c r="NZ82" s="129">
        <f t="shared" si="704"/>
        <v>0</v>
      </c>
      <c r="OA82" s="129">
        <f t="shared" si="704"/>
        <v>47650</v>
      </c>
      <c r="OB82" s="129">
        <f t="shared" si="704"/>
        <v>200200</v>
      </c>
      <c r="OC82" s="129">
        <f t="shared" si="704"/>
        <v>11000</v>
      </c>
      <c r="OD82" s="129">
        <f t="shared" si="704"/>
        <v>8000</v>
      </c>
      <c r="OE82" s="129">
        <f t="shared" si="704"/>
        <v>10000</v>
      </c>
      <c r="OF82" s="129">
        <f t="shared" si="704"/>
        <v>8000</v>
      </c>
      <c r="OG82" s="129">
        <f t="shared" si="704"/>
        <v>10000</v>
      </c>
      <c r="OH82" s="129">
        <f t="shared" ref="OH82:QS82" si="705">SUMIF($E$3:$E$81,"Plan",OH$3:OH$81)</f>
        <v>0</v>
      </c>
      <c r="OI82" s="129">
        <f t="shared" si="705"/>
        <v>0</v>
      </c>
      <c r="OJ82" s="129">
        <f t="shared" si="705"/>
        <v>47000</v>
      </c>
      <c r="OK82" s="129">
        <f t="shared" si="705"/>
        <v>12500</v>
      </c>
      <c r="OL82" s="129">
        <f t="shared" si="705"/>
        <v>12250</v>
      </c>
      <c r="OM82" s="129">
        <f t="shared" si="705"/>
        <v>10000</v>
      </c>
      <c r="ON82" s="129">
        <f t="shared" si="705"/>
        <v>4500</v>
      </c>
      <c r="OO82" s="129">
        <f t="shared" si="705"/>
        <v>8000</v>
      </c>
      <c r="OP82" s="129">
        <f t="shared" si="705"/>
        <v>0</v>
      </c>
      <c r="OQ82" s="129">
        <f t="shared" si="705"/>
        <v>0</v>
      </c>
      <c r="OR82" s="129">
        <f t="shared" si="705"/>
        <v>47250</v>
      </c>
      <c r="OS82" s="129">
        <f t="shared" si="705"/>
        <v>9000</v>
      </c>
      <c r="OT82" s="129">
        <f t="shared" si="705"/>
        <v>10000</v>
      </c>
      <c r="OU82" s="129">
        <f t="shared" si="705"/>
        <v>14000</v>
      </c>
      <c r="OV82" s="129">
        <f t="shared" si="705"/>
        <v>8000</v>
      </c>
      <c r="OW82" s="129">
        <f t="shared" si="705"/>
        <v>6000</v>
      </c>
      <c r="OX82" s="129">
        <f t="shared" si="705"/>
        <v>0</v>
      </c>
      <c r="OY82" s="129">
        <f t="shared" si="705"/>
        <v>0</v>
      </c>
      <c r="OZ82" s="297">
        <f t="shared" si="705"/>
        <v>47000</v>
      </c>
      <c r="PA82" s="129">
        <f t="shared" si="705"/>
        <v>9000</v>
      </c>
      <c r="PB82" s="129">
        <f t="shared" si="705"/>
        <v>13000</v>
      </c>
      <c r="PC82" s="129">
        <f t="shared" si="705"/>
        <v>5800</v>
      </c>
      <c r="PD82" s="129">
        <f t="shared" si="705"/>
        <v>0</v>
      </c>
      <c r="PE82" s="269">
        <f t="shared" si="705"/>
        <v>0</v>
      </c>
      <c r="PF82" s="129">
        <f t="shared" si="705"/>
        <v>0</v>
      </c>
      <c r="PG82" s="129">
        <f t="shared" si="705"/>
        <v>0</v>
      </c>
      <c r="PH82" s="129">
        <f t="shared" si="705"/>
        <v>27800</v>
      </c>
      <c r="PI82" s="129">
        <f t="shared" si="705"/>
        <v>8600</v>
      </c>
      <c r="PJ82" s="129">
        <f t="shared" si="705"/>
        <v>14000</v>
      </c>
      <c r="PK82" s="129">
        <f t="shared" si="705"/>
        <v>7000</v>
      </c>
      <c r="PL82" s="129">
        <f t="shared" si="705"/>
        <v>0</v>
      </c>
      <c r="PM82" s="269">
        <f t="shared" si="705"/>
        <v>0</v>
      </c>
      <c r="PN82" s="129">
        <f t="shared" si="705"/>
        <v>0</v>
      </c>
      <c r="PO82" s="129">
        <f t="shared" si="705"/>
        <v>0</v>
      </c>
      <c r="PP82" s="129">
        <f t="shared" si="705"/>
        <v>29600</v>
      </c>
      <c r="PQ82" s="129">
        <f t="shared" si="705"/>
        <v>198650</v>
      </c>
      <c r="PR82" s="129">
        <f t="shared" si="705"/>
        <v>13050</v>
      </c>
      <c r="PS82" s="129">
        <f t="shared" si="705"/>
        <v>10000</v>
      </c>
      <c r="PT82" s="129">
        <f t="shared" si="705"/>
        <v>7000</v>
      </c>
      <c r="PU82" s="129">
        <f t="shared" si="705"/>
        <v>5000</v>
      </c>
      <c r="PV82" s="129">
        <f t="shared" si="705"/>
        <v>10000</v>
      </c>
      <c r="PW82" s="129">
        <f t="shared" si="705"/>
        <v>0</v>
      </c>
      <c r="PX82" s="129">
        <f t="shared" si="705"/>
        <v>0</v>
      </c>
      <c r="PY82" s="129">
        <f t="shared" si="705"/>
        <v>45050</v>
      </c>
      <c r="PZ82" s="129">
        <f t="shared" si="705"/>
        <v>10000</v>
      </c>
      <c r="QA82" s="129">
        <f t="shared" si="705"/>
        <v>6000</v>
      </c>
      <c r="QB82" s="129">
        <f t="shared" si="705"/>
        <v>7000</v>
      </c>
      <c r="QC82" s="129">
        <f t="shared" si="705"/>
        <v>10000</v>
      </c>
      <c r="QD82" s="129">
        <f t="shared" si="705"/>
        <v>13000</v>
      </c>
      <c r="QE82" s="129">
        <f t="shared" si="705"/>
        <v>0</v>
      </c>
      <c r="QF82" s="129">
        <f t="shared" si="705"/>
        <v>0</v>
      </c>
      <c r="QG82" s="129">
        <f t="shared" si="705"/>
        <v>46000</v>
      </c>
      <c r="QH82" s="129">
        <f t="shared" si="705"/>
        <v>9960</v>
      </c>
      <c r="QI82" s="129">
        <f t="shared" si="705"/>
        <v>6000</v>
      </c>
      <c r="QJ82" s="129">
        <f t="shared" si="705"/>
        <v>0</v>
      </c>
      <c r="QK82" s="129">
        <f t="shared" si="705"/>
        <v>7000</v>
      </c>
      <c r="QL82" s="129">
        <f t="shared" si="705"/>
        <v>10000</v>
      </c>
      <c r="QM82" s="129">
        <f t="shared" si="705"/>
        <v>0</v>
      </c>
      <c r="QN82" s="129">
        <f t="shared" si="705"/>
        <v>0</v>
      </c>
      <c r="QO82" s="129">
        <f t="shared" si="705"/>
        <v>32960</v>
      </c>
      <c r="QP82" s="129">
        <f t="shared" si="705"/>
        <v>7750</v>
      </c>
      <c r="QQ82" s="129">
        <f t="shared" si="705"/>
        <v>8650</v>
      </c>
      <c r="QR82" s="129">
        <f t="shared" si="705"/>
        <v>10000</v>
      </c>
      <c r="QS82" s="129">
        <f t="shared" si="705"/>
        <v>10000</v>
      </c>
      <c r="QT82" s="129">
        <f t="shared" ref="QT82:TE82" si="706">SUMIF($E$3:$E$81,"Plan",QT$3:QT$81)</f>
        <v>10000</v>
      </c>
      <c r="QU82" s="129">
        <f t="shared" si="706"/>
        <v>0</v>
      </c>
      <c r="QV82" s="129">
        <f t="shared" si="706"/>
        <v>0</v>
      </c>
      <c r="QW82" s="129">
        <f t="shared" si="706"/>
        <v>46400</v>
      </c>
      <c r="QX82" s="129">
        <f t="shared" si="706"/>
        <v>170410</v>
      </c>
      <c r="QY82" s="129">
        <f t="shared" si="706"/>
        <v>7000</v>
      </c>
      <c r="QZ82" s="129">
        <f t="shared" si="706"/>
        <v>10000</v>
      </c>
      <c r="RA82" s="129">
        <f t="shared" si="706"/>
        <v>10000</v>
      </c>
      <c r="RB82" s="129">
        <f t="shared" si="706"/>
        <v>10000</v>
      </c>
      <c r="RC82" s="129">
        <f t="shared" si="706"/>
        <v>8000</v>
      </c>
      <c r="RD82" s="129">
        <f t="shared" si="706"/>
        <v>0</v>
      </c>
      <c r="RE82" s="129">
        <f t="shared" si="706"/>
        <v>0</v>
      </c>
      <c r="RF82" s="129">
        <f t="shared" si="706"/>
        <v>45000</v>
      </c>
      <c r="RG82" s="129">
        <f t="shared" si="706"/>
        <v>13700</v>
      </c>
      <c r="RH82" s="129">
        <f>SUMIF($E$3:$E$81,"Plan",RH$3:RH$81)</f>
        <v>7000</v>
      </c>
      <c r="RI82" s="129">
        <f t="shared" si="706"/>
        <v>7000</v>
      </c>
      <c r="RJ82" s="129">
        <f t="shared" si="706"/>
        <v>10000</v>
      </c>
      <c r="RK82" s="129">
        <f t="shared" si="706"/>
        <v>10000</v>
      </c>
      <c r="RL82" s="129">
        <f t="shared" si="706"/>
        <v>0</v>
      </c>
      <c r="RM82" s="129">
        <f t="shared" si="706"/>
        <v>0</v>
      </c>
      <c r="RN82" s="129">
        <f t="shared" si="706"/>
        <v>47700</v>
      </c>
      <c r="RO82" s="129">
        <f t="shared" si="706"/>
        <v>0</v>
      </c>
      <c r="RP82" s="129">
        <f t="shared" si="706"/>
        <v>0</v>
      </c>
      <c r="RQ82" s="129">
        <f t="shared" si="706"/>
        <v>0</v>
      </c>
      <c r="RR82" s="129">
        <f t="shared" si="706"/>
        <v>0</v>
      </c>
      <c r="RS82" s="129">
        <f t="shared" si="706"/>
        <v>0</v>
      </c>
      <c r="RT82" s="129">
        <f t="shared" si="706"/>
        <v>0</v>
      </c>
      <c r="RU82" s="129">
        <f t="shared" si="706"/>
        <v>0</v>
      </c>
      <c r="RV82" s="129">
        <f t="shared" si="706"/>
        <v>0</v>
      </c>
      <c r="RW82" s="129">
        <f t="shared" si="706"/>
        <v>11250</v>
      </c>
      <c r="RX82" s="129">
        <f t="shared" si="706"/>
        <v>12500</v>
      </c>
      <c r="RY82" s="129">
        <f t="shared" si="706"/>
        <v>8700</v>
      </c>
      <c r="RZ82" s="129">
        <f t="shared" si="706"/>
        <v>3000</v>
      </c>
      <c r="SA82" s="129">
        <f t="shared" si="706"/>
        <v>8000</v>
      </c>
      <c r="SB82" s="129">
        <f t="shared" si="706"/>
        <v>0</v>
      </c>
      <c r="SC82" s="129">
        <f t="shared" si="706"/>
        <v>0</v>
      </c>
      <c r="SD82" s="129">
        <f t="shared" si="706"/>
        <v>43450</v>
      </c>
      <c r="SE82" s="129">
        <f t="shared" si="706"/>
        <v>136150</v>
      </c>
      <c r="SF82" s="129">
        <f t="shared" si="706"/>
        <v>9400</v>
      </c>
      <c r="SG82" s="129">
        <f t="shared" si="706"/>
        <v>13450</v>
      </c>
      <c r="SH82" s="129">
        <f t="shared" si="706"/>
        <v>8200</v>
      </c>
      <c r="SI82" s="129">
        <f t="shared" si="706"/>
        <v>10000</v>
      </c>
      <c r="SJ82" s="129">
        <f t="shared" si="706"/>
        <v>10000</v>
      </c>
      <c r="SK82" s="129">
        <f t="shared" si="706"/>
        <v>7000</v>
      </c>
      <c r="SL82" s="129">
        <f t="shared" si="706"/>
        <v>0</v>
      </c>
      <c r="SM82" s="129">
        <f t="shared" si="706"/>
        <v>58050</v>
      </c>
      <c r="SN82" s="129">
        <f t="shared" si="706"/>
        <v>10000</v>
      </c>
      <c r="SO82" s="129">
        <f t="shared" si="706"/>
        <v>7500</v>
      </c>
      <c r="SP82" s="129">
        <f t="shared" si="706"/>
        <v>10000</v>
      </c>
      <c r="SQ82" s="129">
        <f t="shared" si="706"/>
        <v>13000</v>
      </c>
      <c r="SR82" s="129">
        <f t="shared" si="706"/>
        <v>7000</v>
      </c>
      <c r="SS82" s="129">
        <f t="shared" si="706"/>
        <v>8640</v>
      </c>
      <c r="ST82" s="129">
        <f t="shared" si="706"/>
        <v>0</v>
      </c>
      <c r="SU82" s="129">
        <f t="shared" si="706"/>
        <v>56140</v>
      </c>
      <c r="SV82" s="129">
        <f t="shared" si="706"/>
        <v>10000</v>
      </c>
      <c r="SW82" s="129">
        <f t="shared" si="706"/>
        <v>10000</v>
      </c>
      <c r="SX82" s="129">
        <f t="shared" si="706"/>
        <v>10000</v>
      </c>
      <c r="SY82" s="129">
        <f t="shared" si="706"/>
        <v>11500</v>
      </c>
      <c r="SZ82" s="129">
        <f t="shared" si="706"/>
        <v>9000</v>
      </c>
      <c r="TA82" s="129">
        <f t="shared" si="706"/>
        <v>7000</v>
      </c>
      <c r="TB82" s="129">
        <f t="shared" si="706"/>
        <v>0</v>
      </c>
      <c r="TC82" s="129">
        <f t="shared" si="706"/>
        <v>57500</v>
      </c>
      <c r="TD82" s="129">
        <f t="shared" si="706"/>
        <v>16600</v>
      </c>
      <c r="TE82" s="129">
        <f t="shared" si="706"/>
        <v>10000</v>
      </c>
      <c r="TF82" s="129">
        <f t="shared" ref="TF82:VQ82" si="707">SUMIF($E$3:$E$81,"Plan",TF$3:TF$81)</f>
        <v>4000</v>
      </c>
      <c r="TG82" s="129">
        <f t="shared" si="707"/>
        <v>9000</v>
      </c>
      <c r="TH82" s="129">
        <f t="shared" si="707"/>
        <v>12000</v>
      </c>
      <c r="TI82" s="129">
        <f t="shared" si="707"/>
        <v>6000</v>
      </c>
      <c r="TJ82" s="129">
        <f t="shared" si="707"/>
        <v>0</v>
      </c>
      <c r="TK82" s="129">
        <f t="shared" si="707"/>
        <v>57600</v>
      </c>
      <c r="TL82" s="129">
        <f t="shared" si="707"/>
        <v>11500</v>
      </c>
      <c r="TM82" s="129">
        <f t="shared" si="707"/>
        <v>8100</v>
      </c>
      <c r="TN82" s="129">
        <f t="shared" si="707"/>
        <v>10000</v>
      </c>
      <c r="TO82" s="129">
        <f t="shared" si="707"/>
        <v>7000</v>
      </c>
      <c r="TP82" s="129">
        <f t="shared" si="707"/>
        <v>0</v>
      </c>
      <c r="TQ82" s="129">
        <f t="shared" si="707"/>
        <v>0</v>
      </c>
      <c r="TR82" s="129">
        <f t="shared" si="707"/>
        <v>0</v>
      </c>
      <c r="TS82" s="129">
        <f t="shared" si="707"/>
        <v>36600</v>
      </c>
      <c r="TT82" s="129">
        <f t="shared" si="707"/>
        <v>248890</v>
      </c>
      <c r="TU82" s="129">
        <f t="shared" si="707"/>
        <v>0</v>
      </c>
      <c r="TV82" s="129">
        <f t="shared" si="707"/>
        <v>13500</v>
      </c>
      <c r="TW82" s="129">
        <f t="shared" si="707"/>
        <v>5000</v>
      </c>
      <c r="TX82" s="129">
        <f t="shared" si="707"/>
        <v>11000</v>
      </c>
      <c r="TY82" s="129">
        <f t="shared" si="707"/>
        <v>8000</v>
      </c>
      <c r="TZ82" s="129">
        <f t="shared" si="707"/>
        <v>9000</v>
      </c>
      <c r="UA82" s="129">
        <f t="shared" si="707"/>
        <v>0</v>
      </c>
      <c r="UB82" s="129">
        <f t="shared" si="707"/>
        <v>46500</v>
      </c>
      <c r="UC82" s="129">
        <f t="shared" si="707"/>
        <v>10000</v>
      </c>
      <c r="UD82" s="129">
        <f t="shared" si="707"/>
        <v>10980</v>
      </c>
      <c r="UE82" s="129">
        <f t="shared" si="707"/>
        <v>11900</v>
      </c>
      <c r="UF82" s="129">
        <f t="shared" si="707"/>
        <v>11000</v>
      </c>
      <c r="UG82" s="129">
        <f t="shared" si="707"/>
        <v>6000</v>
      </c>
      <c r="UH82" s="129">
        <f t="shared" si="707"/>
        <v>8000</v>
      </c>
      <c r="UI82" s="129">
        <f t="shared" si="707"/>
        <v>0</v>
      </c>
      <c r="UJ82" s="129">
        <f t="shared" si="707"/>
        <v>57880</v>
      </c>
      <c r="UK82" s="129">
        <f t="shared" si="707"/>
        <v>9400</v>
      </c>
      <c r="UL82" s="129">
        <f>SUMIF($E$3:$E$81,"Plan",UL$3:UL$81)</f>
        <v>7300</v>
      </c>
      <c r="UM82" s="129">
        <f t="shared" si="707"/>
        <v>9200</v>
      </c>
      <c r="UN82" s="129">
        <f>SUMIF($E$3:$E$81,"Plan",UN$3:UN$81)</f>
        <v>10000</v>
      </c>
      <c r="UO82" s="129">
        <f t="shared" si="707"/>
        <v>13000</v>
      </c>
      <c r="UP82" s="129">
        <f t="shared" si="707"/>
        <v>9000</v>
      </c>
      <c r="UQ82" s="129">
        <f t="shared" si="707"/>
        <v>0</v>
      </c>
      <c r="UR82" s="129">
        <f t="shared" si="707"/>
        <v>57900</v>
      </c>
      <c r="US82" s="129">
        <f t="shared" si="707"/>
        <v>12000</v>
      </c>
      <c r="UT82" s="129">
        <f t="shared" si="707"/>
        <v>10000</v>
      </c>
      <c r="UU82" s="129">
        <f t="shared" si="707"/>
        <v>10000</v>
      </c>
      <c r="UV82" s="129">
        <f t="shared" si="707"/>
        <v>10000</v>
      </c>
      <c r="UW82" s="129">
        <f t="shared" si="707"/>
        <v>18000</v>
      </c>
      <c r="UX82" s="129">
        <f t="shared" si="707"/>
        <v>0</v>
      </c>
      <c r="UY82" s="129">
        <f t="shared" si="707"/>
        <v>0</v>
      </c>
      <c r="UZ82" s="129">
        <f t="shared" si="707"/>
        <v>60000</v>
      </c>
      <c r="VA82" s="129">
        <f t="shared" si="707"/>
        <v>221280</v>
      </c>
      <c r="VB82" s="129">
        <f t="shared" si="707"/>
        <v>10000</v>
      </c>
      <c r="VC82" s="129">
        <f t="shared" si="707"/>
        <v>10000</v>
      </c>
      <c r="VD82" s="129">
        <f t="shared" si="707"/>
        <v>10800</v>
      </c>
      <c r="VE82" s="129">
        <f t="shared" si="707"/>
        <v>5000</v>
      </c>
      <c r="VF82" s="129">
        <f t="shared" si="707"/>
        <v>13000</v>
      </c>
      <c r="VG82" s="129">
        <f t="shared" si="707"/>
        <v>11000</v>
      </c>
      <c r="VH82" s="129">
        <f t="shared" si="707"/>
        <v>0</v>
      </c>
      <c r="VI82" s="129">
        <f t="shared" si="707"/>
        <v>59800</v>
      </c>
      <c r="VJ82" s="129">
        <f t="shared" si="707"/>
        <v>10000</v>
      </c>
      <c r="VK82" s="129">
        <f t="shared" si="707"/>
        <v>10000</v>
      </c>
      <c r="VL82" s="129">
        <f t="shared" si="707"/>
        <v>10000</v>
      </c>
      <c r="VM82" s="129">
        <f t="shared" si="707"/>
        <v>6000</v>
      </c>
      <c r="VN82" s="129">
        <f t="shared" si="707"/>
        <v>10000</v>
      </c>
      <c r="VO82" s="129">
        <f t="shared" si="707"/>
        <v>12000</v>
      </c>
      <c r="VP82" s="129">
        <f t="shared" si="707"/>
        <v>0</v>
      </c>
      <c r="VQ82" s="129">
        <f t="shared" si="707"/>
        <v>58000</v>
      </c>
      <c r="VR82" s="129">
        <f t="shared" ref="VR82:YC82" si="708">SUMIF($E$3:$E$81,"Plan",VR$3:VR$81)</f>
        <v>10000</v>
      </c>
      <c r="VS82" s="129">
        <f t="shared" si="708"/>
        <v>9900</v>
      </c>
      <c r="VT82" s="129">
        <f t="shared" si="708"/>
        <v>13000</v>
      </c>
      <c r="VU82" s="129">
        <f t="shared" si="708"/>
        <v>12000</v>
      </c>
      <c r="VV82" s="129">
        <f t="shared" si="708"/>
        <v>4000</v>
      </c>
      <c r="VW82" s="129">
        <f t="shared" si="708"/>
        <v>10000</v>
      </c>
      <c r="VX82" s="129">
        <f t="shared" si="708"/>
        <v>0</v>
      </c>
      <c r="VY82" s="129">
        <f t="shared" si="708"/>
        <v>58900</v>
      </c>
      <c r="VZ82" s="129">
        <f t="shared" si="708"/>
        <v>12800</v>
      </c>
      <c r="WA82" s="129">
        <f t="shared" si="708"/>
        <v>10500</v>
      </c>
      <c r="WB82" s="129">
        <f t="shared" si="708"/>
        <v>10000</v>
      </c>
      <c r="WC82" s="129">
        <f t="shared" si="708"/>
        <v>9000</v>
      </c>
      <c r="WD82" s="129">
        <f t="shared" si="708"/>
        <v>17000</v>
      </c>
      <c r="WE82" s="129">
        <f t="shared" si="708"/>
        <v>0</v>
      </c>
      <c r="WF82" s="129">
        <f t="shared" si="708"/>
        <v>0</v>
      </c>
      <c r="WG82" s="129">
        <f t="shared" si="708"/>
        <v>59300</v>
      </c>
      <c r="WH82" s="129">
        <f t="shared" si="708"/>
        <v>254000</v>
      </c>
      <c r="WI82" s="129">
        <f t="shared" si="708"/>
        <v>7650</v>
      </c>
      <c r="WJ82" s="129">
        <f t="shared" si="708"/>
        <v>14500</v>
      </c>
      <c r="WK82" s="129">
        <f t="shared" si="708"/>
        <v>10000</v>
      </c>
      <c r="WL82" s="129">
        <f t="shared" si="708"/>
        <v>5000</v>
      </c>
      <c r="WM82" s="129">
        <f t="shared" si="708"/>
        <v>12000</v>
      </c>
      <c r="WN82" s="129">
        <f t="shared" si="708"/>
        <v>8000</v>
      </c>
      <c r="WO82" s="129">
        <f t="shared" si="708"/>
        <v>0</v>
      </c>
      <c r="WP82" s="129">
        <f t="shared" si="708"/>
        <v>57150</v>
      </c>
      <c r="WQ82" s="129">
        <f t="shared" si="708"/>
        <v>9400</v>
      </c>
      <c r="WR82" s="129">
        <f t="shared" si="708"/>
        <v>11000</v>
      </c>
      <c r="WS82" s="129">
        <f t="shared" si="708"/>
        <v>7000</v>
      </c>
      <c r="WT82" s="129">
        <f t="shared" si="708"/>
        <v>12000</v>
      </c>
      <c r="WU82" s="129">
        <f t="shared" si="708"/>
        <v>12000</v>
      </c>
      <c r="WV82" s="129">
        <f t="shared" si="708"/>
        <v>8000</v>
      </c>
      <c r="WW82" s="129">
        <f t="shared" si="708"/>
        <v>0</v>
      </c>
      <c r="WX82" s="129">
        <f t="shared" si="708"/>
        <v>59400</v>
      </c>
      <c r="WY82" s="129">
        <f t="shared" si="708"/>
        <v>9300</v>
      </c>
      <c r="WZ82" s="129">
        <f t="shared" si="708"/>
        <v>10000</v>
      </c>
      <c r="XA82" s="129">
        <f t="shared" si="708"/>
        <v>5000</v>
      </c>
      <c r="XB82" s="129">
        <f t="shared" si="708"/>
        <v>14000</v>
      </c>
      <c r="XC82" s="129">
        <f t="shared" si="708"/>
        <v>0</v>
      </c>
      <c r="XD82" s="129">
        <f t="shared" si="708"/>
        <v>0</v>
      </c>
      <c r="XE82" s="129">
        <f t="shared" si="708"/>
        <v>0</v>
      </c>
      <c r="XF82" s="129">
        <f t="shared" si="708"/>
        <v>38300</v>
      </c>
      <c r="XG82" s="129">
        <f t="shared" si="708"/>
        <v>10000</v>
      </c>
      <c r="XH82" s="129">
        <f t="shared" si="708"/>
        <v>11000</v>
      </c>
      <c r="XI82" s="129">
        <f t="shared" si="708"/>
        <v>10000</v>
      </c>
      <c r="XJ82" s="129">
        <f t="shared" si="708"/>
        <v>10000</v>
      </c>
      <c r="XK82" s="129">
        <f t="shared" si="708"/>
        <v>10000</v>
      </c>
      <c r="XL82" s="129">
        <f t="shared" si="708"/>
        <v>7000</v>
      </c>
      <c r="XM82" s="129">
        <f t="shared" si="708"/>
        <v>0</v>
      </c>
      <c r="XN82" s="129">
        <f t="shared" si="708"/>
        <v>58000</v>
      </c>
      <c r="XO82" s="129">
        <f t="shared" si="708"/>
        <v>10000</v>
      </c>
      <c r="XP82" s="129">
        <f t="shared" si="708"/>
        <v>10000</v>
      </c>
      <c r="XQ82" s="129">
        <f t="shared" si="708"/>
        <v>10000</v>
      </c>
      <c r="XR82" s="129">
        <f t="shared" si="708"/>
        <v>8000</v>
      </c>
      <c r="XS82" s="129">
        <f t="shared" si="708"/>
        <v>8000</v>
      </c>
      <c r="XT82" s="129">
        <f t="shared" si="708"/>
        <v>0</v>
      </c>
      <c r="XU82" s="129">
        <f t="shared" si="708"/>
        <v>0</v>
      </c>
      <c r="XV82" s="129">
        <f t="shared" si="708"/>
        <v>46000</v>
      </c>
      <c r="XW82" s="129">
        <f t="shared" si="708"/>
        <v>235850</v>
      </c>
      <c r="XX82" s="129">
        <f t="shared" si="708"/>
        <v>10000</v>
      </c>
      <c r="XY82" s="129">
        <f t="shared" si="708"/>
        <v>13000</v>
      </c>
      <c r="XZ82" s="129">
        <f t="shared" si="708"/>
        <v>10000</v>
      </c>
      <c r="YA82" s="129">
        <f t="shared" si="708"/>
        <v>8000</v>
      </c>
      <c r="YB82" s="129">
        <f t="shared" si="708"/>
        <v>5000</v>
      </c>
      <c r="YC82" s="129">
        <f t="shared" si="708"/>
        <v>0</v>
      </c>
      <c r="YD82" s="129">
        <f t="shared" ref="YD82:AAO82" si="709">SUMIF($E$3:$E$81,"Plan",YD$3:YD$81)</f>
        <v>0</v>
      </c>
      <c r="YE82" s="129">
        <f t="shared" si="709"/>
        <v>46000</v>
      </c>
      <c r="YF82" s="129">
        <f t="shared" si="709"/>
        <v>11000</v>
      </c>
      <c r="YG82" s="129">
        <f t="shared" si="709"/>
        <v>5500</v>
      </c>
      <c r="YH82" s="129">
        <f t="shared" si="709"/>
        <v>10000</v>
      </c>
      <c r="YI82" s="129">
        <f t="shared" si="709"/>
        <v>10000</v>
      </c>
      <c r="YJ82" s="129">
        <f t="shared" si="709"/>
        <v>10100</v>
      </c>
      <c r="YK82" s="129">
        <f t="shared" si="709"/>
        <v>0</v>
      </c>
      <c r="YL82" s="129">
        <f t="shared" si="709"/>
        <v>0</v>
      </c>
      <c r="YM82" s="129">
        <f t="shared" si="709"/>
        <v>46600</v>
      </c>
      <c r="YN82" s="129">
        <f t="shared" si="709"/>
        <v>12550</v>
      </c>
      <c r="YO82" s="129">
        <f t="shared" si="709"/>
        <v>10600</v>
      </c>
      <c r="YP82" s="129">
        <f t="shared" si="709"/>
        <v>10000</v>
      </c>
      <c r="YQ82" s="129">
        <f t="shared" si="709"/>
        <v>9000</v>
      </c>
      <c r="YR82" s="129">
        <f t="shared" si="709"/>
        <v>6000</v>
      </c>
      <c r="YS82" s="129">
        <f t="shared" si="709"/>
        <v>0</v>
      </c>
      <c r="YT82" s="129">
        <f t="shared" si="709"/>
        <v>0</v>
      </c>
      <c r="YU82" s="129">
        <f t="shared" si="709"/>
        <v>48150</v>
      </c>
      <c r="YV82" s="129">
        <f t="shared" si="709"/>
        <v>7000</v>
      </c>
      <c r="YW82" s="129">
        <f t="shared" si="709"/>
        <v>10000</v>
      </c>
      <c r="YX82" s="129">
        <f t="shared" si="709"/>
        <v>10000</v>
      </c>
      <c r="YY82" s="129">
        <f t="shared" si="709"/>
        <v>10000</v>
      </c>
      <c r="YZ82" s="129">
        <f t="shared" si="709"/>
        <v>8000</v>
      </c>
      <c r="ZA82" s="129">
        <f t="shared" si="709"/>
        <v>0</v>
      </c>
      <c r="ZB82" s="129">
        <f t="shared" si="709"/>
        <v>0</v>
      </c>
      <c r="ZC82" s="129">
        <f t="shared" si="709"/>
        <v>45000</v>
      </c>
      <c r="ZD82" s="129">
        <f t="shared" si="709"/>
        <v>211750</v>
      </c>
      <c r="ZE82" s="129">
        <f t="shared" si="709"/>
        <v>3000</v>
      </c>
      <c r="ZF82" s="129">
        <f t="shared" si="709"/>
        <v>2000</v>
      </c>
      <c r="ZG82" s="129">
        <f t="shared" si="709"/>
        <v>0</v>
      </c>
      <c r="ZH82" s="129">
        <f t="shared" si="709"/>
        <v>0</v>
      </c>
      <c r="ZI82" s="129">
        <f t="shared" si="709"/>
        <v>2000</v>
      </c>
      <c r="ZJ82" s="129">
        <f t="shared" si="709"/>
        <v>0</v>
      </c>
      <c r="ZK82" s="129">
        <f t="shared" si="709"/>
        <v>0</v>
      </c>
      <c r="ZL82" s="129">
        <f t="shared" si="709"/>
        <v>7000</v>
      </c>
      <c r="ZM82" s="129">
        <f t="shared" si="709"/>
        <v>0</v>
      </c>
      <c r="ZN82" s="129">
        <f t="shared" si="709"/>
        <v>0</v>
      </c>
      <c r="ZO82" s="129">
        <f t="shared" si="709"/>
        <v>0</v>
      </c>
      <c r="ZP82" s="129">
        <f t="shared" si="709"/>
        <v>0</v>
      </c>
      <c r="ZQ82" s="129">
        <f t="shared" si="709"/>
        <v>0</v>
      </c>
      <c r="ZR82" s="129">
        <f t="shared" si="709"/>
        <v>0</v>
      </c>
      <c r="ZS82" s="129">
        <f t="shared" si="709"/>
        <v>0</v>
      </c>
      <c r="ZT82" s="129">
        <f t="shared" si="709"/>
        <v>0</v>
      </c>
      <c r="ZU82" s="129">
        <f t="shared" si="709"/>
        <v>0</v>
      </c>
      <c r="ZV82" s="129">
        <f t="shared" si="709"/>
        <v>0</v>
      </c>
      <c r="ZW82" s="129">
        <f t="shared" si="709"/>
        <v>0</v>
      </c>
      <c r="ZX82" s="129">
        <f t="shared" si="709"/>
        <v>0</v>
      </c>
      <c r="ZY82" s="129">
        <f t="shared" si="709"/>
        <v>0</v>
      </c>
      <c r="ZZ82" s="129">
        <f t="shared" si="709"/>
        <v>0</v>
      </c>
      <c r="AAA82" s="129">
        <f t="shared" si="709"/>
        <v>0</v>
      </c>
      <c r="AAB82" s="129">
        <f t="shared" si="709"/>
        <v>0</v>
      </c>
      <c r="AAC82" s="129">
        <f t="shared" si="709"/>
        <v>0</v>
      </c>
      <c r="AAD82" s="129">
        <f t="shared" si="709"/>
        <v>0</v>
      </c>
      <c r="AAE82" s="129">
        <f t="shared" si="709"/>
        <v>0</v>
      </c>
      <c r="AAF82" s="129">
        <f t="shared" si="709"/>
        <v>0</v>
      </c>
      <c r="AAG82" s="129">
        <f t="shared" si="709"/>
        <v>0</v>
      </c>
      <c r="AAH82" s="129">
        <f t="shared" si="709"/>
        <v>0</v>
      </c>
      <c r="AAI82" s="129">
        <f t="shared" si="709"/>
        <v>0</v>
      </c>
      <c r="AAJ82" s="129">
        <f t="shared" si="709"/>
        <v>0</v>
      </c>
      <c r="AAK82" s="129">
        <f t="shared" si="709"/>
        <v>0</v>
      </c>
      <c r="AAL82" s="129">
        <f t="shared" si="709"/>
        <v>0</v>
      </c>
      <c r="AAM82" s="129">
        <f t="shared" si="709"/>
        <v>0</v>
      </c>
      <c r="AAN82" s="129">
        <f t="shared" si="709"/>
        <v>0</v>
      </c>
      <c r="AAO82" s="129">
        <f t="shared" si="709"/>
        <v>0</v>
      </c>
      <c r="AAP82" s="129">
        <f t="shared" ref="AAP82:AAS82" si="710">SUMIF($E$3:$E$81,"Plan",AAP$3:AAP$81)</f>
        <v>0</v>
      </c>
      <c r="AAQ82" s="129">
        <f t="shared" si="710"/>
        <v>0</v>
      </c>
      <c r="AAR82" s="129">
        <f t="shared" si="710"/>
        <v>0</v>
      </c>
      <c r="AAS82" s="129">
        <f t="shared" si="710"/>
        <v>7000</v>
      </c>
    </row>
    <row r="83" spans="1:721" ht="69.95" customHeight="1">
      <c r="B83" s="150" t="s">
        <v>36</v>
      </c>
      <c r="C83" s="132"/>
      <c r="CK83" s="118">
        <v>9000</v>
      </c>
      <c r="FG83" s="117"/>
      <c r="FH83" s="117"/>
      <c r="FI83" s="117"/>
      <c r="FN83" s="117">
        <v>1200</v>
      </c>
      <c r="FQ83" s="118">
        <v>5700</v>
      </c>
      <c r="GO83" s="118">
        <v>5000</v>
      </c>
      <c r="GW83" s="117"/>
      <c r="GX83" s="117"/>
      <c r="GY83" s="117"/>
      <c r="HC83" s="117">
        <v>3800</v>
      </c>
      <c r="HF83" s="117">
        <v>3200</v>
      </c>
      <c r="HL83" s="117"/>
      <c r="HO83" s="118">
        <v>6000</v>
      </c>
      <c r="HU83" s="117"/>
      <c r="HV83" s="150"/>
      <c r="HW83" s="117">
        <v>8300</v>
      </c>
      <c r="IE83" s="117"/>
      <c r="IN83" s="117"/>
      <c r="JB83" s="117"/>
      <c r="JC83" s="117"/>
      <c r="JE83" s="117"/>
      <c r="JJ83" s="117"/>
      <c r="JK83" s="117"/>
      <c r="JL83" s="117">
        <v>4200</v>
      </c>
      <c r="JM83" s="118">
        <v>6700</v>
      </c>
      <c r="JO83" s="118">
        <f>JM83/420</f>
        <v>15.952380952380953</v>
      </c>
      <c r="JS83" s="117"/>
      <c r="JT83" s="117"/>
      <c r="JU83" s="117"/>
      <c r="JZ83" s="117"/>
      <c r="KE83" s="117"/>
      <c r="KH83" s="117"/>
      <c r="KP83" s="117"/>
      <c r="KQ83" s="117"/>
      <c r="KR83" s="117"/>
      <c r="KS83" s="117"/>
      <c r="KT83" s="117"/>
      <c r="KX83" s="117"/>
      <c r="KY83" s="117"/>
      <c r="KZ83" s="117"/>
      <c r="LA83" s="117"/>
      <c r="LB83" s="117"/>
      <c r="LG83" s="117"/>
      <c r="LI83" s="117">
        <v>9800</v>
      </c>
      <c r="LJ83" s="117"/>
      <c r="LP83" s="117"/>
      <c r="LR83" s="117"/>
      <c r="LS83" s="117"/>
      <c r="LT83" s="117"/>
      <c r="LU83" s="117"/>
      <c r="LV83" s="117"/>
      <c r="LW83" s="117"/>
      <c r="LX83" s="117"/>
      <c r="LZ83" s="117"/>
      <c r="MA83" s="117"/>
      <c r="MF83" s="295"/>
      <c r="MG83" s="117"/>
      <c r="MH83" s="117">
        <v>3350</v>
      </c>
      <c r="MQ83" s="117"/>
      <c r="MR83" s="117"/>
      <c r="MV83" s="117"/>
      <c r="MW83" s="117"/>
      <c r="MX83" s="117"/>
      <c r="ND83" s="117"/>
      <c r="NE83" s="117"/>
      <c r="NF83" s="117"/>
      <c r="NG83" s="117"/>
      <c r="NH83" s="117"/>
      <c r="NN83" s="117"/>
      <c r="NP83" s="117"/>
      <c r="NT83" s="117"/>
      <c r="NU83" s="117"/>
      <c r="NW83" s="118">
        <v>1500</v>
      </c>
      <c r="OE83" s="117"/>
      <c r="OH83" s="117">
        <v>21400</v>
      </c>
      <c r="OK83" s="117"/>
      <c r="OL83" s="117"/>
      <c r="OM83" s="117"/>
      <c r="ON83" s="117"/>
      <c r="OO83" s="117"/>
      <c r="OP83" s="117"/>
      <c r="OQ83" s="117">
        <v>9800</v>
      </c>
      <c r="OR83" s="117">
        <v>31800</v>
      </c>
      <c r="OS83" s="117"/>
      <c r="OT83" s="117"/>
      <c r="OU83" s="117">
        <v>3550</v>
      </c>
      <c r="OV83" s="117"/>
      <c r="OX83" s="117">
        <v>22000</v>
      </c>
      <c r="OY83" s="117">
        <v>15200</v>
      </c>
      <c r="OZ83" s="117"/>
      <c r="PA83" s="117"/>
      <c r="PB83" s="117">
        <v>5500</v>
      </c>
      <c r="PD83" s="117">
        <v>24000</v>
      </c>
      <c r="PF83" s="117">
        <v>5500</v>
      </c>
      <c r="PI83" s="117"/>
      <c r="PJ83" s="117"/>
      <c r="PK83" s="117"/>
      <c r="PR83" s="117"/>
      <c r="PS83" s="117">
        <v>8500</v>
      </c>
      <c r="PT83" s="117"/>
      <c r="PU83" s="117"/>
      <c r="PV83" s="117">
        <v>8100</v>
      </c>
      <c r="PW83" s="117">
        <v>700</v>
      </c>
      <c r="PX83" s="117"/>
      <c r="QA83" s="117"/>
      <c r="QB83" s="117"/>
      <c r="QD83" s="117">
        <v>22800</v>
      </c>
      <c r="QE83" s="117"/>
      <c r="QF83" s="117">
        <v>3100</v>
      </c>
      <c r="QG83" s="117"/>
      <c r="QH83" s="117"/>
      <c r="QI83" s="117"/>
      <c r="QL83" s="117">
        <v>35200</v>
      </c>
      <c r="QM83" s="117">
        <v>20300</v>
      </c>
      <c r="QN83" s="117"/>
      <c r="QO83" s="117"/>
      <c r="QP83" s="117"/>
      <c r="QQ83" s="117"/>
      <c r="QR83" s="117"/>
      <c r="QS83" s="117"/>
      <c r="QT83" s="117">
        <v>38700</v>
      </c>
      <c r="QU83" s="117">
        <v>28000</v>
      </c>
      <c r="QZ83" s="117"/>
      <c r="RA83" s="117"/>
      <c r="RE83" s="117"/>
      <c r="RG83" s="117"/>
      <c r="RH83" s="117"/>
      <c r="RJ83" s="117"/>
      <c r="RK83" s="117"/>
      <c r="RL83" s="118">
        <v>48000</v>
      </c>
      <c r="RM83" s="118">
        <v>14500</v>
      </c>
      <c r="RW83" s="117"/>
      <c r="RX83" s="117"/>
      <c r="RY83" s="117"/>
      <c r="RZ83" s="117">
        <v>39500</v>
      </c>
      <c r="SA83" s="117"/>
      <c r="SB83" s="117">
        <v>11500</v>
      </c>
      <c r="SC83" s="117"/>
      <c r="SD83" s="117"/>
      <c r="SE83" s="117"/>
      <c r="SF83" s="117"/>
      <c r="SG83" s="117"/>
      <c r="SH83" s="117"/>
      <c r="SI83" s="117">
        <v>34000</v>
      </c>
      <c r="SJ83" s="117">
        <v>7900</v>
      </c>
      <c r="SK83" s="117"/>
      <c r="SN83" s="117"/>
      <c r="SO83" s="117"/>
      <c r="SP83" s="117"/>
      <c r="SQ83" s="117">
        <v>37200</v>
      </c>
      <c r="SR83" s="117">
        <v>16800</v>
      </c>
      <c r="SV83" s="117"/>
      <c r="SW83" s="117"/>
      <c r="SX83" s="117"/>
      <c r="SY83" s="117"/>
      <c r="SZ83" s="117">
        <v>44000</v>
      </c>
      <c r="TA83" s="117"/>
      <c r="TB83" s="117">
        <v>6100</v>
      </c>
      <c r="TC83" s="117"/>
      <c r="TD83" s="117"/>
      <c r="TE83" s="117"/>
      <c r="TF83" s="117"/>
      <c r="TG83" s="117">
        <v>4000</v>
      </c>
      <c r="TH83" s="117">
        <v>49800</v>
      </c>
      <c r="TI83" s="117"/>
      <c r="TJ83" s="117">
        <v>12000</v>
      </c>
      <c r="TL83" s="117"/>
      <c r="TM83" s="117"/>
      <c r="TN83" s="117">
        <v>7100</v>
      </c>
      <c r="TO83" s="117">
        <v>48000</v>
      </c>
      <c r="TP83" s="117">
        <v>4600</v>
      </c>
      <c r="TV83" s="117">
        <v>4750</v>
      </c>
      <c r="TW83" s="117"/>
      <c r="TX83" s="117">
        <v>3600</v>
      </c>
      <c r="TY83" s="117">
        <v>41500</v>
      </c>
      <c r="TZ83" s="117">
        <v>1700</v>
      </c>
      <c r="UD83" s="117"/>
      <c r="UE83" s="117"/>
      <c r="UF83" s="117"/>
      <c r="UH83" s="117">
        <v>34500</v>
      </c>
      <c r="UI83" s="117">
        <v>2000</v>
      </c>
      <c r="UJ83" s="117"/>
      <c r="UK83" s="117"/>
      <c r="UL83" s="117"/>
      <c r="UO83" s="117"/>
      <c r="UP83" s="117">
        <v>31700</v>
      </c>
      <c r="UQ83" s="117">
        <v>1700</v>
      </c>
      <c r="US83" s="117"/>
      <c r="UU83" s="117"/>
      <c r="UV83" s="117">
        <v>34400</v>
      </c>
      <c r="UW83" s="117">
        <v>4500</v>
      </c>
      <c r="UX83" s="117"/>
      <c r="VB83" s="117"/>
      <c r="VD83" s="118">
        <v>4800</v>
      </c>
      <c r="VG83" s="118">
        <v>35000</v>
      </c>
      <c r="VH83" s="117">
        <v>11000</v>
      </c>
      <c r="VM83" s="117"/>
      <c r="VO83" s="117">
        <v>2000</v>
      </c>
      <c r="VP83" s="117">
        <v>24900</v>
      </c>
      <c r="VQ83" s="117">
        <v>1050</v>
      </c>
      <c r="VS83" s="117"/>
      <c r="VT83" s="117">
        <v>5000</v>
      </c>
    </row>
    <row r="84" spans="1:721" s="117" customFormat="1" ht="69.95" customHeight="1">
      <c r="B84" s="130" t="s">
        <v>877</v>
      </c>
      <c r="C84" s="146"/>
      <c r="D84" s="136" t="s">
        <v>569</v>
      </c>
      <c r="E84" s="130"/>
      <c r="F84" s="121">
        <f t="shared" ref="F84:AK84" si="711">F2</f>
        <v>45663</v>
      </c>
      <c r="G84" s="121">
        <f t="shared" si="711"/>
        <v>45664</v>
      </c>
      <c r="H84" s="121">
        <f t="shared" si="711"/>
        <v>45665</v>
      </c>
      <c r="I84" s="121">
        <f t="shared" si="711"/>
        <v>45666</v>
      </c>
      <c r="J84" s="121">
        <f t="shared" si="711"/>
        <v>45667</v>
      </c>
      <c r="K84" s="122">
        <f t="shared" si="711"/>
        <v>45668</v>
      </c>
      <c r="L84" s="122">
        <f t="shared" si="711"/>
        <v>45669</v>
      </c>
      <c r="M84" s="122" t="str">
        <f t="shared" si="711"/>
        <v>WK02</v>
      </c>
      <c r="N84" s="121">
        <f t="shared" si="711"/>
        <v>45670</v>
      </c>
      <c r="O84" s="121">
        <f t="shared" si="711"/>
        <v>45671</v>
      </c>
      <c r="P84" s="121">
        <f t="shared" si="711"/>
        <v>45672</v>
      </c>
      <c r="Q84" s="121">
        <f t="shared" si="711"/>
        <v>45673</v>
      </c>
      <c r="R84" s="121">
        <f t="shared" si="711"/>
        <v>45674</v>
      </c>
      <c r="S84" s="122">
        <f t="shared" si="711"/>
        <v>45675</v>
      </c>
      <c r="T84" s="122">
        <f t="shared" si="711"/>
        <v>45676</v>
      </c>
      <c r="U84" s="122" t="str">
        <f t="shared" si="711"/>
        <v>WK03</v>
      </c>
      <c r="V84" s="121">
        <f t="shared" si="711"/>
        <v>45677</v>
      </c>
      <c r="W84" s="121">
        <f t="shared" si="711"/>
        <v>45678</v>
      </c>
      <c r="X84" s="121">
        <f t="shared" si="711"/>
        <v>45679</v>
      </c>
      <c r="Y84" s="121">
        <f t="shared" si="711"/>
        <v>45680</v>
      </c>
      <c r="Z84" s="121">
        <f t="shared" si="711"/>
        <v>45681</v>
      </c>
      <c r="AA84" s="122">
        <f t="shared" si="711"/>
        <v>45682</v>
      </c>
      <c r="AB84" s="122">
        <f t="shared" si="711"/>
        <v>45683</v>
      </c>
      <c r="AC84" s="122" t="str">
        <f t="shared" si="711"/>
        <v>WK04</v>
      </c>
      <c r="AD84" s="122">
        <f t="shared" si="711"/>
        <v>45684</v>
      </c>
      <c r="AE84" s="122">
        <f t="shared" si="711"/>
        <v>45685</v>
      </c>
      <c r="AF84" s="122">
        <f t="shared" si="711"/>
        <v>45686</v>
      </c>
      <c r="AG84" s="122">
        <f t="shared" si="711"/>
        <v>45687</v>
      </c>
      <c r="AH84" s="122">
        <f t="shared" si="711"/>
        <v>45688</v>
      </c>
      <c r="AI84" s="122">
        <f t="shared" si="711"/>
        <v>45689</v>
      </c>
      <c r="AJ84" s="122">
        <f t="shared" si="711"/>
        <v>45690</v>
      </c>
      <c r="AK84" s="122" t="str">
        <f t="shared" si="711"/>
        <v>WK05</v>
      </c>
      <c r="AL84" s="122" t="str">
        <f t="shared" ref="AL84:BQ84" si="712">AL2</f>
        <v>JAN</v>
      </c>
      <c r="AM84" s="121">
        <f t="shared" si="712"/>
        <v>45691</v>
      </c>
      <c r="AN84" s="121">
        <f t="shared" si="712"/>
        <v>45692</v>
      </c>
      <c r="AO84" s="121">
        <f t="shared" si="712"/>
        <v>45693</v>
      </c>
      <c r="AP84" s="121">
        <f t="shared" si="712"/>
        <v>45694</v>
      </c>
      <c r="AQ84" s="121">
        <f t="shared" si="712"/>
        <v>45695</v>
      </c>
      <c r="AR84" s="122">
        <f t="shared" si="712"/>
        <v>45696</v>
      </c>
      <c r="AS84" s="122">
        <f t="shared" si="712"/>
        <v>45697</v>
      </c>
      <c r="AT84" s="122" t="str">
        <f t="shared" si="712"/>
        <v>WK06</v>
      </c>
      <c r="AU84" s="121">
        <f t="shared" si="712"/>
        <v>45698</v>
      </c>
      <c r="AV84" s="121">
        <f t="shared" si="712"/>
        <v>45699</v>
      </c>
      <c r="AW84" s="121">
        <f t="shared" si="712"/>
        <v>45700</v>
      </c>
      <c r="AX84" s="121">
        <f t="shared" si="712"/>
        <v>45701</v>
      </c>
      <c r="AY84" s="121">
        <f t="shared" si="712"/>
        <v>45702</v>
      </c>
      <c r="AZ84" s="122">
        <f t="shared" si="712"/>
        <v>45703</v>
      </c>
      <c r="BA84" s="122">
        <f t="shared" si="712"/>
        <v>45704</v>
      </c>
      <c r="BB84" s="122" t="str">
        <f t="shared" si="712"/>
        <v>WK07</v>
      </c>
      <c r="BC84" s="121">
        <f t="shared" si="712"/>
        <v>45705</v>
      </c>
      <c r="BD84" s="121">
        <f t="shared" si="712"/>
        <v>45706</v>
      </c>
      <c r="BE84" s="121">
        <f t="shared" si="712"/>
        <v>45707</v>
      </c>
      <c r="BF84" s="121">
        <f t="shared" si="712"/>
        <v>45708</v>
      </c>
      <c r="BG84" s="121">
        <f t="shared" si="712"/>
        <v>45709</v>
      </c>
      <c r="BH84" s="122">
        <f t="shared" si="712"/>
        <v>45710</v>
      </c>
      <c r="BI84" s="122">
        <f t="shared" si="712"/>
        <v>45711</v>
      </c>
      <c r="BJ84" s="122" t="str">
        <f t="shared" si="712"/>
        <v>WK08</v>
      </c>
      <c r="BK84" s="121">
        <f t="shared" si="712"/>
        <v>45712</v>
      </c>
      <c r="BL84" s="121">
        <f t="shared" si="712"/>
        <v>45713</v>
      </c>
      <c r="BM84" s="121">
        <f t="shared" si="712"/>
        <v>45714</v>
      </c>
      <c r="BN84" s="121">
        <f t="shared" si="712"/>
        <v>45715</v>
      </c>
      <c r="BO84" s="122">
        <f t="shared" si="712"/>
        <v>45716</v>
      </c>
      <c r="BP84" s="122">
        <f t="shared" si="712"/>
        <v>45717</v>
      </c>
      <c r="BQ84" s="122">
        <f t="shared" si="712"/>
        <v>45718</v>
      </c>
      <c r="BR84" s="122" t="str">
        <f t="shared" ref="BR84:CW84" si="713">BR2</f>
        <v>WK09</v>
      </c>
      <c r="BS84" s="122" t="str">
        <f t="shared" si="713"/>
        <v>FEB</v>
      </c>
      <c r="BT84" s="121">
        <f t="shared" si="713"/>
        <v>45719</v>
      </c>
      <c r="BU84" s="121">
        <f t="shared" si="713"/>
        <v>45720</v>
      </c>
      <c r="BV84" s="121">
        <f t="shared" si="713"/>
        <v>45721</v>
      </c>
      <c r="BW84" s="121">
        <f t="shared" si="713"/>
        <v>45722</v>
      </c>
      <c r="BX84" s="121">
        <f t="shared" si="713"/>
        <v>45723</v>
      </c>
      <c r="BY84" s="122">
        <f t="shared" si="713"/>
        <v>45724</v>
      </c>
      <c r="BZ84" s="122">
        <f t="shared" si="713"/>
        <v>45725</v>
      </c>
      <c r="CA84" s="122" t="str">
        <f t="shared" si="713"/>
        <v>WK10</v>
      </c>
      <c r="CB84" s="121">
        <f t="shared" si="713"/>
        <v>45726</v>
      </c>
      <c r="CC84" s="121">
        <f t="shared" si="713"/>
        <v>45727</v>
      </c>
      <c r="CD84" s="121">
        <f t="shared" si="713"/>
        <v>45728</v>
      </c>
      <c r="CE84" s="121">
        <f t="shared" si="713"/>
        <v>45729</v>
      </c>
      <c r="CF84" s="121">
        <f t="shared" si="713"/>
        <v>45730</v>
      </c>
      <c r="CG84" s="122">
        <f t="shared" si="713"/>
        <v>45731</v>
      </c>
      <c r="CH84" s="122">
        <f t="shared" si="713"/>
        <v>45732</v>
      </c>
      <c r="CI84" s="122" t="str">
        <f t="shared" si="713"/>
        <v>WK11</v>
      </c>
      <c r="CJ84" s="121">
        <f t="shared" si="713"/>
        <v>45733</v>
      </c>
      <c r="CK84" s="121">
        <f t="shared" si="713"/>
        <v>45734</v>
      </c>
      <c r="CL84" s="121">
        <f t="shared" si="713"/>
        <v>45735</v>
      </c>
      <c r="CM84" s="121">
        <f t="shared" si="713"/>
        <v>45736</v>
      </c>
      <c r="CN84" s="121">
        <f t="shared" si="713"/>
        <v>45737</v>
      </c>
      <c r="CO84" s="122">
        <f t="shared" si="713"/>
        <v>45738</v>
      </c>
      <c r="CP84" s="122">
        <f t="shared" si="713"/>
        <v>45739</v>
      </c>
      <c r="CQ84" s="122" t="str">
        <f t="shared" si="713"/>
        <v>WK12</v>
      </c>
      <c r="CR84" s="121">
        <f t="shared" si="713"/>
        <v>45740</v>
      </c>
      <c r="CS84" s="121">
        <f t="shared" si="713"/>
        <v>45741</v>
      </c>
      <c r="CT84" s="121">
        <f t="shared" si="713"/>
        <v>45742</v>
      </c>
      <c r="CU84" s="121">
        <f t="shared" si="713"/>
        <v>45743</v>
      </c>
      <c r="CV84" s="121">
        <f t="shared" si="713"/>
        <v>45744</v>
      </c>
      <c r="CW84" s="122">
        <f t="shared" si="713"/>
        <v>45745</v>
      </c>
      <c r="CX84" s="122">
        <f t="shared" ref="CX84:DH84" si="714">CX2</f>
        <v>45746</v>
      </c>
      <c r="CY84" s="122" t="str">
        <f t="shared" si="714"/>
        <v>WK13</v>
      </c>
      <c r="CZ84" s="121">
        <f t="shared" si="714"/>
        <v>45747</v>
      </c>
      <c r="DA84" s="121">
        <f t="shared" si="714"/>
        <v>45748</v>
      </c>
      <c r="DB84" s="121">
        <f t="shared" si="714"/>
        <v>45749</v>
      </c>
      <c r="DC84" s="122">
        <f t="shared" si="714"/>
        <v>45750</v>
      </c>
      <c r="DD84" s="122">
        <f t="shared" si="714"/>
        <v>45751</v>
      </c>
      <c r="DE84" s="122">
        <f t="shared" si="714"/>
        <v>45752</v>
      </c>
      <c r="DF84" s="122">
        <f t="shared" si="714"/>
        <v>45753</v>
      </c>
      <c r="DG84" s="122" t="str">
        <f t="shared" si="714"/>
        <v>WK14</v>
      </c>
      <c r="DH84" s="122" t="str">
        <f t="shared" si="714"/>
        <v>MAR</v>
      </c>
      <c r="DI84" s="121">
        <f>DF84+1</f>
        <v>45754</v>
      </c>
      <c r="DJ84" s="121">
        <f t="shared" ref="DJ84:DO84" si="715">DI84+1</f>
        <v>45755</v>
      </c>
      <c r="DK84" s="121">
        <f t="shared" si="715"/>
        <v>45756</v>
      </c>
      <c r="DL84" s="121">
        <f t="shared" si="715"/>
        <v>45757</v>
      </c>
      <c r="DM84" s="121">
        <f t="shared" si="715"/>
        <v>45758</v>
      </c>
      <c r="DN84" s="122">
        <f t="shared" si="715"/>
        <v>45759</v>
      </c>
      <c r="DO84" s="122">
        <f t="shared" si="715"/>
        <v>45760</v>
      </c>
      <c r="DP84" s="122" t="s">
        <v>577</v>
      </c>
      <c r="DQ84" s="121">
        <f>DO84+1</f>
        <v>45761</v>
      </c>
      <c r="DR84" s="121">
        <f t="shared" ref="DR84:DW84" si="716">DQ84+1</f>
        <v>45762</v>
      </c>
      <c r="DS84" s="121">
        <f t="shared" si="716"/>
        <v>45763</v>
      </c>
      <c r="DT84" s="121">
        <f t="shared" si="716"/>
        <v>45764</v>
      </c>
      <c r="DU84" s="121">
        <f t="shared" si="716"/>
        <v>45765</v>
      </c>
      <c r="DV84" s="122">
        <f t="shared" si="716"/>
        <v>45766</v>
      </c>
      <c r="DW84" s="122">
        <f t="shared" si="716"/>
        <v>45767</v>
      </c>
      <c r="DX84" s="122" t="s">
        <v>578</v>
      </c>
      <c r="DY84" s="121">
        <f>DW84+1</f>
        <v>45768</v>
      </c>
      <c r="DZ84" s="121">
        <f t="shared" ref="DZ84:EE84" si="717">DY84+1</f>
        <v>45769</v>
      </c>
      <c r="EA84" s="121">
        <f t="shared" si="717"/>
        <v>45770</v>
      </c>
      <c r="EB84" s="121">
        <f t="shared" si="717"/>
        <v>45771</v>
      </c>
      <c r="EC84" s="121">
        <f t="shared" si="717"/>
        <v>45772</v>
      </c>
      <c r="ED84" s="122">
        <f t="shared" si="717"/>
        <v>45773</v>
      </c>
      <c r="EE84" s="122">
        <f t="shared" si="717"/>
        <v>45774</v>
      </c>
      <c r="EF84" s="122" t="s">
        <v>579</v>
      </c>
      <c r="EG84" s="121">
        <f>EE84+1</f>
        <v>45775</v>
      </c>
      <c r="EH84" s="121">
        <f t="shared" ref="EH84:EM84" si="718">EG84+1</f>
        <v>45776</v>
      </c>
      <c r="EI84" s="121">
        <f t="shared" si="718"/>
        <v>45777</v>
      </c>
      <c r="EJ84" s="204">
        <f t="shared" si="718"/>
        <v>45778</v>
      </c>
      <c r="EK84" s="204">
        <f t="shared" si="718"/>
        <v>45779</v>
      </c>
      <c r="EL84" s="122">
        <f t="shared" si="718"/>
        <v>45780</v>
      </c>
      <c r="EM84" s="122">
        <f t="shared" si="718"/>
        <v>45781</v>
      </c>
      <c r="EN84" s="122" t="s">
        <v>580</v>
      </c>
      <c r="EO84" s="122" t="s">
        <v>581</v>
      </c>
      <c r="EP84" s="121">
        <f>EM84+1</f>
        <v>45782</v>
      </c>
      <c r="EQ84" s="121">
        <f t="shared" ref="EQ84:EV84" si="719">EP84+1</f>
        <v>45783</v>
      </c>
      <c r="ER84" s="121">
        <f t="shared" si="719"/>
        <v>45784</v>
      </c>
      <c r="ES84" s="121">
        <f t="shared" si="719"/>
        <v>45785</v>
      </c>
      <c r="ET84" s="121">
        <f t="shared" si="719"/>
        <v>45786</v>
      </c>
      <c r="EU84" s="122">
        <f t="shared" si="719"/>
        <v>45787</v>
      </c>
      <c r="EV84" s="122">
        <f t="shared" si="719"/>
        <v>45788</v>
      </c>
      <c r="EW84" s="122" t="s">
        <v>584</v>
      </c>
      <c r="EX84" s="121">
        <f>EV84+1</f>
        <v>45789</v>
      </c>
      <c r="EY84" s="121">
        <f t="shared" ref="EY84:FD84" si="720">EX84+1</f>
        <v>45790</v>
      </c>
      <c r="EZ84" s="121">
        <f t="shared" si="720"/>
        <v>45791</v>
      </c>
      <c r="FA84" s="121">
        <f t="shared" si="720"/>
        <v>45792</v>
      </c>
      <c r="FB84" s="121">
        <f t="shared" si="720"/>
        <v>45793</v>
      </c>
      <c r="FC84" s="122">
        <f t="shared" si="720"/>
        <v>45794</v>
      </c>
      <c r="FD84" s="122">
        <f t="shared" si="720"/>
        <v>45795</v>
      </c>
      <c r="FE84" s="122" t="s">
        <v>585</v>
      </c>
      <c r="FF84" s="121">
        <f>FD84+1</f>
        <v>45796</v>
      </c>
      <c r="FG84" s="121">
        <f t="shared" ref="FG84:FL84" si="721">FF84+1</f>
        <v>45797</v>
      </c>
      <c r="FH84" s="121">
        <f t="shared" si="721"/>
        <v>45798</v>
      </c>
      <c r="FI84" s="121">
        <f t="shared" si="721"/>
        <v>45799</v>
      </c>
      <c r="FJ84" s="121">
        <f t="shared" si="721"/>
        <v>45800</v>
      </c>
      <c r="FK84" s="122">
        <f t="shared" si="721"/>
        <v>45801</v>
      </c>
      <c r="FL84" s="122">
        <f t="shared" si="721"/>
        <v>45802</v>
      </c>
      <c r="FM84" s="122" t="s">
        <v>586</v>
      </c>
      <c r="FN84" s="121">
        <f>FL84+1</f>
        <v>45803</v>
      </c>
      <c r="FO84" s="121">
        <f t="shared" ref="FO84:FT84" si="722">FN84+1</f>
        <v>45804</v>
      </c>
      <c r="FP84" s="121">
        <f t="shared" si="722"/>
        <v>45805</v>
      </c>
      <c r="FQ84" s="121">
        <f t="shared" si="722"/>
        <v>45806</v>
      </c>
      <c r="FR84" s="204">
        <f t="shared" si="722"/>
        <v>45807</v>
      </c>
      <c r="FS84" s="122">
        <f t="shared" si="722"/>
        <v>45808</v>
      </c>
      <c r="FT84" s="122">
        <f t="shared" si="722"/>
        <v>45809</v>
      </c>
      <c r="FU84" s="122" t="s">
        <v>587</v>
      </c>
      <c r="FV84" s="122" t="s">
        <v>588</v>
      </c>
      <c r="FW84" s="121">
        <f>FT84+1</f>
        <v>45810</v>
      </c>
      <c r="FX84" s="121">
        <f t="shared" ref="FX84:GC84" si="723">FW84+1</f>
        <v>45811</v>
      </c>
      <c r="FY84" s="121">
        <f t="shared" si="723"/>
        <v>45812</v>
      </c>
      <c r="FZ84" s="121">
        <f t="shared" si="723"/>
        <v>45813</v>
      </c>
      <c r="GA84" s="121">
        <f t="shared" si="723"/>
        <v>45814</v>
      </c>
      <c r="GB84" s="122">
        <f t="shared" si="723"/>
        <v>45815</v>
      </c>
      <c r="GC84" s="122">
        <f t="shared" si="723"/>
        <v>45816</v>
      </c>
      <c r="GD84" s="122" t="s">
        <v>589</v>
      </c>
      <c r="GE84" s="121">
        <f>GC84+1</f>
        <v>45817</v>
      </c>
      <c r="GF84" s="121">
        <f t="shared" ref="GF84:GK84" si="724">GE84+1</f>
        <v>45818</v>
      </c>
      <c r="GG84" s="121">
        <f t="shared" si="724"/>
        <v>45819</v>
      </c>
      <c r="GH84" s="121">
        <f t="shared" si="724"/>
        <v>45820</v>
      </c>
      <c r="GI84" s="121">
        <f t="shared" si="724"/>
        <v>45821</v>
      </c>
      <c r="GJ84" s="122">
        <f t="shared" si="724"/>
        <v>45822</v>
      </c>
      <c r="GK84" s="122">
        <f t="shared" si="724"/>
        <v>45823</v>
      </c>
      <c r="GL84" s="122" t="s">
        <v>590</v>
      </c>
      <c r="GM84" s="121">
        <f>GK84+1</f>
        <v>45824</v>
      </c>
      <c r="GN84" s="121">
        <f t="shared" ref="GN84:GS84" si="725">GM84+1</f>
        <v>45825</v>
      </c>
      <c r="GO84" s="121">
        <f t="shared" si="725"/>
        <v>45826</v>
      </c>
      <c r="GP84" s="121">
        <f t="shared" si="725"/>
        <v>45827</v>
      </c>
      <c r="GQ84" s="121">
        <f t="shared" si="725"/>
        <v>45828</v>
      </c>
      <c r="GR84" s="122">
        <f t="shared" si="725"/>
        <v>45829</v>
      </c>
      <c r="GS84" s="122">
        <f t="shared" si="725"/>
        <v>45830</v>
      </c>
      <c r="GT84" s="122" t="s">
        <v>591</v>
      </c>
      <c r="GU84" s="121">
        <f>GS84+1</f>
        <v>45831</v>
      </c>
      <c r="GV84" s="121">
        <f t="shared" ref="GV84:HA84" si="726">GU84+1</f>
        <v>45832</v>
      </c>
      <c r="GW84" s="121">
        <f t="shared" si="726"/>
        <v>45833</v>
      </c>
      <c r="GX84" s="121">
        <f t="shared" si="726"/>
        <v>45834</v>
      </c>
      <c r="GY84" s="121">
        <f t="shared" si="726"/>
        <v>45835</v>
      </c>
      <c r="GZ84" s="122">
        <f t="shared" si="726"/>
        <v>45836</v>
      </c>
      <c r="HA84" s="122">
        <f t="shared" si="726"/>
        <v>45837</v>
      </c>
      <c r="HB84" s="122" t="s">
        <v>592</v>
      </c>
      <c r="HC84" s="121">
        <f>HA84+1</f>
        <v>45838</v>
      </c>
      <c r="HD84" s="121">
        <f t="shared" ref="HD84:HI84" si="727">HC84+1</f>
        <v>45839</v>
      </c>
      <c r="HE84" s="121">
        <f t="shared" si="727"/>
        <v>45840</v>
      </c>
      <c r="HF84" s="121">
        <f t="shared" si="727"/>
        <v>45841</v>
      </c>
      <c r="HG84" s="121">
        <f t="shared" si="727"/>
        <v>45842</v>
      </c>
      <c r="HH84" s="122">
        <f t="shared" si="727"/>
        <v>45843</v>
      </c>
      <c r="HI84" s="122">
        <f t="shared" si="727"/>
        <v>45844</v>
      </c>
      <c r="HJ84" s="122" t="s">
        <v>599</v>
      </c>
      <c r="HK84" s="122" t="s">
        <v>593</v>
      </c>
      <c r="HL84" s="262">
        <f>HI84+1</f>
        <v>45845</v>
      </c>
      <c r="HM84" s="121">
        <f t="shared" ref="HM84:HR84" si="728">HL84+1</f>
        <v>45846</v>
      </c>
      <c r="HN84" s="121">
        <f t="shared" si="728"/>
        <v>45847</v>
      </c>
      <c r="HO84" s="121">
        <f t="shared" si="728"/>
        <v>45848</v>
      </c>
      <c r="HP84" s="121">
        <f t="shared" si="728"/>
        <v>45849</v>
      </c>
      <c r="HQ84" s="122">
        <f t="shared" si="728"/>
        <v>45850</v>
      </c>
      <c r="HR84" s="122">
        <f t="shared" si="728"/>
        <v>45851</v>
      </c>
      <c r="HS84" s="122" t="s">
        <v>721</v>
      </c>
      <c r="HT84" s="121">
        <f>HR84+1</f>
        <v>45852</v>
      </c>
      <c r="HU84" s="121">
        <f t="shared" ref="HU84:HZ84" si="729">HT84+1</f>
        <v>45853</v>
      </c>
      <c r="HV84" s="121">
        <f t="shared" si="729"/>
        <v>45854</v>
      </c>
      <c r="HW84" s="121">
        <f t="shared" si="729"/>
        <v>45855</v>
      </c>
      <c r="HX84" s="121">
        <f t="shared" si="729"/>
        <v>45856</v>
      </c>
      <c r="HY84" s="122">
        <f t="shared" si="729"/>
        <v>45857</v>
      </c>
      <c r="HZ84" s="122">
        <f t="shared" si="729"/>
        <v>45858</v>
      </c>
      <c r="IA84" s="122" t="s">
        <v>722</v>
      </c>
      <c r="IB84" s="121">
        <f>HZ84+1</f>
        <v>45859</v>
      </c>
      <c r="IC84" s="121">
        <f t="shared" ref="IC84:IH84" si="730">IB84+1</f>
        <v>45860</v>
      </c>
      <c r="ID84" s="121">
        <f t="shared" si="730"/>
        <v>45861</v>
      </c>
      <c r="IE84" s="121">
        <f t="shared" si="730"/>
        <v>45862</v>
      </c>
      <c r="IF84" s="121">
        <f t="shared" si="730"/>
        <v>45863</v>
      </c>
      <c r="IG84" s="122">
        <f t="shared" si="730"/>
        <v>45864</v>
      </c>
      <c r="IH84" s="122">
        <f t="shared" si="730"/>
        <v>45865</v>
      </c>
      <c r="II84" s="122" t="s">
        <v>723</v>
      </c>
      <c r="IJ84" s="121">
        <f>IH84+1</f>
        <v>45866</v>
      </c>
      <c r="IK84" s="121">
        <f t="shared" ref="IK84:IP84" si="731">IJ84+1</f>
        <v>45867</v>
      </c>
      <c r="IL84" s="121">
        <f t="shared" si="731"/>
        <v>45868</v>
      </c>
      <c r="IM84" s="121">
        <f t="shared" si="731"/>
        <v>45869</v>
      </c>
      <c r="IN84" s="121">
        <f t="shared" si="731"/>
        <v>45870</v>
      </c>
      <c r="IO84" s="122">
        <f t="shared" si="731"/>
        <v>45871</v>
      </c>
      <c r="IP84" s="122">
        <f t="shared" si="731"/>
        <v>45872</v>
      </c>
      <c r="IQ84" s="122" t="s">
        <v>724</v>
      </c>
      <c r="IR84" s="122" t="s">
        <v>725</v>
      </c>
      <c r="IS84" s="121">
        <f>IP84+1</f>
        <v>45873</v>
      </c>
      <c r="IT84" s="121">
        <f t="shared" ref="IT84:IY84" si="732">IS84+1</f>
        <v>45874</v>
      </c>
      <c r="IU84" s="121">
        <f t="shared" si="732"/>
        <v>45875</v>
      </c>
      <c r="IV84" s="121">
        <f t="shared" si="732"/>
        <v>45876</v>
      </c>
      <c r="IW84" s="121">
        <f t="shared" si="732"/>
        <v>45877</v>
      </c>
      <c r="IX84" s="122">
        <f t="shared" si="732"/>
        <v>45878</v>
      </c>
      <c r="IY84" s="122">
        <f t="shared" si="732"/>
        <v>45879</v>
      </c>
      <c r="IZ84" s="122" t="s">
        <v>726</v>
      </c>
      <c r="JA84" s="121">
        <f>IY84+1</f>
        <v>45880</v>
      </c>
      <c r="JB84" s="121">
        <f t="shared" ref="JB84:JG84" si="733">JA84+1</f>
        <v>45881</v>
      </c>
      <c r="JC84" s="121">
        <f t="shared" si="733"/>
        <v>45882</v>
      </c>
      <c r="JD84" s="121">
        <f t="shared" si="733"/>
        <v>45883</v>
      </c>
      <c r="JE84" s="121">
        <f t="shared" si="733"/>
        <v>45884</v>
      </c>
      <c r="JF84" s="122">
        <f t="shared" si="733"/>
        <v>45885</v>
      </c>
      <c r="JG84" s="122">
        <f t="shared" si="733"/>
        <v>45886</v>
      </c>
      <c r="JH84" s="122" t="s">
        <v>727</v>
      </c>
      <c r="JI84" s="121">
        <f>JG84+1</f>
        <v>45887</v>
      </c>
      <c r="JJ84" s="121">
        <f t="shared" ref="JJ84:JO84" si="734">JI84+1</f>
        <v>45888</v>
      </c>
      <c r="JK84" s="121">
        <f t="shared" si="734"/>
        <v>45889</v>
      </c>
      <c r="JL84" s="121">
        <f t="shared" si="734"/>
        <v>45890</v>
      </c>
      <c r="JM84" s="121">
        <f t="shared" si="734"/>
        <v>45891</v>
      </c>
      <c r="JN84" s="122">
        <f t="shared" si="734"/>
        <v>45892</v>
      </c>
      <c r="JO84" s="122">
        <f t="shared" si="734"/>
        <v>45893</v>
      </c>
      <c r="JP84" s="122" t="s">
        <v>728</v>
      </c>
      <c r="JQ84" s="121">
        <f>JO84+1</f>
        <v>45894</v>
      </c>
      <c r="JR84" s="121">
        <f t="shared" ref="JR84:JW84" si="735">JQ84+1</f>
        <v>45895</v>
      </c>
      <c r="JS84" s="121">
        <f t="shared" si="735"/>
        <v>45896</v>
      </c>
      <c r="JT84" s="121">
        <f t="shared" si="735"/>
        <v>45897</v>
      </c>
      <c r="JU84" s="121">
        <f t="shared" si="735"/>
        <v>45898</v>
      </c>
      <c r="JV84" s="122">
        <f t="shared" si="735"/>
        <v>45899</v>
      </c>
      <c r="JW84" s="122">
        <f t="shared" si="735"/>
        <v>45900</v>
      </c>
      <c r="JX84" s="122" t="s">
        <v>729</v>
      </c>
      <c r="JY84" s="122" t="s">
        <v>730</v>
      </c>
      <c r="JZ84" s="121">
        <f>JW84+1</f>
        <v>45901</v>
      </c>
      <c r="KA84" s="121">
        <f t="shared" ref="KA84:KF84" si="736">JZ84+1</f>
        <v>45902</v>
      </c>
      <c r="KB84" s="121">
        <f t="shared" si="736"/>
        <v>45903</v>
      </c>
      <c r="KC84" s="121">
        <f t="shared" si="736"/>
        <v>45904</v>
      </c>
      <c r="KD84" s="121">
        <f t="shared" si="736"/>
        <v>45905</v>
      </c>
      <c r="KE84" s="122">
        <f t="shared" si="736"/>
        <v>45906</v>
      </c>
      <c r="KF84" s="122">
        <f t="shared" si="736"/>
        <v>45907</v>
      </c>
      <c r="KG84" s="122" t="s">
        <v>731</v>
      </c>
      <c r="KH84" s="121">
        <f>KF84+1</f>
        <v>45908</v>
      </c>
      <c r="KI84" s="121">
        <f t="shared" ref="KI84:KN84" si="737">KH84+1</f>
        <v>45909</v>
      </c>
      <c r="KJ84" s="121">
        <f t="shared" si="737"/>
        <v>45910</v>
      </c>
      <c r="KK84" s="121">
        <f t="shared" si="737"/>
        <v>45911</v>
      </c>
      <c r="KL84" s="121">
        <f t="shared" si="737"/>
        <v>45912</v>
      </c>
      <c r="KM84" s="122">
        <f t="shared" si="737"/>
        <v>45913</v>
      </c>
      <c r="KN84" s="122">
        <f t="shared" si="737"/>
        <v>45914</v>
      </c>
      <c r="KO84" s="122" t="s">
        <v>732</v>
      </c>
      <c r="KP84" s="121">
        <f>KN84+1</f>
        <v>45915</v>
      </c>
      <c r="KQ84" s="121">
        <f t="shared" ref="KQ84:KV84" si="738">KP84+1</f>
        <v>45916</v>
      </c>
      <c r="KR84" s="121">
        <f t="shared" si="738"/>
        <v>45917</v>
      </c>
      <c r="KS84" s="121">
        <f t="shared" si="738"/>
        <v>45918</v>
      </c>
      <c r="KT84" s="121">
        <f t="shared" si="738"/>
        <v>45919</v>
      </c>
      <c r="KU84" s="122">
        <f t="shared" si="738"/>
        <v>45920</v>
      </c>
      <c r="KV84" s="122">
        <f t="shared" si="738"/>
        <v>45921</v>
      </c>
      <c r="KW84" s="122" t="s">
        <v>733</v>
      </c>
      <c r="KX84" s="121">
        <f>KV84+1</f>
        <v>45922</v>
      </c>
      <c r="KY84" s="121">
        <f t="shared" ref="KY84:LD84" si="739">KX84+1</f>
        <v>45923</v>
      </c>
      <c r="KZ84" s="121">
        <f t="shared" si="739"/>
        <v>45924</v>
      </c>
      <c r="LA84" s="121">
        <f t="shared" si="739"/>
        <v>45925</v>
      </c>
      <c r="LB84" s="121">
        <f t="shared" si="739"/>
        <v>45926</v>
      </c>
      <c r="LC84" s="122">
        <f t="shared" si="739"/>
        <v>45927</v>
      </c>
      <c r="LD84" s="122">
        <f t="shared" si="739"/>
        <v>45928</v>
      </c>
      <c r="LE84" s="122" t="s">
        <v>734</v>
      </c>
      <c r="LF84" s="204">
        <f>LD84+1</f>
        <v>45929</v>
      </c>
      <c r="LG84" s="121">
        <f t="shared" ref="LG84:LL84" si="740">LF84+1</f>
        <v>45930</v>
      </c>
      <c r="LH84" s="121">
        <f t="shared" si="740"/>
        <v>45931</v>
      </c>
      <c r="LI84" s="121">
        <f t="shared" si="740"/>
        <v>45932</v>
      </c>
      <c r="LJ84" s="121">
        <f t="shared" si="740"/>
        <v>45933</v>
      </c>
      <c r="LK84" s="122">
        <f t="shared" si="740"/>
        <v>45934</v>
      </c>
      <c r="LL84" s="122">
        <f t="shared" si="740"/>
        <v>45935</v>
      </c>
      <c r="LM84" s="122" t="s">
        <v>735</v>
      </c>
      <c r="LN84" s="122" t="s">
        <v>736</v>
      </c>
      <c r="LO84" s="204">
        <f>LL84+1</f>
        <v>45936</v>
      </c>
      <c r="LP84" s="121">
        <f t="shared" ref="LP84:LU84" si="741">LO84+1</f>
        <v>45937</v>
      </c>
      <c r="LQ84" s="121">
        <f t="shared" si="741"/>
        <v>45938</v>
      </c>
      <c r="LR84" s="121">
        <f t="shared" si="741"/>
        <v>45939</v>
      </c>
      <c r="LS84" s="204">
        <f t="shared" si="741"/>
        <v>45940</v>
      </c>
      <c r="LT84" s="122">
        <f t="shared" si="741"/>
        <v>45941</v>
      </c>
      <c r="LU84" s="122">
        <f t="shared" si="741"/>
        <v>45942</v>
      </c>
      <c r="LV84" s="122" t="s">
        <v>744</v>
      </c>
      <c r="LW84" s="121">
        <f>LU84+1</f>
        <v>45943</v>
      </c>
      <c r="LX84" s="121">
        <f t="shared" ref="LX84:MC84" si="742">LW84+1</f>
        <v>45944</v>
      </c>
      <c r="LY84" s="121">
        <f t="shared" si="742"/>
        <v>45945</v>
      </c>
      <c r="LZ84" s="121">
        <f t="shared" si="742"/>
        <v>45946</v>
      </c>
      <c r="MA84" s="121">
        <f t="shared" si="742"/>
        <v>45947</v>
      </c>
      <c r="MB84" s="122">
        <f t="shared" si="742"/>
        <v>45948</v>
      </c>
      <c r="MC84" s="122">
        <f t="shared" si="742"/>
        <v>45949</v>
      </c>
      <c r="MD84" s="122" t="s">
        <v>745</v>
      </c>
      <c r="ME84" s="121">
        <f>MC84+1</f>
        <v>45950</v>
      </c>
      <c r="MF84" s="121">
        <f t="shared" ref="MF84:MK84" si="743">ME84+1</f>
        <v>45951</v>
      </c>
      <c r="MG84" s="121">
        <f t="shared" si="743"/>
        <v>45952</v>
      </c>
      <c r="MH84" s="121">
        <f t="shared" si="743"/>
        <v>45953</v>
      </c>
      <c r="MI84" s="204">
        <f t="shared" si="743"/>
        <v>45954</v>
      </c>
      <c r="MJ84" s="122">
        <f t="shared" si="743"/>
        <v>45955</v>
      </c>
      <c r="MK84" s="122">
        <f t="shared" si="743"/>
        <v>45956</v>
      </c>
      <c r="ML84" s="122" t="s">
        <v>746</v>
      </c>
      <c r="MM84" s="121">
        <f>MK84+1</f>
        <v>45957</v>
      </c>
      <c r="MN84" s="121">
        <f t="shared" ref="MN84:MS84" si="744">MM84+1</f>
        <v>45958</v>
      </c>
      <c r="MO84" s="121">
        <f t="shared" si="744"/>
        <v>45959</v>
      </c>
      <c r="MP84" s="121">
        <f t="shared" si="744"/>
        <v>45960</v>
      </c>
      <c r="MQ84" s="121">
        <f t="shared" si="744"/>
        <v>45961</v>
      </c>
      <c r="MR84" s="122">
        <f t="shared" si="744"/>
        <v>45962</v>
      </c>
      <c r="MS84" s="122">
        <f t="shared" si="744"/>
        <v>45963</v>
      </c>
      <c r="MT84" s="122" t="s">
        <v>747</v>
      </c>
      <c r="MU84" s="122" t="s">
        <v>512</v>
      </c>
      <c r="MV84" s="121">
        <f>MS84+1</f>
        <v>45964</v>
      </c>
      <c r="MW84" s="121">
        <f t="shared" ref="MW84:NB84" si="745">MV84+1</f>
        <v>45965</v>
      </c>
      <c r="MX84" s="121">
        <f t="shared" si="745"/>
        <v>45966</v>
      </c>
      <c r="MY84" s="121">
        <f t="shared" si="745"/>
        <v>45967</v>
      </c>
      <c r="MZ84" s="121">
        <f t="shared" si="745"/>
        <v>45968</v>
      </c>
      <c r="NA84" s="122">
        <f t="shared" si="745"/>
        <v>45969</v>
      </c>
      <c r="NB84" s="122">
        <f t="shared" si="745"/>
        <v>45970</v>
      </c>
      <c r="NC84" s="122" t="s">
        <v>748</v>
      </c>
      <c r="ND84" s="121">
        <f>NB84+1</f>
        <v>45971</v>
      </c>
      <c r="NE84" s="121">
        <f t="shared" ref="NE84:NJ84" si="746">ND84+1</f>
        <v>45972</v>
      </c>
      <c r="NF84" s="121">
        <f t="shared" si="746"/>
        <v>45973</v>
      </c>
      <c r="NG84" s="121">
        <f t="shared" si="746"/>
        <v>45974</v>
      </c>
      <c r="NH84" s="121">
        <f t="shared" si="746"/>
        <v>45975</v>
      </c>
      <c r="NI84" s="122">
        <f t="shared" si="746"/>
        <v>45976</v>
      </c>
      <c r="NJ84" s="122">
        <f t="shared" si="746"/>
        <v>45977</v>
      </c>
      <c r="NK84" s="122" t="s">
        <v>749</v>
      </c>
      <c r="NL84" s="121">
        <f>NJ84+1</f>
        <v>45978</v>
      </c>
      <c r="NM84" s="121">
        <f t="shared" ref="NM84:NR84" si="747">NL84+1</f>
        <v>45979</v>
      </c>
      <c r="NN84" s="121">
        <f t="shared" si="747"/>
        <v>45980</v>
      </c>
      <c r="NO84" s="121">
        <f t="shared" si="747"/>
        <v>45981</v>
      </c>
      <c r="NP84" s="121">
        <f t="shared" si="747"/>
        <v>45982</v>
      </c>
      <c r="NQ84" s="122">
        <f t="shared" si="747"/>
        <v>45983</v>
      </c>
      <c r="NR84" s="122">
        <f t="shared" si="747"/>
        <v>45984</v>
      </c>
      <c r="NS84" s="122" t="s">
        <v>750</v>
      </c>
      <c r="NT84" s="121">
        <f>NR84+1</f>
        <v>45985</v>
      </c>
      <c r="NU84" s="121">
        <f t="shared" ref="NU84:NZ84" si="748">NT84+1</f>
        <v>45986</v>
      </c>
      <c r="NV84" s="121">
        <f t="shared" si="748"/>
        <v>45987</v>
      </c>
      <c r="NW84" s="121">
        <f t="shared" si="748"/>
        <v>45988</v>
      </c>
      <c r="NX84" s="121">
        <f t="shared" si="748"/>
        <v>45989</v>
      </c>
      <c r="NY84" s="122">
        <f t="shared" si="748"/>
        <v>45990</v>
      </c>
      <c r="NZ84" s="122">
        <f t="shared" si="748"/>
        <v>45991</v>
      </c>
      <c r="OA84" s="122" t="s">
        <v>751</v>
      </c>
      <c r="OB84" s="122" t="s">
        <v>514</v>
      </c>
      <c r="OC84" s="121">
        <f>NZ84+1</f>
        <v>45992</v>
      </c>
      <c r="OD84" s="121">
        <f t="shared" ref="OD84:OI84" si="749">OC84+1</f>
        <v>45993</v>
      </c>
      <c r="OE84" s="121">
        <f t="shared" si="749"/>
        <v>45994</v>
      </c>
      <c r="OF84" s="121">
        <f t="shared" si="749"/>
        <v>45995</v>
      </c>
      <c r="OG84" s="121">
        <f t="shared" si="749"/>
        <v>45996</v>
      </c>
      <c r="OH84" s="122">
        <f t="shared" si="749"/>
        <v>45997</v>
      </c>
      <c r="OI84" s="122">
        <f t="shared" si="749"/>
        <v>45998</v>
      </c>
      <c r="OJ84" s="122" t="s">
        <v>752</v>
      </c>
      <c r="OK84" s="121">
        <f>OI84+1</f>
        <v>45999</v>
      </c>
      <c r="OL84" s="121">
        <f t="shared" ref="OL84:OQ84" si="750">OK84+1</f>
        <v>46000</v>
      </c>
      <c r="OM84" s="121">
        <f t="shared" si="750"/>
        <v>46001</v>
      </c>
      <c r="ON84" s="121">
        <f t="shared" si="750"/>
        <v>46002</v>
      </c>
      <c r="OO84" s="121">
        <f t="shared" si="750"/>
        <v>46003</v>
      </c>
      <c r="OP84" s="122">
        <f t="shared" si="750"/>
        <v>46004</v>
      </c>
      <c r="OQ84" s="122">
        <f t="shared" si="750"/>
        <v>46005</v>
      </c>
      <c r="OR84" s="122" t="s">
        <v>753</v>
      </c>
      <c r="OS84" s="121">
        <f>OQ84+1</f>
        <v>46006</v>
      </c>
      <c r="OT84" s="121">
        <f t="shared" ref="OT84:OY84" si="751">OS84+1</f>
        <v>46007</v>
      </c>
      <c r="OU84" s="121">
        <f t="shared" si="751"/>
        <v>46008</v>
      </c>
      <c r="OV84" s="121">
        <f t="shared" si="751"/>
        <v>46009</v>
      </c>
      <c r="OW84" s="121">
        <f t="shared" si="751"/>
        <v>46010</v>
      </c>
      <c r="OX84" s="122">
        <f t="shared" si="751"/>
        <v>46011</v>
      </c>
      <c r="OY84" s="122">
        <f t="shared" si="751"/>
        <v>46012</v>
      </c>
      <c r="OZ84" s="122" t="s">
        <v>754</v>
      </c>
      <c r="PA84" s="121">
        <f>OY84+1</f>
        <v>46013</v>
      </c>
      <c r="PB84" s="121">
        <f t="shared" ref="PB84:PG84" si="752">PA84+1</f>
        <v>46014</v>
      </c>
      <c r="PC84" s="121">
        <f t="shared" si="752"/>
        <v>46015</v>
      </c>
      <c r="PD84" s="204">
        <f t="shared" si="752"/>
        <v>46016</v>
      </c>
      <c r="PE84" s="256">
        <f t="shared" si="752"/>
        <v>46017</v>
      </c>
      <c r="PF84" s="122">
        <f t="shared" si="752"/>
        <v>46018</v>
      </c>
      <c r="PG84" s="122">
        <f t="shared" si="752"/>
        <v>46019</v>
      </c>
      <c r="PH84" s="122" t="s">
        <v>755</v>
      </c>
      <c r="PI84" s="121">
        <f>PG84+1</f>
        <v>46020</v>
      </c>
      <c r="PJ84" s="121">
        <f t="shared" ref="PJ84:PO84" si="753">PI84+1</f>
        <v>46021</v>
      </c>
      <c r="PK84" s="121">
        <f t="shared" si="753"/>
        <v>46022</v>
      </c>
      <c r="PL84" s="204">
        <f t="shared" si="753"/>
        <v>46023</v>
      </c>
      <c r="PM84" s="256">
        <f t="shared" si="753"/>
        <v>46024</v>
      </c>
      <c r="PN84" s="122">
        <f t="shared" si="753"/>
        <v>46025</v>
      </c>
      <c r="PO84" s="122">
        <f t="shared" si="753"/>
        <v>46026</v>
      </c>
      <c r="PP84" s="122" t="s">
        <v>756</v>
      </c>
      <c r="PQ84" s="122" t="s">
        <v>757</v>
      </c>
      <c r="PR84" s="121">
        <v>46027</v>
      </c>
      <c r="PS84" s="121">
        <f>PR84+1</f>
        <v>46028</v>
      </c>
      <c r="PT84" s="121">
        <f>PS84+1</f>
        <v>46029</v>
      </c>
      <c r="PU84" s="121">
        <f t="shared" ref="PU84" si="754">PT84+1</f>
        <v>46030</v>
      </c>
      <c r="PV84" s="121">
        <f>PU84+1</f>
        <v>46031</v>
      </c>
      <c r="PW84" s="204">
        <f t="shared" ref="PW84" si="755">PV84+1</f>
        <v>46032</v>
      </c>
      <c r="PX84" s="204">
        <f>PW84+1</f>
        <v>46033</v>
      </c>
      <c r="PY84" s="122" t="s">
        <v>615</v>
      </c>
      <c r="PZ84" s="121">
        <f>PX84+1</f>
        <v>46034</v>
      </c>
      <c r="QA84" s="121">
        <f>PZ84+1</f>
        <v>46035</v>
      </c>
      <c r="QB84" s="121">
        <f>QA84+1</f>
        <v>46036</v>
      </c>
      <c r="QC84" s="121">
        <f t="shared" ref="QC84" si="756">QB84+1</f>
        <v>46037</v>
      </c>
      <c r="QD84" s="121">
        <f>QC84+1</f>
        <v>46038</v>
      </c>
      <c r="QE84" s="204">
        <f t="shared" ref="QE84" si="757">QD84+1</f>
        <v>46039</v>
      </c>
      <c r="QF84" s="204">
        <f>QE84+1</f>
        <v>46040</v>
      </c>
      <c r="QG84" s="122" t="s">
        <v>616</v>
      </c>
      <c r="QH84" s="121">
        <f>QF84+1</f>
        <v>46041</v>
      </c>
      <c r="QI84" s="121">
        <f>QH84+1</f>
        <v>46042</v>
      </c>
      <c r="QJ84" s="254">
        <f>QI84+1</f>
        <v>46043</v>
      </c>
      <c r="QK84" s="121">
        <f t="shared" ref="QK84" si="758">QJ84+1</f>
        <v>46044</v>
      </c>
      <c r="QL84" s="121">
        <f>QK84+1</f>
        <v>46045</v>
      </c>
      <c r="QM84" s="204">
        <f t="shared" ref="QM84" si="759">QL84+1</f>
        <v>46046</v>
      </c>
      <c r="QN84" s="204">
        <f>QM84+1</f>
        <v>46047</v>
      </c>
      <c r="QO84" s="122" t="s">
        <v>78</v>
      </c>
      <c r="QP84" s="121">
        <f>QN84+1</f>
        <v>46048</v>
      </c>
      <c r="QQ84" s="121">
        <f>QP84+1</f>
        <v>46049</v>
      </c>
      <c r="QR84" s="121">
        <f>QQ84+1</f>
        <v>46050</v>
      </c>
      <c r="QS84" s="121">
        <f t="shared" ref="QS84" si="760">QR84+1</f>
        <v>46051</v>
      </c>
      <c r="QT84" s="121">
        <f>QS84+1</f>
        <v>46052</v>
      </c>
      <c r="QU84" s="204">
        <f t="shared" ref="QU84" si="761">QT84+1</f>
        <v>46053</v>
      </c>
      <c r="QV84" s="204">
        <f>QU84+1</f>
        <v>46054</v>
      </c>
      <c r="QW84" s="122" t="s">
        <v>53</v>
      </c>
      <c r="QX84" s="122" t="s">
        <v>55</v>
      </c>
      <c r="QY84" s="121">
        <f>QV84+1</f>
        <v>46055</v>
      </c>
      <c r="QZ84" s="121">
        <f>QY84+1</f>
        <v>46056</v>
      </c>
      <c r="RA84" s="121">
        <f>QZ84+1</f>
        <v>46057</v>
      </c>
      <c r="RB84" s="121">
        <f t="shared" ref="RB84" si="762">RA84+1</f>
        <v>46058</v>
      </c>
      <c r="RC84" s="121">
        <f>RB84+1</f>
        <v>46059</v>
      </c>
      <c r="RD84" s="204">
        <f t="shared" ref="RD84" si="763">RC84+1</f>
        <v>46060</v>
      </c>
      <c r="RE84" s="204">
        <f>RD84+1</f>
        <v>46061</v>
      </c>
      <c r="RF84" s="122" t="s">
        <v>54</v>
      </c>
      <c r="RG84" s="121">
        <f>RE84+1</f>
        <v>46062</v>
      </c>
      <c r="RH84" s="121">
        <f>RG84+1</f>
        <v>46063</v>
      </c>
      <c r="RI84" s="121">
        <f>RH84+1</f>
        <v>46064</v>
      </c>
      <c r="RJ84" s="121">
        <f t="shared" ref="RJ84" si="764">RI84+1</f>
        <v>46065</v>
      </c>
      <c r="RK84" s="121">
        <f>RJ84+1</f>
        <v>46066</v>
      </c>
      <c r="RL84" s="204">
        <f t="shared" ref="RL84" si="765">RK84+1</f>
        <v>46067</v>
      </c>
      <c r="RM84" s="204">
        <f>RL84+1</f>
        <v>46068</v>
      </c>
      <c r="RN84" s="122" t="s">
        <v>81</v>
      </c>
      <c r="RO84" s="204">
        <f>RM84+1</f>
        <v>46069</v>
      </c>
      <c r="RP84" s="204">
        <f>RO84+1</f>
        <v>46070</v>
      </c>
      <c r="RQ84" s="204">
        <f>RP84+1</f>
        <v>46071</v>
      </c>
      <c r="RR84" s="204">
        <f t="shared" ref="RR84" si="766">RQ84+1</f>
        <v>46072</v>
      </c>
      <c r="RS84" s="204">
        <f>RR84+1</f>
        <v>46073</v>
      </c>
      <c r="RT84" s="204">
        <f t="shared" ref="RT84" si="767">RS84+1</f>
        <v>46074</v>
      </c>
      <c r="RU84" s="204">
        <f>RT84+1</f>
        <v>46075</v>
      </c>
      <c r="RV84" s="122" t="s">
        <v>82</v>
      </c>
      <c r="RW84" s="121">
        <f>RU84+1</f>
        <v>46076</v>
      </c>
      <c r="RX84" s="121">
        <f>RW84+1</f>
        <v>46077</v>
      </c>
      <c r="RY84" s="121">
        <f>RX84+1</f>
        <v>46078</v>
      </c>
      <c r="RZ84" s="121">
        <f t="shared" ref="RZ84" si="768">RY84+1</f>
        <v>46079</v>
      </c>
      <c r="SA84" s="204">
        <f>RZ84+1</f>
        <v>46080</v>
      </c>
      <c r="SB84" s="204">
        <f t="shared" ref="SB84" si="769">SA84+1</f>
        <v>46081</v>
      </c>
      <c r="SC84" s="204">
        <f>SB84+1</f>
        <v>46082</v>
      </c>
      <c r="SD84" s="122" t="s">
        <v>83</v>
      </c>
      <c r="SE84" s="122" t="s">
        <v>56</v>
      </c>
      <c r="SF84" s="121">
        <f>SC84+1</f>
        <v>46083</v>
      </c>
      <c r="SG84" s="121">
        <f>SF84+1</f>
        <v>46084</v>
      </c>
      <c r="SH84" s="121">
        <f>SG84+1</f>
        <v>46085</v>
      </c>
      <c r="SI84" s="121">
        <f t="shared" ref="SI84" si="770">SH84+1</f>
        <v>46086</v>
      </c>
      <c r="SJ84" s="121">
        <f>SI84+1</f>
        <v>46087</v>
      </c>
      <c r="SK84" s="204">
        <f t="shared" ref="SK84" si="771">SJ84+1</f>
        <v>46088</v>
      </c>
      <c r="SL84" s="204">
        <f>SK84+1</f>
        <v>46089</v>
      </c>
      <c r="SM84" s="122" t="s">
        <v>84</v>
      </c>
      <c r="SN84" s="121">
        <f>SL84+1</f>
        <v>46090</v>
      </c>
      <c r="SO84" s="121">
        <f>SN84+1</f>
        <v>46091</v>
      </c>
      <c r="SP84" s="121">
        <f>SO84+1</f>
        <v>46092</v>
      </c>
      <c r="SQ84" s="121">
        <f t="shared" ref="SQ84" si="772">SP84+1</f>
        <v>46093</v>
      </c>
      <c r="SR84" s="121">
        <f>SQ84+1</f>
        <v>46094</v>
      </c>
      <c r="SS84" s="204">
        <f t="shared" ref="SS84" si="773">SR84+1</f>
        <v>46095</v>
      </c>
      <c r="ST84" s="204">
        <f>SS84+1</f>
        <v>46096</v>
      </c>
      <c r="SU84" s="122" t="s">
        <v>576</v>
      </c>
      <c r="SV84" s="121">
        <f>ST84+1</f>
        <v>46097</v>
      </c>
      <c r="SW84" s="121">
        <f>SV84+1</f>
        <v>46098</v>
      </c>
      <c r="SX84" s="121">
        <f>SW84+1</f>
        <v>46099</v>
      </c>
      <c r="SY84" s="121">
        <f t="shared" ref="SY84" si="774">SX84+1</f>
        <v>46100</v>
      </c>
      <c r="SZ84" s="121">
        <f>SY84+1</f>
        <v>46101</v>
      </c>
      <c r="TA84" s="204">
        <f t="shared" ref="TA84" si="775">SZ84+1</f>
        <v>46102</v>
      </c>
      <c r="TB84" s="204">
        <f>TA84+1</f>
        <v>46103</v>
      </c>
      <c r="TC84" s="122" t="s">
        <v>575</v>
      </c>
      <c r="TD84" s="121">
        <f>TB84+1</f>
        <v>46104</v>
      </c>
      <c r="TE84" s="121">
        <f>TD84+1</f>
        <v>46105</v>
      </c>
      <c r="TF84" s="121">
        <f>TE84+1</f>
        <v>46106</v>
      </c>
      <c r="TG84" s="121">
        <f t="shared" ref="TG84" si="776">TF84+1</f>
        <v>46107</v>
      </c>
      <c r="TH84" s="121">
        <f>TG84+1</f>
        <v>46108</v>
      </c>
      <c r="TI84" s="204">
        <f t="shared" ref="TI84" si="777">TH84+1</f>
        <v>46109</v>
      </c>
      <c r="TJ84" s="204">
        <f>TI84+1</f>
        <v>46110</v>
      </c>
      <c r="TK84" s="122" t="s">
        <v>574</v>
      </c>
      <c r="TL84" s="121">
        <f>TJ84+1</f>
        <v>46111</v>
      </c>
      <c r="TM84" s="121">
        <f>TL84+1</f>
        <v>46112</v>
      </c>
      <c r="TN84" s="121">
        <f>TM84+1</f>
        <v>46113</v>
      </c>
      <c r="TO84" s="121">
        <f t="shared" ref="TO84" si="778">TN84+1</f>
        <v>46114</v>
      </c>
      <c r="TP84" s="204">
        <f>TO84+1</f>
        <v>46115</v>
      </c>
      <c r="TQ84" s="204">
        <f t="shared" ref="TQ84" si="779">TP84+1</f>
        <v>46116</v>
      </c>
      <c r="TR84" s="204">
        <f>TQ84+1</f>
        <v>46117</v>
      </c>
      <c r="TS84" s="122" t="s">
        <v>573</v>
      </c>
      <c r="TT84" s="122" t="s">
        <v>85</v>
      </c>
      <c r="TU84" s="204">
        <v>46118</v>
      </c>
      <c r="TV84" s="121">
        <f>TU84+1</f>
        <v>46119</v>
      </c>
      <c r="TW84" s="121">
        <f>TV84+1</f>
        <v>46120</v>
      </c>
      <c r="TX84" s="121">
        <f t="shared" ref="TX84" si="780">TW84+1</f>
        <v>46121</v>
      </c>
      <c r="TY84" s="121">
        <f>TX84+1</f>
        <v>46122</v>
      </c>
      <c r="TZ84" s="204">
        <f t="shared" ref="TZ84" si="781">TY84+1</f>
        <v>46123</v>
      </c>
      <c r="UA84" s="204">
        <f>TZ84+1</f>
        <v>46124</v>
      </c>
      <c r="UB84" s="122" t="s">
        <v>577</v>
      </c>
      <c r="UC84" s="121">
        <f>UA84+1</f>
        <v>46125</v>
      </c>
      <c r="UD84" s="121">
        <f>UC84+1</f>
        <v>46126</v>
      </c>
      <c r="UE84" s="121">
        <f>UD84+1</f>
        <v>46127</v>
      </c>
      <c r="UF84" s="121">
        <f t="shared" ref="UF84" si="782">UE84+1</f>
        <v>46128</v>
      </c>
      <c r="UG84" s="121">
        <f>UF84+1</f>
        <v>46129</v>
      </c>
      <c r="UH84" s="204">
        <f t="shared" ref="UH84" si="783">UG84+1</f>
        <v>46130</v>
      </c>
      <c r="UI84" s="204">
        <f>UH84+1</f>
        <v>46131</v>
      </c>
      <c r="UJ84" s="122" t="s">
        <v>578</v>
      </c>
      <c r="UK84" s="121">
        <f>UI84+1</f>
        <v>46132</v>
      </c>
      <c r="UL84" s="121">
        <f>UK84+1</f>
        <v>46133</v>
      </c>
      <c r="UM84" s="121">
        <f>UL84+1</f>
        <v>46134</v>
      </c>
      <c r="UN84" s="121">
        <f t="shared" ref="UN84" si="784">UM84+1</f>
        <v>46135</v>
      </c>
      <c r="UO84" s="121">
        <f>UN84+1</f>
        <v>46136</v>
      </c>
      <c r="UP84" s="204">
        <f t="shared" ref="UP84" si="785">UO84+1</f>
        <v>46137</v>
      </c>
      <c r="UQ84" s="204">
        <f>UP84+1</f>
        <v>46138</v>
      </c>
      <c r="UR84" s="122" t="s">
        <v>579</v>
      </c>
      <c r="US84" s="121">
        <f>UQ84+1</f>
        <v>46139</v>
      </c>
      <c r="UT84" s="121">
        <f>US84+1</f>
        <v>46140</v>
      </c>
      <c r="UU84" s="121">
        <f>UT84+1</f>
        <v>46141</v>
      </c>
      <c r="UV84" s="121">
        <f t="shared" ref="UV84" si="786">UU84+1</f>
        <v>46142</v>
      </c>
      <c r="UW84" s="204">
        <f>UV84+1</f>
        <v>46143</v>
      </c>
      <c r="UX84" s="204">
        <f t="shared" ref="UX84" si="787">UW84+1</f>
        <v>46144</v>
      </c>
      <c r="UY84" s="204">
        <f>UX84+1</f>
        <v>46145</v>
      </c>
      <c r="UZ84" s="122" t="s">
        <v>580</v>
      </c>
      <c r="VA84" s="122" t="s">
        <v>581</v>
      </c>
      <c r="VB84" s="121">
        <f>UY84+1</f>
        <v>46146</v>
      </c>
      <c r="VC84" s="121">
        <f>VB84+1</f>
        <v>46147</v>
      </c>
      <c r="VD84" s="121">
        <f>VC84+1</f>
        <v>46148</v>
      </c>
      <c r="VE84" s="121">
        <f t="shared" ref="VE84" si="788">VD84+1</f>
        <v>46149</v>
      </c>
      <c r="VF84" s="121">
        <f>VE84+1</f>
        <v>46150</v>
      </c>
      <c r="VG84" s="204">
        <f t="shared" ref="VG84" si="789">VF84+1</f>
        <v>46151</v>
      </c>
      <c r="VH84" s="204">
        <f>VG84+1</f>
        <v>46152</v>
      </c>
      <c r="VI84" s="122" t="s">
        <v>584</v>
      </c>
      <c r="VJ84" s="121">
        <f>VH84+1</f>
        <v>46153</v>
      </c>
      <c r="VK84" s="121">
        <f>VJ84+1</f>
        <v>46154</v>
      </c>
      <c r="VL84" s="121">
        <f>VK84+1</f>
        <v>46155</v>
      </c>
      <c r="VM84" s="121">
        <f t="shared" ref="VM84" si="790">VL84+1</f>
        <v>46156</v>
      </c>
      <c r="VN84" s="121">
        <f>VM84+1</f>
        <v>46157</v>
      </c>
      <c r="VO84" s="204">
        <f t="shared" ref="VO84" si="791">VN84+1</f>
        <v>46158</v>
      </c>
      <c r="VP84" s="204">
        <f>VO84+1</f>
        <v>46159</v>
      </c>
      <c r="VQ84" s="122" t="s">
        <v>585</v>
      </c>
      <c r="VR84" s="121">
        <f>VP84+1</f>
        <v>46160</v>
      </c>
      <c r="VS84" s="121">
        <f>VR84+1</f>
        <v>46161</v>
      </c>
      <c r="VT84" s="121">
        <f>VS84+1</f>
        <v>46162</v>
      </c>
      <c r="VU84" s="121">
        <f t="shared" ref="VU84" si="792">VT84+1</f>
        <v>46163</v>
      </c>
      <c r="VV84" s="121">
        <f>VU84+1</f>
        <v>46164</v>
      </c>
      <c r="VW84" s="204">
        <f t="shared" ref="VW84" si="793">VV84+1</f>
        <v>46165</v>
      </c>
      <c r="VX84" s="204">
        <f>VW84+1</f>
        <v>46166</v>
      </c>
      <c r="VY84" s="122" t="s">
        <v>586</v>
      </c>
      <c r="VZ84" s="121">
        <f>VX84+1</f>
        <v>46167</v>
      </c>
      <c r="WA84" s="121">
        <f>VZ84+1</f>
        <v>46168</v>
      </c>
      <c r="WB84" s="121">
        <f>WA84+1</f>
        <v>46169</v>
      </c>
      <c r="WC84" s="121">
        <f t="shared" ref="WC84" si="794">WB84+1</f>
        <v>46170</v>
      </c>
      <c r="WD84" s="121">
        <f>WC84+1</f>
        <v>46171</v>
      </c>
      <c r="WE84" s="204">
        <f t="shared" ref="WE84" si="795">WD84+1</f>
        <v>46172</v>
      </c>
      <c r="WF84" s="204">
        <f>WE84+1</f>
        <v>46173</v>
      </c>
      <c r="WG84" s="122" t="s">
        <v>587</v>
      </c>
      <c r="WH84" s="122" t="s">
        <v>588</v>
      </c>
      <c r="WI84" s="121">
        <f>WF84+1</f>
        <v>46174</v>
      </c>
      <c r="WJ84" s="121">
        <f>WI84+1</f>
        <v>46175</v>
      </c>
      <c r="WK84" s="121">
        <f>WJ84+1</f>
        <v>46176</v>
      </c>
      <c r="WL84" s="121">
        <f t="shared" ref="WL84" si="796">WK84+1</f>
        <v>46177</v>
      </c>
      <c r="WM84" s="121">
        <f>WL84+1</f>
        <v>46178</v>
      </c>
      <c r="WN84" s="204">
        <f t="shared" ref="WN84" si="797">WM84+1</f>
        <v>46179</v>
      </c>
      <c r="WO84" s="204">
        <f>WN84+1</f>
        <v>46180</v>
      </c>
      <c r="WP84" s="122" t="s">
        <v>589</v>
      </c>
      <c r="WQ84" s="121">
        <f>WO84+1</f>
        <v>46181</v>
      </c>
      <c r="WR84" s="121">
        <f>WQ84+1</f>
        <v>46182</v>
      </c>
      <c r="WS84" s="121">
        <f>WR84+1</f>
        <v>46183</v>
      </c>
      <c r="WT84" s="121">
        <f t="shared" ref="WT84" si="798">WS84+1</f>
        <v>46184</v>
      </c>
      <c r="WU84" s="121">
        <f>WT84+1</f>
        <v>46185</v>
      </c>
      <c r="WV84" s="204">
        <f t="shared" ref="WV84" si="799">WU84+1</f>
        <v>46186</v>
      </c>
      <c r="WW84" s="204">
        <f>WV84+1</f>
        <v>46187</v>
      </c>
      <c r="WX84" s="122" t="s">
        <v>590</v>
      </c>
      <c r="WY84" s="121">
        <f>WW84+1</f>
        <v>46188</v>
      </c>
      <c r="WZ84" s="121">
        <f>WY84+1</f>
        <v>46189</v>
      </c>
      <c r="XA84" s="121">
        <f>WZ84+1</f>
        <v>46190</v>
      </c>
      <c r="XB84" s="121">
        <f t="shared" ref="XB84" si="800">XA84+1</f>
        <v>46191</v>
      </c>
      <c r="XC84" s="204">
        <f>XB84+1</f>
        <v>46192</v>
      </c>
      <c r="XD84" s="204">
        <f t="shared" ref="XD84" si="801">XC84+1</f>
        <v>46193</v>
      </c>
      <c r="XE84" s="204">
        <f>XD84+1</f>
        <v>46194</v>
      </c>
      <c r="XF84" s="122" t="s">
        <v>591</v>
      </c>
      <c r="XG84" s="121">
        <f>XE84+1</f>
        <v>46195</v>
      </c>
      <c r="XH84" s="121">
        <f>XG84+1</f>
        <v>46196</v>
      </c>
      <c r="XI84" s="121">
        <f>XH84+1</f>
        <v>46197</v>
      </c>
      <c r="XJ84" s="121">
        <f t="shared" ref="XJ84" si="802">XI84+1</f>
        <v>46198</v>
      </c>
      <c r="XK84" s="121">
        <f>XJ84+1</f>
        <v>46199</v>
      </c>
      <c r="XL84" s="204">
        <f t="shared" ref="XL84" si="803">XK84+1</f>
        <v>46200</v>
      </c>
      <c r="XM84" s="204">
        <f>XL84+1</f>
        <v>46201</v>
      </c>
      <c r="XN84" s="122" t="s">
        <v>592</v>
      </c>
      <c r="XO84" s="121">
        <f>XM84+1</f>
        <v>46202</v>
      </c>
      <c r="XP84" s="121">
        <f>XO84+1</f>
        <v>46203</v>
      </c>
      <c r="XQ84" s="121">
        <f>XP84+1</f>
        <v>46204</v>
      </c>
      <c r="XR84" s="121">
        <f t="shared" ref="XR84" si="804">XQ84+1</f>
        <v>46205</v>
      </c>
      <c r="XS84" s="121">
        <f>XR84+1</f>
        <v>46206</v>
      </c>
      <c r="XT84" s="204">
        <f t="shared" ref="XT84" si="805">XS84+1</f>
        <v>46207</v>
      </c>
      <c r="XU84" s="204">
        <f>XT84+1</f>
        <v>46208</v>
      </c>
      <c r="XV84" s="122" t="s">
        <v>599</v>
      </c>
      <c r="XW84" s="122" t="s">
        <v>593</v>
      </c>
      <c r="XX84" s="121">
        <f>XU84+1</f>
        <v>46209</v>
      </c>
      <c r="XY84" s="121">
        <f>XX84+1</f>
        <v>46210</v>
      </c>
      <c r="XZ84" s="121">
        <f>XY84+1</f>
        <v>46211</v>
      </c>
      <c r="YA84" s="121">
        <f t="shared" ref="YA84" si="806">XZ84+1</f>
        <v>46212</v>
      </c>
      <c r="YB84" s="121">
        <f>YA84+1</f>
        <v>46213</v>
      </c>
      <c r="YC84" s="204">
        <f t="shared" ref="YC84" si="807">YB84+1</f>
        <v>46214</v>
      </c>
      <c r="YD84" s="204">
        <f>YC84+1</f>
        <v>46215</v>
      </c>
      <c r="YE84" s="122" t="s">
        <v>721</v>
      </c>
      <c r="YF84" s="121">
        <f>YD84+1</f>
        <v>46216</v>
      </c>
      <c r="YG84" s="121">
        <f>YF84+1</f>
        <v>46217</v>
      </c>
      <c r="YH84" s="121">
        <f>YG84+1</f>
        <v>46218</v>
      </c>
      <c r="YI84" s="121">
        <f t="shared" ref="YI84" si="808">YH84+1</f>
        <v>46219</v>
      </c>
      <c r="YJ84" s="121">
        <f>YI84+1</f>
        <v>46220</v>
      </c>
      <c r="YK84" s="204">
        <f t="shared" ref="YK84" si="809">YJ84+1</f>
        <v>46221</v>
      </c>
      <c r="YL84" s="204">
        <f>YK84+1</f>
        <v>46222</v>
      </c>
      <c r="YM84" s="122" t="s">
        <v>722</v>
      </c>
      <c r="YN84" s="121">
        <f>YL84+1</f>
        <v>46223</v>
      </c>
      <c r="YO84" s="121">
        <f>YN84+1</f>
        <v>46224</v>
      </c>
      <c r="YP84" s="121">
        <f>YO84+1</f>
        <v>46225</v>
      </c>
      <c r="YQ84" s="121">
        <f t="shared" ref="YQ84" si="810">YP84+1</f>
        <v>46226</v>
      </c>
      <c r="YR84" s="121">
        <f>YQ84+1</f>
        <v>46227</v>
      </c>
      <c r="YS84" s="204">
        <f t="shared" ref="YS84" si="811">YR84+1</f>
        <v>46228</v>
      </c>
      <c r="YT84" s="204">
        <f>YS84+1</f>
        <v>46229</v>
      </c>
      <c r="YU84" s="122" t="s">
        <v>723</v>
      </c>
      <c r="YV84" s="121">
        <f>YT84+1</f>
        <v>46230</v>
      </c>
      <c r="YW84" s="121">
        <f>YV84+1</f>
        <v>46231</v>
      </c>
      <c r="YX84" s="121">
        <f>YW84+1</f>
        <v>46232</v>
      </c>
      <c r="YY84" s="121">
        <f t="shared" ref="YY84" si="812">YX84+1</f>
        <v>46233</v>
      </c>
      <c r="YZ84" s="121">
        <f>YY84+1</f>
        <v>46234</v>
      </c>
      <c r="ZA84" s="204">
        <f t="shared" ref="ZA84" si="813">YZ84+1</f>
        <v>46235</v>
      </c>
      <c r="ZB84" s="204">
        <f>ZA84+1</f>
        <v>46236</v>
      </c>
      <c r="ZC84" s="122" t="s">
        <v>724</v>
      </c>
      <c r="ZD84" s="122" t="s">
        <v>725</v>
      </c>
      <c r="ZE84" s="121">
        <f>ZB84+1</f>
        <v>46237</v>
      </c>
      <c r="ZF84" s="121">
        <f>ZE84+1</f>
        <v>46238</v>
      </c>
      <c r="ZG84" s="121">
        <f>ZF84+1</f>
        <v>46239</v>
      </c>
      <c r="ZH84" s="121">
        <f t="shared" ref="ZH84" si="814">ZG84+1</f>
        <v>46240</v>
      </c>
      <c r="ZI84" s="121">
        <f>ZH84+1</f>
        <v>46241</v>
      </c>
      <c r="ZJ84" s="204">
        <f t="shared" ref="ZJ84" si="815">ZI84+1</f>
        <v>46242</v>
      </c>
      <c r="ZK84" s="204">
        <f>ZJ84+1</f>
        <v>46243</v>
      </c>
      <c r="ZL84" s="122" t="s">
        <v>726</v>
      </c>
      <c r="ZM84" s="121">
        <f>ZK84+1</f>
        <v>46244</v>
      </c>
      <c r="ZN84" s="121">
        <f>ZM84+1</f>
        <v>46245</v>
      </c>
      <c r="ZO84" s="121">
        <f>ZN84+1</f>
        <v>46246</v>
      </c>
      <c r="ZP84" s="121">
        <f t="shared" ref="ZP84" si="816">ZO84+1</f>
        <v>46247</v>
      </c>
      <c r="ZQ84" s="121">
        <f>ZP84+1</f>
        <v>46248</v>
      </c>
      <c r="ZR84" s="204">
        <f t="shared" ref="ZR84" si="817">ZQ84+1</f>
        <v>46249</v>
      </c>
      <c r="ZS84" s="204">
        <f>ZR84+1</f>
        <v>46250</v>
      </c>
      <c r="ZT84" s="122" t="s">
        <v>727</v>
      </c>
      <c r="ZU84" s="121">
        <f>ZS84+1</f>
        <v>46251</v>
      </c>
      <c r="ZV84" s="121">
        <f>ZU84+1</f>
        <v>46252</v>
      </c>
      <c r="ZW84" s="121">
        <f>ZV84+1</f>
        <v>46253</v>
      </c>
      <c r="ZX84" s="121">
        <f t="shared" ref="ZX84" si="818">ZW84+1</f>
        <v>46254</v>
      </c>
      <c r="ZY84" s="121">
        <f>ZX84+1</f>
        <v>46255</v>
      </c>
      <c r="ZZ84" s="204">
        <f t="shared" ref="ZZ84" si="819">ZY84+1</f>
        <v>46256</v>
      </c>
      <c r="AAA84" s="204">
        <f>ZZ84+1</f>
        <v>46257</v>
      </c>
      <c r="AAB84" s="122" t="s">
        <v>728</v>
      </c>
      <c r="AAC84" s="121">
        <f>AAA84+1</f>
        <v>46258</v>
      </c>
      <c r="AAD84" s="121">
        <f>AAC84+1</f>
        <v>46259</v>
      </c>
      <c r="AAE84" s="121">
        <f>AAD84+1</f>
        <v>46260</v>
      </c>
      <c r="AAF84" s="121">
        <f t="shared" ref="AAF84" si="820">AAE84+1</f>
        <v>46261</v>
      </c>
      <c r="AAG84" s="121">
        <f>AAF84+1</f>
        <v>46262</v>
      </c>
      <c r="AAH84" s="204">
        <f t="shared" ref="AAH84" si="821">AAG84+1</f>
        <v>46263</v>
      </c>
      <c r="AAI84" s="204">
        <f>AAH84+1</f>
        <v>46264</v>
      </c>
      <c r="AAJ84" s="122" t="s">
        <v>729</v>
      </c>
      <c r="AAK84" s="121">
        <f>AAI84+1</f>
        <v>46265</v>
      </c>
      <c r="AAL84" s="121">
        <f>AAK84+1</f>
        <v>46266</v>
      </c>
      <c r="AAM84" s="121">
        <f>AAL84+1</f>
        <v>46267</v>
      </c>
      <c r="AAN84" s="121">
        <f t="shared" ref="AAN84" si="822">AAM84+1</f>
        <v>46268</v>
      </c>
      <c r="AAO84" s="121">
        <f>AAN84+1</f>
        <v>46269</v>
      </c>
      <c r="AAP84" s="204">
        <f t="shared" ref="AAP84" si="823">AAO84+1</f>
        <v>46270</v>
      </c>
      <c r="AAQ84" s="204">
        <f>AAP84+1</f>
        <v>46271</v>
      </c>
      <c r="AAR84" s="122" t="s">
        <v>731</v>
      </c>
      <c r="AAS84" s="122" t="s">
        <v>730</v>
      </c>
    </row>
    <row r="85" spans="1:721" ht="69.95" customHeight="1">
      <c r="B85" s="151">
        <v>3630101402</v>
      </c>
      <c r="C85" s="323" t="s">
        <v>741</v>
      </c>
      <c r="D85" s="152" t="s">
        <v>3</v>
      </c>
      <c r="E85" s="130" t="s">
        <v>4</v>
      </c>
      <c r="F85" s="120"/>
      <c r="G85" s="120"/>
      <c r="H85" s="120"/>
      <c r="I85" s="120"/>
      <c r="J85" s="120"/>
      <c r="K85" s="209"/>
      <c r="L85" s="205"/>
      <c r="M85" s="205">
        <f t="shared" ref="M85:M89" si="824">SUM(F85:L85)</f>
        <v>0</v>
      </c>
      <c r="N85" s="120"/>
      <c r="O85" s="120"/>
      <c r="P85" s="120"/>
      <c r="Q85" s="120"/>
      <c r="R85" s="120"/>
      <c r="S85" s="209"/>
      <c r="T85" s="205"/>
      <c r="U85" s="205">
        <f t="shared" ref="U85:U89" si="825">SUM(N85:T85)</f>
        <v>0</v>
      </c>
      <c r="V85" s="201">
        <v>1800</v>
      </c>
      <c r="W85" s="201">
        <v>1000</v>
      </c>
      <c r="X85" s="120"/>
      <c r="Y85" s="120"/>
      <c r="Z85" s="120"/>
      <c r="AA85" s="209"/>
      <c r="AB85" s="205"/>
      <c r="AC85" s="205">
        <f t="shared" ref="AC85:AC89" si="826">SUM(V85:AB85)</f>
        <v>2800</v>
      </c>
      <c r="AD85" s="205"/>
      <c r="AE85" s="205"/>
      <c r="AF85" s="205"/>
      <c r="AG85" s="205"/>
      <c r="AH85" s="205"/>
      <c r="AI85" s="209"/>
      <c r="AJ85" s="205"/>
      <c r="AK85" s="205">
        <f t="shared" ref="AK85:AK89" si="827">SUM(AD85:AJ85)</f>
        <v>0</v>
      </c>
      <c r="AL85" s="205" t="e">
        <f>SUM(#REF!,M85,U85,AC85,AD85:AH85)</f>
        <v>#REF!</v>
      </c>
      <c r="AM85" s="120"/>
      <c r="AN85" s="120"/>
      <c r="AO85" s="120"/>
      <c r="AP85" s="120"/>
      <c r="AQ85" s="120"/>
      <c r="AR85" s="209"/>
      <c r="AS85" s="205"/>
      <c r="AT85" s="205">
        <f t="shared" ref="AT85:AT89" si="828">SUM(AM85:AS85)</f>
        <v>0</v>
      </c>
      <c r="AU85" s="120"/>
      <c r="AV85" s="120"/>
      <c r="AW85" s="120"/>
      <c r="AX85" s="120"/>
      <c r="AY85" s="120"/>
      <c r="AZ85" s="209"/>
      <c r="BA85" s="205"/>
      <c r="BB85" s="205">
        <f t="shared" ref="BB85:BB89" si="829">SUM(AU85:BA85)</f>
        <v>0</v>
      </c>
      <c r="BC85" s="120"/>
      <c r="BD85" s="120"/>
      <c r="BE85" s="120"/>
      <c r="BF85" s="124">
        <v>1000</v>
      </c>
      <c r="BG85" s="120"/>
      <c r="BH85" s="209"/>
      <c r="BI85" s="205"/>
      <c r="BJ85" s="205">
        <f t="shared" ref="BJ85:BJ89" si="830">SUM(BC85:BI85)</f>
        <v>1000</v>
      </c>
      <c r="BK85" s="120"/>
      <c r="BL85" s="250">
        <v>1000</v>
      </c>
      <c r="BM85" s="120"/>
      <c r="BN85" s="120"/>
      <c r="BO85" s="205"/>
      <c r="BP85" s="209"/>
      <c r="BQ85" s="205"/>
      <c r="BR85" s="205">
        <f t="shared" ref="BR85:BR89" si="831">SUM(BK85:BQ85)</f>
        <v>1000</v>
      </c>
      <c r="BS85" s="205">
        <f t="shared" ref="BS85:BS119" si="832">SUM(AI85:AJ85,AT85,BB85,BJ85,BK85:BO85)</f>
        <v>2000</v>
      </c>
      <c r="BT85" s="120"/>
      <c r="BU85" s="250">
        <v>2000</v>
      </c>
      <c r="BV85" s="120"/>
      <c r="BW85" s="120"/>
      <c r="BX85" s="120"/>
      <c r="BY85" s="209"/>
      <c r="BZ85" s="205"/>
      <c r="CA85" s="205">
        <f t="shared" ref="CA85:CA89" si="833">SUM(BT85:BZ85)</f>
        <v>2000</v>
      </c>
      <c r="CB85" s="120"/>
      <c r="CC85" s="120"/>
      <c r="CD85" s="120"/>
      <c r="CE85" s="120"/>
      <c r="CF85" s="120"/>
      <c r="CG85" s="209"/>
      <c r="CH85" s="205"/>
      <c r="CI85" s="205">
        <f t="shared" ref="CI85:CI89" si="834">SUM(CB85:CH85)</f>
        <v>0</v>
      </c>
      <c r="CJ85" s="120"/>
      <c r="CK85" s="120"/>
      <c r="CL85" s="195">
        <v>1000</v>
      </c>
      <c r="CM85" s="120"/>
      <c r="CN85" s="120"/>
      <c r="CO85" s="209"/>
      <c r="CP85" s="205"/>
      <c r="CQ85" s="205">
        <f t="shared" ref="CQ85:CQ89" si="835">SUM(CJ85:CP85)</f>
        <v>1000</v>
      </c>
      <c r="CR85" s="120"/>
      <c r="CS85" s="120"/>
      <c r="CT85" s="120"/>
      <c r="CU85" s="120"/>
      <c r="CV85" s="120"/>
      <c r="CW85" s="209"/>
      <c r="CX85" s="205"/>
      <c r="CY85" s="205">
        <f t="shared" ref="CY85:CY89" si="836">SUM(CR85:CX85)</f>
        <v>0</v>
      </c>
      <c r="CZ85" s="120"/>
      <c r="DA85" s="120"/>
      <c r="DB85" s="120"/>
      <c r="DC85" s="205"/>
      <c r="DD85" s="205"/>
      <c r="DE85" s="209"/>
      <c r="DF85" s="205"/>
      <c r="DG85" s="205">
        <f t="shared" ref="DG85:DG89" si="837">SUM(CZ85:DF85)</f>
        <v>0</v>
      </c>
      <c r="DH85" s="205">
        <f t="shared" ref="DH85:DH119" si="838">SUM(CA85,CI85,CQ85,CY85,CZ85)</f>
        <v>3000</v>
      </c>
      <c r="DI85" s="207"/>
      <c r="DJ85" s="250">
        <v>2000</v>
      </c>
      <c r="DK85" s="120">
        <v>2000</v>
      </c>
      <c r="DL85" s="120">
        <v>2000</v>
      </c>
      <c r="DM85" s="120"/>
      <c r="DN85" s="209"/>
      <c r="DO85" s="205"/>
      <c r="DP85" s="205">
        <f t="shared" ref="DP85:DP119" si="839">SUM(DI85:DO85)</f>
        <v>6000</v>
      </c>
      <c r="DQ85" s="120"/>
      <c r="DR85" s="120"/>
      <c r="DS85" s="250">
        <v>1400</v>
      </c>
      <c r="DT85" s="120"/>
      <c r="DU85" s="120"/>
      <c r="DV85" s="209"/>
      <c r="DW85" s="205"/>
      <c r="DX85" s="205">
        <f t="shared" ref="DX85:DX119" si="840">SUM(DQ85:DW85)</f>
        <v>1400</v>
      </c>
      <c r="DY85" s="120"/>
      <c r="DZ85" s="120"/>
      <c r="EA85" s="120"/>
      <c r="EB85" s="120"/>
      <c r="EC85" s="120"/>
      <c r="ED85" s="209"/>
      <c r="EE85" s="205"/>
      <c r="EF85" s="205">
        <f t="shared" ref="EF85:EF119" si="841">SUM(DY85:EE85)</f>
        <v>0</v>
      </c>
      <c r="EG85" s="120"/>
      <c r="EH85" s="120"/>
      <c r="EI85" s="120"/>
      <c r="EJ85" s="205"/>
      <c r="EK85" s="205"/>
      <c r="EL85" s="209"/>
      <c r="EM85" s="205"/>
      <c r="EN85" s="205">
        <f t="shared" ref="EN85:EN119" si="842">SUM(EG85:EM85)</f>
        <v>0</v>
      </c>
      <c r="EO85" s="205">
        <f t="shared" ref="EO85:EO119" si="843">SUM(DA85:DF85,DP85,DX85,EF85,EG85:EI85)</f>
        <v>7400</v>
      </c>
      <c r="EP85" s="120"/>
      <c r="EQ85" s="250">
        <v>2000</v>
      </c>
      <c r="ER85" s="120"/>
      <c r="ES85" s="120"/>
      <c r="ET85" s="120"/>
      <c r="EU85" s="209"/>
      <c r="EV85" s="205"/>
      <c r="EW85" s="205">
        <f t="shared" ref="EW85:EW119" si="844">SUM(EP85:EV85)</f>
        <v>2000</v>
      </c>
      <c r="EX85" s="120"/>
      <c r="EY85" s="120"/>
      <c r="EZ85" s="120"/>
      <c r="FA85" s="120"/>
      <c r="FB85" s="120"/>
      <c r="FC85" s="209"/>
      <c r="FD85" s="205"/>
      <c r="FE85" s="205">
        <f t="shared" ref="FE85:FE119" si="845">SUM(EX85:FD85)</f>
        <v>0</v>
      </c>
      <c r="FF85" s="120"/>
      <c r="FG85" s="120"/>
      <c r="FH85" s="120"/>
      <c r="FI85" s="120"/>
      <c r="FJ85" s="120"/>
      <c r="FK85" s="209"/>
      <c r="FL85" s="205"/>
      <c r="FM85" s="205">
        <f t="shared" ref="FM85:FM119" si="846">SUM(FF85:FL85)</f>
        <v>0</v>
      </c>
      <c r="FN85" s="120"/>
      <c r="FO85" s="120"/>
      <c r="FP85" s="120"/>
      <c r="FQ85" s="120"/>
      <c r="FR85" s="205"/>
      <c r="FS85" s="209"/>
      <c r="FT85" s="205"/>
      <c r="FU85" s="205">
        <f t="shared" ref="FU85:FU119" si="847">SUM(FN85:FT85)</f>
        <v>0</v>
      </c>
      <c r="FV85" s="205">
        <f t="shared" ref="FV85:FV119" si="848">SUM(EJ85:EK85,EW85,FE85,FM85,FU85)</f>
        <v>2000</v>
      </c>
      <c r="FW85" s="120"/>
      <c r="FX85" s="120"/>
      <c r="FY85" s="120"/>
      <c r="FZ85" s="120"/>
      <c r="GA85" s="120"/>
      <c r="GB85" s="209"/>
      <c r="GC85" s="205"/>
      <c r="GD85" s="205">
        <f t="shared" ref="GD85:GD119" si="849">SUM(FW85:GC85)</f>
        <v>0</v>
      </c>
      <c r="GE85" s="120"/>
      <c r="GF85" s="250">
        <v>1000</v>
      </c>
      <c r="GG85" s="120"/>
      <c r="GH85" s="120"/>
      <c r="GI85" s="120"/>
      <c r="GJ85" s="209"/>
      <c r="GK85" s="205"/>
      <c r="GL85" s="205">
        <f t="shared" ref="GL85:GL119" si="850">SUM(GE85:GK85)</f>
        <v>1000</v>
      </c>
      <c r="GM85" s="120"/>
      <c r="GN85" s="217">
        <v>2000</v>
      </c>
      <c r="GO85" s="217">
        <v>2000</v>
      </c>
      <c r="GP85" s="120"/>
      <c r="GQ85" s="120"/>
      <c r="GR85" s="209"/>
      <c r="GS85" s="205"/>
      <c r="GT85" s="205">
        <f t="shared" ref="GT85:GT119" si="851">SUM(GM85:GS85)</f>
        <v>4000</v>
      </c>
      <c r="GU85" s="120"/>
      <c r="GV85" s="120"/>
      <c r="GW85" s="124">
        <v>1000</v>
      </c>
      <c r="GX85" s="120"/>
      <c r="GY85" s="120"/>
      <c r="GZ85" s="209"/>
      <c r="HA85" s="205"/>
      <c r="HB85" s="205">
        <f t="shared" ref="HB85:HB119" si="852">SUM(GU85:HA85)</f>
        <v>1000</v>
      </c>
      <c r="HC85" s="120"/>
      <c r="HD85" s="120"/>
      <c r="HE85" s="120"/>
      <c r="HF85" s="120"/>
      <c r="HG85" s="120"/>
      <c r="HH85" s="209"/>
      <c r="HI85" s="205"/>
      <c r="HJ85" s="205">
        <f t="shared" ref="HJ85:HJ119" si="853">SUM(HC85:HI85)</f>
        <v>0</v>
      </c>
      <c r="HK85" s="205">
        <f t="shared" ref="HK85:HK119" si="854">SUM(GD85,GL85,GT85,HB85,HC85)</f>
        <v>6000</v>
      </c>
      <c r="HL85" s="124"/>
      <c r="HM85" s="217">
        <v>930</v>
      </c>
      <c r="HN85" s="217">
        <v>2000</v>
      </c>
      <c r="HO85" s="120"/>
      <c r="HP85" s="120"/>
      <c r="HQ85" s="205"/>
      <c r="HR85" s="205"/>
      <c r="HS85" s="205">
        <f>SUM(HL85:HR85)</f>
        <v>2930</v>
      </c>
      <c r="HT85" s="120"/>
      <c r="HU85" s="195">
        <v>1000</v>
      </c>
      <c r="HV85" s="120"/>
      <c r="HW85" s="120"/>
      <c r="HX85" s="120"/>
      <c r="HY85" s="205"/>
      <c r="HZ85" s="205"/>
      <c r="IA85" s="205">
        <f>SUM(HT85:HZ85)</f>
        <v>1000</v>
      </c>
      <c r="IB85" s="217">
        <v>1000</v>
      </c>
      <c r="IC85" s="120"/>
      <c r="ID85" s="120"/>
      <c r="IE85" s="120"/>
      <c r="IF85" s="120"/>
      <c r="IG85" s="205"/>
      <c r="IH85" s="205"/>
      <c r="II85" s="205">
        <f>SUM(IB85:IH85)</f>
        <v>1000</v>
      </c>
      <c r="IJ85" s="120"/>
      <c r="IK85" s="120"/>
      <c r="IL85" s="120"/>
      <c r="IM85" s="120"/>
      <c r="IN85" s="120"/>
      <c r="IO85" s="205"/>
      <c r="IP85" s="205"/>
      <c r="IQ85" s="205">
        <f>SUM(IJ85:IP85)</f>
        <v>0</v>
      </c>
      <c r="IR85" s="205">
        <f>SUM(IJ85:IM85,II85,IA85,HS85,HD85:HG85,HH85:HI85)</f>
        <v>4930</v>
      </c>
      <c r="IS85" s="120"/>
      <c r="IT85" s="120"/>
      <c r="IU85" s="120"/>
      <c r="IV85" s="120"/>
      <c r="IW85" s="120"/>
      <c r="IX85" s="205"/>
      <c r="IY85" s="205"/>
      <c r="IZ85" s="205">
        <f>SUM(IS85:IY85)</f>
        <v>0</v>
      </c>
      <c r="JA85" s="120"/>
      <c r="JB85" s="120"/>
      <c r="JC85" s="120"/>
      <c r="JD85" s="120"/>
      <c r="JE85" s="120"/>
      <c r="JF85" s="205"/>
      <c r="JG85" s="205"/>
      <c r="JH85" s="205">
        <f>SUM(JA85:JG85)</f>
        <v>0</v>
      </c>
      <c r="JI85" s="124">
        <v>800</v>
      </c>
      <c r="JJ85" s="120"/>
      <c r="JK85" s="120">
        <v>2000</v>
      </c>
      <c r="JL85" s="120"/>
      <c r="JM85" s="120"/>
      <c r="JN85" s="205"/>
      <c r="JO85" s="205"/>
      <c r="JP85" s="205">
        <f>SUM(JI85:JO85)</f>
        <v>2800</v>
      </c>
      <c r="JQ85" s="120"/>
      <c r="JR85" s="120"/>
      <c r="JS85" s="120"/>
      <c r="JT85" s="201">
        <v>2000</v>
      </c>
      <c r="JU85" s="120"/>
      <c r="JV85" s="205"/>
      <c r="JW85" s="205"/>
      <c r="JX85" s="205">
        <f>SUM(JQ85:JW85)</f>
        <v>2000</v>
      </c>
      <c r="JY85" s="205">
        <f>SUM(JX85,JP85,JH85,IZ85,IN85:IP85)</f>
        <v>4800</v>
      </c>
      <c r="JZ85" s="120"/>
      <c r="KA85" s="120"/>
      <c r="KB85" s="120"/>
      <c r="KC85" s="120"/>
      <c r="KD85" s="120"/>
      <c r="KE85" s="205"/>
      <c r="KF85" s="205"/>
      <c r="KG85" s="205">
        <f>SUM(JZ85:KF85)</f>
        <v>0</v>
      </c>
      <c r="KH85" s="120"/>
      <c r="KI85" s="120"/>
      <c r="KJ85" s="120"/>
      <c r="KK85" s="120"/>
      <c r="KL85" s="120"/>
      <c r="KM85" s="205"/>
      <c r="KN85" s="205"/>
      <c r="KO85" s="205">
        <f>SUM(KH85:KN85)</f>
        <v>0</v>
      </c>
      <c r="KP85" s="201">
        <v>1160</v>
      </c>
      <c r="KQ85" s="120"/>
      <c r="KR85" s="120"/>
      <c r="KS85" s="120"/>
      <c r="KT85" s="120"/>
      <c r="KU85" s="205"/>
      <c r="KV85" s="205"/>
      <c r="KW85" s="205">
        <f>SUM(KP85:KV85)</f>
        <v>1160</v>
      </c>
      <c r="KX85" s="120"/>
      <c r="KY85" s="195">
        <v>1000</v>
      </c>
      <c r="KZ85" s="120"/>
      <c r="LA85" s="120"/>
      <c r="LB85" s="120"/>
      <c r="LC85" s="205"/>
      <c r="LD85" s="205"/>
      <c r="LE85" s="205">
        <f>SUM(KX85:LD85)</f>
        <v>1000</v>
      </c>
      <c r="LF85" s="205"/>
      <c r="LG85" s="120"/>
      <c r="LH85" s="120" t="s">
        <v>824</v>
      </c>
      <c r="LI85" s="120"/>
      <c r="LJ85" s="120"/>
      <c r="LK85" s="205"/>
      <c r="LL85" s="205"/>
      <c r="LM85" s="205">
        <f>SUM(LF85:LL85)</f>
        <v>0</v>
      </c>
      <c r="LN85" s="205">
        <f>SUM(LF85:LG85,LE85,KW85,KO85,KG85)</f>
        <v>2160</v>
      </c>
      <c r="LO85" s="205"/>
      <c r="LP85" s="120"/>
      <c r="LQ85" s="195">
        <v>1000</v>
      </c>
      <c r="LR85" s="120"/>
      <c r="LS85" s="205"/>
      <c r="LT85" s="205"/>
      <c r="LU85" s="205"/>
      <c r="LV85" s="205">
        <f>SUM(LO85:LU85)</f>
        <v>1000</v>
      </c>
      <c r="LW85" s="120"/>
      <c r="LX85" s="120"/>
      <c r="LY85" s="120"/>
      <c r="LZ85" s="120"/>
      <c r="MA85" s="120"/>
      <c r="MB85" s="205"/>
      <c r="MC85" s="205"/>
      <c r="MD85" s="205">
        <f>SUM(LW85:MC85)</f>
        <v>0</v>
      </c>
      <c r="ME85" s="120"/>
      <c r="MF85" s="201">
        <v>520</v>
      </c>
      <c r="MG85" s="120"/>
      <c r="MH85" s="120"/>
      <c r="MI85" s="205"/>
      <c r="MJ85" s="205"/>
      <c r="MK85" s="205"/>
      <c r="ML85" s="205">
        <f>SUM(ME85:MK85)</f>
        <v>520</v>
      </c>
      <c r="MM85" s="120"/>
      <c r="MN85" s="120"/>
      <c r="MO85" s="120"/>
      <c r="MP85" s="120"/>
      <c r="MQ85" s="120"/>
      <c r="MR85" s="205"/>
      <c r="MS85" s="205"/>
      <c r="MT85" s="205">
        <f>SUM(MM85:MS85)</f>
        <v>0</v>
      </c>
      <c r="MU85" s="205">
        <f>SUM(LH85:LL85,LV85,MD85,ML85,MM85:MQ85)</f>
        <v>1520</v>
      </c>
      <c r="MV85" s="120"/>
      <c r="MW85" s="124">
        <v>1000</v>
      </c>
      <c r="MX85" s="120"/>
      <c r="MY85" s="120"/>
      <c r="MZ85" s="120"/>
      <c r="NA85" s="205"/>
      <c r="NB85" s="205"/>
      <c r="NC85" s="205">
        <f>SUM(MV85:NB85)</f>
        <v>1000</v>
      </c>
      <c r="ND85" s="120"/>
      <c r="NE85" s="120"/>
      <c r="NF85" s="120"/>
      <c r="NG85" s="120"/>
      <c r="NH85" s="120"/>
      <c r="NI85" s="205"/>
      <c r="NJ85" s="205"/>
      <c r="NK85" s="205">
        <f>SUM(ND85:NJ85)</f>
        <v>0</v>
      </c>
      <c r="NL85" s="120"/>
      <c r="NM85" s="120"/>
      <c r="NN85" s="120"/>
      <c r="NO85" s="120"/>
      <c r="NP85" s="120"/>
      <c r="NQ85" s="205"/>
      <c r="NR85" s="205"/>
      <c r="NS85" s="205">
        <f>SUM(NL85:NR85)</f>
        <v>0</v>
      </c>
      <c r="NT85" s="120"/>
      <c r="NU85" s="217">
        <v>200</v>
      </c>
      <c r="NV85" s="120"/>
      <c r="NW85" s="120"/>
      <c r="NX85" s="120"/>
      <c r="NY85" s="205"/>
      <c r="NZ85" s="205"/>
      <c r="OA85" s="205">
        <f>SUM(NT85:NZ85)</f>
        <v>200</v>
      </c>
      <c r="OB85" s="205">
        <f>SUM(MR85:MS85,NC85,NK85,NS85,OA85)</f>
        <v>1200</v>
      </c>
      <c r="OC85" s="120"/>
      <c r="OD85" s="120"/>
      <c r="OE85" s="120"/>
      <c r="OF85" s="120"/>
      <c r="OG85" s="120"/>
      <c r="OH85" s="205"/>
      <c r="OI85" s="205"/>
      <c r="OJ85" s="205">
        <f>SUM(OC85:OI85)</f>
        <v>0</v>
      </c>
      <c r="OK85" s="120"/>
      <c r="OL85" s="120"/>
      <c r="OM85" s="124">
        <v>2000</v>
      </c>
      <c r="ON85" s="124">
        <v>2000</v>
      </c>
      <c r="OO85" s="120"/>
      <c r="OP85" s="205"/>
      <c r="OQ85" s="205"/>
      <c r="OR85" s="205">
        <f>SUM(OK85:OQ85)</f>
        <v>4000</v>
      </c>
      <c r="OS85" s="120"/>
      <c r="OT85" s="120"/>
      <c r="OU85" s="120"/>
      <c r="OV85" s="120"/>
      <c r="OW85" s="120"/>
      <c r="OX85" s="205"/>
      <c r="OY85" s="205"/>
      <c r="OZ85" s="205">
        <f>SUM(OS85:OY85)</f>
        <v>0</v>
      </c>
      <c r="PA85" s="120"/>
      <c r="PB85" s="201">
        <v>2000</v>
      </c>
      <c r="PC85" s="120"/>
      <c r="PD85" s="205"/>
      <c r="PE85" s="217"/>
      <c r="PF85" s="205"/>
      <c r="PG85" s="205"/>
      <c r="PH85" s="205">
        <f>SUM(PA85:PG85)</f>
        <v>2000</v>
      </c>
      <c r="PI85" s="195">
        <v>2000</v>
      </c>
      <c r="PJ85" s="195">
        <v>2000</v>
      </c>
      <c r="PK85" s="120"/>
      <c r="PL85" s="205"/>
      <c r="PM85" s="217"/>
      <c r="PN85" s="205"/>
      <c r="PO85" s="205"/>
      <c r="PP85" s="205">
        <f>SUM(PI85:PO85)</f>
        <v>4000</v>
      </c>
      <c r="PQ85" s="205">
        <f>SUM(OJ85,OR85,OZ85,PH85,PI85:PK85)</f>
        <v>10000</v>
      </c>
      <c r="PR85" s="207"/>
      <c r="PS85" s="207"/>
      <c r="PT85" s="124">
        <v>1640</v>
      </c>
      <c r="PU85" s="207"/>
      <c r="PV85" s="207"/>
      <c r="PW85" s="272"/>
      <c r="PX85" s="272"/>
      <c r="PY85" s="205">
        <f>SUM(PR85:PX85)</f>
        <v>1640</v>
      </c>
      <c r="PZ85" s="207"/>
      <c r="QA85" s="207"/>
      <c r="QB85" s="195">
        <v>200</v>
      </c>
      <c r="QC85" s="207"/>
      <c r="QD85" s="195">
        <v>1000</v>
      </c>
      <c r="QE85" s="272"/>
      <c r="QF85" s="272"/>
      <c r="QG85" s="205">
        <f>SUM(PZ85:QF85)</f>
        <v>1200</v>
      </c>
      <c r="QH85" s="207"/>
      <c r="QI85" s="207"/>
      <c r="QJ85" s="294"/>
      <c r="QK85" s="207"/>
      <c r="QL85" s="207"/>
      <c r="QM85" s="272"/>
      <c r="QN85" s="272"/>
      <c r="QO85" s="205">
        <f>SUM(QH85:QN85)</f>
        <v>0</v>
      </c>
      <c r="QP85" s="207"/>
      <c r="QQ85" s="207"/>
      <c r="QR85" s="207"/>
      <c r="QS85" s="207"/>
      <c r="QT85" s="207"/>
      <c r="QU85" s="272"/>
      <c r="QV85" s="272"/>
      <c r="QW85" s="205">
        <f>SUM(QP85:QV85)</f>
        <v>0</v>
      </c>
      <c r="QX85" s="205">
        <f>SUM(QW85,QO85,QG85,PY85,PL85,PM85,PN85,PO85)</f>
        <v>2840</v>
      </c>
      <c r="QY85" s="207"/>
      <c r="QZ85" s="207"/>
      <c r="RA85" s="207"/>
      <c r="RB85" s="207"/>
      <c r="RC85" s="207"/>
      <c r="RD85" s="272"/>
      <c r="RE85" s="272"/>
      <c r="RF85" s="205">
        <f>SUM(QY85:RE85)</f>
        <v>0</v>
      </c>
      <c r="RG85" s="207"/>
      <c r="RH85" s="201">
        <v>800</v>
      </c>
      <c r="RI85" s="207"/>
      <c r="RJ85" s="207"/>
      <c r="RK85" s="207"/>
      <c r="RL85" s="272"/>
      <c r="RM85" s="272"/>
      <c r="RN85" s="205">
        <f>SUM(RG85:RM85)</f>
        <v>800</v>
      </c>
      <c r="RO85" s="272"/>
      <c r="RP85" s="272"/>
      <c r="RQ85" s="272"/>
      <c r="RR85" s="272"/>
      <c r="RS85" s="272"/>
      <c r="RT85" s="272"/>
      <c r="RU85" s="272"/>
      <c r="RV85" s="205">
        <f>SUM(RO85:RU85)</f>
        <v>0</v>
      </c>
      <c r="RW85" s="207"/>
      <c r="RX85" s="207"/>
      <c r="RY85" s="217">
        <v>2000</v>
      </c>
      <c r="RZ85" s="207"/>
      <c r="SA85" s="272"/>
      <c r="SB85" s="272"/>
      <c r="SC85" s="272"/>
      <c r="SD85" s="205">
        <f>SUM(RW85:SC85)</f>
        <v>2000</v>
      </c>
      <c r="SE85" s="205">
        <f>SUM(SD85,RV85,RN85,RF85,QV85)</f>
        <v>2800</v>
      </c>
      <c r="SF85" s="207"/>
      <c r="SG85" s="124">
        <v>320</v>
      </c>
      <c r="SH85" s="195">
        <v>2000</v>
      </c>
      <c r="SI85" s="207"/>
      <c r="SJ85" s="207"/>
      <c r="SK85" s="272"/>
      <c r="SL85" s="272"/>
      <c r="SM85" s="205">
        <f>SUM(SF85:SL85)</f>
        <v>2320</v>
      </c>
      <c r="SN85" s="207"/>
      <c r="SO85" s="207"/>
      <c r="SP85" s="207"/>
      <c r="SQ85" s="207"/>
      <c r="SR85" s="207"/>
      <c r="SS85" s="272"/>
      <c r="ST85" s="272"/>
      <c r="SU85" s="205">
        <f>SUM(SN85:ST85)</f>
        <v>0</v>
      </c>
      <c r="SV85" s="207"/>
      <c r="SW85" s="207"/>
      <c r="SX85" s="207"/>
      <c r="SY85" s="207"/>
      <c r="SZ85" s="207"/>
      <c r="TA85" s="272"/>
      <c r="TB85" s="272"/>
      <c r="TC85" s="205">
        <f>SUM(SV85:TB85)</f>
        <v>0</v>
      </c>
      <c r="TD85" s="207"/>
      <c r="TE85" s="207"/>
      <c r="TF85" s="207"/>
      <c r="TG85" s="207"/>
      <c r="TH85" s="207"/>
      <c r="TI85" s="272"/>
      <c r="TJ85" s="272"/>
      <c r="TK85" s="205">
        <f>SUM(TD85:TJ85)</f>
        <v>0</v>
      </c>
      <c r="TL85" s="207"/>
      <c r="TM85" s="207"/>
      <c r="TN85" s="207"/>
      <c r="TO85" s="207"/>
      <c r="TP85" s="272"/>
      <c r="TQ85" s="272"/>
      <c r="TR85" s="272"/>
      <c r="TS85" s="205">
        <f>SUM(TL85:TR85)</f>
        <v>0</v>
      </c>
      <c r="TT85" s="205">
        <f>SUM(TL85:TM85,TK85,TC85,SU85,SM85,SC85)</f>
        <v>2320</v>
      </c>
      <c r="TU85" s="272"/>
      <c r="TV85" s="207"/>
      <c r="TW85" s="207"/>
      <c r="TX85" s="207"/>
      <c r="TY85" s="207"/>
      <c r="TZ85" s="272"/>
      <c r="UA85" s="272"/>
      <c r="UB85" s="205">
        <f>SUM(TU85:UA85)</f>
        <v>0</v>
      </c>
      <c r="UC85" s="124">
        <v>800</v>
      </c>
      <c r="UD85" s="207"/>
      <c r="UE85" s="207"/>
      <c r="UF85" s="207"/>
      <c r="UG85" s="123">
        <v>664</v>
      </c>
      <c r="UH85" s="272"/>
      <c r="UI85" s="272"/>
      <c r="UJ85" s="205">
        <f>SUM(UC85:UI85)</f>
        <v>1464</v>
      </c>
      <c r="UK85" s="120"/>
      <c r="UL85" s="120"/>
      <c r="UM85" s="120"/>
      <c r="UN85" s="207"/>
      <c r="UO85" s="207"/>
      <c r="UP85" s="272"/>
      <c r="UQ85" s="272"/>
      <c r="UR85" s="205">
        <f>SUM(UK85:UQ85)</f>
        <v>0</v>
      </c>
      <c r="US85" s="207"/>
      <c r="UT85" s="207"/>
      <c r="UU85" s="207"/>
      <c r="UV85" s="207"/>
      <c r="UW85" s="272"/>
      <c r="UX85" s="272"/>
      <c r="UY85" s="272"/>
      <c r="UZ85" s="205">
        <f>SUM(US85:UY85)</f>
        <v>0</v>
      </c>
      <c r="VA85" s="205">
        <f>SUM(TN85:TR85,UB85,UJ85,UR85,US85:UV85)</f>
        <v>1464</v>
      </c>
      <c r="VB85" s="120"/>
      <c r="VC85" s="120"/>
      <c r="VD85" s="120"/>
      <c r="VE85" s="207"/>
      <c r="VF85" s="207"/>
      <c r="VG85" s="272"/>
      <c r="VH85" s="272"/>
      <c r="VI85" s="205">
        <f>SUM(VB85:VH85)</f>
        <v>0</v>
      </c>
      <c r="VJ85" s="201">
        <v>560</v>
      </c>
      <c r="VK85" s="207"/>
      <c r="VL85" s="207"/>
      <c r="VM85" s="207"/>
      <c r="VN85" s="207"/>
      <c r="VO85" s="272"/>
      <c r="VP85" s="272"/>
      <c r="VQ85" s="205">
        <f>SUM(VJ85:VP85)</f>
        <v>560</v>
      </c>
      <c r="VR85" s="120"/>
      <c r="VS85" s="120"/>
      <c r="VT85" s="120" t="s">
        <v>955</v>
      </c>
      <c r="VU85" s="207"/>
      <c r="VV85" s="207"/>
      <c r="VW85" s="272"/>
      <c r="VX85" s="272"/>
      <c r="VY85" s="205">
        <f>SUM(VR85:VX85)</f>
        <v>0</v>
      </c>
      <c r="VZ85" s="195">
        <v>2000</v>
      </c>
      <c r="WA85" s="195">
        <v>2000</v>
      </c>
      <c r="WB85" s="120"/>
      <c r="WC85" s="207"/>
      <c r="WD85" s="207"/>
      <c r="WE85" s="272"/>
      <c r="WF85" s="272"/>
      <c r="WG85" s="205">
        <f>SUM(VZ85:WF85)</f>
        <v>4000</v>
      </c>
      <c r="WH85" s="205">
        <f>SUM(WG85,VY85,VQ85,VI85,UW85:UY85)</f>
        <v>4560</v>
      </c>
      <c r="WI85" s="207"/>
      <c r="WJ85" s="207"/>
      <c r="WK85" s="207"/>
      <c r="WL85" s="207"/>
      <c r="WM85" s="207"/>
      <c r="WN85" s="272"/>
      <c r="WO85" s="272"/>
      <c r="WP85" s="205">
        <f>SUM(WI85:WO85)</f>
        <v>0</v>
      </c>
      <c r="WQ85" s="207"/>
      <c r="WR85" s="207"/>
      <c r="WS85" s="207"/>
      <c r="WT85" s="207"/>
      <c r="WU85" s="207"/>
      <c r="WV85" s="272"/>
      <c r="WW85" s="272"/>
      <c r="WX85" s="205">
        <f>SUM(WQ85:WW85)</f>
        <v>0</v>
      </c>
      <c r="WY85" s="207"/>
      <c r="WZ85" s="207"/>
      <c r="XA85" s="207"/>
      <c r="XB85" s="207"/>
      <c r="XC85" s="272"/>
      <c r="XD85" s="272"/>
      <c r="XE85" s="272"/>
      <c r="XF85" s="205">
        <f>SUM(WY85:XE85)</f>
        <v>0</v>
      </c>
      <c r="XG85" s="207"/>
      <c r="XH85" s="207"/>
      <c r="XI85" s="207"/>
      <c r="XJ85" s="207"/>
      <c r="XK85" s="207"/>
      <c r="XL85" s="272"/>
      <c r="XM85" s="272"/>
      <c r="XN85" s="205">
        <f>SUM(XG85:XM85)</f>
        <v>0</v>
      </c>
      <c r="XO85" s="207"/>
      <c r="XP85" s="207"/>
      <c r="XQ85" s="207"/>
      <c r="XR85" s="207"/>
      <c r="XS85" s="207"/>
      <c r="XT85" s="272"/>
      <c r="XU85" s="272"/>
      <c r="XV85" s="205">
        <f>SUM(XO85:XU85)</f>
        <v>0</v>
      </c>
      <c r="XW85" s="205">
        <f>SUM(XO85:XP85,XN85,XF85,WX85,WP85)</f>
        <v>0</v>
      </c>
      <c r="XX85" s="207"/>
      <c r="XY85" s="207"/>
      <c r="XZ85" s="207"/>
      <c r="YA85" s="207"/>
      <c r="YB85" s="207"/>
      <c r="YC85" s="272"/>
      <c r="YD85" s="272"/>
      <c r="YE85" s="205">
        <f>SUM(XX85:YD85)</f>
        <v>0</v>
      </c>
      <c r="YF85" s="207"/>
      <c r="YG85" s="207"/>
      <c r="YH85" s="207"/>
      <c r="YI85" s="207"/>
      <c r="YJ85" s="207"/>
      <c r="YK85" s="272"/>
      <c r="YL85" s="272"/>
      <c r="YM85" s="205">
        <f>SUM(YF85:YL85)</f>
        <v>0</v>
      </c>
      <c r="YN85" s="207"/>
      <c r="YO85" s="207"/>
      <c r="YP85" s="207"/>
      <c r="YQ85" s="207"/>
      <c r="YR85" s="207"/>
      <c r="YS85" s="272"/>
      <c r="YT85" s="272"/>
      <c r="YU85" s="205">
        <f>SUM(YN85:YT85)</f>
        <v>0</v>
      </c>
      <c r="YV85" s="207"/>
      <c r="YW85" s="207"/>
      <c r="YX85" s="207"/>
      <c r="YY85" s="207"/>
      <c r="YZ85" s="207"/>
      <c r="ZA85" s="272"/>
      <c r="ZB85" s="272"/>
      <c r="ZC85" s="205">
        <f>SUM(YV85:ZB85)</f>
        <v>0</v>
      </c>
      <c r="ZD85" s="205">
        <f>SUM(YV85:YW85,YU85,YM85,YE85,XW85)</f>
        <v>0</v>
      </c>
      <c r="ZE85" s="207"/>
      <c r="ZF85" s="207"/>
      <c r="ZG85" s="207"/>
      <c r="ZH85" s="207"/>
      <c r="ZI85" s="207"/>
      <c r="ZJ85" s="272"/>
      <c r="ZK85" s="272"/>
      <c r="ZL85" s="205">
        <f>SUM(ZE85:ZK85)</f>
        <v>0</v>
      </c>
      <c r="ZM85" s="207"/>
      <c r="ZN85" s="207"/>
      <c r="ZO85" s="207"/>
      <c r="ZP85" s="207"/>
      <c r="ZQ85" s="207"/>
      <c r="ZR85" s="272"/>
      <c r="ZS85" s="272"/>
      <c r="ZT85" s="205">
        <f>SUM(ZM85:ZS85)</f>
        <v>0</v>
      </c>
      <c r="ZU85" s="207"/>
      <c r="ZV85" s="207"/>
      <c r="ZW85" s="207"/>
      <c r="ZX85" s="207"/>
      <c r="ZY85" s="207"/>
      <c r="ZZ85" s="272"/>
      <c r="AAA85" s="272"/>
      <c r="AAB85" s="205">
        <f>SUM(ZU85:AAA85)</f>
        <v>0</v>
      </c>
      <c r="AAC85" s="207"/>
      <c r="AAD85" s="207"/>
      <c r="AAE85" s="207"/>
      <c r="AAF85" s="207"/>
      <c r="AAG85" s="207"/>
      <c r="AAH85" s="272"/>
      <c r="AAI85" s="272"/>
      <c r="AAJ85" s="205">
        <f>SUM(AAC85:AAI85)</f>
        <v>0</v>
      </c>
      <c r="AAK85" s="207"/>
      <c r="AAL85" s="207"/>
      <c r="AAM85" s="207"/>
      <c r="AAN85" s="207"/>
      <c r="AAO85" s="207"/>
      <c r="AAP85" s="272"/>
      <c r="AAQ85" s="272"/>
      <c r="AAR85" s="205">
        <f>SUM(AAK85:AAQ85)</f>
        <v>0</v>
      </c>
      <c r="AAS85" s="205">
        <f>SUM(AAK85:AAL85,AAJ85,AAB85,ZT85,ZL85)</f>
        <v>0</v>
      </c>
    </row>
    <row r="86" spans="1:721" ht="69" customHeight="1">
      <c r="B86" s="151">
        <v>3630101469</v>
      </c>
      <c r="C86" s="323" t="s">
        <v>741</v>
      </c>
      <c r="D86" s="152" t="s">
        <v>786</v>
      </c>
      <c r="E86" s="130" t="s">
        <v>4</v>
      </c>
      <c r="F86" s="120"/>
      <c r="G86" s="120"/>
      <c r="H86" s="120"/>
      <c r="I86" s="120"/>
      <c r="J86" s="120"/>
      <c r="K86" s="209"/>
      <c r="L86" s="205"/>
      <c r="M86" s="205">
        <f t="shared" ref="M86" si="855">SUM(F86:L86)</f>
        <v>0</v>
      </c>
      <c r="N86" s="120"/>
      <c r="O86" s="120"/>
      <c r="P86" s="120"/>
      <c r="Q86" s="120"/>
      <c r="R86" s="120"/>
      <c r="S86" s="209"/>
      <c r="T86" s="205"/>
      <c r="U86" s="205">
        <f t="shared" ref="U86" si="856">SUM(N86:T86)</f>
        <v>0</v>
      </c>
      <c r="V86" s="120"/>
      <c r="W86" s="120"/>
      <c r="X86" s="120"/>
      <c r="Y86" s="120"/>
      <c r="Z86" s="120"/>
      <c r="AA86" s="209"/>
      <c r="AB86" s="205"/>
      <c r="AC86" s="205">
        <f t="shared" ref="AC86" si="857">SUM(V86:AB86)</f>
        <v>0</v>
      </c>
      <c r="AD86" s="205"/>
      <c r="AE86" s="205"/>
      <c r="AF86" s="205"/>
      <c r="AG86" s="205"/>
      <c r="AH86" s="205"/>
      <c r="AI86" s="209"/>
      <c r="AJ86" s="205"/>
      <c r="AK86" s="205">
        <f t="shared" ref="AK86" si="858">SUM(AD86:AJ86)</f>
        <v>0</v>
      </c>
      <c r="AL86" s="205" t="e">
        <f>SUM(#REF!,M86,U86,AC86,AD86:AH86)</f>
        <v>#REF!</v>
      </c>
      <c r="AM86" s="120"/>
      <c r="AN86" s="120"/>
      <c r="AO86" s="120"/>
      <c r="AP86" s="120"/>
      <c r="AQ86" s="120"/>
      <c r="AR86" s="209"/>
      <c r="AS86" s="205"/>
      <c r="AT86" s="205">
        <f t="shared" si="828"/>
        <v>0</v>
      </c>
      <c r="AU86" s="120"/>
      <c r="AV86" s="120"/>
      <c r="AW86" s="120"/>
      <c r="AX86" s="120"/>
      <c r="AY86" s="120"/>
      <c r="AZ86" s="209"/>
      <c r="BA86" s="205"/>
      <c r="BB86" s="205">
        <f t="shared" si="829"/>
        <v>0</v>
      </c>
      <c r="BC86" s="120"/>
      <c r="BD86" s="120"/>
      <c r="BE86" s="120"/>
      <c r="BF86" s="120"/>
      <c r="BG86" s="120"/>
      <c r="BH86" s="209"/>
      <c r="BI86" s="205"/>
      <c r="BJ86" s="205">
        <f t="shared" si="830"/>
        <v>0</v>
      </c>
      <c r="BK86" s="120"/>
      <c r="BL86" s="120"/>
      <c r="BM86" s="120"/>
      <c r="BN86" s="120"/>
      <c r="BO86" s="205"/>
      <c r="BP86" s="209"/>
      <c r="BQ86" s="205"/>
      <c r="BR86" s="205">
        <f t="shared" si="831"/>
        <v>0</v>
      </c>
      <c r="BS86" s="205">
        <f t="shared" si="832"/>
        <v>0</v>
      </c>
      <c r="BT86" s="120"/>
      <c r="BU86" s="120"/>
      <c r="BV86" s="120"/>
      <c r="BW86" s="120"/>
      <c r="BX86" s="120"/>
      <c r="BY86" s="209"/>
      <c r="BZ86" s="205"/>
      <c r="CA86" s="205">
        <f t="shared" si="833"/>
        <v>0</v>
      </c>
      <c r="CB86" s="120"/>
      <c r="CC86" s="120"/>
      <c r="CD86" s="120"/>
      <c r="CE86" s="120"/>
      <c r="CF86" s="120"/>
      <c r="CG86" s="209"/>
      <c r="CH86" s="205"/>
      <c r="CI86" s="205">
        <f t="shared" si="834"/>
        <v>0</v>
      </c>
      <c r="CJ86" s="120"/>
      <c r="CK86" s="120"/>
      <c r="CL86" s="120"/>
      <c r="CM86" s="120"/>
      <c r="CN86" s="120"/>
      <c r="CO86" s="209"/>
      <c r="CP86" s="205"/>
      <c r="CQ86" s="205">
        <f t="shared" si="835"/>
        <v>0</v>
      </c>
      <c r="CR86" s="120"/>
      <c r="CS86" s="120"/>
      <c r="CT86" s="120"/>
      <c r="CU86" s="120"/>
      <c r="CV86" s="120"/>
      <c r="CW86" s="209"/>
      <c r="CX86" s="205"/>
      <c r="CY86" s="205">
        <f t="shared" si="836"/>
        <v>0</v>
      </c>
      <c r="CZ86" s="120"/>
      <c r="DA86" s="120"/>
      <c r="DB86" s="120"/>
      <c r="DC86" s="205"/>
      <c r="DD86" s="205"/>
      <c r="DE86" s="209"/>
      <c r="DF86" s="205"/>
      <c r="DG86" s="205">
        <f t="shared" si="837"/>
        <v>0</v>
      </c>
      <c r="DH86" s="205">
        <f t="shared" si="838"/>
        <v>0</v>
      </c>
      <c r="DI86" s="120"/>
      <c r="DJ86" s="120"/>
      <c r="DK86" s="120"/>
      <c r="DL86" s="120"/>
      <c r="DM86" s="120"/>
      <c r="DN86" s="209"/>
      <c r="DO86" s="205"/>
      <c r="DP86" s="205">
        <f t="shared" si="839"/>
        <v>0</v>
      </c>
      <c r="DQ86" s="120"/>
      <c r="DR86" s="120"/>
      <c r="DS86" s="120"/>
      <c r="DT86" s="120"/>
      <c r="DU86" s="120"/>
      <c r="DV86" s="209"/>
      <c r="DW86" s="205"/>
      <c r="DX86" s="205">
        <f t="shared" si="840"/>
        <v>0</v>
      </c>
      <c r="DY86" s="120"/>
      <c r="DZ86" s="120"/>
      <c r="EA86" s="120"/>
      <c r="EB86" s="120"/>
      <c r="EC86" s="120"/>
      <c r="ED86" s="209"/>
      <c r="EE86" s="205"/>
      <c r="EF86" s="205">
        <f t="shared" si="841"/>
        <v>0</v>
      </c>
      <c r="EG86" s="120"/>
      <c r="EH86" s="120"/>
      <c r="EI86" s="120"/>
      <c r="EJ86" s="205"/>
      <c r="EK86" s="205"/>
      <c r="EL86" s="209"/>
      <c r="EM86" s="205"/>
      <c r="EN86" s="205">
        <f t="shared" si="842"/>
        <v>0</v>
      </c>
      <c r="EO86" s="205">
        <f t="shared" si="843"/>
        <v>0</v>
      </c>
      <c r="EP86" s="120"/>
      <c r="EQ86" s="120"/>
      <c r="ER86" s="120"/>
      <c r="ES86" s="120"/>
      <c r="ET86" s="120"/>
      <c r="EU86" s="209"/>
      <c r="EV86" s="205"/>
      <c r="EW86" s="205">
        <f t="shared" si="844"/>
        <v>0</v>
      </c>
      <c r="EX86" s="120"/>
      <c r="EY86" s="120"/>
      <c r="EZ86" s="120"/>
      <c r="FA86" s="120"/>
      <c r="FB86" s="120"/>
      <c r="FC86" s="209"/>
      <c r="FD86" s="205"/>
      <c r="FE86" s="205">
        <f t="shared" si="845"/>
        <v>0</v>
      </c>
      <c r="FF86" s="120"/>
      <c r="FG86" s="120"/>
      <c r="FH86" s="120"/>
      <c r="FI86" s="120"/>
      <c r="FJ86" s="120"/>
      <c r="FK86" s="209"/>
      <c r="FL86" s="205"/>
      <c r="FM86" s="205">
        <f t="shared" si="846"/>
        <v>0</v>
      </c>
      <c r="FN86" s="120"/>
      <c r="FO86" s="120"/>
      <c r="FP86" s="120"/>
      <c r="FQ86" s="120"/>
      <c r="FR86" s="205"/>
      <c r="FS86" s="209"/>
      <c r="FT86" s="205"/>
      <c r="FU86" s="205">
        <f t="shared" si="847"/>
        <v>0</v>
      </c>
      <c r="FV86" s="205">
        <f t="shared" si="848"/>
        <v>0</v>
      </c>
      <c r="FW86" s="120"/>
      <c r="FX86" s="120"/>
      <c r="FY86" s="120"/>
      <c r="FZ86" s="120"/>
      <c r="GA86" s="120"/>
      <c r="GB86" s="209"/>
      <c r="GC86" s="205"/>
      <c r="GD86" s="205">
        <f t="shared" si="849"/>
        <v>0</v>
      </c>
      <c r="GE86" s="120"/>
      <c r="GF86" s="120"/>
      <c r="GG86" s="120"/>
      <c r="GH86" s="120"/>
      <c r="GI86" s="120"/>
      <c r="GJ86" s="209"/>
      <c r="GK86" s="205"/>
      <c r="GL86" s="205">
        <f t="shared" si="850"/>
        <v>0</v>
      </c>
      <c r="GM86" s="120"/>
      <c r="GN86" s="120"/>
      <c r="GO86" s="120"/>
      <c r="GP86" s="120"/>
      <c r="GQ86" s="120"/>
      <c r="GR86" s="209"/>
      <c r="GS86" s="205"/>
      <c r="GT86" s="205">
        <f t="shared" si="851"/>
        <v>0</v>
      </c>
      <c r="GU86" s="120"/>
      <c r="GV86" s="120"/>
      <c r="GW86" s="120"/>
      <c r="GX86" s="120"/>
      <c r="GY86" s="120"/>
      <c r="GZ86" s="209"/>
      <c r="HA86" s="205"/>
      <c r="HB86" s="205">
        <f t="shared" si="852"/>
        <v>0</v>
      </c>
      <c r="HC86" s="120"/>
      <c r="HD86" s="120"/>
      <c r="HE86" s="120"/>
      <c r="HF86" s="120"/>
      <c r="HG86" s="120"/>
      <c r="HH86" s="209"/>
      <c r="HI86" s="205"/>
      <c r="HJ86" s="205">
        <f t="shared" si="853"/>
        <v>0</v>
      </c>
      <c r="HK86" s="205">
        <f t="shared" si="854"/>
        <v>0</v>
      </c>
      <c r="HL86" s="124"/>
      <c r="HM86" s="120"/>
      <c r="HN86" s="120"/>
      <c r="HO86" s="120"/>
      <c r="HP86" s="120"/>
      <c r="HQ86" s="205"/>
      <c r="HR86" s="205"/>
      <c r="HS86" s="205">
        <f t="shared" ref="HS86" si="859">SUM(HL86:HR86)</f>
        <v>0</v>
      </c>
      <c r="HT86" s="120"/>
      <c r="HU86" s="120"/>
      <c r="HV86" s="120"/>
      <c r="HW86" s="120"/>
      <c r="HX86" s="120"/>
      <c r="HY86" s="205"/>
      <c r="HZ86" s="205"/>
      <c r="IA86" s="205">
        <f t="shared" ref="IA86" si="860">SUM(HT86:HZ86)</f>
        <v>0</v>
      </c>
      <c r="IB86" s="120"/>
      <c r="IC86" s="120"/>
      <c r="ID86" s="120"/>
      <c r="IE86" s="120"/>
      <c r="IF86" s="120"/>
      <c r="IG86" s="205"/>
      <c r="IH86" s="205"/>
      <c r="II86" s="205">
        <f t="shared" ref="II86" si="861">SUM(IB86:IH86)</f>
        <v>0</v>
      </c>
      <c r="IJ86" s="120"/>
      <c r="IK86" s="120"/>
      <c r="IL86" s="120"/>
      <c r="IM86" s="120"/>
      <c r="IN86" s="120"/>
      <c r="IO86" s="205"/>
      <c r="IP86" s="205"/>
      <c r="IQ86" s="205">
        <f t="shared" ref="IQ86" si="862">SUM(IJ86:IP86)</f>
        <v>0</v>
      </c>
      <c r="IR86" s="205">
        <f t="shared" ref="IR86" si="863">SUM(IJ86:IM86,II86,IA86,HS86,HD86:HG86,HH86:HI86)</f>
        <v>0</v>
      </c>
      <c r="IS86" s="120"/>
      <c r="IT86" s="120"/>
      <c r="IU86" s="120"/>
      <c r="IV86" s="120"/>
      <c r="IW86" s="120"/>
      <c r="IX86" s="205"/>
      <c r="IY86" s="205"/>
      <c r="IZ86" s="205">
        <f t="shared" ref="IZ86" si="864">SUM(IS86:IY86)</f>
        <v>0</v>
      </c>
      <c r="JA86" s="120"/>
      <c r="JB86" s="120"/>
      <c r="JC86" s="120"/>
      <c r="JD86" s="120"/>
      <c r="JE86" s="120"/>
      <c r="JF86" s="205"/>
      <c r="JG86" s="205"/>
      <c r="JH86" s="205">
        <f t="shared" ref="JH86" si="865">SUM(JA86:JG86)</f>
        <v>0</v>
      </c>
      <c r="JI86" s="124">
        <v>1200</v>
      </c>
      <c r="JJ86" s="120"/>
      <c r="JK86" s="120"/>
      <c r="JL86" s="120"/>
      <c r="JM86" s="120"/>
      <c r="JN86" s="205"/>
      <c r="JO86" s="205"/>
      <c r="JP86" s="205">
        <f t="shared" ref="JP86" si="866">SUM(JI86:JO86)</f>
        <v>1200</v>
      </c>
      <c r="JQ86" s="120"/>
      <c r="JR86" s="120"/>
      <c r="JS86" s="120"/>
      <c r="JT86" s="120"/>
      <c r="JU86" s="120"/>
      <c r="JV86" s="205"/>
      <c r="JW86" s="205"/>
      <c r="JX86" s="205">
        <f t="shared" ref="JX86" si="867">SUM(JQ86:JW86)</f>
        <v>0</v>
      </c>
      <c r="JY86" s="205">
        <f t="shared" ref="JY86" si="868">SUM(JX86,JP86,JH86,IZ86,IN86:IP86)</f>
        <v>1200</v>
      </c>
      <c r="JZ86" s="120"/>
      <c r="KA86" s="120"/>
      <c r="KB86" s="120"/>
      <c r="KC86" s="120"/>
      <c r="KD86" s="120"/>
      <c r="KE86" s="205"/>
      <c r="KF86" s="205"/>
      <c r="KG86" s="205">
        <f t="shared" ref="KG86" si="869">SUM(JZ86:KF86)</f>
        <v>0</v>
      </c>
      <c r="KH86" s="120"/>
      <c r="KI86" s="120"/>
      <c r="KJ86" s="120"/>
      <c r="KK86" s="120"/>
      <c r="KL86" s="120"/>
      <c r="KM86" s="205"/>
      <c r="KN86" s="205"/>
      <c r="KO86" s="205">
        <f t="shared" ref="KO86" si="870">SUM(KH86:KN86)</f>
        <v>0</v>
      </c>
      <c r="KP86" s="201">
        <v>840</v>
      </c>
      <c r="KQ86" s="120"/>
      <c r="KR86" s="120"/>
      <c r="KS86" s="120"/>
      <c r="KT86" s="120"/>
      <c r="KU86" s="205"/>
      <c r="KV86" s="205"/>
      <c r="KW86" s="205">
        <f t="shared" ref="KW86" si="871">SUM(KP86:KV86)</f>
        <v>840</v>
      </c>
      <c r="KX86" s="120"/>
      <c r="KY86" s="120"/>
      <c r="KZ86" s="120"/>
      <c r="LA86" s="120"/>
      <c r="LB86" s="120"/>
      <c r="LC86" s="205"/>
      <c r="LD86" s="205"/>
      <c r="LE86" s="205">
        <f t="shared" ref="LE86" si="872">SUM(KX86:LD86)</f>
        <v>0</v>
      </c>
      <c r="LF86" s="205"/>
      <c r="LG86" s="120"/>
      <c r="LH86" s="120"/>
      <c r="LI86" s="120"/>
      <c r="LJ86" s="120"/>
      <c r="LK86" s="205"/>
      <c r="LL86" s="205"/>
      <c r="LM86" s="205">
        <f t="shared" ref="LM86" si="873">SUM(LF86:LL86)</f>
        <v>0</v>
      </c>
      <c r="LN86" s="205">
        <f t="shared" ref="LN86" si="874">SUM(LF86:LG86,LE86,KW86,KO86,KG86)</f>
        <v>840</v>
      </c>
      <c r="LO86" s="205"/>
      <c r="LP86" s="120"/>
      <c r="LQ86" s="120"/>
      <c r="LR86" s="120"/>
      <c r="LS86" s="205"/>
      <c r="LT86" s="205"/>
      <c r="LU86" s="205"/>
      <c r="LV86" s="205">
        <f t="shared" ref="LV86" si="875">SUM(LO86:LU86)</f>
        <v>0</v>
      </c>
      <c r="LW86" s="120"/>
      <c r="LX86" s="120"/>
      <c r="LY86" s="120"/>
      <c r="LZ86" s="120"/>
      <c r="MA86" s="120"/>
      <c r="MB86" s="205"/>
      <c r="MC86" s="205"/>
      <c r="MD86" s="205">
        <f t="shared" ref="MD86" si="876">SUM(LW86:MC86)</f>
        <v>0</v>
      </c>
      <c r="ME86" s="120"/>
      <c r="MF86" s="201">
        <v>480</v>
      </c>
      <c r="MG86" s="120"/>
      <c r="MH86" s="120"/>
      <c r="MI86" s="205"/>
      <c r="MJ86" s="205"/>
      <c r="MK86" s="205"/>
      <c r="ML86" s="205">
        <f t="shared" ref="ML86" si="877">SUM(ME86:MK86)</f>
        <v>480</v>
      </c>
      <c r="MM86" s="120"/>
      <c r="MN86" s="120"/>
      <c r="MO86" s="120"/>
      <c r="MP86" s="120"/>
      <c r="MQ86" s="120"/>
      <c r="MR86" s="205"/>
      <c r="MS86" s="205"/>
      <c r="MT86" s="205">
        <f t="shared" ref="MT86" si="878">SUM(MM86:MS86)</f>
        <v>0</v>
      </c>
      <c r="MU86" s="205">
        <f t="shared" ref="MU86" si="879">SUM(LH86:LL86,LV86,MD86,ML86,MM86:MQ86)</f>
        <v>480</v>
      </c>
      <c r="MV86" s="120"/>
      <c r="MW86" s="120"/>
      <c r="MX86" s="120"/>
      <c r="MY86" s="120"/>
      <c r="MZ86" s="120"/>
      <c r="NA86" s="205"/>
      <c r="NB86" s="205"/>
      <c r="NC86" s="205">
        <f t="shared" ref="NC86:NC120" si="880">SUM(MV86:NB86)</f>
        <v>0</v>
      </c>
      <c r="ND86" s="120"/>
      <c r="NE86" s="120"/>
      <c r="NF86" s="120"/>
      <c r="NG86" s="120"/>
      <c r="NH86" s="120"/>
      <c r="NI86" s="205"/>
      <c r="NJ86" s="205"/>
      <c r="NK86" s="205">
        <f t="shared" ref="NK86:NK119" si="881">SUM(ND86:NJ86)</f>
        <v>0</v>
      </c>
      <c r="NL86" s="120"/>
      <c r="NM86" s="120"/>
      <c r="NN86" s="120"/>
      <c r="NO86" s="120"/>
      <c r="NP86" s="120"/>
      <c r="NQ86" s="205"/>
      <c r="NR86" s="205"/>
      <c r="NS86" s="205">
        <f t="shared" ref="NS86:NS120" si="882">SUM(NL86:NR86)</f>
        <v>0</v>
      </c>
      <c r="NT86" s="120"/>
      <c r="NU86" s="217">
        <v>1200</v>
      </c>
      <c r="NV86" s="120"/>
      <c r="NW86" s="120"/>
      <c r="NX86" s="120"/>
      <c r="NY86" s="205"/>
      <c r="NZ86" s="205"/>
      <c r="OA86" s="205">
        <f t="shared" ref="OA86:OA119" si="883">SUM(NT86:NZ86)</f>
        <v>1200</v>
      </c>
      <c r="OB86" s="205">
        <f t="shared" ref="OB86:OB119" si="884">SUM(MR86:MS86,NC86,NK86,NS86,OA86)</f>
        <v>1200</v>
      </c>
      <c r="OC86" s="120"/>
      <c r="OD86" s="120"/>
      <c r="OE86" s="120"/>
      <c r="OF86" s="120"/>
      <c r="OG86" s="120"/>
      <c r="OH86" s="205"/>
      <c r="OI86" s="205"/>
      <c r="OJ86" s="205">
        <f t="shared" ref="OJ86:OJ119" si="885">SUM(OC86:OI86)</f>
        <v>0</v>
      </c>
      <c r="OK86" s="120"/>
      <c r="OL86" s="120"/>
      <c r="OM86" s="120"/>
      <c r="ON86" s="120"/>
      <c r="OO86" s="120"/>
      <c r="OP86" s="205"/>
      <c r="OQ86" s="205"/>
      <c r="OR86" s="205">
        <f t="shared" ref="OR86:OR119" si="886">SUM(OK86:OQ86)</f>
        <v>0</v>
      </c>
      <c r="OS86" s="120"/>
      <c r="OT86" s="120"/>
      <c r="OU86" s="120"/>
      <c r="OV86" s="120"/>
      <c r="OW86" s="120"/>
      <c r="OX86" s="205"/>
      <c r="OY86" s="205"/>
      <c r="OZ86" s="205">
        <f t="shared" ref="OZ86:OZ119" si="887">SUM(OS86:OY86)</f>
        <v>0</v>
      </c>
      <c r="PA86" s="120"/>
      <c r="PB86" s="120" t="s">
        <v>216</v>
      </c>
      <c r="PC86" s="120"/>
      <c r="PD86" s="205"/>
      <c r="PE86" s="217"/>
      <c r="PF86" s="205"/>
      <c r="PG86" s="205"/>
      <c r="PH86" s="205">
        <f t="shared" ref="PH86:PH119" si="888">SUM(PA86:PG86)</f>
        <v>0</v>
      </c>
      <c r="PI86" s="120"/>
      <c r="PJ86" s="120"/>
      <c r="PK86" s="120"/>
      <c r="PL86" s="205"/>
      <c r="PM86" s="217"/>
      <c r="PN86" s="205"/>
      <c r="PO86" s="205"/>
      <c r="PP86" s="205">
        <f t="shared" ref="PP86:PP119" si="889">SUM(PI86:PO86)</f>
        <v>0</v>
      </c>
      <c r="PQ86" s="205">
        <f t="shared" ref="PQ86:PQ119" si="890">SUM(OJ86,OR86,OZ86,PH86,PI86:PK86)</f>
        <v>0</v>
      </c>
      <c r="PR86" s="207"/>
      <c r="PS86" s="207"/>
      <c r="PT86" s="124">
        <v>360</v>
      </c>
      <c r="PU86" s="207"/>
      <c r="PV86" s="207"/>
      <c r="PW86" s="272"/>
      <c r="PX86" s="272"/>
      <c r="PY86" s="205">
        <f t="shared" ref="PY86:PY119" si="891">SUM(PR86:PX86)</f>
        <v>360</v>
      </c>
      <c r="PZ86" s="207"/>
      <c r="QA86" s="207"/>
      <c r="QB86" s="195">
        <v>1800</v>
      </c>
      <c r="QC86" s="207"/>
      <c r="QD86" s="207"/>
      <c r="QE86" s="272"/>
      <c r="QF86" s="272"/>
      <c r="QG86" s="205">
        <f t="shared" ref="QG86:QG119" si="892">SUM(PZ86:QF86)</f>
        <v>1800</v>
      </c>
      <c r="QH86" s="207"/>
      <c r="QI86" s="207"/>
      <c r="QJ86" s="294"/>
      <c r="QK86" s="207"/>
      <c r="QL86" s="207"/>
      <c r="QM86" s="272"/>
      <c r="QN86" s="272"/>
      <c r="QO86" s="205">
        <f t="shared" ref="QO86:QO119" si="893">SUM(QH86:QN86)</f>
        <v>0</v>
      </c>
      <c r="QP86" s="207"/>
      <c r="QQ86" s="207"/>
      <c r="QR86" s="207"/>
      <c r="QS86" s="207"/>
      <c r="QT86" s="207"/>
      <c r="QU86" s="272"/>
      <c r="QV86" s="272"/>
      <c r="QW86" s="205">
        <f t="shared" ref="QW86:QW119" si="894">SUM(QP86:QV86)</f>
        <v>0</v>
      </c>
      <c r="QX86" s="205">
        <f t="shared" ref="QX86:QX119" si="895">SUM(QW86,QO86,QG86,PY86,PL86,PM86,PN86,PO86)</f>
        <v>2160</v>
      </c>
      <c r="QY86" s="207"/>
      <c r="QZ86" s="207"/>
      <c r="RA86" s="207"/>
      <c r="RB86" s="207"/>
      <c r="RC86" s="207"/>
      <c r="RD86" s="272"/>
      <c r="RE86" s="272"/>
      <c r="RF86" s="205">
        <f t="shared" ref="RF86:RF119" si="896">SUM(QY86:RE86)</f>
        <v>0</v>
      </c>
      <c r="RG86" s="207"/>
      <c r="RH86" s="201">
        <v>1200</v>
      </c>
      <c r="RI86" s="207"/>
      <c r="RJ86" s="207"/>
      <c r="RK86" s="207"/>
      <c r="RL86" s="272"/>
      <c r="RM86" s="272"/>
      <c r="RN86" s="205">
        <f t="shared" ref="RN86:RN119" si="897">SUM(RG86:RM86)</f>
        <v>1200</v>
      </c>
      <c r="RO86" s="272"/>
      <c r="RP86" s="272"/>
      <c r="RQ86" s="272"/>
      <c r="RR86" s="272"/>
      <c r="RS86" s="272"/>
      <c r="RT86" s="272"/>
      <c r="RU86" s="272"/>
      <c r="RV86" s="205">
        <f t="shared" ref="RV86:RV119" si="898">SUM(RO86:RU86)</f>
        <v>0</v>
      </c>
      <c r="RW86" s="207"/>
      <c r="RX86" s="207"/>
      <c r="RY86" s="207"/>
      <c r="RZ86" s="207"/>
      <c r="SA86" s="272"/>
      <c r="SB86" s="272"/>
      <c r="SC86" s="272"/>
      <c r="SD86" s="205">
        <f t="shared" ref="SD86:SD119" si="899">SUM(RW86:SC86)</f>
        <v>0</v>
      </c>
      <c r="SE86" s="205">
        <f t="shared" ref="SE86:SE119" si="900">SUM(SD86,RV86,RN86,RF86,QV86)</f>
        <v>1200</v>
      </c>
      <c r="SF86" s="207"/>
      <c r="SG86" s="124">
        <v>1680</v>
      </c>
      <c r="SH86" s="207"/>
      <c r="SI86" s="207"/>
      <c r="SJ86" s="207"/>
      <c r="SK86" s="272"/>
      <c r="SL86" s="272"/>
      <c r="SM86" s="205">
        <f t="shared" ref="SM86:SM119" si="901">SUM(SF86:SL86)</f>
        <v>1680</v>
      </c>
      <c r="SN86" s="207"/>
      <c r="SO86" s="207"/>
      <c r="SP86" s="207"/>
      <c r="SQ86" s="207"/>
      <c r="SR86" s="207"/>
      <c r="SS86" s="272"/>
      <c r="ST86" s="272"/>
      <c r="SU86" s="205">
        <f t="shared" ref="SU86:SU119" si="902">SUM(SN86:ST86)</f>
        <v>0</v>
      </c>
      <c r="SV86" s="207"/>
      <c r="SW86" s="207"/>
      <c r="SX86" s="207"/>
      <c r="SY86" s="207"/>
      <c r="SZ86" s="207"/>
      <c r="TA86" s="272"/>
      <c r="TB86" s="272"/>
      <c r="TC86" s="205">
        <f t="shared" ref="TC86:TC119" si="903">SUM(SV86:TB86)</f>
        <v>0</v>
      </c>
      <c r="TD86" s="207"/>
      <c r="TE86" s="207"/>
      <c r="TF86" s="207"/>
      <c r="TG86" s="207"/>
      <c r="TH86" s="207"/>
      <c r="TI86" s="272"/>
      <c r="TJ86" s="272"/>
      <c r="TK86" s="205">
        <f t="shared" ref="TK86:TK119" si="904">SUM(TD86:TJ86)</f>
        <v>0</v>
      </c>
      <c r="TL86" s="207"/>
      <c r="TM86" s="207"/>
      <c r="TN86" s="207"/>
      <c r="TO86" s="207"/>
      <c r="TP86" s="272"/>
      <c r="TQ86" s="272"/>
      <c r="TR86" s="272"/>
      <c r="TS86" s="205">
        <f t="shared" ref="TS86:TS119" si="905">SUM(TL86:TR86)</f>
        <v>0</v>
      </c>
      <c r="TT86" s="205">
        <f t="shared" ref="TT86:TT119" si="906">SUM(TL86:TM86,TK86,TC86,SU86,SM86,SC86)</f>
        <v>1680</v>
      </c>
      <c r="TU86" s="272"/>
      <c r="TV86" s="207"/>
      <c r="TW86" s="207"/>
      <c r="TX86" s="207"/>
      <c r="TY86" s="207"/>
      <c r="TZ86" s="272"/>
      <c r="UA86" s="272"/>
      <c r="UB86" s="205">
        <f t="shared" ref="UB86:UB120" si="907">SUM(TU86:UA86)</f>
        <v>0</v>
      </c>
      <c r="UC86" s="124">
        <v>1200</v>
      </c>
      <c r="UD86" s="207"/>
      <c r="UE86" s="207"/>
      <c r="UF86" s="207"/>
      <c r="UG86" s="123">
        <v>336</v>
      </c>
      <c r="UH86" s="272"/>
      <c r="UI86" s="272"/>
      <c r="UJ86" s="205">
        <f t="shared" ref="UJ86:UJ120" si="908">SUM(UC86:UI86)</f>
        <v>1536</v>
      </c>
      <c r="UK86" s="207"/>
      <c r="UL86" s="207"/>
      <c r="UM86" s="207"/>
      <c r="UN86" s="207"/>
      <c r="UO86" s="207"/>
      <c r="UP86" s="272"/>
      <c r="UQ86" s="272"/>
      <c r="UR86" s="205">
        <f t="shared" ref="UR86:UR120" si="909">SUM(UK86:UQ86)</f>
        <v>0</v>
      </c>
      <c r="US86" s="207"/>
      <c r="UT86" s="207"/>
      <c r="UU86" s="207"/>
      <c r="UV86" s="207"/>
      <c r="UW86" s="272"/>
      <c r="UX86" s="272"/>
      <c r="UY86" s="272"/>
      <c r="UZ86" s="205">
        <f t="shared" ref="UZ86:UZ120" si="910">SUM(US86:UY86)</f>
        <v>0</v>
      </c>
      <c r="VA86" s="205">
        <f t="shared" ref="VA86:VA120" si="911">SUM(TN86:TR86,UB86,UJ86,UR86,US86:UV86)</f>
        <v>1536</v>
      </c>
      <c r="VB86" s="207"/>
      <c r="VC86" s="207"/>
      <c r="VD86" s="207"/>
      <c r="VE86" s="207"/>
      <c r="VF86" s="207"/>
      <c r="VG86" s="272"/>
      <c r="VH86" s="272"/>
      <c r="VI86" s="205">
        <f t="shared" ref="VI86:VI119" si="912">SUM(VB86:VH86)</f>
        <v>0</v>
      </c>
      <c r="VJ86" s="201">
        <v>1440</v>
      </c>
      <c r="VK86" s="207"/>
      <c r="VL86" s="207"/>
      <c r="VM86" s="207"/>
      <c r="VN86" s="207"/>
      <c r="VO86" s="272"/>
      <c r="VP86" s="272"/>
      <c r="VQ86" s="205">
        <f t="shared" ref="VQ86:VQ119" si="913">SUM(VJ86:VP86)</f>
        <v>1440</v>
      </c>
      <c r="VR86" s="207"/>
      <c r="VS86" s="207"/>
      <c r="VT86" s="207"/>
      <c r="VU86" s="207"/>
      <c r="VV86" s="207"/>
      <c r="VW86" s="272"/>
      <c r="VX86" s="272"/>
      <c r="VY86" s="205">
        <f t="shared" ref="VY86:VY119" si="914">SUM(VR86:VX86)</f>
        <v>0</v>
      </c>
      <c r="VZ86" s="207"/>
      <c r="WA86" s="207"/>
      <c r="WB86" s="207"/>
      <c r="WC86" s="207"/>
      <c r="WD86" s="207"/>
      <c r="WE86" s="272"/>
      <c r="WF86" s="272"/>
      <c r="WG86" s="205">
        <f t="shared" ref="WG86:WG119" si="915">SUM(VZ86:WF86)</f>
        <v>0</v>
      </c>
      <c r="WH86" s="205">
        <f t="shared" ref="WH86:WH119" si="916">SUM(WG86,VY86,VQ86,VI86,UW86:UY86)</f>
        <v>1440</v>
      </c>
      <c r="WI86" s="207"/>
      <c r="WJ86" s="207"/>
      <c r="WK86" s="207"/>
      <c r="WL86" s="207"/>
      <c r="WM86" s="207"/>
      <c r="WN86" s="272"/>
      <c r="WO86" s="272"/>
      <c r="WP86" s="205">
        <f t="shared" ref="WP86:WP119" si="917">SUM(WI86:WO86)</f>
        <v>0</v>
      </c>
      <c r="WQ86" s="207"/>
      <c r="WR86" s="207"/>
      <c r="WS86" s="207"/>
      <c r="WT86" s="207"/>
      <c r="WU86" s="207"/>
      <c r="WV86" s="272"/>
      <c r="WW86" s="272"/>
      <c r="WX86" s="205">
        <f t="shared" ref="WX86:WX119" si="918">SUM(WQ86:WW86)</f>
        <v>0</v>
      </c>
      <c r="WY86" s="207"/>
      <c r="WZ86" s="207"/>
      <c r="XA86" s="207"/>
      <c r="XB86" s="207"/>
      <c r="XC86" s="272"/>
      <c r="XD86" s="272"/>
      <c r="XE86" s="272"/>
      <c r="XF86" s="205">
        <f t="shared" ref="XF86:XF119" si="919">SUM(WY86:XE86)</f>
        <v>0</v>
      </c>
      <c r="XG86" s="207"/>
      <c r="XH86" s="207"/>
      <c r="XI86" s="207"/>
      <c r="XJ86" s="207"/>
      <c r="XK86" s="207"/>
      <c r="XL86" s="272"/>
      <c r="XM86" s="272"/>
      <c r="XN86" s="205">
        <f t="shared" ref="XN86:XN119" si="920">SUM(XG86:XM86)</f>
        <v>0</v>
      </c>
      <c r="XO86" s="207"/>
      <c r="XP86" s="207"/>
      <c r="XQ86" s="207"/>
      <c r="XR86" s="207"/>
      <c r="XS86" s="207"/>
      <c r="XT86" s="272"/>
      <c r="XU86" s="272"/>
      <c r="XV86" s="205">
        <f t="shared" ref="XV86:XV119" si="921">SUM(XO86:XU86)</f>
        <v>0</v>
      </c>
      <c r="XW86" s="205">
        <f t="shared" ref="XW86:XW119" si="922">SUM(XO86:XP86,XN86,XF86,WX86,WP86)</f>
        <v>0</v>
      </c>
      <c r="XX86" s="207"/>
      <c r="XY86" s="207"/>
      <c r="XZ86" s="207"/>
      <c r="YA86" s="207"/>
      <c r="YB86" s="207"/>
      <c r="YC86" s="272"/>
      <c r="YD86" s="272"/>
      <c r="YE86" s="205">
        <f t="shared" ref="YE86:YE119" si="923">SUM(XX86:YD86)</f>
        <v>0</v>
      </c>
      <c r="YF86" s="207"/>
      <c r="YG86" s="207"/>
      <c r="YH86" s="207"/>
      <c r="YI86" s="207"/>
      <c r="YJ86" s="207"/>
      <c r="YK86" s="272"/>
      <c r="YL86" s="272"/>
      <c r="YM86" s="205">
        <f t="shared" ref="YM86:YM119" si="924">SUM(YF86:YL86)</f>
        <v>0</v>
      </c>
      <c r="YN86" s="207"/>
      <c r="YO86" s="207"/>
      <c r="YP86" s="207"/>
      <c r="YQ86" s="207"/>
      <c r="YR86" s="207"/>
      <c r="YS86" s="272"/>
      <c r="YT86" s="272"/>
      <c r="YU86" s="205">
        <f t="shared" ref="YU86:YU119" si="925">SUM(YN86:YT86)</f>
        <v>0</v>
      </c>
      <c r="YV86" s="207"/>
      <c r="YW86" s="207"/>
      <c r="YX86" s="207"/>
      <c r="YY86" s="207"/>
      <c r="YZ86" s="207"/>
      <c r="ZA86" s="272"/>
      <c r="ZB86" s="272"/>
      <c r="ZC86" s="205">
        <f t="shared" ref="ZC86:ZC119" si="926">SUM(YV86:ZB86)</f>
        <v>0</v>
      </c>
      <c r="ZD86" s="205">
        <f t="shared" ref="ZD86:ZD119" si="927">SUM(YV86:YW86,YU86,YM86,YE86,XW86)</f>
        <v>0</v>
      </c>
      <c r="ZE86" s="207"/>
      <c r="ZF86" s="207"/>
      <c r="ZG86" s="207"/>
      <c r="ZH86" s="207"/>
      <c r="ZI86" s="207"/>
      <c r="ZJ86" s="272"/>
      <c r="ZK86" s="272"/>
      <c r="ZL86" s="205">
        <f t="shared" ref="ZL86:ZL119" si="928">SUM(ZE86:ZK86)</f>
        <v>0</v>
      </c>
      <c r="ZM86" s="207"/>
      <c r="ZN86" s="207"/>
      <c r="ZO86" s="207"/>
      <c r="ZP86" s="207"/>
      <c r="ZQ86" s="207"/>
      <c r="ZR86" s="272"/>
      <c r="ZS86" s="272"/>
      <c r="ZT86" s="205">
        <f t="shared" ref="ZT86:ZT119" si="929">SUM(ZM86:ZS86)</f>
        <v>0</v>
      </c>
      <c r="ZU86" s="207"/>
      <c r="ZV86" s="207"/>
      <c r="ZW86" s="207"/>
      <c r="ZX86" s="207"/>
      <c r="ZY86" s="207"/>
      <c r="ZZ86" s="272"/>
      <c r="AAA86" s="272"/>
      <c r="AAB86" s="205">
        <f t="shared" ref="AAB86:AAB119" si="930">SUM(ZU86:AAA86)</f>
        <v>0</v>
      </c>
      <c r="AAC86" s="207"/>
      <c r="AAD86" s="207"/>
      <c r="AAE86" s="207"/>
      <c r="AAF86" s="207"/>
      <c r="AAG86" s="207"/>
      <c r="AAH86" s="272"/>
      <c r="AAI86" s="272"/>
      <c r="AAJ86" s="205">
        <f t="shared" ref="AAJ86:AAJ119" si="931">SUM(AAC86:AAI86)</f>
        <v>0</v>
      </c>
      <c r="AAK86" s="207"/>
      <c r="AAL86" s="207"/>
      <c r="AAM86" s="207"/>
      <c r="AAN86" s="207"/>
      <c r="AAO86" s="207"/>
      <c r="AAP86" s="272"/>
      <c r="AAQ86" s="272"/>
      <c r="AAR86" s="205">
        <f t="shared" ref="AAR86:AAR119" si="932">SUM(AAK86:AAQ86)</f>
        <v>0</v>
      </c>
      <c r="AAS86" s="205">
        <f t="shared" ref="AAS86:AAS119" si="933">SUM(AAK86:AAL86,AAJ86,AAB86,ZT86,ZL86)</f>
        <v>0</v>
      </c>
    </row>
    <row r="87" spans="1:721" ht="69.95" customHeight="1">
      <c r="B87" s="151">
        <v>3630101403</v>
      </c>
      <c r="C87" s="323" t="s">
        <v>741</v>
      </c>
      <c r="D87" s="152" t="s">
        <v>1</v>
      </c>
      <c r="E87" s="130" t="s">
        <v>4</v>
      </c>
      <c r="F87" s="201">
        <v>1000</v>
      </c>
      <c r="G87" s="120"/>
      <c r="H87" s="120"/>
      <c r="I87" s="120"/>
      <c r="J87" s="120"/>
      <c r="K87" s="209"/>
      <c r="L87" s="205"/>
      <c r="M87" s="205">
        <f t="shared" si="824"/>
        <v>1000</v>
      </c>
      <c r="N87" s="120"/>
      <c r="O87" s="120"/>
      <c r="P87" s="120"/>
      <c r="Q87" s="120"/>
      <c r="R87" s="120"/>
      <c r="S87" s="209"/>
      <c r="T87" s="205"/>
      <c r="U87" s="205">
        <f t="shared" si="825"/>
        <v>0</v>
      </c>
      <c r="V87" s="120"/>
      <c r="W87" s="201">
        <v>500</v>
      </c>
      <c r="X87" s="120"/>
      <c r="Y87" s="120"/>
      <c r="Z87" s="120"/>
      <c r="AA87" s="209"/>
      <c r="AB87" s="205"/>
      <c r="AC87" s="205">
        <f t="shared" si="826"/>
        <v>500</v>
      </c>
      <c r="AD87" s="205"/>
      <c r="AE87" s="205"/>
      <c r="AF87" s="205"/>
      <c r="AG87" s="205"/>
      <c r="AH87" s="205"/>
      <c r="AI87" s="209"/>
      <c r="AJ87" s="205"/>
      <c r="AK87" s="205">
        <f t="shared" si="827"/>
        <v>0</v>
      </c>
      <c r="AL87" s="205" t="e">
        <f>SUM(#REF!,M87,U87,AC87,AD87:AH87)</f>
        <v>#REF!</v>
      </c>
      <c r="AM87" s="120"/>
      <c r="AN87" s="120"/>
      <c r="AO87" s="120"/>
      <c r="AP87" s="120"/>
      <c r="AQ87" s="120"/>
      <c r="AR87" s="209"/>
      <c r="AS87" s="205"/>
      <c r="AT87" s="205">
        <f t="shared" si="828"/>
        <v>0</v>
      </c>
      <c r="AU87" s="201">
        <v>700</v>
      </c>
      <c r="AV87" s="120"/>
      <c r="AW87" s="120"/>
      <c r="AX87" s="120"/>
      <c r="AY87" s="120"/>
      <c r="AZ87" s="209"/>
      <c r="BA87" s="205"/>
      <c r="BB87" s="205">
        <f t="shared" si="829"/>
        <v>700</v>
      </c>
      <c r="BC87" s="120"/>
      <c r="BD87" s="120"/>
      <c r="BE87" s="120"/>
      <c r="BF87" s="120"/>
      <c r="BG87" s="120"/>
      <c r="BH87" s="209"/>
      <c r="BI87" s="205"/>
      <c r="BJ87" s="205">
        <f t="shared" si="830"/>
        <v>0</v>
      </c>
      <c r="BK87" s="120"/>
      <c r="BL87" s="250">
        <v>500</v>
      </c>
      <c r="BM87" s="120"/>
      <c r="BN87" s="120"/>
      <c r="BO87" s="205"/>
      <c r="BP87" s="209"/>
      <c r="BQ87" s="205"/>
      <c r="BR87" s="205">
        <f t="shared" si="831"/>
        <v>500</v>
      </c>
      <c r="BS87" s="205">
        <f t="shared" si="832"/>
        <v>1200</v>
      </c>
      <c r="BT87" s="120"/>
      <c r="BU87" s="120"/>
      <c r="BV87" s="250">
        <v>2000</v>
      </c>
      <c r="BW87" s="120"/>
      <c r="BX87" s="120"/>
      <c r="BY87" s="209"/>
      <c r="BZ87" s="205"/>
      <c r="CA87" s="205">
        <f t="shared" si="833"/>
        <v>2000</v>
      </c>
      <c r="CB87" s="120"/>
      <c r="CC87" s="120"/>
      <c r="CD87" s="120"/>
      <c r="CE87" s="120"/>
      <c r="CF87" s="120"/>
      <c r="CG87" s="209"/>
      <c r="CH87" s="205"/>
      <c r="CI87" s="205">
        <f t="shared" si="834"/>
        <v>0</v>
      </c>
      <c r="CJ87" s="120"/>
      <c r="CK87" s="195">
        <v>1000</v>
      </c>
      <c r="CL87" s="120"/>
      <c r="CM87" s="120"/>
      <c r="CN87" s="120"/>
      <c r="CO87" s="209"/>
      <c r="CP87" s="205"/>
      <c r="CQ87" s="205">
        <f t="shared" si="835"/>
        <v>1000</v>
      </c>
      <c r="CR87" s="120"/>
      <c r="CS87" s="120"/>
      <c r="CT87" s="120"/>
      <c r="CU87" s="120"/>
      <c r="CV87" s="120"/>
      <c r="CW87" s="209"/>
      <c r="CX87" s="205"/>
      <c r="CY87" s="205">
        <f t="shared" si="836"/>
        <v>0</v>
      </c>
      <c r="CZ87" s="120"/>
      <c r="DA87" s="120"/>
      <c r="DB87" s="120"/>
      <c r="DC87" s="205"/>
      <c r="DD87" s="205"/>
      <c r="DE87" s="209"/>
      <c r="DF87" s="205"/>
      <c r="DG87" s="205">
        <f t="shared" si="837"/>
        <v>0</v>
      </c>
      <c r="DH87" s="205">
        <f t="shared" si="838"/>
        <v>3000</v>
      </c>
      <c r="DI87" s="250">
        <v>1000</v>
      </c>
      <c r="DJ87" s="120"/>
      <c r="DK87" s="207"/>
      <c r="DL87" s="120"/>
      <c r="DM87" s="120"/>
      <c r="DN87" s="209"/>
      <c r="DO87" s="205"/>
      <c r="DP87" s="205">
        <f t="shared" si="839"/>
        <v>1000</v>
      </c>
      <c r="DQ87" s="120"/>
      <c r="DS87" s="120"/>
      <c r="DT87" s="120"/>
      <c r="DU87" s="120"/>
      <c r="DV87" s="209"/>
      <c r="DW87" s="205"/>
      <c r="DX87" s="205">
        <f t="shared" si="840"/>
        <v>0</v>
      </c>
      <c r="DY87" s="120"/>
      <c r="DZ87" s="120"/>
      <c r="EA87" s="120"/>
      <c r="EB87" s="120"/>
      <c r="EC87" s="120"/>
      <c r="ED87" s="209"/>
      <c r="EE87" s="205"/>
      <c r="EF87" s="205">
        <f t="shared" si="841"/>
        <v>0</v>
      </c>
      <c r="EG87" s="120"/>
      <c r="EH87" s="217">
        <v>1500</v>
      </c>
      <c r="EI87" s="120"/>
      <c r="EJ87" s="205"/>
      <c r="EK87" s="205"/>
      <c r="EL87" s="209"/>
      <c r="EM87" s="205"/>
      <c r="EN87" s="205">
        <f t="shared" si="842"/>
        <v>1500</v>
      </c>
      <c r="EO87" s="205">
        <f t="shared" si="843"/>
        <v>2500</v>
      </c>
      <c r="EP87" s="120"/>
      <c r="EQ87" s="120"/>
      <c r="ER87" s="120"/>
      <c r="ES87" s="120"/>
      <c r="ET87" s="120"/>
      <c r="EU87" s="209"/>
      <c r="EV87" s="205"/>
      <c r="EW87" s="205">
        <f t="shared" si="844"/>
        <v>0</v>
      </c>
      <c r="EX87" s="120"/>
      <c r="EY87" s="250">
        <v>1000</v>
      </c>
      <c r="EZ87" s="120"/>
      <c r="FA87" s="120"/>
      <c r="FB87" s="120"/>
      <c r="FC87" s="209"/>
      <c r="FD87" s="205"/>
      <c r="FE87" s="205">
        <f t="shared" si="845"/>
        <v>1000</v>
      </c>
      <c r="FF87" s="120"/>
      <c r="FG87" s="120"/>
      <c r="FH87" s="120"/>
      <c r="FI87" s="120"/>
      <c r="FJ87" s="120"/>
      <c r="FK87" s="209"/>
      <c r="FL87" s="205"/>
      <c r="FM87" s="205">
        <f t="shared" si="846"/>
        <v>0</v>
      </c>
      <c r="FN87" s="120"/>
      <c r="FO87" s="120"/>
      <c r="FP87" s="120"/>
      <c r="FQ87" s="120"/>
      <c r="FR87" s="205"/>
      <c r="FS87" s="209"/>
      <c r="FT87" s="205"/>
      <c r="FU87" s="205">
        <f t="shared" si="847"/>
        <v>0</v>
      </c>
      <c r="FV87" s="205">
        <f t="shared" si="848"/>
        <v>1000</v>
      </c>
      <c r="FW87" s="120"/>
      <c r="FX87" s="120"/>
      <c r="FY87" s="120"/>
      <c r="FZ87" s="120"/>
      <c r="GA87" s="120"/>
      <c r="GB87" s="209"/>
      <c r="GC87" s="205"/>
      <c r="GD87" s="205">
        <f t="shared" si="849"/>
        <v>0</v>
      </c>
      <c r="GE87" s="120"/>
      <c r="GF87" s="120"/>
      <c r="GG87" s="250">
        <v>1500</v>
      </c>
      <c r="GH87" s="120"/>
      <c r="GI87" s="120"/>
      <c r="GJ87" s="209"/>
      <c r="GK87" s="205"/>
      <c r="GL87" s="205">
        <f t="shared" si="850"/>
        <v>1500</v>
      </c>
      <c r="GM87" s="120"/>
      <c r="GN87" s="120"/>
      <c r="GO87" s="120"/>
      <c r="GP87" s="120"/>
      <c r="GQ87" s="120"/>
      <c r="GR87" s="209"/>
      <c r="GS87" s="205"/>
      <c r="GT87" s="205">
        <f t="shared" si="851"/>
        <v>0</v>
      </c>
      <c r="GU87" s="120"/>
      <c r="GV87" s="120"/>
      <c r="GW87" s="120"/>
      <c r="GX87" s="120"/>
      <c r="GY87" s="120"/>
      <c r="GZ87" s="209"/>
      <c r="HA87" s="205"/>
      <c r="HB87" s="205">
        <f t="shared" si="852"/>
        <v>0</v>
      </c>
      <c r="HC87" s="120"/>
      <c r="HD87" s="120"/>
      <c r="HE87" s="120"/>
      <c r="HF87" s="120"/>
      <c r="HG87" s="120"/>
      <c r="HH87" s="209"/>
      <c r="HI87" s="205"/>
      <c r="HJ87" s="205">
        <f t="shared" si="853"/>
        <v>0</v>
      </c>
      <c r="HK87" s="205">
        <f t="shared" si="854"/>
        <v>1500</v>
      </c>
      <c r="HL87" s="124"/>
      <c r="HM87" s="120"/>
      <c r="HN87" s="120"/>
      <c r="HO87" s="217">
        <v>2000</v>
      </c>
      <c r="HP87" s="217">
        <v>1000</v>
      </c>
      <c r="HQ87" s="205"/>
      <c r="HR87" s="205"/>
      <c r="HS87" s="205">
        <f t="shared" ref="HS87:HS120" si="934">SUM(HL87:HR87)</f>
        <v>3000</v>
      </c>
      <c r="HT87" s="120"/>
      <c r="HU87" s="195">
        <v>1000</v>
      </c>
      <c r="HV87" s="120"/>
      <c r="HW87" s="120"/>
      <c r="HX87" s="120"/>
      <c r="HY87" s="205"/>
      <c r="HZ87" s="205"/>
      <c r="IA87" s="205">
        <f t="shared" ref="IA87:IA120" si="935">SUM(HT87:HZ87)</f>
        <v>1000</v>
      </c>
      <c r="IB87" s="120"/>
      <c r="IC87" s="120"/>
      <c r="ID87" s="120"/>
      <c r="IE87" s="120"/>
      <c r="IF87" s="120"/>
      <c r="IG87" s="205"/>
      <c r="IH87" s="205"/>
      <c r="II87" s="205">
        <f t="shared" ref="II87:II120" si="936">SUM(IB87:IH87)</f>
        <v>0</v>
      </c>
      <c r="IJ87" s="120"/>
      <c r="IK87" s="120"/>
      <c r="IL87" s="120"/>
      <c r="IM87" s="120"/>
      <c r="IN87" s="120"/>
      <c r="IO87" s="205"/>
      <c r="IP87" s="205"/>
      <c r="IQ87" s="205">
        <f t="shared" ref="IQ87:IQ120" si="937">SUM(IJ87:IP87)</f>
        <v>0</v>
      </c>
      <c r="IR87" s="205">
        <f t="shared" ref="IR87:IR120" si="938">SUM(IJ87:IM87,II87,IA87,HS87,HD87:HG87,HH87:HI87)</f>
        <v>4000</v>
      </c>
      <c r="IS87" s="120"/>
      <c r="IT87" s="217">
        <v>1400</v>
      </c>
      <c r="IU87" s="120"/>
      <c r="IV87" s="120"/>
      <c r="IW87" s="120"/>
      <c r="IX87" s="205"/>
      <c r="IY87" s="205"/>
      <c r="IZ87" s="205">
        <f t="shared" ref="IZ87:IZ120" si="939">SUM(IS87:IY87)</f>
        <v>1400</v>
      </c>
      <c r="JA87" s="120"/>
      <c r="JB87" s="120"/>
      <c r="JC87" s="120"/>
      <c r="JD87" s="120"/>
      <c r="JE87" s="120"/>
      <c r="JF87" s="205"/>
      <c r="JG87" s="205"/>
      <c r="JH87" s="205">
        <f t="shared" ref="JH87:JH120" si="940">SUM(JA87:JG87)</f>
        <v>0</v>
      </c>
      <c r="JI87" s="120"/>
      <c r="JJ87" s="120"/>
      <c r="JK87" s="120"/>
      <c r="JL87" s="120"/>
      <c r="JM87" s="120"/>
      <c r="JN87" s="205"/>
      <c r="JO87" s="205"/>
      <c r="JP87" s="205">
        <f t="shared" ref="JP87:JP120" si="941">SUM(JI87:JO87)</f>
        <v>0</v>
      </c>
      <c r="JQ87" s="120"/>
      <c r="JR87" s="120"/>
      <c r="JS87" s="120"/>
      <c r="JT87" s="120"/>
      <c r="JU87" s="120"/>
      <c r="JV87" s="205"/>
      <c r="JW87" s="205"/>
      <c r="JX87" s="205">
        <f t="shared" ref="JX87:JX120" si="942">SUM(JQ87:JW87)</f>
        <v>0</v>
      </c>
      <c r="JY87" s="205">
        <f t="shared" ref="JY87:JY120" si="943">SUM(JX87,JP87,JH87,IZ87,IN87:IP87)</f>
        <v>1400</v>
      </c>
      <c r="JZ87" s="120"/>
      <c r="KA87" s="120"/>
      <c r="KB87" s="217">
        <v>1520</v>
      </c>
      <c r="KC87" s="120"/>
      <c r="KD87" s="120"/>
      <c r="KE87" s="205"/>
      <c r="KF87" s="205"/>
      <c r="KG87" s="205">
        <f t="shared" ref="KG87:KG120" si="944">SUM(JZ87:KF87)</f>
        <v>1520</v>
      </c>
      <c r="KH87" s="120"/>
      <c r="KI87" s="120"/>
      <c r="KJ87" s="120"/>
      <c r="KK87" s="120"/>
      <c r="KL87" s="120"/>
      <c r="KM87" s="205"/>
      <c r="KN87" s="205"/>
      <c r="KO87" s="205">
        <f t="shared" ref="KO87:KO120" si="945">SUM(KH87:KN87)</f>
        <v>0</v>
      </c>
      <c r="KP87" s="120"/>
      <c r="KQ87" s="120"/>
      <c r="KR87" s="120"/>
      <c r="KS87" s="120"/>
      <c r="KT87" s="120"/>
      <c r="KU87" s="205"/>
      <c r="KV87" s="205"/>
      <c r="KW87" s="205">
        <f t="shared" ref="KW87:KW120" si="946">SUM(KP87:KV87)</f>
        <v>0</v>
      </c>
      <c r="KX87" s="120"/>
      <c r="KY87" s="120"/>
      <c r="KZ87" s="120"/>
      <c r="LA87" s="120"/>
      <c r="LB87" s="120"/>
      <c r="LC87" s="205"/>
      <c r="LD87" s="205"/>
      <c r="LE87" s="205">
        <f t="shared" ref="LE87:LE120" si="947">SUM(KX87:LD87)</f>
        <v>0</v>
      </c>
      <c r="LF87" s="205"/>
      <c r="LG87" s="120"/>
      <c r="LH87" s="120"/>
      <c r="LI87" s="120"/>
      <c r="LJ87" s="120"/>
      <c r="LK87" s="205"/>
      <c r="LL87" s="205"/>
      <c r="LM87" s="205">
        <f t="shared" ref="LM87:LM120" si="948">SUM(LF87:LL87)</f>
        <v>0</v>
      </c>
      <c r="LN87" s="205">
        <f t="shared" ref="LN87:LN120" si="949">SUM(LF87:LG87,LE87,KW87,KO87,KG87)</f>
        <v>1520</v>
      </c>
      <c r="LO87" s="205"/>
      <c r="LP87" s="120"/>
      <c r="LQ87" s="195">
        <v>900</v>
      </c>
      <c r="LR87" s="120"/>
      <c r="LS87" s="205"/>
      <c r="LT87" s="205"/>
      <c r="LU87" s="205"/>
      <c r="LV87" s="205">
        <f t="shared" ref="LV87:LV120" si="950">SUM(LO87:LU87)</f>
        <v>900</v>
      </c>
      <c r="LW87" s="120"/>
      <c r="LX87" s="120"/>
      <c r="LY87" s="120"/>
      <c r="LZ87" s="120"/>
      <c r="MA87" s="120"/>
      <c r="MB87" s="205"/>
      <c r="MC87" s="205"/>
      <c r="MD87" s="205">
        <f t="shared" ref="MD87:MD120" si="951">SUM(LW87:MC87)</f>
        <v>0</v>
      </c>
      <c r="ME87" s="120"/>
      <c r="MF87" s="120"/>
      <c r="MG87" s="120"/>
      <c r="MH87" s="120"/>
      <c r="MI87" s="205"/>
      <c r="MJ87" s="205"/>
      <c r="MK87" s="205"/>
      <c r="ML87" s="205">
        <f t="shared" ref="ML87:ML120" si="952">SUM(ME87:MK87)</f>
        <v>0</v>
      </c>
      <c r="MM87" s="120"/>
      <c r="MN87" s="120"/>
      <c r="MO87" s="120"/>
      <c r="MP87" s="120"/>
      <c r="MQ87" s="120"/>
      <c r="MR87" s="205"/>
      <c r="MS87" s="205"/>
      <c r="MT87" s="205">
        <f t="shared" ref="MT87:MT120" si="953">SUM(MM87:MS87)</f>
        <v>0</v>
      </c>
      <c r="MU87" s="205">
        <f t="shared" ref="MU87:MU120" si="954">SUM(LH87:LL87,LV87,MD87,ML87,MM87:MQ87)</f>
        <v>900</v>
      </c>
      <c r="MV87" s="120"/>
      <c r="MW87" s="120"/>
      <c r="MX87" s="120"/>
      <c r="MY87" s="120"/>
      <c r="MZ87" s="120"/>
      <c r="NA87" s="205"/>
      <c r="NB87" s="205"/>
      <c r="NC87" s="205">
        <f t="shared" si="880"/>
        <v>0</v>
      </c>
      <c r="ND87" s="120"/>
      <c r="NE87" s="120"/>
      <c r="NF87" s="120"/>
      <c r="NG87" s="120"/>
      <c r="NH87" s="120"/>
      <c r="NI87" s="205"/>
      <c r="NJ87" s="205"/>
      <c r="NK87" s="205">
        <f t="shared" si="881"/>
        <v>0</v>
      </c>
      <c r="NL87" s="120"/>
      <c r="NM87" s="120"/>
      <c r="NN87" s="120"/>
      <c r="NO87" s="120"/>
      <c r="NP87" s="120"/>
      <c r="NQ87" s="205"/>
      <c r="NR87" s="205"/>
      <c r="NS87" s="205">
        <f t="shared" si="882"/>
        <v>0</v>
      </c>
      <c r="NT87" s="120"/>
      <c r="NU87" s="120"/>
      <c r="NV87" s="120"/>
      <c r="NW87" s="120"/>
      <c r="NX87" s="120"/>
      <c r="NY87" s="205"/>
      <c r="NZ87" s="205"/>
      <c r="OA87" s="205">
        <f t="shared" si="883"/>
        <v>0</v>
      </c>
      <c r="OB87" s="205">
        <f t="shared" si="884"/>
        <v>0</v>
      </c>
      <c r="OC87" s="120"/>
      <c r="OD87" s="120"/>
      <c r="OE87" s="120"/>
      <c r="OF87" s="120"/>
      <c r="OG87" s="120"/>
      <c r="OH87" s="205"/>
      <c r="OI87" s="205"/>
      <c r="OJ87" s="205">
        <f t="shared" si="885"/>
        <v>0</v>
      </c>
      <c r="OK87" s="120"/>
      <c r="OL87" s="195">
        <v>1580</v>
      </c>
      <c r="OM87" s="120"/>
      <c r="ON87" s="120"/>
      <c r="OO87" s="120"/>
      <c r="OP87" s="205"/>
      <c r="OQ87" s="205"/>
      <c r="OR87" s="205">
        <f t="shared" si="886"/>
        <v>1580</v>
      </c>
      <c r="OS87" s="120"/>
      <c r="OT87" s="120"/>
      <c r="OU87" s="120"/>
      <c r="OV87" s="124">
        <v>2000</v>
      </c>
      <c r="OW87" s="120"/>
      <c r="OX87" s="205"/>
      <c r="OY87" s="205"/>
      <c r="OZ87" s="205">
        <f t="shared" si="887"/>
        <v>2000</v>
      </c>
      <c r="PA87" s="120"/>
      <c r="PB87" s="120"/>
      <c r="PC87" s="120"/>
      <c r="PD87" s="205"/>
      <c r="PE87" s="217"/>
      <c r="PF87" s="205"/>
      <c r="PG87" s="205"/>
      <c r="PH87" s="205">
        <f t="shared" si="888"/>
        <v>0</v>
      </c>
      <c r="PI87" s="120"/>
      <c r="PJ87" s="120"/>
      <c r="PK87" s="120"/>
      <c r="PL87" s="205"/>
      <c r="PM87" s="217"/>
      <c r="PN87" s="205"/>
      <c r="PO87" s="205"/>
      <c r="PP87" s="205">
        <f t="shared" si="889"/>
        <v>0</v>
      </c>
      <c r="PQ87" s="205">
        <f t="shared" si="890"/>
        <v>3580</v>
      </c>
      <c r="PR87" s="207"/>
      <c r="PS87" s="207"/>
      <c r="PT87" s="207"/>
      <c r="PU87" s="207"/>
      <c r="PV87" s="207"/>
      <c r="PW87" s="272"/>
      <c r="PX87" s="272"/>
      <c r="PY87" s="205">
        <f t="shared" si="891"/>
        <v>0</v>
      </c>
      <c r="PZ87" s="195">
        <v>2000</v>
      </c>
      <c r="QA87" s="195">
        <v>160</v>
      </c>
      <c r="QB87" s="207"/>
      <c r="QC87" s="195">
        <v>500</v>
      </c>
      <c r="QD87" s="207"/>
      <c r="QE87" s="272"/>
      <c r="QF87" s="272"/>
      <c r="QG87" s="205">
        <f t="shared" si="892"/>
        <v>2660</v>
      </c>
      <c r="QH87" s="207"/>
      <c r="QI87" s="207"/>
      <c r="QJ87" s="294"/>
      <c r="QK87" s="207"/>
      <c r="QL87" s="207"/>
      <c r="QM87" s="272"/>
      <c r="QN87" s="272"/>
      <c r="QO87" s="205">
        <f t="shared" si="893"/>
        <v>0</v>
      </c>
      <c r="QP87" s="207"/>
      <c r="QQ87" s="207"/>
      <c r="QR87" s="207"/>
      <c r="QS87" s="207"/>
      <c r="QT87" s="207"/>
      <c r="QU87" s="272"/>
      <c r="QV87" s="272"/>
      <c r="QW87" s="205">
        <f t="shared" si="894"/>
        <v>0</v>
      </c>
      <c r="QX87" s="205">
        <f t="shared" si="895"/>
        <v>2660</v>
      </c>
      <c r="QY87" s="207"/>
      <c r="QZ87" s="207"/>
      <c r="RA87" s="207"/>
      <c r="RB87" s="207"/>
      <c r="RC87" s="207"/>
      <c r="RD87" s="272"/>
      <c r="RE87" s="272"/>
      <c r="RF87" s="205">
        <f t="shared" si="896"/>
        <v>0</v>
      </c>
      <c r="RG87" s="201">
        <v>640</v>
      </c>
      <c r="RH87" s="207"/>
      <c r="RI87" s="207"/>
      <c r="RJ87" s="207"/>
      <c r="RK87" s="207"/>
      <c r="RL87" s="272"/>
      <c r="RM87" s="272"/>
      <c r="RN87" s="205">
        <f t="shared" si="897"/>
        <v>640</v>
      </c>
      <c r="RO87" s="272"/>
      <c r="RP87" s="272"/>
      <c r="RQ87" s="272"/>
      <c r="RR87" s="272"/>
      <c r="RS87" s="272"/>
      <c r="RT87" s="272"/>
      <c r="RU87" s="272"/>
      <c r="RV87" s="205">
        <f t="shared" si="898"/>
        <v>0</v>
      </c>
      <c r="RW87" s="217">
        <v>1280</v>
      </c>
      <c r="RX87" s="207"/>
      <c r="RY87" s="207"/>
      <c r="RZ87" s="207"/>
      <c r="SA87" s="272"/>
      <c r="SB87" s="272"/>
      <c r="SC87" s="272"/>
      <c r="SD87" s="205">
        <f t="shared" si="899"/>
        <v>1280</v>
      </c>
      <c r="SE87" s="205">
        <f t="shared" si="900"/>
        <v>1920</v>
      </c>
      <c r="SF87" s="207"/>
      <c r="SG87" s="207"/>
      <c r="SH87" s="207"/>
      <c r="SI87" s="207"/>
      <c r="SJ87" s="207"/>
      <c r="SK87" s="272"/>
      <c r="SL87" s="272"/>
      <c r="SM87" s="205">
        <f t="shared" si="901"/>
        <v>0</v>
      </c>
      <c r="SN87" s="207"/>
      <c r="SO87" s="207"/>
      <c r="SP87" s="207"/>
      <c r="SQ87" s="207"/>
      <c r="SR87" s="207"/>
      <c r="SS87" s="272"/>
      <c r="ST87" s="272"/>
      <c r="SU87" s="205">
        <f t="shared" si="902"/>
        <v>0</v>
      </c>
      <c r="SV87" s="207"/>
      <c r="SW87" s="207"/>
      <c r="SX87" s="207"/>
      <c r="SY87" s="207"/>
      <c r="SZ87" s="207"/>
      <c r="TA87" s="272"/>
      <c r="TB87" s="272"/>
      <c r="TC87" s="205">
        <f t="shared" si="903"/>
        <v>0</v>
      </c>
      <c r="TD87" s="207"/>
      <c r="TE87" s="207"/>
      <c r="TF87" s="207"/>
      <c r="TG87" s="207"/>
      <c r="TH87" s="207"/>
      <c r="TI87" s="272"/>
      <c r="TJ87" s="272"/>
      <c r="TK87" s="205">
        <f t="shared" si="904"/>
        <v>0</v>
      </c>
      <c r="TL87" s="207"/>
      <c r="TM87" s="207"/>
      <c r="TN87" s="207"/>
      <c r="TO87" s="207"/>
      <c r="TP87" s="272"/>
      <c r="TQ87" s="272"/>
      <c r="TR87" s="272"/>
      <c r="TS87" s="205">
        <f t="shared" si="905"/>
        <v>0</v>
      </c>
      <c r="TT87" s="205">
        <f t="shared" si="906"/>
        <v>0</v>
      </c>
      <c r="TU87" s="272"/>
      <c r="TV87" s="207"/>
      <c r="TW87" s="217">
        <v>640</v>
      </c>
      <c r="TX87" s="207"/>
      <c r="TY87" s="207"/>
      <c r="TZ87" s="272"/>
      <c r="UA87" s="272"/>
      <c r="UB87" s="205">
        <f t="shared" si="907"/>
        <v>640</v>
      </c>
      <c r="UC87" s="207"/>
      <c r="UD87" s="207"/>
      <c r="UE87" s="217">
        <v>2000</v>
      </c>
      <c r="UF87" s="207"/>
      <c r="UG87" s="207"/>
      <c r="UH87" s="272"/>
      <c r="UI87" s="272"/>
      <c r="UJ87" s="205">
        <f t="shared" si="908"/>
        <v>2000</v>
      </c>
      <c r="UK87" s="207"/>
      <c r="UL87" s="207"/>
      <c r="UM87" s="207"/>
      <c r="UN87" s="207"/>
      <c r="UO87" s="207"/>
      <c r="UP87" s="272"/>
      <c r="UQ87" s="272"/>
      <c r="UR87" s="205">
        <f t="shared" si="909"/>
        <v>0</v>
      </c>
      <c r="US87" s="207"/>
      <c r="UT87" s="207"/>
      <c r="UU87" s="207"/>
      <c r="UV87" s="207"/>
      <c r="UW87" s="272"/>
      <c r="UX87" s="272"/>
      <c r="UY87" s="272"/>
      <c r="UZ87" s="205">
        <f t="shared" si="910"/>
        <v>0</v>
      </c>
      <c r="VA87" s="205">
        <f t="shared" si="911"/>
        <v>2640</v>
      </c>
      <c r="VB87" s="207"/>
      <c r="VC87" s="207"/>
      <c r="VD87" s="207"/>
      <c r="VE87" s="207"/>
      <c r="VF87" s="207"/>
      <c r="VG87" s="272"/>
      <c r="VH87" s="272"/>
      <c r="VI87" s="205">
        <f t="shared" si="912"/>
        <v>0</v>
      </c>
      <c r="VJ87" s="207"/>
      <c r="VK87" s="201">
        <v>760</v>
      </c>
      <c r="VL87" s="207"/>
      <c r="VM87" s="195">
        <v>1000</v>
      </c>
      <c r="VN87" s="207"/>
      <c r="VO87" s="272"/>
      <c r="VP87" s="272"/>
      <c r="VQ87" s="205">
        <f t="shared" si="913"/>
        <v>1760</v>
      </c>
      <c r="VR87" s="207"/>
      <c r="VS87" s="207"/>
      <c r="VT87" s="207"/>
      <c r="VU87" s="207"/>
      <c r="VV87" s="207"/>
      <c r="VW87" s="272"/>
      <c r="VX87" s="272"/>
      <c r="VY87" s="205">
        <f t="shared" si="914"/>
        <v>0</v>
      </c>
      <c r="VZ87" s="207"/>
      <c r="WA87" s="207"/>
      <c r="WB87" s="207"/>
      <c r="WC87" s="207"/>
      <c r="WD87" s="207"/>
      <c r="WE87" s="272"/>
      <c r="WF87" s="272"/>
      <c r="WG87" s="205">
        <f t="shared" si="915"/>
        <v>0</v>
      </c>
      <c r="WH87" s="205">
        <f t="shared" si="916"/>
        <v>1760</v>
      </c>
      <c r="WI87" s="195">
        <v>1000</v>
      </c>
      <c r="WJ87" s="207"/>
      <c r="WK87" s="207"/>
      <c r="WL87" s="207"/>
      <c r="WM87" s="207"/>
      <c r="WN87" s="272"/>
      <c r="WO87" s="272"/>
      <c r="WP87" s="205">
        <f t="shared" si="917"/>
        <v>1000</v>
      </c>
      <c r="WQ87" s="207"/>
      <c r="WR87" s="207"/>
      <c r="WS87" s="207"/>
      <c r="WT87" s="207"/>
      <c r="WU87" s="207"/>
      <c r="WV87" s="272"/>
      <c r="WW87" s="272"/>
      <c r="WX87" s="205">
        <f t="shared" si="918"/>
        <v>0</v>
      </c>
      <c r="WY87" s="207"/>
      <c r="WZ87" s="207"/>
      <c r="XA87" s="207"/>
      <c r="XB87" s="207"/>
      <c r="XC87" s="272"/>
      <c r="XD87" s="272"/>
      <c r="XE87" s="272"/>
      <c r="XF87" s="205">
        <f t="shared" si="919"/>
        <v>0</v>
      </c>
      <c r="XG87" s="207"/>
      <c r="XH87" s="207"/>
      <c r="XI87" s="207"/>
      <c r="XJ87" s="207"/>
      <c r="XK87" s="207"/>
      <c r="XL87" s="272"/>
      <c r="XM87" s="272"/>
      <c r="XN87" s="205">
        <f t="shared" si="920"/>
        <v>0</v>
      </c>
      <c r="XO87" s="207"/>
      <c r="XP87" s="207"/>
      <c r="XQ87" s="207"/>
      <c r="XR87" s="207"/>
      <c r="XS87" s="207"/>
      <c r="XT87" s="272"/>
      <c r="XU87" s="272"/>
      <c r="XV87" s="205">
        <f t="shared" si="921"/>
        <v>0</v>
      </c>
      <c r="XW87" s="205">
        <f t="shared" si="922"/>
        <v>1000</v>
      </c>
      <c r="XX87" s="207"/>
      <c r="XY87" s="207"/>
      <c r="XZ87" s="207"/>
      <c r="YA87" s="207"/>
      <c r="YB87" s="207"/>
      <c r="YC87" s="272"/>
      <c r="YD87" s="272"/>
      <c r="YE87" s="205">
        <f t="shared" si="923"/>
        <v>0</v>
      </c>
      <c r="YF87" s="207"/>
      <c r="YG87" s="207"/>
      <c r="YH87" s="207"/>
      <c r="YI87" s="207"/>
      <c r="YJ87" s="207"/>
      <c r="YK87" s="272"/>
      <c r="YL87" s="272"/>
      <c r="YM87" s="205">
        <f t="shared" si="924"/>
        <v>0</v>
      </c>
      <c r="YN87" s="207"/>
      <c r="YO87" s="207"/>
      <c r="YP87" s="207"/>
      <c r="YQ87" s="207"/>
      <c r="YR87" s="207"/>
      <c r="YS87" s="272"/>
      <c r="YT87" s="272"/>
      <c r="YU87" s="205">
        <f t="shared" si="925"/>
        <v>0</v>
      </c>
      <c r="YV87" s="207"/>
      <c r="YW87" s="207"/>
      <c r="YX87" s="207"/>
      <c r="YY87" s="207"/>
      <c r="YZ87" s="207"/>
      <c r="ZA87" s="272"/>
      <c r="ZB87" s="272"/>
      <c r="ZC87" s="205">
        <f t="shared" si="926"/>
        <v>0</v>
      </c>
      <c r="ZD87" s="205">
        <f t="shared" si="927"/>
        <v>1000</v>
      </c>
      <c r="ZE87" s="207"/>
      <c r="ZF87" s="207"/>
      <c r="ZG87" s="207"/>
      <c r="ZH87" s="207"/>
      <c r="ZI87" s="207"/>
      <c r="ZJ87" s="272"/>
      <c r="ZK87" s="272"/>
      <c r="ZL87" s="205">
        <f t="shared" si="928"/>
        <v>0</v>
      </c>
      <c r="ZM87" s="207"/>
      <c r="ZN87" s="207"/>
      <c r="ZO87" s="207"/>
      <c r="ZP87" s="207"/>
      <c r="ZQ87" s="207"/>
      <c r="ZR87" s="272"/>
      <c r="ZS87" s="272"/>
      <c r="ZT87" s="205">
        <f t="shared" si="929"/>
        <v>0</v>
      </c>
      <c r="ZU87" s="207"/>
      <c r="ZV87" s="207"/>
      <c r="ZW87" s="207"/>
      <c r="ZX87" s="207"/>
      <c r="ZY87" s="207"/>
      <c r="ZZ87" s="272"/>
      <c r="AAA87" s="272"/>
      <c r="AAB87" s="205">
        <f t="shared" si="930"/>
        <v>0</v>
      </c>
      <c r="AAC87" s="207"/>
      <c r="AAD87" s="207"/>
      <c r="AAE87" s="207"/>
      <c r="AAF87" s="207"/>
      <c r="AAG87" s="207"/>
      <c r="AAH87" s="272"/>
      <c r="AAI87" s="272"/>
      <c r="AAJ87" s="205">
        <f t="shared" si="931"/>
        <v>0</v>
      </c>
      <c r="AAK87" s="207"/>
      <c r="AAL87" s="207"/>
      <c r="AAM87" s="207"/>
      <c r="AAN87" s="207"/>
      <c r="AAO87" s="207"/>
      <c r="AAP87" s="272"/>
      <c r="AAQ87" s="272"/>
      <c r="AAR87" s="205">
        <f t="shared" si="932"/>
        <v>0</v>
      </c>
      <c r="AAS87" s="205">
        <f t="shared" si="933"/>
        <v>0</v>
      </c>
    </row>
    <row r="88" spans="1:721" ht="69.95" customHeight="1">
      <c r="B88" s="151">
        <v>3630101468</v>
      </c>
      <c r="C88" s="323" t="s">
        <v>741</v>
      </c>
      <c r="D88" s="152" t="s">
        <v>787</v>
      </c>
      <c r="E88" s="130" t="s">
        <v>4</v>
      </c>
      <c r="F88" s="120"/>
      <c r="G88" s="120"/>
      <c r="H88" s="120"/>
      <c r="I88" s="120"/>
      <c r="J88" s="120"/>
      <c r="K88" s="209"/>
      <c r="L88" s="205"/>
      <c r="M88" s="205">
        <f t="shared" ref="M88" si="955">SUM(F88:L88)</f>
        <v>0</v>
      </c>
      <c r="N88" s="120"/>
      <c r="O88" s="120"/>
      <c r="P88" s="120"/>
      <c r="Q88" s="120"/>
      <c r="R88" s="120"/>
      <c r="S88" s="209"/>
      <c r="T88" s="205"/>
      <c r="U88" s="205">
        <f t="shared" ref="U88" si="956">SUM(N88:T88)</f>
        <v>0</v>
      </c>
      <c r="V88" s="120"/>
      <c r="W88" s="120"/>
      <c r="X88" s="120"/>
      <c r="Y88" s="120"/>
      <c r="Z88" s="120"/>
      <c r="AA88" s="209"/>
      <c r="AB88" s="205"/>
      <c r="AC88" s="205">
        <f t="shared" ref="AC88" si="957">SUM(V88:AB88)</f>
        <v>0</v>
      </c>
      <c r="AD88" s="205"/>
      <c r="AE88" s="205"/>
      <c r="AF88" s="205"/>
      <c r="AG88" s="205"/>
      <c r="AH88" s="205"/>
      <c r="AI88" s="209"/>
      <c r="AJ88" s="205"/>
      <c r="AK88" s="205">
        <f t="shared" ref="AK88" si="958">SUM(AD88:AJ88)</f>
        <v>0</v>
      </c>
      <c r="AL88" s="205" t="e">
        <f>SUM(#REF!,M88,U88,AC88,AD88:AH88)</f>
        <v>#REF!</v>
      </c>
      <c r="AM88" s="120"/>
      <c r="AN88" s="120"/>
      <c r="AO88" s="120"/>
      <c r="AP88" s="120"/>
      <c r="AQ88" s="120"/>
      <c r="AR88" s="209"/>
      <c r="AS88" s="205"/>
      <c r="AT88" s="205">
        <f t="shared" ref="AT88" si="959">SUM(AM88:AS88)</f>
        <v>0</v>
      </c>
      <c r="AU88" s="120"/>
      <c r="AV88" s="120"/>
      <c r="AW88" s="120"/>
      <c r="AX88" s="120"/>
      <c r="AY88" s="120"/>
      <c r="AZ88" s="209"/>
      <c r="BA88" s="205"/>
      <c r="BB88" s="205">
        <f t="shared" ref="BB88" si="960">SUM(AU88:BA88)</f>
        <v>0</v>
      </c>
      <c r="BC88" s="120"/>
      <c r="BD88" s="120"/>
      <c r="BE88" s="120"/>
      <c r="BF88" s="120"/>
      <c r="BG88" s="120"/>
      <c r="BH88" s="209"/>
      <c r="BI88" s="205"/>
      <c r="BJ88" s="205">
        <f t="shared" ref="BJ88" si="961">SUM(BC88:BI88)</f>
        <v>0</v>
      </c>
      <c r="BK88" s="120"/>
      <c r="BL88" s="120"/>
      <c r="BM88" s="120"/>
      <c r="BN88" s="120"/>
      <c r="BO88" s="205"/>
      <c r="BP88" s="209"/>
      <c r="BQ88" s="205"/>
      <c r="BR88" s="205">
        <f t="shared" ref="BR88" si="962">SUM(BK88:BQ88)</f>
        <v>0</v>
      </c>
      <c r="BS88" s="205">
        <f t="shared" ref="BS88" si="963">SUM(AI88:AJ88,AT88,BB88,BJ88,BK88:BO88)</f>
        <v>0</v>
      </c>
      <c r="BT88" s="120"/>
      <c r="BU88" s="120"/>
      <c r="BV88" s="120"/>
      <c r="BW88" s="120"/>
      <c r="BX88" s="120"/>
      <c r="BY88" s="209"/>
      <c r="BZ88" s="205"/>
      <c r="CA88" s="205">
        <f t="shared" ref="CA88" si="964">SUM(BT88:BZ88)</f>
        <v>0</v>
      </c>
      <c r="CB88" s="120"/>
      <c r="CC88" s="120"/>
      <c r="CD88" s="120"/>
      <c r="CE88" s="120"/>
      <c r="CF88" s="120"/>
      <c r="CG88" s="209"/>
      <c r="CH88" s="205"/>
      <c r="CI88" s="205">
        <f t="shared" ref="CI88" si="965">SUM(CB88:CH88)</f>
        <v>0</v>
      </c>
      <c r="CJ88" s="120"/>
      <c r="CK88" s="120"/>
      <c r="CL88" s="120"/>
      <c r="CM88" s="120"/>
      <c r="CN88" s="120"/>
      <c r="CO88" s="209"/>
      <c r="CP88" s="205"/>
      <c r="CQ88" s="205">
        <f t="shared" ref="CQ88" si="966">SUM(CJ88:CP88)</f>
        <v>0</v>
      </c>
      <c r="CR88" s="120"/>
      <c r="CS88" s="120"/>
      <c r="CT88" s="120"/>
      <c r="CU88" s="120"/>
      <c r="CV88" s="120"/>
      <c r="CW88" s="209"/>
      <c r="CX88" s="205"/>
      <c r="CY88" s="205">
        <f t="shared" ref="CY88" si="967">SUM(CR88:CX88)</f>
        <v>0</v>
      </c>
      <c r="CZ88" s="120"/>
      <c r="DA88" s="120"/>
      <c r="DB88" s="120"/>
      <c r="DC88" s="205"/>
      <c r="DD88" s="205"/>
      <c r="DE88" s="209"/>
      <c r="DF88" s="205"/>
      <c r="DG88" s="205">
        <f t="shared" ref="DG88" si="968">SUM(CZ88:DF88)</f>
        <v>0</v>
      </c>
      <c r="DH88" s="205">
        <f t="shared" ref="DH88" si="969">SUM(CA88,CI88,CQ88,CY88,CZ88)</f>
        <v>0</v>
      </c>
      <c r="DI88" s="120"/>
      <c r="DJ88" s="120"/>
      <c r="DK88" s="120"/>
      <c r="DL88" s="120"/>
      <c r="DM88" s="120"/>
      <c r="DN88" s="209"/>
      <c r="DO88" s="205"/>
      <c r="DP88" s="205">
        <f t="shared" ref="DP88" si="970">SUM(DI88:DO88)</f>
        <v>0</v>
      </c>
      <c r="DQ88" s="120"/>
      <c r="DR88" s="120"/>
      <c r="DS88" s="120"/>
      <c r="DT88" s="120"/>
      <c r="DU88" s="120"/>
      <c r="DV88" s="209"/>
      <c r="DW88" s="205"/>
      <c r="DX88" s="205">
        <f t="shared" ref="DX88" si="971">SUM(DQ88:DW88)</f>
        <v>0</v>
      </c>
      <c r="DY88" s="120"/>
      <c r="DZ88" s="120"/>
      <c r="EA88" s="120"/>
      <c r="EB88" s="120"/>
      <c r="EC88" s="120"/>
      <c r="ED88" s="209"/>
      <c r="EE88" s="205"/>
      <c r="EF88" s="205">
        <f t="shared" ref="EF88" si="972">SUM(DY88:EE88)</f>
        <v>0</v>
      </c>
      <c r="EG88" s="120"/>
      <c r="EH88" s="120"/>
      <c r="EI88" s="120"/>
      <c r="EJ88" s="205"/>
      <c r="EK88" s="205"/>
      <c r="EL88" s="209"/>
      <c r="EM88" s="205"/>
      <c r="EN88" s="205">
        <f t="shared" ref="EN88" si="973">SUM(EG88:EM88)</f>
        <v>0</v>
      </c>
      <c r="EO88" s="205">
        <f t="shared" ref="EO88" si="974">SUM(DA88:DF88,DP88,DX88,EF88,EG88:EI88)</f>
        <v>0</v>
      </c>
      <c r="EP88" s="120"/>
      <c r="EQ88" s="120"/>
      <c r="ER88" s="120"/>
      <c r="ES88" s="120"/>
      <c r="ET88" s="120"/>
      <c r="EU88" s="209"/>
      <c r="EV88" s="205"/>
      <c r="EW88" s="205">
        <f t="shared" ref="EW88" si="975">SUM(EP88:EV88)</f>
        <v>0</v>
      </c>
      <c r="EX88" s="120"/>
      <c r="EY88" s="120"/>
      <c r="EZ88" s="120"/>
      <c r="FA88" s="120"/>
      <c r="FB88" s="120"/>
      <c r="FC88" s="209"/>
      <c r="FD88" s="205"/>
      <c r="FE88" s="205">
        <f t="shared" ref="FE88" si="976">SUM(EX88:FD88)</f>
        <v>0</v>
      </c>
      <c r="FF88" s="120"/>
      <c r="FG88" s="120"/>
      <c r="FH88" s="120"/>
      <c r="FI88" s="120"/>
      <c r="FJ88" s="120"/>
      <c r="FK88" s="209"/>
      <c r="FL88" s="205"/>
      <c r="FM88" s="205">
        <f t="shared" ref="FM88" si="977">SUM(FF88:FL88)</f>
        <v>0</v>
      </c>
      <c r="FN88" s="120"/>
      <c r="FO88" s="120"/>
      <c r="FP88" s="120"/>
      <c r="FQ88" s="120"/>
      <c r="FR88" s="205"/>
      <c r="FS88" s="209"/>
      <c r="FT88" s="205"/>
      <c r="FU88" s="205">
        <f t="shared" ref="FU88" si="978">SUM(FN88:FT88)</f>
        <v>0</v>
      </c>
      <c r="FV88" s="205">
        <f t="shared" ref="FV88" si="979">SUM(EJ88:EK88,EW88,FE88,FM88,FU88)</f>
        <v>0</v>
      </c>
      <c r="FW88" s="120"/>
      <c r="FX88" s="120"/>
      <c r="FY88" s="120"/>
      <c r="FZ88" s="120"/>
      <c r="GA88" s="120"/>
      <c r="GB88" s="209"/>
      <c r="GC88" s="205"/>
      <c r="GD88" s="205">
        <f t="shared" ref="GD88" si="980">SUM(FW88:GC88)</f>
        <v>0</v>
      </c>
      <c r="GE88" s="120"/>
      <c r="GF88" s="120"/>
      <c r="GG88" s="120"/>
      <c r="GH88" s="120"/>
      <c r="GI88" s="120"/>
      <c r="GJ88" s="209"/>
      <c r="GK88" s="205"/>
      <c r="GL88" s="205">
        <f t="shared" ref="GL88" si="981">SUM(GE88:GK88)</f>
        <v>0</v>
      </c>
      <c r="GM88" s="120"/>
      <c r="GN88" s="120"/>
      <c r="GO88" s="120"/>
      <c r="GP88" s="120"/>
      <c r="GQ88" s="120"/>
      <c r="GR88" s="209"/>
      <c r="GS88" s="205"/>
      <c r="GT88" s="205">
        <f t="shared" ref="GT88" si="982">SUM(GM88:GS88)</f>
        <v>0</v>
      </c>
      <c r="GU88" s="120"/>
      <c r="GV88" s="120"/>
      <c r="GW88" s="120"/>
      <c r="GX88" s="120"/>
      <c r="GY88" s="120"/>
      <c r="GZ88" s="209"/>
      <c r="HA88" s="205"/>
      <c r="HB88" s="205">
        <f t="shared" ref="HB88" si="983">SUM(GU88:HA88)</f>
        <v>0</v>
      </c>
      <c r="HC88" s="120"/>
      <c r="HD88" s="120"/>
      <c r="HE88" s="120"/>
      <c r="HF88" s="120"/>
      <c r="HG88" s="120"/>
      <c r="HH88" s="209"/>
      <c r="HI88" s="205"/>
      <c r="HJ88" s="205">
        <f t="shared" ref="HJ88" si="984">SUM(HC88:HI88)</f>
        <v>0</v>
      </c>
      <c r="HK88" s="205">
        <f t="shared" ref="HK88" si="985">SUM(GD88,GL88,GT88,HB88,HC88)</f>
        <v>0</v>
      </c>
      <c r="HL88" s="124"/>
      <c r="HM88" s="120"/>
      <c r="HN88" s="120"/>
      <c r="HO88" s="120"/>
      <c r="HP88" s="120"/>
      <c r="HQ88" s="205"/>
      <c r="HR88" s="205"/>
      <c r="HS88" s="205">
        <f t="shared" si="934"/>
        <v>0</v>
      </c>
      <c r="HT88" s="120"/>
      <c r="HU88" s="120"/>
      <c r="HV88" s="120"/>
      <c r="HW88" s="120"/>
      <c r="HX88" s="120"/>
      <c r="HY88" s="205"/>
      <c r="HZ88" s="205"/>
      <c r="IA88" s="205">
        <f t="shared" si="935"/>
        <v>0</v>
      </c>
      <c r="IB88" s="120"/>
      <c r="IC88" s="120"/>
      <c r="ID88" s="120"/>
      <c r="IE88" s="120"/>
      <c r="IF88" s="120"/>
      <c r="IG88" s="205"/>
      <c r="IH88" s="205"/>
      <c r="II88" s="205">
        <f t="shared" si="936"/>
        <v>0</v>
      </c>
      <c r="IJ88" s="120"/>
      <c r="IK88" s="120"/>
      <c r="IL88" s="120"/>
      <c r="IM88" s="120"/>
      <c r="IN88" s="120"/>
      <c r="IO88" s="205"/>
      <c r="IP88" s="205"/>
      <c r="IQ88" s="205">
        <f t="shared" si="937"/>
        <v>0</v>
      </c>
      <c r="IR88" s="205">
        <f t="shared" si="938"/>
        <v>0</v>
      </c>
      <c r="IS88" s="120"/>
      <c r="IT88" s="217">
        <v>600</v>
      </c>
      <c r="IU88" s="120"/>
      <c r="IV88" s="120"/>
      <c r="IW88" s="120"/>
      <c r="IX88" s="205"/>
      <c r="IY88" s="205"/>
      <c r="IZ88" s="205">
        <f t="shared" si="939"/>
        <v>600</v>
      </c>
      <c r="JA88" s="120"/>
      <c r="JB88" s="120"/>
      <c r="JC88" s="120"/>
      <c r="JD88" s="120"/>
      <c r="JE88" s="120"/>
      <c r="JF88" s="205"/>
      <c r="JG88" s="205"/>
      <c r="JH88" s="205">
        <f t="shared" si="940"/>
        <v>0</v>
      </c>
      <c r="JI88" s="120"/>
      <c r="JJ88" s="120"/>
      <c r="JK88" s="120"/>
      <c r="JL88" s="120"/>
      <c r="JM88" s="120"/>
      <c r="JN88" s="205"/>
      <c r="JO88" s="205"/>
      <c r="JP88" s="205">
        <f t="shared" si="941"/>
        <v>0</v>
      </c>
      <c r="JQ88" s="120"/>
      <c r="JR88" s="120"/>
      <c r="JS88" s="120"/>
      <c r="JT88" s="120"/>
      <c r="JU88" s="120"/>
      <c r="JV88" s="205"/>
      <c r="JW88" s="205"/>
      <c r="JX88" s="205">
        <f t="shared" si="942"/>
        <v>0</v>
      </c>
      <c r="JY88" s="205">
        <f t="shared" si="943"/>
        <v>600</v>
      </c>
      <c r="JZ88" s="120"/>
      <c r="KA88" s="120"/>
      <c r="KB88" s="217">
        <v>480</v>
      </c>
      <c r="KC88" s="120"/>
      <c r="KD88" s="120"/>
      <c r="KE88" s="205"/>
      <c r="KF88" s="205"/>
      <c r="KG88" s="205">
        <f t="shared" si="944"/>
        <v>480</v>
      </c>
      <c r="KH88" s="120"/>
      <c r="KI88" s="120"/>
      <c r="KJ88" s="120"/>
      <c r="KK88" s="120"/>
      <c r="KL88" s="120"/>
      <c r="KM88" s="205"/>
      <c r="KN88" s="205"/>
      <c r="KO88" s="205">
        <f t="shared" si="945"/>
        <v>0</v>
      </c>
      <c r="KP88" s="120"/>
      <c r="KQ88" s="120"/>
      <c r="KR88" s="120"/>
      <c r="KS88" s="120"/>
      <c r="KT88" s="120"/>
      <c r="KU88" s="205"/>
      <c r="KV88" s="205"/>
      <c r="KW88" s="205">
        <f t="shared" si="946"/>
        <v>0</v>
      </c>
      <c r="KX88" s="120"/>
      <c r="KY88" s="120"/>
      <c r="KZ88" s="120"/>
      <c r="LA88" s="120"/>
      <c r="LB88" s="120"/>
      <c r="LC88" s="205"/>
      <c r="LD88" s="205"/>
      <c r="LE88" s="205">
        <f t="shared" si="947"/>
        <v>0</v>
      </c>
      <c r="LF88" s="205"/>
      <c r="LG88" s="120"/>
      <c r="LH88" s="120"/>
      <c r="LI88" s="120"/>
      <c r="LJ88" s="120"/>
      <c r="LK88" s="205"/>
      <c r="LL88" s="205"/>
      <c r="LM88" s="205">
        <f t="shared" si="948"/>
        <v>0</v>
      </c>
      <c r="LN88" s="205">
        <f t="shared" si="949"/>
        <v>480</v>
      </c>
      <c r="LO88" s="205"/>
      <c r="LP88" s="120"/>
      <c r="LQ88" s="120"/>
      <c r="LR88" s="120"/>
      <c r="LS88" s="205"/>
      <c r="LT88" s="205"/>
      <c r="LU88" s="205"/>
      <c r="LV88" s="205">
        <f t="shared" si="950"/>
        <v>0</v>
      </c>
      <c r="LW88" s="120"/>
      <c r="LX88" s="120"/>
      <c r="LY88" s="120"/>
      <c r="LZ88" s="120"/>
      <c r="MA88" s="120"/>
      <c r="MB88" s="205"/>
      <c r="MC88" s="205"/>
      <c r="MD88" s="205">
        <f t="shared" si="951"/>
        <v>0</v>
      </c>
      <c r="ME88" s="120"/>
      <c r="MF88" s="120"/>
      <c r="MG88" s="120"/>
      <c r="MH88" s="120"/>
      <c r="MI88" s="205"/>
      <c r="MJ88" s="205"/>
      <c r="MK88" s="205"/>
      <c r="ML88" s="205">
        <f t="shared" si="952"/>
        <v>0</v>
      </c>
      <c r="MM88" s="120"/>
      <c r="MN88" s="120"/>
      <c r="MO88" s="120"/>
      <c r="MP88" s="120"/>
      <c r="MQ88" s="120"/>
      <c r="MR88" s="205"/>
      <c r="MS88" s="205"/>
      <c r="MT88" s="205">
        <f t="shared" si="953"/>
        <v>0</v>
      </c>
      <c r="MU88" s="205">
        <f t="shared" si="954"/>
        <v>0</v>
      </c>
      <c r="MV88" s="120"/>
      <c r="MW88" s="120"/>
      <c r="MX88" s="120"/>
      <c r="MY88" s="120"/>
      <c r="MZ88" s="120"/>
      <c r="NA88" s="205"/>
      <c r="NB88" s="205"/>
      <c r="NC88" s="205">
        <f t="shared" si="880"/>
        <v>0</v>
      </c>
      <c r="ND88" s="120"/>
      <c r="NE88" s="120"/>
      <c r="NF88" s="120"/>
      <c r="NG88" s="120"/>
      <c r="NH88" s="120"/>
      <c r="NI88" s="205"/>
      <c r="NJ88" s="205"/>
      <c r="NK88" s="205">
        <f t="shared" si="881"/>
        <v>0</v>
      </c>
      <c r="NL88" s="120"/>
      <c r="NM88" s="120"/>
      <c r="NN88" s="120"/>
      <c r="NO88" s="120"/>
      <c r="NP88" s="120"/>
      <c r="NQ88" s="205"/>
      <c r="NR88" s="205"/>
      <c r="NS88" s="205">
        <f t="shared" si="882"/>
        <v>0</v>
      </c>
      <c r="NT88" s="120"/>
      <c r="NU88" s="120"/>
      <c r="NV88" s="120"/>
      <c r="NW88" s="120"/>
      <c r="NX88" s="120"/>
      <c r="NY88" s="205"/>
      <c r="NZ88" s="205"/>
      <c r="OA88" s="205">
        <f t="shared" si="883"/>
        <v>0</v>
      </c>
      <c r="OB88" s="205">
        <f t="shared" si="884"/>
        <v>0</v>
      </c>
      <c r="OC88" s="120"/>
      <c r="OD88" s="120"/>
      <c r="OE88" s="120"/>
      <c r="OF88" s="120"/>
      <c r="OG88" s="120"/>
      <c r="OH88" s="205"/>
      <c r="OI88" s="205"/>
      <c r="OJ88" s="205">
        <f t="shared" si="885"/>
        <v>0</v>
      </c>
      <c r="OK88" s="120"/>
      <c r="OL88" s="195">
        <v>420</v>
      </c>
      <c r="OM88" s="120"/>
      <c r="ON88" s="120"/>
      <c r="OO88" s="120"/>
      <c r="OP88" s="205"/>
      <c r="OQ88" s="205"/>
      <c r="OR88" s="205">
        <f t="shared" si="886"/>
        <v>420</v>
      </c>
      <c r="OS88" s="120"/>
      <c r="OT88" s="120"/>
      <c r="OU88" s="120"/>
      <c r="OV88" s="120"/>
      <c r="OW88" s="120"/>
      <c r="OX88" s="205"/>
      <c r="OY88" s="205"/>
      <c r="OZ88" s="205">
        <f t="shared" si="887"/>
        <v>0</v>
      </c>
      <c r="PA88" s="120"/>
      <c r="PB88" s="120"/>
      <c r="PC88" s="120"/>
      <c r="PD88" s="205"/>
      <c r="PE88" s="217"/>
      <c r="PF88" s="205"/>
      <c r="PG88" s="205"/>
      <c r="PH88" s="205">
        <f t="shared" si="888"/>
        <v>0</v>
      </c>
      <c r="PI88" s="120"/>
      <c r="PJ88" s="120"/>
      <c r="PK88" s="120"/>
      <c r="PL88" s="205"/>
      <c r="PM88" s="217"/>
      <c r="PN88" s="205"/>
      <c r="PO88" s="205"/>
      <c r="PP88" s="205">
        <f t="shared" si="889"/>
        <v>0</v>
      </c>
      <c r="PQ88" s="205">
        <f t="shared" si="890"/>
        <v>420</v>
      </c>
      <c r="PR88" s="207"/>
      <c r="PS88" s="207"/>
      <c r="PT88" s="207"/>
      <c r="PU88" s="207"/>
      <c r="PV88" s="207"/>
      <c r="PW88" s="272"/>
      <c r="PX88" s="272"/>
      <c r="PY88" s="205">
        <f t="shared" si="891"/>
        <v>0</v>
      </c>
      <c r="PZ88" s="207"/>
      <c r="QA88" s="195">
        <v>840</v>
      </c>
      <c r="QB88" s="207"/>
      <c r="QC88" s="207"/>
      <c r="QD88" s="207"/>
      <c r="QE88" s="272"/>
      <c r="QF88" s="272"/>
      <c r="QG88" s="205">
        <f t="shared" si="892"/>
        <v>840</v>
      </c>
      <c r="QH88" s="207"/>
      <c r="QI88" s="207"/>
      <c r="QJ88" s="294"/>
      <c r="QK88" s="207"/>
      <c r="QL88" s="207"/>
      <c r="QM88" s="272"/>
      <c r="QN88" s="272"/>
      <c r="QO88" s="205">
        <f t="shared" si="893"/>
        <v>0</v>
      </c>
      <c r="QP88" s="207"/>
      <c r="QQ88" s="207"/>
      <c r="QR88" s="207"/>
      <c r="QS88" s="207"/>
      <c r="QT88" s="207"/>
      <c r="QU88" s="272"/>
      <c r="QV88" s="272"/>
      <c r="QW88" s="205">
        <f t="shared" si="894"/>
        <v>0</v>
      </c>
      <c r="QX88" s="205">
        <f t="shared" si="895"/>
        <v>840</v>
      </c>
      <c r="QY88" s="207"/>
      <c r="QZ88" s="207"/>
      <c r="RA88" s="207"/>
      <c r="RB88" s="207"/>
      <c r="RC88" s="207"/>
      <c r="RD88" s="272"/>
      <c r="RE88" s="272"/>
      <c r="RF88" s="205">
        <f t="shared" si="896"/>
        <v>0</v>
      </c>
      <c r="RG88" s="201">
        <v>360</v>
      </c>
      <c r="RH88" s="207"/>
      <c r="RI88" s="207"/>
      <c r="RJ88" s="207"/>
      <c r="RK88" s="207"/>
      <c r="RL88" s="272"/>
      <c r="RM88" s="272"/>
      <c r="RN88" s="205">
        <f t="shared" si="897"/>
        <v>360</v>
      </c>
      <c r="RO88" s="272"/>
      <c r="RP88" s="272"/>
      <c r="RQ88" s="272"/>
      <c r="RR88" s="272"/>
      <c r="RS88" s="272"/>
      <c r="RT88" s="272"/>
      <c r="RU88" s="272"/>
      <c r="RV88" s="205">
        <f t="shared" si="898"/>
        <v>0</v>
      </c>
      <c r="RW88" s="217">
        <v>720</v>
      </c>
      <c r="RX88" s="207"/>
      <c r="RY88" s="207"/>
      <c r="RZ88" s="207"/>
      <c r="SA88" s="272"/>
      <c r="SB88" s="272"/>
      <c r="SC88" s="272"/>
      <c r="SD88" s="205">
        <f t="shared" si="899"/>
        <v>720</v>
      </c>
      <c r="SE88" s="205">
        <f t="shared" si="900"/>
        <v>1080</v>
      </c>
      <c r="SF88" s="207"/>
      <c r="SG88" s="207"/>
      <c r="SH88" s="207"/>
      <c r="SI88" s="207"/>
      <c r="SJ88" s="207"/>
      <c r="SK88" s="272"/>
      <c r="SL88" s="272"/>
      <c r="SM88" s="205">
        <f t="shared" si="901"/>
        <v>0</v>
      </c>
      <c r="SN88" s="207"/>
      <c r="SO88" s="207"/>
      <c r="SP88" s="207"/>
      <c r="SQ88" s="207"/>
      <c r="SR88" s="207"/>
      <c r="SS88" s="272"/>
      <c r="ST88" s="272"/>
      <c r="SU88" s="205">
        <f t="shared" si="902"/>
        <v>0</v>
      </c>
      <c r="SV88" s="207"/>
      <c r="SW88" s="207"/>
      <c r="SX88" s="207"/>
      <c r="SY88" s="207"/>
      <c r="SZ88" s="207"/>
      <c r="TA88" s="272"/>
      <c r="TB88" s="272"/>
      <c r="TC88" s="205">
        <f t="shared" si="903"/>
        <v>0</v>
      </c>
      <c r="TD88" s="207"/>
      <c r="TE88" s="207"/>
      <c r="TF88" s="207"/>
      <c r="TG88" s="207"/>
      <c r="TH88" s="207"/>
      <c r="TI88" s="272"/>
      <c r="TJ88" s="272"/>
      <c r="TK88" s="205">
        <f t="shared" si="904"/>
        <v>0</v>
      </c>
      <c r="TL88" s="207"/>
      <c r="TM88" s="207"/>
      <c r="TN88" s="207"/>
      <c r="TO88" s="207"/>
      <c r="TP88" s="272"/>
      <c r="TQ88" s="272"/>
      <c r="TR88" s="272"/>
      <c r="TS88" s="205">
        <f t="shared" si="905"/>
        <v>0</v>
      </c>
      <c r="TT88" s="205">
        <f t="shared" si="906"/>
        <v>0</v>
      </c>
      <c r="TU88" s="272"/>
      <c r="TV88" s="207"/>
      <c r="TW88" s="270">
        <v>360</v>
      </c>
      <c r="TX88" s="207"/>
      <c r="TY88" s="207"/>
      <c r="TZ88" s="272"/>
      <c r="UA88" s="272"/>
      <c r="UB88" s="205">
        <f t="shared" si="907"/>
        <v>360</v>
      </c>
      <c r="UC88" s="207"/>
      <c r="UD88" s="207"/>
      <c r="UE88" s="207"/>
      <c r="UF88" s="207"/>
      <c r="UG88" s="207"/>
      <c r="UH88" s="272"/>
      <c r="UI88" s="272"/>
      <c r="UJ88" s="205">
        <f t="shared" si="908"/>
        <v>0</v>
      </c>
      <c r="UK88" s="207"/>
      <c r="UL88" s="207"/>
      <c r="UM88" s="207"/>
      <c r="UN88" s="207"/>
      <c r="UO88" s="207"/>
      <c r="UP88" s="272"/>
      <c r="UQ88" s="272"/>
      <c r="UR88" s="205">
        <f t="shared" si="909"/>
        <v>0</v>
      </c>
      <c r="US88" s="207"/>
      <c r="UT88" s="207"/>
      <c r="UU88" s="207"/>
      <c r="UV88" s="207"/>
      <c r="UW88" s="272"/>
      <c r="UX88" s="272"/>
      <c r="UY88" s="272"/>
      <c r="UZ88" s="205">
        <f t="shared" si="910"/>
        <v>0</v>
      </c>
      <c r="VA88" s="205">
        <f t="shared" si="911"/>
        <v>360</v>
      </c>
      <c r="VB88" s="207"/>
      <c r="VC88" s="207"/>
      <c r="VD88" s="207"/>
      <c r="VE88" s="207"/>
      <c r="VF88" s="207"/>
      <c r="VG88" s="272"/>
      <c r="VH88" s="272"/>
      <c r="VI88" s="205">
        <f t="shared" si="912"/>
        <v>0</v>
      </c>
      <c r="VJ88" s="207"/>
      <c r="VK88" s="389">
        <v>240</v>
      </c>
      <c r="VL88" s="207"/>
      <c r="VM88" s="207"/>
      <c r="VN88" s="207"/>
      <c r="VO88" s="272"/>
      <c r="VP88" s="272"/>
      <c r="VQ88" s="205">
        <f t="shared" si="913"/>
        <v>240</v>
      </c>
      <c r="VR88" s="207"/>
      <c r="VS88" s="207"/>
      <c r="VT88" s="207"/>
      <c r="VU88" s="207"/>
      <c r="VV88" s="207"/>
      <c r="VW88" s="272"/>
      <c r="VX88" s="272"/>
      <c r="VY88" s="205">
        <f t="shared" si="914"/>
        <v>0</v>
      </c>
      <c r="VZ88" s="207"/>
      <c r="WA88" s="207"/>
      <c r="WB88" s="207"/>
      <c r="WC88" s="207"/>
      <c r="WD88" s="207"/>
      <c r="WE88" s="272"/>
      <c r="WF88" s="272"/>
      <c r="WG88" s="205">
        <f t="shared" si="915"/>
        <v>0</v>
      </c>
      <c r="WH88" s="205">
        <f t="shared" si="916"/>
        <v>240</v>
      </c>
      <c r="WI88" s="207"/>
      <c r="WJ88" s="207"/>
      <c r="WK88" s="207"/>
      <c r="WL88" s="207"/>
      <c r="WM88" s="207"/>
      <c r="WN88" s="272"/>
      <c r="WO88" s="272"/>
      <c r="WP88" s="205">
        <f t="shared" si="917"/>
        <v>0</v>
      </c>
      <c r="WQ88" s="207"/>
      <c r="WR88" s="207"/>
      <c r="WS88" s="207"/>
      <c r="WT88" s="207"/>
      <c r="WU88" s="207"/>
      <c r="WV88" s="272"/>
      <c r="WW88" s="272"/>
      <c r="WX88" s="205">
        <f t="shared" si="918"/>
        <v>0</v>
      </c>
      <c r="WY88" s="207"/>
      <c r="WZ88" s="207"/>
      <c r="XA88" s="207"/>
      <c r="XB88" s="207"/>
      <c r="XC88" s="272"/>
      <c r="XD88" s="272"/>
      <c r="XE88" s="272"/>
      <c r="XF88" s="205">
        <f t="shared" si="919"/>
        <v>0</v>
      </c>
      <c r="XG88" s="207"/>
      <c r="XH88" s="207"/>
      <c r="XI88" s="207"/>
      <c r="XJ88" s="207"/>
      <c r="XK88" s="207"/>
      <c r="XL88" s="272"/>
      <c r="XM88" s="272"/>
      <c r="XN88" s="205">
        <f t="shared" si="920"/>
        <v>0</v>
      </c>
      <c r="XO88" s="207"/>
      <c r="XP88" s="207"/>
      <c r="XQ88" s="207"/>
      <c r="XR88" s="207"/>
      <c r="XS88" s="207"/>
      <c r="XT88" s="272"/>
      <c r="XU88" s="272"/>
      <c r="XV88" s="205">
        <f t="shared" si="921"/>
        <v>0</v>
      </c>
      <c r="XW88" s="205">
        <f t="shared" si="922"/>
        <v>0</v>
      </c>
      <c r="XX88" s="207"/>
      <c r="XY88" s="207"/>
      <c r="XZ88" s="207"/>
      <c r="YA88" s="207"/>
      <c r="YB88" s="207"/>
      <c r="YC88" s="272"/>
      <c r="YD88" s="272"/>
      <c r="YE88" s="205">
        <f t="shared" si="923"/>
        <v>0</v>
      </c>
      <c r="YF88" s="207"/>
      <c r="YG88" s="207"/>
      <c r="YH88" s="207"/>
      <c r="YI88" s="207"/>
      <c r="YJ88" s="207"/>
      <c r="YK88" s="272"/>
      <c r="YL88" s="272"/>
      <c r="YM88" s="205">
        <f t="shared" si="924"/>
        <v>0</v>
      </c>
      <c r="YN88" s="207"/>
      <c r="YO88" s="207"/>
      <c r="YP88" s="207"/>
      <c r="YQ88" s="207"/>
      <c r="YR88" s="207"/>
      <c r="YS88" s="272"/>
      <c r="YT88" s="272"/>
      <c r="YU88" s="205">
        <f t="shared" si="925"/>
        <v>0</v>
      </c>
      <c r="YV88" s="207"/>
      <c r="YW88" s="207"/>
      <c r="YX88" s="207"/>
      <c r="YY88" s="207"/>
      <c r="YZ88" s="207"/>
      <c r="ZA88" s="272"/>
      <c r="ZB88" s="272"/>
      <c r="ZC88" s="205">
        <f t="shared" si="926"/>
        <v>0</v>
      </c>
      <c r="ZD88" s="205">
        <f t="shared" si="927"/>
        <v>0</v>
      </c>
      <c r="ZE88" s="207"/>
      <c r="ZF88" s="207"/>
      <c r="ZG88" s="207"/>
      <c r="ZH88" s="207"/>
      <c r="ZI88" s="207"/>
      <c r="ZJ88" s="272"/>
      <c r="ZK88" s="272"/>
      <c r="ZL88" s="205">
        <f t="shared" si="928"/>
        <v>0</v>
      </c>
      <c r="ZM88" s="207"/>
      <c r="ZN88" s="207"/>
      <c r="ZO88" s="207"/>
      <c r="ZP88" s="207"/>
      <c r="ZQ88" s="207"/>
      <c r="ZR88" s="272"/>
      <c r="ZS88" s="272"/>
      <c r="ZT88" s="205">
        <f t="shared" si="929"/>
        <v>0</v>
      </c>
      <c r="ZU88" s="207"/>
      <c r="ZV88" s="207"/>
      <c r="ZW88" s="207"/>
      <c r="ZX88" s="207"/>
      <c r="ZY88" s="207"/>
      <c r="ZZ88" s="272"/>
      <c r="AAA88" s="272"/>
      <c r="AAB88" s="205">
        <f t="shared" si="930"/>
        <v>0</v>
      </c>
      <c r="AAC88" s="207"/>
      <c r="AAD88" s="207"/>
      <c r="AAE88" s="207"/>
      <c r="AAF88" s="207"/>
      <c r="AAG88" s="207"/>
      <c r="AAH88" s="272"/>
      <c r="AAI88" s="272"/>
      <c r="AAJ88" s="205">
        <f t="shared" si="931"/>
        <v>0</v>
      </c>
      <c r="AAK88" s="207"/>
      <c r="AAL88" s="207"/>
      <c r="AAM88" s="207"/>
      <c r="AAN88" s="207"/>
      <c r="AAO88" s="207"/>
      <c r="AAP88" s="272"/>
      <c r="AAQ88" s="272"/>
      <c r="AAR88" s="205">
        <f t="shared" si="932"/>
        <v>0</v>
      </c>
      <c r="AAS88" s="205">
        <f t="shared" si="933"/>
        <v>0</v>
      </c>
    </row>
    <row r="89" spans="1:721" ht="69.95" customHeight="1">
      <c r="B89" s="151">
        <v>3630101406</v>
      </c>
      <c r="C89" s="323" t="s">
        <v>741</v>
      </c>
      <c r="D89" s="152" t="s">
        <v>29</v>
      </c>
      <c r="E89" s="130" t="s">
        <v>4</v>
      </c>
      <c r="F89" s="120"/>
      <c r="G89" s="201">
        <v>500</v>
      </c>
      <c r="H89" s="120"/>
      <c r="I89" s="120"/>
      <c r="J89" s="120"/>
      <c r="K89" s="209"/>
      <c r="L89" s="205"/>
      <c r="M89" s="205">
        <f t="shared" si="824"/>
        <v>500</v>
      </c>
      <c r="N89" s="120"/>
      <c r="O89" s="120"/>
      <c r="P89" s="120"/>
      <c r="Q89" s="120"/>
      <c r="R89" s="120"/>
      <c r="S89" s="209"/>
      <c r="T89" s="205"/>
      <c r="U89" s="205">
        <f t="shared" si="825"/>
        <v>0</v>
      </c>
      <c r="V89" s="120"/>
      <c r="W89" s="120"/>
      <c r="X89" s="201">
        <v>800</v>
      </c>
      <c r="Y89" s="120"/>
      <c r="Z89" s="120"/>
      <c r="AA89" s="209"/>
      <c r="AB89" s="205"/>
      <c r="AC89" s="205">
        <f t="shared" si="826"/>
        <v>800</v>
      </c>
      <c r="AD89" s="205"/>
      <c r="AE89" s="205"/>
      <c r="AF89" s="205"/>
      <c r="AG89" s="205"/>
      <c r="AH89" s="205"/>
      <c r="AI89" s="209"/>
      <c r="AJ89" s="205"/>
      <c r="AK89" s="205">
        <f t="shared" si="827"/>
        <v>0</v>
      </c>
      <c r="AL89" s="205" t="e">
        <f>SUM(#REF!,M89,U89,AC89,AD89:AH89)</f>
        <v>#REF!</v>
      </c>
      <c r="AM89" s="120"/>
      <c r="AN89" s="120"/>
      <c r="AO89" s="120"/>
      <c r="AP89" s="120"/>
      <c r="AQ89" s="120"/>
      <c r="AR89" s="209"/>
      <c r="AS89" s="205"/>
      <c r="AT89" s="205">
        <f t="shared" si="828"/>
        <v>0</v>
      </c>
      <c r="AU89" s="120"/>
      <c r="AV89" s="120"/>
      <c r="AW89" s="120"/>
      <c r="AX89" s="120"/>
      <c r="AY89" s="120"/>
      <c r="AZ89" s="209"/>
      <c r="BA89" s="205"/>
      <c r="BB89" s="205">
        <f t="shared" si="829"/>
        <v>0</v>
      </c>
      <c r="BC89" s="120"/>
      <c r="BD89" s="120"/>
      <c r="BE89" s="120"/>
      <c r="BF89" s="120"/>
      <c r="BG89" s="120"/>
      <c r="BH89" s="209"/>
      <c r="BI89" s="205"/>
      <c r="BJ89" s="205">
        <f t="shared" si="830"/>
        <v>0</v>
      </c>
      <c r="BK89" s="120"/>
      <c r="BL89" s="120"/>
      <c r="BM89" s="120"/>
      <c r="BN89" s="120"/>
      <c r="BO89" s="205"/>
      <c r="BP89" s="209"/>
      <c r="BQ89" s="205"/>
      <c r="BR89" s="205">
        <f t="shared" si="831"/>
        <v>0</v>
      </c>
      <c r="BS89" s="205">
        <f t="shared" si="832"/>
        <v>0</v>
      </c>
      <c r="BT89" s="120"/>
      <c r="BU89" s="120"/>
      <c r="BV89" s="120"/>
      <c r="BW89" s="217">
        <v>500</v>
      </c>
      <c r="BX89" s="120"/>
      <c r="BY89" s="209"/>
      <c r="BZ89" s="205"/>
      <c r="CA89" s="205">
        <f t="shared" si="833"/>
        <v>500</v>
      </c>
      <c r="CB89" s="120"/>
      <c r="CC89" s="120"/>
      <c r="CD89" s="120"/>
      <c r="CE89" s="120"/>
      <c r="CF89" s="120"/>
      <c r="CG89" s="209"/>
      <c r="CH89" s="205"/>
      <c r="CI89" s="205">
        <f t="shared" si="834"/>
        <v>0</v>
      </c>
      <c r="CJ89" s="120"/>
      <c r="CK89" s="120"/>
      <c r="CL89" s="195">
        <v>500</v>
      </c>
      <c r="CM89" s="120"/>
      <c r="CN89" s="120"/>
      <c r="CO89" s="209"/>
      <c r="CP89" s="205"/>
      <c r="CQ89" s="205">
        <f t="shared" si="835"/>
        <v>500</v>
      </c>
      <c r="CR89" s="120"/>
      <c r="CS89" s="120"/>
      <c r="CT89" s="120"/>
      <c r="CU89" s="120"/>
      <c r="CV89" s="120"/>
      <c r="CW89" s="209"/>
      <c r="CX89" s="205"/>
      <c r="CY89" s="205">
        <f t="shared" si="836"/>
        <v>0</v>
      </c>
      <c r="CZ89" s="120"/>
      <c r="DA89" s="120"/>
      <c r="DB89" s="120"/>
      <c r="DC89" s="205"/>
      <c r="DD89" s="205"/>
      <c r="DE89" s="209"/>
      <c r="DF89" s="205"/>
      <c r="DG89" s="205">
        <f t="shared" si="837"/>
        <v>0</v>
      </c>
      <c r="DH89" s="205">
        <f t="shared" si="838"/>
        <v>1000</v>
      </c>
      <c r="DI89" s="120"/>
      <c r="DJ89" s="120"/>
      <c r="DK89" s="207"/>
      <c r="DL89" s="120"/>
      <c r="DM89" s="120"/>
      <c r="DN89" s="209"/>
      <c r="DO89" s="205"/>
      <c r="DP89" s="205">
        <f t="shared" si="839"/>
        <v>0</v>
      </c>
      <c r="DQ89" s="120"/>
      <c r="DR89" s="120"/>
      <c r="DS89" s="250">
        <v>500</v>
      </c>
      <c r="DT89" s="120"/>
      <c r="DU89" s="120"/>
      <c r="DV89" s="209"/>
      <c r="DW89" s="205"/>
      <c r="DX89" s="205">
        <f t="shared" si="840"/>
        <v>500</v>
      </c>
      <c r="DY89" s="120"/>
      <c r="DZ89" s="120"/>
      <c r="EA89" s="120"/>
      <c r="EB89" s="120"/>
      <c r="EC89" s="120"/>
      <c r="ED89" s="209"/>
      <c r="EE89" s="205"/>
      <c r="EF89" s="205">
        <f t="shared" si="841"/>
        <v>0</v>
      </c>
      <c r="EG89" s="120"/>
      <c r="EH89" s="217">
        <v>500</v>
      </c>
      <c r="EI89" s="120"/>
      <c r="EJ89" s="205"/>
      <c r="EK89" s="205"/>
      <c r="EL89" s="209"/>
      <c r="EM89" s="205"/>
      <c r="EN89" s="205">
        <f t="shared" si="842"/>
        <v>500</v>
      </c>
      <c r="EO89" s="205">
        <f t="shared" si="843"/>
        <v>1000</v>
      </c>
      <c r="EP89" s="120"/>
      <c r="EQ89" s="120"/>
      <c r="ER89" s="120"/>
      <c r="ES89" s="120"/>
      <c r="ET89" s="120"/>
      <c r="EU89" s="209"/>
      <c r="EV89" s="205"/>
      <c r="EW89" s="205">
        <f t="shared" si="844"/>
        <v>0</v>
      </c>
      <c r="EX89" s="120"/>
      <c r="EY89" s="120"/>
      <c r="EZ89" s="120"/>
      <c r="FA89" s="120"/>
      <c r="FB89" s="120"/>
      <c r="FC89" s="209"/>
      <c r="FD89" s="205"/>
      <c r="FE89" s="205">
        <f t="shared" si="845"/>
        <v>0</v>
      </c>
      <c r="FF89" s="195">
        <v>500</v>
      </c>
      <c r="FG89" s="120"/>
      <c r="FH89" s="120"/>
      <c r="FI89" s="120"/>
      <c r="FJ89" s="120"/>
      <c r="FK89" s="209"/>
      <c r="FL89" s="205"/>
      <c r="FM89" s="205">
        <f t="shared" si="846"/>
        <v>500</v>
      </c>
      <c r="FN89" s="120"/>
      <c r="FO89" s="120"/>
      <c r="FP89" s="120"/>
      <c r="FQ89" s="120"/>
      <c r="FR89" s="205"/>
      <c r="FS89" s="209"/>
      <c r="FT89" s="205"/>
      <c r="FU89" s="205">
        <f t="shared" si="847"/>
        <v>0</v>
      </c>
      <c r="FV89" s="205">
        <f t="shared" si="848"/>
        <v>500</v>
      </c>
      <c r="FW89" s="120"/>
      <c r="FX89" s="120"/>
      <c r="FY89" s="120"/>
      <c r="FZ89" s="120"/>
      <c r="GA89" s="120"/>
      <c r="GB89" s="209"/>
      <c r="GC89" s="205"/>
      <c r="GD89" s="205">
        <f t="shared" si="849"/>
        <v>0</v>
      </c>
      <c r="GE89" s="120"/>
      <c r="GF89" s="120"/>
      <c r="GG89" s="120"/>
      <c r="GH89" s="120"/>
      <c r="GI89" s="120"/>
      <c r="GJ89" s="209"/>
      <c r="GK89" s="205"/>
      <c r="GL89" s="205">
        <f t="shared" si="850"/>
        <v>0</v>
      </c>
      <c r="GM89" s="120"/>
      <c r="GN89" s="120"/>
      <c r="GO89" s="120"/>
      <c r="GP89" s="120"/>
      <c r="GQ89" s="120"/>
      <c r="GR89" s="209"/>
      <c r="GS89" s="205"/>
      <c r="GT89" s="205">
        <f t="shared" si="851"/>
        <v>0</v>
      </c>
      <c r="GU89" s="120"/>
      <c r="GV89" s="124">
        <v>500</v>
      </c>
      <c r="GW89" s="120"/>
      <c r="GX89" s="120"/>
      <c r="GY89" s="120"/>
      <c r="GZ89" s="209"/>
      <c r="HA89" s="205"/>
      <c r="HB89" s="205">
        <f t="shared" si="852"/>
        <v>500</v>
      </c>
      <c r="HC89" s="120"/>
      <c r="HD89" s="120"/>
      <c r="HE89" s="120"/>
      <c r="HF89" s="195">
        <v>500</v>
      </c>
      <c r="HG89" s="120"/>
      <c r="HH89" s="209"/>
      <c r="HI89" s="205"/>
      <c r="HJ89" s="205">
        <f t="shared" si="853"/>
        <v>500</v>
      </c>
      <c r="HK89" s="205">
        <f t="shared" si="854"/>
        <v>500</v>
      </c>
      <c r="HL89" s="124"/>
      <c r="HM89" s="120"/>
      <c r="HN89" s="120"/>
      <c r="HO89" s="120"/>
      <c r="HP89" s="120"/>
      <c r="HQ89" s="205"/>
      <c r="HR89" s="205"/>
      <c r="HS89" s="205">
        <f t="shared" si="934"/>
        <v>0</v>
      </c>
      <c r="HT89" s="120"/>
      <c r="HU89" s="120"/>
      <c r="HV89" s="120"/>
      <c r="HW89" s="120"/>
      <c r="HX89" s="120"/>
      <c r="HY89" s="205"/>
      <c r="HZ89" s="205"/>
      <c r="IA89" s="205">
        <f t="shared" si="935"/>
        <v>0</v>
      </c>
      <c r="IB89" s="120"/>
      <c r="IC89" s="120"/>
      <c r="ID89" s="120"/>
      <c r="IE89" s="120"/>
      <c r="IF89" s="120"/>
      <c r="IG89" s="205"/>
      <c r="IH89" s="205"/>
      <c r="II89" s="205">
        <f t="shared" si="936"/>
        <v>0</v>
      </c>
      <c r="IJ89" s="120"/>
      <c r="IK89" s="120"/>
      <c r="IL89" s="120"/>
      <c r="IM89" s="120"/>
      <c r="IN89" s="120"/>
      <c r="IO89" s="205"/>
      <c r="IP89" s="205"/>
      <c r="IQ89" s="205">
        <f t="shared" si="937"/>
        <v>0</v>
      </c>
      <c r="IR89" s="205">
        <f t="shared" si="938"/>
        <v>500</v>
      </c>
      <c r="IS89" s="217">
        <v>680</v>
      </c>
      <c r="IT89" s="120"/>
      <c r="IU89" s="120"/>
      <c r="IV89" s="120"/>
      <c r="IW89" s="120"/>
      <c r="IX89" s="205"/>
      <c r="IY89" s="205"/>
      <c r="IZ89" s="205">
        <f t="shared" si="939"/>
        <v>680</v>
      </c>
      <c r="JA89" s="120"/>
      <c r="JB89" s="120"/>
      <c r="JC89" s="120"/>
      <c r="JD89" s="120"/>
      <c r="JE89" s="120"/>
      <c r="JF89" s="205"/>
      <c r="JG89" s="205"/>
      <c r="JH89" s="205">
        <f t="shared" si="940"/>
        <v>0</v>
      </c>
      <c r="JI89" s="120"/>
      <c r="JJ89" s="120"/>
      <c r="JK89" s="120"/>
      <c r="JL89" s="120"/>
      <c r="JM89" s="120"/>
      <c r="JN89" s="205"/>
      <c r="JO89" s="205"/>
      <c r="JP89" s="205">
        <f t="shared" si="941"/>
        <v>0</v>
      </c>
      <c r="JQ89" s="120"/>
      <c r="JR89" s="120"/>
      <c r="JS89" s="120"/>
      <c r="JT89" s="120"/>
      <c r="JU89" s="120"/>
      <c r="JV89" s="205"/>
      <c r="JW89" s="205"/>
      <c r="JX89" s="205">
        <f t="shared" si="942"/>
        <v>0</v>
      </c>
      <c r="JY89" s="205">
        <f t="shared" si="943"/>
        <v>680</v>
      </c>
      <c r="JZ89" s="120"/>
      <c r="KA89" s="250">
        <v>580</v>
      </c>
      <c r="KB89" s="120"/>
      <c r="KC89" s="120"/>
      <c r="KD89" s="120"/>
      <c r="KE89" s="205"/>
      <c r="KF89" s="205"/>
      <c r="KG89" s="205">
        <f t="shared" si="944"/>
        <v>580</v>
      </c>
      <c r="KH89" s="120"/>
      <c r="KI89" s="120"/>
      <c r="KJ89" s="120"/>
      <c r="KK89" s="120"/>
      <c r="KL89" s="120"/>
      <c r="KM89" s="205"/>
      <c r="KN89" s="205"/>
      <c r="KO89" s="205">
        <f t="shared" si="945"/>
        <v>0</v>
      </c>
      <c r="KP89" s="120"/>
      <c r="KQ89" s="120"/>
      <c r="KR89" s="120"/>
      <c r="KS89" s="120"/>
      <c r="KT89" s="120"/>
      <c r="KU89" s="205"/>
      <c r="KV89" s="205"/>
      <c r="KW89" s="205">
        <f t="shared" si="946"/>
        <v>0</v>
      </c>
      <c r="KX89" s="120"/>
      <c r="KY89" s="120"/>
      <c r="KZ89" s="120"/>
      <c r="LA89" s="120"/>
      <c r="LB89" s="120"/>
      <c r="LC89" s="205"/>
      <c r="LD89" s="205"/>
      <c r="LE89" s="205">
        <f t="shared" si="947"/>
        <v>0</v>
      </c>
      <c r="LF89" s="205"/>
      <c r="LG89" s="120"/>
      <c r="LH89" s="120"/>
      <c r="LI89" s="120"/>
      <c r="LJ89" s="120"/>
      <c r="LK89" s="205"/>
      <c r="LL89" s="205"/>
      <c r="LM89" s="205">
        <f t="shared" si="948"/>
        <v>0</v>
      </c>
      <c r="LN89" s="205">
        <f t="shared" si="949"/>
        <v>580</v>
      </c>
      <c r="LO89" s="205"/>
      <c r="LP89" s="195">
        <v>440</v>
      </c>
      <c r="LQ89" s="120"/>
      <c r="LR89" s="120"/>
      <c r="LS89" s="205"/>
      <c r="LT89" s="205"/>
      <c r="LU89" s="205"/>
      <c r="LV89" s="205">
        <f t="shared" si="950"/>
        <v>440</v>
      </c>
      <c r="LW89" s="120"/>
      <c r="LX89" s="120"/>
      <c r="LY89" s="120"/>
      <c r="LZ89" s="120"/>
      <c r="MA89" s="120"/>
      <c r="MB89" s="205"/>
      <c r="MC89" s="205"/>
      <c r="MD89" s="205">
        <f t="shared" si="951"/>
        <v>0</v>
      </c>
      <c r="ME89" s="201">
        <v>280</v>
      </c>
      <c r="MF89" s="201">
        <v>500</v>
      </c>
      <c r="MG89" s="120"/>
      <c r="MH89" s="120"/>
      <c r="MI89" s="205"/>
      <c r="MJ89" s="205"/>
      <c r="MK89" s="205"/>
      <c r="ML89" s="205">
        <f t="shared" si="952"/>
        <v>780</v>
      </c>
      <c r="MM89" s="120"/>
      <c r="MN89" s="120"/>
      <c r="MO89" s="120"/>
      <c r="MP89" s="120"/>
      <c r="MQ89" s="120"/>
      <c r="MR89" s="205"/>
      <c r="MS89" s="205"/>
      <c r="MT89" s="205">
        <f t="shared" si="953"/>
        <v>0</v>
      </c>
      <c r="MU89" s="205">
        <f t="shared" si="954"/>
        <v>1220</v>
      </c>
      <c r="MV89" s="124">
        <v>500</v>
      </c>
      <c r="MW89" s="120"/>
      <c r="MX89" s="120"/>
      <c r="MY89" s="120"/>
      <c r="MZ89" s="120"/>
      <c r="NA89" s="205"/>
      <c r="NB89" s="205"/>
      <c r="NC89" s="205">
        <f t="shared" si="880"/>
        <v>500</v>
      </c>
      <c r="ND89" s="120"/>
      <c r="NE89" s="120"/>
      <c r="NF89" s="120"/>
      <c r="NG89" s="120"/>
      <c r="NH89" s="120"/>
      <c r="NI89" s="205"/>
      <c r="NJ89" s="205"/>
      <c r="NK89" s="205">
        <f t="shared" si="881"/>
        <v>0</v>
      </c>
      <c r="NL89" s="120"/>
      <c r="NM89" s="120"/>
      <c r="NN89" s="120"/>
      <c r="NO89" s="120"/>
      <c r="NP89" s="120"/>
      <c r="NQ89" s="205"/>
      <c r="NR89" s="205"/>
      <c r="NS89" s="205">
        <f t="shared" si="882"/>
        <v>0</v>
      </c>
      <c r="NT89" s="217">
        <v>380</v>
      </c>
      <c r="NU89" s="120"/>
      <c r="NV89" s="120"/>
      <c r="NW89" s="120"/>
      <c r="NX89" s="120"/>
      <c r="NY89" s="205"/>
      <c r="NZ89" s="205"/>
      <c r="OA89" s="205">
        <f t="shared" si="883"/>
        <v>380</v>
      </c>
      <c r="OB89" s="205">
        <f t="shared" si="884"/>
        <v>880</v>
      </c>
      <c r="OC89" s="120"/>
      <c r="OD89" s="120"/>
      <c r="OE89" s="120"/>
      <c r="OF89" s="120"/>
      <c r="OG89" s="120"/>
      <c r="OH89" s="205"/>
      <c r="OI89" s="205"/>
      <c r="OJ89" s="205">
        <f t="shared" si="885"/>
        <v>0</v>
      </c>
      <c r="OK89" s="195">
        <v>1000</v>
      </c>
      <c r="OL89" s="120"/>
      <c r="OM89" s="120"/>
      <c r="ON89" s="120"/>
      <c r="OO89" s="120"/>
      <c r="OP89" s="205"/>
      <c r="OQ89" s="205"/>
      <c r="OR89" s="205">
        <f t="shared" si="886"/>
        <v>1000</v>
      </c>
      <c r="OS89" s="120"/>
      <c r="OT89" s="120"/>
      <c r="OU89" s="120"/>
      <c r="OV89" s="120"/>
      <c r="OW89" s="120"/>
      <c r="OX89" s="205"/>
      <c r="OY89" s="205"/>
      <c r="OZ89" s="205">
        <f t="shared" si="887"/>
        <v>0</v>
      </c>
      <c r="PA89" s="120"/>
      <c r="PB89" s="120"/>
      <c r="PC89" s="201">
        <v>520</v>
      </c>
      <c r="PD89" s="205"/>
      <c r="PE89" s="217"/>
      <c r="PF89" s="205"/>
      <c r="PG89" s="205"/>
      <c r="PH89" s="205">
        <f t="shared" si="888"/>
        <v>520</v>
      </c>
      <c r="PI89" s="120"/>
      <c r="PJ89" s="120"/>
      <c r="PK89" s="120"/>
      <c r="PL89" s="205"/>
      <c r="PM89" s="217"/>
      <c r="PN89" s="205"/>
      <c r="PO89" s="205"/>
      <c r="PP89" s="205">
        <f t="shared" si="889"/>
        <v>0</v>
      </c>
      <c r="PQ89" s="205">
        <f t="shared" si="890"/>
        <v>1520</v>
      </c>
      <c r="PR89" s="207"/>
      <c r="PS89" s="207"/>
      <c r="PT89" s="207"/>
      <c r="PU89" s="207"/>
      <c r="PV89" s="207"/>
      <c r="PW89" s="272"/>
      <c r="PX89" s="272"/>
      <c r="PY89" s="205">
        <f t="shared" si="891"/>
        <v>0</v>
      </c>
      <c r="PZ89" s="207"/>
      <c r="QA89" s="195">
        <v>500</v>
      </c>
      <c r="QB89" s="207"/>
      <c r="QC89" s="207"/>
      <c r="QD89" s="195">
        <v>380</v>
      </c>
      <c r="QE89" s="272"/>
      <c r="QF89" s="272"/>
      <c r="QG89" s="205">
        <f t="shared" si="892"/>
        <v>880</v>
      </c>
      <c r="QH89" s="207"/>
      <c r="QI89" s="207"/>
      <c r="QJ89" s="294"/>
      <c r="QK89" s="207"/>
      <c r="QL89" s="207"/>
      <c r="QM89" s="272"/>
      <c r="QN89" s="272"/>
      <c r="QO89" s="205">
        <f t="shared" si="893"/>
        <v>0</v>
      </c>
      <c r="QP89" s="207"/>
      <c r="QQ89" s="207"/>
      <c r="QR89" s="207"/>
      <c r="QS89" s="207"/>
      <c r="QT89" s="207"/>
      <c r="QU89" s="272"/>
      <c r="QV89" s="272"/>
      <c r="QW89" s="205">
        <f t="shared" si="894"/>
        <v>0</v>
      </c>
      <c r="QX89" s="205">
        <f t="shared" si="895"/>
        <v>880</v>
      </c>
      <c r="QY89" s="123">
        <v>500</v>
      </c>
      <c r="QZ89" s="207"/>
      <c r="RA89" s="207"/>
      <c r="RB89" s="207"/>
      <c r="RC89" s="207"/>
      <c r="RD89" s="272"/>
      <c r="RE89" s="272"/>
      <c r="RF89" s="205">
        <f t="shared" si="896"/>
        <v>500</v>
      </c>
      <c r="RG89" s="207"/>
      <c r="RH89" s="207"/>
      <c r="RI89" s="207"/>
      <c r="RJ89" s="195">
        <v>1320</v>
      </c>
      <c r="RK89" s="207"/>
      <c r="RL89" s="272"/>
      <c r="RM89" s="272"/>
      <c r="RN89" s="205">
        <f t="shared" si="897"/>
        <v>1320</v>
      </c>
      <c r="RO89" s="272"/>
      <c r="RP89" s="272"/>
      <c r="RQ89" s="272"/>
      <c r="RR89" s="272"/>
      <c r="RS89" s="272"/>
      <c r="RT89" s="272"/>
      <c r="RU89" s="272"/>
      <c r="RV89" s="205">
        <f t="shared" si="898"/>
        <v>0</v>
      </c>
      <c r="RW89" s="207"/>
      <c r="RX89" s="207"/>
      <c r="RY89" s="207"/>
      <c r="RZ89" s="207"/>
      <c r="SA89" s="272"/>
      <c r="SB89" s="272"/>
      <c r="SC89" s="272"/>
      <c r="SD89" s="205">
        <f t="shared" si="899"/>
        <v>0</v>
      </c>
      <c r="SE89" s="205">
        <f t="shared" si="900"/>
        <v>1820</v>
      </c>
      <c r="SF89" s="207"/>
      <c r="SG89" s="207"/>
      <c r="SH89" s="207"/>
      <c r="SI89" s="207"/>
      <c r="SJ89" s="207"/>
      <c r="SK89" s="272"/>
      <c r="SL89" s="272"/>
      <c r="SM89" s="205">
        <f t="shared" si="901"/>
        <v>0</v>
      </c>
      <c r="SN89" s="207"/>
      <c r="SO89" s="207"/>
      <c r="SP89" s="207"/>
      <c r="SQ89" s="207"/>
      <c r="SR89" s="207"/>
      <c r="SS89" s="272"/>
      <c r="ST89" s="272"/>
      <c r="SU89" s="205">
        <f t="shared" si="902"/>
        <v>0</v>
      </c>
      <c r="SV89" s="207"/>
      <c r="SW89" s="207"/>
      <c r="SX89" s="207"/>
      <c r="SY89" s="207"/>
      <c r="SZ89" s="207"/>
      <c r="TA89" s="272"/>
      <c r="TB89" s="272"/>
      <c r="TC89" s="205">
        <f t="shared" si="903"/>
        <v>0</v>
      </c>
      <c r="TD89" s="207"/>
      <c r="TE89" s="207"/>
      <c r="TF89" s="207"/>
      <c r="TG89" s="207"/>
      <c r="TH89" s="207"/>
      <c r="TI89" s="272"/>
      <c r="TJ89" s="272"/>
      <c r="TK89" s="205">
        <f t="shared" si="904"/>
        <v>0</v>
      </c>
      <c r="TL89" s="207"/>
      <c r="TM89" s="207"/>
      <c r="TN89" s="207"/>
      <c r="TO89" s="207"/>
      <c r="TP89" s="272"/>
      <c r="TQ89" s="272"/>
      <c r="TR89" s="272"/>
      <c r="TS89" s="205">
        <f t="shared" si="905"/>
        <v>0</v>
      </c>
      <c r="TT89" s="205">
        <f t="shared" si="906"/>
        <v>0</v>
      </c>
      <c r="TU89" s="272"/>
      <c r="TV89" s="207"/>
      <c r="TW89" s="207"/>
      <c r="TX89" s="207"/>
      <c r="TY89" s="207"/>
      <c r="TZ89" s="272"/>
      <c r="UA89" s="272"/>
      <c r="UB89" s="205">
        <f t="shared" si="907"/>
        <v>0</v>
      </c>
      <c r="UC89" s="207"/>
      <c r="UD89" s="124">
        <v>380</v>
      </c>
      <c r="UE89" s="207"/>
      <c r="UF89" s="207"/>
      <c r="UG89" s="207"/>
      <c r="UH89" s="272"/>
      <c r="UI89" s="272"/>
      <c r="UJ89" s="205">
        <f t="shared" si="908"/>
        <v>380</v>
      </c>
      <c r="UK89" s="207"/>
      <c r="UL89" s="207"/>
      <c r="UM89" s="207"/>
      <c r="UN89" s="207"/>
      <c r="UO89" s="207"/>
      <c r="UP89" s="272"/>
      <c r="UQ89" s="272"/>
      <c r="UR89" s="205">
        <f t="shared" si="909"/>
        <v>0</v>
      </c>
      <c r="US89" s="207"/>
      <c r="UT89" s="207"/>
      <c r="UU89" s="207"/>
      <c r="UV89" s="207"/>
      <c r="UW89" s="272"/>
      <c r="UX89" s="272"/>
      <c r="UY89" s="272"/>
      <c r="UZ89" s="205">
        <f t="shared" si="910"/>
        <v>0</v>
      </c>
      <c r="VA89" s="205">
        <f t="shared" si="911"/>
        <v>380</v>
      </c>
      <c r="VB89" s="207"/>
      <c r="VC89" s="207"/>
      <c r="VD89" s="207"/>
      <c r="VE89" s="207"/>
      <c r="VF89" s="207"/>
      <c r="VG89" s="272"/>
      <c r="VH89" s="272"/>
      <c r="VI89" s="205">
        <f t="shared" si="912"/>
        <v>0</v>
      </c>
      <c r="VJ89" s="207"/>
      <c r="VK89" s="207"/>
      <c r="VL89" s="201">
        <v>260</v>
      </c>
      <c r="VM89" s="207"/>
      <c r="VN89" s="207"/>
      <c r="VO89" s="272"/>
      <c r="VP89" s="272"/>
      <c r="VQ89" s="205">
        <f t="shared" si="913"/>
        <v>260</v>
      </c>
      <c r="VR89" s="207"/>
      <c r="VS89" s="207"/>
      <c r="VT89" s="207"/>
      <c r="VU89" s="207"/>
      <c r="VV89" s="207"/>
      <c r="VW89" s="272"/>
      <c r="VX89" s="272"/>
      <c r="VY89" s="205">
        <f t="shared" si="914"/>
        <v>0</v>
      </c>
      <c r="VZ89" s="207"/>
      <c r="WA89" s="207"/>
      <c r="WB89" s="207"/>
      <c r="WC89" s="207"/>
      <c r="WD89" s="207"/>
      <c r="WE89" s="272"/>
      <c r="WF89" s="272"/>
      <c r="WG89" s="205">
        <f t="shared" si="915"/>
        <v>0</v>
      </c>
      <c r="WH89" s="205">
        <f t="shared" si="916"/>
        <v>260</v>
      </c>
      <c r="WI89" s="207"/>
      <c r="WJ89" s="207"/>
      <c r="WK89" s="207"/>
      <c r="WL89" s="207"/>
      <c r="WM89" s="207"/>
      <c r="WN89" s="272"/>
      <c r="WO89" s="272"/>
      <c r="WP89" s="205">
        <f t="shared" si="917"/>
        <v>0</v>
      </c>
      <c r="WQ89" s="207"/>
      <c r="WR89" s="207"/>
      <c r="WS89" s="207"/>
      <c r="WT89" s="207"/>
      <c r="WU89" s="207"/>
      <c r="WV89" s="272"/>
      <c r="WW89" s="272"/>
      <c r="WX89" s="205">
        <f t="shared" si="918"/>
        <v>0</v>
      </c>
      <c r="WY89" s="207"/>
      <c r="WZ89" s="207"/>
      <c r="XA89" s="207"/>
      <c r="XB89" s="207"/>
      <c r="XC89" s="272"/>
      <c r="XD89" s="272"/>
      <c r="XE89" s="272"/>
      <c r="XF89" s="205">
        <f t="shared" si="919"/>
        <v>0</v>
      </c>
      <c r="XG89" s="207"/>
      <c r="XH89" s="207"/>
      <c r="XI89" s="207"/>
      <c r="XJ89" s="207"/>
      <c r="XK89" s="207"/>
      <c r="XL89" s="272"/>
      <c r="XM89" s="272"/>
      <c r="XN89" s="205">
        <f t="shared" si="920"/>
        <v>0</v>
      </c>
      <c r="XO89" s="207"/>
      <c r="XP89" s="207"/>
      <c r="XQ89" s="207"/>
      <c r="XR89" s="207"/>
      <c r="XS89" s="207"/>
      <c r="XT89" s="272"/>
      <c r="XU89" s="272"/>
      <c r="XV89" s="205">
        <f t="shared" si="921"/>
        <v>0</v>
      </c>
      <c r="XW89" s="205">
        <f t="shared" si="922"/>
        <v>0</v>
      </c>
      <c r="XX89" s="207"/>
      <c r="XY89" s="207"/>
      <c r="XZ89" s="207"/>
      <c r="YA89" s="207"/>
      <c r="YB89" s="207"/>
      <c r="YC89" s="272"/>
      <c r="YD89" s="272"/>
      <c r="YE89" s="205">
        <f t="shared" si="923"/>
        <v>0</v>
      </c>
      <c r="YF89" s="207"/>
      <c r="YG89" s="207"/>
      <c r="YH89" s="207"/>
      <c r="YI89" s="207"/>
      <c r="YJ89" s="207"/>
      <c r="YK89" s="272"/>
      <c r="YL89" s="272"/>
      <c r="YM89" s="205">
        <f t="shared" si="924"/>
        <v>0</v>
      </c>
      <c r="YN89" s="207"/>
      <c r="YO89" s="207"/>
      <c r="YP89" s="207"/>
      <c r="YQ89" s="207"/>
      <c r="YR89" s="207"/>
      <c r="YS89" s="272"/>
      <c r="YT89" s="272"/>
      <c r="YU89" s="205">
        <f t="shared" si="925"/>
        <v>0</v>
      </c>
      <c r="YV89" s="207"/>
      <c r="YW89" s="207"/>
      <c r="YX89" s="207"/>
      <c r="YY89" s="207"/>
      <c r="YZ89" s="207"/>
      <c r="ZA89" s="272"/>
      <c r="ZB89" s="272"/>
      <c r="ZC89" s="205">
        <f t="shared" si="926"/>
        <v>0</v>
      </c>
      <c r="ZD89" s="205">
        <f t="shared" si="927"/>
        <v>0</v>
      </c>
      <c r="ZE89" s="207"/>
      <c r="ZF89" s="207"/>
      <c r="ZG89" s="207"/>
      <c r="ZH89" s="207"/>
      <c r="ZI89" s="207"/>
      <c r="ZJ89" s="272"/>
      <c r="ZK89" s="272"/>
      <c r="ZL89" s="205">
        <f t="shared" si="928"/>
        <v>0</v>
      </c>
      <c r="ZM89" s="207"/>
      <c r="ZN89" s="207"/>
      <c r="ZO89" s="207"/>
      <c r="ZP89" s="207"/>
      <c r="ZQ89" s="207"/>
      <c r="ZR89" s="272"/>
      <c r="ZS89" s="272"/>
      <c r="ZT89" s="205">
        <f t="shared" si="929"/>
        <v>0</v>
      </c>
      <c r="ZU89" s="207"/>
      <c r="ZV89" s="207"/>
      <c r="ZW89" s="207"/>
      <c r="ZX89" s="207"/>
      <c r="ZY89" s="207"/>
      <c r="ZZ89" s="272"/>
      <c r="AAA89" s="272"/>
      <c r="AAB89" s="205">
        <f t="shared" si="930"/>
        <v>0</v>
      </c>
      <c r="AAC89" s="207"/>
      <c r="AAD89" s="207"/>
      <c r="AAE89" s="207"/>
      <c r="AAF89" s="207"/>
      <c r="AAG89" s="207"/>
      <c r="AAH89" s="272"/>
      <c r="AAI89" s="272"/>
      <c r="AAJ89" s="205">
        <f t="shared" si="931"/>
        <v>0</v>
      </c>
      <c r="AAK89" s="207"/>
      <c r="AAL89" s="207"/>
      <c r="AAM89" s="207"/>
      <c r="AAN89" s="207"/>
      <c r="AAO89" s="207"/>
      <c r="AAP89" s="272"/>
      <c r="AAQ89" s="272"/>
      <c r="AAR89" s="205">
        <f t="shared" si="932"/>
        <v>0</v>
      </c>
      <c r="AAS89" s="205">
        <f t="shared" si="933"/>
        <v>0</v>
      </c>
    </row>
    <row r="90" spans="1:721" ht="69.95" customHeight="1">
      <c r="B90" s="151">
        <v>3630101467</v>
      </c>
      <c r="C90" s="323" t="s">
        <v>741</v>
      </c>
      <c r="D90" s="152" t="s">
        <v>788</v>
      </c>
      <c r="E90" s="130" t="s">
        <v>4</v>
      </c>
      <c r="F90" s="120"/>
      <c r="G90" s="120"/>
      <c r="H90" s="120"/>
      <c r="I90" s="120"/>
      <c r="J90" s="120"/>
      <c r="K90" s="209"/>
      <c r="L90" s="205"/>
      <c r="M90" s="205">
        <f t="shared" ref="M90" si="986">SUM(F90:L90)</f>
        <v>0</v>
      </c>
      <c r="N90" s="120"/>
      <c r="O90" s="120"/>
      <c r="P90" s="120"/>
      <c r="Q90" s="120"/>
      <c r="R90" s="120"/>
      <c r="S90" s="209"/>
      <c r="T90" s="205"/>
      <c r="U90" s="205">
        <f t="shared" ref="U90" si="987">SUM(N90:T90)</f>
        <v>0</v>
      </c>
      <c r="V90" s="120"/>
      <c r="W90" s="120"/>
      <c r="X90" s="120"/>
      <c r="Y90" s="120"/>
      <c r="Z90" s="120"/>
      <c r="AA90" s="209"/>
      <c r="AB90" s="205"/>
      <c r="AC90" s="205">
        <f t="shared" ref="AC90" si="988">SUM(V90:AB90)</f>
        <v>0</v>
      </c>
      <c r="AD90" s="205"/>
      <c r="AE90" s="205"/>
      <c r="AF90" s="205"/>
      <c r="AG90" s="205"/>
      <c r="AH90" s="205"/>
      <c r="AI90" s="209"/>
      <c r="AJ90" s="205"/>
      <c r="AK90" s="205">
        <f t="shared" ref="AK90" si="989">SUM(AD90:AJ90)</f>
        <v>0</v>
      </c>
      <c r="AL90" s="205" t="e">
        <f>SUM(#REF!,M90,U90,AC90,AD90:AH90)</f>
        <v>#REF!</v>
      </c>
      <c r="AM90" s="120"/>
      <c r="AN90" s="120"/>
      <c r="AO90" s="120"/>
      <c r="AP90" s="120"/>
      <c r="AQ90" s="120"/>
      <c r="AR90" s="209"/>
      <c r="AS90" s="205"/>
      <c r="AT90" s="205">
        <f t="shared" ref="AT90" si="990">SUM(AM90:AS90)</f>
        <v>0</v>
      </c>
      <c r="AU90" s="120"/>
      <c r="AV90" s="120"/>
      <c r="AW90" s="120"/>
      <c r="AX90" s="120"/>
      <c r="AY90" s="120"/>
      <c r="AZ90" s="209"/>
      <c r="BA90" s="205"/>
      <c r="BB90" s="205">
        <f t="shared" ref="BB90" si="991">SUM(AU90:BA90)</f>
        <v>0</v>
      </c>
      <c r="BC90" s="120"/>
      <c r="BD90" s="120"/>
      <c r="BE90" s="120"/>
      <c r="BF90" s="120"/>
      <c r="BG90" s="120"/>
      <c r="BH90" s="209"/>
      <c r="BI90" s="205"/>
      <c r="BJ90" s="205">
        <f t="shared" ref="BJ90" si="992">SUM(BC90:BI90)</f>
        <v>0</v>
      </c>
      <c r="BK90" s="120"/>
      <c r="BL90" s="120"/>
      <c r="BM90" s="120"/>
      <c r="BN90" s="120"/>
      <c r="BO90" s="205"/>
      <c r="BP90" s="209"/>
      <c r="BQ90" s="205"/>
      <c r="BR90" s="205">
        <f t="shared" ref="BR90" si="993">SUM(BK90:BQ90)</f>
        <v>0</v>
      </c>
      <c r="BS90" s="205">
        <f t="shared" ref="BS90" si="994">SUM(AI90:AJ90,AT90,BB90,BJ90,BK90:BO90)</f>
        <v>0</v>
      </c>
      <c r="BT90" s="120"/>
      <c r="BU90" s="120"/>
      <c r="BV90" s="120"/>
      <c r="BW90" s="120"/>
      <c r="BX90" s="120"/>
      <c r="BY90" s="209"/>
      <c r="BZ90" s="205"/>
      <c r="CA90" s="205">
        <f t="shared" ref="CA90" si="995">SUM(BT90:BZ90)</f>
        <v>0</v>
      </c>
      <c r="CB90" s="120"/>
      <c r="CC90" s="120"/>
      <c r="CD90" s="120"/>
      <c r="CE90" s="120"/>
      <c r="CF90" s="120"/>
      <c r="CG90" s="209"/>
      <c r="CH90" s="205"/>
      <c r="CI90" s="205">
        <f t="shared" ref="CI90" si="996">SUM(CB90:CH90)</f>
        <v>0</v>
      </c>
      <c r="CJ90" s="120"/>
      <c r="CK90" s="120"/>
      <c r="CL90" s="120"/>
      <c r="CM90" s="120"/>
      <c r="CN90" s="120"/>
      <c r="CO90" s="209"/>
      <c r="CP90" s="205"/>
      <c r="CQ90" s="205">
        <f t="shared" ref="CQ90" si="997">SUM(CJ90:CP90)</f>
        <v>0</v>
      </c>
      <c r="CR90" s="120"/>
      <c r="CS90" s="120"/>
      <c r="CT90" s="120"/>
      <c r="CU90" s="120"/>
      <c r="CV90" s="120"/>
      <c r="CW90" s="209"/>
      <c r="CX90" s="205"/>
      <c r="CY90" s="205">
        <f t="shared" ref="CY90" si="998">SUM(CR90:CX90)</f>
        <v>0</v>
      </c>
      <c r="CZ90" s="120"/>
      <c r="DA90" s="120"/>
      <c r="DB90" s="120"/>
      <c r="DC90" s="205"/>
      <c r="DD90" s="205"/>
      <c r="DE90" s="209"/>
      <c r="DF90" s="205"/>
      <c r="DG90" s="205">
        <f t="shared" ref="DG90" si="999">SUM(CZ90:DF90)</f>
        <v>0</v>
      </c>
      <c r="DH90" s="205">
        <f t="shared" ref="DH90" si="1000">SUM(CA90,CI90,CQ90,CY90,CZ90)</f>
        <v>0</v>
      </c>
      <c r="DI90" s="120"/>
      <c r="DJ90" s="120"/>
      <c r="DK90" s="120"/>
      <c r="DL90" s="120"/>
      <c r="DM90" s="120"/>
      <c r="DN90" s="209"/>
      <c r="DO90" s="205"/>
      <c r="DP90" s="205">
        <f t="shared" ref="DP90" si="1001">SUM(DI90:DO90)</f>
        <v>0</v>
      </c>
      <c r="DQ90" s="120"/>
      <c r="DR90" s="120"/>
      <c r="DS90" s="120"/>
      <c r="DT90" s="120"/>
      <c r="DU90" s="120"/>
      <c r="DV90" s="209"/>
      <c r="DW90" s="205"/>
      <c r="DX90" s="205">
        <f t="shared" ref="DX90" si="1002">SUM(DQ90:DW90)</f>
        <v>0</v>
      </c>
      <c r="DY90" s="120"/>
      <c r="DZ90" s="120"/>
      <c r="EA90" s="120"/>
      <c r="EB90" s="120"/>
      <c r="EC90" s="120"/>
      <c r="ED90" s="209"/>
      <c r="EE90" s="205"/>
      <c r="EF90" s="205">
        <f t="shared" ref="EF90" si="1003">SUM(DY90:EE90)</f>
        <v>0</v>
      </c>
      <c r="EG90" s="120"/>
      <c r="EH90" s="120"/>
      <c r="EI90" s="120"/>
      <c r="EJ90" s="205"/>
      <c r="EK90" s="205"/>
      <c r="EL90" s="209"/>
      <c r="EM90" s="205"/>
      <c r="EN90" s="205">
        <f t="shared" ref="EN90" si="1004">SUM(EG90:EM90)</f>
        <v>0</v>
      </c>
      <c r="EO90" s="205">
        <f t="shared" ref="EO90" si="1005">SUM(DA90:DF90,DP90,DX90,EF90,EG90:EI90)</f>
        <v>0</v>
      </c>
      <c r="EP90" s="120"/>
      <c r="EQ90" s="120"/>
      <c r="ER90" s="120"/>
      <c r="ES90" s="120"/>
      <c r="ET90" s="120"/>
      <c r="EU90" s="209"/>
      <c r="EV90" s="205"/>
      <c r="EW90" s="205">
        <f t="shared" ref="EW90" si="1006">SUM(EP90:EV90)</f>
        <v>0</v>
      </c>
      <c r="EX90" s="120"/>
      <c r="EY90" s="120"/>
      <c r="EZ90" s="120"/>
      <c r="FA90" s="120"/>
      <c r="FB90" s="120"/>
      <c r="FC90" s="209"/>
      <c r="FD90" s="205"/>
      <c r="FE90" s="205">
        <f t="shared" ref="FE90" si="1007">SUM(EX90:FD90)</f>
        <v>0</v>
      </c>
      <c r="FF90" s="120"/>
      <c r="FG90" s="120"/>
      <c r="FH90" s="120"/>
      <c r="FI90" s="120"/>
      <c r="FJ90" s="120"/>
      <c r="FK90" s="209"/>
      <c r="FL90" s="205"/>
      <c r="FM90" s="205">
        <f t="shared" ref="FM90" si="1008">SUM(FF90:FL90)</f>
        <v>0</v>
      </c>
      <c r="FN90" s="120"/>
      <c r="FO90" s="120"/>
      <c r="FP90" s="120"/>
      <c r="FQ90" s="120"/>
      <c r="FR90" s="205"/>
      <c r="FS90" s="209"/>
      <c r="FT90" s="205"/>
      <c r="FU90" s="205">
        <f t="shared" ref="FU90" si="1009">SUM(FN90:FT90)</f>
        <v>0</v>
      </c>
      <c r="FV90" s="205">
        <f t="shared" ref="FV90" si="1010">SUM(EJ90:EK90,EW90,FE90,FM90,FU90)</f>
        <v>0</v>
      </c>
      <c r="FW90" s="120"/>
      <c r="FX90" s="120"/>
      <c r="FY90" s="120"/>
      <c r="FZ90" s="120"/>
      <c r="GA90" s="120"/>
      <c r="GB90" s="209"/>
      <c r="GC90" s="205"/>
      <c r="GD90" s="205">
        <f t="shared" ref="GD90" si="1011">SUM(FW90:GC90)</f>
        <v>0</v>
      </c>
      <c r="GE90" s="120"/>
      <c r="GF90" s="120"/>
      <c r="GG90" s="120"/>
      <c r="GH90" s="120"/>
      <c r="GI90" s="120"/>
      <c r="GJ90" s="209"/>
      <c r="GK90" s="205"/>
      <c r="GL90" s="205">
        <f t="shared" ref="GL90" si="1012">SUM(GE90:GK90)</f>
        <v>0</v>
      </c>
      <c r="GM90" s="120"/>
      <c r="GN90" s="120"/>
      <c r="GO90" s="120"/>
      <c r="GP90" s="120"/>
      <c r="GQ90" s="120"/>
      <c r="GR90" s="209"/>
      <c r="GS90" s="205"/>
      <c r="GT90" s="205">
        <f t="shared" ref="GT90" si="1013">SUM(GM90:GS90)</f>
        <v>0</v>
      </c>
      <c r="GU90" s="120"/>
      <c r="GV90" s="120"/>
      <c r="GW90" s="120"/>
      <c r="GX90" s="120"/>
      <c r="GY90" s="120"/>
      <c r="GZ90" s="209"/>
      <c r="HA90" s="205"/>
      <c r="HB90" s="205">
        <f t="shared" ref="HB90" si="1014">SUM(GU90:HA90)</f>
        <v>0</v>
      </c>
      <c r="HC90" s="120"/>
      <c r="HD90" s="120"/>
      <c r="HE90" s="120"/>
      <c r="HF90" s="120"/>
      <c r="HG90" s="120"/>
      <c r="HH90" s="209"/>
      <c r="HI90" s="205"/>
      <c r="HJ90" s="205">
        <f t="shared" ref="HJ90" si="1015">SUM(HC90:HI90)</f>
        <v>0</v>
      </c>
      <c r="HK90" s="205">
        <f t="shared" ref="HK90" si="1016">SUM(GD90,GL90,GT90,HB90,HC90)</f>
        <v>0</v>
      </c>
      <c r="HL90" s="124"/>
      <c r="HM90" s="120"/>
      <c r="HN90" s="120"/>
      <c r="HO90" s="120"/>
      <c r="HP90" s="120"/>
      <c r="HQ90" s="205"/>
      <c r="HR90" s="205"/>
      <c r="HS90" s="205">
        <f t="shared" si="934"/>
        <v>0</v>
      </c>
      <c r="HT90" s="120"/>
      <c r="HU90" s="120"/>
      <c r="HV90" s="120"/>
      <c r="HW90" s="120"/>
      <c r="HX90" s="120"/>
      <c r="HY90" s="205"/>
      <c r="HZ90" s="205"/>
      <c r="IA90" s="205">
        <f t="shared" si="935"/>
        <v>0</v>
      </c>
      <c r="IB90" s="120"/>
      <c r="IC90" s="120"/>
      <c r="ID90" s="120"/>
      <c r="IE90" s="120"/>
      <c r="IF90" s="120"/>
      <c r="IG90" s="205"/>
      <c r="IH90" s="205"/>
      <c r="II90" s="205">
        <f t="shared" si="936"/>
        <v>0</v>
      </c>
      <c r="IJ90" s="120"/>
      <c r="IK90" s="120"/>
      <c r="IL90" s="120"/>
      <c r="IM90" s="120"/>
      <c r="IN90" s="120"/>
      <c r="IO90" s="205"/>
      <c r="IP90" s="205"/>
      <c r="IQ90" s="205">
        <f t="shared" si="937"/>
        <v>0</v>
      </c>
      <c r="IR90" s="205">
        <f t="shared" si="938"/>
        <v>0</v>
      </c>
      <c r="IS90" s="217">
        <v>120</v>
      </c>
      <c r="IT90" s="120"/>
      <c r="IU90" s="120"/>
      <c r="IV90" s="120"/>
      <c r="IW90" s="120"/>
      <c r="IX90" s="205"/>
      <c r="IY90" s="205"/>
      <c r="IZ90" s="205">
        <f t="shared" si="939"/>
        <v>120</v>
      </c>
      <c r="JA90" s="120"/>
      <c r="JB90" s="120"/>
      <c r="JC90" s="120"/>
      <c r="JD90" s="120"/>
      <c r="JE90" s="120"/>
      <c r="JF90" s="205"/>
      <c r="JG90" s="205"/>
      <c r="JH90" s="205">
        <f t="shared" si="940"/>
        <v>0</v>
      </c>
      <c r="JI90" s="120"/>
      <c r="JJ90" s="120"/>
      <c r="JK90" s="120"/>
      <c r="JL90" s="120"/>
      <c r="JM90" s="120"/>
      <c r="JN90" s="205"/>
      <c r="JO90" s="205"/>
      <c r="JP90" s="205">
        <f t="shared" si="941"/>
        <v>0</v>
      </c>
      <c r="JQ90" s="120"/>
      <c r="JR90" s="120"/>
      <c r="JS90" s="120"/>
      <c r="JT90" s="120"/>
      <c r="JU90" s="120"/>
      <c r="JV90" s="205"/>
      <c r="JW90" s="205"/>
      <c r="JX90" s="205">
        <f t="shared" si="942"/>
        <v>0</v>
      </c>
      <c r="JY90" s="205">
        <f t="shared" si="943"/>
        <v>120</v>
      </c>
      <c r="JZ90" s="120"/>
      <c r="KA90" s="250">
        <v>120</v>
      </c>
      <c r="KB90" s="120"/>
      <c r="KC90" s="120"/>
      <c r="KD90" s="120"/>
      <c r="KE90" s="205"/>
      <c r="KF90" s="205"/>
      <c r="KG90" s="205">
        <f t="shared" si="944"/>
        <v>120</v>
      </c>
      <c r="KH90" s="120"/>
      <c r="KI90" s="120"/>
      <c r="KJ90" s="120"/>
      <c r="KK90" s="120"/>
      <c r="KL90" s="120"/>
      <c r="KM90" s="205"/>
      <c r="KN90" s="205"/>
      <c r="KO90" s="205">
        <f t="shared" si="945"/>
        <v>0</v>
      </c>
      <c r="KP90" s="120"/>
      <c r="KQ90" s="120"/>
      <c r="KR90" s="120"/>
      <c r="KS90" s="120"/>
      <c r="KT90" s="120"/>
      <c r="KU90" s="205"/>
      <c r="KV90" s="205"/>
      <c r="KW90" s="205">
        <f t="shared" si="946"/>
        <v>0</v>
      </c>
      <c r="KX90" s="120"/>
      <c r="KY90" s="120"/>
      <c r="KZ90" s="120"/>
      <c r="LA90" s="120"/>
      <c r="LB90" s="120"/>
      <c r="LC90" s="205"/>
      <c r="LD90" s="205"/>
      <c r="LE90" s="205">
        <f t="shared" si="947"/>
        <v>0</v>
      </c>
      <c r="LF90" s="205"/>
      <c r="LG90" s="120"/>
      <c r="LH90" s="120"/>
      <c r="LI90" s="120"/>
      <c r="LJ90" s="120"/>
      <c r="LK90" s="205"/>
      <c r="LL90" s="205"/>
      <c r="LM90" s="205">
        <f t="shared" si="948"/>
        <v>0</v>
      </c>
      <c r="LN90" s="205">
        <f t="shared" si="949"/>
        <v>120</v>
      </c>
      <c r="LO90" s="205"/>
      <c r="LP90" s="195">
        <v>60</v>
      </c>
      <c r="LQ90" s="120"/>
      <c r="LR90" s="120"/>
      <c r="LS90" s="205"/>
      <c r="LT90" s="205"/>
      <c r="LU90" s="205"/>
      <c r="LV90" s="205">
        <f t="shared" si="950"/>
        <v>60</v>
      </c>
      <c r="LW90" s="120"/>
      <c r="LX90" s="120"/>
      <c r="LY90" s="120"/>
      <c r="LZ90" s="120"/>
      <c r="MA90" s="120"/>
      <c r="MB90" s="205"/>
      <c r="MC90" s="205"/>
      <c r="MD90" s="205">
        <f t="shared" si="951"/>
        <v>0</v>
      </c>
      <c r="ME90" s="201">
        <v>240</v>
      </c>
      <c r="MF90" s="120"/>
      <c r="MG90" s="120"/>
      <c r="MH90" s="120"/>
      <c r="MI90" s="205"/>
      <c r="MJ90" s="205"/>
      <c r="MK90" s="205"/>
      <c r="ML90" s="205">
        <f t="shared" si="952"/>
        <v>240</v>
      </c>
      <c r="MM90" s="120"/>
      <c r="MN90" s="120"/>
      <c r="MO90" s="120"/>
      <c r="MP90" s="120"/>
      <c r="MQ90" s="120"/>
      <c r="MR90" s="205"/>
      <c r="MS90" s="205"/>
      <c r="MT90" s="205">
        <f t="shared" si="953"/>
        <v>0</v>
      </c>
      <c r="MU90" s="205">
        <f t="shared" si="954"/>
        <v>300</v>
      </c>
      <c r="MV90" s="120"/>
      <c r="MW90" s="120"/>
      <c r="MX90" s="120"/>
      <c r="MY90" s="120"/>
      <c r="MZ90" s="120"/>
      <c r="NA90" s="205"/>
      <c r="NB90" s="205"/>
      <c r="NC90" s="205">
        <f t="shared" si="880"/>
        <v>0</v>
      </c>
      <c r="ND90" s="120"/>
      <c r="NE90" s="120"/>
      <c r="NF90" s="120"/>
      <c r="NG90" s="120"/>
      <c r="NH90" s="120"/>
      <c r="NI90" s="205"/>
      <c r="NJ90" s="205"/>
      <c r="NK90" s="205">
        <f t="shared" si="881"/>
        <v>0</v>
      </c>
      <c r="NL90" s="120"/>
      <c r="NM90" s="120"/>
      <c r="NN90" s="120"/>
      <c r="NO90" s="120"/>
      <c r="NP90" s="120"/>
      <c r="NQ90" s="205"/>
      <c r="NR90" s="205"/>
      <c r="NS90" s="205">
        <f t="shared" si="882"/>
        <v>0</v>
      </c>
      <c r="NT90" s="217">
        <v>120</v>
      </c>
      <c r="NU90" s="120"/>
      <c r="NV90" s="120"/>
      <c r="NW90" s="120"/>
      <c r="NX90" s="120"/>
      <c r="NY90" s="205"/>
      <c r="NZ90" s="205"/>
      <c r="OA90" s="205">
        <f t="shared" si="883"/>
        <v>120</v>
      </c>
      <c r="OB90" s="205">
        <f t="shared" si="884"/>
        <v>120</v>
      </c>
      <c r="OC90" s="120"/>
      <c r="OD90" s="120"/>
      <c r="OE90" s="120"/>
      <c r="OF90" s="120"/>
      <c r="OG90" s="120"/>
      <c r="OH90" s="205"/>
      <c r="OI90" s="205"/>
      <c r="OJ90" s="205">
        <f t="shared" si="885"/>
        <v>0</v>
      </c>
      <c r="OK90" s="120"/>
      <c r="OL90" s="120"/>
      <c r="OM90" s="120"/>
      <c r="ON90" s="120"/>
      <c r="OO90" s="120"/>
      <c r="OP90" s="205"/>
      <c r="OQ90" s="205"/>
      <c r="OR90" s="205">
        <f t="shared" si="886"/>
        <v>0</v>
      </c>
      <c r="OS90" s="120"/>
      <c r="OT90" s="120"/>
      <c r="OU90" s="120"/>
      <c r="OV90" s="120"/>
      <c r="OW90" s="120"/>
      <c r="OX90" s="205"/>
      <c r="OY90" s="205"/>
      <c r="OZ90" s="205">
        <f t="shared" si="887"/>
        <v>0</v>
      </c>
      <c r="PA90" s="120"/>
      <c r="PB90" s="120"/>
      <c r="PC90" s="201">
        <v>480</v>
      </c>
      <c r="PD90" s="205"/>
      <c r="PE90" s="217"/>
      <c r="PF90" s="205"/>
      <c r="PG90" s="205"/>
      <c r="PH90" s="205">
        <f t="shared" si="888"/>
        <v>480</v>
      </c>
      <c r="PI90" s="120"/>
      <c r="PJ90" s="120"/>
      <c r="PK90" s="120"/>
      <c r="PL90" s="205"/>
      <c r="PM90" s="217"/>
      <c r="PN90" s="205"/>
      <c r="PO90" s="205"/>
      <c r="PP90" s="205">
        <f t="shared" si="889"/>
        <v>0</v>
      </c>
      <c r="PQ90" s="205">
        <f t="shared" si="890"/>
        <v>480</v>
      </c>
      <c r="PR90" s="207"/>
      <c r="PS90" s="207"/>
      <c r="PT90" s="207"/>
      <c r="PU90" s="207"/>
      <c r="PV90" s="207"/>
      <c r="PW90" s="272"/>
      <c r="PX90" s="272"/>
      <c r="PY90" s="205">
        <f t="shared" si="891"/>
        <v>0</v>
      </c>
      <c r="PZ90" s="207"/>
      <c r="QA90" s="207"/>
      <c r="QB90" s="207"/>
      <c r="QC90" s="207"/>
      <c r="QD90" s="195">
        <v>120</v>
      </c>
      <c r="QE90" s="272"/>
      <c r="QF90" s="272"/>
      <c r="QG90" s="205">
        <f t="shared" si="892"/>
        <v>120</v>
      </c>
      <c r="QH90" s="207"/>
      <c r="QI90" s="207"/>
      <c r="QJ90" s="294"/>
      <c r="QK90" s="207"/>
      <c r="QL90" s="207"/>
      <c r="QM90" s="272"/>
      <c r="QN90" s="272"/>
      <c r="QO90" s="205">
        <f t="shared" si="893"/>
        <v>0</v>
      </c>
      <c r="QP90" s="207"/>
      <c r="QQ90" s="207"/>
      <c r="QR90" s="207"/>
      <c r="QS90" s="207"/>
      <c r="QT90" s="207"/>
      <c r="QU90" s="272"/>
      <c r="QV90" s="272"/>
      <c r="QW90" s="205">
        <f t="shared" si="894"/>
        <v>0</v>
      </c>
      <c r="QX90" s="205">
        <f t="shared" si="895"/>
        <v>120</v>
      </c>
      <c r="QY90" s="207"/>
      <c r="QZ90" s="207"/>
      <c r="RA90" s="207"/>
      <c r="RB90" s="207"/>
      <c r="RC90" s="207"/>
      <c r="RD90" s="272"/>
      <c r="RE90" s="272"/>
      <c r="RF90" s="205">
        <f t="shared" si="896"/>
        <v>0</v>
      </c>
      <c r="RG90" s="207"/>
      <c r="RH90" s="207"/>
      <c r="RI90" s="207"/>
      <c r="RJ90" s="195">
        <v>180</v>
      </c>
      <c r="RK90" s="207"/>
      <c r="RL90" s="272"/>
      <c r="RM90" s="272"/>
      <c r="RN90" s="205">
        <f t="shared" si="897"/>
        <v>180</v>
      </c>
      <c r="RO90" s="272"/>
      <c r="RP90" s="272"/>
      <c r="RQ90" s="272"/>
      <c r="RR90" s="272"/>
      <c r="RS90" s="272"/>
      <c r="RT90" s="272"/>
      <c r="RU90" s="272"/>
      <c r="RV90" s="205">
        <f t="shared" si="898"/>
        <v>0</v>
      </c>
      <c r="RW90" s="207"/>
      <c r="RX90" s="207"/>
      <c r="RY90" s="207"/>
      <c r="RZ90" s="207"/>
      <c r="SA90" s="272"/>
      <c r="SB90" s="272"/>
      <c r="SC90" s="272"/>
      <c r="SD90" s="205">
        <f t="shared" si="899"/>
        <v>0</v>
      </c>
      <c r="SE90" s="205">
        <f t="shared" si="900"/>
        <v>180</v>
      </c>
      <c r="SF90" s="207"/>
      <c r="SG90" s="207"/>
      <c r="SH90" s="207"/>
      <c r="SI90" s="207"/>
      <c r="SJ90" s="207"/>
      <c r="SK90" s="272"/>
      <c r="SL90" s="272"/>
      <c r="SM90" s="205">
        <f t="shared" si="901"/>
        <v>0</v>
      </c>
      <c r="SN90" s="207"/>
      <c r="SO90" s="207"/>
      <c r="SP90" s="207"/>
      <c r="SQ90" s="207"/>
      <c r="SR90" s="207"/>
      <c r="SS90" s="272"/>
      <c r="ST90" s="272"/>
      <c r="SU90" s="205">
        <f t="shared" si="902"/>
        <v>0</v>
      </c>
      <c r="SV90" s="207"/>
      <c r="SW90" s="207"/>
      <c r="SX90" s="207"/>
      <c r="SY90" s="207"/>
      <c r="SZ90" s="207"/>
      <c r="TA90" s="272"/>
      <c r="TB90" s="272"/>
      <c r="TC90" s="205">
        <f t="shared" si="903"/>
        <v>0</v>
      </c>
      <c r="TD90" s="207"/>
      <c r="TE90" s="207"/>
      <c r="TF90" s="207"/>
      <c r="TG90" s="207"/>
      <c r="TH90" s="207"/>
      <c r="TI90" s="272"/>
      <c r="TJ90" s="272"/>
      <c r="TK90" s="205">
        <f t="shared" si="904"/>
        <v>0</v>
      </c>
      <c r="TL90" s="207"/>
      <c r="TM90" s="207"/>
      <c r="TN90" s="207"/>
      <c r="TO90" s="207"/>
      <c r="TP90" s="272"/>
      <c r="TQ90" s="272"/>
      <c r="TR90" s="272"/>
      <c r="TS90" s="205">
        <f t="shared" si="905"/>
        <v>0</v>
      </c>
      <c r="TT90" s="205">
        <f t="shared" si="906"/>
        <v>0</v>
      </c>
      <c r="TU90" s="272"/>
      <c r="TV90" s="207"/>
      <c r="TW90" s="207"/>
      <c r="TX90" s="207"/>
      <c r="TY90" s="207"/>
      <c r="TZ90" s="272"/>
      <c r="UA90" s="272"/>
      <c r="UB90" s="205">
        <f t="shared" si="907"/>
        <v>0</v>
      </c>
      <c r="UC90" s="207"/>
      <c r="UD90" s="124">
        <v>120</v>
      </c>
      <c r="UE90" s="207"/>
      <c r="UF90" s="207"/>
      <c r="UG90" s="207"/>
      <c r="UH90" s="272"/>
      <c r="UI90" s="272"/>
      <c r="UJ90" s="205">
        <f t="shared" si="908"/>
        <v>120</v>
      </c>
      <c r="UK90" s="207"/>
      <c r="UL90" s="207"/>
      <c r="UM90" s="207"/>
      <c r="UN90" s="207"/>
      <c r="UO90" s="207"/>
      <c r="UP90" s="272"/>
      <c r="UQ90" s="272"/>
      <c r="UR90" s="205">
        <f t="shared" si="909"/>
        <v>0</v>
      </c>
      <c r="US90" s="207"/>
      <c r="UT90" s="207"/>
      <c r="UU90" s="207"/>
      <c r="UV90" s="207"/>
      <c r="UW90" s="272"/>
      <c r="UX90" s="272"/>
      <c r="UY90" s="272"/>
      <c r="UZ90" s="205">
        <f t="shared" si="910"/>
        <v>0</v>
      </c>
      <c r="VA90" s="205">
        <f t="shared" si="911"/>
        <v>120</v>
      </c>
      <c r="VB90" s="207"/>
      <c r="VC90" s="207"/>
      <c r="VD90" s="207"/>
      <c r="VE90" s="207"/>
      <c r="VF90" s="207"/>
      <c r="VG90" s="272"/>
      <c r="VH90" s="272"/>
      <c r="VI90" s="205">
        <f t="shared" si="912"/>
        <v>0</v>
      </c>
      <c r="VJ90" s="207"/>
      <c r="VK90" s="207"/>
      <c r="VL90" s="201">
        <v>240</v>
      </c>
      <c r="VM90" s="207"/>
      <c r="VN90" s="207"/>
      <c r="VO90" s="272"/>
      <c r="VP90" s="272"/>
      <c r="VQ90" s="205">
        <f t="shared" si="913"/>
        <v>240</v>
      </c>
      <c r="VR90" s="207"/>
      <c r="VS90" s="207"/>
      <c r="VT90" s="207"/>
      <c r="VU90" s="207"/>
      <c r="VV90" s="207"/>
      <c r="VW90" s="272"/>
      <c r="VX90" s="272"/>
      <c r="VY90" s="205">
        <f t="shared" si="914"/>
        <v>0</v>
      </c>
      <c r="VZ90" s="207"/>
      <c r="WA90" s="207"/>
      <c r="WB90" s="207"/>
      <c r="WC90" s="207"/>
      <c r="WD90" s="207"/>
      <c r="WE90" s="272"/>
      <c r="WF90" s="272"/>
      <c r="WG90" s="205">
        <f t="shared" si="915"/>
        <v>0</v>
      </c>
      <c r="WH90" s="205">
        <f t="shared" si="916"/>
        <v>240</v>
      </c>
      <c r="WI90" s="207"/>
      <c r="WJ90" s="207"/>
      <c r="WK90" s="207"/>
      <c r="WL90" s="207"/>
      <c r="WM90" s="207"/>
      <c r="WN90" s="272"/>
      <c r="WO90" s="272"/>
      <c r="WP90" s="205">
        <f t="shared" si="917"/>
        <v>0</v>
      </c>
      <c r="WQ90" s="207"/>
      <c r="WR90" s="207"/>
      <c r="WS90" s="207"/>
      <c r="WT90" s="207"/>
      <c r="WU90" s="207"/>
      <c r="WV90" s="272"/>
      <c r="WW90" s="272"/>
      <c r="WX90" s="205">
        <f t="shared" si="918"/>
        <v>0</v>
      </c>
      <c r="WY90" s="207"/>
      <c r="WZ90" s="207"/>
      <c r="XA90" s="207"/>
      <c r="XB90" s="207"/>
      <c r="XC90" s="272"/>
      <c r="XD90" s="272"/>
      <c r="XE90" s="272"/>
      <c r="XF90" s="205">
        <f t="shared" si="919"/>
        <v>0</v>
      </c>
      <c r="XG90" s="207"/>
      <c r="XH90" s="207"/>
      <c r="XI90" s="207"/>
      <c r="XJ90" s="207"/>
      <c r="XK90" s="207"/>
      <c r="XL90" s="272"/>
      <c r="XM90" s="272"/>
      <c r="XN90" s="205">
        <f t="shared" si="920"/>
        <v>0</v>
      </c>
      <c r="XO90" s="207"/>
      <c r="XP90" s="207"/>
      <c r="XQ90" s="207"/>
      <c r="XR90" s="207"/>
      <c r="XS90" s="207"/>
      <c r="XT90" s="272"/>
      <c r="XU90" s="272"/>
      <c r="XV90" s="205">
        <f t="shared" si="921"/>
        <v>0</v>
      </c>
      <c r="XW90" s="205">
        <f t="shared" si="922"/>
        <v>0</v>
      </c>
      <c r="XX90" s="207"/>
      <c r="XY90" s="207"/>
      <c r="XZ90" s="207"/>
      <c r="YA90" s="207"/>
      <c r="YB90" s="207"/>
      <c r="YC90" s="272"/>
      <c r="YD90" s="272"/>
      <c r="YE90" s="205">
        <f t="shared" si="923"/>
        <v>0</v>
      </c>
      <c r="YF90" s="207"/>
      <c r="YG90" s="207"/>
      <c r="YH90" s="207"/>
      <c r="YI90" s="207"/>
      <c r="YJ90" s="207"/>
      <c r="YK90" s="272"/>
      <c r="YL90" s="272"/>
      <c r="YM90" s="205">
        <f t="shared" si="924"/>
        <v>0</v>
      </c>
      <c r="YN90" s="207"/>
      <c r="YO90" s="207"/>
      <c r="YP90" s="207"/>
      <c r="YQ90" s="207"/>
      <c r="YR90" s="207"/>
      <c r="YS90" s="272"/>
      <c r="YT90" s="272"/>
      <c r="YU90" s="205">
        <f t="shared" si="925"/>
        <v>0</v>
      </c>
      <c r="YV90" s="207"/>
      <c r="YW90" s="207"/>
      <c r="YX90" s="207"/>
      <c r="YY90" s="207"/>
      <c r="YZ90" s="207"/>
      <c r="ZA90" s="272"/>
      <c r="ZB90" s="272"/>
      <c r="ZC90" s="205">
        <f t="shared" si="926"/>
        <v>0</v>
      </c>
      <c r="ZD90" s="205">
        <f t="shared" si="927"/>
        <v>0</v>
      </c>
      <c r="ZE90" s="207"/>
      <c r="ZF90" s="207"/>
      <c r="ZG90" s="207"/>
      <c r="ZH90" s="207"/>
      <c r="ZI90" s="207"/>
      <c r="ZJ90" s="272"/>
      <c r="ZK90" s="272"/>
      <c r="ZL90" s="205">
        <f t="shared" si="928"/>
        <v>0</v>
      </c>
      <c r="ZM90" s="207"/>
      <c r="ZN90" s="207"/>
      <c r="ZO90" s="207"/>
      <c r="ZP90" s="207"/>
      <c r="ZQ90" s="207"/>
      <c r="ZR90" s="272"/>
      <c r="ZS90" s="272"/>
      <c r="ZT90" s="205">
        <f t="shared" si="929"/>
        <v>0</v>
      </c>
      <c r="ZU90" s="207"/>
      <c r="ZV90" s="207"/>
      <c r="ZW90" s="207"/>
      <c r="ZX90" s="207"/>
      <c r="ZY90" s="207"/>
      <c r="ZZ90" s="272"/>
      <c r="AAA90" s="272"/>
      <c r="AAB90" s="205">
        <f t="shared" si="930"/>
        <v>0</v>
      </c>
      <c r="AAC90" s="207"/>
      <c r="AAD90" s="207"/>
      <c r="AAE90" s="207"/>
      <c r="AAF90" s="207"/>
      <c r="AAG90" s="207"/>
      <c r="AAH90" s="272"/>
      <c r="AAI90" s="272"/>
      <c r="AAJ90" s="205">
        <f t="shared" si="931"/>
        <v>0</v>
      </c>
      <c r="AAK90" s="207"/>
      <c r="AAL90" s="207"/>
      <c r="AAM90" s="207"/>
      <c r="AAN90" s="207"/>
      <c r="AAO90" s="207"/>
      <c r="AAP90" s="272"/>
      <c r="AAQ90" s="272"/>
      <c r="AAR90" s="205">
        <f t="shared" si="932"/>
        <v>0</v>
      </c>
      <c r="AAS90" s="205">
        <f t="shared" si="933"/>
        <v>0</v>
      </c>
    </row>
    <row r="91" spans="1:721" ht="69.95" customHeight="1">
      <c r="B91" s="151">
        <v>3630101410</v>
      </c>
      <c r="C91" s="323" t="s">
        <v>741</v>
      </c>
      <c r="D91" s="152" t="s">
        <v>12</v>
      </c>
      <c r="E91" s="130" t="s">
        <v>4</v>
      </c>
      <c r="F91" s="120"/>
      <c r="G91" s="123">
        <v>800</v>
      </c>
      <c r="H91" s="120"/>
      <c r="I91" s="120"/>
      <c r="J91" s="120"/>
      <c r="K91" s="209"/>
      <c r="L91" s="205"/>
      <c r="M91" s="205">
        <f>SUM(F91:L91)</f>
        <v>800</v>
      </c>
      <c r="N91" s="120"/>
      <c r="O91" s="120"/>
      <c r="P91" s="120"/>
      <c r="Q91" s="120"/>
      <c r="R91" s="120"/>
      <c r="S91" s="209"/>
      <c r="T91" s="205"/>
      <c r="U91" s="205">
        <f>SUM(N91:T91)</f>
        <v>0</v>
      </c>
      <c r="V91" s="120"/>
      <c r="W91" s="120"/>
      <c r="X91" s="120"/>
      <c r="Y91" s="120"/>
      <c r="Z91" s="120"/>
      <c r="AA91" s="209"/>
      <c r="AB91" s="205"/>
      <c r="AC91" s="205">
        <f>SUM(V91:AB91)</f>
        <v>0</v>
      </c>
      <c r="AD91" s="205"/>
      <c r="AE91" s="205"/>
      <c r="AF91" s="205"/>
      <c r="AG91" s="205"/>
      <c r="AH91" s="205"/>
      <c r="AI91" s="209"/>
      <c r="AJ91" s="205"/>
      <c r="AK91" s="205">
        <f>SUM(AD91:AJ91)</f>
        <v>0</v>
      </c>
      <c r="AL91" s="205" t="e">
        <f>SUM(#REF!,M91,U91,AC91,AD91:AH91)</f>
        <v>#REF!</v>
      </c>
      <c r="AM91" s="120"/>
      <c r="AN91" s="120"/>
      <c r="AO91" s="120"/>
      <c r="AP91" s="120"/>
      <c r="AQ91" s="120"/>
      <c r="AR91" s="209"/>
      <c r="AS91" s="205"/>
      <c r="AT91" s="205">
        <f>SUM(AM91:AS91)</f>
        <v>0</v>
      </c>
      <c r="AU91" s="201">
        <v>430</v>
      </c>
      <c r="AV91" s="120"/>
      <c r="AW91" s="120"/>
      <c r="AX91" s="120"/>
      <c r="AY91" s="120"/>
      <c r="AZ91" s="209"/>
      <c r="BA91" s="205"/>
      <c r="BB91" s="205">
        <f>SUM(AU91:BA91)</f>
        <v>430</v>
      </c>
      <c r="BC91" s="120"/>
      <c r="BD91" s="120"/>
      <c r="BE91" s="120"/>
      <c r="BF91" s="120"/>
      <c r="BG91" s="120"/>
      <c r="BH91" s="209"/>
      <c r="BI91" s="205"/>
      <c r="BJ91" s="205">
        <f>SUM(BC91:BI91)</f>
        <v>0</v>
      </c>
      <c r="BK91" s="120"/>
      <c r="BL91" s="120"/>
      <c r="BM91" s="120"/>
      <c r="BN91" s="120"/>
      <c r="BO91" s="205"/>
      <c r="BP91" s="209"/>
      <c r="BQ91" s="205"/>
      <c r="BR91" s="205">
        <f>SUM(BK91:BQ91)</f>
        <v>0</v>
      </c>
      <c r="BS91" s="205">
        <f t="shared" si="832"/>
        <v>430</v>
      </c>
      <c r="BT91" s="120"/>
      <c r="BU91" s="120"/>
      <c r="BV91" s="120"/>
      <c r="BW91" s="217">
        <v>500</v>
      </c>
      <c r="BX91" s="120"/>
      <c r="BY91" s="209"/>
      <c r="BZ91" s="205"/>
      <c r="CA91" s="205">
        <f>SUM(BT91:BZ91)</f>
        <v>500</v>
      </c>
      <c r="CB91" s="120"/>
      <c r="CC91" s="120"/>
      <c r="CD91" s="120"/>
      <c r="CE91" s="120"/>
      <c r="CF91" s="120"/>
      <c r="CG91" s="209"/>
      <c r="CH91" s="205"/>
      <c r="CI91" s="205">
        <f>SUM(CB91:CH91)</f>
        <v>0</v>
      </c>
      <c r="CJ91" s="120"/>
      <c r="CK91" s="120"/>
      <c r="CL91" s="120"/>
      <c r="CM91" s="120"/>
      <c r="CN91" s="120"/>
      <c r="CO91" s="209"/>
      <c r="CP91" s="205"/>
      <c r="CQ91" s="205">
        <f>SUM(CJ91:CP91)</f>
        <v>0</v>
      </c>
      <c r="CR91" s="120"/>
      <c r="CS91" s="120"/>
      <c r="CT91" s="120"/>
      <c r="CU91" s="120"/>
      <c r="CV91" s="120"/>
      <c r="CW91" s="209"/>
      <c r="CX91" s="205"/>
      <c r="CY91" s="205">
        <f>SUM(CR91:CX91)</f>
        <v>0</v>
      </c>
      <c r="CZ91" s="120"/>
      <c r="DA91" s="120"/>
      <c r="DB91" s="120"/>
      <c r="DC91" s="205"/>
      <c r="DD91" s="205"/>
      <c r="DE91" s="209"/>
      <c r="DF91" s="205"/>
      <c r="DG91" s="205">
        <f>SUM(CZ91:DF91)</f>
        <v>0</v>
      </c>
      <c r="DH91" s="205">
        <f t="shared" si="838"/>
        <v>500</v>
      </c>
      <c r="DI91" s="120"/>
      <c r="DJ91" s="120"/>
      <c r="DK91" s="207"/>
      <c r="DL91" s="120"/>
      <c r="DM91" s="120"/>
      <c r="DN91" s="209"/>
      <c r="DO91" s="205"/>
      <c r="DP91" s="205">
        <f t="shared" si="839"/>
        <v>0</v>
      </c>
      <c r="DQ91" s="120"/>
      <c r="DR91" s="120"/>
      <c r="DS91" s="120"/>
      <c r="DT91" s="120"/>
      <c r="DU91" s="120"/>
      <c r="DV91" s="209"/>
      <c r="DW91" s="205"/>
      <c r="DX91" s="205">
        <f t="shared" si="840"/>
        <v>0</v>
      </c>
      <c r="DY91" s="120"/>
      <c r="DZ91" s="120"/>
      <c r="EA91" s="120"/>
      <c r="EB91" s="120"/>
      <c r="EC91" s="120"/>
      <c r="ED91" s="209"/>
      <c r="EE91" s="205"/>
      <c r="EF91" s="205">
        <f t="shared" si="841"/>
        <v>0</v>
      </c>
      <c r="EG91" s="120"/>
      <c r="EH91" s="120"/>
      <c r="EI91" s="120"/>
      <c r="EJ91" s="205"/>
      <c r="EK91" s="205"/>
      <c r="EL91" s="209"/>
      <c r="EM91" s="205"/>
      <c r="EN91" s="205">
        <f t="shared" si="842"/>
        <v>0</v>
      </c>
      <c r="EO91" s="205">
        <f t="shared" si="843"/>
        <v>0</v>
      </c>
      <c r="EP91" s="250">
        <v>800</v>
      </c>
      <c r="EQ91" s="120"/>
      <c r="ER91" s="120"/>
      <c r="ES91" s="120"/>
      <c r="ET91" s="120"/>
      <c r="EU91" s="209"/>
      <c r="EV91" s="205"/>
      <c r="EW91" s="205">
        <f t="shared" si="844"/>
        <v>800</v>
      </c>
      <c r="EX91" s="120"/>
      <c r="EY91" s="120"/>
      <c r="EZ91" s="120"/>
      <c r="FA91" s="120"/>
      <c r="FB91" s="120"/>
      <c r="FC91" s="209"/>
      <c r="FD91" s="205"/>
      <c r="FE91" s="205">
        <f t="shared" si="845"/>
        <v>0</v>
      </c>
      <c r="FF91" s="120"/>
      <c r="FG91" s="120"/>
      <c r="FH91" s="120"/>
      <c r="FI91" s="120"/>
      <c r="FJ91" s="120"/>
      <c r="FK91" s="209"/>
      <c r="FL91" s="205"/>
      <c r="FM91" s="205">
        <f t="shared" si="846"/>
        <v>0</v>
      </c>
      <c r="FN91" s="120"/>
      <c r="FO91" s="120"/>
      <c r="FP91" s="120"/>
      <c r="FQ91" s="120"/>
      <c r="FR91" s="205"/>
      <c r="FS91" s="209"/>
      <c r="FT91" s="205"/>
      <c r="FU91" s="205">
        <f t="shared" si="847"/>
        <v>0</v>
      </c>
      <c r="FV91" s="205">
        <f t="shared" si="848"/>
        <v>800</v>
      </c>
      <c r="FW91" s="120"/>
      <c r="FX91" s="120"/>
      <c r="FY91" s="120"/>
      <c r="FZ91" s="120"/>
      <c r="GA91" s="120"/>
      <c r="GB91" s="209"/>
      <c r="GC91" s="205"/>
      <c r="GD91" s="205">
        <f t="shared" si="849"/>
        <v>0</v>
      </c>
      <c r="GE91" s="120"/>
      <c r="GF91" s="120"/>
      <c r="GG91" s="120"/>
      <c r="GH91" s="120"/>
      <c r="GI91" s="120"/>
      <c r="GJ91" s="209"/>
      <c r="GK91" s="205"/>
      <c r="GL91" s="205">
        <f t="shared" si="850"/>
        <v>0</v>
      </c>
      <c r="GM91" s="120"/>
      <c r="GN91" s="120"/>
      <c r="GO91" s="120"/>
      <c r="GP91" s="261"/>
      <c r="GQ91" s="120"/>
      <c r="GR91" s="209"/>
      <c r="GS91" s="205"/>
      <c r="GT91" s="205">
        <f t="shared" si="851"/>
        <v>0</v>
      </c>
      <c r="GU91" s="120"/>
      <c r="GV91" s="120"/>
      <c r="GW91" s="120"/>
      <c r="GX91" s="120"/>
      <c r="GY91" s="120"/>
      <c r="GZ91" s="209"/>
      <c r="HA91" s="205"/>
      <c r="HB91" s="205">
        <f t="shared" si="852"/>
        <v>0</v>
      </c>
      <c r="HC91" s="120"/>
      <c r="HD91" s="120"/>
      <c r="HE91" s="120"/>
      <c r="HF91" s="120"/>
      <c r="HG91" s="120"/>
      <c r="HH91" s="209"/>
      <c r="HI91" s="205"/>
      <c r="HJ91" s="205">
        <f t="shared" si="853"/>
        <v>0</v>
      </c>
      <c r="HK91" s="205">
        <f t="shared" si="854"/>
        <v>0</v>
      </c>
      <c r="HL91" s="124"/>
      <c r="HM91" s="120"/>
      <c r="HN91" s="120"/>
      <c r="HO91" s="120"/>
      <c r="HP91" s="120"/>
      <c r="HQ91" s="205"/>
      <c r="HR91" s="205"/>
      <c r="HS91" s="205">
        <f t="shared" si="934"/>
        <v>0</v>
      </c>
      <c r="HT91" s="195">
        <v>1000</v>
      </c>
      <c r="HU91" s="120"/>
      <c r="HV91" s="120"/>
      <c r="HW91" s="120"/>
      <c r="HX91" s="120"/>
      <c r="HY91" s="205"/>
      <c r="HZ91" s="205"/>
      <c r="IA91" s="205">
        <f t="shared" si="935"/>
        <v>1000</v>
      </c>
      <c r="IB91" s="120"/>
      <c r="IC91" s="120"/>
      <c r="ID91" s="120"/>
      <c r="IE91" s="120"/>
      <c r="IF91" s="120"/>
      <c r="IG91" s="205"/>
      <c r="IH91" s="205"/>
      <c r="II91" s="205">
        <f t="shared" si="936"/>
        <v>0</v>
      </c>
      <c r="IJ91" s="120"/>
      <c r="IK91" s="120"/>
      <c r="IL91" s="120"/>
      <c r="IM91" s="120"/>
      <c r="IN91" s="120"/>
      <c r="IO91" s="205"/>
      <c r="IP91" s="205"/>
      <c r="IQ91" s="205">
        <f t="shared" si="937"/>
        <v>0</v>
      </c>
      <c r="IR91" s="205">
        <f t="shared" si="938"/>
        <v>1000</v>
      </c>
      <c r="IS91" s="120"/>
      <c r="IT91" s="120"/>
      <c r="IU91" s="120"/>
      <c r="IV91" s="120"/>
      <c r="IW91" s="120"/>
      <c r="IX91" s="205"/>
      <c r="IY91" s="205"/>
      <c r="IZ91" s="205">
        <f t="shared" si="939"/>
        <v>0</v>
      </c>
      <c r="JA91" s="120"/>
      <c r="JB91" s="120"/>
      <c r="JC91" s="120"/>
      <c r="JD91" s="120"/>
      <c r="JE91" s="120"/>
      <c r="JF91" s="205"/>
      <c r="JG91" s="205"/>
      <c r="JH91" s="205">
        <f t="shared" si="940"/>
        <v>0</v>
      </c>
      <c r="JI91" s="120"/>
      <c r="JJ91" s="120"/>
      <c r="JK91" s="120"/>
      <c r="JL91" s="120"/>
      <c r="JM91" s="120"/>
      <c r="JN91" s="205"/>
      <c r="JO91" s="205"/>
      <c r="JP91" s="205">
        <f t="shared" si="941"/>
        <v>0</v>
      </c>
      <c r="JQ91" s="120"/>
      <c r="JR91" s="120"/>
      <c r="JS91" s="120"/>
      <c r="JT91" s="120"/>
      <c r="JU91" s="120"/>
      <c r="JV91" s="205"/>
      <c r="JW91" s="205"/>
      <c r="JX91" s="205">
        <f t="shared" si="942"/>
        <v>0</v>
      </c>
      <c r="JY91" s="205">
        <f t="shared" si="943"/>
        <v>0</v>
      </c>
      <c r="JZ91" s="120"/>
      <c r="KA91" s="120"/>
      <c r="KB91" s="120"/>
      <c r="KC91" s="120"/>
      <c r="KD91" s="120"/>
      <c r="KE91" s="205"/>
      <c r="KF91" s="205"/>
      <c r="KG91" s="205">
        <f t="shared" si="944"/>
        <v>0</v>
      </c>
      <c r="KH91" s="120"/>
      <c r="KI91" s="120"/>
      <c r="KJ91" s="120"/>
      <c r="KK91" s="120"/>
      <c r="KL91" s="120"/>
      <c r="KM91" s="205"/>
      <c r="KN91" s="205"/>
      <c r="KO91" s="205">
        <f t="shared" si="945"/>
        <v>0</v>
      </c>
      <c r="KP91" s="120"/>
      <c r="KQ91" s="201">
        <v>800</v>
      </c>
      <c r="KR91" s="120"/>
      <c r="KS91" s="120"/>
      <c r="KT91" s="120"/>
      <c r="KU91" s="205"/>
      <c r="KV91" s="205"/>
      <c r="KW91" s="205">
        <f t="shared" si="946"/>
        <v>800</v>
      </c>
      <c r="KX91" s="120"/>
      <c r="KY91" s="120"/>
      <c r="KZ91" s="120"/>
      <c r="LA91" s="120"/>
      <c r="LB91" s="120"/>
      <c r="LC91" s="205"/>
      <c r="LD91" s="205"/>
      <c r="LE91" s="205">
        <f t="shared" si="947"/>
        <v>0</v>
      </c>
      <c r="LF91" s="205"/>
      <c r="LG91" s="120"/>
      <c r="LH91" s="120"/>
      <c r="LI91" s="120"/>
      <c r="LJ91" s="120"/>
      <c r="LK91" s="205"/>
      <c r="LL91" s="205"/>
      <c r="LM91" s="205">
        <f t="shared" si="948"/>
        <v>0</v>
      </c>
      <c r="LN91" s="205">
        <f t="shared" si="949"/>
        <v>800</v>
      </c>
      <c r="LO91" s="205"/>
      <c r="LP91" s="120"/>
      <c r="LQ91" s="120"/>
      <c r="LR91" s="120"/>
      <c r="LS91" s="205"/>
      <c r="LT91" s="205"/>
      <c r="LU91" s="205"/>
      <c r="LV91" s="205">
        <f t="shared" si="950"/>
        <v>0</v>
      </c>
      <c r="LW91" s="120"/>
      <c r="LX91" s="120"/>
      <c r="LY91" s="120"/>
      <c r="LZ91" s="120"/>
      <c r="MA91" s="120"/>
      <c r="MB91" s="205"/>
      <c r="MC91" s="205"/>
      <c r="MD91" s="205">
        <f t="shared" si="951"/>
        <v>0</v>
      </c>
      <c r="ME91" s="120"/>
      <c r="MF91" s="120"/>
      <c r="MG91" s="120"/>
      <c r="MH91" s="120"/>
      <c r="MI91" s="205"/>
      <c r="MJ91" s="205"/>
      <c r="MK91" s="205"/>
      <c r="ML91" s="205">
        <f t="shared" si="952"/>
        <v>0</v>
      </c>
      <c r="MM91" s="120"/>
      <c r="MN91" s="120"/>
      <c r="MO91" s="120"/>
      <c r="MP91" s="120"/>
      <c r="MQ91" s="120"/>
      <c r="MR91" s="205"/>
      <c r="MS91" s="205"/>
      <c r="MT91" s="205">
        <f t="shared" si="953"/>
        <v>0</v>
      </c>
      <c r="MU91" s="205">
        <f t="shared" si="954"/>
        <v>0</v>
      </c>
      <c r="MV91" s="124">
        <v>228</v>
      </c>
      <c r="MW91" s="120"/>
      <c r="MX91" s="120"/>
      <c r="MY91" s="120"/>
      <c r="MZ91" s="120"/>
      <c r="NA91" s="205"/>
      <c r="NB91" s="205"/>
      <c r="NC91" s="205">
        <f t="shared" si="880"/>
        <v>228</v>
      </c>
      <c r="ND91" s="120"/>
      <c r="NE91" s="120"/>
      <c r="NF91" s="120"/>
      <c r="NG91" s="120"/>
      <c r="NH91" s="120"/>
      <c r="NI91" s="205"/>
      <c r="NJ91" s="205"/>
      <c r="NK91" s="205">
        <f t="shared" si="881"/>
        <v>0</v>
      </c>
      <c r="NL91" s="120"/>
      <c r="NM91" s="120"/>
      <c r="NN91" s="120"/>
      <c r="NO91" s="120"/>
      <c r="NP91" s="120"/>
      <c r="NQ91" s="205"/>
      <c r="NR91" s="205"/>
      <c r="NS91" s="205">
        <f t="shared" si="882"/>
        <v>0</v>
      </c>
      <c r="NT91" s="120"/>
      <c r="NU91" s="120"/>
      <c r="NV91" s="120"/>
      <c r="NW91" s="120"/>
      <c r="NX91" s="120"/>
      <c r="NY91" s="205"/>
      <c r="NZ91" s="205"/>
      <c r="OA91" s="205">
        <f t="shared" si="883"/>
        <v>0</v>
      </c>
      <c r="OB91" s="205">
        <f t="shared" si="884"/>
        <v>228</v>
      </c>
      <c r="OC91" s="120"/>
      <c r="OD91" s="120"/>
      <c r="OE91" s="120"/>
      <c r="OF91" s="120"/>
      <c r="OG91" s="120"/>
      <c r="OH91" s="205"/>
      <c r="OI91" s="205"/>
      <c r="OJ91" s="205">
        <f t="shared" si="885"/>
        <v>0</v>
      </c>
      <c r="OK91" s="120"/>
      <c r="OL91" s="120"/>
      <c r="OM91" s="120"/>
      <c r="ON91" s="120"/>
      <c r="OO91" s="120"/>
      <c r="OP91" s="205"/>
      <c r="OQ91" s="205"/>
      <c r="OR91" s="205">
        <f t="shared" si="886"/>
        <v>0</v>
      </c>
      <c r="OS91" s="120"/>
      <c r="OT91" s="120"/>
      <c r="OU91" s="120"/>
      <c r="OV91" s="120"/>
      <c r="OW91" s="120"/>
      <c r="OX91" s="205"/>
      <c r="OY91" s="205"/>
      <c r="OZ91" s="205">
        <f t="shared" si="887"/>
        <v>0</v>
      </c>
      <c r="PA91" s="120"/>
      <c r="PB91" s="120"/>
      <c r="PC91" s="201">
        <v>380</v>
      </c>
      <c r="PD91" s="205"/>
      <c r="PE91" s="217"/>
      <c r="PF91" s="205"/>
      <c r="PG91" s="205"/>
      <c r="PH91" s="205">
        <f t="shared" si="888"/>
        <v>380</v>
      </c>
      <c r="PI91" s="120"/>
      <c r="PJ91" s="120"/>
      <c r="PK91" s="120"/>
      <c r="PL91" s="205"/>
      <c r="PM91" s="217"/>
      <c r="PN91" s="205"/>
      <c r="PO91" s="205"/>
      <c r="PP91" s="205">
        <f t="shared" si="889"/>
        <v>0</v>
      </c>
      <c r="PQ91" s="205">
        <f t="shared" si="890"/>
        <v>380</v>
      </c>
      <c r="PR91" s="207"/>
      <c r="PS91" s="207"/>
      <c r="PT91" s="207"/>
      <c r="PU91" s="207"/>
      <c r="PV91" s="124">
        <v>440</v>
      </c>
      <c r="PW91" s="272"/>
      <c r="PX91" s="272"/>
      <c r="PY91" s="205">
        <f t="shared" si="891"/>
        <v>440</v>
      </c>
      <c r="PZ91" s="207"/>
      <c r="QA91" s="207"/>
      <c r="QB91" s="207"/>
      <c r="QC91" s="207"/>
      <c r="QD91" s="207"/>
      <c r="QE91" s="272"/>
      <c r="QF91" s="272"/>
      <c r="QG91" s="205">
        <f t="shared" si="892"/>
        <v>0</v>
      </c>
      <c r="QH91" s="207"/>
      <c r="QI91" s="207"/>
      <c r="QJ91" s="294"/>
      <c r="QK91" s="207"/>
      <c r="QL91" s="207"/>
      <c r="QM91" s="272"/>
      <c r="QN91" s="272"/>
      <c r="QO91" s="205">
        <f t="shared" si="893"/>
        <v>0</v>
      </c>
      <c r="QP91" s="207"/>
      <c r="QQ91" s="207"/>
      <c r="QR91" s="207"/>
      <c r="QS91" s="207"/>
      <c r="QT91" s="207"/>
      <c r="QU91" s="272"/>
      <c r="QV91" s="272"/>
      <c r="QW91" s="205">
        <f t="shared" si="894"/>
        <v>0</v>
      </c>
      <c r="QX91" s="205">
        <f t="shared" si="895"/>
        <v>440</v>
      </c>
      <c r="QY91" s="207"/>
      <c r="QZ91" s="207"/>
      <c r="RA91" s="207"/>
      <c r="RB91" s="207"/>
      <c r="RC91" s="207"/>
      <c r="RD91" s="272"/>
      <c r="RE91" s="272"/>
      <c r="RF91" s="205">
        <f t="shared" si="896"/>
        <v>0</v>
      </c>
      <c r="RG91" s="207"/>
      <c r="RH91" s="207"/>
      <c r="RI91" s="207"/>
      <c r="RJ91" s="207"/>
      <c r="RK91" s="207"/>
      <c r="RL91" s="272"/>
      <c r="RM91" s="272"/>
      <c r="RN91" s="205">
        <f t="shared" si="897"/>
        <v>0</v>
      </c>
      <c r="RO91" s="272"/>
      <c r="RP91" s="272"/>
      <c r="RQ91" s="272"/>
      <c r="RR91" s="272"/>
      <c r="RS91" s="272"/>
      <c r="RT91" s="272"/>
      <c r="RU91" s="272"/>
      <c r="RV91" s="205">
        <f t="shared" si="898"/>
        <v>0</v>
      </c>
      <c r="RW91" s="207"/>
      <c r="RX91" s="207"/>
      <c r="RY91" s="207"/>
      <c r="RZ91" s="195">
        <v>880</v>
      </c>
      <c r="SA91" s="272"/>
      <c r="SB91" s="272"/>
      <c r="SC91" s="272"/>
      <c r="SD91" s="205">
        <f t="shared" si="899"/>
        <v>880</v>
      </c>
      <c r="SE91" s="205">
        <f t="shared" si="900"/>
        <v>880</v>
      </c>
      <c r="SF91" s="207"/>
      <c r="SG91" s="207"/>
      <c r="SH91" s="207"/>
      <c r="SI91" s="207"/>
      <c r="SJ91" s="207"/>
      <c r="SK91" s="272"/>
      <c r="SL91" s="272"/>
      <c r="SM91" s="205">
        <f t="shared" si="901"/>
        <v>0</v>
      </c>
      <c r="SN91" s="207"/>
      <c r="SO91" s="207"/>
      <c r="SP91" s="207"/>
      <c r="SQ91" s="207"/>
      <c r="SR91" s="207"/>
      <c r="SS91" s="272"/>
      <c r="ST91" s="272"/>
      <c r="SU91" s="205">
        <f t="shared" si="902"/>
        <v>0</v>
      </c>
      <c r="SV91" s="207"/>
      <c r="SW91" s="207"/>
      <c r="SX91" s="207"/>
      <c r="SY91" s="207"/>
      <c r="SZ91" s="207"/>
      <c r="TA91" s="272"/>
      <c r="TB91" s="272"/>
      <c r="TC91" s="205">
        <f t="shared" si="903"/>
        <v>0</v>
      </c>
      <c r="TD91" s="207"/>
      <c r="TE91" s="207"/>
      <c r="TF91" s="207"/>
      <c r="TG91" s="207"/>
      <c r="TH91" s="207"/>
      <c r="TI91" s="272"/>
      <c r="TJ91" s="272"/>
      <c r="TK91" s="205">
        <f t="shared" si="904"/>
        <v>0</v>
      </c>
      <c r="TL91" s="207"/>
      <c r="TM91" s="207"/>
      <c r="TN91" s="207"/>
      <c r="TO91" s="207"/>
      <c r="TP91" s="272"/>
      <c r="TQ91" s="272"/>
      <c r="TR91" s="272"/>
      <c r="TS91" s="205">
        <f t="shared" si="905"/>
        <v>0</v>
      </c>
      <c r="TT91" s="205">
        <f t="shared" si="906"/>
        <v>0</v>
      </c>
      <c r="TU91" s="272"/>
      <c r="TV91" s="207"/>
      <c r="TW91" s="207"/>
      <c r="TX91" s="207"/>
      <c r="TY91" s="195">
        <v>200</v>
      </c>
      <c r="TZ91" s="272"/>
      <c r="UA91" s="272"/>
      <c r="UB91" s="205">
        <f t="shared" si="907"/>
        <v>200</v>
      </c>
      <c r="UC91" s="207"/>
      <c r="UD91" s="207"/>
      <c r="UE91" s="207"/>
      <c r="UF91" s="207"/>
      <c r="UG91" s="207"/>
      <c r="UH91" s="272"/>
      <c r="UI91" s="272"/>
      <c r="UJ91" s="205">
        <f t="shared" si="908"/>
        <v>0</v>
      </c>
      <c r="UK91" s="207"/>
      <c r="UL91" s="207"/>
      <c r="UM91" s="207"/>
      <c r="UN91" s="207"/>
      <c r="UO91" s="207"/>
      <c r="UP91" s="272"/>
      <c r="UQ91" s="272"/>
      <c r="UR91" s="205">
        <f t="shared" si="909"/>
        <v>0</v>
      </c>
      <c r="US91" s="207"/>
      <c r="UT91" s="207"/>
      <c r="UU91" s="207"/>
      <c r="UV91" s="207"/>
      <c r="UW91" s="272"/>
      <c r="UX91" s="272"/>
      <c r="UY91" s="272"/>
      <c r="UZ91" s="205">
        <f t="shared" si="910"/>
        <v>0</v>
      </c>
      <c r="VA91" s="205">
        <f t="shared" si="911"/>
        <v>200</v>
      </c>
      <c r="VB91" s="207"/>
      <c r="VC91" s="207"/>
      <c r="VD91" s="207"/>
      <c r="VE91" s="207"/>
      <c r="VF91" s="207"/>
      <c r="VG91" s="272"/>
      <c r="VH91" s="272"/>
      <c r="VI91" s="205">
        <f t="shared" si="912"/>
        <v>0</v>
      </c>
      <c r="VJ91" s="207"/>
      <c r="VK91" s="207"/>
      <c r="VL91" s="207"/>
      <c r="VM91" s="207"/>
      <c r="VN91" s="207"/>
      <c r="VO91" s="272"/>
      <c r="VP91" s="272"/>
      <c r="VQ91" s="205">
        <f t="shared" si="913"/>
        <v>0</v>
      </c>
      <c r="VR91" s="207"/>
      <c r="VS91" s="207"/>
      <c r="VT91" s="195">
        <v>60</v>
      </c>
      <c r="VU91" s="207"/>
      <c r="VV91" s="207"/>
      <c r="VW91" s="272"/>
      <c r="VX91" s="272"/>
      <c r="VY91" s="205">
        <f t="shared" si="914"/>
        <v>60</v>
      </c>
      <c r="VZ91" s="207"/>
      <c r="WA91" s="207"/>
      <c r="WB91" s="207"/>
      <c r="WC91" s="207"/>
      <c r="WD91" s="207"/>
      <c r="WE91" s="272"/>
      <c r="WF91" s="272"/>
      <c r="WG91" s="205">
        <f t="shared" si="915"/>
        <v>0</v>
      </c>
      <c r="WH91" s="205">
        <f t="shared" si="916"/>
        <v>60</v>
      </c>
      <c r="WI91" s="207"/>
      <c r="WJ91" s="207"/>
      <c r="WK91" s="207"/>
      <c r="WL91" s="207"/>
      <c r="WM91" s="207"/>
      <c r="WN91" s="272"/>
      <c r="WO91" s="272"/>
      <c r="WP91" s="205">
        <f t="shared" si="917"/>
        <v>0</v>
      </c>
      <c r="WQ91" s="207"/>
      <c r="WR91" s="207"/>
      <c r="WS91" s="207"/>
      <c r="WT91" s="207"/>
      <c r="WU91" s="207"/>
      <c r="WV91" s="272"/>
      <c r="WW91" s="272"/>
      <c r="WX91" s="205">
        <f t="shared" si="918"/>
        <v>0</v>
      </c>
      <c r="WY91" s="207"/>
      <c r="WZ91" s="207"/>
      <c r="XA91" s="207"/>
      <c r="XB91" s="207"/>
      <c r="XC91" s="272"/>
      <c r="XD91" s="272"/>
      <c r="XE91" s="272"/>
      <c r="XF91" s="205">
        <f t="shared" si="919"/>
        <v>0</v>
      </c>
      <c r="XG91" s="207"/>
      <c r="XH91" s="207"/>
      <c r="XI91" s="207"/>
      <c r="XJ91" s="207"/>
      <c r="XK91" s="207"/>
      <c r="XL91" s="272"/>
      <c r="XM91" s="272"/>
      <c r="XN91" s="205">
        <f t="shared" si="920"/>
        <v>0</v>
      </c>
      <c r="XO91" s="207"/>
      <c r="XP91" s="207"/>
      <c r="XQ91" s="207"/>
      <c r="XR91" s="207"/>
      <c r="XS91" s="207"/>
      <c r="XT91" s="272"/>
      <c r="XU91" s="272"/>
      <c r="XV91" s="205">
        <f t="shared" si="921"/>
        <v>0</v>
      </c>
      <c r="XW91" s="205">
        <f t="shared" si="922"/>
        <v>0</v>
      </c>
      <c r="XX91" s="207"/>
      <c r="XY91" s="207"/>
      <c r="XZ91" s="207"/>
      <c r="YA91" s="207"/>
      <c r="YB91" s="207"/>
      <c r="YC91" s="272"/>
      <c r="YD91" s="272"/>
      <c r="YE91" s="205">
        <f t="shared" si="923"/>
        <v>0</v>
      </c>
      <c r="YF91" s="207"/>
      <c r="YG91" s="207"/>
      <c r="YH91" s="207"/>
      <c r="YI91" s="207"/>
      <c r="YJ91" s="207"/>
      <c r="YK91" s="272"/>
      <c r="YL91" s="272"/>
      <c r="YM91" s="205">
        <f t="shared" si="924"/>
        <v>0</v>
      </c>
      <c r="YN91" s="207"/>
      <c r="YO91" s="207"/>
      <c r="YP91" s="207"/>
      <c r="YQ91" s="207"/>
      <c r="YR91" s="207"/>
      <c r="YS91" s="272"/>
      <c r="YT91" s="272"/>
      <c r="YU91" s="205">
        <f t="shared" si="925"/>
        <v>0</v>
      </c>
      <c r="YV91" s="207"/>
      <c r="YW91" s="207"/>
      <c r="YX91" s="207"/>
      <c r="YY91" s="207"/>
      <c r="YZ91" s="207"/>
      <c r="ZA91" s="272"/>
      <c r="ZB91" s="272"/>
      <c r="ZC91" s="205">
        <f t="shared" si="926"/>
        <v>0</v>
      </c>
      <c r="ZD91" s="205">
        <f t="shared" si="927"/>
        <v>0</v>
      </c>
      <c r="ZE91" s="207"/>
      <c r="ZF91" s="207"/>
      <c r="ZG91" s="207"/>
      <c r="ZH91" s="207"/>
      <c r="ZI91" s="207"/>
      <c r="ZJ91" s="272"/>
      <c r="ZK91" s="272"/>
      <c r="ZL91" s="205">
        <f t="shared" si="928"/>
        <v>0</v>
      </c>
      <c r="ZM91" s="207"/>
      <c r="ZN91" s="207"/>
      <c r="ZO91" s="207"/>
      <c r="ZP91" s="207"/>
      <c r="ZQ91" s="207"/>
      <c r="ZR91" s="272"/>
      <c r="ZS91" s="272"/>
      <c r="ZT91" s="205">
        <f t="shared" si="929"/>
        <v>0</v>
      </c>
      <c r="ZU91" s="207"/>
      <c r="ZV91" s="207"/>
      <c r="ZW91" s="207"/>
      <c r="ZX91" s="207"/>
      <c r="ZY91" s="207"/>
      <c r="ZZ91" s="272"/>
      <c r="AAA91" s="272"/>
      <c r="AAB91" s="205">
        <f t="shared" si="930"/>
        <v>0</v>
      </c>
      <c r="AAC91" s="207"/>
      <c r="AAD91" s="207"/>
      <c r="AAE91" s="207"/>
      <c r="AAF91" s="207"/>
      <c r="AAG91" s="207"/>
      <c r="AAH91" s="272"/>
      <c r="AAI91" s="272"/>
      <c r="AAJ91" s="205">
        <f t="shared" si="931"/>
        <v>0</v>
      </c>
      <c r="AAK91" s="207"/>
      <c r="AAL91" s="207"/>
      <c r="AAM91" s="207"/>
      <c r="AAN91" s="207"/>
      <c r="AAO91" s="207"/>
      <c r="AAP91" s="272"/>
      <c r="AAQ91" s="272"/>
      <c r="AAR91" s="205">
        <f t="shared" si="932"/>
        <v>0</v>
      </c>
      <c r="AAS91" s="205">
        <f t="shared" si="933"/>
        <v>0</v>
      </c>
    </row>
    <row r="92" spans="1:721" ht="69.95" customHeight="1">
      <c r="B92" s="151">
        <v>3630101466</v>
      </c>
      <c r="C92" s="323" t="s">
        <v>741</v>
      </c>
      <c r="D92" s="152" t="s">
        <v>789</v>
      </c>
      <c r="E92" s="130" t="s">
        <v>4</v>
      </c>
      <c r="F92" s="120"/>
      <c r="G92" s="120"/>
      <c r="H92" s="120"/>
      <c r="I92" s="120"/>
      <c r="J92" s="120"/>
      <c r="K92" s="209"/>
      <c r="L92" s="205"/>
      <c r="M92" s="205">
        <f t="shared" ref="M92" si="1017">SUM(F92:L92)</f>
        <v>0</v>
      </c>
      <c r="N92" s="120"/>
      <c r="O92" s="120"/>
      <c r="P92" s="120"/>
      <c r="Q92" s="120"/>
      <c r="R92" s="120"/>
      <c r="S92" s="209"/>
      <c r="T92" s="205"/>
      <c r="U92" s="205">
        <f t="shared" ref="U92" si="1018">SUM(N92:T92)</f>
        <v>0</v>
      </c>
      <c r="V92" s="120"/>
      <c r="W92" s="120"/>
      <c r="X92" s="120"/>
      <c r="Y92" s="120"/>
      <c r="Z92" s="120"/>
      <c r="AA92" s="209"/>
      <c r="AB92" s="205"/>
      <c r="AC92" s="205">
        <f t="shared" ref="AC92" si="1019">SUM(V92:AB92)</f>
        <v>0</v>
      </c>
      <c r="AD92" s="205"/>
      <c r="AE92" s="205"/>
      <c r="AF92" s="205"/>
      <c r="AG92" s="205"/>
      <c r="AH92" s="205"/>
      <c r="AI92" s="209"/>
      <c r="AJ92" s="205"/>
      <c r="AK92" s="205">
        <f t="shared" ref="AK92" si="1020">SUM(AD92:AJ92)</f>
        <v>0</v>
      </c>
      <c r="AL92" s="205" t="e">
        <f>SUM(#REF!,M92,U92,AC92,AD92:AH92)</f>
        <v>#REF!</v>
      </c>
      <c r="AM92" s="120"/>
      <c r="AN92" s="120"/>
      <c r="AO92" s="120"/>
      <c r="AP92" s="120"/>
      <c r="AQ92" s="120"/>
      <c r="AR92" s="209"/>
      <c r="AS92" s="205"/>
      <c r="AT92" s="205">
        <f t="shared" ref="AT92" si="1021">SUM(AM92:AS92)</f>
        <v>0</v>
      </c>
      <c r="AU92" s="120"/>
      <c r="AV92" s="120"/>
      <c r="AW92" s="120"/>
      <c r="AX92" s="120"/>
      <c r="AY92" s="120"/>
      <c r="AZ92" s="209"/>
      <c r="BA92" s="205"/>
      <c r="BB92" s="205">
        <f t="shared" ref="BB92" si="1022">SUM(AU92:BA92)</f>
        <v>0</v>
      </c>
      <c r="BC92" s="120"/>
      <c r="BD92" s="120"/>
      <c r="BE92" s="120"/>
      <c r="BF92" s="120"/>
      <c r="BG92" s="120"/>
      <c r="BH92" s="209"/>
      <c r="BI92" s="205"/>
      <c r="BJ92" s="205">
        <f t="shared" ref="BJ92" si="1023">SUM(BC92:BI92)</f>
        <v>0</v>
      </c>
      <c r="BK92" s="120"/>
      <c r="BL92" s="120"/>
      <c r="BM92" s="120"/>
      <c r="BN92" s="120"/>
      <c r="BO92" s="205"/>
      <c r="BP92" s="209"/>
      <c r="BQ92" s="205"/>
      <c r="BR92" s="205">
        <f t="shared" ref="BR92" si="1024">SUM(BK92:BQ92)</f>
        <v>0</v>
      </c>
      <c r="BS92" s="205">
        <f t="shared" ref="BS92" si="1025">SUM(AI92:AJ92,AT92,BB92,BJ92,BK92:BO92)</f>
        <v>0</v>
      </c>
      <c r="BT92" s="120"/>
      <c r="BU92" s="120"/>
      <c r="BV92" s="120"/>
      <c r="BW92" s="120"/>
      <c r="BX92" s="120"/>
      <c r="BY92" s="209"/>
      <c r="BZ92" s="205"/>
      <c r="CA92" s="205">
        <f t="shared" ref="CA92" si="1026">SUM(BT92:BZ92)</f>
        <v>0</v>
      </c>
      <c r="CB92" s="120"/>
      <c r="CC92" s="120"/>
      <c r="CD92" s="120"/>
      <c r="CE92" s="120"/>
      <c r="CF92" s="120"/>
      <c r="CG92" s="209"/>
      <c r="CH92" s="205"/>
      <c r="CI92" s="205">
        <f t="shared" ref="CI92" si="1027">SUM(CB92:CH92)</f>
        <v>0</v>
      </c>
      <c r="CJ92" s="120"/>
      <c r="CK92" s="120"/>
      <c r="CL92" s="120"/>
      <c r="CM92" s="120"/>
      <c r="CN92" s="120"/>
      <c r="CO92" s="209"/>
      <c r="CP92" s="205"/>
      <c r="CQ92" s="205">
        <f t="shared" ref="CQ92" si="1028">SUM(CJ92:CP92)</f>
        <v>0</v>
      </c>
      <c r="CR92" s="120"/>
      <c r="CS92" s="120"/>
      <c r="CT92" s="120"/>
      <c r="CU92" s="120"/>
      <c r="CV92" s="120"/>
      <c r="CW92" s="209"/>
      <c r="CX92" s="205"/>
      <c r="CY92" s="205">
        <f t="shared" ref="CY92" si="1029">SUM(CR92:CX92)</f>
        <v>0</v>
      </c>
      <c r="CZ92" s="120"/>
      <c r="DA92" s="120"/>
      <c r="DB92" s="120"/>
      <c r="DC92" s="205"/>
      <c r="DD92" s="205"/>
      <c r="DE92" s="209"/>
      <c r="DF92" s="205"/>
      <c r="DG92" s="205">
        <f t="shared" ref="DG92" si="1030">SUM(CZ92:DF92)</f>
        <v>0</v>
      </c>
      <c r="DH92" s="205">
        <f t="shared" ref="DH92" si="1031">SUM(CA92,CI92,CQ92,CY92,CZ92)</f>
        <v>0</v>
      </c>
      <c r="DI92" s="120"/>
      <c r="DJ92" s="120"/>
      <c r="DK92" s="120"/>
      <c r="DL92" s="120"/>
      <c r="DM92" s="120"/>
      <c r="DN92" s="209"/>
      <c r="DO92" s="205"/>
      <c r="DP92" s="205">
        <f t="shared" ref="DP92" si="1032">SUM(DI92:DO92)</f>
        <v>0</v>
      </c>
      <c r="DQ92" s="120"/>
      <c r="DR92" s="120"/>
      <c r="DS92" s="120"/>
      <c r="DT92" s="120"/>
      <c r="DU92" s="120"/>
      <c r="DV92" s="209"/>
      <c r="DW92" s="205"/>
      <c r="DX92" s="205">
        <f t="shared" ref="DX92" si="1033">SUM(DQ92:DW92)</f>
        <v>0</v>
      </c>
      <c r="DY92" s="120"/>
      <c r="DZ92" s="120"/>
      <c r="EA92" s="120"/>
      <c r="EB92" s="120"/>
      <c r="EC92" s="120"/>
      <c r="ED92" s="209"/>
      <c r="EE92" s="205"/>
      <c r="EF92" s="205">
        <f t="shared" ref="EF92" si="1034">SUM(DY92:EE92)</f>
        <v>0</v>
      </c>
      <c r="EG92" s="120"/>
      <c r="EH92" s="120"/>
      <c r="EI92" s="120"/>
      <c r="EJ92" s="205"/>
      <c r="EK92" s="205"/>
      <c r="EL92" s="209"/>
      <c r="EM92" s="205"/>
      <c r="EN92" s="205">
        <f t="shared" ref="EN92" si="1035">SUM(EG92:EM92)</f>
        <v>0</v>
      </c>
      <c r="EO92" s="205">
        <f t="shared" ref="EO92" si="1036">SUM(DA92:DF92,DP92,DX92,EF92,EG92:EI92)</f>
        <v>0</v>
      </c>
      <c r="EP92" s="120"/>
      <c r="EQ92" s="120"/>
      <c r="ER92" s="120"/>
      <c r="ES92" s="120"/>
      <c r="ET92" s="120"/>
      <c r="EU92" s="209"/>
      <c r="EV92" s="205"/>
      <c r="EW92" s="205">
        <f t="shared" ref="EW92" si="1037">SUM(EP92:EV92)</f>
        <v>0</v>
      </c>
      <c r="EX92" s="120"/>
      <c r="EY92" s="120"/>
      <c r="EZ92" s="120"/>
      <c r="FA92" s="120"/>
      <c r="FB92" s="120"/>
      <c r="FC92" s="209"/>
      <c r="FD92" s="205"/>
      <c r="FE92" s="205">
        <f t="shared" ref="FE92" si="1038">SUM(EX92:FD92)</f>
        <v>0</v>
      </c>
      <c r="FF92" s="120"/>
      <c r="FG92" s="120"/>
      <c r="FH92" s="120"/>
      <c r="FI92" s="120"/>
      <c r="FJ92" s="120"/>
      <c r="FK92" s="209"/>
      <c r="FL92" s="205"/>
      <c r="FM92" s="205">
        <f t="shared" ref="FM92" si="1039">SUM(FF92:FL92)</f>
        <v>0</v>
      </c>
      <c r="FN92" s="120"/>
      <c r="FO92" s="120"/>
      <c r="FP92" s="120"/>
      <c r="FQ92" s="120"/>
      <c r="FR92" s="205"/>
      <c r="FS92" s="209"/>
      <c r="FT92" s="205"/>
      <c r="FU92" s="205">
        <f t="shared" ref="FU92" si="1040">SUM(FN92:FT92)</f>
        <v>0</v>
      </c>
      <c r="FV92" s="205">
        <f t="shared" ref="FV92" si="1041">SUM(EJ92:EK92,EW92,FE92,FM92,FU92)</f>
        <v>0</v>
      </c>
      <c r="FW92" s="120"/>
      <c r="FX92" s="120"/>
      <c r="FY92" s="120"/>
      <c r="FZ92" s="120"/>
      <c r="GA92" s="120"/>
      <c r="GB92" s="209"/>
      <c r="GC92" s="205"/>
      <c r="GD92" s="205">
        <f t="shared" ref="GD92" si="1042">SUM(FW92:GC92)</f>
        <v>0</v>
      </c>
      <c r="GE92" s="120"/>
      <c r="GF92" s="120"/>
      <c r="GG92" s="120"/>
      <c r="GH92" s="120"/>
      <c r="GI92" s="120"/>
      <c r="GJ92" s="209"/>
      <c r="GK92" s="205"/>
      <c r="GL92" s="205">
        <f t="shared" ref="GL92" si="1043">SUM(GE92:GK92)</f>
        <v>0</v>
      </c>
      <c r="GM92" s="120"/>
      <c r="GN92" s="120"/>
      <c r="GO92" s="120"/>
      <c r="GP92" s="120"/>
      <c r="GQ92" s="120"/>
      <c r="GR92" s="209"/>
      <c r="GS92" s="205"/>
      <c r="GT92" s="205">
        <f t="shared" ref="GT92" si="1044">SUM(GM92:GS92)</f>
        <v>0</v>
      </c>
      <c r="GU92" s="120"/>
      <c r="GV92" s="120"/>
      <c r="GW92" s="120"/>
      <c r="GX92" s="120"/>
      <c r="GY92" s="120"/>
      <c r="GZ92" s="209"/>
      <c r="HA92" s="205"/>
      <c r="HB92" s="205">
        <f t="shared" ref="HB92" si="1045">SUM(GU92:HA92)</f>
        <v>0</v>
      </c>
      <c r="HC92" s="120"/>
      <c r="HD92" s="120"/>
      <c r="HE92" s="120"/>
      <c r="HF92" s="120"/>
      <c r="HG92" s="120"/>
      <c r="HH92" s="209"/>
      <c r="HI92" s="205"/>
      <c r="HJ92" s="205">
        <f t="shared" ref="HJ92" si="1046">SUM(HC92:HI92)</f>
        <v>0</v>
      </c>
      <c r="HK92" s="205">
        <f t="shared" ref="HK92" si="1047">SUM(GD92,GL92,GT92,HB92,HC92)</f>
        <v>0</v>
      </c>
      <c r="HL92" s="124"/>
      <c r="HM92" s="120"/>
      <c r="HN92" s="120"/>
      <c r="HO92" s="120"/>
      <c r="HP92" s="120"/>
      <c r="HQ92" s="205"/>
      <c r="HR92" s="205"/>
      <c r="HS92" s="205">
        <f t="shared" si="934"/>
        <v>0</v>
      </c>
      <c r="HT92" s="120"/>
      <c r="HU92" s="120"/>
      <c r="HV92" s="120"/>
      <c r="HW92" s="120"/>
      <c r="HX92" s="120"/>
      <c r="HY92" s="205"/>
      <c r="HZ92" s="205"/>
      <c r="IA92" s="205">
        <f t="shared" si="935"/>
        <v>0</v>
      </c>
      <c r="IB92" s="120"/>
      <c r="IC92" s="120"/>
      <c r="ID92" s="120"/>
      <c r="IE92" s="120"/>
      <c r="IF92" s="120"/>
      <c r="IG92" s="205"/>
      <c r="IH92" s="205"/>
      <c r="II92" s="205">
        <f t="shared" si="936"/>
        <v>0</v>
      </c>
      <c r="IJ92" s="120"/>
      <c r="IK92" s="120"/>
      <c r="IL92" s="120"/>
      <c r="IM92" s="120"/>
      <c r="IN92" s="120"/>
      <c r="IO92" s="205"/>
      <c r="IP92" s="205"/>
      <c r="IQ92" s="205">
        <f t="shared" si="937"/>
        <v>0</v>
      </c>
      <c r="IR92" s="205">
        <f t="shared" si="938"/>
        <v>0</v>
      </c>
      <c r="IS92" s="120"/>
      <c r="IT92" s="120"/>
      <c r="IU92" s="120"/>
      <c r="IV92" s="120"/>
      <c r="IW92" s="120"/>
      <c r="IX92" s="205"/>
      <c r="IY92" s="205"/>
      <c r="IZ92" s="205">
        <f t="shared" si="939"/>
        <v>0</v>
      </c>
      <c r="JA92" s="120"/>
      <c r="JB92" s="120"/>
      <c r="JC92" s="120"/>
      <c r="JD92" s="120"/>
      <c r="JE92" s="120"/>
      <c r="JF92" s="205"/>
      <c r="JG92" s="205"/>
      <c r="JH92" s="205">
        <f t="shared" si="940"/>
        <v>0</v>
      </c>
      <c r="JI92" s="120"/>
      <c r="JJ92" s="120"/>
      <c r="JK92" s="120"/>
      <c r="JL92" s="120"/>
      <c r="JM92" s="120"/>
      <c r="JN92" s="205"/>
      <c r="JO92" s="205"/>
      <c r="JP92" s="205">
        <f t="shared" si="941"/>
        <v>0</v>
      </c>
      <c r="JQ92" s="120"/>
      <c r="JR92" s="120"/>
      <c r="JS92" s="120"/>
      <c r="JT92" s="120"/>
      <c r="JU92" s="120"/>
      <c r="JV92" s="205"/>
      <c r="JW92" s="205"/>
      <c r="JX92" s="205">
        <f t="shared" si="942"/>
        <v>0</v>
      </c>
      <c r="JY92" s="205">
        <f t="shared" si="943"/>
        <v>0</v>
      </c>
      <c r="JZ92" s="120"/>
      <c r="KA92" s="120"/>
      <c r="KB92" s="120"/>
      <c r="KC92" s="120"/>
      <c r="KD92" s="120"/>
      <c r="KE92" s="205"/>
      <c r="KF92" s="205"/>
      <c r="KG92" s="205">
        <f t="shared" si="944"/>
        <v>0</v>
      </c>
      <c r="KH92" s="120"/>
      <c r="KI92" s="120"/>
      <c r="KJ92" s="120"/>
      <c r="KK92" s="120"/>
      <c r="KL92" s="120"/>
      <c r="KM92" s="205"/>
      <c r="KN92" s="205"/>
      <c r="KO92" s="205">
        <f t="shared" si="945"/>
        <v>0</v>
      </c>
      <c r="KP92" s="120"/>
      <c r="KQ92" s="120"/>
      <c r="KR92" s="120"/>
      <c r="KS92" s="120"/>
      <c r="KT92" s="120"/>
      <c r="KU92" s="205"/>
      <c r="KV92" s="205"/>
      <c r="KW92" s="205">
        <f t="shared" si="946"/>
        <v>0</v>
      </c>
      <c r="KX92" s="120"/>
      <c r="KY92" s="120"/>
      <c r="KZ92" s="120"/>
      <c r="LA92" s="120"/>
      <c r="LB92" s="120"/>
      <c r="LC92" s="205"/>
      <c r="LD92" s="205"/>
      <c r="LE92" s="205">
        <f t="shared" si="947"/>
        <v>0</v>
      </c>
      <c r="LF92" s="205"/>
      <c r="LG92" s="120"/>
      <c r="LH92" s="120"/>
      <c r="LI92" s="120"/>
      <c r="LJ92" s="120"/>
      <c r="LK92" s="205"/>
      <c r="LL92" s="205"/>
      <c r="LM92" s="205">
        <f t="shared" si="948"/>
        <v>0</v>
      </c>
      <c r="LN92" s="205">
        <f t="shared" si="949"/>
        <v>0</v>
      </c>
      <c r="LO92" s="205"/>
      <c r="LP92" s="120"/>
      <c r="LQ92" s="120"/>
      <c r="LR92" s="120"/>
      <c r="LS92" s="205"/>
      <c r="LT92" s="205"/>
      <c r="LU92" s="205"/>
      <c r="LV92" s="205">
        <f t="shared" si="950"/>
        <v>0</v>
      </c>
      <c r="LW92" s="120"/>
      <c r="LX92" s="120"/>
      <c r="LY92" s="120"/>
      <c r="LZ92" s="120"/>
      <c r="MA92" s="120"/>
      <c r="MB92" s="205"/>
      <c r="MC92" s="205"/>
      <c r="MD92" s="205">
        <f t="shared" si="951"/>
        <v>0</v>
      </c>
      <c r="ME92" s="120"/>
      <c r="MF92" s="120"/>
      <c r="MG92" s="120"/>
      <c r="MH92" s="120"/>
      <c r="MI92" s="205"/>
      <c r="MJ92" s="205"/>
      <c r="MK92" s="205"/>
      <c r="ML92" s="205">
        <f t="shared" si="952"/>
        <v>0</v>
      </c>
      <c r="MM92" s="120"/>
      <c r="MN92" s="120"/>
      <c r="MO92" s="120"/>
      <c r="MP92" s="120"/>
      <c r="MQ92" s="120"/>
      <c r="MR92" s="205"/>
      <c r="MS92" s="205"/>
      <c r="MT92" s="205">
        <f t="shared" si="953"/>
        <v>0</v>
      </c>
      <c r="MU92" s="205">
        <f t="shared" si="954"/>
        <v>0</v>
      </c>
      <c r="MV92" s="124">
        <v>72</v>
      </c>
      <c r="MW92" s="120"/>
      <c r="MX92" s="120"/>
      <c r="MY92" s="120"/>
      <c r="MZ92" s="120"/>
      <c r="NA92" s="205"/>
      <c r="NB92" s="205"/>
      <c r="NC92" s="205">
        <f t="shared" si="880"/>
        <v>72</v>
      </c>
      <c r="ND92" s="120"/>
      <c r="NE92" s="120"/>
      <c r="NF92" s="120"/>
      <c r="NG92" s="120"/>
      <c r="NH92" s="120"/>
      <c r="NI92" s="205"/>
      <c r="NJ92" s="205"/>
      <c r="NK92" s="205">
        <f t="shared" si="881"/>
        <v>0</v>
      </c>
      <c r="NL92" s="120"/>
      <c r="NM92" s="120"/>
      <c r="NN92" s="120"/>
      <c r="NO92" s="120"/>
      <c r="NP92" s="120"/>
      <c r="NQ92" s="205"/>
      <c r="NR92" s="205"/>
      <c r="NS92" s="205">
        <f t="shared" si="882"/>
        <v>0</v>
      </c>
      <c r="NT92" s="120"/>
      <c r="NU92" s="120"/>
      <c r="NV92" s="120"/>
      <c r="NW92" s="120"/>
      <c r="NX92" s="120"/>
      <c r="NY92" s="205"/>
      <c r="NZ92" s="205"/>
      <c r="OA92" s="205">
        <f t="shared" si="883"/>
        <v>0</v>
      </c>
      <c r="OB92" s="205">
        <f t="shared" si="884"/>
        <v>72</v>
      </c>
      <c r="OC92" s="120"/>
      <c r="OD92" s="120"/>
      <c r="OE92" s="120"/>
      <c r="OF92" s="120"/>
      <c r="OG92" s="120"/>
      <c r="OH92" s="205"/>
      <c r="OI92" s="205"/>
      <c r="OJ92" s="205">
        <f t="shared" si="885"/>
        <v>0</v>
      </c>
      <c r="OK92" s="120"/>
      <c r="OL92" s="120"/>
      <c r="OM92" s="120"/>
      <c r="ON92" s="120"/>
      <c r="OO92" s="120"/>
      <c r="OP92" s="205"/>
      <c r="OQ92" s="205"/>
      <c r="OR92" s="205">
        <f t="shared" si="886"/>
        <v>0</v>
      </c>
      <c r="OS92" s="120"/>
      <c r="OT92" s="120"/>
      <c r="OU92" s="120"/>
      <c r="OV92" s="120"/>
      <c r="OW92" s="120"/>
      <c r="OX92" s="205"/>
      <c r="OY92" s="205"/>
      <c r="OZ92" s="205">
        <f t="shared" si="887"/>
        <v>0</v>
      </c>
      <c r="PA92" s="120"/>
      <c r="PB92" s="120"/>
      <c r="PC92" s="201">
        <v>420</v>
      </c>
      <c r="PD92" s="205"/>
      <c r="PE92" s="217"/>
      <c r="PF92" s="205"/>
      <c r="PG92" s="205"/>
      <c r="PH92" s="205">
        <f t="shared" si="888"/>
        <v>420</v>
      </c>
      <c r="PI92" s="120"/>
      <c r="PJ92" s="120"/>
      <c r="PK92" s="120"/>
      <c r="PL92" s="205"/>
      <c r="PM92" s="217"/>
      <c r="PN92" s="205"/>
      <c r="PO92" s="205"/>
      <c r="PP92" s="205">
        <f t="shared" si="889"/>
        <v>0</v>
      </c>
      <c r="PQ92" s="205">
        <f t="shared" si="890"/>
        <v>420</v>
      </c>
      <c r="PR92" s="207"/>
      <c r="PS92" s="207"/>
      <c r="PT92" s="207"/>
      <c r="PU92" s="207"/>
      <c r="PV92" s="124">
        <v>60</v>
      </c>
      <c r="PW92" s="272"/>
      <c r="PX92" s="272"/>
      <c r="PY92" s="205">
        <f t="shared" si="891"/>
        <v>60</v>
      </c>
      <c r="PZ92" s="207"/>
      <c r="QA92" s="207"/>
      <c r="QB92" s="207"/>
      <c r="QC92" s="207"/>
      <c r="QD92" s="207"/>
      <c r="QE92" s="272"/>
      <c r="QF92" s="272"/>
      <c r="QG92" s="205">
        <f t="shared" si="892"/>
        <v>0</v>
      </c>
      <c r="QH92" s="207"/>
      <c r="QI92" s="207"/>
      <c r="QJ92" s="294"/>
      <c r="QK92" s="207"/>
      <c r="QL92" s="207"/>
      <c r="QM92" s="272"/>
      <c r="QN92" s="272"/>
      <c r="QO92" s="205">
        <f t="shared" si="893"/>
        <v>0</v>
      </c>
      <c r="QP92" s="207"/>
      <c r="QQ92" s="207"/>
      <c r="QR92" s="207"/>
      <c r="QS92" s="207"/>
      <c r="QT92" s="207"/>
      <c r="QU92" s="272"/>
      <c r="QV92" s="272"/>
      <c r="QW92" s="205">
        <f t="shared" si="894"/>
        <v>0</v>
      </c>
      <c r="QX92" s="205">
        <f t="shared" si="895"/>
        <v>60</v>
      </c>
      <c r="QY92" s="207"/>
      <c r="QZ92" s="207"/>
      <c r="RA92" s="207"/>
      <c r="RB92" s="207"/>
      <c r="RC92" s="207"/>
      <c r="RD92" s="272"/>
      <c r="RE92" s="272"/>
      <c r="RF92" s="205">
        <f t="shared" si="896"/>
        <v>0</v>
      </c>
      <c r="RG92" s="207"/>
      <c r="RH92" s="207"/>
      <c r="RI92" s="207"/>
      <c r="RJ92" s="207"/>
      <c r="RK92" s="207"/>
      <c r="RL92" s="272"/>
      <c r="RM92" s="272"/>
      <c r="RN92" s="205">
        <f t="shared" si="897"/>
        <v>0</v>
      </c>
      <c r="RO92" s="272"/>
      <c r="RP92" s="272"/>
      <c r="RQ92" s="272"/>
      <c r="RR92" s="272"/>
      <c r="RS92" s="272"/>
      <c r="RT92" s="272"/>
      <c r="RU92" s="272"/>
      <c r="RV92" s="205">
        <f t="shared" si="898"/>
        <v>0</v>
      </c>
      <c r="RW92" s="207"/>
      <c r="RX92" s="207"/>
      <c r="RY92" s="207"/>
      <c r="RZ92" s="195">
        <v>120</v>
      </c>
      <c r="SA92" s="272"/>
      <c r="SB92" s="272"/>
      <c r="SC92" s="272"/>
      <c r="SD92" s="205">
        <f t="shared" si="899"/>
        <v>120</v>
      </c>
      <c r="SE92" s="205">
        <f t="shared" si="900"/>
        <v>120</v>
      </c>
      <c r="SF92" s="207"/>
      <c r="SG92" s="207"/>
      <c r="SH92" s="207"/>
      <c r="SI92" s="207"/>
      <c r="SJ92" s="207"/>
      <c r="SK92" s="272"/>
      <c r="SL92" s="272"/>
      <c r="SM92" s="205">
        <f t="shared" si="901"/>
        <v>0</v>
      </c>
      <c r="SN92" s="207"/>
      <c r="SO92" s="207"/>
      <c r="SP92" s="207"/>
      <c r="SQ92" s="207"/>
      <c r="SR92" s="207"/>
      <c r="SS92" s="272"/>
      <c r="ST92" s="272"/>
      <c r="SU92" s="205">
        <f t="shared" si="902"/>
        <v>0</v>
      </c>
      <c r="SV92" s="207"/>
      <c r="SW92" s="207"/>
      <c r="SX92" s="207"/>
      <c r="SY92" s="207"/>
      <c r="SZ92" s="207"/>
      <c r="TA92" s="272"/>
      <c r="TB92" s="272"/>
      <c r="TC92" s="205">
        <f t="shared" si="903"/>
        <v>0</v>
      </c>
      <c r="TD92" s="207"/>
      <c r="TE92" s="207"/>
      <c r="TF92" s="207"/>
      <c r="TG92" s="207"/>
      <c r="TH92" s="207"/>
      <c r="TI92" s="272"/>
      <c r="TJ92" s="272"/>
      <c r="TK92" s="205">
        <f t="shared" si="904"/>
        <v>0</v>
      </c>
      <c r="TL92" s="207"/>
      <c r="TM92" s="207"/>
      <c r="TN92" s="207"/>
      <c r="TO92" s="207"/>
      <c r="TP92" s="272"/>
      <c r="TQ92" s="272"/>
      <c r="TR92" s="272"/>
      <c r="TS92" s="205">
        <f t="shared" si="905"/>
        <v>0</v>
      </c>
      <c r="TT92" s="205">
        <f t="shared" si="906"/>
        <v>0</v>
      </c>
      <c r="TU92" s="272"/>
      <c r="TV92" s="207"/>
      <c r="TW92" s="207"/>
      <c r="TX92" s="207"/>
      <c r="TY92" s="195">
        <v>300</v>
      </c>
      <c r="TZ92" s="272"/>
      <c r="UA92" s="272"/>
      <c r="UB92" s="205">
        <f t="shared" si="907"/>
        <v>300</v>
      </c>
      <c r="UC92" s="207"/>
      <c r="UD92" s="207"/>
      <c r="UE92" s="207"/>
      <c r="UF92" s="207"/>
      <c r="UG92" s="207"/>
      <c r="UH92" s="272"/>
      <c r="UI92" s="272"/>
      <c r="UJ92" s="205">
        <f t="shared" si="908"/>
        <v>0</v>
      </c>
      <c r="UK92" s="207"/>
      <c r="UL92" s="207"/>
      <c r="UM92" s="207"/>
      <c r="UN92" s="207"/>
      <c r="UO92" s="207"/>
      <c r="UP92" s="272"/>
      <c r="UQ92" s="272"/>
      <c r="UR92" s="205">
        <f t="shared" si="909"/>
        <v>0</v>
      </c>
      <c r="US92" s="207"/>
      <c r="UT92" s="207"/>
      <c r="UU92" s="207"/>
      <c r="UV92" s="207"/>
      <c r="UW92" s="272"/>
      <c r="UX92" s="272"/>
      <c r="UY92" s="272"/>
      <c r="UZ92" s="205">
        <f t="shared" si="910"/>
        <v>0</v>
      </c>
      <c r="VA92" s="205">
        <f t="shared" si="911"/>
        <v>300</v>
      </c>
      <c r="VB92" s="207"/>
      <c r="VC92" s="207"/>
      <c r="VD92" s="207"/>
      <c r="VE92" s="207"/>
      <c r="VF92" s="207"/>
      <c r="VG92" s="272"/>
      <c r="VH92" s="272"/>
      <c r="VI92" s="205">
        <f t="shared" si="912"/>
        <v>0</v>
      </c>
      <c r="VJ92" s="207"/>
      <c r="VK92" s="207"/>
      <c r="VL92" s="207"/>
      <c r="VM92" s="207"/>
      <c r="VN92" s="207"/>
      <c r="VO92" s="272"/>
      <c r="VP92" s="272"/>
      <c r="VQ92" s="205">
        <f t="shared" si="913"/>
        <v>0</v>
      </c>
      <c r="VR92" s="207"/>
      <c r="VS92" s="207"/>
      <c r="VT92" s="195">
        <v>240</v>
      </c>
      <c r="VU92" s="207"/>
      <c r="VV92" s="207"/>
      <c r="VW92" s="272"/>
      <c r="VX92" s="272"/>
      <c r="VY92" s="205">
        <f t="shared" si="914"/>
        <v>240</v>
      </c>
      <c r="VZ92" s="207"/>
      <c r="WA92" s="207"/>
      <c r="WB92" s="207"/>
      <c r="WC92" s="207"/>
      <c r="WD92" s="207"/>
      <c r="WE92" s="272"/>
      <c r="WF92" s="272"/>
      <c r="WG92" s="205">
        <f t="shared" si="915"/>
        <v>0</v>
      </c>
      <c r="WH92" s="205">
        <f t="shared" si="916"/>
        <v>240</v>
      </c>
      <c r="WI92" s="207"/>
      <c r="WJ92" s="207"/>
      <c r="WK92" s="207"/>
      <c r="WL92" s="207"/>
      <c r="WM92" s="207"/>
      <c r="WN92" s="272"/>
      <c r="WO92" s="272"/>
      <c r="WP92" s="205">
        <f t="shared" si="917"/>
        <v>0</v>
      </c>
      <c r="WQ92" s="207"/>
      <c r="WR92" s="207"/>
      <c r="WS92" s="207"/>
      <c r="WT92" s="207"/>
      <c r="WU92" s="207"/>
      <c r="WV92" s="272"/>
      <c r="WW92" s="272"/>
      <c r="WX92" s="205">
        <f t="shared" si="918"/>
        <v>0</v>
      </c>
      <c r="WY92" s="207"/>
      <c r="WZ92" s="207"/>
      <c r="XA92" s="207"/>
      <c r="XB92" s="207"/>
      <c r="XC92" s="272"/>
      <c r="XD92" s="272"/>
      <c r="XE92" s="272"/>
      <c r="XF92" s="205">
        <f t="shared" si="919"/>
        <v>0</v>
      </c>
      <c r="XG92" s="207"/>
      <c r="XH92" s="207"/>
      <c r="XI92" s="207"/>
      <c r="XJ92" s="207"/>
      <c r="XK92" s="207"/>
      <c r="XL92" s="272"/>
      <c r="XM92" s="272"/>
      <c r="XN92" s="205">
        <f t="shared" si="920"/>
        <v>0</v>
      </c>
      <c r="XO92" s="207"/>
      <c r="XP92" s="207"/>
      <c r="XQ92" s="207"/>
      <c r="XR92" s="207"/>
      <c r="XS92" s="207"/>
      <c r="XT92" s="272"/>
      <c r="XU92" s="272"/>
      <c r="XV92" s="205">
        <f t="shared" si="921"/>
        <v>0</v>
      </c>
      <c r="XW92" s="205">
        <f t="shared" si="922"/>
        <v>0</v>
      </c>
      <c r="XX92" s="207"/>
      <c r="XY92" s="207"/>
      <c r="XZ92" s="207"/>
      <c r="YA92" s="207"/>
      <c r="YB92" s="207"/>
      <c r="YC92" s="272"/>
      <c r="YD92" s="272"/>
      <c r="YE92" s="205">
        <f t="shared" si="923"/>
        <v>0</v>
      </c>
      <c r="YF92" s="207"/>
      <c r="YG92" s="207"/>
      <c r="YH92" s="207"/>
      <c r="YI92" s="207"/>
      <c r="YJ92" s="207"/>
      <c r="YK92" s="272"/>
      <c r="YL92" s="272"/>
      <c r="YM92" s="205">
        <f t="shared" si="924"/>
        <v>0</v>
      </c>
      <c r="YN92" s="207"/>
      <c r="YO92" s="207"/>
      <c r="YP92" s="207"/>
      <c r="YQ92" s="207"/>
      <c r="YR92" s="207"/>
      <c r="YS92" s="272"/>
      <c r="YT92" s="272"/>
      <c r="YU92" s="205">
        <f t="shared" si="925"/>
        <v>0</v>
      </c>
      <c r="YV92" s="207"/>
      <c r="YW92" s="207"/>
      <c r="YX92" s="207"/>
      <c r="YY92" s="207"/>
      <c r="YZ92" s="207"/>
      <c r="ZA92" s="272"/>
      <c r="ZB92" s="272"/>
      <c r="ZC92" s="205">
        <f t="shared" si="926"/>
        <v>0</v>
      </c>
      <c r="ZD92" s="205">
        <f t="shared" si="927"/>
        <v>0</v>
      </c>
      <c r="ZE92" s="207"/>
      <c r="ZF92" s="207"/>
      <c r="ZG92" s="207"/>
      <c r="ZH92" s="207"/>
      <c r="ZI92" s="207"/>
      <c r="ZJ92" s="272"/>
      <c r="ZK92" s="272"/>
      <c r="ZL92" s="205">
        <f t="shared" si="928"/>
        <v>0</v>
      </c>
      <c r="ZM92" s="207"/>
      <c r="ZN92" s="207"/>
      <c r="ZO92" s="207"/>
      <c r="ZP92" s="207"/>
      <c r="ZQ92" s="207"/>
      <c r="ZR92" s="272"/>
      <c r="ZS92" s="272"/>
      <c r="ZT92" s="205">
        <f t="shared" si="929"/>
        <v>0</v>
      </c>
      <c r="ZU92" s="207"/>
      <c r="ZV92" s="207"/>
      <c r="ZW92" s="207"/>
      <c r="ZX92" s="207"/>
      <c r="ZY92" s="207"/>
      <c r="ZZ92" s="272"/>
      <c r="AAA92" s="272"/>
      <c r="AAB92" s="205">
        <f t="shared" si="930"/>
        <v>0</v>
      </c>
      <c r="AAC92" s="207"/>
      <c r="AAD92" s="207"/>
      <c r="AAE92" s="207"/>
      <c r="AAF92" s="207"/>
      <c r="AAG92" s="207"/>
      <c r="AAH92" s="272"/>
      <c r="AAI92" s="272"/>
      <c r="AAJ92" s="205">
        <f t="shared" si="931"/>
        <v>0</v>
      </c>
      <c r="AAK92" s="207"/>
      <c r="AAL92" s="207"/>
      <c r="AAM92" s="207"/>
      <c r="AAN92" s="207"/>
      <c r="AAO92" s="207"/>
      <c r="AAP92" s="272"/>
      <c r="AAQ92" s="272"/>
      <c r="AAR92" s="205">
        <f t="shared" si="932"/>
        <v>0</v>
      </c>
      <c r="AAS92" s="205">
        <f t="shared" si="933"/>
        <v>0</v>
      </c>
    </row>
    <row r="93" spans="1:721" s="226" customFormat="1" ht="69.95" customHeight="1">
      <c r="A93" s="221"/>
      <c r="B93" s="151">
        <v>3630101412</v>
      </c>
      <c r="C93" s="323" t="s">
        <v>741</v>
      </c>
      <c r="D93" s="152" t="s">
        <v>16</v>
      </c>
      <c r="E93" s="130" t="s">
        <v>4</v>
      </c>
      <c r="F93" s="222"/>
      <c r="G93" s="222"/>
      <c r="H93" s="222"/>
      <c r="I93" s="222"/>
      <c r="J93" s="222"/>
      <c r="K93" s="223"/>
      <c r="L93" s="224"/>
      <c r="M93" s="224">
        <f t="shared" ref="M93:M119" si="1048">SUM(F93:L93)</f>
        <v>0</v>
      </c>
      <c r="N93" s="222"/>
      <c r="O93" s="222"/>
      <c r="P93" s="222"/>
      <c r="Q93" s="222"/>
      <c r="R93" s="222"/>
      <c r="S93" s="223"/>
      <c r="T93" s="224"/>
      <c r="U93" s="224">
        <f t="shared" ref="U93:U119" si="1049">SUM(N93:T93)</f>
        <v>0</v>
      </c>
      <c r="V93" s="120"/>
      <c r="W93" s="222"/>
      <c r="X93" s="222"/>
      <c r="Y93" s="222"/>
      <c r="Z93" s="222"/>
      <c r="AA93" s="223"/>
      <c r="AB93" s="224"/>
      <c r="AC93" s="224">
        <f t="shared" ref="AC93:AC119" si="1050">SUM(V93:AB93)</f>
        <v>0</v>
      </c>
      <c r="AD93" s="224"/>
      <c r="AE93" s="224"/>
      <c r="AF93" s="224"/>
      <c r="AG93" s="224"/>
      <c r="AH93" s="224"/>
      <c r="AI93" s="223"/>
      <c r="AJ93" s="224"/>
      <c r="AK93" s="224">
        <f t="shared" ref="AK93:AK119" si="1051">SUM(AD93:AJ93)</f>
        <v>0</v>
      </c>
      <c r="AL93" s="205" t="e">
        <f>SUM(#REF!,M93,U93,AC93,AD93:AH93)</f>
        <v>#REF!</v>
      </c>
      <c r="AM93" s="222"/>
      <c r="AN93" s="222"/>
      <c r="AO93" s="222"/>
      <c r="AP93" s="222"/>
      <c r="AQ93" s="222"/>
      <c r="AR93" s="223"/>
      <c r="AS93" s="224"/>
      <c r="AT93" s="224">
        <f t="shared" ref="AT93:AT120" si="1052">SUM(AM93:AS93)</f>
        <v>0</v>
      </c>
      <c r="AU93" s="222"/>
      <c r="AV93" s="222"/>
      <c r="AW93" s="222"/>
      <c r="AX93" s="222"/>
      <c r="AY93" s="222"/>
      <c r="AZ93" s="223"/>
      <c r="BA93" s="224"/>
      <c r="BB93" s="224">
        <f t="shared" ref="BB93:BB120" si="1053">SUM(AU93:BA93)</f>
        <v>0</v>
      </c>
      <c r="BC93" s="222"/>
      <c r="BD93" s="222"/>
      <c r="BE93" s="120"/>
      <c r="BF93" s="222"/>
      <c r="BG93" s="222"/>
      <c r="BH93" s="223"/>
      <c r="BI93" s="224"/>
      <c r="BJ93" s="224">
        <f t="shared" ref="BJ93:BJ120" si="1054">SUM(BC93:BI93)</f>
        <v>0</v>
      </c>
      <c r="BK93" s="120"/>
      <c r="BL93" s="251">
        <v>300</v>
      </c>
      <c r="BM93" s="222"/>
      <c r="BN93" s="222"/>
      <c r="BO93" s="224"/>
      <c r="BP93" s="223"/>
      <c r="BQ93" s="224"/>
      <c r="BR93" s="224">
        <f t="shared" ref="BR93:BR120" si="1055">SUM(BK93:BQ93)</f>
        <v>300</v>
      </c>
      <c r="BS93" s="205">
        <f t="shared" si="832"/>
        <v>300</v>
      </c>
      <c r="BT93" s="123">
        <v>1000</v>
      </c>
      <c r="BU93" s="222"/>
      <c r="BV93" s="222"/>
      <c r="BW93" s="222"/>
      <c r="BX93" s="120"/>
      <c r="BY93" s="223"/>
      <c r="BZ93" s="224"/>
      <c r="CA93" s="224">
        <f t="shared" ref="CA93:CA120" si="1056">SUM(BT93:BZ93)</f>
        <v>1000</v>
      </c>
      <c r="CB93" s="222"/>
      <c r="CC93" s="222"/>
      <c r="CD93" s="222"/>
      <c r="CE93" s="222"/>
      <c r="CF93" s="222"/>
      <c r="CG93" s="223"/>
      <c r="CH93" s="224"/>
      <c r="CI93" s="224">
        <f t="shared" ref="CI93:CI120" si="1057">SUM(CB93:CH93)</f>
        <v>0</v>
      </c>
      <c r="CJ93" s="222"/>
      <c r="CK93" s="222"/>
      <c r="CL93" s="222"/>
      <c r="CM93" s="222"/>
      <c r="CN93" s="222"/>
      <c r="CO93" s="223"/>
      <c r="CP93" s="224"/>
      <c r="CQ93" s="224">
        <f t="shared" ref="CQ93:CQ120" si="1058">SUM(CJ93:CP93)</f>
        <v>0</v>
      </c>
      <c r="CR93" s="120"/>
      <c r="CS93" s="222"/>
      <c r="CT93" s="222"/>
      <c r="CU93" s="222"/>
      <c r="CV93" s="222"/>
      <c r="CW93" s="223"/>
      <c r="CX93" s="224"/>
      <c r="CY93" s="224">
        <f t="shared" ref="CY93:CY120" si="1059">SUM(CR93:CX93)</f>
        <v>0</v>
      </c>
      <c r="CZ93" s="222"/>
      <c r="DA93" s="222"/>
      <c r="DB93" s="222"/>
      <c r="DC93" s="224"/>
      <c r="DD93" s="224"/>
      <c r="DE93" s="223"/>
      <c r="DF93" s="224"/>
      <c r="DG93" s="224">
        <f t="shared" ref="DG93:DG120" si="1060">SUM(CZ93:DF93)</f>
        <v>0</v>
      </c>
      <c r="DH93" s="205">
        <f t="shared" si="838"/>
        <v>1000</v>
      </c>
      <c r="DI93" s="120"/>
      <c r="DJ93" s="120"/>
      <c r="DK93" s="255"/>
      <c r="DL93" s="120"/>
      <c r="DM93" s="120"/>
      <c r="DN93" s="209"/>
      <c r="DO93" s="205"/>
      <c r="DP93" s="205">
        <f t="shared" si="839"/>
        <v>0</v>
      </c>
      <c r="DQ93" s="120"/>
      <c r="DR93" s="120"/>
      <c r="DS93" s="120"/>
      <c r="DT93" s="250">
        <v>500</v>
      </c>
      <c r="DU93" s="120"/>
      <c r="DV93" s="209"/>
      <c r="DW93" s="205"/>
      <c r="DX93" s="205">
        <f t="shared" si="840"/>
        <v>500</v>
      </c>
      <c r="DY93" s="120"/>
      <c r="DZ93" s="120"/>
      <c r="EA93" s="120"/>
      <c r="EB93" s="120"/>
      <c r="EC93" s="120"/>
      <c r="ED93" s="209"/>
      <c r="EE93" s="205"/>
      <c r="EF93" s="205">
        <f t="shared" si="841"/>
        <v>0</v>
      </c>
      <c r="EG93" s="120"/>
      <c r="EH93" s="120"/>
      <c r="EI93" s="120"/>
      <c r="EJ93" s="205"/>
      <c r="EK93" s="205"/>
      <c r="EL93" s="209"/>
      <c r="EM93" s="205"/>
      <c r="EN93" s="205">
        <f t="shared" si="842"/>
        <v>0</v>
      </c>
      <c r="EO93" s="205">
        <f t="shared" si="843"/>
        <v>500</v>
      </c>
      <c r="EP93" s="250">
        <v>500</v>
      </c>
      <c r="EQ93" s="120"/>
      <c r="ER93" s="120"/>
      <c r="ES93" s="120"/>
      <c r="ET93" s="120"/>
      <c r="EU93" s="209"/>
      <c r="EV93" s="205"/>
      <c r="EW93" s="205">
        <f t="shared" si="844"/>
        <v>500</v>
      </c>
      <c r="EX93" s="120"/>
      <c r="EY93" s="120"/>
      <c r="EZ93" s="120"/>
      <c r="FA93" s="120"/>
      <c r="FB93" s="120"/>
      <c r="FC93" s="209"/>
      <c r="FD93" s="205"/>
      <c r="FE93" s="205">
        <f t="shared" si="845"/>
        <v>0</v>
      </c>
      <c r="FF93" s="195">
        <v>500</v>
      </c>
      <c r="FG93" s="120"/>
      <c r="FH93" s="120"/>
      <c r="FI93" s="120"/>
      <c r="FJ93" s="120"/>
      <c r="FK93" s="209"/>
      <c r="FL93" s="205"/>
      <c r="FM93" s="205">
        <f t="shared" si="846"/>
        <v>500</v>
      </c>
      <c r="FN93" s="120"/>
      <c r="FO93" s="120"/>
      <c r="FP93" s="120"/>
      <c r="FQ93" s="120"/>
      <c r="FR93" s="205"/>
      <c r="FS93" s="209"/>
      <c r="FT93" s="205"/>
      <c r="FU93" s="205">
        <f t="shared" si="847"/>
        <v>0</v>
      </c>
      <c r="FV93" s="205">
        <f t="shared" si="848"/>
        <v>1000</v>
      </c>
      <c r="FW93" s="120"/>
      <c r="FX93" s="120"/>
      <c r="FY93" s="120"/>
      <c r="FZ93" s="120"/>
      <c r="GA93" s="120"/>
      <c r="GB93" s="209"/>
      <c r="GC93" s="205"/>
      <c r="GD93" s="205">
        <f t="shared" si="849"/>
        <v>0</v>
      </c>
      <c r="GE93" s="120"/>
      <c r="GF93" s="120"/>
      <c r="GG93" s="120"/>
      <c r="GH93" s="120"/>
      <c r="GI93" s="120"/>
      <c r="GJ93" s="209"/>
      <c r="GK93" s="205"/>
      <c r="GL93" s="205">
        <f t="shared" si="850"/>
        <v>0</v>
      </c>
      <c r="GM93" s="120"/>
      <c r="GN93" s="120"/>
      <c r="GO93" s="120"/>
      <c r="GP93" s="120"/>
      <c r="GQ93" s="120"/>
      <c r="GR93" s="209"/>
      <c r="GS93" s="205"/>
      <c r="GT93" s="205">
        <f t="shared" si="851"/>
        <v>0</v>
      </c>
      <c r="GU93" s="124">
        <v>560</v>
      </c>
      <c r="GV93" s="120"/>
      <c r="GW93" s="120"/>
      <c r="GX93" s="120"/>
      <c r="GY93" s="120"/>
      <c r="GZ93" s="209"/>
      <c r="HA93" s="205"/>
      <c r="HB93" s="205">
        <f t="shared" si="852"/>
        <v>560</v>
      </c>
      <c r="HC93" s="120"/>
      <c r="HD93" s="120"/>
      <c r="HE93" s="120"/>
      <c r="HF93" s="195">
        <v>500</v>
      </c>
      <c r="HG93" s="120"/>
      <c r="HH93" s="209"/>
      <c r="HI93" s="205"/>
      <c r="HJ93" s="205">
        <f t="shared" si="853"/>
        <v>500</v>
      </c>
      <c r="HK93" s="205">
        <f t="shared" si="854"/>
        <v>560</v>
      </c>
      <c r="HL93" s="124"/>
      <c r="HM93" s="120"/>
      <c r="HN93" s="120"/>
      <c r="HO93" s="120"/>
      <c r="HP93" s="120"/>
      <c r="HQ93" s="205"/>
      <c r="HR93" s="205"/>
      <c r="HS93" s="205">
        <f t="shared" si="934"/>
        <v>0</v>
      </c>
      <c r="HT93" s="120"/>
      <c r="HU93" s="120"/>
      <c r="HV93" s="120"/>
      <c r="HW93" s="120"/>
      <c r="HX93" s="120"/>
      <c r="HY93" s="205"/>
      <c r="HZ93" s="205"/>
      <c r="IA93" s="205">
        <f t="shared" si="935"/>
        <v>0</v>
      </c>
      <c r="IB93" s="120"/>
      <c r="IC93" s="120"/>
      <c r="ID93" s="120"/>
      <c r="IE93" s="120"/>
      <c r="IF93" s="120"/>
      <c r="IG93" s="205"/>
      <c r="IH93" s="205"/>
      <c r="II93" s="205">
        <f t="shared" si="936"/>
        <v>0</v>
      </c>
      <c r="IJ93" s="120"/>
      <c r="IK93" s="120"/>
      <c r="IL93" s="120"/>
      <c r="IM93" s="120"/>
      <c r="IN93" s="120"/>
      <c r="IO93" s="205"/>
      <c r="IP93" s="205"/>
      <c r="IQ93" s="205">
        <f t="shared" si="937"/>
        <v>0</v>
      </c>
      <c r="IR93" s="205">
        <f t="shared" si="938"/>
        <v>500</v>
      </c>
      <c r="IS93" s="120"/>
      <c r="IT93" s="120"/>
      <c r="IU93" s="120"/>
      <c r="IV93" s="120"/>
      <c r="IW93" s="120"/>
      <c r="IX93" s="205"/>
      <c r="IY93" s="205"/>
      <c r="IZ93" s="205">
        <f t="shared" si="939"/>
        <v>0</v>
      </c>
      <c r="JA93" s="120"/>
      <c r="JB93" s="120"/>
      <c r="JC93" s="120"/>
      <c r="JD93" s="120"/>
      <c r="JE93" s="120"/>
      <c r="JF93" s="205"/>
      <c r="JG93" s="205"/>
      <c r="JH93" s="205">
        <f t="shared" si="940"/>
        <v>0</v>
      </c>
      <c r="JI93" s="120"/>
      <c r="JJ93" s="120"/>
      <c r="JK93" s="120"/>
      <c r="JL93" s="120"/>
      <c r="JM93" s="120"/>
      <c r="JN93" s="205"/>
      <c r="JO93" s="205"/>
      <c r="JP93" s="205">
        <f t="shared" si="941"/>
        <v>0</v>
      </c>
      <c r="JQ93" s="120"/>
      <c r="JR93" s="120"/>
      <c r="JS93" s="201">
        <v>748</v>
      </c>
      <c r="JT93" s="120"/>
      <c r="JU93" s="120"/>
      <c r="JV93" s="205"/>
      <c r="JW93" s="205"/>
      <c r="JX93" s="205">
        <f t="shared" si="942"/>
        <v>748</v>
      </c>
      <c r="JY93" s="205">
        <f t="shared" si="943"/>
        <v>748</v>
      </c>
      <c r="JZ93" s="120"/>
      <c r="KA93" s="120"/>
      <c r="KB93" s="120"/>
      <c r="KC93" s="120"/>
      <c r="KD93" s="120"/>
      <c r="KE93" s="205"/>
      <c r="KF93" s="205"/>
      <c r="KG93" s="205">
        <f t="shared" si="944"/>
        <v>0</v>
      </c>
      <c r="KH93" s="120"/>
      <c r="KI93" s="120"/>
      <c r="KJ93" s="120"/>
      <c r="KK93" s="120"/>
      <c r="KL93" s="120"/>
      <c r="KM93" s="205"/>
      <c r="KN93" s="205"/>
      <c r="KO93" s="205">
        <f t="shared" si="945"/>
        <v>0</v>
      </c>
      <c r="KP93" s="120"/>
      <c r="KQ93" s="120"/>
      <c r="KR93" s="120"/>
      <c r="KS93" s="120"/>
      <c r="KT93" s="120"/>
      <c r="KU93" s="205"/>
      <c r="KV93" s="205"/>
      <c r="KW93" s="205">
        <f t="shared" si="946"/>
        <v>0</v>
      </c>
      <c r="KX93" s="120"/>
      <c r="KY93" s="120"/>
      <c r="KZ93" s="120"/>
      <c r="LA93" s="120"/>
      <c r="LB93" s="120"/>
      <c r="LC93" s="205"/>
      <c r="LD93" s="205"/>
      <c r="LE93" s="205">
        <f t="shared" si="947"/>
        <v>0</v>
      </c>
      <c r="LF93" s="205"/>
      <c r="LG93" s="120"/>
      <c r="LH93" s="120"/>
      <c r="LI93" s="120"/>
      <c r="LJ93" s="120"/>
      <c r="LK93" s="205"/>
      <c r="LL93" s="205"/>
      <c r="LM93" s="205">
        <f t="shared" si="948"/>
        <v>0</v>
      </c>
      <c r="LN93" s="205">
        <f t="shared" si="949"/>
        <v>0</v>
      </c>
      <c r="LO93" s="205"/>
      <c r="LP93" s="120"/>
      <c r="LQ93" s="120"/>
      <c r="LR93" s="120"/>
      <c r="LS93" s="205"/>
      <c r="LT93" s="205"/>
      <c r="LU93" s="205"/>
      <c r="LV93" s="205">
        <f t="shared" si="950"/>
        <v>0</v>
      </c>
      <c r="LW93" s="120"/>
      <c r="LX93" s="120"/>
      <c r="LY93" s="120"/>
      <c r="LZ93" s="120"/>
      <c r="MA93" s="120"/>
      <c r="MB93" s="205"/>
      <c r="MC93" s="205"/>
      <c r="MD93" s="205">
        <f t="shared" si="951"/>
        <v>0</v>
      </c>
      <c r="ME93" s="201">
        <v>296</v>
      </c>
      <c r="MF93" s="120"/>
      <c r="MG93" s="120"/>
      <c r="MH93" s="120"/>
      <c r="MI93" s="205"/>
      <c r="MJ93" s="205"/>
      <c r="MK93" s="205"/>
      <c r="ML93" s="205">
        <f t="shared" si="952"/>
        <v>296</v>
      </c>
      <c r="MM93" s="120"/>
      <c r="MN93" s="120"/>
      <c r="MO93" s="120"/>
      <c r="MP93" s="120"/>
      <c r="MQ93" s="120"/>
      <c r="MR93" s="205"/>
      <c r="MS93" s="205"/>
      <c r="MT93" s="205">
        <f t="shared" si="953"/>
        <v>0</v>
      </c>
      <c r="MU93" s="205">
        <f t="shared" si="954"/>
        <v>296</v>
      </c>
      <c r="MV93" s="124">
        <v>500</v>
      </c>
      <c r="MW93" s="120"/>
      <c r="MX93" s="120"/>
      <c r="MY93" s="120"/>
      <c r="MZ93" s="120"/>
      <c r="NA93" s="205"/>
      <c r="NB93" s="205"/>
      <c r="NC93" s="205">
        <f t="shared" si="880"/>
        <v>500</v>
      </c>
      <c r="ND93" s="120"/>
      <c r="NE93" s="120"/>
      <c r="NF93" s="120"/>
      <c r="NG93" s="120"/>
      <c r="NH93" s="120"/>
      <c r="NI93" s="205"/>
      <c r="NJ93" s="205"/>
      <c r="NK93" s="205">
        <f t="shared" si="881"/>
        <v>0</v>
      </c>
      <c r="NL93" s="120"/>
      <c r="NM93" s="120"/>
      <c r="NN93" s="120"/>
      <c r="NO93" s="120"/>
      <c r="NP93" s="120"/>
      <c r="NQ93" s="205"/>
      <c r="NR93" s="205"/>
      <c r="NS93" s="205">
        <f t="shared" si="882"/>
        <v>0</v>
      </c>
      <c r="NT93" s="120"/>
      <c r="NU93" s="120"/>
      <c r="NV93" s="120"/>
      <c r="NW93" s="120"/>
      <c r="NX93" s="120"/>
      <c r="NY93" s="205"/>
      <c r="NZ93" s="205"/>
      <c r="OA93" s="205">
        <f t="shared" si="883"/>
        <v>0</v>
      </c>
      <c r="OB93" s="205">
        <f t="shared" si="884"/>
        <v>500</v>
      </c>
      <c r="OC93" s="120"/>
      <c r="OD93" s="120"/>
      <c r="OE93" s="120"/>
      <c r="OF93" s="120"/>
      <c r="OG93" s="120"/>
      <c r="OH93" s="205"/>
      <c r="OI93" s="205"/>
      <c r="OJ93" s="205">
        <f t="shared" si="885"/>
        <v>0</v>
      </c>
      <c r="OK93" s="195">
        <v>440</v>
      </c>
      <c r="OL93" s="120"/>
      <c r="OM93" s="120"/>
      <c r="ON93" s="120"/>
      <c r="OO93" s="120"/>
      <c r="OP93" s="205"/>
      <c r="OQ93" s="205"/>
      <c r="OR93" s="205">
        <f t="shared" si="886"/>
        <v>440</v>
      </c>
      <c r="OS93" s="120"/>
      <c r="OT93" s="120"/>
      <c r="OU93" s="120"/>
      <c r="OV93" s="120"/>
      <c r="OW93" s="120"/>
      <c r="OX93" s="205"/>
      <c r="OY93" s="205"/>
      <c r="OZ93" s="205">
        <f t="shared" si="887"/>
        <v>0</v>
      </c>
      <c r="PA93" s="120"/>
      <c r="PB93" s="120"/>
      <c r="PC93" s="120"/>
      <c r="PD93" s="205"/>
      <c r="PE93" s="217"/>
      <c r="PF93" s="205"/>
      <c r="PG93" s="205"/>
      <c r="PH93" s="205">
        <f t="shared" si="888"/>
        <v>0</v>
      </c>
      <c r="PI93" s="120"/>
      <c r="PJ93" s="120"/>
      <c r="PK93" s="120"/>
      <c r="PL93" s="205"/>
      <c r="PM93" s="217"/>
      <c r="PN93" s="205"/>
      <c r="PO93" s="205"/>
      <c r="PP93" s="205">
        <f t="shared" si="889"/>
        <v>0</v>
      </c>
      <c r="PQ93" s="205">
        <f t="shared" si="890"/>
        <v>440</v>
      </c>
      <c r="PR93" s="207"/>
      <c r="PS93" s="124">
        <v>600</v>
      </c>
      <c r="PT93" s="207"/>
      <c r="PU93" s="207"/>
      <c r="PV93" s="207"/>
      <c r="PW93" s="272"/>
      <c r="PX93" s="272"/>
      <c r="PY93" s="205">
        <f t="shared" si="891"/>
        <v>600</v>
      </c>
      <c r="PZ93" s="207"/>
      <c r="QA93" s="207"/>
      <c r="QB93" s="207"/>
      <c r="QC93" s="207"/>
      <c r="QD93" s="207"/>
      <c r="QE93" s="272"/>
      <c r="QF93" s="272"/>
      <c r="QG93" s="205">
        <f t="shared" si="892"/>
        <v>0</v>
      </c>
      <c r="QH93" s="207"/>
      <c r="QI93" s="207"/>
      <c r="QJ93" s="294"/>
      <c r="QK93" s="207"/>
      <c r="QL93" s="207"/>
      <c r="QM93" s="272"/>
      <c r="QN93" s="272"/>
      <c r="QO93" s="205">
        <f t="shared" si="893"/>
        <v>0</v>
      </c>
      <c r="QP93" s="124">
        <v>272</v>
      </c>
      <c r="QQ93" s="207"/>
      <c r="QR93" s="207"/>
      <c r="QS93" s="207"/>
      <c r="QT93" s="207"/>
      <c r="QU93" s="272"/>
      <c r="QV93" s="272"/>
      <c r="QW93" s="205">
        <f t="shared" si="894"/>
        <v>272</v>
      </c>
      <c r="QX93" s="205">
        <f t="shared" si="895"/>
        <v>872</v>
      </c>
      <c r="QY93" s="207"/>
      <c r="QZ93" s="207"/>
      <c r="RA93" s="207"/>
      <c r="RB93" s="207"/>
      <c r="RC93" s="207"/>
      <c r="RD93" s="272"/>
      <c r="RE93" s="272"/>
      <c r="RF93" s="205">
        <f t="shared" si="896"/>
        <v>0</v>
      </c>
      <c r="RG93" s="207"/>
      <c r="RH93" s="207"/>
      <c r="RI93" s="201">
        <v>904</v>
      </c>
      <c r="RJ93" s="207"/>
      <c r="RK93" s="207"/>
      <c r="RL93" s="272"/>
      <c r="RM93" s="272"/>
      <c r="RN93" s="205">
        <f t="shared" si="897"/>
        <v>904</v>
      </c>
      <c r="RO93" s="272"/>
      <c r="RP93" s="272"/>
      <c r="RQ93" s="272"/>
      <c r="RR93" s="272"/>
      <c r="RS93" s="272"/>
      <c r="RT93" s="272"/>
      <c r="RU93" s="272"/>
      <c r="RV93" s="205">
        <f t="shared" si="898"/>
        <v>0</v>
      </c>
      <c r="RW93" s="207"/>
      <c r="RX93" s="207"/>
      <c r="RY93" s="207"/>
      <c r="RZ93" s="207"/>
      <c r="SA93" s="272"/>
      <c r="SB93" s="272"/>
      <c r="SC93" s="272"/>
      <c r="SD93" s="205">
        <f t="shared" si="899"/>
        <v>0</v>
      </c>
      <c r="SE93" s="205">
        <f t="shared" si="900"/>
        <v>904</v>
      </c>
      <c r="SF93" s="207"/>
      <c r="SG93" s="207"/>
      <c r="SH93" s="207"/>
      <c r="SI93" s="195">
        <v>500</v>
      </c>
      <c r="SJ93" s="207"/>
      <c r="SK93" s="272"/>
      <c r="SL93" s="272"/>
      <c r="SM93" s="205">
        <f t="shared" si="901"/>
        <v>500</v>
      </c>
      <c r="SN93" s="207"/>
      <c r="SO93" s="207"/>
      <c r="SP93" s="207"/>
      <c r="SQ93" s="207"/>
      <c r="SR93" s="207"/>
      <c r="SS93" s="272"/>
      <c r="ST93" s="272"/>
      <c r="SU93" s="205">
        <f t="shared" si="902"/>
        <v>0</v>
      </c>
      <c r="SV93" s="207"/>
      <c r="SW93" s="217">
        <v>500</v>
      </c>
      <c r="SX93" s="207"/>
      <c r="SY93" s="207"/>
      <c r="SZ93" s="207"/>
      <c r="TA93" s="272"/>
      <c r="TB93" s="272"/>
      <c r="TC93" s="205">
        <f t="shared" si="903"/>
        <v>500</v>
      </c>
      <c r="TD93" s="207"/>
      <c r="TE93" s="207"/>
      <c r="TF93" s="207"/>
      <c r="TG93" s="207"/>
      <c r="TH93" s="207"/>
      <c r="TI93" s="272"/>
      <c r="TJ93" s="272"/>
      <c r="TK93" s="205">
        <f t="shared" si="904"/>
        <v>0</v>
      </c>
      <c r="TL93" s="207"/>
      <c r="TM93" s="207"/>
      <c r="TN93" s="207"/>
      <c r="TO93" s="207"/>
      <c r="TP93" s="272"/>
      <c r="TQ93" s="272"/>
      <c r="TR93" s="272"/>
      <c r="TS93" s="205">
        <f t="shared" si="905"/>
        <v>0</v>
      </c>
      <c r="TT93" s="205">
        <f t="shared" si="906"/>
        <v>1000</v>
      </c>
      <c r="TU93" s="272"/>
      <c r="TV93" s="207"/>
      <c r="TW93" s="207"/>
      <c r="TX93" s="195">
        <v>532</v>
      </c>
      <c r="TY93" s="207"/>
      <c r="TZ93" s="272"/>
      <c r="UA93" s="272"/>
      <c r="UB93" s="205">
        <f t="shared" si="907"/>
        <v>532</v>
      </c>
      <c r="UC93" s="207"/>
      <c r="UD93" s="207"/>
      <c r="UE93" s="207"/>
      <c r="UF93" s="207"/>
      <c r="UG93" s="207"/>
      <c r="UH93" s="272"/>
      <c r="UI93" s="272"/>
      <c r="UJ93" s="205">
        <f t="shared" si="908"/>
        <v>0</v>
      </c>
      <c r="UK93" s="207"/>
      <c r="UL93" s="207"/>
      <c r="UM93" s="207"/>
      <c r="UN93" s="207"/>
      <c r="UO93" s="207"/>
      <c r="UP93" s="272"/>
      <c r="UQ93" s="272"/>
      <c r="UR93" s="205">
        <f t="shared" si="909"/>
        <v>0</v>
      </c>
      <c r="US93" s="207"/>
      <c r="UT93" s="207"/>
      <c r="UU93" s="207"/>
      <c r="UV93" s="207"/>
      <c r="UW93" s="272"/>
      <c r="UX93" s="272"/>
      <c r="UY93" s="272"/>
      <c r="UZ93" s="205">
        <f t="shared" si="910"/>
        <v>0</v>
      </c>
      <c r="VA93" s="205">
        <f t="shared" si="911"/>
        <v>532</v>
      </c>
      <c r="VB93" s="207"/>
      <c r="VC93" s="207"/>
      <c r="VD93" s="207"/>
      <c r="VE93" s="207"/>
      <c r="VF93" s="207"/>
      <c r="VG93" s="272"/>
      <c r="VH93" s="272"/>
      <c r="VI93" s="205">
        <f t="shared" si="912"/>
        <v>0</v>
      </c>
      <c r="VJ93" s="207"/>
      <c r="VK93" s="207"/>
      <c r="VL93" s="201">
        <v>332</v>
      </c>
      <c r="VM93" s="207"/>
      <c r="VN93" s="207"/>
      <c r="VO93" s="272"/>
      <c r="VP93" s="272"/>
      <c r="VQ93" s="205">
        <f t="shared" si="913"/>
        <v>332</v>
      </c>
      <c r="VR93" s="207"/>
      <c r="VS93" s="207"/>
      <c r="VT93" s="207"/>
      <c r="VU93" s="207"/>
      <c r="VV93" s="207"/>
      <c r="VW93" s="272"/>
      <c r="VX93" s="272"/>
      <c r="VY93" s="205">
        <f t="shared" si="914"/>
        <v>0</v>
      </c>
      <c r="VZ93" s="207"/>
      <c r="WA93" s="207"/>
      <c r="WB93" s="207"/>
      <c r="WC93" s="207"/>
      <c r="WD93" s="207"/>
      <c r="WE93" s="272"/>
      <c r="WF93" s="272"/>
      <c r="WG93" s="205">
        <f t="shared" si="915"/>
        <v>0</v>
      </c>
      <c r="WH93" s="205">
        <f t="shared" si="916"/>
        <v>332</v>
      </c>
      <c r="WI93" s="207"/>
      <c r="WJ93" s="207"/>
      <c r="WK93" s="207"/>
      <c r="WL93" s="207"/>
      <c r="WM93" s="207"/>
      <c r="WN93" s="272"/>
      <c r="WO93" s="272"/>
      <c r="WP93" s="205">
        <f t="shared" si="917"/>
        <v>0</v>
      </c>
      <c r="WQ93" s="207"/>
      <c r="WR93" s="207"/>
      <c r="WS93" s="207"/>
      <c r="WT93" s="207"/>
      <c r="WU93" s="207"/>
      <c r="WV93" s="272"/>
      <c r="WW93" s="272"/>
      <c r="WX93" s="205">
        <f t="shared" si="918"/>
        <v>0</v>
      </c>
      <c r="WY93" s="207"/>
      <c r="WZ93" s="207"/>
      <c r="XA93" s="207"/>
      <c r="XB93" s="207"/>
      <c r="XC93" s="272"/>
      <c r="XD93" s="272"/>
      <c r="XE93" s="272"/>
      <c r="XF93" s="205">
        <f t="shared" si="919"/>
        <v>0</v>
      </c>
      <c r="XG93" s="207"/>
      <c r="XH93" s="207"/>
      <c r="XI93" s="207"/>
      <c r="XJ93" s="207"/>
      <c r="XK93" s="207"/>
      <c r="XL93" s="272"/>
      <c r="XM93" s="272"/>
      <c r="XN93" s="205">
        <f t="shared" si="920"/>
        <v>0</v>
      </c>
      <c r="XO93" s="207"/>
      <c r="XP93" s="207"/>
      <c r="XQ93" s="207"/>
      <c r="XR93" s="207"/>
      <c r="XS93" s="207"/>
      <c r="XT93" s="272"/>
      <c r="XU93" s="272"/>
      <c r="XV93" s="205">
        <f t="shared" si="921"/>
        <v>0</v>
      </c>
      <c r="XW93" s="205">
        <f t="shared" si="922"/>
        <v>0</v>
      </c>
      <c r="XX93" s="207"/>
      <c r="XY93" s="207"/>
      <c r="XZ93" s="207"/>
      <c r="YA93" s="207"/>
      <c r="YB93" s="207"/>
      <c r="YC93" s="272"/>
      <c r="YD93" s="272"/>
      <c r="YE93" s="205">
        <f t="shared" si="923"/>
        <v>0</v>
      </c>
      <c r="YF93" s="207"/>
      <c r="YG93" s="207"/>
      <c r="YH93" s="207"/>
      <c r="YI93" s="207"/>
      <c r="YJ93" s="207"/>
      <c r="YK93" s="272"/>
      <c r="YL93" s="272"/>
      <c r="YM93" s="205">
        <f t="shared" si="924"/>
        <v>0</v>
      </c>
      <c r="YN93" s="207"/>
      <c r="YO93" s="207"/>
      <c r="YP93" s="207"/>
      <c r="YQ93" s="207"/>
      <c r="YR93" s="207"/>
      <c r="YS93" s="272"/>
      <c r="YT93" s="272"/>
      <c r="YU93" s="205">
        <f t="shared" si="925"/>
        <v>0</v>
      </c>
      <c r="YV93" s="207"/>
      <c r="YW93" s="207"/>
      <c r="YX93" s="207"/>
      <c r="YY93" s="207"/>
      <c r="YZ93" s="207"/>
      <c r="ZA93" s="272"/>
      <c r="ZB93" s="272"/>
      <c r="ZC93" s="205">
        <f t="shared" si="926"/>
        <v>0</v>
      </c>
      <c r="ZD93" s="205">
        <f t="shared" si="927"/>
        <v>0</v>
      </c>
      <c r="ZE93" s="207"/>
      <c r="ZF93" s="207"/>
      <c r="ZG93" s="207"/>
      <c r="ZH93" s="207"/>
      <c r="ZI93" s="207"/>
      <c r="ZJ93" s="272"/>
      <c r="ZK93" s="272"/>
      <c r="ZL93" s="205">
        <f t="shared" si="928"/>
        <v>0</v>
      </c>
      <c r="ZM93" s="207"/>
      <c r="ZN93" s="207"/>
      <c r="ZO93" s="207"/>
      <c r="ZP93" s="207"/>
      <c r="ZQ93" s="207"/>
      <c r="ZR93" s="272"/>
      <c r="ZS93" s="272"/>
      <c r="ZT93" s="205">
        <f t="shared" si="929"/>
        <v>0</v>
      </c>
      <c r="ZU93" s="207"/>
      <c r="ZV93" s="207"/>
      <c r="ZW93" s="207"/>
      <c r="ZX93" s="207"/>
      <c r="ZY93" s="207"/>
      <c r="ZZ93" s="272"/>
      <c r="AAA93" s="272"/>
      <c r="AAB93" s="205">
        <f t="shared" si="930"/>
        <v>0</v>
      </c>
      <c r="AAC93" s="207"/>
      <c r="AAD93" s="207"/>
      <c r="AAE93" s="207"/>
      <c r="AAF93" s="207"/>
      <c r="AAG93" s="207"/>
      <c r="AAH93" s="272"/>
      <c r="AAI93" s="272"/>
      <c r="AAJ93" s="205">
        <f t="shared" si="931"/>
        <v>0</v>
      </c>
      <c r="AAK93" s="207"/>
      <c r="AAL93" s="207"/>
      <c r="AAM93" s="207"/>
      <c r="AAN93" s="207"/>
      <c r="AAO93" s="207"/>
      <c r="AAP93" s="272"/>
      <c r="AAQ93" s="272"/>
      <c r="AAR93" s="205">
        <f t="shared" si="932"/>
        <v>0</v>
      </c>
      <c r="AAS93" s="205">
        <f t="shared" si="933"/>
        <v>0</v>
      </c>
    </row>
    <row r="94" spans="1:721" s="226" customFormat="1" ht="69.95" customHeight="1">
      <c r="A94" s="221"/>
      <c r="B94" s="151">
        <v>3630101465</v>
      </c>
      <c r="C94" s="323" t="s">
        <v>741</v>
      </c>
      <c r="D94" s="152" t="s">
        <v>790</v>
      </c>
      <c r="E94" s="130" t="s">
        <v>4</v>
      </c>
      <c r="F94" s="120"/>
      <c r="G94" s="120"/>
      <c r="H94" s="120"/>
      <c r="I94" s="120"/>
      <c r="J94" s="120"/>
      <c r="K94" s="209"/>
      <c r="L94" s="205"/>
      <c r="M94" s="205">
        <f t="shared" ref="M94" si="1061">SUM(F94:L94)</f>
        <v>0</v>
      </c>
      <c r="N94" s="120"/>
      <c r="O94" s="120"/>
      <c r="P94" s="120"/>
      <c r="Q94" s="120"/>
      <c r="R94" s="120"/>
      <c r="S94" s="209"/>
      <c r="T94" s="205"/>
      <c r="U94" s="205">
        <f t="shared" ref="U94" si="1062">SUM(N94:T94)</f>
        <v>0</v>
      </c>
      <c r="V94" s="120"/>
      <c r="W94" s="120"/>
      <c r="X94" s="120"/>
      <c r="Y94" s="120"/>
      <c r="Z94" s="120"/>
      <c r="AA94" s="209"/>
      <c r="AB94" s="205"/>
      <c r="AC94" s="205">
        <f t="shared" ref="AC94" si="1063">SUM(V94:AB94)</f>
        <v>0</v>
      </c>
      <c r="AD94" s="205"/>
      <c r="AE94" s="205"/>
      <c r="AF94" s="205"/>
      <c r="AG94" s="205"/>
      <c r="AH94" s="205"/>
      <c r="AI94" s="209"/>
      <c r="AJ94" s="205"/>
      <c r="AK94" s="205">
        <f t="shared" ref="AK94" si="1064">SUM(AD94:AJ94)</f>
        <v>0</v>
      </c>
      <c r="AL94" s="205" t="e">
        <f>SUM(#REF!,M94,U94,AC94,AD94:AH94)</f>
        <v>#REF!</v>
      </c>
      <c r="AM94" s="120"/>
      <c r="AN94" s="120"/>
      <c r="AO94" s="120"/>
      <c r="AP94" s="120"/>
      <c r="AQ94" s="120"/>
      <c r="AR94" s="209"/>
      <c r="AS94" s="205"/>
      <c r="AT94" s="205">
        <f t="shared" si="1052"/>
        <v>0</v>
      </c>
      <c r="AU94" s="120"/>
      <c r="AV94" s="120"/>
      <c r="AW94" s="120"/>
      <c r="AX94" s="120"/>
      <c r="AY94" s="120"/>
      <c r="AZ94" s="209"/>
      <c r="BA94" s="205"/>
      <c r="BB94" s="205">
        <f t="shared" si="1053"/>
        <v>0</v>
      </c>
      <c r="BC94" s="120"/>
      <c r="BD94" s="120"/>
      <c r="BE94" s="120"/>
      <c r="BF94" s="120"/>
      <c r="BG94" s="120"/>
      <c r="BH94" s="209"/>
      <c r="BI94" s="205"/>
      <c r="BJ94" s="205">
        <f t="shared" si="1054"/>
        <v>0</v>
      </c>
      <c r="BK94" s="120"/>
      <c r="BL94" s="120"/>
      <c r="BM94" s="120"/>
      <c r="BN94" s="120"/>
      <c r="BO94" s="205"/>
      <c r="BP94" s="209"/>
      <c r="BQ94" s="205"/>
      <c r="BR94" s="205">
        <f t="shared" si="1055"/>
        <v>0</v>
      </c>
      <c r="BS94" s="205">
        <f t="shared" ref="BS94" si="1065">SUM(AI94:AJ94,AT94,BB94,BJ94,BK94:BO94)</f>
        <v>0</v>
      </c>
      <c r="BT94" s="120"/>
      <c r="BU94" s="120"/>
      <c r="BV94" s="120"/>
      <c r="BW94" s="120"/>
      <c r="BX94" s="120"/>
      <c r="BY94" s="209"/>
      <c r="BZ94" s="205"/>
      <c r="CA94" s="205">
        <f t="shared" si="1056"/>
        <v>0</v>
      </c>
      <c r="CB94" s="120"/>
      <c r="CC94" s="120"/>
      <c r="CD94" s="120"/>
      <c r="CE94" s="120"/>
      <c r="CF94" s="120"/>
      <c r="CG94" s="209"/>
      <c r="CH94" s="205"/>
      <c r="CI94" s="205">
        <f t="shared" si="1057"/>
        <v>0</v>
      </c>
      <c r="CJ94" s="120"/>
      <c r="CK94" s="120"/>
      <c r="CL94" s="120"/>
      <c r="CM94" s="120"/>
      <c r="CN94" s="120"/>
      <c r="CO94" s="209"/>
      <c r="CP94" s="205"/>
      <c r="CQ94" s="205">
        <f t="shared" si="1058"/>
        <v>0</v>
      </c>
      <c r="CR94" s="120"/>
      <c r="CS94" s="120"/>
      <c r="CT94" s="120"/>
      <c r="CU94" s="120"/>
      <c r="CV94" s="120"/>
      <c r="CW94" s="209"/>
      <c r="CX94" s="205"/>
      <c r="CY94" s="205">
        <f t="shared" si="1059"/>
        <v>0</v>
      </c>
      <c r="CZ94" s="120"/>
      <c r="DA94" s="120"/>
      <c r="DB94" s="120"/>
      <c r="DC94" s="205"/>
      <c r="DD94" s="205"/>
      <c r="DE94" s="209"/>
      <c r="DF94" s="205"/>
      <c r="DG94" s="205">
        <f t="shared" si="1060"/>
        <v>0</v>
      </c>
      <c r="DH94" s="205">
        <f t="shared" ref="DH94" si="1066">SUM(CA94,CI94,CQ94,CY94,CZ94)</f>
        <v>0</v>
      </c>
      <c r="DI94" s="120"/>
      <c r="DJ94" s="120"/>
      <c r="DK94" s="120"/>
      <c r="DL94" s="120"/>
      <c r="DM94" s="120"/>
      <c r="DN94" s="209"/>
      <c r="DO94" s="205"/>
      <c r="DP94" s="205">
        <f t="shared" ref="DP94" si="1067">SUM(DI94:DO94)</f>
        <v>0</v>
      </c>
      <c r="DQ94" s="120"/>
      <c r="DR94" s="120"/>
      <c r="DS94" s="120"/>
      <c r="DT94" s="120"/>
      <c r="DU94" s="120"/>
      <c r="DV94" s="209"/>
      <c r="DW94" s="205"/>
      <c r="DX94" s="205">
        <f t="shared" ref="DX94" si="1068">SUM(DQ94:DW94)</f>
        <v>0</v>
      </c>
      <c r="DY94" s="120"/>
      <c r="DZ94" s="120"/>
      <c r="EA94" s="120"/>
      <c r="EB94" s="120"/>
      <c r="EC94" s="120"/>
      <c r="ED94" s="209"/>
      <c r="EE94" s="205"/>
      <c r="EF94" s="205">
        <f t="shared" ref="EF94" si="1069">SUM(DY94:EE94)</f>
        <v>0</v>
      </c>
      <c r="EG94" s="120"/>
      <c r="EH94" s="120"/>
      <c r="EI94" s="120"/>
      <c r="EJ94" s="205"/>
      <c r="EK94" s="205"/>
      <c r="EL94" s="209"/>
      <c r="EM94" s="205"/>
      <c r="EN94" s="205">
        <f t="shared" ref="EN94" si="1070">SUM(EG94:EM94)</f>
        <v>0</v>
      </c>
      <c r="EO94" s="205">
        <f t="shared" ref="EO94" si="1071">SUM(DA94:DF94,DP94,DX94,EF94,EG94:EI94)</f>
        <v>0</v>
      </c>
      <c r="EP94" s="120"/>
      <c r="EQ94" s="120"/>
      <c r="ER94" s="120"/>
      <c r="ES94" s="120"/>
      <c r="ET94" s="120"/>
      <c r="EU94" s="209"/>
      <c r="EV94" s="205"/>
      <c r="EW94" s="205">
        <f t="shared" ref="EW94" si="1072">SUM(EP94:EV94)</f>
        <v>0</v>
      </c>
      <c r="EX94" s="120"/>
      <c r="EY94" s="120"/>
      <c r="EZ94" s="120"/>
      <c r="FA94" s="120"/>
      <c r="FB94" s="120"/>
      <c r="FC94" s="209"/>
      <c r="FD94" s="205"/>
      <c r="FE94" s="205">
        <f t="shared" ref="FE94" si="1073">SUM(EX94:FD94)</f>
        <v>0</v>
      </c>
      <c r="FF94" s="120"/>
      <c r="FG94" s="120"/>
      <c r="FH94" s="120"/>
      <c r="FI94" s="120"/>
      <c r="FJ94" s="120"/>
      <c r="FK94" s="209"/>
      <c r="FL94" s="205"/>
      <c r="FM94" s="205">
        <f t="shared" ref="FM94" si="1074">SUM(FF94:FL94)</f>
        <v>0</v>
      </c>
      <c r="FN94" s="120"/>
      <c r="FO94" s="120"/>
      <c r="FP94" s="120"/>
      <c r="FQ94" s="120"/>
      <c r="FR94" s="205"/>
      <c r="FS94" s="209"/>
      <c r="FT94" s="205"/>
      <c r="FU94" s="205">
        <f t="shared" ref="FU94" si="1075">SUM(FN94:FT94)</f>
        <v>0</v>
      </c>
      <c r="FV94" s="205">
        <f t="shared" ref="FV94" si="1076">SUM(EJ94:EK94,EW94,FE94,FM94,FU94)</f>
        <v>0</v>
      </c>
      <c r="FW94" s="120"/>
      <c r="FX94" s="120"/>
      <c r="FY94" s="120"/>
      <c r="FZ94" s="120"/>
      <c r="GA94" s="120"/>
      <c r="GB94" s="209"/>
      <c r="GC94" s="205"/>
      <c r="GD94" s="205">
        <f t="shared" ref="GD94" si="1077">SUM(FW94:GC94)</f>
        <v>0</v>
      </c>
      <c r="GE94" s="120"/>
      <c r="GF94" s="120"/>
      <c r="GG94" s="120"/>
      <c r="GH94" s="120"/>
      <c r="GI94" s="120"/>
      <c r="GJ94" s="209"/>
      <c r="GK94" s="205"/>
      <c r="GL94" s="205">
        <f t="shared" ref="GL94" si="1078">SUM(GE94:GK94)</f>
        <v>0</v>
      </c>
      <c r="GM94" s="120"/>
      <c r="GN94" s="120"/>
      <c r="GO94" s="120"/>
      <c r="GP94" s="120"/>
      <c r="GQ94" s="120"/>
      <c r="GR94" s="209"/>
      <c r="GS94" s="205"/>
      <c r="GT94" s="205">
        <f t="shared" ref="GT94" si="1079">SUM(GM94:GS94)</f>
        <v>0</v>
      </c>
      <c r="GU94" s="120"/>
      <c r="GV94" s="120"/>
      <c r="GW94" s="120"/>
      <c r="GX94" s="120"/>
      <c r="GY94" s="120"/>
      <c r="GZ94" s="209"/>
      <c r="HA94" s="205"/>
      <c r="HB94" s="205">
        <f t="shared" ref="HB94" si="1080">SUM(GU94:HA94)</f>
        <v>0</v>
      </c>
      <c r="HC94" s="120"/>
      <c r="HD94" s="120"/>
      <c r="HE94" s="120"/>
      <c r="HF94" s="120"/>
      <c r="HG94" s="120"/>
      <c r="HH94" s="209"/>
      <c r="HI94" s="205"/>
      <c r="HJ94" s="205">
        <f t="shared" ref="HJ94" si="1081">SUM(HC94:HI94)</f>
        <v>0</v>
      </c>
      <c r="HK94" s="205">
        <f t="shared" ref="HK94" si="1082">SUM(GD94,GL94,GT94,HB94,HC94)</f>
        <v>0</v>
      </c>
      <c r="HL94" s="124"/>
      <c r="HM94" s="120"/>
      <c r="HN94" s="120"/>
      <c r="HO94" s="120"/>
      <c r="HP94" s="120"/>
      <c r="HQ94" s="205"/>
      <c r="HR94" s="205"/>
      <c r="HS94" s="205">
        <f t="shared" si="934"/>
        <v>0</v>
      </c>
      <c r="HT94" s="120"/>
      <c r="HU94" s="120"/>
      <c r="HV94" s="120"/>
      <c r="HW94" s="120"/>
      <c r="HX94" s="120"/>
      <c r="HY94" s="205"/>
      <c r="HZ94" s="205"/>
      <c r="IA94" s="205">
        <f t="shared" si="935"/>
        <v>0</v>
      </c>
      <c r="IB94" s="120"/>
      <c r="IC94" s="120"/>
      <c r="ID94" s="120"/>
      <c r="IE94" s="120"/>
      <c r="IF94" s="120"/>
      <c r="IG94" s="205"/>
      <c r="IH94" s="205"/>
      <c r="II94" s="205">
        <f t="shared" si="936"/>
        <v>0</v>
      </c>
      <c r="IJ94" s="120"/>
      <c r="IK94" s="120"/>
      <c r="IL94" s="120"/>
      <c r="IM94" s="120"/>
      <c r="IN94" s="120"/>
      <c r="IO94" s="205"/>
      <c r="IP94" s="205"/>
      <c r="IQ94" s="205">
        <f t="shared" si="937"/>
        <v>0</v>
      </c>
      <c r="IR94" s="205">
        <f t="shared" si="938"/>
        <v>0</v>
      </c>
      <c r="IS94" s="120"/>
      <c r="IT94" s="120"/>
      <c r="IU94" s="120"/>
      <c r="IV94" s="120"/>
      <c r="IW94" s="120"/>
      <c r="IX94" s="205"/>
      <c r="IY94" s="205"/>
      <c r="IZ94" s="205">
        <f t="shared" si="939"/>
        <v>0</v>
      </c>
      <c r="JA94" s="120"/>
      <c r="JB94" s="120"/>
      <c r="JC94" s="120"/>
      <c r="JD94" s="120"/>
      <c r="JE94" s="120"/>
      <c r="JF94" s="205"/>
      <c r="JG94" s="205"/>
      <c r="JH94" s="205">
        <f t="shared" si="940"/>
        <v>0</v>
      </c>
      <c r="JI94" s="120"/>
      <c r="JJ94" s="120"/>
      <c r="JK94" s="120"/>
      <c r="JL94" s="120"/>
      <c r="JM94" s="120"/>
      <c r="JN94" s="205"/>
      <c r="JO94" s="205"/>
      <c r="JP94" s="205">
        <f t="shared" si="941"/>
        <v>0</v>
      </c>
      <c r="JQ94" s="120"/>
      <c r="JR94" s="120"/>
      <c r="JS94" s="201">
        <v>252</v>
      </c>
      <c r="JT94" s="120"/>
      <c r="JU94" s="120"/>
      <c r="JV94" s="205"/>
      <c r="JW94" s="205"/>
      <c r="JX94" s="205">
        <f t="shared" si="942"/>
        <v>252</v>
      </c>
      <c r="JY94" s="205">
        <f t="shared" si="943"/>
        <v>252</v>
      </c>
      <c r="JZ94" s="120"/>
      <c r="KA94" s="120"/>
      <c r="KB94" s="120"/>
      <c r="KC94" s="120"/>
      <c r="KD94" s="120"/>
      <c r="KE94" s="205"/>
      <c r="KF94" s="205"/>
      <c r="KG94" s="205">
        <f t="shared" si="944"/>
        <v>0</v>
      </c>
      <c r="KH94" s="120"/>
      <c r="KI94" s="120"/>
      <c r="KJ94" s="120"/>
      <c r="KK94" s="120"/>
      <c r="KL94" s="120"/>
      <c r="KM94" s="205"/>
      <c r="KN94" s="205"/>
      <c r="KO94" s="205">
        <f t="shared" si="945"/>
        <v>0</v>
      </c>
      <c r="KP94" s="120"/>
      <c r="KQ94" s="120"/>
      <c r="KR94" s="120"/>
      <c r="KS94" s="120"/>
      <c r="KT94" s="120"/>
      <c r="KU94" s="205"/>
      <c r="KV94" s="205"/>
      <c r="KW94" s="205">
        <f t="shared" si="946"/>
        <v>0</v>
      </c>
      <c r="KX94" s="120"/>
      <c r="KY94" s="120"/>
      <c r="KZ94" s="120"/>
      <c r="LA94" s="120"/>
      <c r="LB94" s="120"/>
      <c r="LC94" s="205"/>
      <c r="LD94" s="205"/>
      <c r="LE94" s="205">
        <f t="shared" si="947"/>
        <v>0</v>
      </c>
      <c r="LF94" s="205"/>
      <c r="LG94" s="120"/>
      <c r="LH94" s="120"/>
      <c r="LI94" s="120"/>
      <c r="LJ94" s="120"/>
      <c r="LK94" s="205"/>
      <c r="LL94" s="205"/>
      <c r="LM94" s="205">
        <f t="shared" si="948"/>
        <v>0</v>
      </c>
      <c r="LN94" s="205">
        <f t="shared" si="949"/>
        <v>0</v>
      </c>
      <c r="LO94" s="205"/>
      <c r="LP94" s="120"/>
      <c r="LQ94" s="120"/>
      <c r="LR94" s="120"/>
      <c r="LS94" s="205"/>
      <c r="LT94" s="205"/>
      <c r="LU94" s="205"/>
      <c r="LV94" s="205">
        <f t="shared" si="950"/>
        <v>0</v>
      </c>
      <c r="LW94" s="120"/>
      <c r="LX94" s="120"/>
      <c r="LY94" s="120"/>
      <c r="LZ94" s="120"/>
      <c r="MA94" s="120"/>
      <c r="MB94" s="205"/>
      <c r="MC94" s="205"/>
      <c r="MD94" s="205">
        <f t="shared" si="951"/>
        <v>0</v>
      </c>
      <c r="ME94" s="201">
        <v>204</v>
      </c>
      <c r="MF94" s="120"/>
      <c r="MG94" s="120"/>
      <c r="MH94" s="120"/>
      <c r="MI94" s="205"/>
      <c r="MJ94" s="205"/>
      <c r="MK94" s="205"/>
      <c r="ML94" s="205">
        <f t="shared" si="952"/>
        <v>204</v>
      </c>
      <c r="MM94" s="120"/>
      <c r="MN94" s="120"/>
      <c r="MO94" s="120"/>
      <c r="MP94" s="120"/>
      <c r="MQ94" s="120"/>
      <c r="MR94" s="205"/>
      <c r="MS94" s="205"/>
      <c r="MT94" s="205">
        <f t="shared" si="953"/>
        <v>0</v>
      </c>
      <c r="MU94" s="205">
        <f t="shared" si="954"/>
        <v>204</v>
      </c>
      <c r="MV94" s="120"/>
      <c r="MW94" s="120"/>
      <c r="MX94" s="120"/>
      <c r="MY94" s="120"/>
      <c r="MZ94" s="120"/>
      <c r="NA94" s="205"/>
      <c r="NB94" s="205"/>
      <c r="NC94" s="205">
        <f t="shared" si="880"/>
        <v>0</v>
      </c>
      <c r="ND94" s="120"/>
      <c r="NE94" s="120"/>
      <c r="NF94" s="120"/>
      <c r="NG94" s="120"/>
      <c r="NH94" s="120"/>
      <c r="NI94" s="205"/>
      <c r="NJ94" s="205"/>
      <c r="NK94" s="205">
        <f t="shared" si="881"/>
        <v>0</v>
      </c>
      <c r="NL94" s="120"/>
      <c r="NM94" s="120"/>
      <c r="NN94" s="120"/>
      <c r="NO94" s="120"/>
      <c r="NP94" s="120"/>
      <c r="NQ94" s="205"/>
      <c r="NR94" s="205"/>
      <c r="NS94" s="205">
        <f t="shared" si="882"/>
        <v>0</v>
      </c>
      <c r="NT94" s="120"/>
      <c r="NU94" s="120"/>
      <c r="NV94" s="120"/>
      <c r="NW94" s="120"/>
      <c r="NX94" s="120"/>
      <c r="NY94" s="205"/>
      <c r="NZ94" s="205"/>
      <c r="OA94" s="205">
        <f t="shared" si="883"/>
        <v>0</v>
      </c>
      <c r="OB94" s="205">
        <f t="shared" si="884"/>
        <v>0</v>
      </c>
      <c r="OC94" s="120"/>
      <c r="OD94" s="120"/>
      <c r="OE94" s="120"/>
      <c r="OF94" s="120"/>
      <c r="OG94" s="120"/>
      <c r="OH94" s="205"/>
      <c r="OI94" s="205"/>
      <c r="OJ94" s="205">
        <f t="shared" si="885"/>
        <v>0</v>
      </c>
      <c r="OK94" s="195">
        <v>60</v>
      </c>
      <c r="OL94" s="120"/>
      <c r="OM94" s="120"/>
      <c r="ON94" s="120"/>
      <c r="OO94" s="120"/>
      <c r="OP94" s="205"/>
      <c r="OQ94" s="205"/>
      <c r="OR94" s="205">
        <f t="shared" si="886"/>
        <v>60</v>
      </c>
      <c r="OS94" s="120"/>
      <c r="OT94" s="120"/>
      <c r="OU94" s="120"/>
      <c r="OV94" s="120"/>
      <c r="OW94" s="120"/>
      <c r="OX94" s="205"/>
      <c r="OY94" s="205"/>
      <c r="OZ94" s="205">
        <f t="shared" si="887"/>
        <v>0</v>
      </c>
      <c r="PA94" s="120"/>
      <c r="PB94" s="120"/>
      <c r="PC94" s="120"/>
      <c r="PD94" s="205"/>
      <c r="PE94" s="217"/>
      <c r="PF94" s="205"/>
      <c r="PG94" s="205"/>
      <c r="PH94" s="205">
        <f t="shared" si="888"/>
        <v>0</v>
      </c>
      <c r="PI94" s="120"/>
      <c r="PJ94" s="120"/>
      <c r="PK94" s="120"/>
      <c r="PL94" s="205"/>
      <c r="PM94" s="217"/>
      <c r="PN94" s="205"/>
      <c r="PO94" s="205"/>
      <c r="PP94" s="205">
        <f t="shared" si="889"/>
        <v>0</v>
      </c>
      <c r="PQ94" s="205">
        <f t="shared" si="890"/>
        <v>60</v>
      </c>
      <c r="PR94" s="207"/>
      <c r="PS94" s="207"/>
      <c r="PT94" s="207"/>
      <c r="PU94" s="207"/>
      <c r="PV94" s="207"/>
      <c r="PW94" s="272"/>
      <c r="PX94" s="272"/>
      <c r="PY94" s="205">
        <f t="shared" si="891"/>
        <v>0</v>
      </c>
      <c r="PZ94" s="207"/>
      <c r="QA94" s="207"/>
      <c r="QB94" s="207"/>
      <c r="QC94" s="207"/>
      <c r="QD94" s="207"/>
      <c r="QE94" s="272"/>
      <c r="QF94" s="272"/>
      <c r="QG94" s="205">
        <f t="shared" si="892"/>
        <v>0</v>
      </c>
      <c r="QH94" s="207"/>
      <c r="QI94" s="207"/>
      <c r="QJ94" s="294"/>
      <c r="QK94" s="207"/>
      <c r="QL94" s="207"/>
      <c r="QM94" s="272"/>
      <c r="QN94" s="272"/>
      <c r="QO94" s="205">
        <f t="shared" si="893"/>
        <v>0</v>
      </c>
      <c r="QP94" s="124">
        <v>228</v>
      </c>
      <c r="QQ94" s="207"/>
      <c r="QR94" s="207"/>
      <c r="QS94" s="207"/>
      <c r="QT94" s="207"/>
      <c r="QU94" s="272"/>
      <c r="QV94" s="272"/>
      <c r="QW94" s="205">
        <f t="shared" si="894"/>
        <v>228</v>
      </c>
      <c r="QX94" s="205">
        <f t="shared" si="895"/>
        <v>228</v>
      </c>
      <c r="QY94" s="207"/>
      <c r="QZ94" s="207"/>
      <c r="RA94" s="207"/>
      <c r="RB94" s="207"/>
      <c r="RC94" s="207"/>
      <c r="RD94" s="272"/>
      <c r="RE94" s="272"/>
      <c r="RF94" s="205">
        <f t="shared" si="896"/>
        <v>0</v>
      </c>
      <c r="RG94" s="207"/>
      <c r="RH94" s="207"/>
      <c r="RI94" s="201">
        <v>96</v>
      </c>
      <c r="RJ94" s="207"/>
      <c r="RK94" s="207"/>
      <c r="RL94" s="272"/>
      <c r="RM94" s="272"/>
      <c r="RN94" s="205">
        <f t="shared" si="897"/>
        <v>96</v>
      </c>
      <c r="RO94" s="272"/>
      <c r="RP94" s="272"/>
      <c r="RQ94" s="272"/>
      <c r="RR94" s="272"/>
      <c r="RS94" s="272"/>
      <c r="RT94" s="272"/>
      <c r="RU94" s="272"/>
      <c r="RV94" s="205">
        <f t="shared" si="898"/>
        <v>0</v>
      </c>
      <c r="RW94" s="207"/>
      <c r="RX94" s="207"/>
      <c r="RY94" s="207"/>
      <c r="RZ94" s="207"/>
      <c r="SA94" s="272"/>
      <c r="SB94" s="272"/>
      <c r="SC94" s="272"/>
      <c r="SD94" s="205">
        <f t="shared" si="899"/>
        <v>0</v>
      </c>
      <c r="SE94" s="205">
        <f t="shared" si="900"/>
        <v>96</v>
      </c>
      <c r="SF94" s="207"/>
      <c r="SG94" s="207"/>
      <c r="SH94" s="207"/>
      <c r="SI94" s="207"/>
      <c r="SJ94" s="207"/>
      <c r="SK94" s="272"/>
      <c r="SL94" s="272"/>
      <c r="SM94" s="205">
        <f t="shared" si="901"/>
        <v>0</v>
      </c>
      <c r="SN94" s="207"/>
      <c r="SO94" s="207"/>
      <c r="SP94" s="207"/>
      <c r="SQ94" s="207"/>
      <c r="SR94" s="207"/>
      <c r="SS94" s="272"/>
      <c r="ST94" s="272"/>
      <c r="SU94" s="205">
        <f t="shared" si="902"/>
        <v>0</v>
      </c>
      <c r="SV94" s="207"/>
      <c r="SW94" s="207"/>
      <c r="SX94" s="207"/>
      <c r="SY94" s="207"/>
      <c r="SZ94" s="207"/>
      <c r="TA94" s="272"/>
      <c r="TB94" s="272"/>
      <c r="TC94" s="205">
        <f t="shared" si="903"/>
        <v>0</v>
      </c>
      <c r="TD94" s="207"/>
      <c r="TE94" s="207"/>
      <c r="TF94" s="207"/>
      <c r="TG94" s="207"/>
      <c r="TH94" s="207"/>
      <c r="TI94" s="272"/>
      <c r="TJ94" s="272"/>
      <c r="TK94" s="205">
        <f t="shared" si="904"/>
        <v>0</v>
      </c>
      <c r="TL94" s="207"/>
      <c r="TM94" s="207"/>
      <c r="TN94" s="207"/>
      <c r="TO94" s="207"/>
      <c r="TP94" s="272"/>
      <c r="TQ94" s="272"/>
      <c r="TR94" s="272"/>
      <c r="TS94" s="205">
        <f t="shared" si="905"/>
        <v>0</v>
      </c>
      <c r="TT94" s="205">
        <f t="shared" si="906"/>
        <v>0</v>
      </c>
      <c r="TU94" s="272"/>
      <c r="TV94" s="207"/>
      <c r="TW94" s="207"/>
      <c r="TX94" s="195">
        <v>468</v>
      </c>
      <c r="TY94" s="207"/>
      <c r="TZ94" s="272"/>
      <c r="UA94" s="272"/>
      <c r="UB94" s="205">
        <f t="shared" si="907"/>
        <v>468</v>
      </c>
      <c r="UC94" s="207"/>
      <c r="UD94" s="207"/>
      <c r="UE94" s="207"/>
      <c r="UF94" s="207"/>
      <c r="UG94" s="207"/>
      <c r="UH94" s="272"/>
      <c r="UI94" s="272"/>
      <c r="UJ94" s="205">
        <f t="shared" si="908"/>
        <v>0</v>
      </c>
      <c r="UK94" s="207"/>
      <c r="UL94" s="207"/>
      <c r="UM94" s="207"/>
      <c r="UN94" s="207"/>
      <c r="UO94" s="207"/>
      <c r="UP94" s="272"/>
      <c r="UQ94" s="272"/>
      <c r="UR94" s="205">
        <f t="shared" si="909"/>
        <v>0</v>
      </c>
      <c r="US94" s="207"/>
      <c r="UT94" s="207"/>
      <c r="UU94" s="207"/>
      <c r="UV94" s="207"/>
      <c r="UW94" s="272"/>
      <c r="UX94" s="272"/>
      <c r="UY94" s="272"/>
      <c r="UZ94" s="205">
        <f t="shared" si="910"/>
        <v>0</v>
      </c>
      <c r="VA94" s="205">
        <f t="shared" si="911"/>
        <v>468</v>
      </c>
      <c r="VB94" s="207"/>
      <c r="VC94" s="207"/>
      <c r="VD94" s="207"/>
      <c r="VE94" s="207"/>
      <c r="VF94" s="207"/>
      <c r="VG94" s="272"/>
      <c r="VH94" s="272"/>
      <c r="VI94" s="205">
        <f t="shared" si="912"/>
        <v>0</v>
      </c>
      <c r="VJ94" s="207"/>
      <c r="VK94" s="207"/>
      <c r="VL94" s="201">
        <v>168</v>
      </c>
      <c r="VM94" s="207"/>
      <c r="VN94" s="207"/>
      <c r="VO94" s="272"/>
      <c r="VP94" s="272"/>
      <c r="VQ94" s="205">
        <f t="shared" si="913"/>
        <v>168</v>
      </c>
      <c r="VR94" s="207"/>
      <c r="VS94" s="207"/>
      <c r="VT94" s="207"/>
      <c r="VU94" s="207"/>
      <c r="VV94" s="207"/>
      <c r="VW94" s="272"/>
      <c r="VX94" s="272"/>
      <c r="VY94" s="205">
        <f t="shared" si="914"/>
        <v>0</v>
      </c>
      <c r="VZ94" s="207"/>
      <c r="WA94" s="207"/>
      <c r="WB94" s="207"/>
      <c r="WC94" s="207"/>
      <c r="WD94" s="207"/>
      <c r="WE94" s="272"/>
      <c r="WF94" s="272"/>
      <c r="WG94" s="205">
        <f t="shared" si="915"/>
        <v>0</v>
      </c>
      <c r="WH94" s="205">
        <f t="shared" si="916"/>
        <v>168</v>
      </c>
      <c r="WI94" s="207"/>
      <c r="WJ94" s="207"/>
      <c r="WK94" s="207"/>
      <c r="WL94" s="207"/>
      <c r="WM94" s="207"/>
      <c r="WN94" s="272"/>
      <c r="WO94" s="272"/>
      <c r="WP94" s="205">
        <f t="shared" si="917"/>
        <v>0</v>
      </c>
      <c r="WQ94" s="207"/>
      <c r="WR94" s="207"/>
      <c r="WS94" s="207"/>
      <c r="WT94" s="207"/>
      <c r="WU94" s="207"/>
      <c r="WV94" s="272"/>
      <c r="WW94" s="272"/>
      <c r="WX94" s="205">
        <f t="shared" si="918"/>
        <v>0</v>
      </c>
      <c r="WY94" s="207"/>
      <c r="WZ94" s="207"/>
      <c r="XA94" s="207"/>
      <c r="XB94" s="207"/>
      <c r="XC94" s="272"/>
      <c r="XD94" s="272"/>
      <c r="XE94" s="272"/>
      <c r="XF94" s="205">
        <f t="shared" si="919"/>
        <v>0</v>
      </c>
      <c r="XG94" s="207"/>
      <c r="XH94" s="207"/>
      <c r="XI94" s="207"/>
      <c r="XJ94" s="207"/>
      <c r="XK94" s="207"/>
      <c r="XL94" s="272"/>
      <c r="XM94" s="272"/>
      <c r="XN94" s="205">
        <f t="shared" si="920"/>
        <v>0</v>
      </c>
      <c r="XO94" s="207"/>
      <c r="XP94" s="207"/>
      <c r="XQ94" s="207"/>
      <c r="XR94" s="207"/>
      <c r="XS94" s="207"/>
      <c r="XT94" s="272"/>
      <c r="XU94" s="272"/>
      <c r="XV94" s="205">
        <f t="shared" si="921"/>
        <v>0</v>
      </c>
      <c r="XW94" s="205">
        <f t="shared" si="922"/>
        <v>0</v>
      </c>
      <c r="XX94" s="207"/>
      <c r="XY94" s="207"/>
      <c r="XZ94" s="207"/>
      <c r="YA94" s="207"/>
      <c r="YB94" s="207"/>
      <c r="YC94" s="272"/>
      <c r="YD94" s="272"/>
      <c r="YE94" s="205">
        <f t="shared" si="923"/>
        <v>0</v>
      </c>
      <c r="YF94" s="207"/>
      <c r="YG94" s="207"/>
      <c r="YH94" s="207"/>
      <c r="YI94" s="207"/>
      <c r="YJ94" s="207"/>
      <c r="YK94" s="272"/>
      <c r="YL94" s="272"/>
      <c r="YM94" s="205">
        <f t="shared" si="924"/>
        <v>0</v>
      </c>
      <c r="YN94" s="207"/>
      <c r="YO94" s="207"/>
      <c r="YP94" s="207"/>
      <c r="YQ94" s="207"/>
      <c r="YR94" s="207"/>
      <c r="YS94" s="272"/>
      <c r="YT94" s="272"/>
      <c r="YU94" s="205">
        <f t="shared" si="925"/>
        <v>0</v>
      </c>
      <c r="YV94" s="207"/>
      <c r="YW94" s="207"/>
      <c r="YX94" s="207"/>
      <c r="YY94" s="207"/>
      <c r="YZ94" s="207"/>
      <c r="ZA94" s="272"/>
      <c r="ZB94" s="272"/>
      <c r="ZC94" s="205">
        <f t="shared" si="926"/>
        <v>0</v>
      </c>
      <c r="ZD94" s="205">
        <f t="shared" si="927"/>
        <v>0</v>
      </c>
      <c r="ZE94" s="207"/>
      <c r="ZF94" s="207"/>
      <c r="ZG94" s="207"/>
      <c r="ZH94" s="207"/>
      <c r="ZI94" s="207"/>
      <c r="ZJ94" s="272"/>
      <c r="ZK94" s="272"/>
      <c r="ZL94" s="205">
        <f t="shared" si="928"/>
        <v>0</v>
      </c>
      <c r="ZM94" s="207"/>
      <c r="ZN94" s="207"/>
      <c r="ZO94" s="207"/>
      <c r="ZP94" s="207"/>
      <c r="ZQ94" s="207"/>
      <c r="ZR94" s="272"/>
      <c r="ZS94" s="272"/>
      <c r="ZT94" s="205">
        <f t="shared" si="929"/>
        <v>0</v>
      </c>
      <c r="ZU94" s="207"/>
      <c r="ZV94" s="207"/>
      <c r="ZW94" s="207"/>
      <c r="ZX94" s="207"/>
      <c r="ZY94" s="207"/>
      <c r="ZZ94" s="272"/>
      <c r="AAA94" s="272"/>
      <c r="AAB94" s="205">
        <f t="shared" si="930"/>
        <v>0</v>
      </c>
      <c r="AAC94" s="207"/>
      <c r="AAD94" s="207"/>
      <c r="AAE94" s="207"/>
      <c r="AAF94" s="207"/>
      <c r="AAG94" s="207"/>
      <c r="AAH94" s="272"/>
      <c r="AAI94" s="272"/>
      <c r="AAJ94" s="205">
        <f t="shared" si="931"/>
        <v>0</v>
      </c>
      <c r="AAK94" s="207"/>
      <c r="AAL94" s="207"/>
      <c r="AAM94" s="207"/>
      <c r="AAN94" s="207"/>
      <c r="AAO94" s="207"/>
      <c r="AAP94" s="272"/>
      <c r="AAQ94" s="272"/>
      <c r="AAR94" s="205">
        <f t="shared" si="932"/>
        <v>0</v>
      </c>
      <c r="AAS94" s="205">
        <f t="shared" si="933"/>
        <v>0</v>
      </c>
    </row>
    <row r="95" spans="1:721" ht="69.95" customHeight="1">
      <c r="B95" s="151">
        <v>3630101413</v>
      </c>
      <c r="C95" s="323" t="s">
        <v>741</v>
      </c>
      <c r="D95" s="152" t="s">
        <v>17</v>
      </c>
      <c r="E95" s="130" t="s">
        <v>4</v>
      </c>
      <c r="F95" s="120"/>
      <c r="G95" s="120"/>
      <c r="H95" s="120"/>
      <c r="I95" s="120"/>
      <c r="J95" s="120"/>
      <c r="K95" s="209"/>
      <c r="L95" s="205"/>
      <c r="M95" s="205">
        <f t="shared" si="1048"/>
        <v>0</v>
      </c>
      <c r="N95" s="120"/>
      <c r="O95" s="120"/>
      <c r="P95" s="120"/>
      <c r="Q95" s="120"/>
      <c r="R95" s="120"/>
      <c r="S95" s="209"/>
      <c r="T95" s="205"/>
      <c r="U95" s="205">
        <f t="shared" si="1049"/>
        <v>0</v>
      </c>
      <c r="V95" s="120"/>
      <c r="W95" s="120"/>
      <c r="X95" s="120"/>
      <c r="Y95" s="120"/>
      <c r="Z95" s="120"/>
      <c r="AA95" s="209"/>
      <c r="AB95" s="205"/>
      <c r="AC95" s="205">
        <f t="shared" si="1050"/>
        <v>0</v>
      </c>
      <c r="AD95" s="205"/>
      <c r="AE95" s="205"/>
      <c r="AF95" s="205"/>
      <c r="AG95" s="205"/>
      <c r="AH95" s="205"/>
      <c r="AI95" s="209"/>
      <c r="AJ95" s="205"/>
      <c r="AK95" s="205">
        <f t="shared" si="1051"/>
        <v>0</v>
      </c>
      <c r="AL95" s="205" t="e">
        <f>SUM(#REF!,M95,U95,AC95,AD95:AH95)</f>
        <v>#REF!</v>
      </c>
      <c r="AM95" s="120"/>
      <c r="AN95" s="120"/>
      <c r="AO95" s="120"/>
      <c r="AP95" s="120"/>
      <c r="AQ95" s="120"/>
      <c r="AR95" s="209"/>
      <c r="AS95" s="205"/>
      <c r="AT95" s="205">
        <f t="shared" si="1052"/>
        <v>0</v>
      </c>
      <c r="AU95" s="120"/>
      <c r="AV95" s="120"/>
      <c r="AW95" s="120"/>
      <c r="AX95" s="120"/>
      <c r="AY95" s="120"/>
      <c r="AZ95" s="209"/>
      <c r="BA95" s="205"/>
      <c r="BB95" s="205">
        <f t="shared" si="1053"/>
        <v>0</v>
      </c>
      <c r="BC95" s="120"/>
      <c r="BD95" s="120"/>
      <c r="BE95" s="120"/>
      <c r="BF95" s="120"/>
      <c r="BG95" s="120"/>
      <c r="BH95" s="209"/>
      <c r="BI95" s="205"/>
      <c r="BJ95" s="205">
        <f t="shared" si="1054"/>
        <v>0</v>
      </c>
      <c r="BK95" s="120"/>
      <c r="BL95" s="120"/>
      <c r="BM95" s="120"/>
      <c r="BN95" s="120"/>
      <c r="BO95" s="205"/>
      <c r="BP95" s="209"/>
      <c r="BQ95" s="205"/>
      <c r="BR95" s="205">
        <f t="shared" si="1055"/>
        <v>0</v>
      </c>
      <c r="BS95" s="205">
        <f t="shared" si="832"/>
        <v>0</v>
      </c>
      <c r="BT95" s="120"/>
      <c r="BU95" s="120"/>
      <c r="BV95" s="120"/>
      <c r="BW95" s="120"/>
      <c r="BX95" s="120"/>
      <c r="BY95" s="209"/>
      <c r="BZ95" s="205"/>
      <c r="CA95" s="205">
        <f t="shared" si="1056"/>
        <v>0</v>
      </c>
      <c r="CB95" s="120"/>
      <c r="CC95" s="120"/>
      <c r="CD95" s="120"/>
      <c r="CE95" s="120"/>
      <c r="CF95" s="120"/>
      <c r="CG95" s="209"/>
      <c r="CH95" s="205"/>
      <c r="CI95" s="205">
        <f t="shared" si="1057"/>
        <v>0</v>
      </c>
      <c r="CJ95" s="195">
        <v>500</v>
      </c>
      <c r="CK95" s="120"/>
      <c r="CL95" s="120"/>
      <c r="CM95" s="120"/>
      <c r="CN95" s="120"/>
      <c r="CO95" s="209"/>
      <c r="CP95" s="205"/>
      <c r="CQ95" s="205">
        <f t="shared" si="1058"/>
        <v>500</v>
      </c>
      <c r="CR95" s="120"/>
      <c r="CS95" s="120"/>
      <c r="CT95" s="120"/>
      <c r="CU95" s="120"/>
      <c r="CV95" s="120"/>
      <c r="CW95" s="209"/>
      <c r="CX95" s="205"/>
      <c r="CY95" s="205">
        <f t="shared" si="1059"/>
        <v>0</v>
      </c>
      <c r="CZ95" s="120"/>
      <c r="DA95" s="120"/>
      <c r="DB95" s="120"/>
      <c r="DC95" s="205"/>
      <c r="DD95" s="205"/>
      <c r="DE95" s="209"/>
      <c r="DF95" s="205"/>
      <c r="DG95" s="205">
        <f t="shared" si="1060"/>
        <v>0</v>
      </c>
      <c r="DH95" s="205">
        <f t="shared" si="838"/>
        <v>500</v>
      </c>
      <c r="DI95" s="120"/>
      <c r="DJ95" s="120"/>
      <c r="DK95" s="207"/>
      <c r="DL95" s="120"/>
      <c r="DM95" s="120"/>
      <c r="DN95" s="209"/>
      <c r="DO95" s="205"/>
      <c r="DP95" s="205">
        <f t="shared" si="839"/>
        <v>0</v>
      </c>
      <c r="DQ95" s="120"/>
      <c r="DR95" s="120"/>
      <c r="DS95" s="120"/>
      <c r="DT95" s="120"/>
      <c r="DU95" s="120"/>
      <c r="DV95" s="209"/>
      <c r="DW95" s="205"/>
      <c r="DX95" s="205">
        <f t="shared" si="840"/>
        <v>0</v>
      </c>
      <c r="DY95" s="120"/>
      <c r="DZ95" s="120"/>
      <c r="EA95" s="120"/>
      <c r="EB95" s="250">
        <v>960</v>
      </c>
      <c r="EC95" s="120"/>
      <c r="ED95" s="209"/>
      <c r="EE95" s="205"/>
      <c r="EF95" s="205">
        <f t="shared" si="841"/>
        <v>960</v>
      </c>
      <c r="EG95" s="120"/>
      <c r="EH95" s="120"/>
      <c r="EI95" s="120"/>
      <c r="EJ95" s="205"/>
      <c r="EK95" s="205"/>
      <c r="EL95" s="209"/>
      <c r="EM95" s="205"/>
      <c r="EN95" s="205">
        <f t="shared" si="842"/>
        <v>0</v>
      </c>
      <c r="EO95" s="205">
        <f t="shared" si="843"/>
        <v>960</v>
      </c>
      <c r="EP95" s="120"/>
      <c r="EQ95" s="120"/>
      <c r="ER95" s="120"/>
      <c r="ES95" s="120"/>
      <c r="ET95" s="120"/>
      <c r="EU95" s="209"/>
      <c r="EV95" s="205"/>
      <c r="EW95" s="205">
        <f t="shared" si="844"/>
        <v>0</v>
      </c>
      <c r="EX95" s="120"/>
      <c r="EY95" s="120"/>
      <c r="EZ95" s="120"/>
      <c r="FA95" s="120"/>
      <c r="FB95" s="120"/>
      <c r="FC95" s="209"/>
      <c r="FD95" s="205"/>
      <c r="FE95" s="205">
        <f t="shared" si="845"/>
        <v>0</v>
      </c>
      <c r="FF95" s="120"/>
      <c r="FG95" s="120"/>
      <c r="FH95" s="120"/>
      <c r="FI95" s="120"/>
      <c r="FJ95" s="120"/>
      <c r="FK95" s="209"/>
      <c r="FL95" s="205"/>
      <c r="FM95" s="205">
        <f t="shared" si="846"/>
        <v>0</v>
      </c>
      <c r="FN95" s="120"/>
      <c r="FO95" s="120"/>
      <c r="FP95" s="120"/>
      <c r="FQ95" s="120"/>
      <c r="FR95" s="205"/>
      <c r="FS95" s="209"/>
      <c r="FT95" s="205"/>
      <c r="FU95" s="205">
        <f t="shared" si="847"/>
        <v>0</v>
      </c>
      <c r="FV95" s="205">
        <f t="shared" si="848"/>
        <v>0</v>
      </c>
      <c r="FW95" s="120"/>
      <c r="FX95" s="120"/>
      <c r="FY95" s="120"/>
      <c r="FZ95" s="120"/>
      <c r="GA95" s="120"/>
      <c r="GB95" s="209"/>
      <c r="GC95" s="205"/>
      <c r="GD95" s="205">
        <f t="shared" si="849"/>
        <v>0</v>
      </c>
      <c r="GE95" s="120"/>
      <c r="GF95" s="120"/>
      <c r="GG95" s="120"/>
      <c r="GH95" s="120"/>
      <c r="GI95" s="120"/>
      <c r="GJ95" s="209"/>
      <c r="GK95" s="205"/>
      <c r="GL95" s="205">
        <f t="shared" si="850"/>
        <v>0</v>
      </c>
      <c r="GM95" s="120"/>
      <c r="GN95" s="120"/>
      <c r="GO95" s="120"/>
      <c r="GP95" s="120"/>
      <c r="GQ95" s="120"/>
      <c r="GR95" s="209"/>
      <c r="GS95" s="205"/>
      <c r="GT95" s="205">
        <f t="shared" si="851"/>
        <v>0</v>
      </c>
      <c r="GU95" s="124">
        <v>500</v>
      </c>
      <c r="GV95" s="120"/>
      <c r="GW95" s="120"/>
      <c r="GX95" s="120"/>
      <c r="GY95" s="120"/>
      <c r="GZ95" s="209"/>
      <c r="HA95" s="205"/>
      <c r="HB95" s="205">
        <f t="shared" si="852"/>
        <v>500</v>
      </c>
      <c r="HC95" s="120"/>
      <c r="HD95" s="120"/>
      <c r="HE95" s="120"/>
      <c r="HF95" s="120"/>
      <c r="HG95" s="120"/>
      <c r="HH95" s="209"/>
      <c r="HI95" s="205"/>
      <c r="HJ95" s="205">
        <f t="shared" si="853"/>
        <v>0</v>
      </c>
      <c r="HK95" s="205">
        <f t="shared" si="854"/>
        <v>500</v>
      </c>
      <c r="HL95" s="124"/>
      <c r="HM95" s="120"/>
      <c r="HN95" s="120"/>
      <c r="HO95" s="120"/>
      <c r="HP95" s="120"/>
      <c r="HQ95" s="205"/>
      <c r="HR95" s="205"/>
      <c r="HS95" s="205">
        <f t="shared" si="934"/>
        <v>0</v>
      </c>
      <c r="HT95" s="120"/>
      <c r="HU95" s="120"/>
      <c r="HV95" s="120"/>
      <c r="HW95" s="120"/>
      <c r="HX95" s="120"/>
      <c r="HY95" s="205"/>
      <c r="HZ95" s="205"/>
      <c r="IA95" s="205">
        <f t="shared" si="935"/>
        <v>0</v>
      </c>
      <c r="IB95" s="120"/>
      <c r="IC95" s="120"/>
      <c r="ID95" s="120"/>
      <c r="IE95" s="120"/>
      <c r="IF95" s="120"/>
      <c r="IG95" s="205"/>
      <c r="IH95" s="205"/>
      <c r="II95" s="205">
        <f t="shared" si="936"/>
        <v>0</v>
      </c>
      <c r="IJ95" s="120"/>
      <c r="IK95" s="120"/>
      <c r="IL95" s="120"/>
      <c r="IM95" s="120"/>
      <c r="IN95" s="120"/>
      <c r="IO95" s="205"/>
      <c r="IP95" s="205"/>
      <c r="IQ95" s="205">
        <f t="shared" si="937"/>
        <v>0</v>
      </c>
      <c r="IR95" s="205">
        <f t="shared" si="938"/>
        <v>0</v>
      </c>
      <c r="IS95" s="120"/>
      <c r="IT95" s="120"/>
      <c r="IU95" s="120"/>
      <c r="IV95" s="120"/>
      <c r="IW95" s="120"/>
      <c r="IX95" s="205"/>
      <c r="IY95" s="205"/>
      <c r="IZ95" s="205">
        <f t="shared" si="939"/>
        <v>0</v>
      </c>
      <c r="JA95" s="120"/>
      <c r="JB95" s="120"/>
      <c r="JC95" s="120"/>
      <c r="JD95" s="120"/>
      <c r="JE95" s="120"/>
      <c r="JF95" s="205"/>
      <c r="JG95" s="205"/>
      <c r="JH95" s="205">
        <f t="shared" si="940"/>
        <v>0</v>
      </c>
      <c r="JI95" s="120"/>
      <c r="JJ95" s="120"/>
      <c r="JK95" s="120"/>
      <c r="JL95" s="124">
        <v>404</v>
      </c>
      <c r="JM95" s="120"/>
      <c r="JN95" s="205"/>
      <c r="JO95" s="205"/>
      <c r="JP95" s="205">
        <f t="shared" si="941"/>
        <v>404</v>
      </c>
      <c r="JQ95" s="120"/>
      <c r="JR95" s="120"/>
      <c r="JS95" s="120"/>
      <c r="JT95" s="120"/>
      <c r="JU95" s="120"/>
      <c r="JV95" s="205"/>
      <c r="JW95" s="205"/>
      <c r="JX95" s="205">
        <f t="shared" si="942"/>
        <v>0</v>
      </c>
      <c r="JY95" s="205">
        <f t="shared" si="943"/>
        <v>404</v>
      </c>
      <c r="JZ95" s="120"/>
      <c r="KA95" s="120"/>
      <c r="KB95" s="120"/>
      <c r="KC95" s="120"/>
      <c r="KD95" s="120"/>
      <c r="KE95" s="205"/>
      <c r="KF95" s="205"/>
      <c r="KG95" s="205">
        <f t="shared" si="944"/>
        <v>0</v>
      </c>
      <c r="KH95" s="120"/>
      <c r="KI95" s="120"/>
      <c r="KJ95" s="120"/>
      <c r="KK95" s="120"/>
      <c r="KL95" s="120"/>
      <c r="KM95" s="205"/>
      <c r="KN95" s="205"/>
      <c r="KO95" s="205">
        <f t="shared" si="945"/>
        <v>0</v>
      </c>
      <c r="KP95" s="120"/>
      <c r="KQ95" s="120"/>
      <c r="KR95" s="201">
        <v>500</v>
      </c>
      <c r="KS95" s="120"/>
      <c r="KT95" s="120"/>
      <c r="KU95" s="205"/>
      <c r="KV95" s="205"/>
      <c r="KW95" s="205">
        <f t="shared" si="946"/>
        <v>500</v>
      </c>
      <c r="KX95" s="120"/>
      <c r="KY95" s="120"/>
      <c r="KZ95" s="120"/>
      <c r="LA95" s="120"/>
      <c r="LB95" s="120"/>
      <c r="LC95" s="205"/>
      <c r="LD95" s="205"/>
      <c r="LE95" s="205">
        <f t="shared" si="947"/>
        <v>0</v>
      </c>
      <c r="LF95" s="205"/>
      <c r="LG95" s="120"/>
      <c r="LH95" s="120"/>
      <c r="LI95" s="120"/>
      <c r="LJ95" s="120"/>
      <c r="LK95" s="205"/>
      <c r="LL95" s="205"/>
      <c r="LM95" s="205">
        <f t="shared" si="948"/>
        <v>0</v>
      </c>
      <c r="LN95" s="205">
        <f t="shared" si="949"/>
        <v>500</v>
      </c>
      <c r="LO95" s="205"/>
      <c r="LP95" s="120"/>
      <c r="LQ95" s="120"/>
      <c r="LR95" s="120"/>
      <c r="LS95" s="205"/>
      <c r="LT95" s="205"/>
      <c r="LU95" s="205"/>
      <c r="LV95" s="205">
        <f t="shared" si="950"/>
        <v>0</v>
      </c>
      <c r="LW95" s="120"/>
      <c r="LX95" s="120"/>
      <c r="LY95" s="120"/>
      <c r="LZ95" s="120"/>
      <c r="MA95" s="120"/>
      <c r="MB95" s="205"/>
      <c r="MC95" s="205"/>
      <c r="MD95" s="205">
        <f t="shared" si="951"/>
        <v>0</v>
      </c>
      <c r="ME95" s="201">
        <v>616</v>
      </c>
      <c r="MF95" s="120"/>
      <c r="MG95" s="120"/>
      <c r="MH95" s="120"/>
      <c r="MI95" s="205"/>
      <c r="MJ95" s="205"/>
      <c r="MK95" s="205"/>
      <c r="ML95" s="205">
        <f t="shared" si="952"/>
        <v>616</v>
      </c>
      <c r="MM95" s="120"/>
      <c r="MN95" s="120"/>
      <c r="MO95" s="120"/>
      <c r="MP95" s="120"/>
      <c r="MQ95" s="120"/>
      <c r="MR95" s="205"/>
      <c r="MS95" s="205"/>
      <c r="MT95" s="205">
        <f t="shared" si="953"/>
        <v>0</v>
      </c>
      <c r="MU95" s="205">
        <f t="shared" si="954"/>
        <v>616</v>
      </c>
      <c r="MV95" s="120"/>
      <c r="MW95" s="120"/>
      <c r="MX95" s="120"/>
      <c r="MY95" s="120"/>
      <c r="MZ95" s="120"/>
      <c r="NA95" s="205"/>
      <c r="NB95" s="205"/>
      <c r="NC95" s="205">
        <f t="shared" si="880"/>
        <v>0</v>
      </c>
      <c r="ND95" s="120"/>
      <c r="NE95" s="120"/>
      <c r="NF95" s="120"/>
      <c r="NG95" s="120"/>
      <c r="NH95" s="120"/>
      <c r="NI95" s="205"/>
      <c r="NJ95" s="205"/>
      <c r="NK95" s="205">
        <f t="shared" si="881"/>
        <v>0</v>
      </c>
      <c r="NL95" s="124">
        <v>272</v>
      </c>
      <c r="NM95" s="120"/>
      <c r="NN95" s="120"/>
      <c r="NO95" s="120"/>
      <c r="NP95" s="120"/>
      <c r="NQ95" s="205"/>
      <c r="NR95" s="205"/>
      <c r="NS95" s="205">
        <f t="shared" si="882"/>
        <v>272</v>
      </c>
      <c r="NT95" s="120"/>
      <c r="NU95" s="120"/>
      <c r="NV95" s="120"/>
      <c r="NW95" s="120"/>
      <c r="NX95" s="120"/>
      <c r="NY95" s="205"/>
      <c r="NZ95" s="205"/>
      <c r="OA95" s="205">
        <f t="shared" si="883"/>
        <v>0</v>
      </c>
      <c r="OB95" s="205">
        <f t="shared" si="884"/>
        <v>272</v>
      </c>
      <c r="OC95" s="120"/>
      <c r="OD95" s="120"/>
      <c r="OE95" s="120"/>
      <c r="OF95" s="120"/>
      <c r="OG95" s="120"/>
      <c r="OH95" s="205"/>
      <c r="OI95" s="205"/>
      <c r="OJ95" s="205">
        <f t="shared" si="885"/>
        <v>0</v>
      </c>
      <c r="OK95" s="120"/>
      <c r="OL95" s="120"/>
      <c r="OM95" s="120"/>
      <c r="ON95" s="120"/>
      <c r="OO95" s="120"/>
      <c r="OP95" s="205"/>
      <c r="OQ95" s="205"/>
      <c r="OR95" s="205">
        <f t="shared" si="886"/>
        <v>0</v>
      </c>
      <c r="OS95" s="120"/>
      <c r="OT95" s="120"/>
      <c r="OU95" s="120"/>
      <c r="OV95" s="120"/>
      <c r="OW95" s="124">
        <v>500</v>
      </c>
      <c r="OX95" s="205"/>
      <c r="OY95" s="205"/>
      <c r="OZ95" s="205">
        <f t="shared" si="887"/>
        <v>500</v>
      </c>
      <c r="PA95" s="120"/>
      <c r="PB95" s="120"/>
      <c r="PC95" s="120"/>
      <c r="PD95" s="205"/>
      <c r="PE95" s="217"/>
      <c r="PF95" s="205"/>
      <c r="PG95" s="205"/>
      <c r="PH95" s="205">
        <f t="shared" si="888"/>
        <v>0</v>
      </c>
      <c r="PI95" s="120"/>
      <c r="PJ95" s="120"/>
      <c r="PK95" s="120"/>
      <c r="PL95" s="205"/>
      <c r="PM95" s="217"/>
      <c r="PN95" s="205"/>
      <c r="PO95" s="205"/>
      <c r="PP95" s="205">
        <f t="shared" si="889"/>
        <v>0</v>
      </c>
      <c r="PQ95" s="205">
        <f t="shared" si="890"/>
        <v>500</v>
      </c>
      <c r="PR95" s="207"/>
      <c r="PS95" s="124">
        <v>500</v>
      </c>
      <c r="PT95" s="207"/>
      <c r="PU95" s="207"/>
      <c r="PV95" s="207"/>
      <c r="PW95" s="272"/>
      <c r="PX95" s="272"/>
      <c r="PY95" s="205">
        <f t="shared" si="891"/>
        <v>500</v>
      </c>
      <c r="PZ95" s="207"/>
      <c r="QA95" s="207"/>
      <c r="QB95" s="207"/>
      <c r="QC95" s="207"/>
      <c r="QD95" s="207"/>
      <c r="QE95" s="272"/>
      <c r="QF95" s="272"/>
      <c r="QG95" s="205">
        <f t="shared" si="892"/>
        <v>0</v>
      </c>
      <c r="QH95" s="207"/>
      <c r="QI95" s="207"/>
      <c r="QJ95" s="294"/>
      <c r="QK95" s="207"/>
      <c r="QL95" s="207"/>
      <c r="QM95" s="272"/>
      <c r="QN95" s="272"/>
      <c r="QO95" s="205">
        <f t="shared" si="893"/>
        <v>0</v>
      </c>
      <c r="QP95" s="124">
        <v>272</v>
      </c>
      <c r="QQ95" s="207"/>
      <c r="QR95" s="207"/>
      <c r="QS95" s="207"/>
      <c r="QT95" s="207"/>
      <c r="QU95" s="272"/>
      <c r="QV95" s="272"/>
      <c r="QW95" s="205">
        <f t="shared" si="894"/>
        <v>272</v>
      </c>
      <c r="QX95" s="205">
        <f t="shared" si="895"/>
        <v>772</v>
      </c>
      <c r="QY95" s="207"/>
      <c r="QZ95" s="207"/>
      <c r="RA95" s="207"/>
      <c r="RB95" s="207"/>
      <c r="RC95" s="207"/>
      <c r="RD95" s="272"/>
      <c r="RE95" s="272"/>
      <c r="RF95" s="205">
        <f t="shared" si="896"/>
        <v>0</v>
      </c>
      <c r="RG95" s="207"/>
      <c r="RH95" s="207"/>
      <c r="RI95" s="207"/>
      <c r="RJ95" s="207"/>
      <c r="RK95" s="207"/>
      <c r="RL95" s="272"/>
      <c r="RM95" s="272"/>
      <c r="RN95" s="205">
        <f t="shared" si="897"/>
        <v>0</v>
      </c>
      <c r="RO95" s="272"/>
      <c r="RP95" s="272"/>
      <c r="RQ95" s="272"/>
      <c r="RR95" s="272"/>
      <c r="RS95" s="272"/>
      <c r="RT95" s="272"/>
      <c r="RU95" s="272"/>
      <c r="RV95" s="205">
        <f t="shared" si="898"/>
        <v>0</v>
      </c>
      <c r="RW95" s="207"/>
      <c r="RX95" s="207"/>
      <c r="RY95" s="207"/>
      <c r="RZ95" s="207"/>
      <c r="SA95" s="272"/>
      <c r="SB95" s="272"/>
      <c r="SC95" s="272"/>
      <c r="SD95" s="205">
        <f t="shared" si="899"/>
        <v>0</v>
      </c>
      <c r="SE95" s="205">
        <f t="shared" si="900"/>
        <v>0</v>
      </c>
      <c r="SF95" s="124">
        <v>500</v>
      </c>
      <c r="SG95" s="207"/>
      <c r="SH95" s="207"/>
      <c r="SI95" s="207"/>
      <c r="SJ95" s="207"/>
      <c r="SK95" s="272"/>
      <c r="SL95" s="272"/>
      <c r="SM95" s="205">
        <f t="shared" si="901"/>
        <v>500</v>
      </c>
      <c r="SN95" s="207"/>
      <c r="SO95" s="207"/>
      <c r="SP95" s="207"/>
      <c r="SQ95" s="207"/>
      <c r="SR95" s="207"/>
      <c r="SS95" s="272"/>
      <c r="ST95" s="272"/>
      <c r="SU95" s="205">
        <f t="shared" si="902"/>
        <v>0</v>
      </c>
      <c r="SV95" s="207"/>
      <c r="SW95" s="207"/>
      <c r="SX95" s="207"/>
      <c r="SY95" s="207"/>
      <c r="SZ95" s="207"/>
      <c r="TA95" s="272"/>
      <c r="TB95" s="272"/>
      <c r="TC95" s="205">
        <f t="shared" si="903"/>
        <v>0</v>
      </c>
      <c r="TD95" s="207"/>
      <c r="TE95" s="207"/>
      <c r="TF95" s="207"/>
      <c r="TG95" s="207"/>
      <c r="TH95" s="207"/>
      <c r="TI95" s="272"/>
      <c r="TJ95" s="272"/>
      <c r="TK95" s="205">
        <f t="shared" si="904"/>
        <v>0</v>
      </c>
      <c r="TL95" s="207"/>
      <c r="TM95" s="207"/>
      <c r="TN95" s="207"/>
      <c r="TO95" s="123">
        <v>212</v>
      </c>
      <c r="TP95" s="272"/>
      <c r="TQ95" s="272"/>
      <c r="TR95" s="272"/>
      <c r="TS95" s="205">
        <f t="shared" si="905"/>
        <v>212</v>
      </c>
      <c r="TT95" s="205">
        <f t="shared" si="906"/>
        <v>500</v>
      </c>
      <c r="TU95" s="272"/>
      <c r="TV95" s="207"/>
      <c r="TW95" s="207"/>
      <c r="TX95" s="207"/>
      <c r="TY95" s="207"/>
      <c r="TZ95" s="272"/>
      <c r="UA95" s="272"/>
      <c r="UB95" s="205">
        <f t="shared" si="907"/>
        <v>0</v>
      </c>
      <c r="UC95" s="207"/>
      <c r="UD95" s="207"/>
      <c r="UE95" s="207"/>
      <c r="UF95" s="207"/>
      <c r="UG95" s="207"/>
      <c r="UH95" s="272"/>
      <c r="UI95" s="272"/>
      <c r="UJ95" s="205">
        <f t="shared" si="908"/>
        <v>0</v>
      </c>
      <c r="UK95" s="207"/>
      <c r="UL95" s="207"/>
      <c r="UM95" s="207"/>
      <c r="UN95" s="207"/>
      <c r="UO95" s="207"/>
      <c r="UP95" s="272"/>
      <c r="UQ95" s="272"/>
      <c r="UR95" s="205">
        <f t="shared" si="909"/>
        <v>0</v>
      </c>
      <c r="US95" s="207"/>
      <c r="UT95" s="207"/>
      <c r="UU95" s="207"/>
      <c r="UV95" s="207"/>
      <c r="UW95" s="272"/>
      <c r="UX95" s="272"/>
      <c r="UY95" s="272"/>
      <c r="UZ95" s="205">
        <f t="shared" si="910"/>
        <v>0</v>
      </c>
      <c r="VA95" s="205">
        <f t="shared" si="911"/>
        <v>212</v>
      </c>
      <c r="VB95" s="207"/>
      <c r="VC95" s="207"/>
      <c r="VD95" s="207"/>
      <c r="VE95" s="207"/>
      <c r="VF95" s="207"/>
      <c r="VG95" s="272"/>
      <c r="VH95" s="272"/>
      <c r="VI95" s="205">
        <f t="shared" si="912"/>
        <v>0</v>
      </c>
      <c r="VJ95" s="207"/>
      <c r="VK95" s="207"/>
      <c r="VL95" s="207"/>
      <c r="VM95" s="207"/>
      <c r="VN95" s="207"/>
      <c r="VO95" s="272"/>
      <c r="VP95" s="272"/>
      <c r="VQ95" s="205">
        <f t="shared" si="913"/>
        <v>0</v>
      </c>
      <c r="VR95" s="195">
        <v>260</v>
      </c>
      <c r="VS95" s="207"/>
      <c r="VT95" s="207"/>
      <c r="VU95" s="207"/>
      <c r="VV95" s="207"/>
      <c r="VW95" s="272"/>
      <c r="VX95" s="272"/>
      <c r="VY95" s="205">
        <f t="shared" si="914"/>
        <v>260</v>
      </c>
      <c r="VZ95" s="207"/>
      <c r="WA95" s="207"/>
      <c r="WB95" s="207"/>
      <c r="WC95" s="207"/>
      <c r="WD95" s="207"/>
      <c r="WE95" s="272"/>
      <c r="WF95" s="272"/>
      <c r="WG95" s="205">
        <f t="shared" si="915"/>
        <v>0</v>
      </c>
      <c r="WH95" s="205">
        <f t="shared" si="916"/>
        <v>260</v>
      </c>
      <c r="WI95" s="207"/>
      <c r="WJ95" s="207"/>
      <c r="WK95" s="207"/>
      <c r="WL95" s="207"/>
      <c r="WM95" s="207"/>
      <c r="WN95" s="272"/>
      <c r="WO95" s="272"/>
      <c r="WP95" s="205">
        <f t="shared" si="917"/>
        <v>0</v>
      </c>
      <c r="WQ95" s="207"/>
      <c r="WR95" s="207"/>
      <c r="WS95" s="207"/>
      <c r="WT95" s="207"/>
      <c r="WU95" s="207"/>
      <c r="WV95" s="272"/>
      <c r="WW95" s="272"/>
      <c r="WX95" s="205">
        <f t="shared" si="918"/>
        <v>0</v>
      </c>
      <c r="WY95" s="207"/>
      <c r="WZ95" s="207"/>
      <c r="XA95" s="207"/>
      <c r="XB95" s="207"/>
      <c r="XC95" s="272"/>
      <c r="XD95" s="272"/>
      <c r="XE95" s="272"/>
      <c r="XF95" s="205">
        <f t="shared" si="919"/>
        <v>0</v>
      </c>
      <c r="XG95" s="207"/>
      <c r="XH95" s="207"/>
      <c r="XI95" s="207"/>
      <c r="XJ95" s="207"/>
      <c r="XK95" s="207"/>
      <c r="XL95" s="272"/>
      <c r="XM95" s="272"/>
      <c r="XN95" s="205">
        <f t="shared" si="920"/>
        <v>0</v>
      </c>
      <c r="XO95" s="207"/>
      <c r="XP95" s="207"/>
      <c r="XQ95" s="207"/>
      <c r="XR95" s="207"/>
      <c r="XS95" s="207"/>
      <c r="XT95" s="272"/>
      <c r="XU95" s="272"/>
      <c r="XV95" s="205">
        <f t="shared" si="921"/>
        <v>0</v>
      </c>
      <c r="XW95" s="205">
        <f t="shared" si="922"/>
        <v>0</v>
      </c>
      <c r="XX95" s="207"/>
      <c r="XY95" s="207"/>
      <c r="XZ95" s="207"/>
      <c r="YA95" s="207"/>
      <c r="YB95" s="207"/>
      <c r="YC95" s="272"/>
      <c r="YD95" s="272"/>
      <c r="YE95" s="205">
        <f t="shared" si="923"/>
        <v>0</v>
      </c>
      <c r="YF95" s="207"/>
      <c r="YG95" s="207"/>
      <c r="YH95" s="207"/>
      <c r="YI95" s="207"/>
      <c r="YJ95" s="207"/>
      <c r="YK95" s="272"/>
      <c r="YL95" s="272"/>
      <c r="YM95" s="205">
        <f t="shared" si="924"/>
        <v>0</v>
      </c>
      <c r="YN95" s="207"/>
      <c r="YO95" s="207"/>
      <c r="YP95" s="207"/>
      <c r="YQ95" s="207"/>
      <c r="YR95" s="207"/>
      <c r="YS95" s="272"/>
      <c r="YT95" s="272"/>
      <c r="YU95" s="205">
        <f t="shared" si="925"/>
        <v>0</v>
      </c>
      <c r="YV95" s="207"/>
      <c r="YW95" s="207"/>
      <c r="YX95" s="207"/>
      <c r="YY95" s="207"/>
      <c r="YZ95" s="207"/>
      <c r="ZA95" s="272"/>
      <c r="ZB95" s="272"/>
      <c r="ZC95" s="205">
        <f t="shared" si="926"/>
        <v>0</v>
      </c>
      <c r="ZD95" s="205">
        <f t="shared" si="927"/>
        <v>0</v>
      </c>
      <c r="ZE95" s="207"/>
      <c r="ZF95" s="207"/>
      <c r="ZG95" s="207"/>
      <c r="ZH95" s="207"/>
      <c r="ZI95" s="207"/>
      <c r="ZJ95" s="272"/>
      <c r="ZK95" s="272"/>
      <c r="ZL95" s="205">
        <f t="shared" si="928"/>
        <v>0</v>
      </c>
      <c r="ZM95" s="207"/>
      <c r="ZN95" s="207"/>
      <c r="ZO95" s="207"/>
      <c r="ZP95" s="207"/>
      <c r="ZQ95" s="207"/>
      <c r="ZR95" s="272"/>
      <c r="ZS95" s="272"/>
      <c r="ZT95" s="205">
        <f t="shared" si="929"/>
        <v>0</v>
      </c>
      <c r="ZU95" s="207"/>
      <c r="ZV95" s="207"/>
      <c r="ZW95" s="207"/>
      <c r="ZX95" s="207"/>
      <c r="ZY95" s="207"/>
      <c r="ZZ95" s="272"/>
      <c r="AAA95" s="272"/>
      <c r="AAB95" s="205">
        <f t="shared" si="930"/>
        <v>0</v>
      </c>
      <c r="AAC95" s="207"/>
      <c r="AAD95" s="207"/>
      <c r="AAE95" s="207"/>
      <c r="AAF95" s="207"/>
      <c r="AAG95" s="207"/>
      <c r="AAH95" s="272"/>
      <c r="AAI95" s="272"/>
      <c r="AAJ95" s="205">
        <f t="shared" si="931"/>
        <v>0</v>
      </c>
      <c r="AAK95" s="207"/>
      <c r="AAL95" s="207"/>
      <c r="AAM95" s="207"/>
      <c r="AAN95" s="207"/>
      <c r="AAO95" s="207"/>
      <c r="AAP95" s="272"/>
      <c r="AAQ95" s="272"/>
      <c r="AAR95" s="205">
        <f t="shared" si="932"/>
        <v>0</v>
      </c>
      <c r="AAS95" s="205">
        <f t="shared" si="933"/>
        <v>0</v>
      </c>
    </row>
    <row r="96" spans="1:721" ht="69.95" customHeight="1">
      <c r="B96" s="151">
        <v>3630101464</v>
      </c>
      <c r="C96" s="323" t="s">
        <v>741</v>
      </c>
      <c r="D96" s="152" t="s">
        <v>791</v>
      </c>
      <c r="E96" s="130" t="s">
        <v>4</v>
      </c>
      <c r="F96" s="120"/>
      <c r="G96" s="120"/>
      <c r="H96" s="120"/>
      <c r="I96" s="120"/>
      <c r="J96" s="120"/>
      <c r="K96" s="209"/>
      <c r="L96" s="205"/>
      <c r="M96" s="205">
        <f t="shared" ref="M96" si="1083">SUM(F96:L96)</f>
        <v>0</v>
      </c>
      <c r="N96" s="120"/>
      <c r="O96" s="120"/>
      <c r="P96" s="120"/>
      <c r="Q96" s="120"/>
      <c r="R96" s="120"/>
      <c r="S96" s="209"/>
      <c r="T96" s="205"/>
      <c r="U96" s="205">
        <f t="shared" ref="U96" si="1084">SUM(N96:T96)</f>
        <v>0</v>
      </c>
      <c r="V96" s="120"/>
      <c r="W96" s="120"/>
      <c r="X96" s="120"/>
      <c r="Y96" s="120"/>
      <c r="Z96" s="120"/>
      <c r="AA96" s="209"/>
      <c r="AB96" s="205"/>
      <c r="AC96" s="205">
        <f t="shared" ref="AC96" si="1085">SUM(V96:AB96)</f>
        <v>0</v>
      </c>
      <c r="AD96" s="205"/>
      <c r="AE96" s="205"/>
      <c r="AF96" s="205"/>
      <c r="AG96" s="205"/>
      <c r="AH96" s="205"/>
      <c r="AI96" s="209"/>
      <c r="AJ96" s="205"/>
      <c r="AK96" s="205">
        <f t="shared" ref="AK96" si="1086">SUM(AD96:AJ96)</f>
        <v>0</v>
      </c>
      <c r="AL96" s="205" t="e">
        <f>SUM(#REF!,M96,U96,AC96,AD96:AH96)</f>
        <v>#REF!</v>
      </c>
      <c r="AM96" s="120"/>
      <c r="AN96" s="120"/>
      <c r="AO96" s="120"/>
      <c r="AP96" s="120"/>
      <c r="AQ96" s="120"/>
      <c r="AR96" s="209"/>
      <c r="AS96" s="205"/>
      <c r="AT96" s="205">
        <f t="shared" si="1052"/>
        <v>0</v>
      </c>
      <c r="AU96" s="120"/>
      <c r="AV96" s="120"/>
      <c r="AW96" s="120"/>
      <c r="AX96" s="120"/>
      <c r="AY96" s="120"/>
      <c r="AZ96" s="209"/>
      <c r="BA96" s="205"/>
      <c r="BB96" s="205">
        <f t="shared" si="1053"/>
        <v>0</v>
      </c>
      <c r="BC96" s="120"/>
      <c r="BD96" s="120"/>
      <c r="BE96" s="120"/>
      <c r="BF96" s="120"/>
      <c r="BG96" s="120"/>
      <c r="BH96" s="209"/>
      <c r="BI96" s="205"/>
      <c r="BJ96" s="205">
        <f t="shared" si="1054"/>
        <v>0</v>
      </c>
      <c r="BK96" s="120"/>
      <c r="BL96" s="120"/>
      <c r="BM96" s="120"/>
      <c r="BN96" s="120"/>
      <c r="BO96" s="205"/>
      <c r="BP96" s="209"/>
      <c r="BQ96" s="205"/>
      <c r="BR96" s="205">
        <f t="shared" si="1055"/>
        <v>0</v>
      </c>
      <c r="BS96" s="205">
        <f t="shared" ref="BS96" si="1087">SUM(AI96:AJ96,AT96,BB96,BJ96,BK96:BO96)</f>
        <v>0</v>
      </c>
      <c r="BT96" s="120"/>
      <c r="BU96" s="120"/>
      <c r="BV96" s="120"/>
      <c r="BW96" s="120"/>
      <c r="BX96" s="120"/>
      <c r="BY96" s="209"/>
      <c r="BZ96" s="205"/>
      <c r="CA96" s="205">
        <f t="shared" si="1056"/>
        <v>0</v>
      </c>
      <c r="CB96" s="120"/>
      <c r="CC96" s="120"/>
      <c r="CD96" s="120"/>
      <c r="CE96" s="120"/>
      <c r="CF96" s="120"/>
      <c r="CG96" s="209"/>
      <c r="CH96" s="205"/>
      <c r="CI96" s="205">
        <f t="shared" si="1057"/>
        <v>0</v>
      </c>
      <c r="CJ96" s="120"/>
      <c r="CK96" s="120"/>
      <c r="CL96" s="120"/>
      <c r="CM96" s="120"/>
      <c r="CN96" s="120"/>
      <c r="CO96" s="209"/>
      <c r="CP96" s="205"/>
      <c r="CQ96" s="205">
        <f t="shared" si="1058"/>
        <v>0</v>
      </c>
      <c r="CR96" s="120"/>
      <c r="CS96" s="120"/>
      <c r="CT96" s="120"/>
      <c r="CU96" s="120"/>
      <c r="CV96" s="120"/>
      <c r="CW96" s="209"/>
      <c r="CX96" s="205"/>
      <c r="CY96" s="205">
        <f t="shared" si="1059"/>
        <v>0</v>
      </c>
      <c r="CZ96" s="120"/>
      <c r="DA96" s="120"/>
      <c r="DB96" s="120"/>
      <c r="DC96" s="205"/>
      <c r="DD96" s="205"/>
      <c r="DE96" s="209"/>
      <c r="DF96" s="205"/>
      <c r="DG96" s="205">
        <f t="shared" si="1060"/>
        <v>0</v>
      </c>
      <c r="DH96" s="205">
        <f t="shared" ref="DH96" si="1088">SUM(CA96,CI96,CQ96,CY96,CZ96)</f>
        <v>0</v>
      </c>
      <c r="DI96" s="120"/>
      <c r="DJ96" s="120"/>
      <c r="DK96" s="120"/>
      <c r="DL96" s="120"/>
      <c r="DM96" s="120"/>
      <c r="DN96" s="209"/>
      <c r="DO96" s="205"/>
      <c r="DP96" s="205">
        <f t="shared" ref="DP96" si="1089">SUM(DI96:DO96)</f>
        <v>0</v>
      </c>
      <c r="DQ96" s="120"/>
      <c r="DR96" s="120"/>
      <c r="DS96" s="120"/>
      <c r="DT96" s="120"/>
      <c r="DU96" s="120"/>
      <c r="DV96" s="209"/>
      <c r="DW96" s="205"/>
      <c r="DX96" s="205">
        <f t="shared" ref="DX96" si="1090">SUM(DQ96:DW96)</f>
        <v>0</v>
      </c>
      <c r="DY96" s="120"/>
      <c r="DZ96" s="120"/>
      <c r="EA96" s="120"/>
      <c r="EB96" s="120"/>
      <c r="EC96" s="120"/>
      <c r="ED96" s="209"/>
      <c r="EE96" s="205"/>
      <c r="EF96" s="205">
        <f t="shared" ref="EF96" si="1091">SUM(DY96:EE96)</f>
        <v>0</v>
      </c>
      <c r="EG96" s="120"/>
      <c r="EH96" s="120"/>
      <c r="EI96" s="120"/>
      <c r="EJ96" s="205"/>
      <c r="EK96" s="205"/>
      <c r="EL96" s="209"/>
      <c r="EM96" s="205"/>
      <c r="EN96" s="205">
        <f t="shared" ref="EN96" si="1092">SUM(EG96:EM96)</f>
        <v>0</v>
      </c>
      <c r="EO96" s="205">
        <f t="shared" ref="EO96" si="1093">SUM(DA96:DF96,DP96,DX96,EF96,EG96:EI96)</f>
        <v>0</v>
      </c>
      <c r="EP96" s="120"/>
      <c r="EQ96" s="120"/>
      <c r="ER96" s="120"/>
      <c r="ES96" s="120"/>
      <c r="ET96" s="120"/>
      <c r="EU96" s="209"/>
      <c r="EV96" s="205"/>
      <c r="EW96" s="205">
        <f t="shared" ref="EW96" si="1094">SUM(EP96:EV96)</f>
        <v>0</v>
      </c>
      <c r="EX96" s="120"/>
      <c r="EY96" s="120"/>
      <c r="EZ96" s="120"/>
      <c r="FA96" s="120"/>
      <c r="FB96" s="120"/>
      <c r="FC96" s="209"/>
      <c r="FD96" s="205"/>
      <c r="FE96" s="205">
        <f t="shared" ref="FE96" si="1095">SUM(EX96:FD96)</f>
        <v>0</v>
      </c>
      <c r="FF96" s="120"/>
      <c r="FG96" s="120"/>
      <c r="FH96" s="120"/>
      <c r="FI96" s="120"/>
      <c r="FJ96" s="120"/>
      <c r="FK96" s="209"/>
      <c r="FL96" s="205"/>
      <c r="FM96" s="205">
        <f t="shared" ref="FM96" si="1096">SUM(FF96:FL96)</f>
        <v>0</v>
      </c>
      <c r="FN96" s="120"/>
      <c r="FO96" s="120"/>
      <c r="FP96" s="120"/>
      <c r="FQ96" s="120"/>
      <c r="FR96" s="205"/>
      <c r="FS96" s="209"/>
      <c r="FT96" s="205"/>
      <c r="FU96" s="205">
        <f t="shared" ref="FU96" si="1097">SUM(FN96:FT96)</f>
        <v>0</v>
      </c>
      <c r="FV96" s="205">
        <f t="shared" ref="FV96" si="1098">SUM(EJ96:EK96,EW96,FE96,FM96,FU96)</f>
        <v>0</v>
      </c>
      <c r="FW96" s="120"/>
      <c r="FX96" s="120"/>
      <c r="FY96" s="120"/>
      <c r="FZ96" s="120"/>
      <c r="GA96" s="120"/>
      <c r="GB96" s="209"/>
      <c r="GC96" s="205"/>
      <c r="GD96" s="205">
        <f t="shared" ref="GD96" si="1099">SUM(FW96:GC96)</f>
        <v>0</v>
      </c>
      <c r="GE96" s="120"/>
      <c r="GF96" s="120"/>
      <c r="GG96" s="120"/>
      <c r="GH96" s="120"/>
      <c r="GI96" s="120"/>
      <c r="GJ96" s="209"/>
      <c r="GK96" s="205"/>
      <c r="GL96" s="205">
        <f t="shared" ref="GL96" si="1100">SUM(GE96:GK96)</f>
        <v>0</v>
      </c>
      <c r="GM96" s="120"/>
      <c r="GN96" s="120"/>
      <c r="GO96" s="120"/>
      <c r="GP96" s="120"/>
      <c r="GQ96" s="120"/>
      <c r="GR96" s="209"/>
      <c r="GS96" s="205"/>
      <c r="GT96" s="205">
        <f t="shared" ref="GT96" si="1101">SUM(GM96:GS96)</f>
        <v>0</v>
      </c>
      <c r="GU96" s="120"/>
      <c r="GV96" s="120"/>
      <c r="GW96" s="120"/>
      <c r="GX96" s="120"/>
      <c r="GY96" s="120"/>
      <c r="GZ96" s="209"/>
      <c r="HA96" s="205"/>
      <c r="HB96" s="205">
        <f t="shared" ref="HB96" si="1102">SUM(GU96:HA96)</f>
        <v>0</v>
      </c>
      <c r="HC96" s="120"/>
      <c r="HD96" s="120"/>
      <c r="HE96" s="120"/>
      <c r="HF96" s="120"/>
      <c r="HG96" s="120"/>
      <c r="HH96" s="209"/>
      <c r="HI96" s="205"/>
      <c r="HJ96" s="205">
        <f t="shared" ref="HJ96" si="1103">SUM(HC96:HI96)</f>
        <v>0</v>
      </c>
      <c r="HK96" s="205">
        <f t="shared" ref="HK96" si="1104">SUM(GD96,GL96,GT96,HB96,HC96)</f>
        <v>0</v>
      </c>
      <c r="HL96" s="124"/>
      <c r="HM96" s="120"/>
      <c r="HN96" s="120"/>
      <c r="HO96" s="120"/>
      <c r="HP96" s="120"/>
      <c r="HQ96" s="205"/>
      <c r="HR96" s="205"/>
      <c r="HS96" s="205">
        <f t="shared" si="934"/>
        <v>0</v>
      </c>
      <c r="HT96" s="120"/>
      <c r="HU96" s="120"/>
      <c r="HV96" s="120"/>
      <c r="HW96" s="120"/>
      <c r="HX96" s="120"/>
      <c r="HY96" s="205"/>
      <c r="HZ96" s="205"/>
      <c r="IA96" s="205">
        <f t="shared" si="935"/>
        <v>0</v>
      </c>
      <c r="IB96" s="120"/>
      <c r="IC96" s="120"/>
      <c r="ID96" s="120"/>
      <c r="IE96" s="120"/>
      <c r="IF96" s="120"/>
      <c r="IG96" s="205"/>
      <c r="IH96" s="205"/>
      <c r="II96" s="205">
        <f t="shared" si="936"/>
        <v>0</v>
      </c>
      <c r="IJ96" s="120"/>
      <c r="IK96" s="120"/>
      <c r="IL96" s="120"/>
      <c r="IM96" s="120"/>
      <c r="IN96" s="120"/>
      <c r="IO96" s="205"/>
      <c r="IP96" s="205"/>
      <c r="IQ96" s="205">
        <f t="shared" si="937"/>
        <v>0</v>
      </c>
      <c r="IR96" s="205">
        <f t="shared" si="938"/>
        <v>0</v>
      </c>
      <c r="IS96" s="120"/>
      <c r="IT96" s="120"/>
      <c r="IU96" s="120"/>
      <c r="IV96" s="120"/>
      <c r="IW96" s="120"/>
      <c r="IX96" s="205"/>
      <c r="IY96" s="205"/>
      <c r="IZ96" s="205">
        <f t="shared" si="939"/>
        <v>0</v>
      </c>
      <c r="JA96" s="120"/>
      <c r="JB96" s="120"/>
      <c r="JC96" s="120"/>
      <c r="JD96" s="120"/>
      <c r="JE96" s="120"/>
      <c r="JF96" s="205"/>
      <c r="JG96" s="205"/>
      <c r="JH96" s="205">
        <f t="shared" si="940"/>
        <v>0</v>
      </c>
      <c r="JI96" s="120"/>
      <c r="JJ96" s="120"/>
      <c r="JK96" s="120"/>
      <c r="JL96" s="124">
        <v>96</v>
      </c>
      <c r="JM96" s="120"/>
      <c r="JN96" s="205"/>
      <c r="JO96" s="205"/>
      <c r="JP96" s="205">
        <f t="shared" si="941"/>
        <v>96</v>
      </c>
      <c r="JQ96" s="120"/>
      <c r="JR96" s="120"/>
      <c r="JS96" s="120"/>
      <c r="JT96" s="120"/>
      <c r="JU96" s="120"/>
      <c r="JV96" s="205"/>
      <c r="JW96" s="205"/>
      <c r="JX96" s="205">
        <f t="shared" si="942"/>
        <v>0</v>
      </c>
      <c r="JY96" s="205">
        <f t="shared" si="943"/>
        <v>96</v>
      </c>
      <c r="JZ96" s="120"/>
      <c r="KA96" s="120"/>
      <c r="KB96" s="120"/>
      <c r="KC96" s="120"/>
      <c r="KD96" s="120"/>
      <c r="KE96" s="205"/>
      <c r="KF96" s="205"/>
      <c r="KG96" s="205">
        <f t="shared" si="944"/>
        <v>0</v>
      </c>
      <c r="KH96" s="120"/>
      <c r="KI96" s="120"/>
      <c r="KJ96" s="120"/>
      <c r="KK96" s="120"/>
      <c r="KL96" s="120"/>
      <c r="KM96" s="205"/>
      <c r="KN96" s="205"/>
      <c r="KO96" s="205">
        <f t="shared" si="945"/>
        <v>0</v>
      </c>
      <c r="KP96" s="120"/>
      <c r="KQ96" s="120"/>
      <c r="KR96" s="120"/>
      <c r="KS96" s="120"/>
      <c r="KT96" s="120"/>
      <c r="KU96" s="205"/>
      <c r="KV96" s="205"/>
      <c r="KW96" s="205">
        <f t="shared" si="946"/>
        <v>0</v>
      </c>
      <c r="KX96" s="120"/>
      <c r="KY96" s="120"/>
      <c r="KZ96" s="120"/>
      <c r="LA96" s="120"/>
      <c r="LB96" s="120"/>
      <c r="LC96" s="205"/>
      <c r="LD96" s="205"/>
      <c r="LE96" s="205">
        <f t="shared" si="947"/>
        <v>0</v>
      </c>
      <c r="LF96" s="205"/>
      <c r="LG96" s="120"/>
      <c r="LH96" s="120"/>
      <c r="LI96" s="120"/>
      <c r="LJ96" s="120"/>
      <c r="LK96" s="205"/>
      <c r="LL96" s="205"/>
      <c r="LM96" s="205">
        <f t="shared" si="948"/>
        <v>0</v>
      </c>
      <c r="LN96" s="205">
        <f t="shared" si="949"/>
        <v>0</v>
      </c>
      <c r="LO96" s="205"/>
      <c r="LP96" s="120"/>
      <c r="LQ96" s="120"/>
      <c r="LR96" s="120"/>
      <c r="LS96" s="205"/>
      <c r="LT96" s="205"/>
      <c r="LU96" s="205"/>
      <c r="LV96" s="205">
        <f t="shared" si="950"/>
        <v>0</v>
      </c>
      <c r="LW96" s="120"/>
      <c r="LX96" s="120"/>
      <c r="LY96" s="120"/>
      <c r="LZ96" s="120"/>
      <c r="MA96" s="120"/>
      <c r="MB96" s="205"/>
      <c r="MC96" s="205"/>
      <c r="MD96" s="205">
        <f t="shared" si="951"/>
        <v>0</v>
      </c>
      <c r="ME96" s="201">
        <v>384</v>
      </c>
      <c r="MF96" s="120"/>
      <c r="MG96" s="120"/>
      <c r="MH96" s="120"/>
      <c r="MI96" s="205"/>
      <c r="MJ96" s="205"/>
      <c r="MK96" s="205"/>
      <c r="ML96" s="205">
        <f t="shared" si="952"/>
        <v>384</v>
      </c>
      <c r="MM96" s="120"/>
      <c r="MN96" s="120"/>
      <c r="MO96" s="120"/>
      <c r="MP96" s="120"/>
      <c r="MQ96" s="120"/>
      <c r="MR96" s="205"/>
      <c r="MS96" s="205"/>
      <c r="MT96" s="205">
        <f t="shared" si="953"/>
        <v>0</v>
      </c>
      <c r="MU96" s="205">
        <f t="shared" si="954"/>
        <v>384</v>
      </c>
      <c r="MV96" s="120"/>
      <c r="MW96" s="120"/>
      <c r="MX96" s="120"/>
      <c r="MY96" s="120"/>
      <c r="MZ96" s="120"/>
      <c r="NA96" s="205"/>
      <c r="NB96" s="205"/>
      <c r="NC96" s="205">
        <f t="shared" si="880"/>
        <v>0</v>
      </c>
      <c r="ND96" s="120"/>
      <c r="NE96" s="120"/>
      <c r="NF96" s="120"/>
      <c r="NG96" s="120"/>
      <c r="NH96" s="120"/>
      <c r="NI96" s="205"/>
      <c r="NJ96" s="205"/>
      <c r="NK96" s="205">
        <f t="shared" si="881"/>
        <v>0</v>
      </c>
      <c r="NL96" s="124">
        <v>228</v>
      </c>
      <c r="NM96" s="120"/>
      <c r="NN96" s="120"/>
      <c r="NO96" s="120"/>
      <c r="NP96" s="120"/>
      <c r="NQ96" s="205"/>
      <c r="NR96" s="205"/>
      <c r="NS96" s="205">
        <f t="shared" si="882"/>
        <v>228</v>
      </c>
      <c r="NT96" s="120"/>
      <c r="NU96" s="120"/>
      <c r="NV96" s="120"/>
      <c r="NW96" s="120"/>
      <c r="NX96" s="120"/>
      <c r="NY96" s="205"/>
      <c r="NZ96" s="205"/>
      <c r="OA96" s="205">
        <f t="shared" si="883"/>
        <v>0</v>
      </c>
      <c r="OB96" s="205">
        <f t="shared" si="884"/>
        <v>228</v>
      </c>
      <c r="OC96" s="120"/>
      <c r="OD96" s="120"/>
      <c r="OE96" s="120"/>
      <c r="OF96" s="120"/>
      <c r="OG96" s="120"/>
      <c r="OH96" s="205"/>
      <c r="OI96" s="205"/>
      <c r="OJ96" s="205">
        <f t="shared" si="885"/>
        <v>0</v>
      </c>
      <c r="OK96" s="120"/>
      <c r="OL96" s="120"/>
      <c r="OM96" s="120"/>
      <c r="ON96" s="120"/>
      <c r="OO96" s="120"/>
      <c r="OP96" s="205"/>
      <c r="OQ96" s="205"/>
      <c r="OR96" s="205">
        <f t="shared" si="886"/>
        <v>0</v>
      </c>
      <c r="OS96" s="120"/>
      <c r="OT96" s="120"/>
      <c r="OU96" s="120"/>
      <c r="OV96" s="120"/>
      <c r="OW96" s="120"/>
      <c r="OX96" s="205"/>
      <c r="OY96" s="205"/>
      <c r="OZ96" s="205">
        <f t="shared" si="887"/>
        <v>0</v>
      </c>
      <c r="PA96" s="120"/>
      <c r="PB96" s="120"/>
      <c r="PC96" s="120"/>
      <c r="PD96" s="205"/>
      <c r="PE96" s="217"/>
      <c r="PF96" s="205"/>
      <c r="PG96" s="205"/>
      <c r="PH96" s="205">
        <f t="shared" si="888"/>
        <v>0</v>
      </c>
      <c r="PI96" s="120"/>
      <c r="PJ96" s="120"/>
      <c r="PK96" s="120"/>
      <c r="PL96" s="205"/>
      <c r="PM96" s="217"/>
      <c r="PN96" s="205"/>
      <c r="PO96" s="205"/>
      <c r="PP96" s="205">
        <f t="shared" si="889"/>
        <v>0</v>
      </c>
      <c r="PQ96" s="205">
        <f t="shared" si="890"/>
        <v>0</v>
      </c>
      <c r="PR96" s="207"/>
      <c r="PS96" s="207"/>
      <c r="PT96" s="207"/>
      <c r="PU96" s="207"/>
      <c r="PV96" s="207"/>
      <c r="PW96" s="272"/>
      <c r="PX96" s="272"/>
      <c r="PY96" s="205">
        <f t="shared" si="891"/>
        <v>0</v>
      </c>
      <c r="PZ96" s="207"/>
      <c r="QA96" s="207"/>
      <c r="QB96" s="207"/>
      <c r="QC96" s="207"/>
      <c r="QD96" s="207"/>
      <c r="QE96" s="272"/>
      <c r="QF96" s="272"/>
      <c r="QG96" s="205">
        <f t="shared" si="892"/>
        <v>0</v>
      </c>
      <c r="QH96" s="207"/>
      <c r="QI96" s="207"/>
      <c r="QJ96" s="294"/>
      <c r="QK96" s="207"/>
      <c r="QL96" s="207"/>
      <c r="QM96" s="272"/>
      <c r="QN96" s="272"/>
      <c r="QO96" s="205">
        <f t="shared" si="893"/>
        <v>0</v>
      </c>
      <c r="QP96" s="124">
        <v>228</v>
      </c>
      <c r="QQ96" s="207"/>
      <c r="QR96" s="207"/>
      <c r="QS96" s="207"/>
      <c r="QT96" s="207"/>
      <c r="QU96" s="272"/>
      <c r="QV96" s="272"/>
      <c r="QW96" s="205">
        <f t="shared" si="894"/>
        <v>228</v>
      </c>
      <c r="QX96" s="205">
        <f t="shared" si="895"/>
        <v>228</v>
      </c>
      <c r="QY96" s="207"/>
      <c r="QZ96" s="207"/>
      <c r="RA96" s="207"/>
      <c r="RB96" s="207"/>
      <c r="RC96" s="207"/>
      <c r="RD96" s="272"/>
      <c r="RE96" s="272"/>
      <c r="RF96" s="205">
        <f t="shared" si="896"/>
        <v>0</v>
      </c>
      <c r="RG96" s="207"/>
      <c r="RH96" s="207"/>
      <c r="RI96" s="207"/>
      <c r="RJ96" s="207"/>
      <c r="RK96" s="207"/>
      <c r="RL96" s="272"/>
      <c r="RM96" s="272"/>
      <c r="RN96" s="205">
        <f t="shared" si="897"/>
        <v>0</v>
      </c>
      <c r="RO96" s="272"/>
      <c r="RP96" s="272"/>
      <c r="RQ96" s="272"/>
      <c r="RR96" s="272"/>
      <c r="RS96" s="272"/>
      <c r="RT96" s="272"/>
      <c r="RU96" s="272"/>
      <c r="RV96" s="205">
        <f t="shared" si="898"/>
        <v>0</v>
      </c>
      <c r="RW96" s="207"/>
      <c r="RX96" s="207"/>
      <c r="RY96" s="207"/>
      <c r="RZ96" s="207"/>
      <c r="SA96" s="272"/>
      <c r="SB96" s="272"/>
      <c r="SC96" s="272"/>
      <c r="SD96" s="205">
        <f t="shared" si="899"/>
        <v>0</v>
      </c>
      <c r="SE96" s="205">
        <f t="shared" si="900"/>
        <v>0</v>
      </c>
      <c r="SF96" s="207"/>
      <c r="SG96" s="207"/>
      <c r="SH96" s="207"/>
      <c r="SI96" s="207"/>
      <c r="SJ96" s="207"/>
      <c r="SK96" s="272"/>
      <c r="SL96" s="272"/>
      <c r="SM96" s="205">
        <f t="shared" si="901"/>
        <v>0</v>
      </c>
      <c r="SN96" s="207"/>
      <c r="SO96" s="207"/>
      <c r="SP96" s="207"/>
      <c r="SQ96" s="207"/>
      <c r="SR96" s="207"/>
      <c r="SS96" s="272"/>
      <c r="ST96" s="272"/>
      <c r="SU96" s="205">
        <f t="shared" si="902"/>
        <v>0</v>
      </c>
      <c r="SV96" s="207"/>
      <c r="SW96" s="207"/>
      <c r="SX96" s="207"/>
      <c r="SY96" s="207"/>
      <c r="SZ96" s="207"/>
      <c r="TA96" s="272"/>
      <c r="TB96" s="272"/>
      <c r="TC96" s="205">
        <f t="shared" si="903"/>
        <v>0</v>
      </c>
      <c r="TD96" s="207"/>
      <c r="TE96" s="207"/>
      <c r="TF96" s="207"/>
      <c r="TG96" s="207"/>
      <c r="TH96" s="207"/>
      <c r="TI96" s="272"/>
      <c r="TJ96" s="272"/>
      <c r="TK96" s="205">
        <f t="shared" si="904"/>
        <v>0</v>
      </c>
      <c r="TL96" s="207"/>
      <c r="TM96" s="207"/>
      <c r="TN96" s="207"/>
      <c r="TO96" s="123">
        <v>288</v>
      </c>
      <c r="TP96" s="272"/>
      <c r="TQ96" s="272"/>
      <c r="TR96" s="272"/>
      <c r="TS96" s="205">
        <f t="shared" si="905"/>
        <v>288</v>
      </c>
      <c r="TT96" s="205">
        <f t="shared" si="906"/>
        <v>0</v>
      </c>
      <c r="TU96" s="272"/>
      <c r="TV96" s="207"/>
      <c r="TW96" s="207"/>
      <c r="TX96" s="207"/>
      <c r="TY96" s="207"/>
      <c r="TZ96" s="272"/>
      <c r="UA96" s="272"/>
      <c r="UB96" s="205">
        <f t="shared" si="907"/>
        <v>0</v>
      </c>
      <c r="UC96" s="207"/>
      <c r="UD96" s="207"/>
      <c r="UE96" s="207"/>
      <c r="UF96" s="207"/>
      <c r="UG96" s="207"/>
      <c r="UH96" s="272"/>
      <c r="UI96" s="272"/>
      <c r="UJ96" s="205">
        <f t="shared" si="908"/>
        <v>0</v>
      </c>
      <c r="UK96" s="207"/>
      <c r="UL96" s="207"/>
      <c r="UM96" s="207"/>
      <c r="UN96" s="207"/>
      <c r="UO96" s="207"/>
      <c r="UP96" s="272"/>
      <c r="UQ96" s="272"/>
      <c r="UR96" s="205">
        <f t="shared" si="909"/>
        <v>0</v>
      </c>
      <c r="US96" s="207"/>
      <c r="UT96" s="207"/>
      <c r="UU96" s="207"/>
      <c r="UV96" s="207"/>
      <c r="UW96" s="272"/>
      <c r="UX96" s="272"/>
      <c r="UY96" s="272"/>
      <c r="UZ96" s="205">
        <f t="shared" si="910"/>
        <v>0</v>
      </c>
      <c r="VA96" s="205">
        <f t="shared" si="911"/>
        <v>288</v>
      </c>
      <c r="VB96" s="207"/>
      <c r="VC96" s="207"/>
      <c r="VD96" s="207"/>
      <c r="VE96" s="207"/>
      <c r="VF96" s="207"/>
      <c r="VG96" s="272"/>
      <c r="VH96" s="272"/>
      <c r="VI96" s="205">
        <f t="shared" si="912"/>
        <v>0</v>
      </c>
      <c r="VJ96" s="207"/>
      <c r="VK96" s="207"/>
      <c r="VL96" s="207"/>
      <c r="VM96" s="207"/>
      <c r="VN96" s="207"/>
      <c r="VO96" s="272"/>
      <c r="VP96" s="272"/>
      <c r="VQ96" s="205">
        <f t="shared" si="913"/>
        <v>0</v>
      </c>
      <c r="VR96" s="195">
        <v>240</v>
      </c>
      <c r="VS96" s="207"/>
      <c r="VT96" s="207"/>
      <c r="VU96" s="207"/>
      <c r="VV96" s="207"/>
      <c r="VW96" s="272"/>
      <c r="VX96" s="272"/>
      <c r="VY96" s="205">
        <f t="shared" si="914"/>
        <v>240</v>
      </c>
      <c r="VZ96" s="207"/>
      <c r="WA96" s="207"/>
      <c r="WB96" s="207"/>
      <c r="WC96" s="207"/>
      <c r="WD96" s="207"/>
      <c r="WE96" s="272"/>
      <c r="WF96" s="272"/>
      <c r="WG96" s="205">
        <f t="shared" si="915"/>
        <v>0</v>
      </c>
      <c r="WH96" s="205">
        <f t="shared" si="916"/>
        <v>240</v>
      </c>
      <c r="WI96" s="207"/>
      <c r="WJ96" s="207"/>
      <c r="WK96" s="207"/>
      <c r="WL96" s="207"/>
      <c r="WM96" s="207"/>
      <c r="WN96" s="272"/>
      <c r="WO96" s="272"/>
      <c r="WP96" s="205">
        <f t="shared" si="917"/>
        <v>0</v>
      </c>
      <c r="WQ96" s="207"/>
      <c r="WR96" s="207"/>
      <c r="WS96" s="207"/>
      <c r="WT96" s="207"/>
      <c r="WU96" s="207"/>
      <c r="WV96" s="272"/>
      <c r="WW96" s="272"/>
      <c r="WX96" s="205">
        <f t="shared" si="918"/>
        <v>0</v>
      </c>
      <c r="WY96" s="207"/>
      <c r="WZ96" s="207"/>
      <c r="XA96" s="207"/>
      <c r="XB96" s="207"/>
      <c r="XC96" s="272"/>
      <c r="XD96" s="272"/>
      <c r="XE96" s="272"/>
      <c r="XF96" s="205">
        <f t="shared" si="919"/>
        <v>0</v>
      </c>
      <c r="XG96" s="207"/>
      <c r="XH96" s="207"/>
      <c r="XI96" s="207"/>
      <c r="XJ96" s="207"/>
      <c r="XK96" s="207"/>
      <c r="XL96" s="272"/>
      <c r="XM96" s="272"/>
      <c r="XN96" s="205">
        <f t="shared" si="920"/>
        <v>0</v>
      </c>
      <c r="XO96" s="207"/>
      <c r="XP96" s="207"/>
      <c r="XQ96" s="207"/>
      <c r="XR96" s="207"/>
      <c r="XS96" s="207"/>
      <c r="XT96" s="272"/>
      <c r="XU96" s="272"/>
      <c r="XV96" s="205">
        <f t="shared" si="921"/>
        <v>0</v>
      </c>
      <c r="XW96" s="205">
        <f t="shared" si="922"/>
        <v>0</v>
      </c>
      <c r="XX96" s="207"/>
      <c r="XY96" s="207"/>
      <c r="XZ96" s="207"/>
      <c r="YA96" s="207"/>
      <c r="YB96" s="207"/>
      <c r="YC96" s="272"/>
      <c r="YD96" s="272"/>
      <c r="YE96" s="205">
        <f t="shared" si="923"/>
        <v>0</v>
      </c>
      <c r="YF96" s="207"/>
      <c r="YG96" s="207"/>
      <c r="YH96" s="207"/>
      <c r="YI96" s="207"/>
      <c r="YJ96" s="207"/>
      <c r="YK96" s="272"/>
      <c r="YL96" s="272"/>
      <c r="YM96" s="205">
        <f t="shared" si="924"/>
        <v>0</v>
      </c>
      <c r="YN96" s="207"/>
      <c r="YO96" s="207"/>
      <c r="YP96" s="207"/>
      <c r="YQ96" s="207"/>
      <c r="YR96" s="207"/>
      <c r="YS96" s="272"/>
      <c r="YT96" s="272"/>
      <c r="YU96" s="205">
        <f t="shared" si="925"/>
        <v>0</v>
      </c>
      <c r="YV96" s="207"/>
      <c r="YW96" s="207"/>
      <c r="YX96" s="207"/>
      <c r="YY96" s="207"/>
      <c r="YZ96" s="207"/>
      <c r="ZA96" s="272"/>
      <c r="ZB96" s="272"/>
      <c r="ZC96" s="205">
        <f t="shared" si="926"/>
        <v>0</v>
      </c>
      <c r="ZD96" s="205">
        <f t="shared" si="927"/>
        <v>0</v>
      </c>
      <c r="ZE96" s="207"/>
      <c r="ZF96" s="207"/>
      <c r="ZG96" s="207"/>
      <c r="ZH96" s="207"/>
      <c r="ZI96" s="207"/>
      <c r="ZJ96" s="272"/>
      <c r="ZK96" s="272"/>
      <c r="ZL96" s="205">
        <f t="shared" si="928"/>
        <v>0</v>
      </c>
      <c r="ZM96" s="207"/>
      <c r="ZN96" s="207"/>
      <c r="ZO96" s="207"/>
      <c r="ZP96" s="207"/>
      <c r="ZQ96" s="207"/>
      <c r="ZR96" s="272"/>
      <c r="ZS96" s="272"/>
      <c r="ZT96" s="205">
        <f t="shared" si="929"/>
        <v>0</v>
      </c>
      <c r="ZU96" s="207"/>
      <c r="ZV96" s="207"/>
      <c r="ZW96" s="207"/>
      <c r="ZX96" s="207"/>
      <c r="ZY96" s="207"/>
      <c r="ZZ96" s="272"/>
      <c r="AAA96" s="272"/>
      <c r="AAB96" s="205">
        <f t="shared" si="930"/>
        <v>0</v>
      </c>
      <c r="AAC96" s="207"/>
      <c r="AAD96" s="207"/>
      <c r="AAE96" s="207"/>
      <c r="AAF96" s="207"/>
      <c r="AAG96" s="207"/>
      <c r="AAH96" s="272"/>
      <c r="AAI96" s="272"/>
      <c r="AAJ96" s="205">
        <f t="shared" si="931"/>
        <v>0</v>
      </c>
      <c r="AAK96" s="207"/>
      <c r="AAL96" s="207"/>
      <c r="AAM96" s="207"/>
      <c r="AAN96" s="207"/>
      <c r="AAO96" s="207"/>
      <c r="AAP96" s="272"/>
      <c r="AAQ96" s="272"/>
      <c r="AAR96" s="205">
        <f t="shared" si="932"/>
        <v>0</v>
      </c>
      <c r="AAS96" s="205">
        <f t="shared" si="933"/>
        <v>0</v>
      </c>
    </row>
    <row r="97" spans="1:721" ht="69.95" customHeight="1">
      <c r="B97" s="151">
        <v>3630101414</v>
      </c>
      <c r="C97" s="323" t="s">
        <v>741</v>
      </c>
      <c r="D97" s="152" t="s">
        <v>18</v>
      </c>
      <c r="E97" s="130" t="s">
        <v>4</v>
      </c>
      <c r="F97" s="120"/>
      <c r="G97" s="120"/>
      <c r="H97" s="201">
        <v>500</v>
      </c>
      <c r="I97" s="120"/>
      <c r="J97" s="120"/>
      <c r="K97" s="209"/>
      <c r="L97" s="205"/>
      <c r="M97" s="205">
        <f t="shared" si="1048"/>
        <v>500</v>
      </c>
      <c r="N97" s="120"/>
      <c r="O97" s="120"/>
      <c r="P97" s="120"/>
      <c r="Q97" s="120"/>
      <c r="R97" s="120"/>
      <c r="S97" s="209"/>
      <c r="T97" s="205"/>
      <c r="U97" s="205">
        <f t="shared" si="1049"/>
        <v>0</v>
      </c>
      <c r="V97" s="120"/>
      <c r="W97" s="120"/>
      <c r="X97" s="120"/>
      <c r="Y97" s="120"/>
      <c r="Z97" s="120"/>
      <c r="AA97" s="209"/>
      <c r="AB97" s="205"/>
      <c r="AC97" s="205">
        <f t="shared" si="1050"/>
        <v>0</v>
      </c>
      <c r="AD97" s="205"/>
      <c r="AE97" s="205"/>
      <c r="AF97" s="205"/>
      <c r="AG97" s="205"/>
      <c r="AH97" s="205"/>
      <c r="AI97" s="209"/>
      <c r="AJ97" s="205"/>
      <c r="AK97" s="205">
        <f t="shared" si="1051"/>
        <v>0</v>
      </c>
      <c r="AL97" s="205" t="e">
        <f>SUM(#REF!,M97,U97,AC97,AD97:AH97)</f>
        <v>#REF!</v>
      </c>
      <c r="AM97" s="120"/>
      <c r="AN97" s="120"/>
      <c r="AO97" s="120"/>
      <c r="AP97" s="120"/>
      <c r="AQ97" s="120"/>
      <c r="AR97" s="209"/>
      <c r="AS97" s="205"/>
      <c r="AT97" s="205">
        <f t="shared" si="1052"/>
        <v>0</v>
      </c>
      <c r="AU97" s="120"/>
      <c r="AV97" s="120"/>
      <c r="AW97" s="120"/>
      <c r="AX97" s="120"/>
      <c r="AY97" s="120"/>
      <c r="AZ97" s="209"/>
      <c r="BA97" s="205"/>
      <c r="BB97" s="205">
        <f t="shared" si="1053"/>
        <v>0</v>
      </c>
      <c r="BC97" s="120"/>
      <c r="BD97" s="120"/>
      <c r="BE97" s="120"/>
      <c r="BF97" s="124">
        <v>500</v>
      </c>
      <c r="BG97" s="120"/>
      <c r="BH97" s="209"/>
      <c r="BI97" s="205"/>
      <c r="BJ97" s="205">
        <f t="shared" si="1054"/>
        <v>500</v>
      </c>
      <c r="BK97" s="120"/>
      <c r="BL97" s="120"/>
      <c r="BM97" s="120"/>
      <c r="BN97" s="120"/>
      <c r="BO97" s="205"/>
      <c r="BP97" s="209"/>
      <c r="BQ97" s="205"/>
      <c r="BR97" s="205">
        <f t="shared" si="1055"/>
        <v>0</v>
      </c>
      <c r="BS97" s="205">
        <f t="shared" si="832"/>
        <v>500</v>
      </c>
      <c r="BT97" s="250">
        <v>1000</v>
      </c>
      <c r="BU97" s="207"/>
      <c r="BV97" s="120"/>
      <c r="BW97" s="120"/>
      <c r="BX97" s="120"/>
      <c r="BY97" s="209"/>
      <c r="BZ97" s="205"/>
      <c r="CA97" s="205">
        <f t="shared" si="1056"/>
        <v>1000</v>
      </c>
      <c r="CB97" s="120"/>
      <c r="CC97" s="120"/>
      <c r="CD97" s="120"/>
      <c r="CE97" s="120"/>
      <c r="CF97" s="120"/>
      <c r="CG97" s="209"/>
      <c r="CH97" s="205"/>
      <c r="CI97" s="205">
        <f t="shared" si="1057"/>
        <v>0</v>
      </c>
      <c r="CJ97" s="120"/>
      <c r="CK97" s="195">
        <v>500</v>
      </c>
      <c r="CL97" s="120"/>
      <c r="CM97" s="120"/>
      <c r="CN97" s="120"/>
      <c r="CO97" s="209"/>
      <c r="CP97" s="205"/>
      <c r="CQ97" s="205">
        <f t="shared" si="1058"/>
        <v>500</v>
      </c>
      <c r="CR97" s="120"/>
      <c r="CS97" s="120"/>
      <c r="CT97" s="120"/>
      <c r="CU97" s="120"/>
      <c r="CV97" s="120"/>
      <c r="CW97" s="209"/>
      <c r="CX97" s="205"/>
      <c r="CY97" s="205">
        <f t="shared" si="1059"/>
        <v>0</v>
      </c>
      <c r="CZ97" s="120"/>
      <c r="DA97" s="120"/>
      <c r="DB97" s="120"/>
      <c r="DC97" s="205"/>
      <c r="DD97" s="205"/>
      <c r="DE97" s="209"/>
      <c r="DF97" s="205"/>
      <c r="DG97" s="205">
        <f t="shared" si="1060"/>
        <v>0</v>
      </c>
      <c r="DH97" s="205">
        <f t="shared" si="838"/>
        <v>1500</v>
      </c>
      <c r="DI97" s="120"/>
      <c r="DJ97" s="120"/>
      <c r="DK97" s="207"/>
      <c r="DL97" s="120"/>
      <c r="DM97" s="120"/>
      <c r="DN97" s="209"/>
      <c r="DO97" s="205"/>
      <c r="DP97" s="205">
        <f t="shared" si="839"/>
        <v>0</v>
      </c>
      <c r="DQ97" s="120"/>
      <c r="DR97" s="120"/>
      <c r="DS97" s="120"/>
      <c r="DT97" s="120"/>
      <c r="DU97" s="120"/>
      <c r="DV97" s="209"/>
      <c r="DW97" s="205"/>
      <c r="DX97" s="205">
        <f t="shared" si="840"/>
        <v>0</v>
      </c>
      <c r="DY97" s="120"/>
      <c r="DZ97" s="217">
        <v>2000</v>
      </c>
      <c r="EA97" s="217">
        <v>2000</v>
      </c>
      <c r="EB97" s="120"/>
      <c r="EC97" s="120"/>
      <c r="ED97" s="209"/>
      <c r="EE97" s="205"/>
      <c r="EF97" s="205">
        <f t="shared" si="841"/>
        <v>4000</v>
      </c>
      <c r="EG97" s="217">
        <v>2000</v>
      </c>
      <c r="EH97" s="120"/>
      <c r="EI97" s="120"/>
      <c r="EJ97" s="205"/>
      <c r="EK97" s="205"/>
      <c r="EL97" s="209"/>
      <c r="EM97" s="205"/>
      <c r="EN97" s="205">
        <f t="shared" si="842"/>
        <v>2000</v>
      </c>
      <c r="EO97" s="205">
        <f t="shared" si="843"/>
        <v>6000</v>
      </c>
      <c r="EP97" s="120"/>
      <c r="EQ97" s="120"/>
      <c r="ER97" s="120"/>
      <c r="ES97" s="120"/>
      <c r="ET97" s="120"/>
      <c r="EU97" s="209"/>
      <c r="EV97" s="205"/>
      <c r="EW97" s="205">
        <f t="shared" si="844"/>
        <v>0</v>
      </c>
      <c r="EX97" s="120"/>
      <c r="EY97" s="120"/>
      <c r="EZ97" s="120"/>
      <c r="FA97" s="120"/>
      <c r="FB97" s="120"/>
      <c r="FC97" s="209"/>
      <c r="FD97" s="205"/>
      <c r="FE97" s="205">
        <f t="shared" si="845"/>
        <v>0</v>
      </c>
      <c r="FF97" s="120"/>
      <c r="FG97" s="120"/>
      <c r="FH97" s="120"/>
      <c r="FI97" s="120"/>
      <c r="FJ97" s="120"/>
      <c r="FK97" s="209"/>
      <c r="FL97" s="205"/>
      <c r="FM97" s="205">
        <f t="shared" si="846"/>
        <v>0</v>
      </c>
      <c r="FN97" s="120"/>
      <c r="FO97" s="120"/>
      <c r="FP97" s="120"/>
      <c r="FQ97" s="120"/>
      <c r="FR97" s="205"/>
      <c r="FS97" s="209"/>
      <c r="FT97" s="205"/>
      <c r="FU97" s="205">
        <f t="shared" si="847"/>
        <v>0</v>
      </c>
      <c r="FV97" s="205">
        <f t="shared" si="848"/>
        <v>0</v>
      </c>
      <c r="FW97" s="120"/>
      <c r="FX97" s="120"/>
      <c r="FY97" s="120"/>
      <c r="FZ97" s="120"/>
      <c r="GA97" s="120"/>
      <c r="GB97" s="209"/>
      <c r="GC97" s="205"/>
      <c r="GD97" s="205">
        <f t="shared" si="849"/>
        <v>0</v>
      </c>
      <c r="GE97" s="120"/>
      <c r="GF97" s="250">
        <v>1000</v>
      </c>
      <c r="GG97" s="120"/>
      <c r="GH97" s="120"/>
      <c r="GI97" s="120"/>
      <c r="GJ97" s="209"/>
      <c r="GK97" s="205"/>
      <c r="GL97" s="205">
        <f t="shared" si="850"/>
        <v>1000</v>
      </c>
      <c r="GM97" s="120"/>
      <c r="GN97" s="120"/>
      <c r="GO97" s="120"/>
      <c r="GP97" s="120"/>
      <c r="GQ97" s="120"/>
      <c r="GR97" s="209"/>
      <c r="GS97" s="205"/>
      <c r="GT97" s="205">
        <f t="shared" si="851"/>
        <v>0</v>
      </c>
      <c r="GU97" s="120"/>
      <c r="GV97" s="120"/>
      <c r="GW97" s="120"/>
      <c r="GX97" s="120"/>
      <c r="GY97" s="120"/>
      <c r="GZ97" s="209"/>
      <c r="HA97" s="205"/>
      <c r="HB97" s="205">
        <f t="shared" si="852"/>
        <v>0</v>
      </c>
      <c r="HC97" s="120"/>
      <c r="HD97" s="120"/>
      <c r="HE97" s="120"/>
      <c r="HF97" s="120"/>
      <c r="HG97" s="120"/>
      <c r="HH97" s="209"/>
      <c r="HI97" s="205"/>
      <c r="HJ97" s="205">
        <f t="shared" si="853"/>
        <v>0</v>
      </c>
      <c r="HK97" s="205">
        <f t="shared" si="854"/>
        <v>1000</v>
      </c>
      <c r="HL97" s="124"/>
      <c r="HM97" s="120"/>
      <c r="HN97" s="120"/>
      <c r="HO97" s="120"/>
      <c r="HP97" s="217">
        <v>1000</v>
      </c>
      <c r="HQ97" s="205"/>
      <c r="HR97" s="205"/>
      <c r="HS97" s="205">
        <f t="shared" si="934"/>
        <v>1000</v>
      </c>
      <c r="HT97" s="120"/>
      <c r="HU97" s="120"/>
      <c r="HV97" s="120"/>
      <c r="HW97" s="120"/>
      <c r="HX97" s="120"/>
      <c r="HY97" s="205"/>
      <c r="HZ97" s="205"/>
      <c r="IA97" s="205">
        <f t="shared" si="935"/>
        <v>0</v>
      </c>
      <c r="IB97" s="120"/>
      <c r="IC97" s="120"/>
      <c r="ID97" s="120"/>
      <c r="IE97" s="120"/>
      <c r="IF97" s="120"/>
      <c r="IG97" s="205"/>
      <c r="IH97" s="205"/>
      <c r="II97" s="205">
        <f t="shared" si="936"/>
        <v>0</v>
      </c>
      <c r="IJ97" s="120"/>
      <c r="IK97" s="120"/>
      <c r="IL97" s="120"/>
      <c r="IM97" s="120"/>
      <c r="IN97" s="120"/>
      <c r="IO97" s="205"/>
      <c r="IP97" s="205"/>
      <c r="IQ97" s="205">
        <f t="shared" si="937"/>
        <v>0</v>
      </c>
      <c r="IR97" s="205">
        <f t="shared" si="938"/>
        <v>1000</v>
      </c>
      <c r="IS97" s="217">
        <v>640</v>
      </c>
      <c r="IT97" s="120"/>
      <c r="IU97" s="120"/>
      <c r="IV97" s="120"/>
      <c r="IW97" s="120"/>
      <c r="IX97" s="205"/>
      <c r="IY97" s="205"/>
      <c r="IZ97" s="205">
        <f t="shared" si="939"/>
        <v>640</v>
      </c>
      <c r="JA97" s="120"/>
      <c r="JB97" s="120"/>
      <c r="JC97" s="120"/>
      <c r="JD97" s="120"/>
      <c r="JE97" s="120"/>
      <c r="JF97" s="205"/>
      <c r="JG97" s="205"/>
      <c r="JH97" s="205">
        <f t="shared" si="940"/>
        <v>0</v>
      </c>
      <c r="JI97" s="120"/>
      <c r="JJ97" s="120"/>
      <c r="JK97" s="120"/>
      <c r="JL97" s="120"/>
      <c r="JM97" s="120"/>
      <c r="JN97" s="205"/>
      <c r="JO97" s="205"/>
      <c r="JP97" s="205">
        <f t="shared" si="941"/>
        <v>0</v>
      </c>
      <c r="JQ97" s="201">
        <v>2000</v>
      </c>
      <c r="JR97" s="201">
        <v>1760</v>
      </c>
      <c r="JS97" s="120"/>
      <c r="JT97" s="120"/>
      <c r="JU97" s="120"/>
      <c r="JV97" s="205"/>
      <c r="JW97" s="205"/>
      <c r="JX97" s="205">
        <f t="shared" si="942"/>
        <v>3760</v>
      </c>
      <c r="JY97" s="205">
        <f t="shared" si="943"/>
        <v>4400</v>
      </c>
      <c r="JZ97" s="120"/>
      <c r="KA97" s="120"/>
      <c r="KB97" s="120"/>
      <c r="KC97" s="120"/>
      <c r="KD97" s="120"/>
      <c r="KE97" s="205"/>
      <c r="KF97" s="205"/>
      <c r="KG97" s="205">
        <f t="shared" si="944"/>
        <v>0</v>
      </c>
      <c r="KH97" s="120"/>
      <c r="KI97" s="120"/>
      <c r="KJ97" s="120"/>
      <c r="KK97" s="120"/>
      <c r="KL97" s="120"/>
      <c r="KM97" s="205"/>
      <c r="KN97" s="205"/>
      <c r="KO97" s="205">
        <f t="shared" si="945"/>
        <v>0</v>
      </c>
      <c r="KP97" s="120"/>
      <c r="KQ97" s="120"/>
      <c r="KR97" s="120"/>
      <c r="KS97" s="120"/>
      <c r="KT97" s="120"/>
      <c r="KU97" s="205"/>
      <c r="KV97" s="205"/>
      <c r="KW97" s="205">
        <f t="shared" si="946"/>
        <v>0</v>
      </c>
      <c r="KX97" s="120"/>
      <c r="KY97" s="120"/>
      <c r="KZ97" s="120"/>
      <c r="LA97" s="120"/>
      <c r="LB97" s="120"/>
      <c r="LC97" s="205"/>
      <c r="LD97" s="205"/>
      <c r="LE97" s="205">
        <f t="shared" si="947"/>
        <v>0</v>
      </c>
      <c r="LF97" s="205"/>
      <c r="LG97" s="120"/>
      <c r="LH97" s="120"/>
      <c r="LI97" s="120"/>
      <c r="LJ97" s="120"/>
      <c r="LK97" s="205"/>
      <c r="LL97" s="205"/>
      <c r="LM97" s="205">
        <f t="shared" si="948"/>
        <v>0</v>
      </c>
      <c r="LN97" s="205">
        <f t="shared" si="949"/>
        <v>0</v>
      </c>
      <c r="LO97" s="205"/>
      <c r="LP97" s="195">
        <v>880</v>
      </c>
      <c r="LQ97" s="120"/>
      <c r="LR97" s="120"/>
      <c r="LS97" s="205"/>
      <c r="LT97" s="205"/>
      <c r="LU97" s="205"/>
      <c r="LV97" s="205">
        <f t="shared" si="950"/>
        <v>880</v>
      </c>
      <c r="LW97" s="120"/>
      <c r="LX97" s="120"/>
      <c r="LY97" s="120"/>
      <c r="LZ97" s="120"/>
      <c r="MA97" s="120"/>
      <c r="MB97" s="205"/>
      <c r="MC97" s="205"/>
      <c r="MD97" s="205">
        <f t="shared" si="951"/>
        <v>0</v>
      </c>
      <c r="ME97" s="120"/>
      <c r="MF97" s="120"/>
      <c r="MG97" s="120"/>
      <c r="MH97" s="120"/>
      <c r="MI97" s="205"/>
      <c r="MJ97" s="205"/>
      <c r="MK97" s="205"/>
      <c r="ML97" s="205">
        <f t="shared" si="952"/>
        <v>0</v>
      </c>
      <c r="MM97" s="120"/>
      <c r="MN97" s="120"/>
      <c r="MO97" s="120"/>
      <c r="MP97" s="120"/>
      <c r="MQ97" s="120"/>
      <c r="MR97" s="205"/>
      <c r="MS97" s="205"/>
      <c r="MT97" s="205">
        <f t="shared" si="953"/>
        <v>0</v>
      </c>
      <c r="MU97" s="205">
        <f t="shared" si="954"/>
        <v>880</v>
      </c>
      <c r="MV97" s="120"/>
      <c r="MW97" s="120"/>
      <c r="MX97" s="120"/>
      <c r="MY97" s="120"/>
      <c r="MZ97" s="120"/>
      <c r="NA97" s="205"/>
      <c r="NB97" s="205"/>
      <c r="NC97" s="205">
        <f t="shared" si="880"/>
        <v>0</v>
      </c>
      <c r="ND97" s="217">
        <v>1000</v>
      </c>
      <c r="NE97" s="120"/>
      <c r="NF97" s="120"/>
      <c r="NG97" s="120"/>
      <c r="NH97" s="120"/>
      <c r="NI97" s="205"/>
      <c r="NJ97" s="205"/>
      <c r="NK97" s="205">
        <f t="shared" si="881"/>
        <v>1000</v>
      </c>
      <c r="NL97" s="124">
        <v>340</v>
      </c>
      <c r="NM97" s="120"/>
      <c r="NN97" s="120"/>
      <c r="NO97" s="120"/>
      <c r="NP97" s="120"/>
      <c r="NQ97" s="205"/>
      <c r="NR97" s="205"/>
      <c r="NS97" s="205">
        <f t="shared" si="882"/>
        <v>340</v>
      </c>
      <c r="NT97" s="120"/>
      <c r="NU97" s="120"/>
      <c r="NV97" s="120"/>
      <c r="NW97" s="120"/>
      <c r="NX97" s="120"/>
      <c r="NY97" s="205"/>
      <c r="NZ97" s="205"/>
      <c r="OA97" s="205">
        <f t="shared" si="883"/>
        <v>0</v>
      </c>
      <c r="OB97" s="205">
        <f t="shared" si="884"/>
        <v>1340</v>
      </c>
      <c r="OC97" s="120"/>
      <c r="OD97" s="120"/>
      <c r="OE97" s="120"/>
      <c r="OF97" s="120"/>
      <c r="OG97" s="120"/>
      <c r="OH97" s="205"/>
      <c r="OI97" s="205"/>
      <c r="OJ97" s="205">
        <f t="shared" si="885"/>
        <v>0</v>
      </c>
      <c r="OK97" s="120"/>
      <c r="OL97" s="120"/>
      <c r="OM97" s="120"/>
      <c r="ON97" s="120"/>
      <c r="OO97" s="120"/>
      <c r="OP97" s="205"/>
      <c r="OQ97" s="205"/>
      <c r="OR97" s="205">
        <f t="shared" si="886"/>
        <v>0</v>
      </c>
      <c r="OS97" s="120"/>
      <c r="OT97" s="195">
        <v>2000</v>
      </c>
      <c r="OU97" s="123">
        <v>2000</v>
      </c>
      <c r="OV97" s="120"/>
      <c r="OW97" s="123">
        <v>1000</v>
      </c>
      <c r="OX97" s="205"/>
      <c r="OY97" s="205"/>
      <c r="OZ97" s="205">
        <f t="shared" si="887"/>
        <v>5000</v>
      </c>
      <c r="PA97" s="120"/>
      <c r="PB97" s="120"/>
      <c r="PC97" s="120"/>
      <c r="PD97" s="205"/>
      <c r="PE97" s="217"/>
      <c r="PF97" s="205"/>
      <c r="PG97" s="205"/>
      <c r="PH97" s="205">
        <f t="shared" si="888"/>
        <v>0</v>
      </c>
      <c r="PI97" s="120"/>
      <c r="PJ97" s="120"/>
      <c r="PK97" s="120"/>
      <c r="PL97" s="205"/>
      <c r="PM97" s="217"/>
      <c r="PN97" s="205"/>
      <c r="PO97" s="205"/>
      <c r="PP97" s="205">
        <f t="shared" si="889"/>
        <v>0</v>
      </c>
      <c r="PQ97" s="205">
        <f t="shared" si="890"/>
        <v>5000</v>
      </c>
      <c r="PR97" s="207"/>
      <c r="PS97" s="207"/>
      <c r="PT97" s="207"/>
      <c r="PU97" s="124">
        <v>1280</v>
      </c>
      <c r="PV97" s="207"/>
      <c r="PW97" s="272"/>
      <c r="PX97" s="272"/>
      <c r="PY97" s="205">
        <f t="shared" si="891"/>
        <v>1280</v>
      </c>
      <c r="PZ97" s="207"/>
      <c r="QA97" s="207"/>
      <c r="QB97" s="207"/>
      <c r="QC97" s="207"/>
      <c r="QD97" s="207"/>
      <c r="QE97" s="272"/>
      <c r="QF97" s="272"/>
      <c r="QG97" s="205">
        <f t="shared" si="892"/>
        <v>0</v>
      </c>
      <c r="QH97" s="207"/>
      <c r="QI97" s="207"/>
      <c r="QJ97" s="294"/>
      <c r="QK97" s="207"/>
      <c r="QL97" s="207"/>
      <c r="QM97" s="272"/>
      <c r="QN97" s="272"/>
      <c r="QO97" s="205">
        <f t="shared" si="893"/>
        <v>0</v>
      </c>
      <c r="QP97" s="124">
        <v>760</v>
      </c>
      <c r="QQ97" s="207"/>
      <c r="QR97" s="207"/>
      <c r="QS97" s="207"/>
      <c r="QT97" s="207"/>
      <c r="QU97" s="272"/>
      <c r="QV97" s="272"/>
      <c r="QW97" s="205">
        <f t="shared" si="894"/>
        <v>760</v>
      </c>
      <c r="QX97" s="205">
        <f t="shared" si="895"/>
        <v>2040</v>
      </c>
      <c r="QY97" s="207"/>
      <c r="QZ97" s="207"/>
      <c r="RA97" s="207"/>
      <c r="RB97" s="207"/>
      <c r="RC97" s="207"/>
      <c r="RD97" s="272"/>
      <c r="RE97" s="272"/>
      <c r="RF97" s="205">
        <f t="shared" si="896"/>
        <v>0</v>
      </c>
      <c r="RG97" s="207"/>
      <c r="RH97" s="207"/>
      <c r="RI97" s="207"/>
      <c r="RJ97" s="207"/>
      <c r="RK97" s="207"/>
      <c r="RL97" s="272"/>
      <c r="RM97" s="272"/>
      <c r="RN97" s="205">
        <f t="shared" si="897"/>
        <v>0</v>
      </c>
      <c r="RO97" s="272"/>
      <c r="RP97" s="272"/>
      <c r="RQ97" s="272"/>
      <c r="RR97" s="272"/>
      <c r="RS97" s="272"/>
      <c r="RT97" s="272"/>
      <c r="RU97" s="272"/>
      <c r="RV97" s="205">
        <f t="shared" si="898"/>
        <v>0</v>
      </c>
      <c r="RW97" s="207"/>
      <c r="RX97" s="217">
        <v>1700</v>
      </c>
      <c r="RY97" s="207"/>
      <c r="RZ97" s="207"/>
      <c r="SA97" s="272"/>
      <c r="SB97" s="272"/>
      <c r="SC97" s="272"/>
      <c r="SD97" s="205">
        <f t="shared" si="899"/>
        <v>1700</v>
      </c>
      <c r="SE97" s="205">
        <f t="shared" si="900"/>
        <v>1700</v>
      </c>
      <c r="SF97" s="207"/>
      <c r="SG97" s="207"/>
      <c r="SH97" s="207"/>
      <c r="SI97" s="207"/>
      <c r="SJ97" s="207"/>
      <c r="SK97" s="272"/>
      <c r="SL97" s="272"/>
      <c r="SM97" s="205">
        <f t="shared" si="901"/>
        <v>0</v>
      </c>
      <c r="SN97" s="207"/>
      <c r="SO97" s="207"/>
      <c r="SP97" s="207"/>
      <c r="SQ97" s="207"/>
      <c r="SR97" s="207"/>
      <c r="SS97" s="272"/>
      <c r="ST97" s="272"/>
      <c r="SU97" s="205">
        <f t="shared" si="902"/>
        <v>0</v>
      </c>
      <c r="SV97" s="207"/>
      <c r="SW97" s="207"/>
      <c r="SX97" s="207"/>
      <c r="SY97" s="207"/>
      <c r="SZ97" s="207"/>
      <c r="TA97" s="272"/>
      <c r="TB97" s="272"/>
      <c r="TC97" s="205">
        <f t="shared" si="903"/>
        <v>0</v>
      </c>
      <c r="TD97" s="207"/>
      <c r="TE97" s="207"/>
      <c r="TF97" s="207"/>
      <c r="TG97" s="207"/>
      <c r="TH97" s="207"/>
      <c r="TI97" s="272"/>
      <c r="TJ97" s="272"/>
      <c r="TK97" s="205">
        <f t="shared" si="904"/>
        <v>0</v>
      </c>
      <c r="TL97" s="207"/>
      <c r="TM97" s="207"/>
      <c r="TN97" s="207"/>
      <c r="TO97" s="207"/>
      <c r="TP97" s="272"/>
      <c r="TQ97" s="272"/>
      <c r="TR97" s="272"/>
      <c r="TS97" s="205">
        <f t="shared" si="905"/>
        <v>0</v>
      </c>
      <c r="TT97" s="205">
        <f t="shared" si="906"/>
        <v>0</v>
      </c>
      <c r="TU97" s="272"/>
      <c r="TV97" s="207"/>
      <c r="TX97" s="207"/>
      <c r="TY97" s="207"/>
      <c r="TZ97" s="272"/>
      <c r="UA97" s="272"/>
      <c r="UB97" s="205">
        <f t="shared" si="907"/>
        <v>0</v>
      </c>
      <c r="UC97" s="207"/>
      <c r="UD97" s="124">
        <v>760</v>
      </c>
      <c r="UE97" s="207"/>
      <c r="UF97" s="207"/>
      <c r="UG97" s="207"/>
      <c r="UH97" s="272"/>
      <c r="UI97" s="272"/>
      <c r="UJ97" s="205">
        <f t="shared" si="908"/>
        <v>760</v>
      </c>
      <c r="UK97" s="207"/>
      <c r="UL97" s="207"/>
      <c r="UM97" s="207"/>
      <c r="UN97" s="120"/>
      <c r="UO97" s="207"/>
      <c r="UP97" s="272"/>
      <c r="UQ97" s="272"/>
      <c r="UR97" s="205">
        <f t="shared" si="909"/>
        <v>0</v>
      </c>
      <c r="US97" s="120"/>
      <c r="UT97" s="120"/>
      <c r="UU97" s="207"/>
      <c r="UV97" s="207"/>
      <c r="UW97" s="272"/>
      <c r="UX97" s="272"/>
      <c r="UY97" s="272"/>
      <c r="UZ97" s="205">
        <f t="shared" si="910"/>
        <v>0</v>
      </c>
      <c r="VA97" s="205">
        <f t="shared" si="911"/>
        <v>760</v>
      </c>
      <c r="VB97" s="207"/>
      <c r="VC97" s="207"/>
      <c r="VD97" s="207"/>
      <c r="VE97" s="120"/>
      <c r="VF97" s="207"/>
      <c r="VG97" s="272"/>
      <c r="VH97" s="272"/>
      <c r="VI97" s="205">
        <f t="shared" si="912"/>
        <v>0</v>
      </c>
      <c r="VJ97" s="207"/>
      <c r="VK97" s="201">
        <v>520</v>
      </c>
      <c r="VL97" s="207"/>
      <c r="VM97" s="207"/>
      <c r="VN97" s="207"/>
      <c r="VO97" s="272"/>
      <c r="VP97" s="272"/>
      <c r="VQ97" s="205">
        <f t="shared" si="913"/>
        <v>520</v>
      </c>
      <c r="VR97" s="120"/>
      <c r="VS97" s="207"/>
      <c r="VT97" s="207"/>
      <c r="VU97" s="207"/>
      <c r="VV97" s="207"/>
      <c r="VW97" s="272"/>
      <c r="VX97" s="272"/>
      <c r="VY97" s="205">
        <f t="shared" si="914"/>
        <v>0</v>
      </c>
      <c r="VZ97" s="207"/>
      <c r="WA97" s="207"/>
      <c r="WB97" s="195">
        <v>2000</v>
      </c>
      <c r="WC97" s="195">
        <v>2000</v>
      </c>
      <c r="WD97" s="207"/>
      <c r="WE97" s="272"/>
      <c r="WF97" s="272"/>
      <c r="WG97" s="205">
        <f t="shared" si="915"/>
        <v>4000</v>
      </c>
      <c r="WH97" s="205">
        <f t="shared" si="916"/>
        <v>4520</v>
      </c>
      <c r="WI97" s="120"/>
      <c r="WJ97" s="120"/>
      <c r="WK97" s="207"/>
      <c r="WL97" s="207"/>
      <c r="WM97" s="207"/>
      <c r="WN97" s="272"/>
      <c r="WO97" s="272"/>
      <c r="WP97" s="205">
        <f t="shared" si="917"/>
        <v>0</v>
      </c>
      <c r="WQ97" s="207"/>
      <c r="WR97" s="207"/>
      <c r="WS97" s="207"/>
      <c r="WT97" s="207"/>
      <c r="WU97" s="207"/>
      <c r="WV97" s="272"/>
      <c r="WW97" s="272"/>
      <c r="WX97" s="205">
        <f t="shared" si="918"/>
        <v>0</v>
      </c>
      <c r="WY97" s="207"/>
      <c r="WZ97" s="207"/>
      <c r="XA97" s="207"/>
      <c r="XB97" s="207"/>
      <c r="XC97" s="272"/>
      <c r="XD97" s="272"/>
      <c r="XE97" s="272"/>
      <c r="XF97" s="205">
        <f t="shared" si="919"/>
        <v>0</v>
      </c>
      <c r="XG97" s="207"/>
      <c r="XH97" s="207"/>
      <c r="XI97" s="207"/>
      <c r="XJ97" s="207"/>
      <c r="XK97" s="207"/>
      <c r="XL97" s="272"/>
      <c r="XM97" s="272"/>
      <c r="XN97" s="205">
        <f t="shared" si="920"/>
        <v>0</v>
      </c>
      <c r="XO97" s="207"/>
      <c r="XP97" s="207"/>
      <c r="XQ97" s="207"/>
      <c r="XR97" s="207"/>
      <c r="XS97" s="207"/>
      <c r="XT97" s="272"/>
      <c r="XU97" s="272"/>
      <c r="XV97" s="205">
        <f t="shared" si="921"/>
        <v>0</v>
      </c>
      <c r="XW97" s="205">
        <f t="shared" si="922"/>
        <v>0</v>
      </c>
      <c r="XX97" s="207"/>
      <c r="XY97" s="207"/>
      <c r="XZ97" s="207"/>
      <c r="YA97" s="207"/>
      <c r="YB97" s="207"/>
      <c r="YC97" s="272"/>
      <c r="YD97" s="272"/>
      <c r="YE97" s="205">
        <f t="shared" si="923"/>
        <v>0</v>
      </c>
      <c r="YF97" s="207"/>
      <c r="YG97" s="207"/>
      <c r="YH97" s="207"/>
      <c r="YI97" s="207"/>
      <c r="YJ97" s="207"/>
      <c r="YK97" s="272"/>
      <c r="YL97" s="272"/>
      <c r="YM97" s="205">
        <f t="shared" si="924"/>
        <v>0</v>
      </c>
      <c r="YN97" s="207"/>
      <c r="YO97" s="207"/>
      <c r="YP97" s="207"/>
      <c r="YQ97" s="207"/>
      <c r="YR97" s="207"/>
      <c r="YS97" s="272"/>
      <c r="YT97" s="272"/>
      <c r="YU97" s="205">
        <f t="shared" si="925"/>
        <v>0</v>
      </c>
      <c r="YV97" s="207"/>
      <c r="YW97" s="207"/>
      <c r="YX97" s="207"/>
      <c r="YY97" s="207"/>
      <c r="YZ97" s="207"/>
      <c r="ZA97" s="272"/>
      <c r="ZB97" s="272"/>
      <c r="ZC97" s="205">
        <f t="shared" si="926"/>
        <v>0</v>
      </c>
      <c r="ZD97" s="205">
        <f t="shared" si="927"/>
        <v>0</v>
      </c>
      <c r="ZE97" s="207"/>
      <c r="ZF97" s="207"/>
      <c r="ZG97" s="207"/>
      <c r="ZH97" s="207"/>
      <c r="ZI97" s="207"/>
      <c r="ZJ97" s="272"/>
      <c r="ZK97" s="272"/>
      <c r="ZL97" s="205">
        <f t="shared" si="928"/>
        <v>0</v>
      </c>
      <c r="ZM97" s="207"/>
      <c r="ZN97" s="207"/>
      <c r="ZO97" s="207"/>
      <c r="ZP97" s="207"/>
      <c r="ZQ97" s="207"/>
      <c r="ZR97" s="272"/>
      <c r="ZS97" s="272"/>
      <c r="ZT97" s="205">
        <f t="shared" si="929"/>
        <v>0</v>
      </c>
      <c r="ZU97" s="207"/>
      <c r="ZV97" s="207"/>
      <c r="ZW97" s="207"/>
      <c r="ZX97" s="207"/>
      <c r="ZY97" s="207"/>
      <c r="ZZ97" s="272"/>
      <c r="AAA97" s="272"/>
      <c r="AAB97" s="205">
        <f t="shared" si="930"/>
        <v>0</v>
      </c>
      <c r="AAC97" s="207"/>
      <c r="AAD97" s="207"/>
      <c r="AAE97" s="207"/>
      <c r="AAF97" s="207"/>
      <c r="AAG97" s="207"/>
      <c r="AAH97" s="272"/>
      <c r="AAI97" s="272"/>
      <c r="AAJ97" s="205">
        <f t="shared" si="931"/>
        <v>0</v>
      </c>
      <c r="AAK97" s="207"/>
      <c r="AAL97" s="207"/>
      <c r="AAM97" s="207"/>
      <c r="AAN97" s="207"/>
      <c r="AAO97" s="207"/>
      <c r="AAP97" s="272"/>
      <c r="AAQ97" s="272"/>
      <c r="AAR97" s="205">
        <f t="shared" si="932"/>
        <v>0</v>
      </c>
      <c r="AAS97" s="205">
        <f t="shared" si="933"/>
        <v>0</v>
      </c>
    </row>
    <row r="98" spans="1:721" ht="69.95" customHeight="1">
      <c r="B98" s="151">
        <v>3630101463</v>
      </c>
      <c r="C98" s="323" t="s">
        <v>741</v>
      </c>
      <c r="D98" s="152" t="s">
        <v>832</v>
      </c>
      <c r="E98" s="130" t="s">
        <v>4</v>
      </c>
      <c r="F98" s="120"/>
      <c r="G98" s="120"/>
      <c r="H98" s="120"/>
      <c r="I98" s="120"/>
      <c r="J98" s="120"/>
      <c r="K98" s="209"/>
      <c r="L98" s="205"/>
      <c r="M98" s="205">
        <f t="shared" ref="M98" si="1105">SUM(F98:L98)</f>
        <v>0</v>
      </c>
      <c r="N98" s="120"/>
      <c r="O98" s="120"/>
      <c r="P98" s="120"/>
      <c r="Q98" s="120"/>
      <c r="R98" s="120"/>
      <c r="S98" s="209"/>
      <c r="T98" s="205"/>
      <c r="U98" s="205">
        <f t="shared" ref="U98" si="1106">SUM(N98:T98)</f>
        <v>0</v>
      </c>
      <c r="V98" s="120"/>
      <c r="W98" s="120"/>
      <c r="X98" s="120"/>
      <c r="Y98" s="120"/>
      <c r="Z98" s="120"/>
      <c r="AA98" s="209"/>
      <c r="AB98" s="205"/>
      <c r="AC98" s="205">
        <f t="shared" ref="AC98" si="1107">SUM(V98:AB98)</f>
        <v>0</v>
      </c>
      <c r="AD98" s="205"/>
      <c r="AE98" s="205"/>
      <c r="AF98" s="205"/>
      <c r="AG98" s="205"/>
      <c r="AH98" s="205"/>
      <c r="AI98" s="209"/>
      <c r="AJ98" s="205"/>
      <c r="AK98" s="205">
        <f t="shared" ref="AK98" si="1108">SUM(AD98:AJ98)</f>
        <v>0</v>
      </c>
      <c r="AL98" s="205" t="e">
        <f>SUM(#REF!,M98,U98,AC98,AD98:AH98)</f>
        <v>#REF!</v>
      </c>
      <c r="AM98" s="120"/>
      <c r="AN98" s="120"/>
      <c r="AO98" s="120"/>
      <c r="AP98" s="120"/>
      <c r="AQ98" s="120"/>
      <c r="AR98" s="209"/>
      <c r="AS98" s="205"/>
      <c r="AT98" s="205">
        <f t="shared" si="1052"/>
        <v>0</v>
      </c>
      <c r="AU98" s="120"/>
      <c r="AV98" s="120"/>
      <c r="AW98" s="120"/>
      <c r="AX98" s="120"/>
      <c r="AY98" s="120"/>
      <c r="AZ98" s="209"/>
      <c r="BA98" s="205"/>
      <c r="BB98" s="205">
        <f t="shared" si="1053"/>
        <v>0</v>
      </c>
      <c r="BC98" s="120"/>
      <c r="BD98" s="120"/>
      <c r="BE98" s="120"/>
      <c r="BF98" s="120"/>
      <c r="BG98" s="120"/>
      <c r="BH98" s="209"/>
      <c r="BI98" s="205"/>
      <c r="BJ98" s="205">
        <f t="shared" si="1054"/>
        <v>0</v>
      </c>
      <c r="BK98" s="120"/>
      <c r="BL98" s="120"/>
      <c r="BM98" s="120"/>
      <c r="BN98" s="120"/>
      <c r="BO98" s="205"/>
      <c r="BP98" s="209"/>
      <c r="BQ98" s="205"/>
      <c r="BR98" s="205">
        <f t="shared" si="1055"/>
        <v>0</v>
      </c>
      <c r="BS98" s="205">
        <f t="shared" ref="BS98" si="1109">SUM(AI98:AJ98,AT98,BB98,BJ98,BK98:BO98)</f>
        <v>0</v>
      </c>
      <c r="BT98" s="120"/>
      <c r="BU98" s="120"/>
      <c r="BV98" s="120"/>
      <c r="BW98" s="120"/>
      <c r="BX98" s="120"/>
      <c r="BY98" s="209"/>
      <c r="BZ98" s="205"/>
      <c r="CA98" s="205">
        <f t="shared" si="1056"/>
        <v>0</v>
      </c>
      <c r="CB98" s="120"/>
      <c r="CC98" s="120"/>
      <c r="CD98" s="120"/>
      <c r="CE98" s="120"/>
      <c r="CF98" s="120"/>
      <c r="CG98" s="209"/>
      <c r="CH98" s="205"/>
      <c r="CI98" s="205">
        <f t="shared" si="1057"/>
        <v>0</v>
      </c>
      <c r="CJ98" s="120"/>
      <c r="CK98" s="120"/>
      <c r="CL98" s="120"/>
      <c r="CM98" s="120"/>
      <c r="CN98" s="120"/>
      <c r="CO98" s="209"/>
      <c r="CP98" s="205"/>
      <c r="CQ98" s="205">
        <f t="shared" si="1058"/>
        <v>0</v>
      </c>
      <c r="CR98" s="120"/>
      <c r="CS98" s="120"/>
      <c r="CT98" s="120"/>
      <c r="CU98" s="120"/>
      <c r="CV98" s="120"/>
      <c r="CW98" s="209"/>
      <c r="CX98" s="205"/>
      <c r="CY98" s="205">
        <f t="shared" si="1059"/>
        <v>0</v>
      </c>
      <c r="CZ98" s="120"/>
      <c r="DA98" s="120"/>
      <c r="DB98" s="120"/>
      <c r="DC98" s="205"/>
      <c r="DD98" s="205"/>
      <c r="DE98" s="209"/>
      <c r="DF98" s="205"/>
      <c r="DG98" s="205">
        <f t="shared" si="1060"/>
        <v>0</v>
      </c>
      <c r="DH98" s="205">
        <f t="shared" ref="DH98" si="1110">SUM(CA98,CI98,CQ98,CY98,CZ98)</f>
        <v>0</v>
      </c>
      <c r="DI98" s="120"/>
      <c r="DJ98" s="120"/>
      <c r="DK98" s="120"/>
      <c r="DL98" s="120"/>
      <c r="DM98" s="120"/>
      <c r="DN98" s="209"/>
      <c r="DO98" s="205"/>
      <c r="DP98" s="205">
        <f t="shared" ref="DP98" si="1111">SUM(DI98:DO98)</f>
        <v>0</v>
      </c>
      <c r="DQ98" s="120"/>
      <c r="DR98" s="120"/>
      <c r="DS98" s="120"/>
      <c r="DT98" s="120"/>
      <c r="DU98" s="120"/>
      <c r="DV98" s="209"/>
      <c r="DW98" s="205"/>
      <c r="DX98" s="205">
        <f t="shared" ref="DX98" si="1112">SUM(DQ98:DW98)</f>
        <v>0</v>
      </c>
      <c r="DY98" s="120"/>
      <c r="DZ98" s="120"/>
      <c r="EA98" s="120"/>
      <c r="EB98" s="120"/>
      <c r="EC98" s="120"/>
      <c r="ED98" s="209"/>
      <c r="EE98" s="205"/>
      <c r="EF98" s="205">
        <f t="shared" ref="EF98" si="1113">SUM(DY98:EE98)</f>
        <v>0</v>
      </c>
      <c r="EG98" s="120"/>
      <c r="EH98" s="120"/>
      <c r="EI98" s="120"/>
      <c r="EJ98" s="205"/>
      <c r="EK98" s="205"/>
      <c r="EL98" s="209"/>
      <c r="EM98" s="205"/>
      <c r="EN98" s="205">
        <f t="shared" ref="EN98" si="1114">SUM(EG98:EM98)</f>
        <v>0</v>
      </c>
      <c r="EO98" s="205">
        <f t="shared" ref="EO98" si="1115">SUM(DA98:DF98,DP98,DX98,EF98,EG98:EI98)</f>
        <v>0</v>
      </c>
      <c r="EP98" s="120"/>
      <c r="EQ98" s="120"/>
      <c r="ER98" s="120"/>
      <c r="ES98" s="120"/>
      <c r="ET98" s="120"/>
      <c r="EU98" s="209"/>
      <c r="EV98" s="205"/>
      <c r="EW98" s="205">
        <f t="shared" ref="EW98" si="1116">SUM(EP98:EV98)</f>
        <v>0</v>
      </c>
      <c r="EX98" s="120"/>
      <c r="EY98" s="120"/>
      <c r="EZ98" s="120"/>
      <c r="FA98" s="120"/>
      <c r="FB98" s="120"/>
      <c r="FC98" s="209"/>
      <c r="FD98" s="205"/>
      <c r="FE98" s="205">
        <f t="shared" ref="FE98" si="1117">SUM(EX98:FD98)</f>
        <v>0</v>
      </c>
      <c r="FF98" s="120"/>
      <c r="FG98" s="120"/>
      <c r="FH98" s="120"/>
      <c r="FI98" s="120"/>
      <c r="FJ98" s="120"/>
      <c r="FK98" s="209"/>
      <c r="FL98" s="205"/>
      <c r="FM98" s="205">
        <f t="shared" ref="FM98" si="1118">SUM(FF98:FL98)</f>
        <v>0</v>
      </c>
      <c r="FN98" s="120"/>
      <c r="FO98" s="120"/>
      <c r="FP98" s="120"/>
      <c r="FQ98" s="120"/>
      <c r="FR98" s="205"/>
      <c r="FS98" s="209"/>
      <c r="FT98" s="205"/>
      <c r="FU98" s="205">
        <f t="shared" ref="FU98" si="1119">SUM(FN98:FT98)</f>
        <v>0</v>
      </c>
      <c r="FV98" s="205">
        <f t="shared" ref="FV98" si="1120">SUM(EJ98:EK98,EW98,FE98,FM98,FU98)</f>
        <v>0</v>
      </c>
      <c r="FW98" s="120"/>
      <c r="FX98" s="120"/>
      <c r="FY98" s="120"/>
      <c r="FZ98" s="120"/>
      <c r="GA98" s="120"/>
      <c r="GB98" s="209"/>
      <c r="GC98" s="205"/>
      <c r="GD98" s="205">
        <f t="shared" ref="GD98" si="1121">SUM(FW98:GC98)</f>
        <v>0</v>
      </c>
      <c r="GE98" s="120"/>
      <c r="GF98" s="120"/>
      <c r="GG98" s="120"/>
      <c r="GH98" s="120"/>
      <c r="GI98" s="120"/>
      <c r="GJ98" s="209"/>
      <c r="GK98" s="205"/>
      <c r="GL98" s="205">
        <f t="shared" ref="GL98" si="1122">SUM(GE98:GK98)</f>
        <v>0</v>
      </c>
      <c r="GM98" s="120"/>
      <c r="GN98" s="120"/>
      <c r="GO98" s="120"/>
      <c r="GP98" s="120"/>
      <c r="GQ98" s="120"/>
      <c r="GR98" s="209"/>
      <c r="GS98" s="205"/>
      <c r="GT98" s="205">
        <f t="shared" ref="GT98" si="1123">SUM(GM98:GS98)</f>
        <v>0</v>
      </c>
      <c r="GU98" s="120"/>
      <c r="GV98" s="120"/>
      <c r="GW98" s="120"/>
      <c r="GX98" s="120"/>
      <c r="GY98" s="120"/>
      <c r="GZ98" s="209"/>
      <c r="HA98" s="205"/>
      <c r="HB98" s="205">
        <f t="shared" ref="HB98" si="1124">SUM(GU98:HA98)</f>
        <v>0</v>
      </c>
      <c r="HC98" s="120"/>
      <c r="HD98" s="120"/>
      <c r="HE98" s="120"/>
      <c r="HF98" s="120"/>
      <c r="HG98" s="120"/>
      <c r="HH98" s="209"/>
      <c r="HI98" s="205"/>
      <c r="HJ98" s="205">
        <f t="shared" ref="HJ98" si="1125">SUM(HC98:HI98)</f>
        <v>0</v>
      </c>
      <c r="HK98" s="205">
        <f t="shared" ref="HK98" si="1126">SUM(GD98,GL98,GT98,HB98,HC98)</f>
        <v>0</v>
      </c>
      <c r="HL98" s="124"/>
      <c r="HM98" s="120"/>
      <c r="HN98" s="120"/>
      <c r="HO98" s="120"/>
      <c r="HP98" s="120"/>
      <c r="HQ98" s="205"/>
      <c r="HR98" s="205"/>
      <c r="HS98" s="205">
        <f t="shared" si="934"/>
        <v>0</v>
      </c>
      <c r="HT98" s="120"/>
      <c r="HU98" s="120"/>
      <c r="HV98" s="120"/>
      <c r="HW98" s="120"/>
      <c r="HX98" s="120"/>
      <c r="HY98" s="205"/>
      <c r="HZ98" s="205"/>
      <c r="IA98" s="205">
        <f t="shared" si="935"/>
        <v>0</v>
      </c>
      <c r="IB98" s="120"/>
      <c r="IC98" s="120"/>
      <c r="ID98" s="120"/>
      <c r="IE98" s="120"/>
      <c r="IF98" s="120"/>
      <c r="IG98" s="205"/>
      <c r="IH98" s="205"/>
      <c r="II98" s="205">
        <f t="shared" si="936"/>
        <v>0</v>
      </c>
      <c r="IJ98" s="120"/>
      <c r="IK98" s="120"/>
      <c r="IL98" s="120"/>
      <c r="IM98" s="120"/>
      <c r="IN98" s="120"/>
      <c r="IO98" s="205"/>
      <c r="IP98" s="205"/>
      <c r="IQ98" s="205">
        <f t="shared" si="937"/>
        <v>0</v>
      </c>
      <c r="IR98" s="205">
        <f t="shared" si="938"/>
        <v>0</v>
      </c>
      <c r="IS98" s="217">
        <v>360</v>
      </c>
      <c r="IT98" s="120"/>
      <c r="IU98" s="120"/>
      <c r="IV98" s="120"/>
      <c r="IW98" s="120"/>
      <c r="IX98" s="205"/>
      <c r="IY98" s="205"/>
      <c r="IZ98" s="205">
        <f t="shared" si="939"/>
        <v>360</v>
      </c>
      <c r="JA98" s="120"/>
      <c r="JB98" s="120"/>
      <c r="JC98" s="120"/>
      <c r="JD98" s="120"/>
      <c r="JE98" s="120"/>
      <c r="JF98" s="205"/>
      <c r="JG98" s="205"/>
      <c r="JH98" s="205">
        <f t="shared" si="940"/>
        <v>0</v>
      </c>
      <c r="JI98" s="120"/>
      <c r="JJ98" s="120"/>
      <c r="JK98" s="120"/>
      <c r="JL98" s="120"/>
      <c r="JM98" s="120"/>
      <c r="JN98" s="205"/>
      <c r="JO98" s="205"/>
      <c r="JP98" s="205">
        <f t="shared" si="941"/>
        <v>0</v>
      </c>
      <c r="JQ98" s="120"/>
      <c r="JR98" s="201">
        <v>240</v>
      </c>
      <c r="JS98" s="120"/>
      <c r="JT98" s="120"/>
      <c r="JU98" s="120"/>
      <c r="JV98" s="205"/>
      <c r="JW98" s="205"/>
      <c r="JX98" s="205">
        <f t="shared" si="942"/>
        <v>240</v>
      </c>
      <c r="JY98" s="205">
        <f t="shared" si="943"/>
        <v>600</v>
      </c>
      <c r="JZ98" s="120"/>
      <c r="KA98" s="120"/>
      <c r="KB98" s="120"/>
      <c r="KC98" s="120"/>
      <c r="KD98" s="120"/>
      <c r="KE98" s="205"/>
      <c r="KF98" s="205"/>
      <c r="KG98" s="205">
        <f t="shared" si="944"/>
        <v>0</v>
      </c>
      <c r="KH98" s="120"/>
      <c r="KI98" s="120"/>
      <c r="KJ98" s="120"/>
      <c r="KK98" s="120"/>
      <c r="KL98" s="120"/>
      <c r="KM98" s="205"/>
      <c r="KN98" s="205"/>
      <c r="KO98" s="205">
        <f t="shared" si="945"/>
        <v>0</v>
      </c>
      <c r="KP98" s="120"/>
      <c r="KQ98" s="120"/>
      <c r="KR98" s="120"/>
      <c r="KS98" s="120"/>
      <c r="KT98" s="120"/>
      <c r="KU98" s="205"/>
      <c r="KV98" s="205"/>
      <c r="KW98" s="205">
        <f t="shared" si="946"/>
        <v>0</v>
      </c>
      <c r="KX98" s="120"/>
      <c r="KY98" s="120"/>
      <c r="KZ98" s="120"/>
      <c r="LA98" s="120"/>
      <c r="LB98" s="120"/>
      <c r="LC98" s="205"/>
      <c r="LD98" s="205"/>
      <c r="LE98" s="205">
        <f t="shared" si="947"/>
        <v>0</v>
      </c>
      <c r="LF98" s="205"/>
      <c r="LG98" s="120"/>
      <c r="LH98" s="120"/>
      <c r="LI98" s="120"/>
      <c r="LJ98" s="120"/>
      <c r="LK98" s="205"/>
      <c r="LL98" s="205"/>
      <c r="LM98" s="205">
        <f t="shared" si="948"/>
        <v>0</v>
      </c>
      <c r="LN98" s="205">
        <f t="shared" si="949"/>
        <v>0</v>
      </c>
      <c r="LO98" s="205"/>
      <c r="LP98" s="195">
        <v>120</v>
      </c>
      <c r="LQ98" s="120"/>
      <c r="LR98" s="120"/>
      <c r="LS98" s="205"/>
      <c r="LT98" s="205"/>
      <c r="LU98" s="205"/>
      <c r="LV98" s="205">
        <f t="shared" si="950"/>
        <v>120</v>
      </c>
      <c r="LW98" s="120"/>
      <c r="LX98" s="120"/>
      <c r="LY98" s="120"/>
      <c r="LZ98" s="120"/>
      <c r="MA98" s="120"/>
      <c r="MB98" s="205"/>
      <c r="MC98" s="205"/>
      <c r="MD98" s="205">
        <f t="shared" si="951"/>
        <v>0</v>
      </c>
      <c r="ME98" s="120"/>
      <c r="MF98" s="120"/>
      <c r="MG98" s="120"/>
      <c r="MH98" s="120"/>
      <c r="MI98" s="205"/>
      <c r="MJ98" s="205"/>
      <c r="MK98" s="205"/>
      <c r="ML98" s="205">
        <f t="shared" si="952"/>
        <v>0</v>
      </c>
      <c r="MM98" s="120"/>
      <c r="MN98" s="120"/>
      <c r="MO98" s="120"/>
      <c r="MP98" s="120"/>
      <c r="MQ98" s="120"/>
      <c r="MR98" s="205"/>
      <c r="MS98" s="205"/>
      <c r="MT98" s="205">
        <f t="shared" si="953"/>
        <v>0</v>
      </c>
      <c r="MU98" s="205">
        <f t="shared" si="954"/>
        <v>120</v>
      </c>
      <c r="MV98" s="120"/>
      <c r="MW98" s="120"/>
      <c r="MX98" s="120"/>
      <c r="MY98" s="120"/>
      <c r="MZ98" s="120"/>
      <c r="NA98" s="205"/>
      <c r="NB98" s="205"/>
      <c r="NC98" s="205">
        <f t="shared" si="880"/>
        <v>0</v>
      </c>
      <c r="ND98" s="120"/>
      <c r="NE98" s="120"/>
      <c r="NF98" s="120"/>
      <c r="NG98" s="120"/>
      <c r="NH98" s="120"/>
      <c r="NI98" s="205"/>
      <c r="NJ98" s="205"/>
      <c r="NK98" s="205">
        <f t="shared" si="881"/>
        <v>0</v>
      </c>
      <c r="NL98" s="124">
        <v>660</v>
      </c>
      <c r="NM98" s="120"/>
      <c r="NN98" s="120"/>
      <c r="NO98" s="120"/>
      <c r="NP98" s="120"/>
      <c r="NQ98" s="205"/>
      <c r="NR98" s="205"/>
      <c r="NS98" s="205">
        <f t="shared" si="882"/>
        <v>660</v>
      </c>
      <c r="NT98" s="120"/>
      <c r="NU98" s="120"/>
      <c r="NV98" s="120"/>
      <c r="NW98" s="120"/>
      <c r="NX98" s="120"/>
      <c r="NY98" s="205"/>
      <c r="NZ98" s="205"/>
      <c r="OA98" s="205">
        <f t="shared" si="883"/>
        <v>0</v>
      </c>
      <c r="OB98" s="205">
        <f t="shared" si="884"/>
        <v>660</v>
      </c>
      <c r="OC98" s="120"/>
      <c r="OD98" s="120"/>
      <c r="OE98" s="120"/>
      <c r="OF98" s="120"/>
      <c r="OG98" s="120"/>
      <c r="OH98" s="205"/>
      <c r="OI98" s="205"/>
      <c r="OJ98" s="205">
        <f t="shared" si="885"/>
        <v>0</v>
      </c>
      <c r="OK98" s="120"/>
      <c r="OL98" s="120"/>
      <c r="OM98" s="120"/>
      <c r="ON98" s="120"/>
      <c r="OO98" s="120"/>
      <c r="OP98" s="205"/>
      <c r="OQ98" s="205"/>
      <c r="OR98" s="205">
        <f t="shared" si="886"/>
        <v>0</v>
      </c>
      <c r="OS98" s="120"/>
      <c r="OT98" s="120"/>
      <c r="OU98" s="120"/>
      <c r="OV98" s="120"/>
      <c r="OW98" s="120"/>
      <c r="OX98" s="205"/>
      <c r="OY98" s="205"/>
      <c r="OZ98" s="205">
        <f t="shared" si="887"/>
        <v>0</v>
      </c>
      <c r="PA98" s="120"/>
      <c r="PB98" s="120"/>
      <c r="PC98" s="120"/>
      <c r="PD98" s="205"/>
      <c r="PE98" s="217"/>
      <c r="PF98" s="205"/>
      <c r="PG98" s="205"/>
      <c r="PH98" s="205">
        <f t="shared" si="888"/>
        <v>0</v>
      </c>
      <c r="PI98" s="120"/>
      <c r="PJ98" s="120"/>
      <c r="PK98" s="120"/>
      <c r="PL98" s="205"/>
      <c r="PM98" s="217"/>
      <c r="PN98" s="205"/>
      <c r="PO98" s="205"/>
      <c r="PP98" s="205">
        <f t="shared" si="889"/>
        <v>0</v>
      </c>
      <c r="PQ98" s="205">
        <f t="shared" si="890"/>
        <v>0</v>
      </c>
      <c r="PR98" s="207"/>
      <c r="PS98" s="207"/>
      <c r="PT98" s="207"/>
      <c r="PU98" s="124">
        <v>720</v>
      </c>
      <c r="PV98" s="207"/>
      <c r="PW98" s="272"/>
      <c r="PX98" s="272"/>
      <c r="PY98" s="205">
        <f t="shared" si="891"/>
        <v>720</v>
      </c>
      <c r="PZ98" s="207"/>
      <c r="QA98" s="207"/>
      <c r="QB98" s="207"/>
      <c r="QC98" s="207"/>
      <c r="QD98" s="207"/>
      <c r="QE98" s="272"/>
      <c r="QF98" s="272"/>
      <c r="QG98" s="205">
        <f t="shared" si="892"/>
        <v>0</v>
      </c>
      <c r="QH98" s="207"/>
      <c r="QI98" s="207"/>
      <c r="QJ98" s="294"/>
      <c r="QK98" s="207"/>
      <c r="QL98" s="207"/>
      <c r="QM98" s="272"/>
      <c r="QN98" s="272"/>
      <c r="QO98" s="205">
        <f t="shared" si="893"/>
        <v>0</v>
      </c>
      <c r="QP98" s="124">
        <v>240</v>
      </c>
      <c r="QQ98" s="207"/>
      <c r="QR98" s="207"/>
      <c r="QS98" s="207"/>
      <c r="QT98" s="207"/>
      <c r="QU98" s="272"/>
      <c r="QV98" s="272"/>
      <c r="QW98" s="205">
        <f t="shared" si="894"/>
        <v>240</v>
      </c>
      <c r="QX98" s="205">
        <f t="shared" si="895"/>
        <v>960</v>
      </c>
      <c r="QY98" s="207"/>
      <c r="QZ98" s="207"/>
      <c r="RA98" s="207"/>
      <c r="RB98" s="207"/>
      <c r="RC98" s="207"/>
      <c r="RD98" s="272"/>
      <c r="RE98" s="272"/>
      <c r="RF98" s="205">
        <f t="shared" si="896"/>
        <v>0</v>
      </c>
      <c r="RG98" s="207"/>
      <c r="RH98" s="207"/>
      <c r="RI98" s="207"/>
      <c r="RJ98" s="207"/>
      <c r="RK98" s="207"/>
      <c r="RL98" s="272"/>
      <c r="RM98" s="272"/>
      <c r="RN98" s="205">
        <f t="shared" si="897"/>
        <v>0</v>
      </c>
      <c r="RO98" s="272"/>
      <c r="RP98" s="272"/>
      <c r="RQ98" s="272"/>
      <c r="RR98" s="272"/>
      <c r="RS98" s="272"/>
      <c r="RT98" s="272"/>
      <c r="RU98" s="272"/>
      <c r="RV98" s="205">
        <f t="shared" si="898"/>
        <v>0</v>
      </c>
      <c r="RW98" s="207"/>
      <c r="RX98" s="217">
        <v>300</v>
      </c>
      <c r="RY98" s="207"/>
      <c r="RZ98" s="207"/>
      <c r="SA98" s="272"/>
      <c r="SB98" s="272"/>
      <c r="SC98" s="272"/>
      <c r="SD98" s="205">
        <f t="shared" si="899"/>
        <v>300</v>
      </c>
      <c r="SE98" s="205">
        <f t="shared" si="900"/>
        <v>300</v>
      </c>
      <c r="SF98" s="207"/>
      <c r="SG98" s="207"/>
      <c r="SH98" s="207"/>
      <c r="SI98" s="207"/>
      <c r="SJ98" s="207"/>
      <c r="SK98" s="272"/>
      <c r="SL98" s="272"/>
      <c r="SM98" s="205">
        <f t="shared" si="901"/>
        <v>0</v>
      </c>
      <c r="SN98" s="207"/>
      <c r="SO98" s="207"/>
      <c r="SP98" s="207"/>
      <c r="SQ98" s="207"/>
      <c r="SR98" s="207"/>
      <c r="SS98" s="272"/>
      <c r="ST98" s="272"/>
      <c r="SU98" s="205">
        <f t="shared" si="902"/>
        <v>0</v>
      </c>
      <c r="SV98" s="207"/>
      <c r="SW98" s="207"/>
      <c r="SX98" s="207"/>
      <c r="SY98" s="207"/>
      <c r="SZ98" s="207"/>
      <c r="TA98" s="272"/>
      <c r="TB98" s="272"/>
      <c r="TC98" s="205">
        <f t="shared" si="903"/>
        <v>0</v>
      </c>
      <c r="TD98" s="207"/>
      <c r="TE98" s="207"/>
      <c r="TF98" s="207"/>
      <c r="TG98" s="207"/>
      <c r="TH98" s="207"/>
      <c r="TI98" s="272"/>
      <c r="TJ98" s="272"/>
      <c r="TK98" s="205">
        <f t="shared" si="904"/>
        <v>0</v>
      </c>
      <c r="TL98" s="207"/>
      <c r="TM98" s="207"/>
      <c r="TN98" s="207"/>
      <c r="TO98" s="207"/>
      <c r="TP98" s="272"/>
      <c r="TQ98" s="272"/>
      <c r="TR98" s="272"/>
      <c r="TS98" s="205">
        <f t="shared" si="905"/>
        <v>0</v>
      </c>
      <c r="TT98" s="205">
        <f t="shared" si="906"/>
        <v>0</v>
      </c>
      <c r="TU98" s="272"/>
      <c r="TV98" s="207"/>
      <c r="TW98" s="207"/>
      <c r="TX98" s="207"/>
      <c r="TY98" s="207"/>
      <c r="TZ98" s="272"/>
      <c r="UA98" s="272"/>
      <c r="UB98" s="205">
        <f t="shared" si="907"/>
        <v>0</v>
      </c>
      <c r="UC98" s="120"/>
      <c r="UD98" s="124">
        <v>240</v>
      </c>
      <c r="UE98" s="207"/>
      <c r="UF98" s="207"/>
      <c r="UG98" s="207"/>
      <c r="UH98" s="272"/>
      <c r="UI98" s="272"/>
      <c r="UJ98" s="205">
        <f t="shared" si="908"/>
        <v>240</v>
      </c>
      <c r="UK98" s="207"/>
      <c r="UL98" s="207"/>
      <c r="UM98" s="207"/>
      <c r="UN98" s="120"/>
      <c r="UO98" s="207"/>
      <c r="UP98" s="272"/>
      <c r="UQ98" s="272"/>
      <c r="UR98" s="205">
        <f t="shared" si="909"/>
        <v>0</v>
      </c>
      <c r="US98" s="120"/>
      <c r="UT98" s="120"/>
      <c r="UU98" s="120"/>
      <c r="UV98" s="207"/>
      <c r="UW98" s="272"/>
      <c r="UX98" s="272"/>
      <c r="UY98" s="272"/>
      <c r="UZ98" s="205">
        <f t="shared" si="910"/>
        <v>0</v>
      </c>
      <c r="VA98" s="205">
        <f t="shared" si="911"/>
        <v>240</v>
      </c>
      <c r="VB98" s="207"/>
      <c r="VC98" s="207"/>
      <c r="VD98" s="207"/>
      <c r="VE98" s="207"/>
      <c r="VF98" s="207"/>
      <c r="VG98" s="272"/>
      <c r="VH98" s="272"/>
      <c r="VI98" s="205">
        <f t="shared" si="912"/>
        <v>0</v>
      </c>
      <c r="VJ98" s="207"/>
      <c r="VK98" s="201">
        <v>480</v>
      </c>
      <c r="VL98" s="207"/>
      <c r="VM98" s="207"/>
      <c r="VN98" s="207"/>
      <c r="VO98" s="272"/>
      <c r="VP98" s="272"/>
      <c r="VQ98" s="205">
        <f t="shared" si="913"/>
        <v>480</v>
      </c>
      <c r="VR98" s="120"/>
      <c r="VS98" s="207"/>
      <c r="VT98" s="207"/>
      <c r="VU98" s="207"/>
      <c r="VV98" s="207"/>
      <c r="VW98" s="272"/>
      <c r="VX98" s="272"/>
      <c r="VY98" s="205">
        <f t="shared" si="914"/>
        <v>0</v>
      </c>
      <c r="VZ98" s="207"/>
      <c r="WA98" s="207"/>
      <c r="WB98" s="207"/>
      <c r="WC98" s="207"/>
      <c r="WD98" s="207"/>
      <c r="WE98" s="272"/>
      <c r="WF98" s="272"/>
      <c r="WG98" s="205">
        <f t="shared" si="915"/>
        <v>0</v>
      </c>
      <c r="WH98" s="205">
        <f t="shared" si="916"/>
        <v>480</v>
      </c>
      <c r="WI98" s="207"/>
      <c r="WJ98" s="207"/>
      <c r="WK98" s="207"/>
      <c r="WL98" s="207"/>
      <c r="WM98" s="207"/>
      <c r="WN98" s="272"/>
      <c r="WO98" s="272"/>
      <c r="WP98" s="205">
        <f t="shared" si="917"/>
        <v>0</v>
      </c>
      <c r="WQ98" s="207"/>
      <c r="WR98" s="207"/>
      <c r="WS98" s="207"/>
      <c r="WT98" s="207"/>
      <c r="WU98" s="207"/>
      <c r="WV98" s="272"/>
      <c r="WW98" s="272"/>
      <c r="WX98" s="205">
        <f t="shared" si="918"/>
        <v>0</v>
      </c>
      <c r="WY98" s="207"/>
      <c r="WZ98" s="207"/>
      <c r="XA98" s="207"/>
      <c r="XB98" s="207"/>
      <c r="XC98" s="272"/>
      <c r="XD98" s="272"/>
      <c r="XE98" s="272"/>
      <c r="XF98" s="205">
        <f t="shared" si="919"/>
        <v>0</v>
      </c>
      <c r="XG98" s="207"/>
      <c r="XH98" s="207"/>
      <c r="XI98" s="207"/>
      <c r="XJ98" s="207"/>
      <c r="XK98" s="207"/>
      <c r="XL98" s="272"/>
      <c r="XM98" s="272"/>
      <c r="XN98" s="205">
        <f t="shared" si="920"/>
        <v>0</v>
      </c>
      <c r="XO98" s="207"/>
      <c r="XP98" s="207"/>
      <c r="XQ98" s="207"/>
      <c r="XR98" s="207"/>
      <c r="XS98" s="207"/>
      <c r="XT98" s="272"/>
      <c r="XU98" s="272"/>
      <c r="XV98" s="205">
        <f t="shared" si="921"/>
        <v>0</v>
      </c>
      <c r="XW98" s="205">
        <f t="shared" si="922"/>
        <v>0</v>
      </c>
      <c r="XX98" s="207"/>
      <c r="XY98" s="207"/>
      <c r="XZ98" s="207"/>
      <c r="YA98" s="207"/>
      <c r="YB98" s="207"/>
      <c r="YC98" s="272"/>
      <c r="YD98" s="272"/>
      <c r="YE98" s="205">
        <f t="shared" si="923"/>
        <v>0</v>
      </c>
      <c r="YF98" s="207"/>
      <c r="YG98" s="207"/>
      <c r="YH98" s="207"/>
      <c r="YI98" s="207"/>
      <c r="YJ98" s="207"/>
      <c r="YK98" s="272"/>
      <c r="YL98" s="272"/>
      <c r="YM98" s="205">
        <f t="shared" si="924"/>
        <v>0</v>
      </c>
      <c r="YN98" s="207"/>
      <c r="YO98" s="207"/>
      <c r="YP98" s="207"/>
      <c r="YQ98" s="207"/>
      <c r="YR98" s="207"/>
      <c r="YS98" s="272"/>
      <c r="YT98" s="272"/>
      <c r="YU98" s="205">
        <f t="shared" si="925"/>
        <v>0</v>
      </c>
      <c r="YV98" s="207"/>
      <c r="YW98" s="207"/>
      <c r="YX98" s="207"/>
      <c r="YY98" s="207"/>
      <c r="YZ98" s="207"/>
      <c r="ZA98" s="272"/>
      <c r="ZB98" s="272"/>
      <c r="ZC98" s="205">
        <f t="shared" si="926"/>
        <v>0</v>
      </c>
      <c r="ZD98" s="205">
        <f t="shared" si="927"/>
        <v>0</v>
      </c>
      <c r="ZE98" s="207"/>
      <c r="ZF98" s="207"/>
      <c r="ZG98" s="207"/>
      <c r="ZH98" s="207"/>
      <c r="ZI98" s="207"/>
      <c r="ZJ98" s="272"/>
      <c r="ZK98" s="272"/>
      <c r="ZL98" s="205">
        <f t="shared" si="928"/>
        <v>0</v>
      </c>
      <c r="ZM98" s="207"/>
      <c r="ZN98" s="207"/>
      <c r="ZO98" s="207"/>
      <c r="ZP98" s="207"/>
      <c r="ZQ98" s="207"/>
      <c r="ZR98" s="272"/>
      <c r="ZS98" s="272"/>
      <c r="ZT98" s="205">
        <f t="shared" si="929"/>
        <v>0</v>
      </c>
      <c r="ZU98" s="207"/>
      <c r="ZV98" s="207"/>
      <c r="ZW98" s="207"/>
      <c r="ZX98" s="207"/>
      <c r="ZY98" s="207"/>
      <c r="ZZ98" s="272"/>
      <c r="AAA98" s="272"/>
      <c r="AAB98" s="205">
        <f t="shared" si="930"/>
        <v>0</v>
      </c>
      <c r="AAC98" s="207"/>
      <c r="AAD98" s="207"/>
      <c r="AAE98" s="207"/>
      <c r="AAF98" s="207"/>
      <c r="AAG98" s="207"/>
      <c r="AAH98" s="272"/>
      <c r="AAI98" s="272"/>
      <c r="AAJ98" s="205">
        <f t="shared" si="931"/>
        <v>0</v>
      </c>
      <c r="AAK98" s="207"/>
      <c r="AAL98" s="207"/>
      <c r="AAM98" s="207"/>
      <c r="AAN98" s="207"/>
      <c r="AAO98" s="207"/>
      <c r="AAP98" s="272"/>
      <c r="AAQ98" s="272"/>
      <c r="AAR98" s="205">
        <f t="shared" si="932"/>
        <v>0</v>
      </c>
      <c r="AAS98" s="205">
        <f t="shared" si="933"/>
        <v>0</v>
      </c>
    </row>
    <row r="99" spans="1:721" ht="69.95" customHeight="1">
      <c r="B99" s="151">
        <v>3630101415</v>
      </c>
      <c r="C99" s="323" t="s">
        <v>741</v>
      </c>
      <c r="D99" s="152" t="s">
        <v>22</v>
      </c>
      <c r="E99" s="130" t="s">
        <v>4</v>
      </c>
      <c r="F99" s="201">
        <v>500</v>
      </c>
      <c r="G99" s="120"/>
      <c r="H99" s="120"/>
      <c r="I99" s="120"/>
      <c r="J99" s="120"/>
      <c r="K99" s="209"/>
      <c r="L99" s="205"/>
      <c r="M99" s="205">
        <f t="shared" si="1048"/>
        <v>500</v>
      </c>
      <c r="N99" s="120"/>
      <c r="O99" s="120"/>
      <c r="P99" s="120"/>
      <c r="Q99" s="120"/>
      <c r="R99" s="120"/>
      <c r="S99" s="209"/>
      <c r="T99" s="205"/>
      <c r="U99" s="205">
        <f t="shared" si="1049"/>
        <v>0</v>
      </c>
      <c r="V99" s="120"/>
      <c r="W99" s="120"/>
      <c r="X99" s="120"/>
      <c r="Y99" s="120"/>
      <c r="Z99" s="120"/>
      <c r="AA99" s="209"/>
      <c r="AB99" s="205"/>
      <c r="AC99" s="205">
        <f t="shared" si="1050"/>
        <v>0</v>
      </c>
      <c r="AD99" s="205"/>
      <c r="AE99" s="205"/>
      <c r="AF99" s="205"/>
      <c r="AG99" s="205"/>
      <c r="AH99" s="205"/>
      <c r="AI99" s="209"/>
      <c r="AJ99" s="205"/>
      <c r="AK99" s="205">
        <f t="shared" si="1051"/>
        <v>0</v>
      </c>
      <c r="AL99" s="205" t="e">
        <f>SUM(#REF!,M99,U99,AC99,AD99:AH99)</f>
        <v>#REF!</v>
      </c>
      <c r="AM99" s="120"/>
      <c r="AN99" s="120"/>
      <c r="AO99" s="120"/>
      <c r="AP99" s="120"/>
      <c r="AQ99" s="120"/>
      <c r="AR99" s="209"/>
      <c r="AS99" s="205"/>
      <c r="AT99" s="205">
        <f t="shared" si="1052"/>
        <v>0</v>
      </c>
      <c r="AU99" s="201">
        <v>300</v>
      </c>
      <c r="AV99" s="120"/>
      <c r="AW99" s="120"/>
      <c r="AX99" s="120"/>
      <c r="AY99" s="120"/>
      <c r="AZ99" s="209"/>
      <c r="BA99" s="205"/>
      <c r="BB99" s="205">
        <f t="shared" si="1053"/>
        <v>300</v>
      </c>
      <c r="BC99" s="120"/>
      <c r="BD99" s="120"/>
      <c r="BE99" s="120"/>
      <c r="BF99" s="120"/>
      <c r="BG99" s="120"/>
      <c r="BH99" s="209"/>
      <c r="BI99" s="205"/>
      <c r="BJ99" s="205">
        <f t="shared" si="1054"/>
        <v>0</v>
      </c>
      <c r="BK99" s="120"/>
      <c r="BL99" s="120"/>
      <c r="BM99" s="120"/>
      <c r="BN99" s="120"/>
      <c r="BO99" s="205"/>
      <c r="BP99" s="209"/>
      <c r="BQ99" s="205"/>
      <c r="BR99" s="205">
        <f t="shared" si="1055"/>
        <v>0</v>
      </c>
      <c r="BS99" s="205">
        <f t="shared" si="832"/>
        <v>300</v>
      </c>
      <c r="BT99" s="120"/>
      <c r="BU99" s="207"/>
      <c r="BV99" s="120"/>
      <c r="BW99" s="120"/>
      <c r="BX99" s="217">
        <v>500</v>
      </c>
      <c r="BY99" s="209"/>
      <c r="BZ99" s="205"/>
      <c r="CA99" s="205">
        <f t="shared" si="1056"/>
        <v>500</v>
      </c>
      <c r="CB99" s="120"/>
      <c r="CC99" s="120"/>
      <c r="CD99" s="120"/>
      <c r="CE99" s="120"/>
      <c r="CF99" s="120"/>
      <c r="CG99" s="209"/>
      <c r="CH99" s="205"/>
      <c r="CI99" s="205">
        <f t="shared" si="1057"/>
        <v>0</v>
      </c>
      <c r="CJ99" s="120"/>
      <c r="CK99" s="120"/>
      <c r="CL99" s="120"/>
      <c r="CM99" s="120"/>
      <c r="CN99" s="120"/>
      <c r="CO99" s="209"/>
      <c r="CP99" s="205"/>
      <c r="CQ99" s="205">
        <f t="shared" si="1058"/>
        <v>0</v>
      </c>
      <c r="CR99" s="120"/>
      <c r="CS99" s="120"/>
      <c r="CT99" s="120"/>
      <c r="CU99" s="120"/>
      <c r="CV99" s="120"/>
      <c r="CW99" s="209"/>
      <c r="CX99" s="205"/>
      <c r="CY99" s="205">
        <f t="shared" si="1059"/>
        <v>0</v>
      </c>
      <c r="CZ99" s="120"/>
      <c r="DA99" s="120"/>
      <c r="DB99" s="120"/>
      <c r="DC99" s="205"/>
      <c r="DD99" s="205"/>
      <c r="DE99" s="209"/>
      <c r="DF99" s="205"/>
      <c r="DG99" s="205">
        <f t="shared" si="1060"/>
        <v>0</v>
      </c>
      <c r="DH99" s="205">
        <f t="shared" si="838"/>
        <v>500</v>
      </c>
      <c r="DI99" s="120"/>
      <c r="DJ99" s="120"/>
      <c r="DK99" s="207"/>
      <c r="DL99" s="120"/>
      <c r="DM99" s="120"/>
      <c r="DN99" s="209"/>
      <c r="DO99" s="205"/>
      <c r="DP99" s="205">
        <f t="shared" si="839"/>
        <v>0</v>
      </c>
      <c r="DQ99" s="120"/>
      <c r="DR99" s="120"/>
      <c r="DS99" s="120"/>
      <c r="DT99" s="120"/>
      <c r="DU99" s="120"/>
      <c r="DV99" s="209"/>
      <c r="DW99" s="205"/>
      <c r="DX99" s="205">
        <f t="shared" si="840"/>
        <v>0</v>
      </c>
      <c r="DY99" s="120"/>
      <c r="DZ99" s="120"/>
      <c r="EA99" s="120"/>
      <c r="EB99" s="120"/>
      <c r="EC99" s="120"/>
      <c r="ED99" s="209"/>
      <c r="EE99" s="205"/>
      <c r="EF99" s="205">
        <f t="shared" si="841"/>
        <v>0</v>
      </c>
      <c r="EG99" s="120"/>
      <c r="EH99" s="120"/>
      <c r="EI99" s="120"/>
      <c r="EJ99" s="205"/>
      <c r="EK99" s="205"/>
      <c r="EL99" s="209"/>
      <c r="EM99" s="205"/>
      <c r="EN99" s="205">
        <f t="shared" si="842"/>
        <v>0</v>
      </c>
      <c r="EO99" s="205">
        <f t="shared" si="843"/>
        <v>0</v>
      </c>
      <c r="EP99" s="120"/>
      <c r="EQ99" s="120"/>
      <c r="ER99" s="250">
        <v>800</v>
      </c>
      <c r="ES99" s="120"/>
      <c r="ET99" s="120"/>
      <c r="EU99" s="209"/>
      <c r="EV99" s="205"/>
      <c r="EW99" s="205">
        <f t="shared" si="844"/>
        <v>800</v>
      </c>
      <c r="EX99" s="120"/>
      <c r="EY99" s="120"/>
      <c r="EZ99" s="120"/>
      <c r="FA99" s="120"/>
      <c r="FB99" s="120"/>
      <c r="FC99" s="209"/>
      <c r="FD99" s="205"/>
      <c r="FE99" s="205">
        <f t="shared" si="845"/>
        <v>0</v>
      </c>
      <c r="FF99" s="120"/>
      <c r="FG99" s="120"/>
      <c r="FH99" s="120"/>
      <c r="FI99" s="120"/>
      <c r="FJ99" s="120"/>
      <c r="FK99" s="209"/>
      <c r="FL99" s="205"/>
      <c r="FM99" s="205">
        <f t="shared" si="846"/>
        <v>0</v>
      </c>
      <c r="FN99" s="120"/>
      <c r="FO99" s="120"/>
      <c r="FP99" s="120"/>
      <c r="FQ99" s="120"/>
      <c r="FR99" s="205"/>
      <c r="FS99" s="209"/>
      <c r="FT99" s="205"/>
      <c r="FU99" s="205">
        <f t="shared" si="847"/>
        <v>0</v>
      </c>
      <c r="FV99" s="205">
        <f t="shared" si="848"/>
        <v>800</v>
      </c>
      <c r="FW99" s="120"/>
      <c r="FX99" s="120"/>
      <c r="FY99" s="120"/>
      <c r="FZ99" s="120"/>
      <c r="GA99" s="120"/>
      <c r="GB99" s="209"/>
      <c r="GC99" s="205"/>
      <c r="GD99" s="205">
        <f t="shared" si="849"/>
        <v>0</v>
      </c>
      <c r="GE99" s="120"/>
      <c r="GF99" s="120"/>
      <c r="GG99" s="120"/>
      <c r="GH99" s="120"/>
      <c r="GI99" s="120"/>
      <c r="GJ99" s="209"/>
      <c r="GK99" s="205"/>
      <c r="GL99" s="205">
        <f t="shared" si="850"/>
        <v>0</v>
      </c>
      <c r="GM99" s="120"/>
      <c r="GN99" s="120"/>
      <c r="GO99" s="120"/>
      <c r="GP99" s="120"/>
      <c r="GQ99" s="120"/>
      <c r="GR99" s="209"/>
      <c r="GS99" s="205"/>
      <c r="GT99" s="205">
        <f t="shared" si="851"/>
        <v>0</v>
      </c>
      <c r="GU99" s="120"/>
      <c r="GV99" s="124">
        <v>500</v>
      </c>
      <c r="GW99" s="120"/>
      <c r="GX99" s="120"/>
      <c r="GY99" s="120"/>
      <c r="GZ99" s="209"/>
      <c r="HA99" s="205"/>
      <c r="HB99" s="205">
        <f t="shared" si="852"/>
        <v>500</v>
      </c>
      <c r="HC99" s="120"/>
      <c r="HD99" s="120"/>
      <c r="HE99" s="120"/>
      <c r="HF99" s="120"/>
      <c r="HG99" s="120"/>
      <c r="HH99" s="209"/>
      <c r="HI99" s="205"/>
      <c r="HJ99" s="205">
        <f t="shared" si="853"/>
        <v>0</v>
      </c>
      <c r="HK99" s="205">
        <f t="shared" si="854"/>
        <v>500</v>
      </c>
      <c r="HL99" s="124"/>
      <c r="HM99" s="120"/>
      <c r="HN99" s="120"/>
      <c r="HO99" s="120"/>
      <c r="HP99" s="120"/>
      <c r="HQ99" s="205"/>
      <c r="HR99" s="205"/>
      <c r="HS99" s="205">
        <f t="shared" si="934"/>
        <v>0</v>
      </c>
      <c r="HT99" s="120"/>
      <c r="HU99" s="120" t="s">
        <v>760</v>
      </c>
      <c r="HV99" s="120"/>
      <c r="HW99" s="120"/>
      <c r="HX99" s="120"/>
      <c r="HY99" s="205"/>
      <c r="HZ99" s="205"/>
      <c r="IA99" s="205">
        <f t="shared" si="935"/>
        <v>0</v>
      </c>
      <c r="IB99" s="120"/>
      <c r="IC99" s="120"/>
      <c r="ID99" s="120"/>
      <c r="IE99" s="120"/>
      <c r="IF99" s="120"/>
      <c r="IG99" s="205"/>
      <c r="IH99" s="205"/>
      <c r="II99" s="205">
        <f t="shared" si="936"/>
        <v>0</v>
      </c>
      <c r="IJ99" s="120"/>
      <c r="IK99" s="120"/>
      <c r="IL99" s="120"/>
      <c r="IM99" s="120"/>
      <c r="IN99" s="120"/>
      <c r="IO99" s="205"/>
      <c r="IP99" s="205"/>
      <c r="IQ99" s="205">
        <f t="shared" si="937"/>
        <v>0</v>
      </c>
      <c r="IR99" s="205">
        <f t="shared" si="938"/>
        <v>0</v>
      </c>
      <c r="IS99" s="120"/>
      <c r="IT99" s="120"/>
      <c r="IU99" s="217">
        <v>440</v>
      </c>
      <c r="IV99" s="120"/>
      <c r="IW99" s="120"/>
      <c r="IX99" s="205"/>
      <c r="IY99" s="205"/>
      <c r="IZ99" s="205">
        <f t="shared" si="939"/>
        <v>440</v>
      </c>
      <c r="JA99" s="120"/>
      <c r="JB99" s="120"/>
      <c r="JC99" s="120"/>
      <c r="JD99" s="120"/>
      <c r="JE99" s="120"/>
      <c r="JF99" s="205"/>
      <c r="JG99" s="205"/>
      <c r="JH99" s="205">
        <f t="shared" si="940"/>
        <v>0</v>
      </c>
      <c r="JI99" s="120"/>
      <c r="JJ99" s="120"/>
      <c r="JK99" s="120"/>
      <c r="JL99" s="120"/>
      <c r="JM99" s="120"/>
      <c r="JN99" s="205"/>
      <c r="JO99" s="205"/>
      <c r="JP99" s="205">
        <f t="shared" si="941"/>
        <v>0</v>
      </c>
      <c r="JQ99" s="120"/>
      <c r="JR99" s="120"/>
      <c r="JS99" s="120"/>
      <c r="JT99" s="120"/>
      <c r="JU99" s="120"/>
      <c r="JV99" s="205"/>
      <c r="JW99" s="205"/>
      <c r="JX99" s="205">
        <f t="shared" si="942"/>
        <v>0</v>
      </c>
      <c r="JY99" s="205">
        <f t="shared" si="943"/>
        <v>440</v>
      </c>
      <c r="JZ99" s="120"/>
      <c r="KA99" s="120"/>
      <c r="KB99" s="120"/>
      <c r="KC99" s="217">
        <v>426</v>
      </c>
      <c r="KD99" s="120"/>
      <c r="KE99" s="205"/>
      <c r="KF99" s="205"/>
      <c r="KG99" s="205">
        <f t="shared" si="944"/>
        <v>426</v>
      </c>
      <c r="KH99" s="120"/>
      <c r="KI99" s="120"/>
      <c r="KJ99" s="120"/>
      <c r="KK99" s="120"/>
      <c r="KL99" s="120"/>
      <c r="KM99" s="205"/>
      <c r="KN99" s="205"/>
      <c r="KO99" s="205">
        <f t="shared" si="945"/>
        <v>0</v>
      </c>
      <c r="KP99" s="120"/>
      <c r="KQ99" s="120"/>
      <c r="KR99" s="120"/>
      <c r="KS99" s="120"/>
      <c r="KT99" s="120"/>
      <c r="KU99" s="205"/>
      <c r="KV99" s="205"/>
      <c r="KW99" s="205">
        <f t="shared" si="946"/>
        <v>0</v>
      </c>
      <c r="KX99" s="120"/>
      <c r="KY99" s="120"/>
      <c r="KZ99" s="120"/>
      <c r="LA99" s="120"/>
      <c r="LB99" s="120"/>
      <c r="LC99" s="205"/>
      <c r="LD99" s="205"/>
      <c r="LE99" s="205">
        <f t="shared" si="947"/>
        <v>0</v>
      </c>
      <c r="LF99" s="205"/>
      <c r="LG99" s="120"/>
      <c r="LH99" s="120"/>
      <c r="LI99" s="120"/>
      <c r="LJ99" s="120"/>
      <c r="LK99" s="205"/>
      <c r="LL99" s="205"/>
      <c r="LM99" s="205">
        <f t="shared" si="948"/>
        <v>0</v>
      </c>
      <c r="LN99" s="205">
        <f t="shared" si="949"/>
        <v>426</v>
      </c>
      <c r="LO99" s="205"/>
      <c r="LP99" s="120"/>
      <c r="LQ99" s="120"/>
      <c r="LR99" s="120"/>
      <c r="LS99" s="205"/>
      <c r="LT99" s="205"/>
      <c r="LU99" s="205"/>
      <c r="LV99" s="205">
        <f t="shared" si="950"/>
        <v>0</v>
      </c>
      <c r="LW99" s="120"/>
      <c r="LX99" s="120"/>
      <c r="LY99" s="124">
        <v>416</v>
      </c>
      <c r="LZ99" s="120"/>
      <c r="MA99" s="120"/>
      <c r="MB99" s="205"/>
      <c r="MC99" s="205"/>
      <c r="MD99" s="205">
        <f t="shared" si="951"/>
        <v>416</v>
      </c>
      <c r="ME99" s="120"/>
      <c r="MF99" s="120"/>
      <c r="MG99" s="120"/>
      <c r="MH99" s="201">
        <v>640</v>
      </c>
      <c r="MI99" s="205"/>
      <c r="MJ99" s="205"/>
      <c r="MK99" s="205"/>
      <c r="ML99" s="205">
        <f t="shared" si="952"/>
        <v>640</v>
      </c>
      <c r="MM99" s="120"/>
      <c r="MN99" s="120"/>
      <c r="MO99" s="120"/>
      <c r="MP99" s="120"/>
      <c r="MQ99" s="120"/>
      <c r="MR99" s="205"/>
      <c r="MS99" s="205"/>
      <c r="MT99" s="205">
        <f t="shared" si="953"/>
        <v>0</v>
      </c>
      <c r="MU99" s="205">
        <f t="shared" si="954"/>
        <v>1056</v>
      </c>
      <c r="MV99" s="120"/>
      <c r="MW99" s="120"/>
      <c r="MX99" s="120"/>
      <c r="MY99" s="120"/>
      <c r="MZ99" s="120"/>
      <c r="NA99" s="205"/>
      <c r="NB99" s="205"/>
      <c r="NC99" s="205">
        <f t="shared" si="880"/>
        <v>0</v>
      </c>
      <c r="ND99" s="120"/>
      <c r="NE99" s="120"/>
      <c r="NF99" s="120"/>
      <c r="NG99" s="120"/>
      <c r="NH99" s="120"/>
      <c r="NI99" s="205"/>
      <c r="NJ99" s="205"/>
      <c r="NK99" s="205">
        <f t="shared" si="881"/>
        <v>0</v>
      </c>
      <c r="NL99" s="120"/>
      <c r="NM99" s="120"/>
      <c r="NN99" s="120"/>
      <c r="NO99" s="120"/>
      <c r="NP99" s="120"/>
      <c r="NQ99" s="205"/>
      <c r="NR99" s="205"/>
      <c r="NS99" s="205">
        <f t="shared" si="882"/>
        <v>0</v>
      </c>
      <c r="NT99" s="217">
        <v>784</v>
      </c>
      <c r="NU99" s="120"/>
      <c r="NV99" s="120"/>
      <c r="NW99" s="120"/>
      <c r="NX99" s="120"/>
      <c r="NY99" s="205"/>
      <c r="NZ99" s="205"/>
      <c r="OA99" s="205">
        <f t="shared" si="883"/>
        <v>784</v>
      </c>
      <c r="OB99" s="205">
        <f t="shared" si="884"/>
        <v>784</v>
      </c>
      <c r="OC99" s="120"/>
      <c r="OD99" s="120"/>
      <c r="OE99" s="120"/>
      <c r="OF99" s="120"/>
      <c r="OG99" s="120"/>
      <c r="OH99" s="205"/>
      <c r="OI99" s="205"/>
      <c r="OJ99" s="205">
        <f t="shared" si="885"/>
        <v>0</v>
      </c>
      <c r="OK99" s="120"/>
      <c r="OL99" s="120"/>
      <c r="OM99" s="120"/>
      <c r="ON99" s="120"/>
      <c r="OO99" s="120"/>
      <c r="OP99" s="205"/>
      <c r="OQ99" s="205"/>
      <c r="OR99" s="205">
        <f t="shared" si="886"/>
        <v>0</v>
      </c>
      <c r="OS99" s="120"/>
      <c r="OT99" s="120"/>
      <c r="OU99" s="120"/>
      <c r="OV99" s="120"/>
      <c r="OW99" s="120"/>
      <c r="OX99" s="205"/>
      <c r="OY99" s="205"/>
      <c r="OZ99" s="205">
        <f t="shared" si="887"/>
        <v>0</v>
      </c>
      <c r="PA99" s="120"/>
      <c r="PB99" s="120"/>
      <c r="PC99" s="120"/>
      <c r="PD99" s="205"/>
      <c r="PE99" s="217"/>
      <c r="PF99" s="205"/>
      <c r="PG99" s="205"/>
      <c r="PH99" s="205">
        <f t="shared" si="888"/>
        <v>0</v>
      </c>
      <c r="PI99" s="120"/>
      <c r="PJ99" s="120"/>
      <c r="PK99" s="120"/>
      <c r="PL99" s="205"/>
      <c r="PM99" s="217"/>
      <c r="PN99" s="205"/>
      <c r="PO99" s="205"/>
      <c r="PP99" s="205">
        <f t="shared" si="889"/>
        <v>0</v>
      </c>
      <c r="PQ99" s="205">
        <f t="shared" si="890"/>
        <v>0</v>
      </c>
      <c r="PR99" s="124">
        <v>428</v>
      </c>
      <c r="PS99" s="207"/>
      <c r="PT99" s="207"/>
      <c r="PU99" s="207"/>
      <c r="PV99" s="207"/>
      <c r="PW99" s="272"/>
      <c r="PX99" s="272"/>
      <c r="PY99" s="205">
        <f t="shared" si="891"/>
        <v>428</v>
      </c>
      <c r="PZ99" s="207"/>
      <c r="QA99" s="207"/>
      <c r="QB99" s="207"/>
      <c r="QC99" s="195">
        <v>404</v>
      </c>
      <c r="QD99" s="207"/>
      <c r="QE99" s="272"/>
      <c r="QF99" s="272"/>
      <c r="QG99" s="205">
        <f t="shared" si="892"/>
        <v>404</v>
      </c>
      <c r="QH99" s="207"/>
      <c r="QI99" s="207"/>
      <c r="QJ99" s="294"/>
      <c r="QK99" s="207"/>
      <c r="QL99" s="207"/>
      <c r="QM99" s="272"/>
      <c r="QN99" s="272"/>
      <c r="QO99" s="205">
        <f t="shared" si="893"/>
        <v>0</v>
      </c>
      <c r="QP99" s="207"/>
      <c r="QQ99" s="207"/>
      <c r="QR99" s="207"/>
      <c r="QS99" s="207"/>
      <c r="QT99" s="207"/>
      <c r="QU99" s="272"/>
      <c r="QV99" s="272"/>
      <c r="QW99" s="205">
        <f t="shared" si="894"/>
        <v>0</v>
      </c>
      <c r="QX99" s="205">
        <f t="shared" si="895"/>
        <v>832</v>
      </c>
      <c r="QY99" s="207"/>
      <c r="QZ99" s="207"/>
      <c r="RA99" s="207"/>
      <c r="RB99" s="207"/>
      <c r="RC99" s="207"/>
      <c r="RD99" s="272"/>
      <c r="RE99" s="272"/>
      <c r="RF99" s="205">
        <f t="shared" si="896"/>
        <v>0</v>
      </c>
      <c r="RG99" s="207"/>
      <c r="RH99" s="207"/>
      <c r="RI99" s="207"/>
      <c r="RJ99" s="207"/>
      <c r="RK99" s="207"/>
      <c r="RL99" s="272"/>
      <c r="RM99" s="272"/>
      <c r="RN99" s="205">
        <f t="shared" si="897"/>
        <v>0</v>
      </c>
      <c r="RO99" s="272"/>
      <c r="RP99" s="272"/>
      <c r="RQ99" s="272"/>
      <c r="RR99" s="272"/>
      <c r="RS99" s="272"/>
      <c r="RT99" s="272"/>
      <c r="RU99" s="272"/>
      <c r="RV99" s="205">
        <f t="shared" si="898"/>
        <v>0</v>
      </c>
      <c r="RW99" s="207"/>
      <c r="RX99" s="207"/>
      <c r="RY99" s="207"/>
      <c r="RZ99" s="207"/>
      <c r="SA99" s="272"/>
      <c r="SB99" s="272"/>
      <c r="SC99" s="272"/>
      <c r="SD99" s="205">
        <f t="shared" si="899"/>
        <v>0</v>
      </c>
      <c r="SE99" s="205">
        <f t="shared" si="900"/>
        <v>0</v>
      </c>
      <c r="SF99" s="207"/>
      <c r="SG99" s="207"/>
      <c r="SH99" s="207"/>
      <c r="SI99" s="195">
        <v>1000</v>
      </c>
      <c r="SJ99" s="207"/>
      <c r="SK99" s="272"/>
      <c r="SL99" s="272"/>
      <c r="SM99" s="205">
        <f t="shared" si="901"/>
        <v>1000</v>
      </c>
      <c r="SN99" s="207"/>
      <c r="SO99" s="207"/>
      <c r="SP99" s="207"/>
      <c r="SQ99" s="207"/>
      <c r="SR99" s="207"/>
      <c r="SS99" s="272"/>
      <c r="ST99" s="272"/>
      <c r="SU99" s="205">
        <f t="shared" si="902"/>
        <v>0</v>
      </c>
      <c r="SV99" s="207"/>
      <c r="SW99" s="207"/>
      <c r="SX99" s="207"/>
      <c r="SY99" s="207"/>
      <c r="SZ99" s="207"/>
      <c r="TA99" s="272"/>
      <c r="TB99" s="272"/>
      <c r="TC99" s="205">
        <f t="shared" si="903"/>
        <v>0</v>
      </c>
      <c r="TD99" s="207"/>
      <c r="TE99" s="207"/>
      <c r="TF99" s="207"/>
      <c r="TG99" s="207"/>
      <c r="TH99" s="207"/>
      <c r="TI99" s="272"/>
      <c r="TJ99" s="272"/>
      <c r="TK99" s="205">
        <f t="shared" si="904"/>
        <v>0</v>
      </c>
      <c r="TL99" s="207"/>
      <c r="TM99" s="207"/>
      <c r="TN99" s="207"/>
      <c r="TO99" s="207"/>
      <c r="TP99" s="272"/>
      <c r="TQ99" s="272"/>
      <c r="TR99" s="272"/>
      <c r="TS99" s="205">
        <f t="shared" si="905"/>
        <v>0</v>
      </c>
      <c r="TT99" s="205">
        <f t="shared" si="906"/>
        <v>1000</v>
      </c>
      <c r="TU99" s="272"/>
      <c r="TV99" s="207"/>
      <c r="TW99" s="207"/>
      <c r="TX99" s="207"/>
      <c r="TY99" s="195">
        <v>320</v>
      </c>
      <c r="TZ99" s="272"/>
      <c r="UA99" s="272"/>
      <c r="UB99" s="205">
        <f t="shared" si="907"/>
        <v>320</v>
      </c>
      <c r="UC99" s="207"/>
      <c r="UD99" s="207"/>
      <c r="UE99" s="207"/>
      <c r="UF99" s="207"/>
      <c r="UG99" s="207"/>
      <c r="UH99" s="272"/>
      <c r="UI99" s="272"/>
      <c r="UJ99" s="205">
        <f t="shared" si="908"/>
        <v>0</v>
      </c>
      <c r="UK99" s="207"/>
      <c r="UL99" s="207"/>
      <c r="UM99" s="207"/>
      <c r="UN99" s="207"/>
      <c r="UO99" s="207"/>
      <c r="UP99" s="272"/>
      <c r="UQ99" s="272"/>
      <c r="UR99" s="205">
        <f t="shared" si="909"/>
        <v>0</v>
      </c>
      <c r="US99" s="207"/>
      <c r="UT99" s="207"/>
      <c r="UU99" s="207"/>
      <c r="UV99" s="207"/>
      <c r="UW99" s="272"/>
      <c r="UX99" s="272"/>
      <c r="UY99" s="272"/>
      <c r="UZ99" s="205">
        <f t="shared" si="910"/>
        <v>0</v>
      </c>
      <c r="VA99" s="205">
        <f t="shared" si="911"/>
        <v>320</v>
      </c>
      <c r="VB99" s="207"/>
      <c r="VC99" s="207"/>
      <c r="VD99" s="207"/>
      <c r="VE99" s="207"/>
      <c r="VF99" s="207"/>
      <c r="VG99" s="272"/>
      <c r="VH99" s="272"/>
      <c r="VI99" s="205">
        <f t="shared" si="912"/>
        <v>0</v>
      </c>
      <c r="VJ99" s="207"/>
      <c r="VK99" s="207"/>
      <c r="VL99" s="207"/>
      <c r="VM99" s="207"/>
      <c r="VN99" s="207"/>
      <c r="VO99" s="272"/>
      <c r="VP99" s="272"/>
      <c r="VQ99" s="205">
        <f t="shared" si="913"/>
        <v>0</v>
      </c>
      <c r="VR99" s="120"/>
      <c r="VS99" s="207"/>
      <c r="VT99" s="195">
        <v>180</v>
      </c>
      <c r="VU99" s="207"/>
      <c r="VV99" s="207"/>
      <c r="VW99" s="272"/>
      <c r="VX99" s="272"/>
      <c r="VY99" s="205">
        <f t="shared" si="914"/>
        <v>180</v>
      </c>
      <c r="VZ99" s="207"/>
      <c r="WA99" s="207"/>
      <c r="WB99" s="207"/>
      <c r="WC99" s="207"/>
      <c r="WD99" s="207"/>
      <c r="WE99" s="272"/>
      <c r="WF99" s="272"/>
      <c r="WG99" s="205">
        <f t="shared" si="915"/>
        <v>0</v>
      </c>
      <c r="WH99" s="205">
        <f t="shared" si="916"/>
        <v>180</v>
      </c>
      <c r="WI99" s="207"/>
      <c r="WJ99" s="207"/>
      <c r="WK99" s="207"/>
      <c r="WL99" s="207"/>
      <c r="WM99" s="207"/>
      <c r="WN99" s="272"/>
      <c r="WO99" s="272"/>
      <c r="WP99" s="205">
        <f t="shared" si="917"/>
        <v>0</v>
      </c>
      <c r="WQ99" s="207"/>
      <c r="WR99" s="207"/>
      <c r="WS99" s="207"/>
      <c r="WT99" s="207"/>
      <c r="WU99" s="207"/>
      <c r="WV99" s="272"/>
      <c r="WW99" s="272"/>
      <c r="WX99" s="205">
        <f t="shared" si="918"/>
        <v>0</v>
      </c>
      <c r="WY99" s="207"/>
      <c r="WZ99" s="207"/>
      <c r="XA99" s="207"/>
      <c r="XB99" s="207"/>
      <c r="XC99" s="272"/>
      <c r="XD99" s="272"/>
      <c r="XE99" s="272"/>
      <c r="XF99" s="205">
        <f t="shared" si="919"/>
        <v>0</v>
      </c>
      <c r="XG99" s="207"/>
      <c r="XH99" s="207"/>
      <c r="XI99" s="207"/>
      <c r="XJ99" s="207"/>
      <c r="XK99" s="207"/>
      <c r="XL99" s="272"/>
      <c r="XM99" s="272"/>
      <c r="XN99" s="205">
        <f t="shared" si="920"/>
        <v>0</v>
      </c>
      <c r="XO99" s="207"/>
      <c r="XP99" s="207"/>
      <c r="XQ99" s="207"/>
      <c r="XR99" s="207"/>
      <c r="XS99" s="207"/>
      <c r="XT99" s="272"/>
      <c r="XU99" s="272"/>
      <c r="XV99" s="205">
        <f t="shared" si="921"/>
        <v>0</v>
      </c>
      <c r="XW99" s="205">
        <f t="shared" si="922"/>
        <v>0</v>
      </c>
      <c r="XX99" s="207"/>
      <c r="XY99" s="207"/>
      <c r="XZ99" s="207"/>
      <c r="YA99" s="207"/>
      <c r="YB99" s="207"/>
      <c r="YC99" s="272"/>
      <c r="YD99" s="272"/>
      <c r="YE99" s="205">
        <f t="shared" si="923"/>
        <v>0</v>
      </c>
      <c r="YF99" s="207"/>
      <c r="YG99" s="207"/>
      <c r="YH99" s="207"/>
      <c r="YI99" s="207"/>
      <c r="YJ99" s="207"/>
      <c r="YK99" s="272"/>
      <c r="YL99" s="272"/>
      <c r="YM99" s="205">
        <f t="shared" si="924"/>
        <v>0</v>
      </c>
      <c r="YN99" s="207"/>
      <c r="YO99" s="207"/>
      <c r="YP99" s="207"/>
      <c r="YQ99" s="207"/>
      <c r="YR99" s="207"/>
      <c r="YS99" s="272"/>
      <c r="YT99" s="272"/>
      <c r="YU99" s="205">
        <f t="shared" si="925"/>
        <v>0</v>
      </c>
      <c r="YV99" s="207"/>
      <c r="YW99" s="207"/>
      <c r="YX99" s="207"/>
      <c r="YY99" s="207"/>
      <c r="YZ99" s="207"/>
      <c r="ZA99" s="272"/>
      <c r="ZB99" s="272"/>
      <c r="ZC99" s="205">
        <f t="shared" si="926"/>
        <v>0</v>
      </c>
      <c r="ZD99" s="205">
        <f t="shared" si="927"/>
        <v>0</v>
      </c>
      <c r="ZE99" s="207"/>
      <c r="ZF99" s="207"/>
      <c r="ZG99" s="207"/>
      <c r="ZH99" s="207"/>
      <c r="ZI99" s="207"/>
      <c r="ZJ99" s="272"/>
      <c r="ZK99" s="272"/>
      <c r="ZL99" s="205">
        <f t="shared" si="928"/>
        <v>0</v>
      </c>
      <c r="ZM99" s="207"/>
      <c r="ZN99" s="207"/>
      <c r="ZO99" s="207"/>
      <c r="ZP99" s="207"/>
      <c r="ZQ99" s="207"/>
      <c r="ZR99" s="272"/>
      <c r="ZS99" s="272"/>
      <c r="ZT99" s="205">
        <f t="shared" si="929"/>
        <v>0</v>
      </c>
      <c r="ZU99" s="207"/>
      <c r="ZV99" s="207"/>
      <c r="ZW99" s="207"/>
      <c r="ZX99" s="207"/>
      <c r="ZY99" s="207"/>
      <c r="ZZ99" s="272"/>
      <c r="AAA99" s="272"/>
      <c r="AAB99" s="205">
        <f t="shared" si="930"/>
        <v>0</v>
      </c>
      <c r="AAC99" s="207"/>
      <c r="AAD99" s="207"/>
      <c r="AAE99" s="207"/>
      <c r="AAF99" s="207"/>
      <c r="AAG99" s="207"/>
      <c r="AAH99" s="272"/>
      <c r="AAI99" s="272"/>
      <c r="AAJ99" s="205">
        <f t="shared" si="931"/>
        <v>0</v>
      </c>
      <c r="AAK99" s="207"/>
      <c r="AAL99" s="207"/>
      <c r="AAM99" s="207"/>
      <c r="AAN99" s="207"/>
      <c r="AAO99" s="207"/>
      <c r="AAP99" s="272"/>
      <c r="AAQ99" s="272"/>
      <c r="AAR99" s="205">
        <f t="shared" si="932"/>
        <v>0</v>
      </c>
      <c r="AAS99" s="205">
        <f t="shared" si="933"/>
        <v>0</v>
      </c>
    </row>
    <row r="100" spans="1:721" ht="69.95" customHeight="1">
      <c r="B100" s="151">
        <v>3630101462</v>
      </c>
      <c r="C100" s="323" t="s">
        <v>741</v>
      </c>
      <c r="D100" s="152" t="s">
        <v>792</v>
      </c>
      <c r="E100" s="130" t="s">
        <v>4</v>
      </c>
      <c r="F100" s="120"/>
      <c r="G100" s="120"/>
      <c r="H100" s="120"/>
      <c r="I100" s="120"/>
      <c r="J100" s="120"/>
      <c r="K100" s="209"/>
      <c r="L100" s="205"/>
      <c r="M100" s="205">
        <f t="shared" ref="M100" si="1127">SUM(F100:L100)</f>
        <v>0</v>
      </c>
      <c r="N100" s="120"/>
      <c r="O100" s="120"/>
      <c r="P100" s="120"/>
      <c r="Q100" s="120"/>
      <c r="R100" s="120"/>
      <c r="S100" s="209"/>
      <c r="T100" s="205"/>
      <c r="U100" s="205">
        <f t="shared" ref="U100" si="1128">SUM(N100:T100)</f>
        <v>0</v>
      </c>
      <c r="V100" s="120"/>
      <c r="W100" s="120"/>
      <c r="X100" s="120"/>
      <c r="Y100" s="120"/>
      <c r="Z100" s="120"/>
      <c r="AA100" s="209"/>
      <c r="AB100" s="205"/>
      <c r="AC100" s="205">
        <f t="shared" ref="AC100" si="1129">SUM(V100:AB100)</f>
        <v>0</v>
      </c>
      <c r="AD100" s="205"/>
      <c r="AE100" s="205"/>
      <c r="AF100" s="205"/>
      <c r="AG100" s="205"/>
      <c r="AH100" s="205"/>
      <c r="AI100" s="209"/>
      <c r="AJ100" s="205"/>
      <c r="AK100" s="205">
        <f t="shared" ref="AK100" si="1130">SUM(AD100:AJ100)</f>
        <v>0</v>
      </c>
      <c r="AL100" s="205" t="e">
        <f>SUM(#REF!,M100,U100,AC100,AD100:AH100)</f>
        <v>#REF!</v>
      </c>
      <c r="AM100" s="120"/>
      <c r="AN100" s="120"/>
      <c r="AO100" s="120"/>
      <c r="AP100" s="120"/>
      <c r="AQ100" s="120"/>
      <c r="AR100" s="209"/>
      <c r="AS100" s="205"/>
      <c r="AT100" s="205">
        <f t="shared" si="1052"/>
        <v>0</v>
      </c>
      <c r="AU100" s="120"/>
      <c r="AV100" s="120"/>
      <c r="AW100" s="120"/>
      <c r="AX100" s="120"/>
      <c r="AY100" s="120"/>
      <c r="AZ100" s="209"/>
      <c r="BA100" s="205"/>
      <c r="BB100" s="205">
        <f t="shared" si="1053"/>
        <v>0</v>
      </c>
      <c r="BC100" s="120"/>
      <c r="BD100" s="120"/>
      <c r="BE100" s="120"/>
      <c r="BF100" s="120"/>
      <c r="BG100" s="120"/>
      <c r="BH100" s="209"/>
      <c r="BI100" s="205"/>
      <c r="BJ100" s="205">
        <f t="shared" si="1054"/>
        <v>0</v>
      </c>
      <c r="BK100" s="120"/>
      <c r="BL100" s="120"/>
      <c r="BM100" s="120"/>
      <c r="BN100" s="120"/>
      <c r="BO100" s="205"/>
      <c r="BP100" s="209"/>
      <c r="BQ100" s="205"/>
      <c r="BR100" s="205">
        <f t="shared" si="1055"/>
        <v>0</v>
      </c>
      <c r="BS100" s="205">
        <f t="shared" ref="BS100" si="1131">SUM(AI100:AJ100,AT100,BB100,BJ100,BK100:BO100)</f>
        <v>0</v>
      </c>
      <c r="BT100" s="120"/>
      <c r="BU100" s="120"/>
      <c r="BV100" s="120"/>
      <c r="BW100" s="120"/>
      <c r="BX100" s="120"/>
      <c r="BY100" s="209"/>
      <c r="BZ100" s="205"/>
      <c r="CA100" s="205">
        <f t="shared" si="1056"/>
        <v>0</v>
      </c>
      <c r="CB100" s="120"/>
      <c r="CC100" s="120"/>
      <c r="CD100" s="120"/>
      <c r="CE100" s="120"/>
      <c r="CF100" s="120"/>
      <c r="CG100" s="209"/>
      <c r="CH100" s="205"/>
      <c r="CI100" s="205">
        <f t="shared" si="1057"/>
        <v>0</v>
      </c>
      <c r="CJ100" s="120"/>
      <c r="CK100" s="120"/>
      <c r="CL100" s="120"/>
      <c r="CM100" s="120"/>
      <c r="CN100" s="120"/>
      <c r="CO100" s="209"/>
      <c r="CP100" s="205"/>
      <c r="CQ100" s="205">
        <f t="shared" si="1058"/>
        <v>0</v>
      </c>
      <c r="CR100" s="120"/>
      <c r="CS100" s="120"/>
      <c r="CT100" s="120"/>
      <c r="CU100" s="120"/>
      <c r="CV100" s="120"/>
      <c r="CW100" s="209"/>
      <c r="CX100" s="205"/>
      <c r="CY100" s="205">
        <f t="shared" si="1059"/>
        <v>0</v>
      </c>
      <c r="CZ100" s="120"/>
      <c r="DA100" s="120"/>
      <c r="DB100" s="120"/>
      <c r="DC100" s="205"/>
      <c r="DD100" s="205"/>
      <c r="DE100" s="209"/>
      <c r="DF100" s="205"/>
      <c r="DG100" s="205">
        <f t="shared" si="1060"/>
        <v>0</v>
      </c>
      <c r="DH100" s="205">
        <f t="shared" ref="DH100" si="1132">SUM(CA100,CI100,CQ100,CY100,CZ100)</f>
        <v>0</v>
      </c>
      <c r="DI100" s="120"/>
      <c r="DJ100" s="120"/>
      <c r="DK100" s="120"/>
      <c r="DL100" s="120"/>
      <c r="DM100" s="120"/>
      <c r="DN100" s="209"/>
      <c r="DO100" s="205"/>
      <c r="DP100" s="205">
        <f t="shared" ref="DP100" si="1133">SUM(DI100:DO100)</f>
        <v>0</v>
      </c>
      <c r="DQ100" s="120"/>
      <c r="DR100" s="120"/>
      <c r="DS100" s="120"/>
      <c r="DT100" s="120"/>
      <c r="DU100" s="120"/>
      <c r="DV100" s="209"/>
      <c r="DW100" s="205"/>
      <c r="DX100" s="205">
        <f t="shared" ref="DX100" si="1134">SUM(DQ100:DW100)</f>
        <v>0</v>
      </c>
      <c r="DY100" s="120"/>
      <c r="DZ100" s="120"/>
      <c r="EA100" s="120"/>
      <c r="EB100" s="120"/>
      <c r="EC100" s="120"/>
      <c r="ED100" s="209"/>
      <c r="EE100" s="205"/>
      <c r="EF100" s="205">
        <f t="shared" ref="EF100" si="1135">SUM(DY100:EE100)</f>
        <v>0</v>
      </c>
      <c r="EG100" s="120"/>
      <c r="EH100" s="120"/>
      <c r="EI100" s="120"/>
      <c r="EJ100" s="205"/>
      <c r="EK100" s="205"/>
      <c r="EL100" s="209"/>
      <c r="EM100" s="205"/>
      <c r="EN100" s="205">
        <f t="shared" ref="EN100" si="1136">SUM(EG100:EM100)</f>
        <v>0</v>
      </c>
      <c r="EO100" s="205">
        <f t="shared" ref="EO100" si="1137">SUM(DA100:DF100,DP100,DX100,EF100,EG100:EI100)</f>
        <v>0</v>
      </c>
      <c r="EP100" s="120"/>
      <c r="EQ100" s="120"/>
      <c r="ER100" s="120"/>
      <c r="ES100" s="120"/>
      <c r="ET100" s="120"/>
      <c r="EU100" s="209"/>
      <c r="EV100" s="205"/>
      <c r="EW100" s="205">
        <f t="shared" ref="EW100" si="1138">SUM(EP100:EV100)</f>
        <v>0</v>
      </c>
      <c r="EX100" s="120"/>
      <c r="EY100" s="120"/>
      <c r="EZ100" s="120"/>
      <c r="FA100" s="120"/>
      <c r="FB100" s="120"/>
      <c r="FC100" s="209"/>
      <c r="FD100" s="205"/>
      <c r="FE100" s="205">
        <f t="shared" ref="FE100" si="1139">SUM(EX100:FD100)</f>
        <v>0</v>
      </c>
      <c r="FF100" s="120"/>
      <c r="FG100" s="120"/>
      <c r="FH100" s="120"/>
      <c r="FI100" s="120"/>
      <c r="FJ100" s="120"/>
      <c r="FK100" s="209"/>
      <c r="FL100" s="205"/>
      <c r="FM100" s="205">
        <f t="shared" ref="FM100" si="1140">SUM(FF100:FL100)</f>
        <v>0</v>
      </c>
      <c r="FN100" s="120"/>
      <c r="FO100" s="120"/>
      <c r="FP100" s="120"/>
      <c r="FQ100" s="120"/>
      <c r="FR100" s="205"/>
      <c r="FS100" s="209"/>
      <c r="FT100" s="205"/>
      <c r="FU100" s="205">
        <f t="shared" ref="FU100" si="1141">SUM(FN100:FT100)</f>
        <v>0</v>
      </c>
      <c r="FV100" s="205">
        <f t="shared" ref="FV100" si="1142">SUM(EJ100:EK100,EW100,FE100,FM100,FU100)</f>
        <v>0</v>
      </c>
      <c r="FW100" s="120"/>
      <c r="FX100" s="120"/>
      <c r="FY100" s="120"/>
      <c r="FZ100" s="120"/>
      <c r="GA100" s="120"/>
      <c r="GB100" s="209"/>
      <c r="GC100" s="205"/>
      <c r="GD100" s="205">
        <f t="shared" ref="GD100" si="1143">SUM(FW100:GC100)</f>
        <v>0</v>
      </c>
      <c r="GE100" s="120"/>
      <c r="GF100" s="120"/>
      <c r="GG100" s="120"/>
      <c r="GH100" s="120"/>
      <c r="GI100" s="120"/>
      <c r="GJ100" s="209"/>
      <c r="GK100" s="205"/>
      <c r="GL100" s="205">
        <f t="shared" ref="GL100" si="1144">SUM(GE100:GK100)</f>
        <v>0</v>
      </c>
      <c r="GM100" s="120"/>
      <c r="GN100" s="120"/>
      <c r="GO100" s="120"/>
      <c r="GP100" s="120"/>
      <c r="GQ100" s="120"/>
      <c r="GR100" s="209"/>
      <c r="GS100" s="205"/>
      <c r="GT100" s="205">
        <f t="shared" ref="GT100" si="1145">SUM(GM100:GS100)</f>
        <v>0</v>
      </c>
      <c r="GU100" s="120"/>
      <c r="GV100" s="120"/>
      <c r="GW100" s="120"/>
      <c r="GX100" s="120"/>
      <c r="GY100" s="120"/>
      <c r="GZ100" s="209"/>
      <c r="HA100" s="205"/>
      <c r="HB100" s="205">
        <f t="shared" ref="HB100" si="1146">SUM(GU100:HA100)</f>
        <v>0</v>
      </c>
      <c r="HC100" s="120"/>
      <c r="HD100" s="120"/>
      <c r="HE100" s="120"/>
      <c r="HF100" s="120"/>
      <c r="HG100" s="120"/>
      <c r="HH100" s="209"/>
      <c r="HI100" s="205"/>
      <c r="HJ100" s="205">
        <f t="shared" ref="HJ100" si="1147">SUM(HC100:HI100)</f>
        <v>0</v>
      </c>
      <c r="HK100" s="205">
        <f t="shared" ref="HK100" si="1148">SUM(GD100,GL100,GT100,HB100,HC100)</f>
        <v>0</v>
      </c>
      <c r="HL100" s="124"/>
      <c r="HM100" s="120"/>
      <c r="HN100" s="120"/>
      <c r="HO100" s="120"/>
      <c r="HP100" s="120"/>
      <c r="HQ100" s="205"/>
      <c r="HR100" s="205"/>
      <c r="HS100" s="205">
        <f t="shared" si="934"/>
        <v>0</v>
      </c>
      <c r="HT100" s="120"/>
      <c r="HU100" s="120"/>
      <c r="HV100" s="120"/>
      <c r="HW100" s="120"/>
      <c r="HX100" s="120"/>
      <c r="HY100" s="205"/>
      <c r="HZ100" s="205"/>
      <c r="IA100" s="205">
        <f t="shared" si="935"/>
        <v>0</v>
      </c>
      <c r="IB100" s="120"/>
      <c r="IC100" s="120"/>
      <c r="ID100" s="120"/>
      <c r="IE100" s="120"/>
      <c r="IF100" s="120"/>
      <c r="IG100" s="205"/>
      <c r="IH100" s="205"/>
      <c r="II100" s="205">
        <f t="shared" si="936"/>
        <v>0</v>
      </c>
      <c r="IJ100" s="120"/>
      <c r="IK100" s="120"/>
      <c r="IL100" s="120"/>
      <c r="IM100" s="120"/>
      <c r="IN100" s="120"/>
      <c r="IO100" s="205"/>
      <c r="IP100" s="205"/>
      <c r="IQ100" s="205">
        <f t="shared" si="937"/>
        <v>0</v>
      </c>
      <c r="IR100" s="205">
        <f t="shared" si="938"/>
        <v>0</v>
      </c>
      <c r="IS100" s="120"/>
      <c r="IT100" s="120"/>
      <c r="IU100" s="217">
        <v>60</v>
      </c>
      <c r="IV100" s="120"/>
      <c r="IW100" s="120"/>
      <c r="IX100" s="205"/>
      <c r="IY100" s="205"/>
      <c r="IZ100" s="205">
        <f t="shared" si="939"/>
        <v>60</v>
      </c>
      <c r="JA100" s="120"/>
      <c r="JB100" s="120"/>
      <c r="JC100" s="120"/>
      <c r="JD100" s="120"/>
      <c r="JE100" s="120"/>
      <c r="JF100" s="205"/>
      <c r="JG100" s="205"/>
      <c r="JH100" s="205">
        <f t="shared" si="940"/>
        <v>0</v>
      </c>
      <c r="JI100" s="120"/>
      <c r="JJ100" s="120"/>
      <c r="JK100" s="120"/>
      <c r="JL100" s="120"/>
      <c r="JM100" s="120"/>
      <c r="JN100" s="205"/>
      <c r="JO100" s="205"/>
      <c r="JP100" s="205">
        <f t="shared" si="941"/>
        <v>0</v>
      </c>
      <c r="JQ100" s="120"/>
      <c r="JR100" s="120"/>
      <c r="JS100" s="120"/>
      <c r="JT100" s="120"/>
      <c r="JU100" s="120"/>
      <c r="JV100" s="205"/>
      <c r="JW100" s="205"/>
      <c r="JX100" s="205">
        <f t="shared" si="942"/>
        <v>0</v>
      </c>
      <c r="JY100" s="205">
        <f t="shared" si="943"/>
        <v>60</v>
      </c>
      <c r="JZ100" s="120"/>
      <c r="KA100" s="120"/>
      <c r="KB100" s="120"/>
      <c r="KC100" s="217">
        <v>24</v>
      </c>
      <c r="KD100" s="120"/>
      <c r="KE100" s="205"/>
      <c r="KF100" s="205"/>
      <c r="KG100" s="205">
        <f t="shared" si="944"/>
        <v>24</v>
      </c>
      <c r="KH100" s="120"/>
      <c r="KI100" s="120"/>
      <c r="KJ100" s="120"/>
      <c r="KK100" s="120"/>
      <c r="KL100" s="120"/>
      <c r="KM100" s="205"/>
      <c r="KN100" s="205"/>
      <c r="KO100" s="205">
        <f t="shared" si="945"/>
        <v>0</v>
      </c>
      <c r="KP100" s="120"/>
      <c r="KQ100" s="120"/>
      <c r="KR100" s="120"/>
      <c r="KS100" s="120"/>
      <c r="KT100" s="120"/>
      <c r="KU100" s="205"/>
      <c r="KV100" s="205"/>
      <c r="KW100" s="205">
        <f t="shared" si="946"/>
        <v>0</v>
      </c>
      <c r="KX100" s="120"/>
      <c r="KY100" s="120"/>
      <c r="KZ100" s="120"/>
      <c r="LA100" s="120"/>
      <c r="LB100" s="120"/>
      <c r="LC100" s="205"/>
      <c r="LD100" s="205"/>
      <c r="LE100" s="205">
        <f t="shared" si="947"/>
        <v>0</v>
      </c>
      <c r="LF100" s="205"/>
      <c r="LG100" s="120"/>
      <c r="LH100" s="120"/>
      <c r="LI100" s="120"/>
      <c r="LJ100" s="120"/>
      <c r="LK100" s="205"/>
      <c r="LL100" s="205"/>
      <c r="LM100" s="205">
        <f t="shared" si="948"/>
        <v>0</v>
      </c>
      <c r="LN100" s="205">
        <f t="shared" si="949"/>
        <v>24</v>
      </c>
      <c r="LO100" s="205"/>
      <c r="LP100" s="120"/>
      <c r="LQ100" s="120"/>
      <c r="LR100" s="120"/>
      <c r="LS100" s="205"/>
      <c r="LT100" s="205"/>
      <c r="LU100" s="205"/>
      <c r="LV100" s="205">
        <f t="shared" si="950"/>
        <v>0</v>
      </c>
      <c r="LW100" s="120"/>
      <c r="LX100" s="120"/>
      <c r="LY100" s="124">
        <v>84</v>
      </c>
      <c r="LZ100" s="120"/>
      <c r="MA100" s="120"/>
      <c r="MB100" s="205"/>
      <c r="MC100" s="205"/>
      <c r="MD100" s="205">
        <f t="shared" si="951"/>
        <v>84</v>
      </c>
      <c r="ME100" s="120"/>
      <c r="MF100" s="120"/>
      <c r="MG100" s="120"/>
      <c r="MH100" s="120"/>
      <c r="MI100" s="205"/>
      <c r="MJ100" s="205"/>
      <c r="MK100" s="205"/>
      <c r="ML100" s="205">
        <f t="shared" si="952"/>
        <v>0</v>
      </c>
      <c r="MM100" s="120"/>
      <c r="MN100" s="120"/>
      <c r="MO100" s="120"/>
      <c r="MP100" s="120"/>
      <c r="MQ100" s="120"/>
      <c r="MR100" s="205"/>
      <c r="MS100" s="205"/>
      <c r="MT100" s="205">
        <f t="shared" si="953"/>
        <v>0</v>
      </c>
      <c r="MU100" s="205">
        <f t="shared" si="954"/>
        <v>84</v>
      </c>
      <c r="MV100" s="120"/>
      <c r="MW100" s="120"/>
      <c r="MX100" s="120"/>
      <c r="MY100" s="120"/>
      <c r="MZ100" s="120"/>
      <c r="NA100" s="205"/>
      <c r="NB100" s="205"/>
      <c r="NC100" s="205">
        <f t="shared" si="880"/>
        <v>0</v>
      </c>
      <c r="ND100" s="120"/>
      <c r="NE100" s="120"/>
      <c r="NF100" s="120"/>
      <c r="NG100" s="120"/>
      <c r="NH100" s="120"/>
      <c r="NI100" s="205"/>
      <c r="NJ100" s="205"/>
      <c r="NK100" s="205">
        <f t="shared" si="881"/>
        <v>0</v>
      </c>
      <c r="NL100" s="120"/>
      <c r="NM100" s="120"/>
      <c r="NN100" s="120"/>
      <c r="NO100" s="120"/>
      <c r="NP100" s="120"/>
      <c r="NQ100" s="205"/>
      <c r="NR100" s="205"/>
      <c r="NS100" s="205">
        <f t="shared" si="882"/>
        <v>0</v>
      </c>
      <c r="NT100" s="270">
        <v>216</v>
      </c>
      <c r="NU100" s="120"/>
      <c r="NV100" s="120"/>
      <c r="NW100" s="120"/>
      <c r="NX100" s="120"/>
      <c r="NY100" s="205"/>
      <c r="NZ100" s="205"/>
      <c r="OA100" s="205">
        <f t="shared" si="883"/>
        <v>216</v>
      </c>
      <c r="OB100" s="205">
        <f t="shared" si="884"/>
        <v>216</v>
      </c>
      <c r="OC100" s="120"/>
      <c r="OD100" s="120"/>
      <c r="OE100" s="120"/>
      <c r="OF100" s="120"/>
      <c r="OG100" s="120"/>
      <c r="OH100" s="205"/>
      <c r="OI100" s="205"/>
      <c r="OJ100" s="205">
        <f t="shared" si="885"/>
        <v>0</v>
      </c>
      <c r="OK100" s="120"/>
      <c r="OL100" s="120"/>
      <c r="OM100" s="120"/>
      <c r="ON100" s="120"/>
      <c r="OO100" s="120"/>
      <c r="OP100" s="205"/>
      <c r="OQ100" s="205"/>
      <c r="OR100" s="205">
        <f t="shared" si="886"/>
        <v>0</v>
      </c>
      <c r="OS100" s="120"/>
      <c r="OT100" s="120"/>
      <c r="OU100" s="120"/>
      <c r="OV100" s="120"/>
      <c r="OW100" s="120"/>
      <c r="OX100" s="205"/>
      <c r="OY100" s="205"/>
      <c r="OZ100" s="205">
        <f t="shared" si="887"/>
        <v>0</v>
      </c>
      <c r="PA100" s="120"/>
      <c r="PB100" s="120"/>
      <c r="PC100" s="120"/>
      <c r="PD100" s="205"/>
      <c r="PE100" s="217"/>
      <c r="PF100" s="205"/>
      <c r="PG100" s="205"/>
      <c r="PH100" s="205">
        <f t="shared" si="888"/>
        <v>0</v>
      </c>
      <c r="PI100" s="120"/>
      <c r="PJ100" s="120"/>
      <c r="PK100" s="120"/>
      <c r="PL100" s="205"/>
      <c r="PM100" s="217"/>
      <c r="PN100" s="205"/>
      <c r="PO100" s="205"/>
      <c r="PP100" s="205">
        <f t="shared" si="889"/>
        <v>0</v>
      </c>
      <c r="PQ100" s="205">
        <f t="shared" si="890"/>
        <v>0</v>
      </c>
      <c r="PR100" s="124">
        <v>72</v>
      </c>
      <c r="PS100" s="207"/>
      <c r="PT100" s="207"/>
      <c r="PU100" s="207"/>
      <c r="PV100" s="207"/>
      <c r="PW100" s="272"/>
      <c r="PX100" s="272"/>
      <c r="PY100" s="205">
        <f t="shared" si="891"/>
        <v>72</v>
      </c>
      <c r="PZ100" s="207"/>
      <c r="QA100" s="207"/>
      <c r="QB100" s="207"/>
      <c r="QC100" s="195">
        <v>96</v>
      </c>
      <c r="QD100" s="207"/>
      <c r="QE100" s="272"/>
      <c r="QF100" s="272"/>
      <c r="QG100" s="205">
        <f t="shared" si="892"/>
        <v>96</v>
      </c>
      <c r="QH100" s="207"/>
      <c r="QI100" s="207"/>
      <c r="QJ100" s="294"/>
      <c r="QK100" s="207"/>
      <c r="QL100" s="207"/>
      <c r="QM100" s="272"/>
      <c r="QN100" s="272"/>
      <c r="QO100" s="205">
        <f t="shared" si="893"/>
        <v>0</v>
      </c>
      <c r="QP100" s="207"/>
      <c r="QQ100" s="207"/>
      <c r="QR100" s="207"/>
      <c r="QS100" s="207"/>
      <c r="QT100" s="207"/>
      <c r="QU100" s="272"/>
      <c r="QV100" s="272"/>
      <c r="QW100" s="205">
        <f t="shared" si="894"/>
        <v>0</v>
      </c>
      <c r="QX100" s="205">
        <f t="shared" si="895"/>
        <v>168</v>
      </c>
      <c r="QY100" s="207"/>
      <c r="QZ100" s="207"/>
      <c r="RA100" s="207"/>
      <c r="RB100" s="207"/>
      <c r="RC100" s="207"/>
      <c r="RD100" s="272"/>
      <c r="RE100" s="272"/>
      <c r="RF100" s="205">
        <f t="shared" si="896"/>
        <v>0</v>
      </c>
      <c r="RG100" s="207"/>
      <c r="RH100" s="207"/>
      <c r="RI100" s="207"/>
      <c r="RJ100" s="207"/>
      <c r="RK100" s="207"/>
      <c r="RL100" s="272"/>
      <c r="RM100" s="272"/>
      <c r="RN100" s="205">
        <f t="shared" si="897"/>
        <v>0</v>
      </c>
      <c r="RO100" s="272"/>
      <c r="RP100" s="272"/>
      <c r="RQ100" s="272"/>
      <c r="RR100" s="272"/>
      <c r="RS100" s="272"/>
      <c r="RT100" s="272"/>
      <c r="RU100" s="272"/>
      <c r="RV100" s="205">
        <f t="shared" si="898"/>
        <v>0</v>
      </c>
      <c r="RW100" s="207"/>
      <c r="RX100" s="207"/>
      <c r="RY100" s="207"/>
      <c r="RZ100" s="207"/>
      <c r="SA100" s="272"/>
      <c r="SB100" s="272"/>
      <c r="SC100" s="272"/>
      <c r="SD100" s="205">
        <f t="shared" si="899"/>
        <v>0</v>
      </c>
      <c r="SE100" s="205">
        <f t="shared" si="900"/>
        <v>0</v>
      </c>
      <c r="SF100" s="207"/>
      <c r="SG100" s="207"/>
      <c r="SH100" s="207"/>
      <c r="SI100" s="207"/>
      <c r="SJ100" s="207"/>
      <c r="SK100" s="272"/>
      <c r="SL100" s="272"/>
      <c r="SM100" s="205">
        <f t="shared" si="901"/>
        <v>0</v>
      </c>
      <c r="SN100" s="207"/>
      <c r="SO100" s="207"/>
      <c r="SP100" s="207"/>
      <c r="SQ100" s="207"/>
      <c r="SR100" s="207"/>
      <c r="SS100" s="272"/>
      <c r="ST100" s="272"/>
      <c r="SU100" s="205">
        <f t="shared" si="902"/>
        <v>0</v>
      </c>
      <c r="SV100" s="207"/>
      <c r="SW100" s="207"/>
      <c r="SX100" s="207"/>
      <c r="SY100" s="207"/>
      <c r="SZ100" s="207"/>
      <c r="TA100" s="272"/>
      <c r="TB100" s="272"/>
      <c r="TC100" s="205">
        <f t="shared" si="903"/>
        <v>0</v>
      </c>
      <c r="TD100" s="207"/>
      <c r="TE100" s="207"/>
      <c r="TF100" s="207"/>
      <c r="TG100" s="207"/>
      <c r="TH100" s="207"/>
      <c r="TI100" s="272"/>
      <c r="TJ100" s="272"/>
      <c r="TK100" s="205">
        <f t="shared" si="904"/>
        <v>0</v>
      </c>
      <c r="TL100" s="207"/>
      <c r="TM100" s="207"/>
      <c r="TN100" s="207"/>
      <c r="TO100" s="207"/>
      <c r="TP100" s="272"/>
      <c r="TQ100" s="272"/>
      <c r="TR100" s="272"/>
      <c r="TS100" s="205">
        <f t="shared" si="905"/>
        <v>0</v>
      </c>
      <c r="TT100" s="205">
        <f t="shared" si="906"/>
        <v>0</v>
      </c>
      <c r="TU100" s="272"/>
      <c r="TV100" s="207"/>
      <c r="TW100" s="207"/>
      <c r="TX100" s="207"/>
      <c r="TY100" s="195">
        <v>180</v>
      </c>
      <c r="TZ100" s="272"/>
      <c r="UA100" s="272"/>
      <c r="UB100" s="205">
        <f t="shared" si="907"/>
        <v>180</v>
      </c>
      <c r="UC100" s="207"/>
      <c r="UD100" s="207"/>
      <c r="UE100" s="207"/>
      <c r="UF100" s="207"/>
      <c r="UG100" s="207"/>
      <c r="UH100" s="272"/>
      <c r="UI100" s="272"/>
      <c r="UJ100" s="205">
        <f t="shared" si="908"/>
        <v>0</v>
      </c>
      <c r="UK100" s="207"/>
      <c r="UL100" s="207"/>
      <c r="UM100" s="207"/>
      <c r="UN100" s="207"/>
      <c r="UO100" s="207"/>
      <c r="UP100" s="272"/>
      <c r="UQ100" s="272"/>
      <c r="UR100" s="205">
        <f t="shared" si="909"/>
        <v>0</v>
      </c>
      <c r="US100" s="207"/>
      <c r="UT100" s="207"/>
      <c r="UU100" s="207"/>
      <c r="UV100" s="207"/>
      <c r="UW100" s="272"/>
      <c r="UX100" s="272"/>
      <c r="UY100" s="272"/>
      <c r="UZ100" s="205">
        <f t="shared" si="910"/>
        <v>0</v>
      </c>
      <c r="VA100" s="205">
        <f t="shared" si="911"/>
        <v>180</v>
      </c>
      <c r="VB100" s="207"/>
      <c r="VC100" s="207"/>
      <c r="VD100" s="207"/>
      <c r="VE100" s="207"/>
      <c r="VF100" s="207"/>
      <c r="VG100" s="272"/>
      <c r="VH100" s="272"/>
      <c r="VI100" s="205">
        <f t="shared" si="912"/>
        <v>0</v>
      </c>
      <c r="VJ100" s="207"/>
      <c r="VK100" s="207"/>
      <c r="VL100" s="207"/>
      <c r="VM100" s="207"/>
      <c r="VN100" s="207"/>
      <c r="VO100" s="272"/>
      <c r="VP100" s="272"/>
      <c r="VQ100" s="205">
        <f t="shared" si="913"/>
        <v>0</v>
      </c>
      <c r="VR100" s="207"/>
      <c r="VS100" s="207"/>
      <c r="VT100" s="195">
        <v>120</v>
      </c>
      <c r="VU100" s="207"/>
      <c r="VV100" s="207"/>
      <c r="VW100" s="272"/>
      <c r="VX100" s="272"/>
      <c r="VY100" s="205">
        <f t="shared" si="914"/>
        <v>120</v>
      </c>
      <c r="VZ100" s="207"/>
      <c r="WA100" s="207"/>
      <c r="WB100" s="207"/>
      <c r="WC100" s="207"/>
      <c r="WD100" s="207"/>
      <c r="WE100" s="272"/>
      <c r="WF100" s="272"/>
      <c r="WG100" s="205">
        <f t="shared" si="915"/>
        <v>0</v>
      </c>
      <c r="WH100" s="205">
        <f t="shared" si="916"/>
        <v>120</v>
      </c>
      <c r="WI100" s="207"/>
      <c r="WJ100" s="207"/>
      <c r="WK100" s="207"/>
      <c r="WL100" s="207"/>
      <c r="WM100" s="207"/>
      <c r="WN100" s="272"/>
      <c r="WO100" s="272"/>
      <c r="WP100" s="205">
        <f t="shared" si="917"/>
        <v>0</v>
      </c>
      <c r="WQ100" s="207"/>
      <c r="WR100" s="207"/>
      <c r="WS100" s="207"/>
      <c r="WT100" s="207"/>
      <c r="WU100" s="207"/>
      <c r="WV100" s="272"/>
      <c r="WW100" s="272"/>
      <c r="WX100" s="205">
        <f t="shared" si="918"/>
        <v>0</v>
      </c>
      <c r="WY100" s="207"/>
      <c r="WZ100" s="207"/>
      <c r="XA100" s="207"/>
      <c r="XB100" s="207"/>
      <c r="XC100" s="272"/>
      <c r="XD100" s="272"/>
      <c r="XE100" s="272"/>
      <c r="XF100" s="205">
        <f t="shared" si="919"/>
        <v>0</v>
      </c>
      <c r="XG100" s="207"/>
      <c r="XH100" s="207"/>
      <c r="XI100" s="207"/>
      <c r="XJ100" s="207"/>
      <c r="XK100" s="207"/>
      <c r="XL100" s="272"/>
      <c r="XM100" s="272"/>
      <c r="XN100" s="205">
        <f t="shared" si="920"/>
        <v>0</v>
      </c>
      <c r="XO100" s="207"/>
      <c r="XP100" s="207"/>
      <c r="XQ100" s="207"/>
      <c r="XR100" s="207"/>
      <c r="XS100" s="207"/>
      <c r="XT100" s="272"/>
      <c r="XU100" s="272"/>
      <c r="XV100" s="205">
        <f t="shared" si="921"/>
        <v>0</v>
      </c>
      <c r="XW100" s="205">
        <f t="shared" si="922"/>
        <v>0</v>
      </c>
      <c r="XX100" s="207"/>
      <c r="XY100" s="207"/>
      <c r="XZ100" s="207"/>
      <c r="YA100" s="207"/>
      <c r="YB100" s="207"/>
      <c r="YC100" s="272"/>
      <c r="YD100" s="272"/>
      <c r="YE100" s="205">
        <f t="shared" si="923"/>
        <v>0</v>
      </c>
      <c r="YF100" s="207"/>
      <c r="YG100" s="207"/>
      <c r="YH100" s="207"/>
      <c r="YI100" s="207"/>
      <c r="YJ100" s="207"/>
      <c r="YK100" s="272"/>
      <c r="YL100" s="272"/>
      <c r="YM100" s="205">
        <f t="shared" si="924"/>
        <v>0</v>
      </c>
      <c r="YN100" s="207"/>
      <c r="YO100" s="207"/>
      <c r="YP100" s="207"/>
      <c r="YQ100" s="207"/>
      <c r="YR100" s="207"/>
      <c r="YS100" s="272"/>
      <c r="YT100" s="272"/>
      <c r="YU100" s="205">
        <f t="shared" si="925"/>
        <v>0</v>
      </c>
      <c r="YV100" s="207"/>
      <c r="YW100" s="207"/>
      <c r="YX100" s="207"/>
      <c r="YY100" s="207"/>
      <c r="YZ100" s="207"/>
      <c r="ZA100" s="272"/>
      <c r="ZB100" s="272"/>
      <c r="ZC100" s="205">
        <f t="shared" si="926"/>
        <v>0</v>
      </c>
      <c r="ZD100" s="205">
        <f t="shared" si="927"/>
        <v>0</v>
      </c>
      <c r="ZE100" s="207"/>
      <c r="ZF100" s="207"/>
      <c r="ZG100" s="207"/>
      <c r="ZH100" s="207"/>
      <c r="ZI100" s="207"/>
      <c r="ZJ100" s="272"/>
      <c r="ZK100" s="272"/>
      <c r="ZL100" s="205">
        <f t="shared" si="928"/>
        <v>0</v>
      </c>
      <c r="ZM100" s="207"/>
      <c r="ZN100" s="207"/>
      <c r="ZO100" s="207"/>
      <c r="ZP100" s="207"/>
      <c r="ZQ100" s="207"/>
      <c r="ZR100" s="272"/>
      <c r="ZS100" s="272"/>
      <c r="ZT100" s="205">
        <f t="shared" si="929"/>
        <v>0</v>
      </c>
      <c r="ZU100" s="207"/>
      <c r="ZV100" s="207"/>
      <c r="ZW100" s="207"/>
      <c r="ZX100" s="207"/>
      <c r="ZY100" s="207"/>
      <c r="ZZ100" s="272"/>
      <c r="AAA100" s="272"/>
      <c r="AAB100" s="205">
        <f t="shared" si="930"/>
        <v>0</v>
      </c>
      <c r="AAC100" s="207"/>
      <c r="AAD100" s="207"/>
      <c r="AAE100" s="207"/>
      <c r="AAF100" s="207"/>
      <c r="AAG100" s="207"/>
      <c r="AAH100" s="272"/>
      <c r="AAI100" s="272"/>
      <c r="AAJ100" s="205">
        <f t="shared" si="931"/>
        <v>0</v>
      </c>
      <c r="AAK100" s="207"/>
      <c r="AAL100" s="207"/>
      <c r="AAM100" s="207"/>
      <c r="AAN100" s="207"/>
      <c r="AAO100" s="207"/>
      <c r="AAP100" s="272"/>
      <c r="AAQ100" s="272"/>
      <c r="AAR100" s="205">
        <f t="shared" si="932"/>
        <v>0</v>
      </c>
      <c r="AAS100" s="205">
        <f t="shared" si="933"/>
        <v>0</v>
      </c>
    </row>
    <row r="101" spans="1:721" ht="69.95" customHeight="1">
      <c r="B101" s="151">
        <v>3630101428</v>
      </c>
      <c r="C101" s="323" t="s">
        <v>741</v>
      </c>
      <c r="D101" s="152" t="s">
        <v>826</v>
      </c>
      <c r="E101" s="130" t="s">
        <v>4</v>
      </c>
      <c r="F101" s="120"/>
      <c r="G101" s="120"/>
      <c r="H101" s="120"/>
      <c r="I101" s="120"/>
      <c r="J101" s="120"/>
      <c r="K101" s="209"/>
      <c r="L101" s="205"/>
      <c r="M101" s="205"/>
      <c r="N101" s="120"/>
      <c r="O101" s="120"/>
      <c r="P101" s="120"/>
      <c r="Q101" s="120"/>
      <c r="R101" s="120"/>
      <c r="S101" s="209"/>
      <c r="T101" s="205"/>
      <c r="U101" s="205"/>
      <c r="V101" s="120"/>
      <c r="W101" s="120"/>
      <c r="X101" s="120"/>
      <c r="Y101" s="120"/>
      <c r="Z101" s="120"/>
      <c r="AA101" s="209"/>
      <c r="AB101" s="205"/>
      <c r="AC101" s="205"/>
      <c r="AD101" s="205"/>
      <c r="AE101" s="205"/>
      <c r="AF101" s="205"/>
      <c r="AG101" s="205"/>
      <c r="AH101" s="205"/>
      <c r="AI101" s="209"/>
      <c r="AJ101" s="205"/>
      <c r="AK101" s="205"/>
      <c r="AL101" s="205"/>
      <c r="AM101" s="120"/>
      <c r="AN101" s="120"/>
      <c r="AO101" s="120"/>
      <c r="AP101" s="120"/>
      <c r="AQ101" s="120"/>
      <c r="AR101" s="209"/>
      <c r="AS101" s="205"/>
      <c r="AT101" s="205"/>
      <c r="AU101" s="120"/>
      <c r="AV101" s="120"/>
      <c r="AW101" s="120"/>
      <c r="AX101" s="120"/>
      <c r="AY101" s="120"/>
      <c r="AZ101" s="209"/>
      <c r="BA101" s="205"/>
      <c r="BB101" s="205"/>
      <c r="BC101" s="120"/>
      <c r="BD101" s="120"/>
      <c r="BE101" s="120"/>
      <c r="BF101" s="120"/>
      <c r="BG101" s="120"/>
      <c r="BH101" s="209"/>
      <c r="BI101" s="205"/>
      <c r="BJ101" s="205"/>
      <c r="BK101" s="120"/>
      <c r="BL101" s="120"/>
      <c r="BM101" s="120"/>
      <c r="BN101" s="120"/>
      <c r="BO101" s="205"/>
      <c r="BP101" s="209"/>
      <c r="BQ101" s="205"/>
      <c r="BR101" s="205"/>
      <c r="BS101" s="205"/>
      <c r="BT101" s="120"/>
      <c r="BU101" s="120"/>
      <c r="BV101" s="120"/>
      <c r="BW101" s="120"/>
      <c r="BX101" s="120"/>
      <c r="BY101" s="209"/>
      <c r="BZ101" s="205"/>
      <c r="CA101" s="205"/>
      <c r="CB101" s="120"/>
      <c r="CC101" s="120"/>
      <c r="CD101" s="120"/>
      <c r="CE101" s="120"/>
      <c r="CF101" s="120"/>
      <c r="CG101" s="209"/>
      <c r="CH101" s="205"/>
      <c r="CI101" s="205"/>
      <c r="CJ101" s="120"/>
      <c r="CK101" s="120"/>
      <c r="CL101" s="120"/>
      <c r="CM101" s="120"/>
      <c r="CN101" s="120"/>
      <c r="CO101" s="209"/>
      <c r="CP101" s="205"/>
      <c r="CQ101" s="205"/>
      <c r="CR101" s="120"/>
      <c r="CS101" s="120"/>
      <c r="CT101" s="120"/>
      <c r="CU101" s="120"/>
      <c r="CV101" s="120"/>
      <c r="CW101" s="209"/>
      <c r="CX101" s="205"/>
      <c r="CY101" s="205"/>
      <c r="CZ101" s="120"/>
      <c r="DA101" s="120"/>
      <c r="DB101" s="120"/>
      <c r="DC101" s="205"/>
      <c r="DD101" s="205"/>
      <c r="DE101" s="209"/>
      <c r="DF101" s="205"/>
      <c r="DG101" s="205"/>
      <c r="DH101" s="205"/>
      <c r="DI101" s="120"/>
      <c r="DJ101" s="120"/>
      <c r="DK101" s="120"/>
      <c r="DL101" s="120"/>
      <c r="DM101" s="120"/>
      <c r="DN101" s="209"/>
      <c r="DO101" s="205"/>
      <c r="DP101" s="205"/>
      <c r="DQ101" s="120"/>
      <c r="DR101" s="120"/>
      <c r="DS101" s="120"/>
      <c r="DT101" s="120"/>
      <c r="DU101" s="120"/>
      <c r="DV101" s="209"/>
      <c r="DW101" s="205"/>
      <c r="DX101" s="205"/>
      <c r="DY101" s="120"/>
      <c r="DZ101" s="120"/>
      <c r="EA101" s="120"/>
      <c r="EB101" s="120"/>
      <c r="EC101" s="120"/>
      <c r="ED101" s="209"/>
      <c r="EE101" s="205"/>
      <c r="EF101" s="205"/>
      <c r="EG101" s="120"/>
      <c r="EH101" s="120"/>
      <c r="EI101" s="120"/>
      <c r="EJ101" s="205"/>
      <c r="EK101" s="205"/>
      <c r="EL101" s="209"/>
      <c r="EM101" s="205"/>
      <c r="EN101" s="205"/>
      <c r="EO101" s="205"/>
      <c r="EP101" s="120"/>
      <c r="EQ101" s="120"/>
      <c r="ER101" s="120"/>
      <c r="ES101" s="120"/>
      <c r="ET101" s="120"/>
      <c r="EU101" s="209"/>
      <c r="EV101" s="205"/>
      <c r="EW101" s="205"/>
      <c r="EX101" s="120"/>
      <c r="EY101" s="120"/>
      <c r="EZ101" s="120"/>
      <c r="FA101" s="120"/>
      <c r="FB101" s="120"/>
      <c r="FC101" s="209"/>
      <c r="FD101" s="205"/>
      <c r="FE101" s="205"/>
      <c r="FF101" s="120"/>
      <c r="FG101" s="120"/>
      <c r="FH101" s="120"/>
      <c r="FI101" s="120"/>
      <c r="FJ101" s="120"/>
      <c r="FK101" s="209"/>
      <c r="FL101" s="205"/>
      <c r="FM101" s="205"/>
      <c r="FN101" s="120"/>
      <c r="FO101" s="120"/>
      <c r="FP101" s="120"/>
      <c r="FQ101" s="120"/>
      <c r="FR101" s="205"/>
      <c r="FS101" s="209"/>
      <c r="FT101" s="205"/>
      <c r="FU101" s="205"/>
      <c r="FV101" s="205"/>
      <c r="FW101" s="120"/>
      <c r="FX101" s="120"/>
      <c r="FY101" s="120"/>
      <c r="FZ101" s="120"/>
      <c r="GA101" s="120"/>
      <c r="GB101" s="209"/>
      <c r="GC101" s="205"/>
      <c r="GD101" s="205"/>
      <c r="GE101" s="120"/>
      <c r="GF101" s="120"/>
      <c r="GG101" s="120"/>
      <c r="GH101" s="120"/>
      <c r="GI101" s="120"/>
      <c r="GJ101" s="209"/>
      <c r="GK101" s="205"/>
      <c r="GL101" s="205"/>
      <c r="GM101" s="120"/>
      <c r="GN101" s="120"/>
      <c r="GO101" s="120"/>
      <c r="GP101" s="120"/>
      <c r="GQ101" s="120"/>
      <c r="GR101" s="209"/>
      <c r="GS101" s="205"/>
      <c r="GT101" s="205"/>
      <c r="GU101" s="120"/>
      <c r="GV101" s="120"/>
      <c r="GW101" s="120"/>
      <c r="GX101" s="120"/>
      <c r="GY101" s="120"/>
      <c r="GZ101" s="209"/>
      <c r="HA101" s="205"/>
      <c r="HB101" s="205"/>
      <c r="HC101" s="120"/>
      <c r="HD101" s="120"/>
      <c r="HE101" s="120"/>
      <c r="HF101" s="120"/>
      <c r="HG101" s="120"/>
      <c r="HH101" s="209"/>
      <c r="HI101" s="205"/>
      <c r="HJ101" s="205"/>
      <c r="HK101" s="205"/>
      <c r="HL101" s="124"/>
      <c r="HM101" s="120"/>
      <c r="HN101" s="120"/>
      <c r="HO101" s="120"/>
      <c r="HP101" s="120"/>
      <c r="HQ101" s="205"/>
      <c r="HR101" s="205"/>
      <c r="HS101" s="205"/>
      <c r="HT101" s="120"/>
      <c r="HU101" s="120"/>
      <c r="HV101" s="120"/>
      <c r="HW101" s="120"/>
      <c r="HX101" s="120"/>
      <c r="HY101" s="205"/>
      <c r="HZ101" s="205"/>
      <c r="IA101" s="205"/>
      <c r="IB101" s="120"/>
      <c r="IC101" s="120"/>
      <c r="ID101" s="120"/>
      <c r="IE101" s="120"/>
      <c r="IF101" s="120"/>
      <c r="IG101" s="205"/>
      <c r="IH101" s="205"/>
      <c r="II101" s="205"/>
      <c r="IJ101" s="120"/>
      <c r="IK101" s="120"/>
      <c r="IL101" s="120"/>
      <c r="IM101" s="120"/>
      <c r="IN101" s="120"/>
      <c r="IO101" s="205"/>
      <c r="IP101" s="205"/>
      <c r="IQ101" s="205"/>
      <c r="IR101" s="205"/>
      <c r="IS101" s="120"/>
      <c r="IT101" s="120"/>
      <c r="IU101" s="217"/>
      <c r="IV101" s="120"/>
      <c r="IW101" s="120"/>
      <c r="IX101" s="205"/>
      <c r="IY101" s="205"/>
      <c r="IZ101" s="205"/>
      <c r="JA101" s="120"/>
      <c r="JB101" s="120"/>
      <c r="JC101" s="120"/>
      <c r="JD101" s="120"/>
      <c r="JE101" s="120"/>
      <c r="JF101" s="205"/>
      <c r="JG101" s="205"/>
      <c r="JH101" s="205"/>
      <c r="JI101" s="120"/>
      <c r="JJ101" s="120"/>
      <c r="JK101" s="120"/>
      <c r="JL101" s="120"/>
      <c r="JM101" s="120"/>
      <c r="JN101" s="205"/>
      <c r="JO101" s="205"/>
      <c r="JP101" s="205"/>
      <c r="JQ101" s="120"/>
      <c r="JR101" s="120"/>
      <c r="JS101" s="120"/>
      <c r="JT101" s="120"/>
      <c r="JU101" s="120"/>
      <c r="JV101" s="205"/>
      <c r="JW101" s="205"/>
      <c r="JX101" s="205"/>
      <c r="JY101" s="205"/>
      <c r="JZ101" s="120"/>
      <c r="KA101" s="120"/>
      <c r="KB101" s="120"/>
      <c r="KC101" s="217"/>
      <c r="KD101" s="120"/>
      <c r="KE101" s="205"/>
      <c r="KF101" s="205"/>
      <c r="KG101" s="205"/>
      <c r="KH101" s="120"/>
      <c r="KI101" s="120"/>
      <c r="KJ101" s="120"/>
      <c r="KK101" s="120"/>
      <c r="KL101" s="120"/>
      <c r="KM101" s="205"/>
      <c r="KN101" s="205"/>
      <c r="KO101" s="205"/>
      <c r="KP101" s="120"/>
      <c r="KQ101" s="120"/>
      <c r="KR101" s="120"/>
      <c r="KS101" s="120"/>
      <c r="KT101" s="120"/>
      <c r="KU101" s="205"/>
      <c r="KV101" s="205"/>
      <c r="KW101" s="205"/>
      <c r="KX101" s="120"/>
      <c r="KY101" s="120"/>
      <c r="KZ101" s="120"/>
      <c r="LA101" s="120"/>
      <c r="LB101" s="120"/>
      <c r="LC101" s="205"/>
      <c r="LD101" s="205"/>
      <c r="LE101" s="205"/>
      <c r="LF101" s="205"/>
      <c r="LG101" s="120"/>
      <c r="LH101" s="120"/>
      <c r="LI101" s="120"/>
      <c r="LJ101" s="120"/>
      <c r="LK101" s="205"/>
      <c r="LL101" s="205"/>
      <c r="LM101" s="205"/>
      <c r="LN101" s="205"/>
      <c r="LO101" s="205"/>
      <c r="LP101" s="120"/>
      <c r="LQ101" s="120"/>
      <c r="LR101" s="120"/>
      <c r="LS101" s="205"/>
      <c r="LT101" s="205"/>
      <c r="LU101" s="205"/>
      <c r="LV101" s="205"/>
      <c r="LW101" s="120"/>
      <c r="LX101" s="120"/>
      <c r="LY101" s="120"/>
      <c r="LZ101" s="120"/>
      <c r="MA101" s="120"/>
      <c r="MB101" s="205"/>
      <c r="MC101" s="205"/>
      <c r="MD101" s="205"/>
      <c r="ME101" s="120"/>
      <c r="MF101" s="120"/>
      <c r="MG101" s="120"/>
      <c r="MH101" s="120"/>
      <c r="MI101" s="205"/>
      <c r="MJ101" s="205"/>
      <c r="MK101" s="205"/>
      <c r="ML101" s="205">
        <f t="shared" si="952"/>
        <v>0</v>
      </c>
      <c r="MM101" s="120"/>
      <c r="MN101" s="120"/>
      <c r="MO101" s="120"/>
      <c r="MP101" s="120"/>
      <c r="MQ101" s="120"/>
      <c r="MR101" s="205"/>
      <c r="MS101" s="205"/>
      <c r="MT101" s="205"/>
      <c r="MU101" s="205"/>
      <c r="MV101" s="120"/>
      <c r="MW101" s="120"/>
      <c r="MX101" s="120"/>
      <c r="MY101" s="120"/>
      <c r="MZ101" s="120"/>
      <c r="NA101" s="205"/>
      <c r="NB101" s="205"/>
      <c r="NC101" s="205">
        <f t="shared" si="880"/>
        <v>0</v>
      </c>
      <c r="ND101" s="120"/>
      <c r="NE101" s="120"/>
      <c r="NF101" s="120"/>
      <c r="NG101" s="120"/>
      <c r="NH101" s="120"/>
      <c r="NI101" s="205"/>
      <c r="NJ101" s="205"/>
      <c r="NK101" s="205">
        <f t="shared" si="881"/>
        <v>0</v>
      </c>
      <c r="NL101" s="120"/>
      <c r="NM101" s="120"/>
      <c r="NN101" s="120"/>
      <c r="NO101" s="120"/>
      <c r="NP101" s="120"/>
      <c r="NQ101" s="205"/>
      <c r="NR101" s="205"/>
      <c r="NS101" s="205">
        <f t="shared" si="882"/>
        <v>0</v>
      </c>
      <c r="NT101" s="120"/>
      <c r="NU101" s="120"/>
      <c r="NV101" s="120"/>
      <c r="NW101" s="120"/>
      <c r="NX101" s="120"/>
      <c r="NY101" s="205"/>
      <c r="NZ101" s="205"/>
      <c r="OA101" s="205">
        <f t="shared" si="883"/>
        <v>0</v>
      </c>
      <c r="OB101" s="205">
        <f t="shared" si="884"/>
        <v>0</v>
      </c>
      <c r="OC101" s="120"/>
      <c r="OD101" s="120"/>
      <c r="OE101" s="120"/>
      <c r="OF101" s="120"/>
      <c r="OG101" s="120"/>
      <c r="OH101" s="205"/>
      <c r="OI101" s="205"/>
      <c r="OJ101" s="205">
        <f t="shared" si="885"/>
        <v>0</v>
      </c>
      <c r="OK101" s="120"/>
      <c r="OL101" s="120"/>
      <c r="OM101" s="120"/>
      <c r="ON101" s="120"/>
      <c r="OO101" s="120"/>
      <c r="OP101" s="205"/>
      <c r="OQ101" s="205"/>
      <c r="OR101" s="205">
        <f t="shared" si="886"/>
        <v>0</v>
      </c>
      <c r="OS101" s="120"/>
      <c r="OT101" s="120"/>
      <c r="OU101" s="120"/>
      <c r="OV101" s="120"/>
      <c r="OW101" s="120"/>
      <c r="OX101" s="205"/>
      <c r="OY101" s="205"/>
      <c r="OZ101" s="205">
        <f t="shared" si="887"/>
        <v>0</v>
      </c>
      <c r="PA101" s="120"/>
      <c r="PB101" s="120"/>
      <c r="PC101" s="120"/>
      <c r="PD101" s="205"/>
      <c r="PE101" s="217"/>
      <c r="PF101" s="205"/>
      <c r="PG101" s="205"/>
      <c r="PH101" s="205">
        <f t="shared" si="888"/>
        <v>0</v>
      </c>
      <c r="PI101" s="120"/>
      <c r="PJ101" s="120"/>
      <c r="PK101" s="120"/>
      <c r="PL101" s="205"/>
      <c r="PM101" s="217"/>
      <c r="PN101" s="205"/>
      <c r="PO101" s="205"/>
      <c r="PP101" s="205">
        <f t="shared" si="889"/>
        <v>0</v>
      </c>
      <c r="PQ101" s="205">
        <f t="shared" si="890"/>
        <v>0</v>
      </c>
      <c r="PR101" s="207"/>
      <c r="PS101" s="207"/>
      <c r="PT101" s="207"/>
      <c r="PU101" s="207"/>
      <c r="PV101" s="207"/>
      <c r="PW101" s="272"/>
      <c r="PX101" s="272"/>
      <c r="PY101" s="205">
        <f t="shared" si="891"/>
        <v>0</v>
      </c>
      <c r="PZ101" s="207"/>
      <c r="QA101" s="207"/>
      <c r="QB101" s="207"/>
      <c r="QC101" s="207"/>
      <c r="QD101" s="207"/>
      <c r="QE101" s="272"/>
      <c r="QF101" s="272"/>
      <c r="QG101" s="205"/>
      <c r="QH101" s="207"/>
      <c r="QI101" s="207"/>
      <c r="QJ101" s="294"/>
      <c r="QK101" s="207"/>
      <c r="QL101" s="207"/>
      <c r="QM101" s="272"/>
      <c r="QN101" s="272"/>
      <c r="QO101" s="205"/>
      <c r="QP101" s="207"/>
      <c r="QQ101" s="207"/>
      <c r="QR101" s="207"/>
      <c r="QS101" s="207"/>
      <c r="QT101" s="207"/>
      <c r="QU101" s="272"/>
      <c r="QV101" s="272"/>
      <c r="QW101" s="205"/>
      <c r="QX101" s="205"/>
      <c r="QY101" s="207"/>
      <c r="QZ101" s="207"/>
      <c r="RA101" s="207"/>
      <c r="RB101" s="207"/>
      <c r="RC101" s="207"/>
      <c r="RD101" s="272"/>
      <c r="RE101" s="272"/>
      <c r="RF101" s="205"/>
      <c r="RG101" s="207"/>
      <c r="RH101" s="207"/>
      <c r="RI101" s="207"/>
      <c r="RJ101" s="207"/>
      <c r="RK101" s="207"/>
      <c r="RL101" s="272"/>
      <c r="RM101" s="272"/>
      <c r="RN101" s="205"/>
      <c r="RO101" s="272"/>
      <c r="RP101" s="272"/>
      <c r="RQ101" s="272"/>
      <c r="RR101" s="272"/>
      <c r="RS101" s="272"/>
      <c r="RT101" s="272"/>
      <c r="RU101" s="272"/>
      <c r="RV101" s="205"/>
      <c r="RW101" s="207"/>
      <c r="RX101" s="207"/>
      <c r="RY101" s="207"/>
      <c r="RZ101" s="207"/>
      <c r="SA101" s="272"/>
      <c r="SB101" s="272"/>
      <c r="SC101" s="272"/>
      <c r="SD101" s="205"/>
      <c r="SE101" s="205"/>
      <c r="SF101" s="207"/>
      <c r="SG101" s="207"/>
      <c r="SH101" s="207"/>
      <c r="SI101" s="207"/>
      <c r="SJ101" s="207"/>
      <c r="SK101" s="272"/>
      <c r="SL101" s="272"/>
      <c r="SM101" s="205"/>
      <c r="SN101" s="207"/>
      <c r="SO101" s="207"/>
      <c r="SP101" s="207"/>
      <c r="SQ101" s="207"/>
      <c r="SR101" s="207"/>
      <c r="SS101" s="272"/>
      <c r="ST101" s="272"/>
      <c r="SU101" s="205"/>
      <c r="SV101" s="207"/>
      <c r="SW101" s="207"/>
      <c r="SX101" s="207"/>
      <c r="SY101" s="207"/>
      <c r="SZ101" s="207"/>
      <c r="TA101" s="272"/>
      <c r="TB101" s="272"/>
      <c r="TC101" s="205"/>
      <c r="TD101" s="207"/>
      <c r="TE101" s="207"/>
      <c r="TF101" s="207"/>
      <c r="TG101" s="207"/>
      <c r="TH101" s="207"/>
      <c r="TI101" s="272"/>
      <c r="TJ101" s="272"/>
      <c r="TK101" s="205"/>
      <c r="TL101" s="207"/>
      <c r="TM101" s="207"/>
      <c r="TN101" s="207"/>
      <c r="TO101" s="207"/>
      <c r="TP101" s="272"/>
      <c r="TQ101" s="272"/>
      <c r="TR101" s="272"/>
      <c r="TS101" s="205"/>
      <c r="TT101" s="205"/>
      <c r="TU101" s="272"/>
      <c r="TV101" s="207"/>
      <c r="TW101" s="207"/>
      <c r="TX101" s="207"/>
      <c r="TY101" s="207"/>
      <c r="TZ101" s="272"/>
      <c r="UA101" s="272"/>
      <c r="UB101" s="205">
        <f t="shared" si="907"/>
        <v>0</v>
      </c>
      <c r="UC101" s="207"/>
      <c r="UD101" s="207"/>
      <c r="UE101" s="207"/>
      <c r="UF101" s="207"/>
      <c r="UG101" s="207"/>
      <c r="UH101" s="272"/>
      <c r="UI101" s="272"/>
      <c r="UJ101" s="205">
        <f t="shared" si="908"/>
        <v>0</v>
      </c>
      <c r="UK101" s="207"/>
      <c r="UL101" s="207"/>
      <c r="UM101" s="207"/>
      <c r="UN101" s="207"/>
      <c r="UO101" s="207"/>
      <c r="UP101" s="272"/>
      <c r="UQ101" s="272"/>
      <c r="UR101" s="205">
        <f t="shared" si="909"/>
        <v>0</v>
      </c>
      <c r="US101" s="207"/>
      <c r="UT101" s="207"/>
      <c r="UU101" s="207"/>
      <c r="UV101" s="207"/>
      <c r="UW101" s="272"/>
      <c r="UX101" s="272"/>
      <c r="UY101" s="272"/>
      <c r="UZ101" s="205">
        <f t="shared" si="910"/>
        <v>0</v>
      </c>
      <c r="VA101" s="205">
        <f t="shared" si="911"/>
        <v>0</v>
      </c>
      <c r="VB101" s="207"/>
      <c r="VC101" s="207"/>
      <c r="VD101" s="207"/>
      <c r="VE101" s="207"/>
      <c r="VF101" s="207"/>
      <c r="VG101" s="272"/>
      <c r="VH101" s="272"/>
      <c r="VI101" s="205">
        <f t="shared" si="912"/>
        <v>0</v>
      </c>
      <c r="VJ101" s="207"/>
      <c r="VK101" s="207"/>
      <c r="VL101" s="207"/>
      <c r="VM101" s="207"/>
      <c r="VN101" s="207"/>
      <c r="VO101" s="272"/>
      <c r="VP101" s="272"/>
      <c r="VQ101" s="205">
        <f t="shared" si="913"/>
        <v>0</v>
      </c>
      <c r="VR101" s="207"/>
      <c r="VS101" s="207"/>
      <c r="VT101" s="207"/>
      <c r="VU101" s="207"/>
      <c r="VV101" s="207"/>
      <c r="VW101" s="272"/>
      <c r="VX101" s="272"/>
      <c r="VY101" s="205">
        <f t="shared" si="914"/>
        <v>0</v>
      </c>
      <c r="VZ101" s="207"/>
      <c r="WA101" s="207"/>
      <c r="WB101" s="207"/>
      <c r="WC101" s="207"/>
      <c r="WD101" s="207"/>
      <c r="WE101" s="272"/>
      <c r="WF101" s="272"/>
      <c r="WG101" s="205">
        <f t="shared" si="915"/>
        <v>0</v>
      </c>
      <c r="WH101" s="205">
        <f t="shared" si="916"/>
        <v>0</v>
      </c>
      <c r="WI101" s="207"/>
      <c r="WJ101" s="207"/>
      <c r="WK101" s="207"/>
      <c r="WL101" s="207"/>
      <c r="WM101" s="207"/>
      <c r="WN101" s="272"/>
      <c r="WO101" s="272"/>
      <c r="WP101" s="205">
        <f t="shared" si="917"/>
        <v>0</v>
      </c>
      <c r="WQ101" s="207"/>
      <c r="WR101" s="207"/>
      <c r="WS101" s="207"/>
      <c r="WT101" s="207"/>
      <c r="WU101" s="207"/>
      <c r="WV101" s="272"/>
      <c r="WW101" s="272"/>
      <c r="WX101" s="205">
        <f t="shared" si="918"/>
        <v>0</v>
      </c>
      <c r="WY101" s="207"/>
      <c r="WZ101" s="207"/>
      <c r="XA101" s="207"/>
      <c r="XB101" s="207"/>
      <c r="XC101" s="272"/>
      <c r="XD101" s="272"/>
      <c r="XE101" s="272"/>
      <c r="XF101" s="205">
        <f t="shared" si="919"/>
        <v>0</v>
      </c>
      <c r="XG101" s="207"/>
      <c r="XH101" s="207"/>
      <c r="XI101" s="207"/>
      <c r="XJ101" s="207"/>
      <c r="XK101" s="207"/>
      <c r="XL101" s="272"/>
      <c r="XM101" s="272"/>
      <c r="XN101" s="205">
        <f t="shared" si="920"/>
        <v>0</v>
      </c>
      <c r="XO101" s="207"/>
      <c r="XP101" s="207"/>
      <c r="XQ101" s="207"/>
      <c r="XR101" s="207"/>
      <c r="XS101" s="207"/>
      <c r="XT101" s="272"/>
      <c r="XU101" s="272"/>
      <c r="XV101" s="205">
        <f t="shared" si="921"/>
        <v>0</v>
      </c>
      <c r="XW101" s="205">
        <f t="shared" si="922"/>
        <v>0</v>
      </c>
      <c r="XX101" s="207"/>
      <c r="XY101" s="207"/>
      <c r="XZ101" s="207"/>
      <c r="YA101" s="207"/>
      <c r="YB101" s="207"/>
      <c r="YC101" s="272"/>
      <c r="YD101" s="272"/>
      <c r="YE101" s="205">
        <f t="shared" si="923"/>
        <v>0</v>
      </c>
      <c r="YF101" s="207"/>
      <c r="YG101" s="207"/>
      <c r="YH101" s="207"/>
      <c r="YI101" s="207"/>
      <c r="YJ101" s="207"/>
      <c r="YK101" s="272"/>
      <c r="YL101" s="272"/>
      <c r="YM101" s="205">
        <f t="shared" si="924"/>
        <v>0</v>
      </c>
      <c r="YN101" s="207"/>
      <c r="YO101" s="207"/>
      <c r="YP101" s="207"/>
      <c r="YQ101" s="207"/>
      <c r="YR101" s="207"/>
      <c r="YS101" s="272"/>
      <c r="YT101" s="272"/>
      <c r="YU101" s="205">
        <f t="shared" si="925"/>
        <v>0</v>
      </c>
      <c r="YV101" s="207"/>
      <c r="YW101" s="207"/>
      <c r="YX101" s="207"/>
      <c r="YY101" s="207"/>
      <c r="YZ101" s="207"/>
      <c r="ZA101" s="272"/>
      <c r="ZB101" s="272"/>
      <c r="ZC101" s="205">
        <f t="shared" si="926"/>
        <v>0</v>
      </c>
      <c r="ZD101" s="205">
        <f t="shared" si="927"/>
        <v>0</v>
      </c>
      <c r="ZE101" s="207"/>
      <c r="ZF101" s="207"/>
      <c r="ZG101" s="207"/>
      <c r="ZH101" s="207"/>
      <c r="ZI101" s="207"/>
      <c r="ZJ101" s="272"/>
      <c r="ZK101" s="272"/>
      <c r="ZL101" s="205">
        <f t="shared" si="928"/>
        <v>0</v>
      </c>
      <c r="ZM101" s="207"/>
      <c r="ZN101" s="207"/>
      <c r="ZO101" s="207"/>
      <c r="ZP101" s="207"/>
      <c r="ZQ101" s="207"/>
      <c r="ZR101" s="272"/>
      <c r="ZS101" s="272"/>
      <c r="ZT101" s="205">
        <f t="shared" si="929"/>
        <v>0</v>
      </c>
      <c r="ZU101" s="207"/>
      <c r="ZV101" s="207"/>
      <c r="ZW101" s="207"/>
      <c r="ZX101" s="207"/>
      <c r="ZY101" s="207"/>
      <c r="ZZ101" s="272"/>
      <c r="AAA101" s="272"/>
      <c r="AAB101" s="205">
        <f t="shared" si="930"/>
        <v>0</v>
      </c>
      <c r="AAC101" s="207"/>
      <c r="AAD101" s="207"/>
      <c r="AAE101" s="207"/>
      <c r="AAF101" s="207"/>
      <c r="AAG101" s="207"/>
      <c r="AAH101" s="272"/>
      <c r="AAI101" s="272"/>
      <c r="AAJ101" s="205">
        <f t="shared" si="931"/>
        <v>0</v>
      </c>
      <c r="AAK101" s="207"/>
      <c r="AAL101" s="207"/>
      <c r="AAM101" s="207"/>
      <c r="AAN101" s="207"/>
      <c r="AAO101" s="207"/>
      <c r="AAP101" s="272"/>
      <c r="AAQ101" s="272"/>
      <c r="AAR101" s="205">
        <f t="shared" si="932"/>
        <v>0</v>
      </c>
      <c r="AAS101" s="205">
        <f t="shared" si="933"/>
        <v>0</v>
      </c>
    </row>
    <row r="102" spans="1:721" ht="69.95" customHeight="1">
      <c r="A102" s="117">
        <v>300</v>
      </c>
      <c r="B102" s="151">
        <v>3630101429</v>
      </c>
      <c r="C102" s="323" t="s">
        <v>741</v>
      </c>
      <c r="D102" s="152" t="s">
        <v>25</v>
      </c>
      <c r="E102" s="130" t="s">
        <v>4</v>
      </c>
      <c r="F102" s="120"/>
      <c r="G102" s="120"/>
      <c r="H102" s="120"/>
      <c r="I102" s="120"/>
      <c r="J102" s="120"/>
      <c r="K102" s="209"/>
      <c r="L102" s="205"/>
      <c r="M102" s="205">
        <f t="shared" si="1048"/>
        <v>0</v>
      </c>
      <c r="N102" s="120"/>
      <c r="O102" s="120"/>
      <c r="P102" s="120"/>
      <c r="Q102" s="120"/>
      <c r="R102" s="120"/>
      <c r="S102" s="209"/>
      <c r="T102" s="205"/>
      <c r="U102" s="205">
        <f t="shared" si="1049"/>
        <v>0</v>
      </c>
      <c r="V102" s="120"/>
      <c r="W102" s="120"/>
      <c r="X102" s="120"/>
      <c r="Y102" s="120"/>
      <c r="Z102" s="120"/>
      <c r="AA102" s="209"/>
      <c r="AB102" s="205"/>
      <c r="AC102" s="205">
        <f t="shared" si="1050"/>
        <v>0</v>
      </c>
      <c r="AD102" s="205"/>
      <c r="AE102" s="205"/>
      <c r="AF102" s="205"/>
      <c r="AG102" s="205"/>
      <c r="AH102" s="205"/>
      <c r="AI102" s="209"/>
      <c r="AJ102" s="205"/>
      <c r="AK102" s="205">
        <f t="shared" si="1051"/>
        <v>0</v>
      </c>
      <c r="AL102" s="205" t="e">
        <f>SUM(#REF!,M102,U102,AC102,AD102:AH102)</f>
        <v>#REF!</v>
      </c>
      <c r="AM102" s="120"/>
      <c r="AN102" s="120"/>
      <c r="AO102" s="120"/>
      <c r="AP102" s="120"/>
      <c r="AQ102" s="120"/>
      <c r="AR102" s="209"/>
      <c r="AS102" s="205"/>
      <c r="AT102" s="205">
        <f t="shared" si="1052"/>
        <v>0</v>
      </c>
      <c r="AU102" s="201">
        <v>300</v>
      </c>
      <c r="AV102" s="120"/>
      <c r="AW102" s="120"/>
      <c r="AX102" s="120"/>
      <c r="AY102" s="120"/>
      <c r="AZ102" s="209"/>
      <c r="BA102" s="205"/>
      <c r="BB102" s="205">
        <f t="shared" si="1053"/>
        <v>300</v>
      </c>
      <c r="BC102" s="120"/>
      <c r="BD102" s="120"/>
      <c r="BE102" s="120"/>
      <c r="BF102" s="120"/>
      <c r="BG102" s="120"/>
      <c r="BH102" s="209"/>
      <c r="BI102" s="205"/>
      <c r="BJ102" s="205">
        <f t="shared" si="1054"/>
        <v>0</v>
      </c>
      <c r="BK102" s="120"/>
      <c r="BL102" s="120"/>
      <c r="BM102" s="120"/>
      <c r="BN102" s="120"/>
      <c r="BO102" s="205"/>
      <c r="BP102" s="209"/>
      <c r="BQ102" s="205"/>
      <c r="BR102" s="205">
        <f t="shared" si="1055"/>
        <v>0</v>
      </c>
      <c r="BS102" s="205">
        <f t="shared" si="832"/>
        <v>300</v>
      </c>
      <c r="BT102" s="120"/>
      <c r="BU102" s="207"/>
      <c r="BV102" s="120"/>
      <c r="BW102" s="120"/>
      <c r="BX102" s="120"/>
      <c r="BY102" s="209"/>
      <c r="BZ102" s="205"/>
      <c r="CA102" s="205">
        <f t="shared" si="1056"/>
        <v>0</v>
      </c>
      <c r="CB102" s="120"/>
      <c r="CC102" s="120" t="s">
        <v>714</v>
      </c>
      <c r="CD102" s="120"/>
      <c r="CE102" s="120"/>
      <c r="CF102" s="120"/>
      <c r="CG102" s="209"/>
      <c r="CH102" s="205"/>
      <c r="CI102" s="205">
        <f t="shared" si="1057"/>
        <v>0</v>
      </c>
      <c r="CJ102" s="120"/>
      <c r="CK102" s="120"/>
      <c r="CL102" s="120"/>
      <c r="CM102" s="120"/>
      <c r="CN102" s="120"/>
      <c r="CO102" s="209"/>
      <c r="CP102" s="205"/>
      <c r="CQ102" s="205">
        <f t="shared" si="1058"/>
        <v>0</v>
      </c>
      <c r="CR102" s="120"/>
      <c r="CS102" s="120"/>
      <c r="CT102" s="120"/>
      <c r="CU102" s="120"/>
      <c r="CV102" s="120"/>
      <c r="CW102" s="209"/>
      <c r="CX102" s="205"/>
      <c r="CY102" s="205">
        <f t="shared" si="1059"/>
        <v>0</v>
      </c>
      <c r="CZ102" s="120"/>
      <c r="DA102" s="120"/>
      <c r="DB102" s="120"/>
      <c r="DC102" s="205"/>
      <c r="DD102" s="205"/>
      <c r="DE102" s="209"/>
      <c r="DF102" s="205"/>
      <c r="DG102" s="205">
        <f t="shared" si="1060"/>
        <v>0</v>
      </c>
      <c r="DH102" s="205">
        <f t="shared" si="838"/>
        <v>0</v>
      </c>
      <c r="DI102" s="250">
        <v>300</v>
      </c>
      <c r="DJ102" s="120"/>
      <c r="DK102" s="207"/>
      <c r="DL102" s="120"/>
      <c r="DM102" s="120"/>
      <c r="DN102" s="209"/>
      <c r="DO102" s="205"/>
      <c r="DP102" s="205">
        <f t="shared" si="839"/>
        <v>300</v>
      </c>
      <c r="DQ102" s="120"/>
      <c r="DR102" s="120"/>
      <c r="DS102" s="120"/>
      <c r="DT102" s="120"/>
      <c r="DU102" s="120"/>
      <c r="DV102" s="209"/>
      <c r="DW102" s="205"/>
      <c r="DX102" s="205">
        <f t="shared" si="840"/>
        <v>0</v>
      </c>
      <c r="DY102" s="120"/>
      <c r="DZ102" s="120"/>
      <c r="EA102" s="120"/>
      <c r="EB102" s="120"/>
      <c r="EC102" s="120"/>
      <c r="ED102" s="209"/>
      <c r="EE102" s="205"/>
      <c r="EF102" s="205">
        <f t="shared" si="841"/>
        <v>0</v>
      </c>
      <c r="EG102" s="120"/>
      <c r="EH102" s="120"/>
      <c r="EI102" s="120"/>
      <c r="EJ102" s="205"/>
      <c r="EK102" s="205"/>
      <c r="EL102" s="209"/>
      <c r="EM102" s="205"/>
      <c r="EN102" s="205">
        <f t="shared" si="842"/>
        <v>0</v>
      </c>
      <c r="EO102" s="205">
        <f t="shared" si="843"/>
        <v>300</v>
      </c>
      <c r="EP102" s="120"/>
      <c r="EQ102" s="120"/>
      <c r="ER102" s="120"/>
      <c r="ES102" s="120"/>
      <c r="ET102" s="120"/>
      <c r="EU102" s="209"/>
      <c r="EV102" s="205"/>
      <c r="EW102" s="205">
        <f t="shared" si="844"/>
        <v>0</v>
      </c>
      <c r="EX102" s="120"/>
      <c r="EY102" s="120"/>
      <c r="EZ102" s="120"/>
      <c r="FA102" s="120"/>
      <c r="FB102" s="120"/>
      <c r="FC102" s="209"/>
      <c r="FD102" s="205"/>
      <c r="FE102" s="205">
        <f t="shared" si="845"/>
        <v>0</v>
      </c>
      <c r="FF102" s="195">
        <v>300</v>
      </c>
      <c r="FG102" s="120"/>
      <c r="FH102" s="120"/>
      <c r="FI102" s="120"/>
      <c r="FJ102" s="120"/>
      <c r="FK102" s="209"/>
      <c r="FL102" s="205"/>
      <c r="FM102" s="205">
        <f t="shared" si="846"/>
        <v>300</v>
      </c>
      <c r="FN102" s="120"/>
      <c r="FO102" s="120"/>
      <c r="FP102" s="120"/>
      <c r="FQ102" s="120"/>
      <c r="FR102" s="205"/>
      <c r="FS102" s="209"/>
      <c r="FT102" s="205"/>
      <c r="FU102" s="205">
        <f t="shared" si="847"/>
        <v>0</v>
      </c>
      <c r="FV102" s="205">
        <f t="shared" si="848"/>
        <v>300</v>
      </c>
      <c r="FW102" s="120"/>
      <c r="FX102" s="120"/>
      <c r="FY102" s="120"/>
      <c r="FZ102" s="120"/>
      <c r="GA102" s="120"/>
      <c r="GB102" s="209"/>
      <c r="GC102" s="205"/>
      <c r="GD102" s="205">
        <f t="shared" si="849"/>
        <v>0</v>
      </c>
      <c r="GE102" s="120"/>
      <c r="GF102" s="120"/>
      <c r="GG102" s="120"/>
      <c r="GH102" s="120"/>
      <c r="GI102" s="120"/>
      <c r="GJ102" s="209"/>
      <c r="GK102" s="205"/>
      <c r="GL102" s="205">
        <f t="shared" si="850"/>
        <v>0</v>
      </c>
      <c r="GM102" s="120"/>
      <c r="GN102" s="120"/>
      <c r="GO102" s="120"/>
      <c r="GP102" s="120"/>
      <c r="GQ102" s="120"/>
      <c r="GR102" s="209"/>
      <c r="GS102" s="205"/>
      <c r="GT102" s="205">
        <f t="shared" si="851"/>
        <v>0</v>
      </c>
      <c r="GU102" s="120"/>
      <c r="GV102" s="120"/>
      <c r="GW102" s="123">
        <v>500</v>
      </c>
      <c r="GX102" s="120"/>
      <c r="GY102" s="120"/>
      <c r="GZ102" s="209"/>
      <c r="HA102" s="205"/>
      <c r="HB102" s="205">
        <f t="shared" si="852"/>
        <v>500</v>
      </c>
      <c r="HC102" s="120"/>
      <c r="HD102" s="120"/>
      <c r="HE102" s="120"/>
      <c r="HF102" s="120"/>
      <c r="HG102" s="120"/>
      <c r="HH102" s="209"/>
      <c r="HI102" s="205"/>
      <c r="HJ102" s="205">
        <f t="shared" si="853"/>
        <v>0</v>
      </c>
      <c r="HK102" s="205">
        <f t="shared" si="854"/>
        <v>500</v>
      </c>
      <c r="HL102" s="124"/>
      <c r="HM102" s="120"/>
      <c r="HN102" s="120"/>
      <c r="HO102" s="120"/>
      <c r="HP102" s="120"/>
      <c r="HQ102" s="205"/>
      <c r="HR102" s="205"/>
      <c r="HS102" s="205">
        <f t="shared" si="934"/>
        <v>0</v>
      </c>
      <c r="HT102" s="120"/>
      <c r="HU102" s="120"/>
      <c r="HV102" s="120"/>
      <c r="HW102" s="120"/>
      <c r="HX102" s="120"/>
      <c r="HY102" s="205"/>
      <c r="HZ102" s="205"/>
      <c r="IA102" s="205">
        <f t="shared" si="935"/>
        <v>0</v>
      </c>
      <c r="IB102" s="120"/>
      <c r="IC102" s="120"/>
      <c r="ID102" s="120"/>
      <c r="IE102" s="120"/>
      <c r="IF102" s="120"/>
      <c r="IG102" s="205"/>
      <c r="IH102" s="205"/>
      <c r="II102" s="205">
        <f t="shared" si="936"/>
        <v>0</v>
      </c>
      <c r="IJ102" s="120"/>
      <c r="IK102" s="120"/>
      <c r="IL102" s="120"/>
      <c r="IM102" s="120"/>
      <c r="IN102" s="120"/>
      <c r="IO102" s="205"/>
      <c r="IP102" s="205"/>
      <c r="IQ102" s="205">
        <f t="shared" si="937"/>
        <v>0</v>
      </c>
      <c r="IR102" s="205">
        <f t="shared" si="938"/>
        <v>0</v>
      </c>
      <c r="IS102" s="120"/>
      <c r="IT102" s="120"/>
      <c r="IU102" s="120"/>
      <c r="IV102" s="120"/>
      <c r="IW102" s="120"/>
      <c r="IX102" s="205"/>
      <c r="IY102" s="205"/>
      <c r="IZ102" s="205">
        <f t="shared" si="939"/>
        <v>0</v>
      </c>
      <c r="JA102" s="120"/>
      <c r="JB102" s="120"/>
      <c r="JC102" s="120"/>
      <c r="JD102" s="120"/>
      <c r="JE102" s="120"/>
      <c r="JF102" s="205"/>
      <c r="JG102" s="205"/>
      <c r="JH102" s="205">
        <f t="shared" si="940"/>
        <v>0</v>
      </c>
      <c r="JI102" s="120"/>
      <c r="JJ102" s="120"/>
      <c r="JK102" s="120"/>
      <c r="JL102" s="124">
        <v>276</v>
      </c>
      <c r="JM102" s="120"/>
      <c r="JN102" s="205"/>
      <c r="JO102" s="205"/>
      <c r="JP102" s="205">
        <f t="shared" si="941"/>
        <v>276</v>
      </c>
      <c r="JQ102" s="120"/>
      <c r="JR102" s="120"/>
      <c r="JS102" s="120"/>
      <c r="JT102" s="120"/>
      <c r="JU102" s="120"/>
      <c r="JV102" s="205"/>
      <c r="JW102" s="205"/>
      <c r="JX102" s="205">
        <f t="shared" si="942"/>
        <v>0</v>
      </c>
      <c r="JY102" s="205">
        <f t="shared" si="943"/>
        <v>276</v>
      </c>
      <c r="JZ102" s="120"/>
      <c r="KA102" s="120"/>
      <c r="KB102" s="120"/>
      <c r="KC102" s="120"/>
      <c r="KD102" s="120"/>
      <c r="KE102" s="205"/>
      <c r="KF102" s="205"/>
      <c r="KG102" s="205">
        <f t="shared" si="944"/>
        <v>0</v>
      </c>
      <c r="KH102" s="120"/>
      <c r="KI102" s="120"/>
      <c r="KJ102" s="120"/>
      <c r="KK102" s="120"/>
      <c r="KL102" s="120"/>
      <c r="KM102" s="205"/>
      <c r="KN102" s="205"/>
      <c r="KO102" s="205">
        <f t="shared" si="945"/>
        <v>0</v>
      </c>
      <c r="KP102" s="120"/>
      <c r="KQ102" s="120"/>
      <c r="KR102" s="120"/>
      <c r="KS102" s="120"/>
      <c r="KT102" s="120"/>
      <c r="KU102" s="205"/>
      <c r="KV102" s="205"/>
      <c r="KW102" s="205">
        <f t="shared" si="946"/>
        <v>0</v>
      </c>
      <c r="KX102" s="120"/>
      <c r="KY102" s="120"/>
      <c r="KZ102" s="195">
        <v>308</v>
      </c>
      <c r="LA102" s="120"/>
      <c r="LB102" s="120"/>
      <c r="LC102" s="205"/>
      <c r="LD102" s="205"/>
      <c r="LE102" s="205">
        <f t="shared" si="947"/>
        <v>308</v>
      </c>
      <c r="LF102" s="205"/>
      <c r="LG102" s="120"/>
      <c r="LH102" s="120"/>
      <c r="LI102" s="120"/>
      <c r="LJ102" s="120"/>
      <c r="LK102" s="205"/>
      <c r="LL102" s="205"/>
      <c r="LM102" s="205">
        <f t="shared" si="948"/>
        <v>0</v>
      </c>
      <c r="LN102" s="205">
        <f t="shared" si="949"/>
        <v>308</v>
      </c>
      <c r="LO102" s="205"/>
      <c r="LP102" s="120"/>
      <c r="LQ102" s="120"/>
      <c r="LR102" s="120"/>
      <c r="LS102" s="205"/>
      <c r="LT102" s="205"/>
      <c r="LU102" s="205"/>
      <c r="LV102" s="205">
        <f t="shared" si="950"/>
        <v>0</v>
      </c>
      <c r="LW102" s="120"/>
      <c r="LX102" s="120"/>
      <c r="LY102" s="120"/>
      <c r="LZ102" s="120"/>
      <c r="MA102" s="120"/>
      <c r="MB102" s="205"/>
      <c r="MC102" s="205"/>
      <c r="MD102" s="205">
        <f t="shared" si="951"/>
        <v>0</v>
      </c>
      <c r="ME102" s="120"/>
      <c r="MF102" s="120"/>
      <c r="MG102" s="201">
        <v>488</v>
      </c>
      <c r="MH102" s="120"/>
      <c r="MI102" s="205"/>
      <c r="MJ102" s="205"/>
      <c r="MK102" s="205"/>
      <c r="ML102" s="205">
        <f t="shared" si="952"/>
        <v>488</v>
      </c>
      <c r="MM102" s="120"/>
      <c r="MN102" s="120"/>
      <c r="MO102" s="120"/>
      <c r="MP102" s="120"/>
      <c r="MQ102" s="120"/>
      <c r="MR102" s="205"/>
      <c r="MS102" s="205"/>
      <c r="MT102" s="205">
        <f t="shared" si="953"/>
        <v>0</v>
      </c>
      <c r="MU102" s="205">
        <f t="shared" si="954"/>
        <v>488</v>
      </c>
      <c r="MV102" s="120"/>
      <c r="MW102" s="120"/>
      <c r="MX102" s="120"/>
      <c r="MY102" s="120"/>
      <c r="MZ102" s="120"/>
      <c r="NA102" s="205"/>
      <c r="NB102" s="205"/>
      <c r="NC102" s="205">
        <f t="shared" si="880"/>
        <v>0</v>
      </c>
      <c r="ND102" s="120"/>
      <c r="NE102" s="120"/>
      <c r="NF102" s="120"/>
      <c r="NG102" s="120"/>
      <c r="NH102" s="120"/>
      <c r="NI102" s="205"/>
      <c r="NJ102" s="205"/>
      <c r="NK102" s="205">
        <f t="shared" si="881"/>
        <v>0</v>
      </c>
      <c r="NL102" s="120"/>
      <c r="NM102" s="120"/>
      <c r="NN102" s="120"/>
      <c r="NO102" s="120"/>
      <c r="NP102" s="120"/>
      <c r="NQ102" s="205"/>
      <c r="NR102" s="205"/>
      <c r="NS102" s="205">
        <f t="shared" si="882"/>
        <v>0</v>
      </c>
      <c r="NT102" s="120"/>
      <c r="NU102" s="120"/>
      <c r="NV102" s="120"/>
      <c r="NW102" s="120"/>
      <c r="NX102" s="120"/>
      <c r="NY102" s="205"/>
      <c r="NZ102" s="205"/>
      <c r="OA102" s="205">
        <f t="shared" si="883"/>
        <v>0</v>
      </c>
      <c r="OB102" s="205">
        <f t="shared" si="884"/>
        <v>0</v>
      </c>
      <c r="OC102" s="120"/>
      <c r="OD102" s="120"/>
      <c r="OE102" s="120"/>
      <c r="OF102" s="120"/>
      <c r="OG102" s="120"/>
      <c r="OH102" s="205"/>
      <c r="OI102" s="205"/>
      <c r="OJ102" s="205">
        <f t="shared" si="885"/>
        <v>0</v>
      </c>
      <c r="OK102" s="195">
        <v>240</v>
      </c>
      <c r="OL102" s="120"/>
      <c r="OM102" s="120"/>
      <c r="ON102" s="120"/>
      <c r="OO102" s="120"/>
      <c r="OP102" s="205"/>
      <c r="OQ102" s="205"/>
      <c r="OR102" s="205">
        <f t="shared" si="886"/>
        <v>240</v>
      </c>
      <c r="OS102" s="120"/>
      <c r="OT102" s="120"/>
      <c r="OU102" s="120"/>
      <c r="OV102" s="120"/>
      <c r="OW102" s="120"/>
      <c r="OX102" s="205"/>
      <c r="OY102" s="205"/>
      <c r="OZ102" s="205">
        <f t="shared" si="887"/>
        <v>0</v>
      </c>
      <c r="PA102" s="120"/>
      <c r="PB102" s="120"/>
      <c r="PC102" s="120"/>
      <c r="PD102" s="205"/>
      <c r="PE102" s="217"/>
      <c r="PF102" s="205"/>
      <c r="PG102" s="205"/>
      <c r="PH102" s="205">
        <f t="shared" si="888"/>
        <v>0</v>
      </c>
      <c r="PI102" s="120"/>
      <c r="PJ102" s="120"/>
      <c r="PK102" s="120"/>
      <c r="PL102" s="205"/>
      <c r="PM102" s="217"/>
      <c r="PN102" s="205"/>
      <c r="PO102" s="205"/>
      <c r="PP102" s="205">
        <f t="shared" si="889"/>
        <v>0</v>
      </c>
      <c r="PQ102" s="205">
        <f t="shared" si="890"/>
        <v>240</v>
      </c>
      <c r="PR102" s="207"/>
      <c r="PS102" s="207"/>
      <c r="PT102" s="207"/>
      <c r="PU102" s="207"/>
      <c r="PV102" s="207"/>
      <c r="PW102" s="272"/>
      <c r="PX102" s="272"/>
      <c r="PY102" s="205">
        <f t="shared" si="891"/>
        <v>0</v>
      </c>
      <c r="PZ102" s="207"/>
      <c r="QA102" s="195">
        <v>356</v>
      </c>
      <c r="QB102" s="207"/>
      <c r="QC102" s="207"/>
      <c r="QD102" s="207"/>
      <c r="QE102" s="272"/>
      <c r="QF102" s="272"/>
      <c r="QG102" s="205">
        <f t="shared" si="892"/>
        <v>356</v>
      </c>
      <c r="QH102" s="207"/>
      <c r="QI102" s="207"/>
      <c r="QJ102" s="294"/>
      <c r="QK102" s="207"/>
      <c r="QL102" s="207"/>
      <c r="QM102" s="272"/>
      <c r="QN102" s="272"/>
      <c r="QO102" s="205">
        <f t="shared" si="893"/>
        <v>0</v>
      </c>
      <c r="QP102" s="207"/>
      <c r="QQ102" s="207"/>
      <c r="QR102" s="207"/>
      <c r="QS102" s="207"/>
      <c r="QT102" s="207"/>
      <c r="QU102" s="272"/>
      <c r="QV102" s="272"/>
      <c r="QW102" s="205">
        <f t="shared" si="894"/>
        <v>0</v>
      </c>
      <c r="QX102" s="205">
        <f t="shared" si="895"/>
        <v>356</v>
      </c>
      <c r="QY102" s="201">
        <v>500</v>
      </c>
      <c r="QZ102" s="207"/>
      <c r="RA102" s="207"/>
      <c r="RB102" s="207"/>
      <c r="RC102" s="207"/>
      <c r="RD102" s="272"/>
      <c r="RE102" s="272"/>
      <c r="RF102" s="205">
        <f t="shared" si="896"/>
        <v>500</v>
      </c>
      <c r="RG102" s="207"/>
      <c r="RH102" s="207"/>
      <c r="RI102" s="207"/>
      <c r="RJ102" s="207"/>
      <c r="RK102" s="207"/>
      <c r="RL102" s="272"/>
      <c r="RM102" s="272"/>
      <c r="RN102" s="205">
        <f t="shared" si="897"/>
        <v>0</v>
      </c>
      <c r="RO102" s="272"/>
      <c r="RP102" s="272"/>
      <c r="RQ102" s="272"/>
      <c r="RR102" s="272"/>
      <c r="RS102" s="272"/>
      <c r="RT102" s="272"/>
      <c r="RU102" s="272"/>
      <c r="RV102" s="205">
        <f t="shared" si="898"/>
        <v>0</v>
      </c>
      <c r="RW102" s="207"/>
      <c r="RX102" s="207"/>
      <c r="RY102" s="207"/>
      <c r="RZ102" s="207"/>
      <c r="SA102" s="272"/>
      <c r="SB102" s="272"/>
      <c r="SC102" s="272"/>
      <c r="SD102" s="205">
        <f t="shared" si="899"/>
        <v>0</v>
      </c>
      <c r="SE102" s="205">
        <f t="shared" si="900"/>
        <v>500</v>
      </c>
      <c r="SF102" s="207"/>
      <c r="SG102" s="207"/>
      <c r="SH102" s="207"/>
      <c r="SI102" s="207"/>
      <c r="SJ102" s="207"/>
      <c r="SK102" s="272"/>
      <c r="SL102" s="272"/>
      <c r="SM102" s="205">
        <f t="shared" si="901"/>
        <v>0</v>
      </c>
      <c r="SN102" s="207"/>
      <c r="SO102" s="207"/>
      <c r="SP102" s="207"/>
      <c r="SQ102" s="207"/>
      <c r="SR102" s="207"/>
      <c r="SS102" s="272"/>
      <c r="ST102" s="272"/>
      <c r="SU102" s="205">
        <f t="shared" si="902"/>
        <v>0</v>
      </c>
      <c r="SV102" s="207"/>
      <c r="SW102" s="217">
        <v>240</v>
      </c>
      <c r="SX102" s="207"/>
      <c r="SY102" s="207"/>
      <c r="SZ102" s="207"/>
      <c r="TA102" s="272"/>
      <c r="TB102" s="272"/>
      <c r="TC102" s="205">
        <f t="shared" si="903"/>
        <v>240</v>
      </c>
      <c r="TD102" s="207"/>
      <c r="TE102" s="207"/>
      <c r="TF102" s="207"/>
      <c r="TG102" s="207"/>
      <c r="TH102" s="207"/>
      <c r="TI102" s="272"/>
      <c r="TJ102" s="272"/>
      <c r="TK102" s="205">
        <f t="shared" si="904"/>
        <v>0</v>
      </c>
      <c r="TL102" s="207"/>
      <c r="TM102" s="207"/>
      <c r="TN102" s="207"/>
      <c r="TO102" s="207"/>
      <c r="TP102" s="272"/>
      <c r="TQ102" s="272"/>
      <c r="TR102" s="272"/>
      <c r="TS102" s="205">
        <f t="shared" si="905"/>
        <v>0</v>
      </c>
      <c r="TT102" s="205">
        <f t="shared" si="906"/>
        <v>240</v>
      </c>
      <c r="TU102" s="272"/>
      <c r="TV102" s="207"/>
      <c r="TW102" s="207"/>
      <c r="TX102" s="207"/>
      <c r="TY102" s="207"/>
      <c r="TZ102" s="272"/>
      <c r="UA102" s="272"/>
      <c r="UB102" s="205">
        <f t="shared" si="907"/>
        <v>0</v>
      </c>
      <c r="UC102" s="207"/>
      <c r="UD102" s="207"/>
      <c r="UE102" s="207"/>
      <c r="UF102" s="207"/>
      <c r="UG102" s="207"/>
      <c r="UH102" s="272"/>
      <c r="UI102" s="272"/>
      <c r="UJ102" s="205">
        <f t="shared" si="908"/>
        <v>0</v>
      </c>
      <c r="UK102" s="207"/>
      <c r="UL102" s="207"/>
      <c r="UM102" s="207"/>
      <c r="UN102" s="207"/>
      <c r="UO102" s="207"/>
      <c r="UP102" s="272"/>
      <c r="UQ102" s="272"/>
      <c r="UR102" s="205">
        <f t="shared" si="909"/>
        <v>0</v>
      </c>
      <c r="US102" s="201">
        <v>392</v>
      </c>
      <c r="UT102" s="207"/>
      <c r="UU102" s="207"/>
      <c r="UV102" s="207"/>
      <c r="UW102" s="272"/>
      <c r="UX102" s="272"/>
      <c r="UY102" s="272"/>
      <c r="UZ102" s="205">
        <f t="shared" si="910"/>
        <v>392</v>
      </c>
      <c r="VA102" s="205">
        <f t="shared" si="911"/>
        <v>392</v>
      </c>
      <c r="VB102" s="207"/>
      <c r="VC102" s="207"/>
      <c r="VD102" s="207"/>
      <c r="VE102" s="207"/>
      <c r="VF102" s="207"/>
      <c r="VG102" s="272"/>
      <c r="VH102" s="272"/>
      <c r="VI102" s="205">
        <f t="shared" si="912"/>
        <v>0</v>
      </c>
      <c r="VJ102" s="207"/>
      <c r="VK102" s="207"/>
      <c r="VL102" s="207"/>
      <c r="VM102" s="207"/>
      <c r="VN102" s="207"/>
      <c r="VO102" s="272"/>
      <c r="VP102" s="272"/>
      <c r="VQ102" s="205">
        <f t="shared" si="913"/>
        <v>0</v>
      </c>
      <c r="VR102" s="207"/>
      <c r="VS102" s="207"/>
      <c r="VT102" s="207"/>
      <c r="VU102" s="207"/>
      <c r="VV102" s="207"/>
      <c r="VW102" s="272"/>
      <c r="VX102" s="272"/>
      <c r="VY102" s="205">
        <f t="shared" si="914"/>
        <v>0</v>
      </c>
      <c r="VZ102" s="207"/>
      <c r="WA102" s="207"/>
      <c r="WB102" s="207"/>
      <c r="WC102" s="207"/>
      <c r="WD102" s="207"/>
      <c r="WE102" s="272"/>
      <c r="WF102" s="272"/>
      <c r="WG102" s="205">
        <f t="shared" si="915"/>
        <v>0</v>
      </c>
      <c r="WH102" s="205">
        <f t="shared" si="916"/>
        <v>0</v>
      </c>
      <c r="WI102" s="207"/>
      <c r="WJ102" s="207"/>
      <c r="WK102" s="207"/>
      <c r="WL102" s="207"/>
      <c r="WM102" s="207"/>
      <c r="WN102" s="272"/>
      <c r="WO102" s="272"/>
      <c r="WP102" s="205">
        <f t="shared" si="917"/>
        <v>0</v>
      </c>
      <c r="WQ102" s="207"/>
      <c r="WR102" s="207"/>
      <c r="WS102" s="207"/>
      <c r="WT102" s="207"/>
      <c r="WU102" s="207"/>
      <c r="WV102" s="272"/>
      <c r="WW102" s="272"/>
      <c r="WX102" s="205">
        <f t="shared" si="918"/>
        <v>0</v>
      </c>
      <c r="WY102" s="207"/>
      <c r="WZ102" s="207"/>
      <c r="XA102" s="207"/>
      <c r="XB102" s="207"/>
      <c r="XC102" s="272"/>
      <c r="XD102" s="272"/>
      <c r="XE102" s="272"/>
      <c r="XF102" s="205">
        <f t="shared" si="919"/>
        <v>0</v>
      </c>
      <c r="XG102" s="207"/>
      <c r="XH102" s="207"/>
      <c r="XI102" s="207"/>
      <c r="XJ102" s="207"/>
      <c r="XK102" s="207"/>
      <c r="XL102" s="272"/>
      <c r="XM102" s="272"/>
      <c r="XN102" s="205">
        <f t="shared" si="920"/>
        <v>0</v>
      </c>
      <c r="XO102" s="207"/>
      <c r="XP102" s="207"/>
      <c r="XQ102" s="207"/>
      <c r="XR102" s="207"/>
      <c r="XS102" s="207"/>
      <c r="XT102" s="272"/>
      <c r="XU102" s="272"/>
      <c r="XV102" s="205">
        <f t="shared" si="921"/>
        <v>0</v>
      </c>
      <c r="XW102" s="205">
        <f t="shared" si="922"/>
        <v>0</v>
      </c>
      <c r="XX102" s="207"/>
      <c r="XY102" s="207"/>
      <c r="XZ102" s="207"/>
      <c r="YA102" s="207"/>
      <c r="YB102" s="207"/>
      <c r="YC102" s="272"/>
      <c r="YD102" s="272"/>
      <c r="YE102" s="205">
        <f t="shared" si="923"/>
        <v>0</v>
      </c>
      <c r="YF102" s="207"/>
      <c r="YG102" s="207"/>
      <c r="YH102" s="207"/>
      <c r="YI102" s="207"/>
      <c r="YJ102" s="207"/>
      <c r="YK102" s="272"/>
      <c r="YL102" s="272"/>
      <c r="YM102" s="205">
        <f t="shared" si="924"/>
        <v>0</v>
      </c>
      <c r="YN102" s="207"/>
      <c r="YO102" s="207"/>
      <c r="YP102" s="207"/>
      <c r="YQ102" s="207"/>
      <c r="YR102" s="207"/>
      <c r="YS102" s="272"/>
      <c r="YT102" s="272"/>
      <c r="YU102" s="205">
        <f t="shared" si="925"/>
        <v>0</v>
      </c>
      <c r="YV102" s="207"/>
      <c r="YW102" s="207"/>
      <c r="YX102" s="207"/>
      <c r="YY102" s="207"/>
      <c r="YZ102" s="207"/>
      <c r="ZA102" s="272"/>
      <c r="ZB102" s="272"/>
      <c r="ZC102" s="205">
        <f t="shared" si="926"/>
        <v>0</v>
      </c>
      <c r="ZD102" s="205">
        <f t="shared" si="927"/>
        <v>0</v>
      </c>
      <c r="ZE102" s="207"/>
      <c r="ZF102" s="207"/>
      <c r="ZG102" s="207"/>
      <c r="ZH102" s="207"/>
      <c r="ZI102" s="207"/>
      <c r="ZJ102" s="272"/>
      <c r="ZK102" s="272"/>
      <c r="ZL102" s="205">
        <f t="shared" si="928"/>
        <v>0</v>
      </c>
      <c r="ZM102" s="207"/>
      <c r="ZN102" s="207"/>
      <c r="ZO102" s="207"/>
      <c r="ZP102" s="207"/>
      <c r="ZQ102" s="207"/>
      <c r="ZR102" s="272"/>
      <c r="ZS102" s="272"/>
      <c r="ZT102" s="205">
        <f t="shared" si="929"/>
        <v>0</v>
      </c>
      <c r="ZU102" s="207"/>
      <c r="ZV102" s="207"/>
      <c r="ZW102" s="207"/>
      <c r="ZX102" s="207"/>
      <c r="ZY102" s="207"/>
      <c r="ZZ102" s="272"/>
      <c r="AAA102" s="272"/>
      <c r="AAB102" s="205">
        <f t="shared" si="930"/>
        <v>0</v>
      </c>
      <c r="AAC102" s="207"/>
      <c r="AAD102" s="207"/>
      <c r="AAE102" s="207"/>
      <c r="AAF102" s="207"/>
      <c r="AAG102" s="207"/>
      <c r="AAH102" s="272"/>
      <c r="AAI102" s="272"/>
      <c r="AAJ102" s="205">
        <f t="shared" si="931"/>
        <v>0</v>
      </c>
      <c r="AAK102" s="207"/>
      <c r="AAL102" s="207"/>
      <c r="AAM102" s="207"/>
      <c r="AAN102" s="207"/>
      <c r="AAO102" s="207"/>
      <c r="AAP102" s="272"/>
      <c r="AAQ102" s="272"/>
      <c r="AAR102" s="205">
        <f t="shared" si="932"/>
        <v>0</v>
      </c>
      <c r="AAS102" s="205">
        <f t="shared" si="933"/>
        <v>0</v>
      </c>
    </row>
    <row r="103" spans="1:721" ht="69.95" customHeight="1">
      <c r="B103" s="151">
        <v>3630101461</v>
      </c>
      <c r="C103" s="323" t="s">
        <v>741</v>
      </c>
      <c r="D103" s="152" t="s">
        <v>794</v>
      </c>
      <c r="E103" s="130" t="s">
        <v>4</v>
      </c>
      <c r="F103" s="120"/>
      <c r="G103" s="120"/>
      <c r="H103" s="120"/>
      <c r="I103" s="120"/>
      <c r="J103" s="120"/>
      <c r="K103" s="209"/>
      <c r="L103" s="205"/>
      <c r="M103" s="205">
        <f t="shared" ref="M103" si="1149">SUM(F103:L103)</f>
        <v>0</v>
      </c>
      <c r="N103" s="120"/>
      <c r="O103" s="120"/>
      <c r="P103" s="120"/>
      <c r="Q103" s="120"/>
      <c r="R103" s="120"/>
      <c r="S103" s="209"/>
      <c r="T103" s="205"/>
      <c r="U103" s="205">
        <f t="shared" ref="U103" si="1150">SUM(N103:T103)</f>
        <v>0</v>
      </c>
      <c r="V103" s="120"/>
      <c r="W103" s="120"/>
      <c r="X103" s="120"/>
      <c r="Y103" s="120"/>
      <c r="Z103" s="120"/>
      <c r="AA103" s="209"/>
      <c r="AB103" s="205"/>
      <c r="AC103" s="205">
        <f t="shared" ref="AC103" si="1151">SUM(V103:AB103)</f>
        <v>0</v>
      </c>
      <c r="AD103" s="205"/>
      <c r="AE103" s="205"/>
      <c r="AF103" s="205"/>
      <c r="AG103" s="205"/>
      <c r="AH103" s="205"/>
      <c r="AI103" s="209"/>
      <c r="AJ103" s="205"/>
      <c r="AK103" s="205">
        <f t="shared" ref="AK103" si="1152">SUM(AD103:AJ103)</f>
        <v>0</v>
      </c>
      <c r="AL103" s="205" t="e">
        <f>SUM(#REF!,M103,U103,AC103,AD103:AH103)</f>
        <v>#REF!</v>
      </c>
      <c r="AM103" s="120"/>
      <c r="AN103" s="120"/>
      <c r="AO103" s="120"/>
      <c r="AP103" s="120"/>
      <c r="AQ103" s="120"/>
      <c r="AR103" s="209"/>
      <c r="AS103" s="205"/>
      <c r="AT103" s="205">
        <f t="shared" si="1052"/>
        <v>0</v>
      </c>
      <c r="AU103" s="120"/>
      <c r="AV103" s="120"/>
      <c r="AW103" s="120"/>
      <c r="AX103" s="120"/>
      <c r="AY103" s="120"/>
      <c r="AZ103" s="209"/>
      <c r="BA103" s="205"/>
      <c r="BB103" s="205">
        <f t="shared" si="1053"/>
        <v>0</v>
      </c>
      <c r="BC103" s="120"/>
      <c r="BD103" s="120"/>
      <c r="BE103" s="120"/>
      <c r="BF103" s="120"/>
      <c r="BG103" s="120"/>
      <c r="BH103" s="209"/>
      <c r="BI103" s="205"/>
      <c r="BJ103" s="205">
        <f t="shared" si="1054"/>
        <v>0</v>
      </c>
      <c r="BK103" s="120"/>
      <c r="BL103" s="120"/>
      <c r="BM103" s="120"/>
      <c r="BN103" s="120"/>
      <c r="BO103" s="205"/>
      <c r="BP103" s="209"/>
      <c r="BQ103" s="205"/>
      <c r="BR103" s="205">
        <f t="shared" si="1055"/>
        <v>0</v>
      </c>
      <c r="BS103" s="205">
        <f t="shared" ref="BS103" si="1153">SUM(AI103:AJ103,AT103,BB103,BJ103,BK103:BO103)</f>
        <v>0</v>
      </c>
      <c r="BT103" s="120"/>
      <c r="BU103" s="120"/>
      <c r="BV103" s="120"/>
      <c r="BW103" s="120"/>
      <c r="BX103" s="120"/>
      <c r="BY103" s="209"/>
      <c r="BZ103" s="205"/>
      <c r="CA103" s="205">
        <f t="shared" si="1056"/>
        <v>0</v>
      </c>
      <c r="CB103" s="120"/>
      <c r="CC103" s="120"/>
      <c r="CD103" s="120"/>
      <c r="CE103" s="120"/>
      <c r="CF103" s="120"/>
      <c r="CG103" s="209"/>
      <c r="CH103" s="205"/>
      <c r="CI103" s="205">
        <f t="shared" si="1057"/>
        <v>0</v>
      </c>
      <c r="CJ103" s="120"/>
      <c r="CK103" s="120"/>
      <c r="CL103" s="120"/>
      <c r="CM103" s="120"/>
      <c r="CN103" s="120"/>
      <c r="CO103" s="209"/>
      <c r="CP103" s="205"/>
      <c r="CQ103" s="205">
        <f t="shared" si="1058"/>
        <v>0</v>
      </c>
      <c r="CR103" s="120"/>
      <c r="CS103" s="120"/>
      <c r="CT103" s="120"/>
      <c r="CU103" s="120"/>
      <c r="CV103" s="120"/>
      <c r="CW103" s="209"/>
      <c r="CX103" s="205"/>
      <c r="CY103" s="205">
        <f t="shared" si="1059"/>
        <v>0</v>
      </c>
      <c r="CZ103" s="120"/>
      <c r="DA103" s="120"/>
      <c r="DB103" s="120"/>
      <c r="DC103" s="205"/>
      <c r="DD103" s="205"/>
      <c r="DE103" s="209"/>
      <c r="DF103" s="205"/>
      <c r="DG103" s="205">
        <f t="shared" si="1060"/>
        <v>0</v>
      </c>
      <c r="DH103" s="205">
        <f t="shared" ref="DH103" si="1154">SUM(CA103,CI103,CQ103,CY103,CZ103)</f>
        <v>0</v>
      </c>
      <c r="DI103" s="120"/>
      <c r="DJ103" s="120"/>
      <c r="DK103" s="120"/>
      <c r="DL103" s="120"/>
      <c r="DM103" s="120"/>
      <c r="DN103" s="209"/>
      <c r="DO103" s="205"/>
      <c r="DP103" s="205">
        <f t="shared" ref="DP103" si="1155">SUM(DI103:DO103)</f>
        <v>0</v>
      </c>
      <c r="DQ103" s="120"/>
      <c r="DR103" s="120"/>
      <c r="DS103" s="120"/>
      <c r="DT103" s="120"/>
      <c r="DU103" s="120"/>
      <c r="DV103" s="209"/>
      <c r="DW103" s="205"/>
      <c r="DX103" s="205">
        <f t="shared" ref="DX103" si="1156">SUM(DQ103:DW103)</f>
        <v>0</v>
      </c>
      <c r="DY103" s="120"/>
      <c r="DZ103" s="120"/>
      <c r="EA103" s="120"/>
      <c r="EB103" s="120"/>
      <c r="EC103" s="120"/>
      <c r="ED103" s="209"/>
      <c r="EE103" s="205"/>
      <c r="EF103" s="205">
        <f t="shared" ref="EF103" si="1157">SUM(DY103:EE103)</f>
        <v>0</v>
      </c>
      <c r="EG103" s="120"/>
      <c r="EH103" s="120"/>
      <c r="EI103" s="120"/>
      <c r="EJ103" s="205"/>
      <c r="EK103" s="205"/>
      <c r="EL103" s="209"/>
      <c r="EM103" s="205"/>
      <c r="EN103" s="205">
        <f t="shared" ref="EN103" si="1158">SUM(EG103:EM103)</f>
        <v>0</v>
      </c>
      <c r="EO103" s="205">
        <f t="shared" ref="EO103" si="1159">SUM(DA103:DF103,DP103,DX103,EF103,EG103:EI103)</f>
        <v>0</v>
      </c>
      <c r="EP103" s="120"/>
      <c r="EQ103" s="120"/>
      <c r="ER103" s="120"/>
      <c r="ES103" s="120"/>
      <c r="ET103" s="120"/>
      <c r="EU103" s="209"/>
      <c r="EV103" s="205"/>
      <c r="EW103" s="205">
        <f t="shared" ref="EW103" si="1160">SUM(EP103:EV103)</f>
        <v>0</v>
      </c>
      <c r="EX103" s="120"/>
      <c r="EY103" s="120"/>
      <c r="EZ103" s="120"/>
      <c r="FA103" s="120"/>
      <c r="FB103" s="120"/>
      <c r="FC103" s="209"/>
      <c r="FD103" s="205"/>
      <c r="FE103" s="205">
        <f t="shared" ref="FE103" si="1161">SUM(EX103:FD103)</f>
        <v>0</v>
      </c>
      <c r="FF103" s="120"/>
      <c r="FG103" s="120"/>
      <c r="FH103" s="120"/>
      <c r="FI103" s="120"/>
      <c r="FJ103" s="120"/>
      <c r="FK103" s="209"/>
      <c r="FL103" s="205"/>
      <c r="FM103" s="205">
        <f t="shared" ref="FM103" si="1162">SUM(FF103:FL103)</f>
        <v>0</v>
      </c>
      <c r="FN103" s="120"/>
      <c r="FO103" s="120"/>
      <c r="FP103" s="120"/>
      <c r="FQ103" s="120"/>
      <c r="FR103" s="205"/>
      <c r="FS103" s="209"/>
      <c r="FT103" s="205"/>
      <c r="FU103" s="205">
        <f t="shared" ref="FU103" si="1163">SUM(FN103:FT103)</f>
        <v>0</v>
      </c>
      <c r="FV103" s="205">
        <f t="shared" ref="FV103" si="1164">SUM(EJ103:EK103,EW103,FE103,FM103,FU103)</f>
        <v>0</v>
      </c>
      <c r="FW103" s="120"/>
      <c r="FX103" s="120"/>
      <c r="FY103" s="120"/>
      <c r="FZ103" s="120"/>
      <c r="GA103" s="120"/>
      <c r="GB103" s="209"/>
      <c r="GC103" s="205"/>
      <c r="GD103" s="205">
        <f t="shared" ref="GD103" si="1165">SUM(FW103:GC103)</f>
        <v>0</v>
      </c>
      <c r="GE103" s="120"/>
      <c r="GF103" s="120"/>
      <c r="GG103" s="120"/>
      <c r="GH103" s="120"/>
      <c r="GI103" s="120"/>
      <c r="GJ103" s="209"/>
      <c r="GK103" s="205"/>
      <c r="GL103" s="205">
        <f t="shared" ref="GL103" si="1166">SUM(GE103:GK103)</f>
        <v>0</v>
      </c>
      <c r="GM103" s="120"/>
      <c r="GN103" s="120"/>
      <c r="GO103" s="120"/>
      <c r="GP103" s="120"/>
      <c r="GQ103" s="120"/>
      <c r="GR103" s="209"/>
      <c r="GS103" s="205"/>
      <c r="GT103" s="205">
        <f t="shared" ref="GT103" si="1167">SUM(GM103:GS103)</f>
        <v>0</v>
      </c>
      <c r="GU103" s="120"/>
      <c r="GV103" s="120"/>
      <c r="GW103" s="120"/>
      <c r="GX103" s="120"/>
      <c r="GY103" s="120"/>
      <c r="GZ103" s="209"/>
      <c r="HA103" s="205"/>
      <c r="HB103" s="205">
        <f t="shared" ref="HB103" si="1168">SUM(GU103:HA103)</f>
        <v>0</v>
      </c>
      <c r="HC103" s="120"/>
      <c r="HD103" s="120"/>
      <c r="HE103" s="120"/>
      <c r="HF103" s="120"/>
      <c r="HG103" s="120"/>
      <c r="HH103" s="209"/>
      <c r="HI103" s="205"/>
      <c r="HJ103" s="205">
        <f t="shared" ref="HJ103" si="1169">SUM(HC103:HI103)</f>
        <v>0</v>
      </c>
      <c r="HK103" s="205">
        <f t="shared" ref="HK103" si="1170">SUM(GD103,GL103,GT103,HB103,HC103)</f>
        <v>0</v>
      </c>
      <c r="HL103" s="124"/>
      <c r="HM103" s="120"/>
      <c r="HN103" s="120"/>
      <c r="HO103" s="120"/>
      <c r="HP103" s="120"/>
      <c r="HQ103" s="205"/>
      <c r="HR103" s="205"/>
      <c r="HS103" s="205">
        <f t="shared" si="934"/>
        <v>0</v>
      </c>
      <c r="HT103" s="120"/>
      <c r="HU103" s="120"/>
      <c r="HV103" s="120"/>
      <c r="HW103" s="120"/>
      <c r="HX103" s="120"/>
      <c r="HY103" s="205"/>
      <c r="HZ103" s="205"/>
      <c r="IA103" s="205">
        <f t="shared" si="935"/>
        <v>0</v>
      </c>
      <c r="IB103" s="120"/>
      <c r="IC103" s="120"/>
      <c r="ID103" s="120"/>
      <c r="IE103" s="120"/>
      <c r="IF103" s="120"/>
      <c r="IG103" s="205"/>
      <c r="IH103" s="205"/>
      <c r="II103" s="205">
        <f t="shared" si="936"/>
        <v>0</v>
      </c>
      <c r="IJ103" s="120"/>
      <c r="IK103" s="120"/>
      <c r="IL103" s="120"/>
      <c r="IM103" s="120"/>
      <c r="IN103" s="120"/>
      <c r="IO103" s="205"/>
      <c r="IP103" s="205"/>
      <c r="IQ103" s="205">
        <f t="shared" si="937"/>
        <v>0</v>
      </c>
      <c r="IR103" s="205">
        <f t="shared" si="938"/>
        <v>0</v>
      </c>
      <c r="IS103" s="120"/>
      <c r="IT103" s="120"/>
      <c r="IU103" s="120"/>
      <c r="IV103" s="120"/>
      <c r="IW103" s="120"/>
      <c r="IX103" s="205"/>
      <c r="IY103" s="205"/>
      <c r="IZ103" s="205">
        <f t="shared" si="939"/>
        <v>0</v>
      </c>
      <c r="JA103" s="120"/>
      <c r="JB103" s="120"/>
      <c r="JC103" s="120"/>
      <c r="JD103" s="120"/>
      <c r="JE103" s="120"/>
      <c r="JF103" s="205"/>
      <c r="JG103" s="205"/>
      <c r="JH103" s="205">
        <f t="shared" si="940"/>
        <v>0</v>
      </c>
      <c r="JI103" s="120"/>
      <c r="JJ103" s="120"/>
      <c r="JK103" s="120"/>
      <c r="JL103" s="124">
        <v>24</v>
      </c>
      <c r="JM103" s="120"/>
      <c r="JN103" s="205"/>
      <c r="JO103" s="205"/>
      <c r="JP103" s="205">
        <f t="shared" si="941"/>
        <v>24</v>
      </c>
      <c r="JQ103" s="120"/>
      <c r="JR103" s="120"/>
      <c r="JS103" s="120"/>
      <c r="JT103" s="120"/>
      <c r="JU103" s="120"/>
      <c r="JV103" s="205"/>
      <c r="JW103" s="205"/>
      <c r="JX103" s="205">
        <f t="shared" si="942"/>
        <v>0</v>
      </c>
      <c r="JY103" s="205">
        <f t="shared" si="943"/>
        <v>24</v>
      </c>
      <c r="JZ103" s="120"/>
      <c r="KA103" s="120"/>
      <c r="KB103" s="120"/>
      <c r="KC103" s="120"/>
      <c r="KD103" s="120"/>
      <c r="KE103" s="205"/>
      <c r="KF103" s="205"/>
      <c r="KG103" s="205">
        <f t="shared" si="944"/>
        <v>0</v>
      </c>
      <c r="KH103" s="120"/>
      <c r="KI103" s="120"/>
      <c r="KJ103" s="120"/>
      <c r="KK103" s="120"/>
      <c r="KL103" s="120"/>
      <c r="KM103" s="205"/>
      <c r="KN103" s="205"/>
      <c r="KO103" s="205">
        <f t="shared" si="945"/>
        <v>0</v>
      </c>
      <c r="KP103" s="120"/>
      <c r="KQ103" s="120"/>
      <c r="KR103" s="120"/>
      <c r="KS103" s="120"/>
      <c r="KT103" s="120"/>
      <c r="KU103" s="205"/>
      <c r="KV103" s="205"/>
      <c r="KW103" s="205">
        <f t="shared" si="946"/>
        <v>0</v>
      </c>
      <c r="KX103" s="120"/>
      <c r="KY103" s="120"/>
      <c r="KZ103" s="195">
        <v>192</v>
      </c>
      <c r="LA103" s="120"/>
      <c r="LB103" s="120"/>
      <c r="LC103" s="205"/>
      <c r="LD103" s="205"/>
      <c r="LE103" s="205">
        <f t="shared" si="947"/>
        <v>192</v>
      </c>
      <c r="LF103" s="205"/>
      <c r="LG103" s="120"/>
      <c r="LH103" s="120"/>
      <c r="LI103" s="120"/>
      <c r="LJ103" s="120"/>
      <c r="LK103" s="205"/>
      <c r="LL103" s="205"/>
      <c r="LM103" s="205">
        <f t="shared" si="948"/>
        <v>0</v>
      </c>
      <c r="LN103" s="205">
        <f t="shared" si="949"/>
        <v>192</v>
      </c>
      <c r="LO103" s="205"/>
      <c r="LP103" s="120"/>
      <c r="LQ103" s="120"/>
      <c r="LR103" s="120"/>
      <c r="LS103" s="205"/>
      <c r="LT103" s="205"/>
      <c r="LU103" s="205"/>
      <c r="LV103" s="205">
        <f t="shared" si="950"/>
        <v>0</v>
      </c>
      <c r="LW103" s="120"/>
      <c r="LX103" s="120"/>
      <c r="LY103" s="120"/>
      <c r="LZ103" s="120"/>
      <c r="MA103" s="120"/>
      <c r="MB103" s="205"/>
      <c r="MC103" s="205"/>
      <c r="MD103" s="205">
        <f t="shared" si="951"/>
        <v>0</v>
      </c>
      <c r="ME103" s="120"/>
      <c r="MF103" s="120"/>
      <c r="MG103" s="201">
        <v>12</v>
      </c>
      <c r="MH103" s="120"/>
      <c r="MI103" s="205"/>
      <c r="MJ103" s="205"/>
      <c r="MK103" s="205"/>
      <c r="ML103" s="205">
        <f t="shared" si="952"/>
        <v>12</v>
      </c>
      <c r="MM103" s="120"/>
      <c r="MN103" s="120"/>
      <c r="MO103" s="120"/>
      <c r="MP103" s="120"/>
      <c r="MQ103" s="120"/>
      <c r="MR103" s="205"/>
      <c r="MS103" s="205"/>
      <c r="MT103" s="205">
        <f t="shared" si="953"/>
        <v>0</v>
      </c>
      <c r="MU103" s="205">
        <f t="shared" si="954"/>
        <v>12</v>
      </c>
      <c r="MV103" s="120"/>
      <c r="MW103" s="120"/>
      <c r="MX103" s="120"/>
      <c r="MY103" s="120"/>
      <c r="MZ103" s="120"/>
      <c r="NA103" s="205"/>
      <c r="NB103" s="205"/>
      <c r="NC103" s="205">
        <f t="shared" si="880"/>
        <v>0</v>
      </c>
      <c r="ND103" s="120"/>
      <c r="NE103" s="120"/>
      <c r="NF103" s="120"/>
      <c r="NG103" s="120"/>
      <c r="NH103" s="120"/>
      <c r="NI103" s="205"/>
      <c r="NJ103" s="205"/>
      <c r="NK103" s="205">
        <f t="shared" si="881"/>
        <v>0</v>
      </c>
      <c r="NL103" s="120"/>
      <c r="NM103" s="120"/>
      <c r="NN103" s="120"/>
      <c r="NO103" s="120"/>
      <c r="NP103" s="120"/>
      <c r="NQ103" s="205"/>
      <c r="NR103" s="205"/>
      <c r="NS103" s="205">
        <f t="shared" si="882"/>
        <v>0</v>
      </c>
      <c r="NT103" s="120"/>
      <c r="NU103" s="120"/>
      <c r="NV103" s="120"/>
      <c r="NW103" s="120"/>
      <c r="NX103" s="120"/>
      <c r="NY103" s="205"/>
      <c r="NZ103" s="205"/>
      <c r="OA103" s="205">
        <f t="shared" si="883"/>
        <v>0</v>
      </c>
      <c r="OB103" s="205">
        <f t="shared" si="884"/>
        <v>0</v>
      </c>
      <c r="OC103" s="120"/>
      <c r="OD103" s="120"/>
      <c r="OE103" s="120"/>
      <c r="OF103" s="120"/>
      <c r="OG103" s="120"/>
      <c r="OH103" s="205"/>
      <c r="OI103" s="205"/>
      <c r="OJ103" s="205">
        <f t="shared" si="885"/>
        <v>0</v>
      </c>
      <c r="OK103" s="195">
        <v>60</v>
      </c>
      <c r="OL103" s="120"/>
      <c r="OM103" s="120"/>
      <c r="ON103" s="120"/>
      <c r="OO103" s="120"/>
      <c r="OP103" s="205"/>
      <c r="OQ103" s="205"/>
      <c r="OR103" s="205">
        <f t="shared" si="886"/>
        <v>60</v>
      </c>
      <c r="OS103" s="120"/>
      <c r="OT103" s="120"/>
      <c r="OU103" s="120"/>
      <c r="OV103" s="120"/>
      <c r="OW103" s="120"/>
      <c r="OX103" s="205"/>
      <c r="OY103" s="205"/>
      <c r="OZ103" s="205">
        <f t="shared" si="887"/>
        <v>0</v>
      </c>
      <c r="PA103" s="120"/>
      <c r="PB103" s="120"/>
      <c r="PC103" s="120"/>
      <c r="PD103" s="205"/>
      <c r="PE103" s="217"/>
      <c r="PF103" s="205"/>
      <c r="PG103" s="205"/>
      <c r="PH103" s="205">
        <f t="shared" si="888"/>
        <v>0</v>
      </c>
      <c r="PI103" s="120"/>
      <c r="PJ103" s="120"/>
      <c r="PK103" s="120"/>
      <c r="PL103" s="205"/>
      <c r="PM103" s="217"/>
      <c r="PN103" s="205"/>
      <c r="PO103" s="205"/>
      <c r="PP103" s="205">
        <f t="shared" si="889"/>
        <v>0</v>
      </c>
      <c r="PQ103" s="205">
        <f t="shared" si="890"/>
        <v>60</v>
      </c>
      <c r="PR103" s="207"/>
      <c r="PS103" s="207"/>
      <c r="PT103" s="207"/>
      <c r="PU103" s="207"/>
      <c r="PV103" s="207"/>
      <c r="PW103" s="272"/>
      <c r="PX103" s="272"/>
      <c r="PY103" s="205">
        <f t="shared" si="891"/>
        <v>0</v>
      </c>
      <c r="PZ103" s="207"/>
      <c r="QA103" s="195">
        <v>144</v>
      </c>
      <c r="QB103" s="207"/>
      <c r="QC103" s="207"/>
      <c r="QD103" s="207"/>
      <c r="QE103" s="299" t="s">
        <v>737</v>
      </c>
      <c r="QF103" s="272"/>
      <c r="QG103" s="205">
        <f t="shared" si="892"/>
        <v>144</v>
      </c>
      <c r="QH103" s="207"/>
      <c r="QI103" s="207"/>
      <c r="QJ103" s="294"/>
      <c r="QK103" s="207"/>
      <c r="QL103" s="207"/>
      <c r="QM103" s="272"/>
      <c r="QN103" s="272"/>
      <c r="QO103" s="205">
        <f t="shared" si="893"/>
        <v>0</v>
      </c>
      <c r="QP103" s="207"/>
      <c r="QQ103" s="207"/>
      <c r="QR103" s="207"/>
      <c r="QS103" s="207"/>
      <c r="QT103" s="207"/>
      <c r="QU103" s="272"/>
      <c r="QV103" s="272"/>
      <c r="QW103" s="205">
        <f t="shared" si="894"/>
        <v>0</v>
      </c>
      <c r="QX103" s="205">
        <f t="shared" si="895"/>
        <v>144</v>
      </c>
      <c r="QY103" s="207"/>
      <c r="QZ103" s="207"/>
      <c r="RA103" s="207"/>
      <c r="RB103" s="207"/>
      <c r="RC103" s="207"/>
      <c r="RD103" s="272"/>
      <c r="RE103" s="272"/>
      <c r="RF103" s="205">
        <f t="shared" si="896"/>
        <v>0</v>
      </c>
      <c r="RG103" s="207"/>
      <c r="RH103" s="207"/>
      <c r="RI103" s="207"/>
      <c r="RJ103" s="207"/>
      <c r="RK103" s="207"/>
      <c r="RL103" s="272"/>
      <c r="RM103" s="272"/>
      <c r="RN103" s="205">
        <f t="shared" si="897"/>
        <v>0</v>
      </c>
      <c r="RO103" s="272"/>
      <c r="RP103" s="272"/>
      <c r="RQ103" s="272"/>
      <c r="RR103" s="272"/>
      <c r="RS103" s="272"/>
      <c r="RT103" s="272"/>
      <c r="RU103" s="272"/>
      <c r="RV103" s="205">
        <f t="shared" si="898"/>
        <v>0</v>
      </c>
      <c r="RW103" s="207"/>
      <c r="RX103" s="207"/>
      <c r="RY103" s="207"/>
      <c r="RZ103" s="207"/>
      <c r="SA103" s="272"/>
      <c r="SB103" s="272"/>
      <c r="SC103" s="272"/>
      <c r="SD103" s="205">
        <f t="shared" si="899"/>
        <v>0</v>
      </c>
      <c r="SE103" s="205">
        <f t="shared" si="900"/>
        <v>0</v>
      </c>
      <c r="SF103" s="207"/>
      <c r="SG103" s="207"/>
      <c r="SH103" s="207"/>
      <c r="SI103" s="207"/>
      <c r="SJ103" s="207"/>
      <c r="SK103" s="272"/>
      <c r="SL103" s="272"/>
      <c r="SM103" s="205">
        <f t="shared" si="901"/>
        <v>0</v>
      </c>
      <c r="SN103" s="207"/>
      <c r="SO103" s="207"/>
      <c r="SP103" s="207"/>
      <c r="SQ103" s="207"/>
      <c r="SR103" s="207"/>
      <c r="SS103" s="272"/>
      <c r="ST103" s="272"/>
      <c r="SU103" s="205">
        <f t="shared" si="902"/>
        <v>0</v>
      </c>
      <c r="SV103" s="207"/>
      <c r="SW103" s="217">
        <v>60</v>
      </c>
      <c r="SX103" s="207"/>
      <c r="SY103" s="207"/>
      <c r="SZ103" s="207"/>
      <c r="TA103" s="272"/>
      <c r="TB103" s="272"/>
      <c r="TC103" s="205">
        <f t="shared" si="903"/>
        <v>60</v>
      </c>
      <c r="TD103" s="207"/>
      <c r="TE103" s="207"/>
      <c r="TF103" s="207"/>
      <c r="TG103" s="207"/>
      <c r="TH103" s="207"/>
      <c r="TI103" s="272"/>
      <c r="TJ103" s="272"/>
      <c r="TK103" s="205">
        <f t="shared" si="904"/>
        <v>0</v>
      </c>
      <c r="TL103" s="207"/>
      <c r="TM103" s="207"/>
      <c r="TN103" s="207"/>
      <c r="TO103" s="207"/>
      <c r="TP103" s="272"/>
      <c r="TQ103" s="272"/>
      <c r="TR103" s="272"/>
      <c r="TS103" s="205">
        <f t="shared" si="905"/>
        <v>0</v>
      </c>
      <c r="TT103" s="205">
        <f t="shared" si="906"/>
        <v>60</v>
      </c>
      <c r="TU103" s="272"/>
      <c r="TV103" s="207"/>
      <c r="TW103" s="207"/>
      <c r="TX103" s="207"/>
      <c r="TY103" s="207"/>
      <c r="TZ103" s="272"/>
      <c r="UA103" s="272"/>
      <c r="UB103" s="205">
        <f t="shared" si="907"/>
        <v>0</v>
      </c>
      <c r="UC103" s="207"/>
      <c r="UD103" s="207"/>
      <c r="UE103" s="207"/>
      <c r="UF103" s="207"/>
      <c r="UG103" s="207"/>
      <c r="UH103" s="272"/>
      <c r="UI103" s="272"/>
      <c r="UJ103" s="205">
        <f t="shared" si="908"/>
        <v>0</v>
      </c>
      <c r="UK103" s="207"/>
      <c r="UL103" s="207"/>
      <c r="UM103" s="207"/>
      <c r="UN103" s="207"/>
      <c r="UO103" s="207"/>
      <c r="UP103" s="272"/>
      <c r="UQ103" s="272"/>
      <c r="UR103" s="205">
        <f t="shared" si="909"/>
        <v>0</v>
      </c>
      <c r="US103" s="201">
        <v>108</v>
      </c>
      <c r="UT103" s="207"/>
      <c r="UU103" s="207"/>
      <c r="UV103" s="207"/>
      <c r="UW103" s="272"/>
      <c r="UX103" s="272"/>
      <c r="UY103" s="272"/>
      <c r="UZ103" s="205">
        <f t="shared" si="910"/>
        <v>108</v>
      </c>
      <c r="VA103" s="205">
        <f t="shared" si="911"/>
        <v>108</v>
      </c>
      <c r="VB103" s="207"/>
      <c r="VC103" s="207"/>
      <c r="VD103" s="207"/>
      <c r="VE103" s="207"/>
      <c r="VF103" s="207"/>
      <c r="VG103" s="272"/>
      <c r="VH103" s="272"/>
      <c r="VI103" s="205">
        <f t="shared" si="912"/>
        <v>0</v>
      </c>
      <c r="VJ103" s="207"/>
      <c r="VK103" s="207"/>
      <c r="VL103" s="207"/>
      <c r="VM103" s="207"/>
      <c r="VN103" s="207"/>
      <c r="VO103" s="272"/>
      <c r="VP103" s="272"/>
      <c r="VQ103" s="205">
        <f t="shared" si="913"/>
        <v>0</v>
      </c>
      <c r="VR103" s="207"/>
      <c r="VS103" s="207"/>
      <c r="VT103" s="207"/>
      <c r="VU103" s="207"/>
      <c r="VV103" s="207"/>
      <c r="VW103" s="272"/>
      <c r="VX103" s="272"/>
      <c r="VY103" s="205">
        <f t="shared" si="914"/>
        <v>0</v>
      </c>
      <c r="VZ103" s="207"/>
      <c r="WA103" s="207"/>
      <c r="WB103" s="207"/>
      <c r="WC103" s="207"/>
      <c r="WD103" s="207"/>
      <c r="WE103" s="272"/>
      <c r="WF103" s="272"/>
      <c r="WG103" s="205">
        <f t="shared" si="915"/>
        <v>0</v>
      </c>
      <c r="WH103" s="205">
        <f t="shared" si="916"/>
        <v>0</v>
      </c>
      <c r="WI103" s="207"/>
      <c r="WJ103" s="207"/>
      <c r="WK103" s="207"/>
      <c r="WL103" s="207"/>
      <c r="WM103" s="207"/>
      <c r="WN103" s="272"/>
      <c r="WO103" s="272"/>
      <c r="WP103" s="205">
        <f t="shared" si="917"/>
        <v>0</v>
      </c>
      <c r="WQ103" s="207"/>
      <c r="WR103" s="207"/>
      <c r="WS103" s="207"/>
      <c r="WT103" s="207"/>
      <c r="WU103" s="207"/>
      <c r="WV103" s="272"/>
      <c r="WW103" s="272"/>
      <c r="WX103" s="205">
        <f t="shared" si="918"/>
        <v>0</v>
      </c>
      <c r="WY103" s="207"/>
      <c r="WZ103" s="207"/>
      <c r="XA103" s="207"/>
      <c r="XB103" s="207"/>
      <c r="XC103" s="272"/>
      <c r="XD103" s="272"/>
      <c r="XE103" s="272"/>
      <c r="XF103" s="205">
        <f t="shared" si="919"/>
        <v>0</v>
      </c>
      <c r="XG103" s="207"/>
      <c r="XH103" s="207"/>
      <c r="XI103" s="207"/>
      <c r="XJ103" s="207"/>
      <c r="XK103" s="207"/>
      <c r="XL103" s="272"/>
      <c r="XM103" s="272"/>
      <c r="XN103" s="205">
        <f t="shared" si="920"/>
        <v>0</v>
      </c>
      <c r="XO103" s="207"/>
      <c r="XP103" s="207"/>
      <c r="XQ103" s="207"/>
      <c r="XR103" s="207"/>
      <c r="XS103" s="207"/>
      <c r="XT103" s="272"/>
      <c r="XU103" s="272"/>
      <c r="XV103" s="205">
        <f t="shared" si="921"/>
        <v>0</v>
      </c>
      <c r="XW103" s="205">
        <f t="shared" si="922"/>
        <v>0</v>
      </c>
      <c r="XX103" s="207"/>
      <c r="XY103" s="207"/>
      <c r="XZ103" s="207"/>
      <c r="YA103" s="207"/>
      <c r="YB103" s="207"/>
      <c r="YC103" s="272"/>
      <c r="YD103" s="272"/>
      <c r="YE103" s="205">
        <f t="shared" si="923"/>
        <v>0</v>
      </c>
      <c r="YF103" s="207"/>
      <c r="YG103" s="207"/>
      <c r="YH103" s="207"/>
      <c r="YI103" s="207"/>
      <c r="YJ103" s="207"/>
      <c r="YK103" s="272"/>
      <c r="YL103" s="272"/>
      <c r="YM103" s="205">
        <f t="shared" si="924"/>
        <v>0</v>
      </c>
      <c r="YN103" s="207"/>
      <c r="YO103" s="207"/>
      <c r="YP103" s="207"/>
      <c r="YQ103" s="207"/>
      <c r="YR103" s="207"/>
      <c r="YS103" s="272"/>
      <c r="YT103" s="272"/>
      <c r="YU103" s="205">
        <f t="shared" si="925"/>
        <v>0</v>
      </c>
      <c r="YV103" s="207"/>
      <c r="YW103" s="207"/>
      <c r="YX103" s="207"/>
      <c r="YY103" s="207"/>
      <c r="YZ103" s="207"/>
      <c r="ZA103" s="272"/>
      <c r="ZB103" s="272"/>
      <c r="ZC103" s="205">
        <f t="shared" si="926"/>
        <v>0</v>
      </c>
      <c r="ZD103" s="205">
        <f t="shared" si="927"/>
        <v>0</v>
      </c>
      <c r="ZE103" s="207"/>
      <c r="ZF103" s="207"/>
      <c r="ZG103" s="207"/>
      <c r="ZH103" s="207"/>
      <c r="ZI103" s="207"/>
      <c r="ZJ103" s="272"/>
      <c r="ZK103" s="272"/>
      <c r="ZL103" s="205">
        <f t="shared" si="928"/>
        <v>0</v>
      </c>
      <c r="ZM103" s="207"/>
      <c r="ZN103" s="207"/>
      <c r="ZO103" s="207"/>
      <c r="ZP103" s="207"/>
      <c r="ZQ103" s="207"/>
      <c r="ZR103" s="272"/>
      <c r="ZS103" s="272"/>
      <c r="ZT103" s="205">
        <f t="shared" si="929"/>
        <v>0</v>
      </c>
      <c r="ZU103" s="207"/>
      <c r="ZV103" s="207"/>
      <c r="ZW103" s="207"/>
      <c r="ZX103" s="207"/>
      <c r="ZY103" s="207"/>
      <c r="ZZ103" s="272"/>
      <c r="AAA103" s="272"/>
      <c r="AAB103" s="205">
        <f t="shared" si="930"/>
        <v>0</v>
      </c>
      <c r="AAC103" s="207"/>
      <c r="AAD103" s="207"/>
      <c r="AAE103" s="207"/>
      <c r="AAF103" s="207"/>
      <c r="AAG103" s="207"/>
      <c r="AAH103" s="272"/>
      <c r="AAI103" s="272"/>
      <c r="AAJ103" s="205">
        <f t="shared" si="931"/>
        <v>0</v>
      </c>
      <c r="AAK103" s="207"/>
      <c r="AAL103" s="207"/>
      <c r="AAM103" s="207"/>
      <c r="AAN103" s="207"/>
      <c r="AAO103" s="207"/>
      <c r="AAP103" s="272"/>
      <c r="AAQ103" s="272"/>
      <c r="AAR103" s="205">
        <f t="shared" si="932"/>
        <v>0</v>
      </c>
      <c r="AAS103" s="205">
        <f t="shared" si="933"/>
        <v>0</v>
      </c>
    </row>
    <row r="104" spans="1:721" ht="69.599999999999994" customHeight="1">
      <c r="B104" s="151">
        <v>3630101433</v>
      </c>
      <c r="C104" s="323" t="s">
        <v>741</v>
      </c>
      <c r="D104" s="152" t="s">
        <v>27</v>
      </c>
      <c r="E104" s="130" t="s">
        <v>4</v>
      </c>
      <c r="F104" s="201">
        <v>300</v>
      </c>
      <c r="G104" s="120"/>
      <c r="H104" s="120"/>
      <c r="I104" s="120"/>
      <c r="J104" s="120"/>
      <c r="K104" s="209"/>
      <c r="L104" s="205"/>
      <c r="M104" s="205">
        <f t="shared" si="1048"/>
        <v>300</v>
      </c>
      <c r="N104" s="120"/>
      <c r="O104" s="120"/>
      <c r="P104" s="120"/>
      <c r="Q104" s="120"/>
      <c r="R104" s="120"/>
      <c r="S104" s="209"/>
      <c r="T104" s="205"/>
      <c r="U104" s="205">
        <f t="shared" si="1049"/>
        <v>0</v>
      </c>
      <c r="V104" s="120"/>
      <c r="W104" s="120"/>
      <c r="X104" s="120"/>
      <c r="Y104" s="120"/>
      <c r="Z104" s="120"/>
      <c r="AA104" s="209"/>
      <c r="AB104" s="205"/>
      <c r="AC104" s="205">
        <f t="shared" si="1050"/>
        <v>0</v>
      </c>
      <c r="AD104" s="205"/>
      <c r="AE104" s="205"/>
      <c r="AF104" s="205"/>
      <c r="AG104" s="205"/>
      <c r="AH104" s="205"/>
      <c r="AI104" s="209"/>
      <c r="AJ104" s="205"/>
      <c r="AK104" s="205">
        <f t="shared" si="1051"/>
        <v>0</v>
      </c>
      <c r="AL104" s="205" t="e">
        <f>SUM(#REF!,M104,U104,AC104,AD104:AH104)</f>
        <v>#REF!</v>
      </c>
      <c r="AM104" s="120"/>
      <c r="AN104" s="120"/>
      <c r="AO104" s="120"/>
      <c r="AP104" s="120"/>
      <c r="AQ104" s="120"/>
      <c r="AR104" s="209"/>
      <c r="AS104" s="205"/>
      <c r="AT104" s="205">
        <f t="shared" si="1052"/>
        <v>0</v>
      </c>
      <c r="AU104" s="120"/>
      <c r="AV104" s="120"/>
      <c r="AW104" s="120"/>
      <c r="AX104" s="120"/>
      <c r="AY104" s="120"/>
      <c r="AZ104" s="209"/>
      <c r="BA104" s="205"/>
      <c r="BB104" s="205">
        <f t="shared" si="1053"/>
        <v>0</v>
      </c>
      <c r="BC104" s="120"/>
      <c r="BD104" s="120"/>
      <c r="BE104" s="120"/>
      <c r="BF104" s="120"/>
      <c r="BG104" s="120"/>
      <c r="BH104" s="209"/>
      <c r="BI104" s="205"/>
      <c r="BJ104" s="205">
        <f t="shared" si="1054"/>
        <v>0</v>
      </c>
      <c r="BK104" s="120"/>
      <c r="BL104" s="120"/>
      <c r="BM104" s="120"/>
      <c r="BN104" s="120"/>
      <c r="BO104" s="205"/>
      <c r="BP104" s="209"/>
      <c r="BQ104" s="205"/>
      <c r="BR104" s="205">
        <f t="shared" si="1055"/>
        <v>0</v>
      </c>
      <c r="BS104" s="205">
        <f t="shared" si="832"/>
        <v>0</v>
      </c>
      <c r="BT104" s="120"/>
      <c r="BU104" s="120"/>
      <c r="BV104" s="120"/>
      <c r="BW104" s="217">
        <v>300</v>
      </c>
      <c r="BX104" s="120"/>
      <c r="BY104" s="209"/>
      <c r="BZ104" s="205"/>
      <c r="CA104" s="205">
        <f t="shared" si="1056"/>
        <v>300</v>
      </c>
      <c r="CB104" s="120"/>
      <c r="CC104" s="120"/>
      <c r="CD104" s="120"/>
      <c r="CE104" s="120"/>
      <c r="CF104" s="120"/>
      <c r="CG104" s="209"/>
      <c r="CH104" s="205"/>
      <c r="CI104" s="205">
        <f t="shared" si="1057"/>
        <v>0</v>
      </c>
      <c r="CJ104" s="120"/>
      <c r="CK104" s="120"/>
      <c r="CL104" s="120"/>
      <c r="CM104" s="120"/>
      <c r="CN104" s="120"/>
      <c r="CO104" s="209"/>
      <c r="CP104" s="205"/>
      <c r="CQ104" s="205">
        <f t="shared" si="1058"/>
        <v>0</v>
      </c>
      <c r="CR104" s="120"/>
      <c r="CS104" s="120"/>
      <c r="CT104" s="120"/>
      <c r="CU104" s="120"/>
      <c r="CV104" s="120"/>
      <c r="CW104" s="209"/>
      <c r="CX104" s="205"/>
      <c r="CY104" s="205">
        <f t="shared" si="1059"/>
        <v>0</v>
      </c>
      <c r="CZ104" s="120"/>
      <c r="DA104" s="120"/>
      <c r="DB104" s="120"/>
      <c r="DC104" s="205"/>
      <c r="DD104" s="205"/>
      <c r="DE104" s="209"/>
      <c r="DF104" s="205"/>
      <c r="DG104" s="205">
        <f t="shared" si="1060"/>
        <v>0</v>
      </c>
      <c r="DH104" s="205">
        <f t="shared" si="838"/>
        <v>300</v>
      </c>
      <c r="DI104" s="120"/>
      <c r="DJ104" s="120"/>
      <c r="DK104" s="207"/>
      <c r="DL104" s="120"/>
      <c r="DM104" s="120"/>
      <c r="DN104" s="209"/>
      <c r="DO104" s="205"/>
      <c r="DP104" s="205">
        <f t="shared" si="839"/>
        <v>0</v>
      </c>
      <c r="DQ104" s="120"/>
      <c r="DR104" s="120"/>
      <c r="DS104" s="120"/>
      <c r="DT104" s="250">
        <v>300</v>
      </c>
      <c r="DU104" s="120"/>
      <c r="DV104" s="209"/>
      <c r="DW104" s="205"/>
      <c r="DX104" s="205">
        <f t="shared" si="840"/>
        <v>300</v>
      </c>
      <c r="DY104" s="120"/>
      <c r="DZ104" s="120"/>
      <c r="EA104" s="120"/>
      <c r="EB104" s="120"/>
      <c r="EC104" s="120"/>
      <c r="ED104" s="209"/>
      <c r="EE104" s="205"/>
      <c r="EF104" s="205">
        <f t="shared" si="841"/>
        <v>0</v>
      </c>
      <c r="EG104" s="120"/>
      <c r="EH104" s="120"/>
      <c r="EI104" s="120"/>
      <c r="EJ104" s="205"/>
      <c r="EK104" s="205"/>
      <c r="EL104" s="209"/>
      <c r="EM104" s="205"/>
      <c r="EN104" s="205">
        <f t="shared" si="842"/>
        <v>0</v>
      </c>
      <c r="EO104" s="205">
        <f t="shared" si="843"/>
        <v>300</v>
      </c>
      <c r="EP104" s="120"/>
      <c r="EQ104" s="120"/>
      <c r="ER104" s="250">
        <v>300</v>
      </c>
      <c r="ES104" s="120"/>
      <c r="ET104" s="120"/>
      <c r="EU104" s="209"/>
      <c r="EV104" s="205"/>
      <c r="EW104" s="205">
        <f t="shared" si="844"/>
        <v>300</v>
      </c>
      <c r="EX104" s="120"/>
      <c r="EY104" s="120"/>
      <c r="EZ104" s="120"/>
      <c r="FA104" s="120"/>
      <c r="FB104" s="120"/>
      <c r="FC104" s="209"/>
      <c r="FD104" s="205"/>
      <c r="FE104" s="205">
        <f t="shared" si="845"/>
        <v>0</v>
      </c>
      <c r="FF104" s="120"/>
      <c r="FG104" s="120"/>
      <c r="FH104" s="120"/>
      <c r="FI104" s="120"/>
      <c r="FJ104" s="120"/>
      <c r="FK104" s="209"/>
      <c r="FL104" s="205"/>
      <c r="FM104" s="205">
        <f t="shared" si="846"/>
        <v>0</v>
      </c>
      <c r="FN104" s="120"/>
      <c r="FO104" s="120"/>
      <c r="FP104" s="120"/>
      <c r="FQ104" s="120"/>
      <c r="FR104" s="205"/>
      <c r="FS104" s="209"/>
      <c r="FT104" s="205"/>
      <c r="FU104" s="205">
        <f t="shared" si="847"/>
        <v>0</v>
      </c>
      <c r="FV104" s="205">
        <f t="shared" si="848"/>
        <v>300</v>
      </c>
      <c r="FW104" s="120"/>
      <c r="FX104" s="120"/>
      <c r="FY104" s="120"/>
      <c r="FZ104" s="120"/>
      <c r="GA104" s="120"/>
      <c r="GB104" s="209"/>
      <c r="GC104" s="205"/>
      <c r="GD104" s="205">
        <f t="shared" si="849"/>
        <v>0</v>
      </c>
      <c r="GE104" s="120"/>
      <c r="GF104" s="120"/>
      <c r="GG104" s="120"/>
      <c r="GH104" s="120"/>
      <c r="GI104" s="120"/>
      <c r="GJ104" s="209"/>
      <c r="GK104" s="205"/>
      <c r="GL104" s="205">
        <f t="shared" si="850"/>
        <v>0</v>
      </c>
      <c r="GM104" s="120"/>
      <c r="GN104" s="120"/>
      <c r="GO104" s="120"/>
      <c r="GP104" s="120"/>
      <c r="GQ104" s="120"/>
      <c r="GR104" s="209"/>
      <c r="GS104" s="205"/>
      <c r="GT104" s="205">
        <f t="shared" si="851"/>
        <v>0</v>
      </c>
      <c r="GU104" s="120"/>
      <c r="GV104" s="124">
        <v>300</v>
      </c>
      <c r="GW104" s="120"/>
      <c r="GX104" s="120"/>
      <c r="GY104" s="120"/>
      <c r="GZ104" s="209"/>
      <c r="HA104" s="205"/>
      <c r="HB104" s="205">
        <f t="shared" si="852"/>
        <v>300</v>
      </c>
      <c r="HC104" s="120"/>
      <c r="HD104" s="120"/>
      <c r="HE104" s="120"/>
      <c r="HF104" s="120"/>
      <c r="HG104" s="120"/>
      <c r="HH104" s="209"/>
      <c r="HI104" s="205"/>
      <c r="HJ104" s="205">
        <f t="shared" si="853"/>
        <v>0</v>
      </c>
      <c r="HK104" s="205">
        <f t="shared" si="854"/>
        <v>300</v>
      </c>
      <c r="HL104" s="124"/>
      <c r="HM104" s="120"/>
      <c r="HN104" s="120"/>
      <c r="HO104" s="120"/>
      <c r="HP104" s="120"/>
      <c r="HQ104" s="205"/>
      <c r="HR104" s="205"/>
      <c r="HS104" s="205">
        <f t="shared" si="934"/>
        <v>0</v>
      </c>
      <c r="HT104" s="120"/>
      <c r="HU104" s="120"/>
      <c r="HV104" s="120"/>
      <c r="HW104" s="120"/>
      <c r="HX104" s="120"/>
      <c r="HY104" s="205"/>
      <c r="HZ104" s="205"/>
      <c r="IA104" s="205">
        <f t="shared" si="935"/>
        <v>0</v>
      </c>
      <c r="IB104" s="120"/>
      <c r="IC104" s="120"/>
      <c r="ID104" s="120"/>
      <c r="IE104" s="120"/>
      <c r="IF104" s="120"/>
      <c r="IG104" s="205"/>
      <c r="IH104" s="205"/>
      <c r="II104" s="205">
        <f t="shared" si="936"/>
        <v>0</v>
      </c>
      <c r="IJ104" s="120"/>
      <c r="IK104" s="120"/>
      <c r="IL104" s="120"/>
      <c r="IM104" s="120"/>
      <c r="IN104" s="120"/>
      <c r="IO104" s="205"/>
      <c r="IP104" s="205"/>
      <c r="IQ104" s="205">
        <f t="shared" si="937"/>
        <v>0</v>
      </c>
      <c r="IR104" s="205">
        <f t="shared" si="938"/>
        <v>0</v>
      </c>
      <c r="IS104" s="120"/>
      <c r="IT104" s="120"/>
      <c r="IU104" s="217">
        <v>240</v>
      </c>
      <c r="IV104" s="120"/>
      <c r="IW104" s="120"/>
      <c r="IX104" s="205"/>
      <c r="IY104" s="205"/>
      <c r="IZ104" s="205">
        <f t="shared" si="939"/>
        <v>240</v>
      </c>
      <c r="JA104" s="120"/>
      <c r="JB104" s="120"/>
      <c r="JC104" s="120"/>
      <c r="JD104" s="120"/>
      <c r="JE104" s="120"/>
      <c r="JF104" s="205"/>
      <c r="JG104" s="205"/>
      <c r="JH104" s="205">
        <f t="shared" si="940"/>
        <v>0</v>
      </c>
      <c r="JI104" s="120"/>
      <c r="JJ104" s="120"/>
      <c r="JK104" s="120"/>
      <c r="JL104" s="120"/>
      <c r="JM104" s="120"/>
      <c r="JN104" s="205"/>
      <c r="JO104" s="205"/>
      <c r="JP104" s="205">
        <f t="shared" si="941"/>
        <v>0</v>
      </c>
      <c r="JQ104" s="120"/>
      <c r="JR104" s="120"/>
      <c r="JS104" s="201">
        <v>740</v>
      </c>
      <c r="JT104" s="120"/>
      <c r="JU104" s="120"/>
      <c r="JV104" s="205"/>
      <c r="JW104" s="205"/>
      <c r="JX104" s="205">
        <f t="shared" si="942"/>
        <v>740</v>
      </c>
      <c r="JY104" s="205">
        <f t="shared" si="943"/>
        <v>980</v>
      </c>
      <c r="JZ104" s="120"/>
      <c r="KA104" s="120"/>
      <c r="KB104" s="120"/>
      <c r="KC104" s="120"/>
      <c r="KD104" s="120"/>
      <c r="KE104" s="205"/>
      <c r="KF104" s="205"/>
      <c r="KG104" s="205">
        <f t="shared" si="944"/>
        <v>0</v>
      </c>
      <c r="KH104" s="120"/>
      <c r="KI104" s="120"/>
      <c r="KJ104" s="120"/>
      <c r="KK104" s="120"/>
      <c r="KL104" s="120"/>
      <c r="KM104" s="205"/>
      <c r="KN104" s="205"/>
      <c r="KO104" s="205">
        <f t="shared" si="945"/>
        <v>0</v>
      </c>
      <c r="KP104" s="120"/>
      <c r="KQ104" s="120"/>
      <c r="KR104" s="120"/>
      <c r="KS104" s="120"/>
      <c r="KT104" s="120"/>
      <c r="KU104" s="205"/>
      <c r="KV104" s="205"/>
      <c r="KW104" s="205">
        <f t="shared" si="946"/>
        <v>0</v>
      </c>
      <c r="KX104" s="120"/>
      <c r="KY104" s="120"/>
      <c r="KZ104" s="120"/>
      <c r="LA104" s="120"/>
      <c r="LB104" s="120"/>
      <c r="LC104" s="205"/>
      <c r="LD104" s="205"/>
      <c r="LE104" s="205">
        <f t="shared" si="947"/>
        <v>0</v>
      </c>
      <c r="LF104" s="205"/>
      <c r="LG104" s="120"/>
      <c r="LH104" s="120"/>
      <c r="LI104" s="120"/>
      <c r="LJ104" s="120"/>
      <c r="LK104" s="205"/>
      <c r="LL104" s="205"/>
      <c r="LM104" s="205">
        <f t="shared" si="948"/>
        <v>0</v>
      </c>
      <c r="LN104" s="205">
        <f t="shared" si="949"/>
        <v>0</v>
      </c>
      <c r="LO104" s="205"/>
      <c r="LP104" s="120"/>
      <c r="LQ104" s="120"/>
      <c r="LR104" s="120"/>
      <c r="LS104" s="205"/>
      <c r="LT104" s="205"/>
      <c r="LU104" s="205"/>
      <c r="LV104" s="205">
        <f t="shared" si="950"/>
        <v>0</v>
      </c>
      <c r="LW104" s="120"/>
      <c r="LX104" s="120"/>
      <c r="LY104" s="124">
        <v>364</v>
      </c>
      <c r="LZ104" s="120"/>
      <c r="MA104" s="120"/>
      <c r="MB104" s="205"/>
      <c r="MC104" s="205"/>
      <c r="MD104" s="205">
        <f t="shared" si="951"/>
        <v>364</v>
      </c>
      <c r="ME104" s="120"/>
      <c r="MF104" s="120"/>
      <c r="MG104" s="120"/>
      <c r="MH104" s="120"/>
      <c r="MI104" s="205"/>
      <c r="MJ104" s="205"/>
      <c r="MK104" s="205"/>
      <c r="ML104" s="205">
        <f t="shared" si="952"/>
        <v>0</v>
      </c>
      <c r="MM104" s="120"/>
      <c r="MN104" s="120"/>
      <c r="MO104" s="120"/>
      <c r="MP104" s="120"/>
      <c r="MQ104" s="120"/>
      <c r="MR104" s="205"/>
      <c r="MS104" s="205"/>
      <c r="MT104" s="205">
        <f t="shared" si="953"/>
        <v>0</v>
      </c>
      <c r="MU104" s="205">
        <f t="shared" si="954"/>
        <v>364</v>
      </c>
      <c r="MV104" s="124">
        <v>300</v>
      </c>
      <c r="MW104" s="120"/>
      <c r="MX104" s="120"/>
      <c r="MY104" s="120"/>
      <c r="MZ104" s="120"/>
      <c r="NA104" s="205"/>
      <c r="NB104" s="205"/>
      <c r="NC104" s="205">
        <f t="shared" si="880"/>
        <v>300</v>
      </c>
      <c r="ND104" s="120"/>
      <c r="NE104" s="120"/>
      <c r="NF104" s="120"/>
      <c r="NG104" s="120"/>
      <c r="NH104" s="120"/>
      <c r="NI104" s="205"/>
      <c r="NJ104" s="205"/>
      <c r="NK104" s="205">
        <f t="shared" si="881"/>
        <v>0</v>
      </c>
      <c r="NL104" s="120"/>
      <c r="NM104" s="120"/>
      <c r="NN104" s="120"/>
      <c r="NO104" s="120"/>
      <c r="NP104" s="120"/>
      <c r="NQ104" s="205"/>
      <c r="NR104" s="205"/>
      <c r="NS104" s="205">
        <f t="shared" si="882"/>
        <v>0</v>
      </c>
      <c r="NT104" s="120"/>
      <c r="NU104" s="120"/>
      <c r="NV104" s="120"/>
      <c r="NW104" s="120"/>
      <c r="NX104" s="120"/>
      <c r="NY104" s="205"/>
      <c r="NZ104" s="205"/>
      <c r="OA104" s="205">
        <f t="shared" si="883"/>
        <v>0</v>
      </c>
      <c r="OB104" s="205">
        <f t="shared" si="884"/>
        <v>300</v>
      </c>
      <c r="OC104" s="120"/>
      <c r="OD104" s="120"/>
      <c r="OE104" s="120"/>
      <c r="OF104" s="120"/>
      <c r="OG104" s="120"/>
      <c r="OH104" s="205"/>
      <c r="OI104" s="205"/>
      <c r="OJ104" s="205">
        <f t="shared" si="885"/>
        <v>0</v>
      </c>
      <c r="OK104" s="120"/>
      <c r="OL104" s="120"/>
      <c r="OM104" s="120"/>
      <c r="ON104" s="120"/>
      <c r="OO104" s="120"/>
      <c r="OP104" s="205"/>
      <c r="OQ104" s="205"/>
      <c r="OR104" s="205">
        <f t="shared" si="886"/>
        <v>0</v>
      </c>
      <c r="OS104" s="124">
        <v>300</v>
      </c>
      <c r="OT104" s="120"/>
      <c r="OU104" s="120"/>
      <c r="OV104" s="120"/>
      <c r="OW104" s="120"/>
      <c r="OX104" s="205"/>
      <c r="OY104" s="205"/>
      <c r="OZ104" s="205">
        <f t="shared" si="887"/>
        <v>300</v>
      </c>
      <c r="PA104" s="120"/>
      <c r="PB104" s="120"/>
      <c r="PC104" s="120"/>
      <c r="PD104" s="205"/>
      <c r="PE104" s="217"/>
      <c r="PF104" s="205"/>
      <c r="PG104" s="205"/>
      <c r="PH104" s="205">
        <f t="shared" si="888"/>
        <v>0</v>
      </c>
      <c r="PI104" s="120"/>
      <c r="PJ104" s="120"/>
      <c r="PK104" s="120"/>
      <c r="PL104" s="205"/>
      <c r="PM104" s="217"/>
      <c r="PN104" s="205"/>
      <c r="PO104" s="205"/>
      <c r="PP104" s="205">
        <f t="shared" si="889"/>
        <v>0</v>
      </c>
      <c r="PQ104" s="205">
        <f t="shared" si="890"/>
        <v>300</v>
      </c>
      <c r="PR104" s="207"/>
      <c r="PS104" s="207"/>
      <c r="PT104" s="207"/>
      <c r="PU104" s="207"/>
      <c r="PV104" s="207"/>
      <c r="PW104" s="272"/>
      <c r="PX104" s="272"/>
      <c r="PY104" s="205">
        <f t="shared" si="891"/>
        <v>0</v>
      </c>
      <c r="PZ104" s="207"/>
      <c r="QA104" s="120"/>
      <c r="QB104" s="207"/>
      <c r="QC104" s="195">
        <v>440</v>
      </c>
      <c r="QD104" s="207"/>
      <c r="QE104" s="272"/>
      <c r="QF104" s="272"/>
      <c r="QG104" s="205">
        <f t="shared" si="892"/>
        <v>440</v>
      </c>
      <c r="QH104" s="207"/>
      <c r="QI104" s="207"/>
      <c r="QJ104" s="294"/>
      <c r="QK104" s="207"/>
      <c r="QL104" s="207"/>
      <c r="QM104" s="272"/>
      <c r="QN104" s="272"/>
      <c r="QO104" s="205">
        <f t="shared" si="893"/>
        <v>0</v>
      </c>
      <c r="QP104" s="207"/>
      <c r="QQ104" s="207"/>
      <c r="QR104" s="207"/>
      <c r="QS104" s="207"/>
      <c r="QT104" s="207"/>
      <c r="QU104" s="272"/>
      <c r="QV104" s="272"/>
      <c r="QW104" s="205">
        <f t="shared" si="894"/>
        <v>0</v>
      </c>
      <c r="QX104" s="205">
        <f t="shared" si="895"/>
        <v>440</v>
      </c>
      <c r="QY104" s="207"/>
      <c r="QZ104" s="207"/>
      <c r="RA104" s="207"/>
      <c r="RB104" s="207"/>
      <c r="RC104" s="207"/>
      <c r="RD104" s="272"/>
      <c r="RE104" s="272"/>
      <c r="RF104" s="205">
        <f t="shared" si="896"/>
        <v>0</v>
      </c>
      <c r="RG104" s="207"/>
      <c r="RH104" s="207"/>
      <c r="RI104" s="207"/>
      <c r="RJ104" s="207"/>
      <c r="RK104" s="207"/>
      <c r="RL104" s="272"/>
      <c r="RM104" s="272"/>
      <c r="RN104" s="205">
        <f t="shared" si="897"/>
        <v>0</v>
      </c>
      <c r="RO104" s="272"/>
      <c r="RP104" s="272"/>
      <c r="RQ104" s="272"/>
      <c r="RR104" s="272"/>
      <c r="RS104" s="272"/>
      <c r="RT104" s="272"/>
      <c r="RU104" s="272"/>
      <c r="RV104" s="205">
        <f t="shared" si="898"/>
        <v>0</v>
      </c>
      <c r="RW104" s="207"/>
      <c r="RX104" s="207"/>
      <c r="RY104" s="207"/>
      <c r="RZ104" s="217">
        <v>144</v>
      </c>
      <c r="SA104" s="272"/>
      <c r="SB104" s="272"/>
      <c r="SC104" s="272"/>
      <c r="SD104" s="205">
        <f t="shared" si="899"/>
        <v>144</v>
      </c>
      <c r="SE104" s="205">
        <f t="shared" si="900"/>
        <v>144</v>
      </c>
      <c r="SF104" s="207"/>
      <c r="SG104" s="207"/>
      <c r="SH104" s="207"/>
      <c r="SI104" s="207"/>
      <c r="SJ104" s="207"/>
      <c r="SK104" s="272"/>
      <c r="SL104" s="272"/>
      <c r="SM104" s="205">
        <f t="shared" si="901"/>
        <v>0</v>
      </c>
      <c r="SN104" s="207"/>
      <c r="SO104" s="207"/>
      <c r="SP104" s="207"/>
      <c r="SQ104" s="207"/>
      <c r="SR104" s="207"/>
      <c r="SS104" s="272"/>
      <c r="ST104" s="272"/>
      <c r="SU104" s="205">
        <f t="shared" si="902"/>
        <v>0</v>
      </c>
      <c r="SV104" s="207"/>
      <c r="SW104" s="207"/>
      <c r="SX104" s="207"/>
      <c r="SY104" s="207"/>
      <c r="SZ104" s="207"/>
      <c r="TA104" s="272"/>
      <c r="TB104" s="272"/>
      <c r="TC104" s="205">
        <f t="shared" si="903"/>
        <v>0</v>
      </c>
      <c r="TD104" s="207"/>
      <c r="TE104" s="207"/>
      <c r="TF104" s="207"/>
      <c r="TG104" s="207"/>
      <c r="TH104" s="207"/>
      <c r="TI104" s="272"/>
      <c r="TJ104" s="272"/>
      <c r="TK104" s="205">
        <f t="shared" si="904"/>
        <v>0</v>
      </c>
      <c r="TL104" s="207"/>
      <c r="TM104" s="207"/>
      <c r="TN104" s="207"/>
      <c r="TO104" s="207"/>
      <c r="TP104" s="272"/>
      <c r="TQ104" s="272"/>
      <c r="TR104" s="272"/>
      <c r="TS104" s="205">
        <f t="shared" si="905"/>
        <v>0</v>
      </c>
      <c r="TT104" s="205">
        <f t="shared" si="906"/>
        <v>0</v>
      </c>
      <c r="TU104" s="272"/>
      <c r="TV104" s="207"/>
      <c r="TW104" s="217">
        <v>440</v>
      </c>
      <c r="TX104" s="207"/>
      <c r="TY104" s="207"/>
      <c r="TZ104" s="272"/>
      <c r="UA104" s="272"/>
      <c r="UB104" s="205">
        <f t="shared" si="907"/>
        <v>440</v>
      </c>
      <c r="UC104" s="207"/>
      <c r="UD104" s="207"/>
      <c r="UE104" s="207"/>
      <c r="UF104" s="207"/>
      <c r="UG104" s="207"/>
      <c r="UH104" s="272"/>
      <c r="UI104" s="272"/>
      <c r="UJ104" s="205">
        <f t="shared" si="908"/>
        <v>0</v>
      </c>
      <c r="UK104" s="207"/>
      <c r="UL104" s="207"/>
      <c r="UM104" s="207"/>
      <c r="UN104" s="207"/>
      <c r="UO104" s="207"/>
      <c r="UP104" s="272"/>
      <c r="UQ104" s="272"/>
      <c r="UR104" s="205">
        <f t="shared" si="909"/>
        <v>0</v>
      </c>
      <c r="US104" s="207"/>
      <c r="UT104" s="207"/>
      <c r="UU104" s="207"/>
      <c r="UV104" s="207"/>
      <c r="UW104" s="272"/>
      <c r="UX104" s="272"/>
      <c r="UY104" s="272"/>
      <c r="UZ104" s="205">
        <f t="shared" si="910"/>
        <v>0</v>
      </c>
      <c r="VA104" s="205">
        <f t="shared" si="911"/>
        <v>440</v>
      </c>
      <c r="VB104" s="207"/>
      <c r="VC104" s="207"/>
      <c r="VD104" s="207"/>
      <c r="VE104" s="207"/>
      <c r="VF104" s="207"/>
      <c r="VG104" s="272"/>
      <c r="VH104" s="272"/>
      <c r="VI104" s="205">
        <f t="shared" si="912"/>
        <v>0</v>
      </c>
      <c r="VJ104" s="207"/>
      <c r="VK104" s="207"/>
      <c r="VL104" s="207"/>
      <c r="VM104" s="207"/>
      <c r="VN104" s="207"/>
      <c r="VO104" s="272"/>
      <c r="VP104" s="272"/>
      <c r="VQ104" s="205">
        <f t="shared" si="913"/>
        <v>0</v>
      </c>
      <c r="VR104" s="120"/>
      <c r="VS104" s="207"/>
      <c r="VT104" s="207"/>
      <c r="VU104" s="195">
        <v>300</v>
      </c>
      <c r="VV104" s="207"/>
      <c r="VW104" s="272"/>
      <c r="VX104" s="272"/>
      <c r="VY104" s="205">
        <f t="shared" si="914"/>
        <v>300</v>
      </c>
      <c r="VZ104" s="207"/>
      <c r="WA104" s="207"/>
      <c r="WB104" s="207"/>
      <c r="WC104" s="207"/>
      <c r="WD104" s="207"/>
      <c r="WE104" s="272"/>
      <c r="WF104" s="272"/>
      <c r="WG104" s="205">
        <f t="shared" si="915"/>
        <v>0</v>
      </c>
      <c r="WH104" s="205">
        <f t="shared" si="916"/>
        <v>300</v>
      </c>
      <c r="WI104" s="207"/>
      <c r="WJ104" s="207"/>
      <c r="WK104" s="207"/>
      <c r="WL104" s="207"/>
      <c r="WM104" s="207"/>
      <c r="WN104" s="272"/>
      <c r="WO104" s="272"/>
      <c r="WP104" s="205">
        <f t="shared" si="917"/>
        <v>0</v>
      </c>
      <c r="WQ104" s="207"/>
      <c r="WR104" s="207"/>
      <c r="WS104" s="207"/>
      <c r="WT104" s="207"/>
      <c r="WU104" s="207"/>
      <c r="WV104" s="272"/>
      <c r="WW104" s="272"/>
      <c r="WX104" s="205">
        <f t="shared" si="918"/>
        <v>0</v>
      </c>
      <c r="WY104" s="207"/>
      <c r="WZ104" s="207"/>
      <c r="XA104" s="207"/>
      <c r="XB104" s="207"/>
      <c r="XC104" s="272"/>
      <c r="XD104" s="272"/>
      <c r="XE104" s="272"/>
      <c r="XF104" s="205">
        <f t="shared" si="919"/>
        <v>0</v>
      </c>
      <c r="XG104" s="207"/>
      <c r="XH104" s="207"/>
      <c r="XI104" s="207"/>
      <c r="XJ104" s="207"/>
      <c r="XK104" s="207"/>
      <c r="XL104" s="272"/>
      <c r="XM104" s="272"/>
      <c r="XN104" s="205">
        <f t="shared" si="920"/>
        <v>0</v>
      </c>
      <c r="XO104" s="207"/>
      <c r="XP104" s="207"/>
      <c r="XQ104" s="207"/>
      <c r="XR104" s="207"/>
      <c r="XS104" s="207"/>
      <c r="XT104" s="272"/>
      <c r="XU104" s="272"/>
      <c r="XV104" s="205">
        <f t="shared" si="921"/>
        <v>0</v>
      </c>
      <c r="XW104" s="205">
        <f t="shared" si="922"/>
        <v>0</v>
      </c>
      <c r="XX104" s="207"/>
      <c r="XY104" s="207"/>
      <c r="XZ104" s="207"/>
      <c r="YA104" s="207"/>
      <c r="YB104" s="207"/>
      <c r="YC104" s="272"/>
      <c r="YD104" s="272"/>
      <c r="YE104" s="205">
        <f t="shared" si="923"/>
        <v>0</v>
      </c>
      <c r="YF104" s="207"/>
      <c r="YG104" s="207"/>
      <c r="YH104" s="207"/>
      <c r="YI104" s="207"/>
      <c r="YJ104" s="207"/>
      <c r="YK104" s="272"/>
      <c r="YL104" s="272"/>
      <c r="YM104" s="205">
        <f t="shared" si="924"/>
        <v>0</v>
      </c>
      <c r="YN104" s="207"/>
      <c r="YO104" s="207"/>
      <c r="YP104" s="207"/>
      <c r="YQ104" s="207"/>
      <c r="YR104" s="207"/>
      <c r="YS104" s="272"/>
      <c r="YT104" s="272"/>
      <c r="YU104" s="205">
        <f t="shared" si="925"/>
        <v>0</v>
      </c>
      <c r="YV104" s="207"/>
      <c r="YW104" s="207"/>
      <c r="YX104" s="207"/>
      <c r="YY104" s="207"/>
      <c r="YZ104" s="207"/>
      <c r="ZA104" s="272"/>
      <c r="ZB104" s="272"/>
      <c r="ZC104" s="205">
        <f t="shared" si="926"/>
        <v>0</v>
      </c>
      <c r="ZD104" s="205">
        <f t="shared" si="927"/>
        <v>0</v>
      </c>
      <c r="ZE104" s="207"/>
      <c r="ZF104" s="207"/>
      <c r="ZG104" s="207"/>
      <c r="ZH104" s="207"/>
      <c r="ZI104" s="207"/>
      <c r="ZJ104" s="272"/>
      <c r="ZK104" s="272"/>
      <c r="ZL104" s="205">
        <f t="shared" si="928"/>
        <v>0</v>
      </c>
      <c r="ZM104" s="207"/>
      <c r="ZN104" s="207"/>
      <c r="ZO104" s="207"/>
      <c r="ZP104" s="207"/>
      <c r="ZQ104" s="207"/>
      <c r="ZR104" s="272"/>
      <c r="ZS104" s="272"/>
      <c r="ZT104" s="205">
        <f t="shared" si="929"/>
        <v>0</v>
      </c>
      <c r="ZU104" s="207"/>
      <c r="ZV104" s="207"/>
      <c r="ZW104" s="207"/>
      <c r="ZX104" s="207"/>
      <c r="ZY104" s="207"/>
      <c r="ZZ104" s="272"/>
      <c r="AAA104" s="272"/>
      <c r="AAB104" s="205">
        <f t="shared" si="930"/>
        <v>0</v>
      </c>
      <c r="AAC104" s="207"/>
      <c r="AAD104" s="207"/>
      <c r="AAE104" s="207"/>
      <c r="AAF104" s="207"/>
      <c r="AAG104" s="207"/>
      <c r="AAH104" s="272"/>
      <c r="AAI104" s="272"/>
      <c r="AAJ104" s="205">
        <f t="shared" si="931"/>
        <v>0</v>
      </c>
      <c r="AAK104" s="207"/>
      <c r="AAL104" s="207"/>
      <c r="AAM104" s="207"/>
      <c r="AAN104" s="207"/>
      <c r="AAO104" s="207"/>
      <c r="AAP104" s="272"/>
      <c r="AAQ104" s="272"/>
      <c r="AAR104" s="205">
        <f t="shared" si="932"/>
        <v>0</v>
      </c>
      <c r="AAS104" s="205">
        <f t="shared" si="933"/>
        <v>0</v>
      </c>
    </row>
    <row r="105" spans="1:721" ht="69.599999999999994" customHeight="1">
      <c r="B105" s="151">
        <v>3630101460</v>
      </c>
      <c r="C105" s="323" t="s">
        <v>741</v>
      </c>
      <c r="D105" s="152" t="s">
        <v>795</v>
      </c>
      <c r="E105" s="130" t="s">
        <v>4</v>
      </c>
      <c r="F105" s="120"/>
      <c r="G105" s="120"/>
      <c r="H105" s="120"/>
      <c r="I105" s="120"/>
      <c r="J105" s="120"/>
      <c r="K105" s="209"/>
      <c r="L105" s="205"/>
      <c r="M105" s="205">
        <f t="shared" ref="M105" si="1171">SUM(F105:L105)</f>
        <v>0</v>
      </c>
      <c r="N105" s="120"/>
      <c r="O105" s="120"/>
      <c r="P105" s="120"/>
      <c r="Q105" s="120"/>
      <c r="R105" s="120"/>
      <c r="S105" s="209"/>
      <c r="T105" s="205"/>
      <c r="U105" s="205">
        <f t="shared" ref="U105" si="1172">SUM(N105:T105)</f>
        <v>0</v>
      </c>
      <c r="V105" s="120"/>
      <c r="W105" s="120"/>
      <c r="X105" s="120"/>
      <c r="Y105" s="120"/>
      <c r="Z105" s="120"/>
      <c r="AA105" s="209"/>
      <c r="AB105" s="205"/>
      <c r="AC105" s="205">
        <f t="shared" ref="AC105" si="1173">SUM(V105:AB105)</f>
        <v>0</v>
      </c>
      <c r="AD105" s="205"/>
      <c r="AE105" s="205"/>
      <c r="AF105" s="205"/>
      <c r="AG105" s="205"/>
      <c r="AH105" s="205"/>
      <c r="AI105" s="209"/>
      <c r="AJ105" s="205"/>
      <c r="AK105" s="205">
        <f t="shared" ref="AK105" si="1174">SUM(AD105:AJ105)</f>
        <v>0</v>
      </c>
      <c r="AL105" s="205" t="e">
        <f>SUM(#REF!,M105,U105,AC105,AD105:AH105)</f>
        <v>#REF!</v>
      </c>
      <c r="AM105" s="120"/>
      <c r="AN105" s="120"/>
      <c r="AO105" s="120"/>
      <c r="AP105" s="120"/>
      <c r="AQ105" s="120"/>
      <c r="AR105" s="209"/>
      <c r="AS105" s="205"/>
      <c r="AT105" s="205">
        <f t="shared" si="1052"/>
        <v>0</v>
      </c>
      <c r="AU105" s="120"/>
      <c r="AV105" s="120"/>
      <c r="AW105" s="120"/>
      <c r="AX105" s="120"/>
      <c r="AY105" s="120"/>
      <c r="AZ105" s="209"/>
      <c r="BA105" s="205"/>
      <c r="BB105" s="205">
        <f t="shared" si="1053"/>
        <v>0</v>
      </c>
      <c r="BC105" s="120"/>
      <c r="BD105" s="120"/>
      <c r="BE105" s="120"/>
      <c r="BF105" s="120"/>
      <c r="BG105" s="120"/>
      <c r="BH105" s="209"/>
      <c r="BI105" s="205"/>
      <c r="BJ105" s="205">
        <f t="shared" si="1054"/>
        <v>0</v>
      </c>
      <c r="BK105" s="120"/>
      <c r="BL105" s="120"/>
      <c r="BM105" s="120"/>
      <c r="BN105" s="120"/>
      <c r="BO105" s="205"/>
      <c r="BP105" s="209"/>
      <c r="BQ105" s="205"/>
      <c r="BR105" s="205">
        <f t="shared" si="1055"/>
        <v>0</v>
      </c>
      <c r="BS105" s="205">
        <f t="shared" ref="BS105" si="1175">SUM(AI105:AJ105,AT105,BB105,BJ105,BK105:BO105)</f>
        <v>0</v>
      </c>
      <c r="BT105" s="120"/>
      <c r="BU105" s="120"/>
      <c r="BV105" s="120"/>
      <c r="BW105" s="120"/>
      <c r="BX105" s="120"/>
      <c r="BY105" s="209"/>
      <c r="BZ105" s="205"/>
      <c r="CA105" s="205">
        <f t="shared" si="1056"/>
        <v>0</v>
      </c>
      <c r="CB105" s="120"/>
      <c r="CC105" s="120"/>
      <c r="CD105" s="120"/>
      <c r="CE105" s="120"/>
      <c r="CF105" s="120"/>
      <c r="CG105" s="209"/>
      <c r="CH105" s="205"/>
      <c r="CI105" s="205">
        <f t="shared" si="1057"/>
        <v>0</v>
      </c>
      <c r="CJ105" s="120"/>
      <c r="CK105" s="120"/>
      <c r="CL105" s="120"/>
      <c r="CM105" s="120"/>
      <c r="CN105" s="120"/>
      <c r="CO105" s="209"/>
      <c r="CP105" s="205"/>
      <c r="CQ105" s="205">
        <f t="shared" si="1058"/>
        <v>0</v>
      </c>
      <c r="CR105" s="120"/>
      <c r="CS105" s="120"/>
      <c r="CT105" s="120"/>
      <c r="CU105" s="120"/>
      <c r="CV105" s="120"/>
      <c r="CW105" s="209"/>
      <c r="CX105" s="205"/>
      <c r="CY105" s="205">
        <f t="shared" si="1059"/>
        <v>0</v>
      </c>
      <c r="CZ105" s="120"/>
      <c r="DA105" s="120"/>
      <c r="DB105" s="120"/>
      <c r="DC105" s="205"/>
      <c r="DD105" s="205"/>
      <c r="DE105" s="209"/>
      <c r="DF105" s="205"/>
      <c r="DG105" s="205">
        <f t="shared" si="1060"/>
        <v>0</v>
      </c>
      <c r="DH105" s="205">
        <f t="shared" ref="DH105" si="1176">SUM(CA105,CI105,CQ105,CY105,CZ105)</f>
        <v>0</v>
      </c>
      <c r="DI105" s="120"/>
      <c r="DJ105" s="120"/>
      <c r="DK105" s="120"/>
      <c r="DL105" s="120"/>
      <c r="DM105" s="120"/>
      <c r="DN105" s="209"/>
      <c r="DO105" s="205"/>
      <c r="DP105" s="205">
        <f t="shared" ref="DP105" si="1177">SUM(DI105:DO105)</f>
        <v>0</v>
      </c>
      <c r="DQ105" s="120"/>
      <c r="DR105" s="120"/>
      <c r="DS105" s="120"/>
      <c r="DT105" s="120"/>
      <c r="DU105" s="120"/>
      <c r="DV105" s="209"/>
      <c r="DW105" s="205"/>
      <c r="DX105" s="205">
        <f t="shared" ref="DX105" si="1178">SUM(DQ105:DW105)</f>
        <v>0</v>
      </c>
      <c r="DY105" s="120"/>
      <c r="DZ105" s="120"/>
      <c r="EA105" s="120"/>
      <c r="EB105" s="120"/>
      <c r="EC105" s="120"/>
      <c r="ED105" s="209"/>
      <c r="EE105" s="205"/>
      <c r="EF105" s="205">
        <f t="shared" ref="EF105" si="1179">SUM(DY105:EE105)</f>
        <v>0</v>
      </c>
      <c r="EG105" s="120"/>
      <c r="EH105" s="120"/>
      <c r="EI105" s="120"/>
      <c r="EJ105" s="205"/>
      <c r="EK105" s="205"/>
      <c r="EL105" s="209"/>
      <c r="EM105" s="205"/>
      <c r="EN105" s="205">
        <f t="shared" ref="EN105" si="1180">SUM(EG105:EM105)</f>
        <v>0</v>
      </c>
      <c r="EO105" s="205">
        <f t="shared" ref="EO105" si="1181">SUM(DA105:DF105,DP105,DX105,EF105,EG105:EI105)</f>
        <v>0</v>
      </c>
      <c r="EP105" s="120"/>
      <c r="EQ105" s="120"/>
      <c r="ER105" s="120"/>
      <c r="ES105" s="120"/>
      <c r="ET105" s="120"/>
      <c r="EU105" s="209"/>
      <c r="EV105" s="205"/>
      <c r="EW105" s="205">
        <f t="shared" ref="EW105" si="1182">SUM(EP105:EV105)</f>
        <v>0</v>
      </c>
      <c r="EX105" s="120"/>
      <c r="EY105" s="120"/>
      <c r="EZ105" s="120"/>
      <c r="FA105" s="120"/>
      <c r="FB105" s="120"/>
      <c r="FC105" s="209"/>
      <c r="FD105" s="205"/>
      <c r="FE105" s="205">
        <f t="shared" ref="FE105" si="1183">SUM(EX105:FD105)</f>
        <v>0</v>
      </c>
      <c r="FF105" s="120"/>
      <c r="FG105" s="120"/>
      <c r="FH105" s="120"/>
      <c r="FI105" s="120"/>
      <c r="FJ105" s="120"/>
      <c r="FK105" s="209"/>
      <c r="FL105" s="205"/>
      <c r="FM105" s="205">
        <f t="shared" ref="FM105" si="1184">SUM(FF105:FL105)</f>
        <v>0</v>
      </c>
      <c r="FN105" s="120"/>
      <c r="FO105" s="120"/>
      <c r="FP105" s="120"/>
      <c r="FQ105" s="120"/>
      <c r="FR105" s="205"/>
      <c r="FS105" s="209"/>
      <c r="FT105" s="205"/>
      <c r="FU105" s="205">
        <f t="shared" ref="FU105" si="1185">SUM(FN105:FT105)</f>
        <v>0</v>
      </c>
      <c r="FV105" s="205">
        <f t="shared" ref="FV105" si="1186">SUM(EJ105:EK105,EW105,FE105,FM105,FU105)</f>
        <v>0</v>
      </c>
      <c r="FW105" s="120"/>
      <c r="FX105" s="120"/>
      <c r="FY105" s="120"/>
      <c r="FZ105" s="120"/>
      <c r="GA105" s="120"/>
      <c r="GB105" s="209"/>
      <c r="GC105" s="205"/>
      <c r="GD105" s="205">
        <f t="shared" ref="GD105" si="1187">SUM(FW105:GC105)</f>
        <v>0</v>
      </c>
      <c r="GE105" s="120"/>
      <c r="GF105" s="120"/>
      <c r="GG105" s="120"/>
      <c r="GH105" s="120"/>
      <c r="GI105" s="120"/>
      <c r="GJ105" s="209"/>
      <c r="GK105" s="205"/>
      <c r="GL105" s="205">
        <f t="shared" ref="GL105" si="1188">SUM(GE105:GK105)</f>
        <v>0</v>
      </c>
      <c r="GM105" s="120"/>
      <c r="GN105" s="120"/>
      <c r="GO105" s="120"/>
      <c r="GP105" s="120"/>
      <c r="GQ105" s="120"/>
      <c r="GR105" s="209"/>
      <c r="GS105" s="205"/>
      <c r="GT105" s="205">
        <f t="shared" ref="GT105" si="1189">SUM(GM105:GS105)</f>
        <v>0</v>
      </c>
      <c r="GU105" s="120"/>
      <c r="GV105" s="120"/>
      <c r="GW105" s="120"/>
      <c r="GX105" s="120"/>
      <c r="GY105" s="120"/>
      <c r="GZ105" s="209"/>
      <c r="HA105" s="205"/>
      <c r="HB105" s="205">
        <f t="shared" ref="HB105" si="1190">SUM(GU105:HA105)</f>
        <v>0</v>
      </c>
      <c r="HC105" s="120"/>
      <c r="HD105" s="120"/>
      <c r="HE105" s="120"/>
      <c r="HF105" s="120"/>
      <c r="HG105" s="120"/>
      <c r="HH105" s="209"/>
      <c r="HI105" s="205"/>
      <c r="HJ105" s="205">
        <f t="shared" ref="HJ105" si="1191">SUM(HC105:HI105)</f>
        <v>0</v>
      </c>
      <c r="HK105" s="205">
        <f t="shared" ref="HK105" si="1192">SUM(GD105,GL105,GT105,HB105,HC105)</f>
        <v>0</v>
      </c>
      <c r="HL105" s="124"/>
      <c r="HM105" s="120"/>
      <c r="HN105" s="120"/>
      <c r="HO105" s="120"/>
      <c r="HP105" s="120"/>
      <c r="HQ105" s="205"/>
      <c r="HR105" s="205"/>
      <c r="HS105" s="205">
        <f t="shared" si="934"/>
        <v>0</v>
      </c>
      <c r="HT105" s="120"/>
      <c r="HU105" s="120"/>
      <c r="HV105" s="120"/>
      <c r="HW105" s="120"/>
      <c r="HX105" s="120"/>
      <c r="HY105" s="205"/>
      <c r="HZ105" s="205"/>
      <c r="IA105" s="205">
        <f t="shared" si="935"/>
        <v>0</v>
      </c>
      <c r="IB105" s="120"/>
      <c r="IC105" s="120"/>
      <c r="ID105" s="120"/>
      <c r="IE105" s="120"/>
      <c r="IF105" s="120"/>
      <c r="IG105" s="205"/>
      <c r="IH105" s="205"/>
      <c r="II105" s="205">
        <f t="shared" si="936"/>
        <v>0</v>
      </c>
      <c r="IJ105" s="120"/>
      <c r="IK105" s="120"/>
      <c r="IL105" s="120"/>
      <c r="IM105" s="120"/>
      <c r="IN105" s="120"/>
      <c r="IO105" s="205"/>
      <c r="IP105" s="205"/>
      <c r="IQ105" s="205">
        <f t="shared" si="937"/>
        <v>0</v>
      </c>
      <c r="IR105" s="205">
        <f t="shared" si="938"/>
        <v>0</v>
      </c>
      <c r="IS105" s="120"/>
      <c r="IT105" s="120"/>
      <c r="IU105" s="217">
        <v>60</v>
      </c>
      <c r="IV105" s="120"/>
      <c r="IW105" s="120"/>
      <c r="IX105" s="205"/>
      <c r="IY105" s="205"/>
      <c r="IZ105" s="205">
        <f t="shared" si="939"/>
        <v>60</v>
      </c>
      <c r="JA105" s="120"/>
      <c r="JB105" s="120"/>
      <c r="JC105" s="120"/>
      <c r="JD105" s="120"/>
      <c r="JE105" s="120"/>
      <c r="JF105" s="205"/>
      <c r="JG105" s="205"/>
      <c r="JH105" s="205">
        <f t="shared" si="940"/>
        <v>0</v>
      </c>
      <c r="JI105" s="120"/>
      <c r="JJ105" s="120"/>
      <c r="JK105" s="120"/>
      <c r="JL105" s="120"/>
      <c r="JM105" s="120"/>
      <c r="JN105" s="205"/>
      <c r="JO105" s="205"/>
      <c r="JP105" s="205">
        <f t="shared" si="941"/>
        <v>0</v>
      </c>
      <c r="JQ105" s="120"/>
      <c r="JR105" s="120"/>
      <c r="JS105" s="201">
        <v>60</v>
      </c>
      <c r="JT105" s="120"/>
      <c r="JU105" s="120"/>
      <c r="JV105" s="205"/>
      <c r="JW105" s="205"/>
      <c r="JX105" s="205">
        <f t="shared" si="942"/>
        <v>60</v>
      </c>
      <c r="JY105" s="205">
        <f t="shared" si="943"/>
        <v>120</v>
      </c>
      <c r="JZ105" s="120"/>
      <c r="KA105" s="120"/>
      <c r="KB105" s="120"/>
      <c r="KC105" s="120"/>
      <c r="KD105" s="120"/>
      <c r="KE105" s="205"/>
      <c r="KF105" s="205"/>
      <c r="KG105" s="205">
        <f t="shared" si="944"/>
        <v>0</v>
      </c>
      <c r="KH105" s="120"/>
      <c r="KI105" s="120"/>
      <c r="KJ105" s="120"/>
      <c r="KK105" s="120"/>
      <c r="KL105" s="120"/>
      <c r="KM105" s="205"/>
      <c r="KN105" s="205"/>
      <c r="KO105" s="205">
        <f t="shared" si="945"/>
        <v>0</v>
      </c>
      <c r="KP105" s="120"/>
      <c r="KQ105" s="120"/>
      <c r="KR105" s="120"/>
      <c r="KS105" s="120"/>
      <c r="KT105" s="120"/>
      <c r="KU105" s="205"/>
      <c r="KV105" s="205"/>
      <c r="KW105" s="205">
        <f t="shared" si="946"/>
        <v>0</v>
      </c>
      <c r="KX105" s="120"/>
      <c r="KY105" s="120"/>
      <c r="KZ105" s="120"/>
      <c r="LA105" s="120"/>
      <c r="LB105" s="120"/>
      <c r="LC105" s="205"/>
      <c r="LD105" s="205"/>
      <c r="LE105" s="205">
        <f t="shared" si="947"/>
        <v>0</v>
      </c>
      <c r="LF105" s="205"/>
      <c r="LG105" s="120"/>
      <c r="LH105" s="120"/>
      <c r="LI105" s="120"/>
      <c r="LJ105" s="120"/>
      <c r="LK105" s="205"/>
      <c r="LL105" s="205"/>
      <c r="LM105" s="205">
        <f t="shared" si="948"/>
        <v>0</v>
      </c>
      <c r="LN105" s="205">
        <f t="shared" si="949"/>
        <v>0</v>
      </c>
      <c r="LO105" s="205"/>
      <c r="LP105" s="120"/>
      <c r="LQ105" s="120"/>
      <c r="LR105" s="120"/>
      <c r="LS105" s="205"/>
      <c r="LT105" s="205"/>
      <c r="LU105" s="205"/>
      <c r="LV105" s="205">
        <f t="shared" si="950"/>
        <v>0</v>
      </c>
      <c r="LW105" s="120"/>
      <c r="LX105" s="120"/>
      <c r="LY105" s="124">
        <v>36</v>
      </c>
      <c r="LZ105" s="120"/>
      <c r="MA105" s="120"/>
      <c r="MB105" s="205"/>
      <c r="MC105" s="205"/>
      <c r="MD105" s="205">
        <f t="shared" si="951"/>
        <v>36</v>
      </c>
      <c r="ME105" s="120"/>
      <c r="MF105" s="120"/>
      <c r="MG105" s="120"/>
      <c r="MH105" s="120"/>
      <c r="MI105" s="205"/>
      <c r="MJ105" s="205"/>
      <c r="MK105" s="205"/>
      <c r="ML105" s="205">
        <f t="shared" si="952"/>
        <v>0</v>
      </c>
      <c r="MM105" s="120"/>
      <c r="MN105" s="120"/>
      <c r="MO105" s="120"/>
      <c r="MP105" s="120"/>
      <c r="MQ105" s="120"/>
      <c r="MR105" s="205"/>
      <c r="MS105" s="205"/>
      <c r="MT105" s="205">
        <f t="shared" si="953"/>
        <v>0</v>
      </c>
      <c r="MU105" s="205">
        <f t="shared" si="954"/>
        <v>36</v>
      </c>
      <c r="MV105" s="120"/>
      <c r="MW105" s="120"/>
      <c r="MX105" s="120"/>
      <c r="MY105" s="120"/>
      <c r="MZ105" s="120"/>
      <c r="NA105" s="205"/>
      <c r="NB105" s="205"/>
      <c r="NC105" s="205">
        <f t="shared" si="880"/>
        <v>0</v>
      </c>
      <c r="ND105" s="120"/>
      <c r="NE105" s="120"/>
      <c r="NF105" s="120"/>
      <c r="NG105" s="120"/>
      <c r="NH105" s="120"/>
      <c r="NI105" s="205"/>
      <c r="NJ105" s="205"/>
      <c r="NK105" s="205">
        <f t="shared" si="881"/>
        <v>0</v>
      </c>
      <c r="NL105" s="120"/>
      <c r="NM105" s="120"/>
      <c r="NN105" s="120"/>
      <c r="NO105" s="120"/>
      <c r="NP105" s="120"/>
      <c r="NQ105" s="205"/>
      <c r="NR105" s="205"/>
      <c r="NS105" s="205">
        <f t="shared" si="882"/>
        <v>0</v>
      </c>
      <c r="NT105" s="120"/>
      <c r="NU105" s="120"/>
      <c r="NV105" s="120"/>
      <c r="NW105" s="120"/>
      <c r="NX105" s="120"/>
      <c r="NY105" s="205"/>
      <c r="NZ105" s="205"/>
      <c r="OA105" s="205">
        <f t="shared" si="883"/>
        <v>0</v>
      </c>
      <c r="OB105" s="205">
        <f t="shared" si="884"/>
        <v>0</v>
      </c>
      <c r="OC105" s="120"/>
      <c r="OD105" s="120"/>
      <c r="OE105" s="120"/>
      <c r="OF105" s="120"/>
      <c r="OG105" s="120"/>
      <c r="OH105" s="205"/>
      <c r="OI105" s="205"/>
      <c r="OJ105" s="205">
        <f t="shared" si="885"/>
        <v>0</v>
      </c>
      <c r="OK105" s="120"/>
      <c r="OL105" s="120"/>
      <c r="OM105" s="120"/>
      <c r="ON105" s="120"/>
      <c r="OO105" s="120"/>
      <c r="OP105" s="205"/>
      <c r="OQ105" s="205"/>
      <c r="OR105" s="205">
        <f t="shared" si="886"/>
        <v>0</v>
      </c>
      <c r="OS105" s="120"/>
      <c r="OT105" s="120"/>
      <c r="OU105" s="120"/>
      <c r="OV105" s="120"/>
      <c r="OW105" s="120"/>
      <c r="OX105" s="205"/>
      <c r="OY105" s="205"/>
      <c r="OZ105" s="205">
        <f t="shared" si="887"/>
        <v>0</v>
      </c>
      <c r="PA105" s="120"/>
      <c r="PB105" s="120"/>
      <c r="PC105" s="120"/>
      <c r="PD105" s="205"/>
      <c r="PE105" s="217"/>
      <c r="PF105" s="205"/>
      <c r="PG105" s="205"/>
      <c r="PH105" s="205">
        <f t="shared" si="888"/>
        <v>0</v>
      </c>
      <c r="PI105" s="120"/>
      <c r="PJ105" s="120"/>
      <c r="PK105" s="120"/>
      <c r="PL105" s="205"/>
      <c r="PM105" s="217"/>
      <c r="PN105" s="205"/>
      <c r="PO105" s="205"/>
      <c r="PP105" s="205">
        <f t="shared" si="889"/>
        <v>0</v>
      </c>
      <c r="PQ105" s="205">
        <f t="shared" si="890"/>
        <v>0</v>
      </c>
      <c r="PR105" s="207"/>
      <c r="PS105" s="207"/>
      <c r="PT105" s="207"/>
      <c r="PU105" s="207"/>
      <c r="PV105" s="207"/>
      <c r="PW105" s="272"/>
      <c r="PX105" s="272"/>
      <c r="PY105" s="205">
        <f t="shared" si="891"/>
        <v>0</v>
      </c>
      <c r="PZ105" s="207"/>
      <c r="QA105" s="207"/>
      <c r="QB105" s="207"/>
      <c r="QC105" s="195">
        <v>60</v>
      </c>
      <c r="QD105" s="207"/>
      <c r="QE105" s="272"/>
      <c r="QF105" s="272"/>
      <c r="QG105" s="205">
        <f t="shared" si="892"/>
        <v>60</v>
      </c>
      <c r="QH105" s="207"/>
      <c r="QI105" s="207"/>
      <c r="QJ105" s="294"/>
      <c r="QK105" s="207"/>
      <c r="QL105" s="207"/>
      <c r="QM105" s="272"/>
      <c r="QN105" s="272"/>
      <c r="QO105" s="205">
        <f t="shared" si="893"/>
        <v>0</v>
      </c>
      <c r="QP105" s="207"/>
      <c r="QQ105" s="207"/>
      <c r="QR105" s="207"/>
      <c r="QS105" s="207"/>
      <c r="QT105" s="207"/>
      <c r="QU105" s="272"/>
      <c r="QV105" s="272"/>
      <c r="QW105" s="205">
        <f t="shared" si="894"/>
        <v>0</v>
      </c>
      <c r="QX105" s="205">
        <f t="shared" si="895"/>
        <v>60</v>
      </c>
      <c r="QY105" s="207"/>
      <c r="QZ105" s="207"/>
      <c r="RA105" s="207"/>
      <c r="RB105" s="207"/>
      <c r="RC105" s="207"/>
      <c r="RD105" s="272"/>
      <c r="RE105" s="272"/>
      <c r="RF105" s="205">
        <f t="shared" si="896"/>
        <v>0</v>
      </c>
      <c r="RG105" s="207"/>
      <c r="RH105" s="207"/>
      <c r="RI105" s="207"/>
      <c r="RJ105" s="207"/>
      <c r="RK105" s="207"/>
      <c r="RL105" s="272"/>
      <c r="RM105" s="272"/>
      <c r="RN105" s="205">
        <f t="shared" si="897"/>
        <v>0</v>
      </c>
      <c r="RO105" s="272"/>
      <c r="RP105" s="272"/>
      <c r="RQ105" s="272"/>
      <c r="RR105" s="272"/>
      <c r="RS105" s="272"/>
      <c r="RT105" s="272"/>
      <c r="RU105" s="272"/>
      <c r="RV105" s="205">
        <f t="shared" si="898"/>
        <v>0</v>
      </c>
      <c r="RW105" s="207"/>
      <c r="RX105" s="207"/>
      <c r="RY105" s="207"/>
      <c r="RZ105" s="217">
        <v>156</v>
      </c>
      <c r="SA105" s="272"/>
      <c r="SB105" s="272"/>
      <c r="SC105" s="272"/>
      <c r="SD105" s="205">
        <f t="shared" si="899"/>
        <v>156</v>
      </c>
      <c r="SE105" s="205">
        <f t="shared" si="900"/>
        <v>156</v>
      </c>
      <c r="SF105" s="207"/>
      <c r="SG105" s="207"/>
      <c r="SH105" s="207"/>
      <c r="SI105" s="207"/>
      <c r="SJ105" s="207"/>
      <c r="SK105" s="272"/>
      <c r="SL105" s="272"/>
      <c r="SM105" s="205">
        <f t="shared" si="901"/>
        <v>0</v>
      </c>
      <c r="SN105" s="207"/>
      <c r="SO105" s="207"/>
      <c r="SP105" s="207"/>
      <c r="SQ105" s="207"/>
      <c r="SR105" s="207"/>
      <c r="SS105" s="272"/>
      <c r="ST105" s="272"/>
      <c r="SU105" s="205">
        <f t="shared" si="902"/>
        <v>0</v>
      </c>
      <c r="SV105" s="207"/>
      <c r="SW105" s="207"/>
      <c r="SX105" s="207"/>
      <c r="SY105" s="207"/>
      <c r="SZ105" s="207"/>
      <c r="TA105" s="272"/>
      <c r="TB105" s="272"/>
      <c r="TC105" s="205">
        <f t="shared" si="903"/>
        <v>0</v>
      </c>
      <c r="TD105" s="207"/>
      <c r="TE105" s="207"/>
      <c r="TF105" s="207"/>
      <c r="TG105" s="207"/>
      <c r="TH105" s="207"/>
      <c r="TI105" s="272"/>
      <c r="TJ105" s="272"/>
      <c r="TK105" s="205">
        <f t="shared" si="904"/>
        <v>0</v>
      </c>
      <c r="TL105" s="207"/>
      <c r="TM105" s="207"/>
      <c r="TN105" s="207"/>
      <c r="TO105" s="207"/>
      <c r="TP105" s="272"/>
      <c r="TQ105" s="272"/>
      <c r="TR105" s="272"/>
      <c r="TS105" s="205">
        <f t="shared" si="905"/>
        <v>0</v>
      </c>
      <c r="TT105" s="205">
        <f t="shared" si="906"/>
        <v>0</v>
      </c>
      <c r="TU105" s="272"/>
      <c r="TV105" s="207"/>
      <c r="TW105" s="217">
        <v>60</v>
      </c>
      <c r="TX105" s="207"/>
      <c r="TY105" s="207"/>
      <c r="TZ105" s="272"/>
      <c r="UA105" s="272"/>
      <c r="UB105" s="205">
        <f t="shared" si="907"/>
        <v>60</v>
      </c>
      <c r="UC105" s="207"/>
      <c r="UD105" s="207"/>
      <c r="UE105" s="207"/>
      <c r="UF105" s="207"/>
      <c r="UG105" s="207"/>
      <c r="UH105" s="272"/>
      <c r="UI105" s="272"/>
      <c r="UJ105" s="205">
        <f t="shared" si="908"/>
        <v>0</v>
      </c>
      <c r="UK105" s="207"/>
      <c r="UL105" s="207"/>
      <c r="UM105" s="207"/>
      <c r="UN105" s="207"/>
      <c r="UO105" s="207"/>
      <c r="UP105" s="272"/>
      <c r="UQ105" s="272"/>
      <c r="UR105" s="205">
        <f t="shared" si="909"/>
        <v>0</v>
      </c>
      <c r="US105" s="207"/>
      <c r="UT105" s="207"/>
      <c r="UU105" s="207"/>
      <c r="UV105" s="207"/>
      <c r="UW105" s="272"/>
      <c r="UX105" s="272"/>
      <c r="UY105" s="272"/>
      <c r="UZ105" s="205">
        <f t="shared" si="910"/>
        <v>0</v>
      </c>
      <c r="VA105" s="205">
        <f t="shared" si="911"/>
        <v>60</v>
      </c>
      <c r="VB105" s="207"/>
      <c r="VC105" s="207"/>
      <c r="VD105" s="207"/>
      <c r="VE105" s="207"/>
      <c r="VF105" s="207"/>
      <c r="VG105" s="272"/>
      <c r="VH105" s="272"/>
      <c r="VI105" s="205">
        <f t="shared" si="912"/>
        <v>0</v>
      </c>
      <c r="VJ105" s="207"/>
      <c r="VK105" s="207"/>
      <c r="VL105" s="207"/>
      <c r="VM105" s="207"/>
      <c r="VN105" s="207"/>
      <c r="VO105" s="272"/>
      <c r="VP105" s="272"/>
      <c r="VQ105" s="205">
        <f t="shared" si="913"/>
        <v>0</v>
      </c>
      <c r="VR105" s="207"/>
      <c r="VS105" s="207"/>
      <c r="VT105" s="207"/>
      <c r="VU105" s="207"/>
      <c r="VV105" s="207"/>
      <c r="VW105" s="272"/>
      <c r="VX105" s="272"/>
      <c r="VY105" s="205">
        <f t="shared" si="914"/>
        <v>0</v>
      </c>
      <c r="VZ105" s="207"/>
      <c r="WA105" s="207"/>
      <c r="WB105" s="207"/>
      <c r="WC105" s="207"/>
      <c r="WD105" s="207"/>
      <c r="WE105" s="272"/>
      <c r="WF105" s="272"/>
      <c r="WG105" s="205">
        <f t="shared" si="915"/>
        <v>0</v>
      </c>
      <c r="WH105" s="205">
        <f t="shared" si="916"/>
        <v>0</v>
      </c>
      <c r="WI105" s="207"/>
      <c r="WJ105" s="207"/>
      <c r="WK105" s="207"/>
      <c r="WL105" s="207"/>
      <c r="WM105" s="207"/>
      <c r="WN105" s="272"/>
      <c r="WO105" s="272"/>
      <c r="WP105" s="205">
        <f t="shared" si="917"/>
        <v>0</v>
      </c>
      <c r="WQ105" s="207"/>
      <c r="WR105" s="207"/>
      <c r="WS105" s="207"/>
      <c r="WT105" s="207"/>
      <c r="WU105" s="207"/>
      <c r="WV105" s="272"/>
      <c r="WW105" s="272"/>
      <c r="WX105" s="205">
        <f t="shared" si="918"/>
        <v>0</v>
      </c>
      <c r="WY105" s="207"/>
      <c r="WZ105" s="207"/>
      <c r="XA105" s="207"/>
      <c r="XB105" s="207"/>
      <c r="XC105" s="272"/>
      <c r="XD105" s="272"/>
      <c r="XE105" s="272"/>
      <c r="XF105" s="205">
        <f t="shared" si="919"/>
        <v>0</v>
      </c>
      <c r="XG105" s="207"/>
      <c r="XH105" s="207"/>
      <c r="XI105" s="207"/>
      <c r="XJ105" s="207"/>
      <c r="XK105" s="207"/>
      <c r="XL105" s="272"/>
      <c r="XM105" s="272"/>
      <c r="XN105" s="205">
        <f t="shared" si="920"/>
        <v>0</v>
      </c>
      <c r="XO105" s="207"/>
      <c r="XP105" s="207"/>
      <c r="XQ105" s="207"/>
      <c r="XR105" s="207"/>
      <c r="XS105" s="207"/>
      <c r="XT105" s="272"/>
      <c r="XU105" s="272"/>
      <c r="XV105" s="205">
        <f t="shared" si="921"/>
        <v>0</v>
      </c>
      <c r="XW105" s="205">
        <f t="shared" si="922"/>
        <v>0</v>
      </c>
      <c r="XX105" s="207"/>
      <c r="XY105" s="207"/>
      <c r="XZ105" s="207"/>
      <c r="YA105" s="207"/>
      <c r="YB105" s="207"/>
      <c r="YC105" s="272"/>
      <c r="YD105" s="272"/>
      <c r="YE105" s="205">
        <f t="shared" si="923"/>
        <v>0</v>
      </c>
      <c r="YF105" s="207"/>
      <c r="YG105" s="207"/>
      <c r="YH105" s="207"/>
      <c r="YI105" s="207"/>
      <c r="YJ105" s="207"/>
      <c r="YK105" s="272"/>
      <c r="YL105" s="272"/>
      <c r="YM105" s="205">
        <f t="shared" si="924"/>
        <v>0</v>
      </c>
      <c r="YN105" s="207"/>
      <c r="YO105" s="207"/>
      <c r="YP105" s="207"/>
      <c r="YQ105" s="207"/>
      <c r="YR105" s="207"/>
      <c r="YS105" s="272"/>
      <c r="YT105" s="272"/>
      <c r="YU105" s="205">
        <f t="shared" si="925"/>
        <v>0</v>
      </c>
      <c r="YV105" s="207"/>
      <c r="YW105" s="207"/>
      <c r="YX105" s="207"/>
      <c r="YY105" s="207"/>
      <c r="YZ105" s="207"/>
      <c r="ZA105" s="272"/>
      <c r="ZB105" s="272"/>
      <c r="ZC105" s="205">
        <f t="shared" si="926"/>
        <v>0</v>
      </c>
      <c r="ZD105" s="205">
        <f t="shared" si="927"/>
        <v>0</v>
      </c>
      <c r="ZE105" s="207"/>
      <c r="ZF105" s="207"/>
      <c r="ZG105" s="207"/>
      <c r="ZH105" s="207"/>
      <c r="ZI105" s="207"/>
      <c r="ZJ105" s="272"/>
      <c r="ZK105" s="272"/>
      <c r="ZL105" s="205">
        <f t="shared" si="928"/>
        <v>0</v>
      </c>
      <c r="ZM105" s="207"/>
      <c r="ZN105" s="207"/>
      <c r="ZO105" s="207"/>
      <c r="ZP105" s="207"/>
      <c r="ZQ105" s="207"/>
      <c r="ZR105" s="272"/>
      <c r="ZS105" s="272"/>
      <c r="ZT105" s="205">
        <f t="shared" si="929"/>
        <v>0</v>
      </c>
      <c r="ZU105" s="207"/>
      <c r="ZV105" s="207"/>
      <c r="ZW105" s="207"/>
      <c r="ZX105" s="207"/>
      <c r="ZY105" s="207"/>
      <c r="ZZ105" s="272"/>
      <c r="AAA105" s="272"/>
      <c r="AAB105" s="205">
        <f t="shared" si="930"/>
        <v>0</v>
      </c>
      <c r="AAC105" s="207"/>
      <c r="AAD105" s="207"/>
      <c r="AAE105" s="207"/>
      <c r="AAF105" s="207"/>
      <c r="AAG105" s="207"/>
      <c r="AAH105" s="272"/>
      <c r="AAI105" s="272"/>
      <c r="AAJ105" s="205">
        <f t="shared" si="931"/>
        <v>0</v>
      </c>
      <c r="AAK105" s="207"/>
      <c r="AAL105" s="207"/>
      <c r="AAM105" s="207"/>
      <c r="AAN105" s="207"/>
      <c r="AAO105" s="207"/>
      <c r="AAP105" s="272"/>
      <c r="AAQ105" s="272"/>
      <c r="AAR105" s="205">
        <f t="shared" si="932"/>
        <v>0</v>
      </c>
      <c r="AAS105" s="205">
        <f t="shared" si="933"/>
        <v>0</v>
      </c>
    </row>
    <row r="106" spans="1:721" ht="69.95" customHeight="1">
      <c r="B106" s="151">
        <v>3630101436</v>
      </c>
      <c r="C106" s="323" t="s">
        <v>741</v>
      </c>
      <c r="D106" s="152" t="s">
        <v>47</v>
      </c>
      <c r="E106" s="130" t="s">
        <v>4</v>
      </c>
      <c r="F106" s="120"/>
      <c r="G106" s="120"/>
      <c r="H106" s="201">
        <v>500</v>
      </c>
      <c r="I106" s="120"/>
      <c r="J106" s="120"/>
      <c r="K106" s="209"/>
      <c r="L106" s="205"/>
      <c r="M106" s="205">
        <f t="shared" si="1048"/>
        <v>500</v>
      </c>
      <c r="N106" s="120"/>
      <c r="O106" s="120"/>
      <c r="P106" s="120"/>
      <c r="Q106" s="120"/>
      <c r="R106" s="120"/>
      <c r="S106" s="209"/>
      <c r="T106" s="205"/>
      <c r="U106" s="205">
        <f t="shared" si="1049"/>
        <v>0</v>
      </c>
      <c r="V106" s="120"/>
      <c r="W106" s="120"/>
      <c r="X106" s="120"/>
      <c r="Y106" s="120"/>
      <c r="Z106" s="120"/>
      <c r="AA106" s="209"/>
      <c r="AB106" s="205"/>
      <c r="AC106" s="205">
        <f t="shared" si="1050"/>
        <v>0</v>
      </c>
      <c r="AD106" s="205"/>
      <c r="AE106" s="205"/>
      <c r="AF106" s="205"/>
      <c r="AG106" s="205"/>
      <c r="AH106" s="205"/>
      <c r="AI106" s="209"/>
      <c r="AJ106" s="205"/>
      <c r="AK106" s="205">
        <f t="shared" si="1051"/>
        <v>0</v>
      </c>
      <c r="AL106" s="205" t="e">
        <f>SUM(#REF!,M106,U106,AC106,AD106:AH106)</f>
        <v>#REF!</v>
      </c>
      <c r="AM106" s="120"/>
      <c r="AN106" s="120"/>
      <c r="AO106" s="120"/>
      <c r="AP106" s="120"/>
      <c r="AQ106" s="120"/>
      <c r="AR106" s="209"/>
      <c r="AS106" s="205"/>
      <c r="AT106" s="205">
        <f t="shared" si="1052"/>
        <v>0</v>
      </c>
      <c r="AU106" s="120"/>
      <c r="AV106" s="120"/>
      <c r="AW106" s="120"/>
      <c r="AX106" s="120"/>
      <c r="AY106" s="120"/>
      <c r="AZ106" s="209"/>
      <c r="BA106" s="205"/>
      <c r="BB106" s="205">
        <f t="shared" si="1053"/>
        <v>0</v>
      </c>
      <c r="BC106" s="120"/>
      <c r="BD106" s="120"/>
      <c r="BE106" s="120"/>
      <c r="BF106" s="124">
        <v>500</v>
      </c>
      <c r="BG106" s="120"/>
      <c r="BH106" s="209"/>
      <c r="BI106" s="205"/>
      <c r="BJ106" s="205">
        <f t="shared" si="1054"/>
        <v>500</v>
      </c>
      <c r="BK106" s="120"/>
      <c r="BL106" s="120"/>
      <c r="BM106" s="120"/>
      <c r="BN106" s="120"/>
      <c r="BO106" s="205"/>
      <c r="BP106" s="209"/>
      <c r="BQ106" s="205"/>
      <c r="BR106" s="205">
        <f t="shared" si="1055"/>
        <v>0</v>
      </c>
      <c r="BS106" s="205">
        <f t="shared" si="832"/>
        <v>500</v>
      </c>
      <c r="BT106" s="120"/>
      <c r="BU106" s="120"/>
      <c r="BV106" s="120"/>
      <c r="BW106" s="120"/>
      <c r="BX106" s="217">
        <v>1000</v>
      </c>
      <c r="BY106" s="209"/>
      <c r="BZ106" s="205"/>
      <c r="CA106" s="205">
        <f t="shared" si="1056"/>
        <v>1000</v>
      </c>
      <c r="CB106" s="120"/>
      <c r="CC106" s="120"/>
      <c r="CD106" s="120"/>
      <c r="CE106" s="120"/>
      <c r="CF106" s="120"/>
      <c r="CG106" s="209"/>
      <c r="CH106" s="205"/>
      <c r="CI106" s="205">
        <f t="shared" si="1057"/>
        <v>0</v>
      </c>
      <c r="CJ106" s="120"/>
      <c r="CK106" s="120"/>
      <c r="CL106" s="120"/>
      <c r="CM106" s="120"/>
      <c r="CN106" s="120"/>
      <c r="CO106" s="209"/>
      <c r="CP106" s="205"/>
      <c r="CQ106" s="205">
        <f t="shared" si="1058"/>
        <v>0</v>
      </c>
      <c r="CR106" s="120"/>
      <c r="CS106" s="120"/>
      <c r="CT106" s="120"/>
      <c r="CU106" s="120"/>
      <c r="CV106" s="120"/>
      <c r="CW106" s="209"/>
      <c r="CX106" s="205"/>
      <c r="CY106" s="205">
        <f t="shared" si="1059"/>
        <v>0</v>
      </c>
      <c r="CZ106" s="120"/>
      <c r="DA106" s="120"/>
      <c r="DB106" s="120"/>
      <c r="DC106" s="205"/>
      <c r="DD106" s="205"/>
      <c r="DE106" s="209"/>
      <c r="DF106" s="205"/>
      <c r="DG106" s="205">
        <f t="shared" si="1060"/>
        <v>0</v>
      </c>
      <c r="DH106" s="205">
        <f t="shared" si="838"/>
        <v>1000</v>
      </c>
      <c r="DI106" s="120"/>
      <c r="DJ106" s="120"/>
      <c r="DK106" s="207"/>
      <c r="DL106" s="120"/>
      <c r="DM106" s="120"/>
      <c r="DN106" s="209"/>
      <c r="DO106" s="205"/>
      <c r="DP106" s="205">
        <f t="shared" si="839"/>
        <v>0</v>
      </c>
      <c r="DQ106" s="120"/>
      <c r="DR106" s="120"/>
      <c r="DS106" s="120"/>
      <c r="DT106" s="120"/>
      <c r="DU106" s="120"/>
      <c r="DV106" s="209"/>
      <c r="DW106" s="205"/>
      <c r="DX106" s="205">
        <f t="shared" si="840"/>
        <v>0</v>
      </c>
      <c r="DY106" s="217">
        <v>1000</v>
      </c>
      <c r="DZ106" s="120"/>
      <c r="EA106" s="120"/>
      <c r="EB106" s="120"/>
      <c r="EC106" s="120"/>
      <c r="ED106" s="209"/>
      <c r="EE106" s="205"/>
      <c r="EF106" s="205">
        <f t="shared" si="841"/>
        <v>1000</v>
      </c>
      <c r="EG106" s="120"/>
      <c r="EH106" s="120"/>
      <c r="EI106" s="120"/>
      <c r="EJ106" s="205"/>
      <c r="EK106" s="205"/>
      <c r="EL106" s="209"/>
      <c r="EM106" s="205"/>
      <c r="EN106" s="205">
        <f t="shared" si="842"/>
        <v>0</v>
      </c>
      <c r="EO106" s="205">
        <f t="shared" si="843"/>
        <v>1000</v>
      </c>
      <c r="EP106" s="120"/>
      <c r="EQ106" s="120"/>
      <c r="ER106" s="120"/>
      <c r="ES106" s="250">
        <v>1000</v>
      </c>
      <c r="ET106" s="120"/>
      <c r="EU106" s="209"/>
      <c r="EV106" s="205"/>
      <c r="EW106" s="205">
        <f t="shared" si="844"/>
        <v>1000</v>
      </c>
      <c r="EX106" s="120"/>
      <c r="EY106" s="120"/>
      <c r="EZ106" s="120"/>
      <c r="FA106" s="120"/>
      <c r="FB106" s="120"/>
      <c r="FC106" s="209"/>
      <c r="FD106" s="205"/>
      <c r="FE106" s="205">
        <f t="shared" si="845"/>
        <v>0</v>
      </c>
      <c r="FF106" s="120"/>
      <c r="FG106" s="120"/>
      <c r="FH106" s="120"/>
      <c r="FI106" s="120"/>
      <c r="FJ106" s="120"/>
      <c r="FK106" s="209"/>
      <c r="FL106" s="205"/>
      <c r="FM106" s="205">
        <f t="shared" si="846"/>
        <v>0</v>
      </c>
      <c r="FN106" s="120"/>
      <c r="FO106" s="120"/>
      <c r="FP106" s="120"/>
      <c r="FQ106" s="120"/>
      <c r="FR106" s="205"/>
      <c r="FS106" s="209"/>
      <c r="FT106" s="205"/>
      <c r="FU106" s="205">
        <f t="shared" si="847"/>
        <v>0</v>
      </c>
      <c r="FV106" s="205">
        <f t="shared" si="848"/>
        <v>1000</v>
      </c>
      <c r="FW106" s="120"/>
      <c r="FX106" s="120"/>
      <c r="FY106" s="120"/>
      <c r="FZ106" s="120"/>
      <c r="GA106" s="120"/>
      <c r="GB106" s="209"/>
      <c r="GC106" s="205"/>
      <c r="GD106" s="205">
        <f t="shared" si="849"/>
        <v>0</v>
      </c>
      <c r="GE106" s="120"/>
      <c r="GF106" s="120"/>
      <c r="GG106" s="120"/>
      <c r="GH106" s="120"/>
      <c r="GI106" s="120"/>
      <c r="GJ106" s="209"/>
      <c r="GK106" s="205"/>
      <c r="GL106" s="205">
        <f t="shared" si="850"/>
        <v>0</v>
      </c>
      <c r="GM106" s="250">
        <v>2000</v>
      </c>
      <c r="GN106" s="120"/>
      <c r="GO106" s="120"/>
      <c r="GP106" s="120"/>
      <c r="GQ106" s="120"/>
      <c r="GR106" s="209"/>
      <c r="GS106" s="205"/>
      <c r="GT106" s="205">
        <f t="shared" si="851"/>
        <v>2000</v>
      </c>
      <c r="GU106" s="120"/>
      <c r="GV106" s="120"/>
      <c r="GW106" s="120"/>
      <c r="GX106" s="120"/>
      <c r="GY106" s="120"/>
      <c r="GZ106" s="209"/>
      <c r="HA106" s="205"/>
      <c r="HB106" s="205">
        <f t="shared" si="852"/>
        <v>0</v>
      </c>
      <c r="HC106" s="120"/>
      <c r="HD106" s="120"/>
      <c r="HE106" s="120"/>
      <c r="HF106" s="250">
        <v>470</v>
      </c>
      <c r="HG106" s="120"/>
      <c r="HH106" s="209"/>
      <c r="HI106" s="205"/>
      <c r="HJ106" s="205">
        <f t="shared" si="853"/>
        <v>470</v>
      </c>
      <c r="HK106" s="205">
        <f t="shared" si="854"/>
        <v>2000</v>
      </c>
      <c r="HL106" s="124"/>
      <c r="HM106" s="120"/>
      <c r="HN106" s="120"/>
      <c r="HO106" s="120"/>
      <c r="HP106" s="120"/>
      <c r="HQ106" s="205"/>
      <c r="HR106" s="205"/>
      <c r="HS106" s="205">
        <f t="shared" si="934"/>
        <v>0</v>
      </c>
      <c r="HT106" s="120"/>
      <c r="HU106" s="120"/>
      <c r="HV106" s="120"/>
      <c r="HW106" s="120"/>
      <c r="HX106" s="120"/>
      <c r="HY106" s="205"/>
      <c r="HZ106" s="205"/>
      <c r="IA106" s="205">
        <f t="shared" si="935"/>
        <v>0</v>
      </c>
      <c r="IB106" s="120"/>
      <c r="IC106" s="217">
        <v>440</v>
      </c>
      <c r="ID106" s="120"/>
      <c r="IE106" s="120"/>
      <c r="IF106" s="120"/>
      <c r="IG106" s="205"/>
      <c r="IH106" s="205"/>
      <c r="II106" s="205">
        <f t="shared" si="936"/>
        <v>440</v>
      </c>
      <c r="IJ106" s="120"/>
      <c r="IK106" s="120"/>
      <c r="IL106" s="120"/>
      <c r="IM106" s="120"/>
      <c r="IN106" s="120"/>
      <c r="IO106" s="205"/>
      <c r="IP106" s="205"/>
      <c r="IQ106" s="205">
        <f t="shared" si="937"/>
        <v>0</v>
      </c>
      <c r="IR106" s="205">
        <f t="shared" si="938"/>
        <v>910</v>
      </c>
      <c r="IS106" s="120"/>
      <c r="IT106" s="120"/>
      <c r="IU106" s="217">
        <v>760</v>
      </c>
      <c r="IV106" s="120"/>
      <c r="IW106" s="120"/>
      <c r="IX106" s="205"/>
      <c r="IY106" s="205"/>
      <c r="IZ106" s="205">
        <f t="shared" si="939"/>
        <v>760</v>
      </c>
      <c r="JA106" s="120"/>
      <c r="JB106" s="120"/>
      <c r="JC106" s="120"/>
      <c r="JD106" s="120"/>
      <c r="JE106" s="120"/>
      <c r="JF106" s="205"/>
      <c r="JG106" s="205"/>
      <c r="JH106" s="205">
        <f t="shared" si="940"/>
        <v>0</v>
      </c>
      <c r="JI106" s="120"/>
      <c r="JJ106" s="120"/>
      <c r="JK106" s="120"/>
      <c r="JL106" s="120"/>
      <c r="JM106" s="120"/>
      <c r="JN106" s="205"/>
      <c r="JO106" s="205"/>
      <c r="JP106" s="205">
        <f t="shared" si="941"/>
        <v>0</v>
      </c>
      <c r="JQ106" s="120"/>
      <c r="JR106" s="120"/>
      <c r="JS106" s="120"/>
      <c r="JT106" s="120"/>
      <c r="JU106" s="120"/>
      <c r="JV106" s="205"/>
      <c r="JW106" s="205"/>
      <c r="JX106" s="205">
        <f t="shared" si="942"/>
        <v>0</v>
      </c>
      <c r="JY106" s="205">
        <f t="shared" si="943"/>
        <v>760</v>
      </c>
      <c r="JZ106" s="250">
        <v>1760</v>
      </c>
      <c r="KA106" s="120"/>
      <c r="KB106" s="120"/>
      <c r="KC106" s="120"/>
      <c r="KD106" s="120"/>
      <c r="KE106" s="205"/>
      <c r="KF106" s="205"/>
      <c r="KG106" s="205">
        <f t="shared" si="944"/>
        <v>1760</v>
      </c>
      <c r="KH106" s="120"/>
      <c r="KI106" s="120"/>
      <c r="KJ106" s="120"/>
      <c r="KK106" s="120"/>
      <c r="KL106" s="120"/>
      <c r="KM106" s="205"/>
      <c r="KN106" s="205"/>
      <c r="KO106" s="205">
        <f t="shared" si="945"/>
        <v>0</v>
      </c>
      <c r="KP106" s="120"/>
      <c r="KQ106" s="120"/>
      <c r="KR106" s="120"/>
      <c r="KS106" s="120"/>
      <c r="KT106" s="120"/>
      <c r="KU106" s="205"/>
      <c r="KV106" s="205"/>
      <c r="KW106" s="205">
        <f t="shared" si="946"/>
        <v>0</v>
      </c>
      <c r="KX106" s="120"/>
      <c r="KY106" s="195">
        <v>600</v>
      </c>
      <c r="KZ106" s="120"/>
      <c r="LA106" s="120"/>
      <c r="LB106" s="120"/>
      <c r="LC106" s="205"/>
      <c r="LD106" s="205"/>
      <c r="LE106" s="205">
        <f t="shared" si="947"/>
        <v>600</v>
      </c>
      <c r="LF106" s="205"/>
      <c r="LG106" s="120"/>
      <c r="LH106" s="120"/>
      <c r="LI106" s="120"/>
      <c r="LJ106" s="120"/>
      <c r="LK106" s="205"/>
      <c r="LL106" s="205"/>
      <c r="LM106" s="205">
        <f t="shared" si="948"/>
        <v>0</v>
      </c>
      <c r="LN106" s="205">
        <f t="shared" si="949"/>
        <v>2360</v>
      </c>
      <c r="LO106" s="205"/>
      <c r="LP106" s="120"/>
      <c r="LQ106" s="120"/>
      <c r="LR106" s="120"/>
      <c r="LS106" s="205"/>
      <c r="LT106" s="205"/>
      <c r="LU106" s="205"/>
      <c r="LV106" s="205">
        <f t="shared" si="950"/>
        <v>0</v>
      </c>
      <c r="LW106" s="120"/>
      <c r="LX106" s="195">
        <v>1520</v>
      </c>
      <c r="LY106" s="120"/>
      <c r="LZ106" s="120"/>
      <c r="MA106" s="120"/>
      <c r="MB106" s="205"/>
      <c r="MC106" s="205"/>
      <c r="MD106" s="205">
        <f t="shared" si="951"/>
        <v>1520</v>
      </c>
      <c r="ME106" s="120"/>
      <c r="MF106" s="120"/>
      <c r="MG106" s="120"/>
      <c r="MH106" s="120"/>
      <c r="MI106" s="205"/>
      <c r="MJ106" s="205"/>
      <c r="MK106" s="205"/>
      <c r="ML106" s="205">
        <f t="shared" si="952"/>
        <v>0</v>
      </c>
      <c r="MM106" s="120"/>
      <c r="MN106" s="120"/>
      <c r="MO106" s="120"/>
      <c r="MP106" s="120"/>
      <c r="MQ106" s="120"/>
      <c r="MR106" s="205"/>
      <c r="MS106" s="205"/>
      <c r="MT106" s="205">
        <f t="shared" si="953"/>
        <v>0</v>
      </c>
      <c r="MU106" s="205">
        <f t="shared" si="954"/>
        <v>1520</v>
      </c>
      <c r="MV106" s="120"/>
      <c r="MW106" s="120"/>
      <c r="MX106" s="120"/>
      <c r="MY106" s="120"/>
      <c r="MZ106" s="120"/>
      <c r="NA106" s="205"/>
      <c r="NB106" s="205"/>
      <c r="NC106" s="205">
        <f t="shared" si="880"/>
        <v>0</v>
      </c>
      <c r="ND106" s="120"/>
      <c r="NE106" s="120"/>
      <c r="NF106" s="120"/>
      <c r="NG106" s="120"/>
      <c r="NH106" s="120"/>
      <c r="NI106" s="205"/>
      <c r="NJ106" s="205"/>
      <c r="NK106" s="205">
        <f t="shared" si="881"/>
        <v>0</v>
      </c>
      <c r="NL106" s="120"/>
      <c r="NM106" s="120"/>
      <c r="NN106" s="120"/>
      <c r="NO106" s="120"/>
      <c r="NP106" s="120"/>
      <c r="NQ106" s="205"/>
      <c r="NR106" s="205"/>
      <c r="NS106" s="205">
        <f t="shared" si="882"/>
        <v>0</v>
      </c>
      <c r="NT106" s="120"/>
      <c r="NU106" s="120"/>
      <c r="NV106" s="217">
        <v>1760</v>
      </c>
      <c r="NW106" s="120"/>
      <c r="NX106" s="120"/>
      <c r="NY106" s="205"/>
      <c r="NZ106" s="205"/>
      <c r="OA106" s="205">
        <f t="shared" si="883"/>
        <v>1760</v>
      </c>
      <c r="OB106" s="205">
        <f t="shared" si="884"/>
        <v>1760</v>
      </c>
      <c r="OC106" s="120"/>
      <c r="OD106" s="120"/>
      <c r="OE106" s="120"/>
      <c r="OF106" s="120"/>
      <c r="OG106" s="120"/>
      <c r="OH106" s="205"/>
      <c r="OI106" s="205"/>
      <c r="OJ106" s="205">
        <f t="shared" si="885"/>
        <v>0</v>
      </c>
      <c r="OK106" s="120"/>
      <c r="OL106" s="120"/>
      <c r="OM106" s="120"/>
      <c r="ON106" s="120"/>
      <c r="OO106" s="120"/>
      <c r="OP106" s="205"/>
      <c r="OQ106" s="205"/>
      <c r="OR106" s="205">
        <f t="shared" si="886"/>
        <v>0</v>
      </c>
      <c r="OS106" s="120"/>
      <c r="OT106" s="120"/>
      <c r="OU106" s="120"/>
      <c r="OV106" s="120"/>
      <c r="OW106" s="120"/>
      <c r="OX106" s="205"/>
      <c r="OY106" s="205"/>
      <c r="OZ106" s="205">
        <f t="shared" si="887"/>
        <v>0</v>
      </c>
      <c r="PA106" s="120"/>
      <c r="PB106" s="120"/>
      <c r="PC106" s="120"/>
      <c r="PD106" s="205"/>
      <c r="PE106" s="217"/>
      <c r="PF106" s="205"/>
      <c r="PG106" s="205"/>
      <c r="PH106" s="205">
        <f t="shared" si="888"/>
        <v>0</v>
      </c>
      <c r="PI106" s="120"/>
      <c r="PJ106" s="120"/>
      <c r="PK106" s="195">
        <v>1160</v>
      </c>
      <c r="PL106" s="205"/>
      <c r="PM106" s="217"/>
      <c r="PN106" s="205"/>
      <c r="PO106" s="205"/>
      <c r="PP106" s="205">
        <f t="shared" si="889"/>
        <v>1160</v>
      </c>
      <c r="PQ106" s="205">
        <f t="shared" si="890"/>
        <v>1160</v>
      </c>
      <c r="PR106" s="207"/>
      <c r="PS106" s="207"/>
      <c r="PT106" s="207"/>
      <c r="PU106" s="207"/>
      <c r="PV106" s="207"/>
      <c r="PW106" s="272"/>
      <c r="PX106" s="272"/>
      <c r="PY106" s="205">
        <f t="shared" si="891"/>
        <v>0</v>
      </c>
      <c r="PZ106" s="207"/>
      <c r="QA106" s="207"/>
      <c r="QB106" s="207"/>
      <c r="QC106" s="207"/>
      <c r="QD106" s="207"/>
      <c r="QE106" s="272"/>
      <c r="QF106" s="272"/>
      <c r="QG106" s="205">
        <f t="shared" si="892"/>
        <v>0</v>
      </c>
      <c r="QH106" s="207"/>
      <c r="QI106" s="207"/>
      <c r="QJ106" s="294"/>
      <c r="QK106" s="207"/>
      <c r="QL106" s="207"/>
      <c r="QM106" s="272"/>
      <c r="QN106" s="272"/>
      <c r="QO106" s="205">
        <f t="shared" si="893"/>
        <v>0</v>
      </c>
      <c r="QP106" s="207"/>
      <c r="QQ106" s="124">
        <v>1520</v>
      </c>
      <c r="QR106" s="207"/>
      <c r="QS106" s="207"/>
      <c r="QT106" s="207"/>
      <c r="QU106" s="272"/>
      <c r="QV106" s="272"/>
      <c r="QW106" s="205">
        <f t="shared" si="894"/>
        <v>1520</v>
      </c>
      <c r="QX106" s="205">
        <f t="shared" si="895"/>
        <v>1520</v>
      </c>
      <c r="QY106" s="207"/>
      <c r="QZ106" s="207"/>
      <c r="RA106" s="207"/>
      <c r="RB106" s="207"/>
      <c r="RC106" s="207"/>
      <c r="RD106" s="272"/>
      <c r="RE106" s="272"/>
      <c r="RF106" s="205">
        <f t="shared" si="896"/>
        <v>0</v>
      </c>
      <c r="RG106" s="207"/>
      <c r="RH106" s="207"/>
      <c r="RI106" s="207"/>
      <c r="RJ106" s="207"/>
      <c r="RK106" s="207"/>
      <c r="RL106" s="272"/>
      <c r="RM106" s="272"/>
      <c r="RN106" s="205">
        <f t="shared" si="897"/>
        <v>0</v>
      </c>
      <c r="RO106" s="272"/>
      <c r="RP106" s="272"/>
      <c r="RQ106" s="272"/>
      <c r="RR106" s="272"/>
      <c r="RS106" s="272"/>
      <c r="RT106" s="272"/>
      <c r="RU106" s="272"/>
      <c r="RV106" s="205">
        <f t="shared" si="898"/>
        <v>0</v>
      </c>
      <c r="RW106" s="207"/>
      <c r="RX106" s="207"/>
      <c r="RY106" s="207"/>
      <c r="RZ106" s="207"/>
      <c r="SA106" s="272"/>
      <c r="SB106" s="272"/>
      <c r="SC106" s="272"/>
      <c r="SD106" s="205">
        <f t="shared" si="899"/>
        <v>0</v>
      </c>
      <c r="SE106" s="205">
        <f t="shared" si="900"/>
        <v>0</v>
      </c>
      <c r="SF106" s="207"/>
      <c r="SG106" s="207"/>
      <c r="SH106" s="207"/>
      <c r="SI106" s="207"/>
      <c r="SJ106" s="207"/>
      <c r="SK106" s="272"/>
      <c r="SL106" s="272"/>
      <c r="SM106" s="205">
        <f t="shared" si="901"/>
        <v>0</v>
      </c>
      <c r="SN106" s="217">
        <v>560</v>
      </c>
      <c r="SO106" s="207"/>
      <c r="SP106" s="207"/>
      <c r="SQ106" s="207"/>
      <c r="SR106" s="207"/>
      <c r="SS106" s="272"/>
      <c r="ST106" s="272"/>
      <c r="SU106" s="205">
        <f t="shared" si="902"/>
        <v>560</v>
      </c>
      <c r="SV106" s="207"/>
      <c r="SW106" s="217">
        <v>590</v>
      </c>
      <c r="SX106" s="207"/>
      <c r="SY106" s="207"/>
      <c r="SZ106" s="207"/>
      <c r="TA106" s="272"/>
      <c r="TB106" s="272"/>
      <c r="TC106" s="205">
        <f t="shared" si="903"/>
        <v>590</v>
      </c>
      <c r="TD106" s="207"/>
      <c r="TE106" s="207"/>
      <c r="TF106" s="207"/>
      <c r="TG106" s="207"/>
      <c r="TH106" s="207"/>
      <c r="TI106" s="272"/>
      <c r="TJ106" s="272"/>
      <c r="TK106" s="205">
        <f t="shared" si="904"/>
        <v>0</v>
      </c>
      <c r="TL106" s="207"/>
      <c r="TM106" s="207"/>
      <c r="TN106" s="207"/>
      <c r="TO106" s="207"/>
      <c r="TP106" s="272"/>
      <c r="TQ106" s="272"/>
      <c r="TR106" s="272"/>
      <c r="TS106" s="205">
        <f t="shared" si="905"/>
        <v>0</v>
      </c>
      <c r="TT106" s="205">
        <f t="shared" si="906"/>
        <v>1150</v>
      </c>
      <c r="TU106" s="272"/>
      <c r="TV106" s="217">
        <v>1520</v>
      </c>
      <c r="TW106" s="207"/>
      <c r="TX106" s="207"/>
      <c r="TY106" s="207"/>
      <c r="TZ106" s="272"/>
      <c r="UA106" s="272"/>
      <c r="UB106" s="205">
        <f t="shared" si="907"/>
        <v>1520</v>
      </c>
      <c r="UC106" s="207"/>
      <c r="UD106" s="207"/>
      <c r="UE106" s="207"/>
      <c r="UF106" s="207"/>
      <c r="UG106" s="207"/>
      <c r="UH106" s="272"/>
      <c r="UI106" s="272"/>
      <c r="UJ106" s="205">
        <f t="shared" si="908"/>
        <v>0</v>
      </c>
      <c r="UK106" s="207"/>
      <c r="UL106" s="207"/>
      <c r="UM106" s="207"/>
      <c r="UN106" s="207"/>
      <c r="UO106" s="207"/>
      <c r="UP106" s="272"/>
      <c r="UQ106" s="272"/>
      <c r="UR106" s="205">
        <f t="shared" si="909"/>
        <v>0</v>
      </c>
      <c r="US106" s="207"/>
      <c r="UT106" s="207"/>
      <c r="UU106" s="207"/>
      <c r="UV106" s="207"/>
      <c r="UW106" s="272"/>
      <c r="UX106" s="272"/>
      <c r="UY106" s="272"/>
      <c r="UZ106" s="205">
        <f t="shared" si="910"/>
        <v>0</v>
      </c>
      <c r="VA106" s="205">
        <f t="shared" si="911"/>
        <v>1520</v>
      </c>
      <c r="VB106" s="207"/>
      <c r="VC106" s="207"/>
      <c r="VD106" s="207"/>
      <c r="VE106" s="207"/>
      <c r="VF106" s="207"/>
      <c r="VG106" s="272"/>
      <c r="VH106" s="272"/>
      <c r="VI106" s="205">
        <f t="shared" si="912"/>
        <v>0</v>
      </c>
      <c r="VJ106" s="207"/>
      <c r="VK106" s="207"/>
      <c r="VL106" s="195">
        <v>280</v>
      </c>
      <c r="VM106" s="207"/>
      <c r="VN106" s="207"/>
      <c r="VO106" s="272"/>
      <c r="VP106" s="272"/>
      <c r="VQ106" s="205">
        <f t="shared" si="913"/>
        <v>280</v>
      </c>
      <c r="VR106" s="207"/>
      <c r="VS106" s="207"/>
      <c r="VT106" s="207"/>
      <c r="VU106" s="195">
        <v>1000</v>
      </c>
      <c r="VV106" s="207"/>
      <c r="VW106" s="272"/>
      <c r="VX106" s="272"/>
      <c r="VY106" s="205">
        <f t="shared" si="914"/>
        <v>1000</v>
      </c>
      <c r="VZ106" s="207"/>
      <c r="WA106" s="207"/>
      <c r="WB106" s="207"/>
      <c r="WC106" s="207"/>
      <c r="WD106" s="207"/>
      <c r="WE106" s="272"/>
      <c r="WF106" s="272"/>
      <c r="WG106" s="205">
        <f t="shared" si="915"/>
        <v>0</v>
      </c>
      <c r="WH106" s="205">
        <f t="shared" si="916"/>
        <v>1280</v>
      </c>
      <c r="WI106" s="207"/>
      <c r="WJ106" s="207"/>
      <c r="WK106" s="207"/>
      <c r="WL106" s="207"/>
      <c r="WM106" s="207"/>
      <c r="WN106" s="272"/>
      <c r="WO106" s="272"/>
      <c r="WP106" s="205">
        <f t="shared" si="917"/>
        <v>0</v>
      </c>
      <c r="WQ106" s="207"/>
      <c r="WR106" s="207"/>
      <c r="WS106" s="207"/>
      <c r="WT106" s="207"/>
      <c r="WU106" s="207"/>
      <c r="WV106" s="272"/>
      <c r="WW106" s="272"/>
      <c r="WX106" s="205">
        <f t="shared" si="918"/>
        <v>0</v>
      </c>
      <c r="WY106" s="207"/>
      <c r="WZ106" s="207"/>
      <c r="XA106" s="207"/>
      <c r="XB106" s="207"/>
      <c r="XC106" s="272"/>
      <c r="XD106" s="272"/>
      <c r="XE106" s="272"/>
      <c r="XF106" s="205">
        <f t="shared" si="919"/>
        <v>0</v>
      </c>
      <c r="XG106" s="207"/>
      <c r="XH106" s="207"/>
      <c r="XI106" s="207"/>
      <c r="XJ106" s="207"/>
      <c r="XK106" s="207"/>
      <c r="XL106" s="272"/>
      <c r="XM106" s="272"/>
      <c r="XN106" s="205">
        <f t="shared" si="920"/>
        <v>0</v>
      </c>
      <c r="XO106" s="207"/>
      <c r="XP106" s="207"/>
      <c r="XQ106" s="207"/>
      <c r="XR106" s="207"/>
      <c r="XS106" s="207"/>
      <c r="XT106" s="272"/>
      <c r="XU106" s="272"/>
      <c r="XV106" s="205">
        <f t="shared" si="921"/>
        <v>0</v>
      </c>
      <c r="XW106" s="205">
        <f t="shared" si="922"/>
        <v>0</v>
      </c>
      <c r="XX106" s="207"/>
      <c r="XY106" s="207"/>
      <c r="XZ106" s="207"/>
      <c r="YA106" s="207"/>
      <c r="YB106" s="207"/>
      <c r="YC106" s="272"/>
      <c r="YD106" s="272"/>
      <c r="YE106" s="205">
        <f t="shared" si="923"/>
        <v>0</v>
      </c>
      <c r="YF106" s="207"/>
      <c r="YG106" s="207"/>
      <c r="YH106" s="207"/>
      <c r="YI106" s="207"/>
      <c r="YJ106" s="207"/>
      <c r="YK106" s="272"/>
      <c r="YL106" s="272"/>
      <c r="YM106" s="205">
        <f t="shared" si="924"/>
        <v>0</v>
      </c>
      <c r="YN106" s="207"/>
      <c r="YO106" s="207"/>
      <c r="YP106" s="207"/>
      <c r="YQ106" s="207"/>
      <c r="YR106" s="207"/>
      <c r="YS106" s="272"/>
      <c r="YT106" s="272"/>
      <c r="YU106" s="205">
        <f t="shared" si="925"/>
        <v>0</v>
      </c>
      <c r="YV106" s="207"/>
      <c r="YW106" s="207"/>
      <c r="YX106" s="207"/>
      <c r="YY106" s="207"/>
      <c r="YZ106" s="207"/>
      <c r="ZA106" s="272"/>
      <c r="ZB106" s="272"/>
      <c r="ZC106" s="205">
        <f t="shared" si="926"/>
        <v>0</v>
      </c>
      <c r="ZD106" s="205">
        <f t="shared" si="927"/>
        <v>0</v>
      </c>
      <c r="ZE106" s="207"/>
      <c r="ZF106" s="207"/>
      <c r="ZG106" s="207"/>
      <c r="ZH106" s="207"/>
      <c r="ZI106" s="207"/>
      <c r="ZJ106" s="272"/>
      <c r="ZK106" s="272"/>
      <c r="ZL106" s="205">
        <f t="shared" si="928"/>
        <v>0</v>
      </c>
      <c r="ZM106" s="207"/>
      <c r="ZN106" s="207"/>
      <c r="ZO106" s="207"/>
      <c r="ZP106" s="207"/>
      <c r="ZQ106" s="207"/>
      <c r="ZR106" s="272"/>
      <c r="ZS106" s="272"/>
      <c r="ZT106" s="205">
        <f t="shared" si="929"/>
        <v>0</v>
      </c>
      <c r="ZU106" s="207"/>
      <c r="ZV106" s="207"/>
      <c r="ZW106" s="207"/>
      <c r="ZX106" s="207"/>
      <c r="ZY106" s="207"/>
      <c r="ZZ106" s="272"/>
      <c r="AAA106" s="272"/>
      <c r="AAB106" s="205">
        <f t="shared" si="930"/>
        <v>0</v>
      </c>
      <c r="AAC106" s="207"/>
      <c r="AAD106" s="207"/>
      <c r="AAE106" s="207"/>
      <c r="AAF106" s="207"/>
      <c r="AAG106" s="207"/>
      <c r="AAH106" s="272"/>
      <c r="AAI106" s="272"/>
      <c r="AAJ106" s="205">
        <f t="shared" si="931"/>
        <v>0</v>
      </c>
      <c r="AAK106" s="207"/>
      <c r="AAL106" s="207"/>
      <c r="AAM106" s="207"/>
      <c r="AAN106" s="207"/>
      <c r="AAO106" s="207"/>
      <c r="AAP106" s="272"/>
      <c r="AAQ106" s="272"/>
      <c r="AAR106" s="205">
        <f t="shared" si="932"/>
        <v>0</v>
      </c>
      <c r="AAS106" s="205">
        <f t="shared" si="933"/>
        <v>0</v>
      </c>
    </row>
    <row r="107" spans="1:721" ht="69.95" customHeight="1">
      <c r="B107" s="151">
        <v>3630101459</v>
      </c>
      <c r="C107" s="323" t="s">
        <v>741</v>
      </c>
      <c r="D107" s="152" t="s">
        <v>796</v>
      </c>
      <c r="E107" s="130" t="s">
        <v>4</v>
      </c>
      <c r="F107" s="120"/>
      <c r="G107" s="120"/>
      <c r="H107" s="120"/>
      <c r="I107" s="120"/>
      <c r="J107" s="120"/>
      <c r="K107" s="209"/>
      <c r="L107" s="205"/>
      <c r="M107" s="205">
        <f t="shared" ref="M107" si="1193">SUM(F107:L107)</f>
        <v>0</v>
      </c>
      <c r="N107" s="120"/>
      <c r="O107" s="120"/>
      <c r="P107" s="120"/>
      <c r="Q107" s="120"/>
      <c r="R107" s="120"/>
      <c r="S107" s="209"/>
      <c r="T107" s="205"/>
      <c r="U107" s="205">
        <f t="shared" ref="U107" si="1194">SUM(N107:T107)</f>
        <v>0</v>
      </c>
      <c r="V107" s="120"/>
      <c r="W107" s="120"/>
      <c r="X107" s="120"/>
      <c r="Y107" s="120"/>
      <c r="Z107" s="120"/>
      <c r="AA107" s="209"/>
      <c r="AB107" s="205"/>
      <c r="AC107" s="205">
        <f t="shared" ref="AC107" si="1195">SUM(V107:AB107)</f>
        <v>0</v>
      </c>
      <c r="AD107" s="205"/>
      <c r="AE107" s="205"/>
      <c r="AF107" s="205"/>
      <c r="AG107" s="205"/>
      <c r="AH107" s="205"/>
      <c r="AI107" s="209"/>
      <c r="AJ107" s="205"/>
      <c r="AK107" s="205">
        <f t="shared" ref="AK107" si="1196">SUM(AD107:AJ107)</f>
        <v>0</v>
      </c>
      <c r="AL107" s="205" t="e">
        <f>SUM(#REF!,M107,U107,AC107,AD107:AH107)</f>
        <v>#REF!</v>
      </c>
      <c r="AM107" s="120"/>
      <c r="AN107" s="120"/>
      <c r="AO107" s="120"/>
      <c r="AP107" s="120"/>
      <c r="AQ107" s="120"/>
      <c r="AR107" s="209"/>
      <c r="AS107" s="205"/>
      <c r="AT107" s="205">
        <f t="shared" si="1052"/>
        <v>0</v>
      </c>
      <c r="AU107" s="120"/>
      <c r="AV107" s="120"/>
      <c r="AW107" s="120"/>
      <c r="AX107" s="120"/>
      <c r="AY107" s="120"/>
      <c r="AZ107" s="209"/>
      <c r="BA107" s="205"/>
      <c r="BB107" s="205">
        <f t="shared" si="1053"/>
        <v>0</v>
      </c>
      <c r="BC107" s="120"/>
      <c r="BD107" s="120"/>
      <c r="BE107" s="120"/>
      <c r="BF107" s="120"/>
      <c r="BG107" s="120"/>
      <c r="BH107" s="209"/>
      <c r="BI107" s="205"/>
      <c r="BJ107" s="205">
        <f t="shared" si="1054"/>
        <v>0</v>
      </c>
      <c r="BK107" s="120"/>
      <c r="BL107" s="120"/>
      <c r="BM107" s="120"/>
      <c r="BN107" s="120"/>
      <c r="BO107" s="205"/>
      <c r="BP107" s="209"/>
      <c r="BQ107" s="205"/>
      <c r="BR107" s="205">
        <f t="shared" si="1055"/>
        <v>0</v>
      </c>
      <c r="BS107" s="205">
        <f t="shared" ref="BS107" si="1197">SUM(AI107:AJ107,AT107,BB107,BJ107,BK107:BO107)</f>
        <v>0</v>
      </c>
      <c r="BT107" s="120"/>
      <c r="BU107" s="120"/>
      <c r="BV107" s="120"/>
      <c r="BW107" s="120"/>
      <c r="BX107" s="120"/>
      <c r="BY107" s="209"/>
      <c r="BZ107" s="205"/>
      <c r="CA107" s="205">
        <f t="shared" si="1056"/>
        <v>0</v>
      </c>
      <c r="CB107" s="120"/>
      <c r="CC107" s="120"/>
      <c r="CD107" s="120"/>
      <c r="CE107" s="120"/>
      <c r="CF107" s="120"/>
      <c r="CG107" s="209"/>
      <c r="CH107" s="205"/>
      <c r="CI107" s="205">
        <f t="shared" si="1057"/>
        <v>0</v>
      </c>
      <c r="CJ107" s="120"/>
      <c r="CK107" s="120"/>
      <c r="CL107" s="120"/>
      <c r="CM107" s="120"/>
      <c r="CN107" s="120"/>
      <c r="CO107" s="209"/>
      <c r="CP107" s="205"/>
      <c r="CQ107" s="205">
        <f t="shared" si="1058"/>
        <v>0</v>
      </c>
      <c r="CR107" s="120"/>
      <c r="CS107" s="120"/>
      <c r="CT107" s="120"/>
      <c r="CU107" s="120"/>
      <c r="CV107" s="120"/>
      <c r="CW107" s="209"/>
      <c r="CX107" s="205"/>
      <c r="CY107" s="205">
        <f t="shared" si="1059"/>
        <v>0</v>
      </c>
      <c r="CZ107" s="120"/>
      <c r="DA107" s="120"/>
      <c r="DB107" s="120"/>
      <c r="DC107" s="205"/>
      <c r="DD107" s="205"/>
      <c r="DE107" s="209"/>
      <c r="DF107" s="205"/>
      <c r="DG107" s="205">
        <f t="shared" si="1060"/>
        <v>0</v>
      </c>
      <c r="DH107" s="205">
        <f t="shared" ref="DH107" si="1198">SUM(CA107,CI107,CQ107,CY107,CZ107)</f>
        <v>0</v>
      </c>
      <c r="DI107" s="120"/>
      <c r="DJ107" s="120"/>
      <c r="DK107" s="120"/>
      <c r="DL107" s="120"/>
      <c r="DM107" s="120"/>
      <c r="DN107" s="209"/>
      <c r="DO107" s="205"/>
      <c r="DP107" s="205">
        <f t="shared" ref="DP107" si="1199">SUM(DI107:DO107)</f>
        <v>0</v>
      </c>
      <c r="DQ107" s="120"/>
      <c r="DR107" s="120"/>
      <c r="DS107" s="120"/>
      <c r="DT107" s="120"/>
      <c r="DU107" s="120"/>
      <c r="DV107" s="209"/>
      <c r="DW107" s="205"/>
      <c r="DX107" s="205">
        <f t="shared" ref="DX107" si="1200">SUM(DQ107:DW107)</f>
        <v>0</v>
      </c>
      <c r="DY107" s="120"/>
      <c r="DZ107" s="120"/>
      <c r="EA107" s="120"/>
      <c r="EB107" s="120"/>
      <c r="EC107" s="120"/>
      <c r="ED107" s="209"/>
      <c r="EE107" s="205"/>
      <c r="EF107" s="205">
        <f t="shared" ref="EF107" si="1201">SUM(DY107:EE107)</f>
        <v>0</v>
      </c>
      <c r="EG107" s="120"/>
      <c r="EH107" s="120"/>
      <c r="EI107" s="120"/>
      <c r="EJ107" s="205"/>
      <c r="EK107" s="205"/>
      <c r="EL107" s="209"/>
      <c r="EM107" s="205"/>
      <c r="EN107" s="205">
        <f t="shared" ref="EN107" si="1202">SUM(EG107:EM107)</f>
        <v>0</v>
      </c>
      <c r="EO107" s="205">
        <f t="shared" ref="EO107" si="1203">SUM(DA107:DF107,DP107,DX107,EF107,EG107:EI107)</f>
        <v>0</v>
      </c>
      <c r="EP107" s="120"/>
      <c r="EQ107" s="120"/>
      <c r="ER107" s="120"/>
      <c r="ES107" s="120"/>
      <c r="ET107" s="120"/>
      <c r="EU107" s="209"/>
      <c r="EV107" s="205"/>
      <c r="EW107" s="205">
        <f t="shared" ref="EW107" si="1204">SUM(EP107:EV107)</f>
        <v>0</v>
      </c>
      <c r="EX107" s="120"/>
      <c r="EY107" s="120"/>
      <c r="EZ107" s="120"/>
      <c r="FA107" s="120"/>
      <c r="FB107" s="120"/>
      <c r="FC107" s="209"/>
      <c r="FD107" s="205"/>
      <c r="FE107" s="205">
        <f t="shared" ref="FE107" si="1205">SUM(EX107:FD107)</f>
        <v>0</v>
      </c>
      <c r="FF107" s="120"/>
      <c r="FG107" s="120"/>
      <c r="FH107" s="120"/>
      <c r="FI107" s="120"/>
      <c r="FJ107" s="120"/>
      <c r="FK107" s="209"/>
      <c r="FL107" s="205"/>
      <c r="FM107" s="205">
        <f t="shared" ref="FM107" si="1206">SUM(FF107:FL107)</f>
        <v>0</v>
      </c>
      <c r="FN107" s="120"/>
      <c r="FO107" s="120"/>
      <c r="FP107" s="120"/>
      <c r="FQ107" s="120"/>
      <c r="FR107" s="205"/>
      <c r="FS107" s="209"/>
      <c r="FT107" s="205"/>
      <c r="FU107" s="205">
        <f t="shared" ref="FU107" si="1207">SUM(FN107:FT107)</f>
        <v>0</v>
      </c>
      <c r="FV107" s="205">
        <f t="shared" ref="FV107" si="1208">SUM(EJ107:EK107,EW107,FE107,FM107,FU107)</f>
        <v>0</v>
      </c>
      <c r="FW107" s="120"/>
      <c r="FX107" s="120"/>
      <c r="FY107" s="120"/>
      <c r="FZ107" s="120"/>
      <c r="GA107" s="120"/>
      <c r="GB107" s="209"/>
      <c r="GC107" s="205"/>
      <c r="GD107" s="205">
        <f t="shared" ref="GD107" si="1209">SUM(FW107:GC107)</f>
        <v>0</v>
      </c>
      <c r="GE107" s="120"/>
      <c r="GF107" s="120"/>
      <c r="GG107" s="120"/>
      <c r="GH107" s="120"/>
      <c r="GI107" s="120"/>
      <c r="GJ107" s="209"/>
      <c r="GK107" s="205"/>
      <c r="GL107" s="205">
        <f t="shared" ref="GL107" si="1210">SUM(GE107:GK107)</f>
        <v>0</v>
      </c>
      <c r="GM107" s="120"/>
      <c r="GN107" s="120"/>
      <c r="GO107" s="120"/>
      <c r="GP107" s="120"/>
      <c r="GQ107" s="120"/>
      <c r="GR107" s="209"/>
      <c r="GS107" s="205"/>
      <c r="GT107" s="205">
        <f t="shared" ref="GT107" si="1211">SUM(GM107:GS107)</f>
        <v>0</v>
      </c>
      <c r="GU107" s="120"/>
      <c r="GV107" s="120"/>
      <c r="GW107" s="120"/>
      <c r="GX107" s="120"/>
      <c r="GY107" s="120"/>
      <c r="GZ107" s="209"/>
      <c r="HA107" s="205"/>
      <c r="HB107" s="205">
        <f t="shared" ref="HB107" si="1212">SUM(GU107:HA107)</f>
        <v>0</v>
      </c>
      <c r="HC107" s="120"/>
      <c r="HD107" s="120"/>
      <c r="HE107" s="120"/>
      <c r="HF107" s="120"/>
      <c r="HG107" s="120"/>
      <c r="HH107" s="209"/>
      <c r="HI107" s="205"/>
      <c r="HJ107" s="205">
        <f t="shared" ref="HJ107" si="1213">SUM(HC107:HI107)</f>
        <v>0</v>
      </c>
      <c r="HK107" s="205">
        <f t="shared" ref="HK107" si="1214">SUM(GD107,GL107,GT107,HB107,HC107)</f>
        <v>0</v>
      </c>
      <c r="HL107" s="124"/>
      <c r="HM107" s="120"/>
      <c r="HN107" s="120"/>
      <c r="HO107" s="120"/>
      <c r="HP107" s="120"/>
      <c r="HQ107" s="205"/>
      <c r="HR107" s="205"/>
      <c r="HS107" s="205">
        <f t="shared" si="934"/>
        <v>0</v>
      </c>
      <c r="HT107" s="120"/>
      <c r="HU107" s="120"/>
      <c r="HV107" s="120"/>
      <c r="HW107" s="120"/>
      <c r="HX107" s="120"/>
      <c r="HY107" s="205"/>
      <c r="HZ107" s="205"/>
      <c r="IA107" s="205">
        <f t="shared" si="935"/>
        <v>0</v>
      </c>
      <c r="IB107" s="120"/>
      <c r="IC107" s="120"/>
      <c r="ID107" s="120"/>
      <c r="IE107" s="120"/>
      <c r="IF107" s="120"/>
      <c r="IG107" s="205"/>
      <c r="IH107" s="205"/>
      <c r="II107" s="205">
        <f t="shared" si="936"/>
        <v>0</v>
      </c>
      <c r="IJ107" s="120"/>
      <c r="IK107" s="120"/>
      <c r="IL107" s="120"/>
      <c r="IM107" s="120"/>
      <c r="IN107" s="120"/>
      <c r="IO107" s="205"/>
      <c r="IP107" s="205"/>
      <c r="IQ107" s="205">
        <f t="shared" si="937"/>
        <v>0</v>
      </c>
      <c r="IR107" s="205">
        <f t="shared" si="938"/>
        <v>0</v>
      </c>
      <c r="IS107" s="120"/>
      <c r="IT107" s="120"/>
      <c r="IU107" s="217">
        <v>240</v>
      </c>
      <c r="IV107" s="120"/>
      <c r="IW107" s="120"/>
      <c r="IX107" s="205"/>
      <c r="IY107" s="205"/>
      <c r="IZ107" s="205">
        <f t="shared" si="939"/>
        <v>240</v>
      </c>
      <c r="JA107" s="120"/>
      <c r="JB107" s="120"/>
      <c r="JC107" s="120"/>
      <c r="JD107" s="120"/>
      <c r="JE107" s="120"/>
      <c r="JF107" s="205"/>
      <c r="JG107" s="205"/>
      <c r="JH107" s="205">
        <f t="shared" si="940"/>
        <v>0</v>
      </c>
      <c r="JI107" s="120"/>
      <c r="JJ107" s="120"/>
      <c r="JK107" s="120"/>
      <c r="JL107" s="120"/>
      <c r="JM107" s="120"/>
      <c r="JN107" s="205"/>
      <c r="JO107" s="205"/>
      <c r="JP107" s="205">
        <f t="shared" si="941"/>
        <v>0</v>
      </c>
      <c r="JQ107" s="120"/>
      <c r="JR107" s="120"/>
      <c r="JS107" s="120"/>
      <c r="JT107" s="120"/>
      <c r="JU107" s="120"/>
      <c r="JV107" s="205"/>
      <c r="JW107" s="205"/>
      <c r="JX107" s="205">
        <f t="shared" si="942"/>
        <v>0</v>
      </c>
      <c r="JY107" s="205">
        <f t="shared" si="943"/>
        <v>240</v>
      </c>
      <c r="JZ107" s="250">
        <v>240</v>
      </c>
      <c r="KA107" s="120"/>
      <c r="KB107" s="120"/>
      <c r="KC107" s="120"/>
      <c r="KD107" s="120"/>
      <c r="KE107" s="205"/>
      <c r="KF107" s="205"/>
      <c r="KG107" s="205">
        <f t="shared" si="944"/>
        <v>240</v>
      </c>
      <c r="KH107" s="120"/>
      <c r="KI107" s="120"/>
      <c r="KJ107" s="120"/>
      <c r="KK107" s="120"/>
      <c r="KL107" s="120"/>
      <c r="KM107" s="205"/>
      <c r="KN107" s="205"/>
      <c r="KO107" s="205">
        <f t="shared" si="945"/>
        <v>0</v>
      </c>
      <c r="KP107" s="120"/>
      <c r="KQ107" s="120"/>
      <c r="KR107" s="120"/>
      <c r="KS107" s="120"/>
      <c r="KT107" s="120"/>
      <c r="KU107" s="205"/>
      <c r="KV107" s="205"/>
      <c r="KW107" s="205">
        <f t="shared" si="946"/>
        <v>0</v>
      </c>
      <c r="KX107" s="120"/>
      <c r="KY107" s="120"/>
      <c r="KZ107" s="120"/>
      <c r="LA107" s="120"/>
      <c r="LB107" s="120"/>
      <c r="LC107" s="205"/>
      <c r="LD107" s="205"/>
      <c r="LE107" s="205">
        <f t="shared" si="947"/>
        <v>0</v>
      </c>
      <c r="LF107" s="205"/>
      <c r="LG107" s="120"/>
      <c r="LH107" s="120"/>
      <c r="LI107" s="120"/>
      <c r="LJ107" s="120"/>
      <c r="LK107" s="205"/>
      <c r="LL107" s="205"/>
      <c r="LM107" s="205">
        <f t="shared" si="948"/>
        <v>0</v>
      </c>
      <c r="LN107" s="205">
        <f t="shared" si="949"/>
        <v>240</v>
      </c>
      <c r="LO107" s="205"/>
      <c r="LP107" s="120"/>
      <c r="LQ107" s="120"/>
      <c r="LR107" s="120"/>
      <c r="LS107" s="205"/>
      <c r="LT107" s="205"/>
      <c r="LU107" s="205"/>
      <c r="LV107" s="205">
        <f t="shared" si="950"/>
        <v>0</v>
      </c>
      <c r="LW107" s="120"/>
      <c r="LX107" s="195">
        <v>480</v>
      </c>
      <c r="LY107" s="120"/>
      <c r="LZ107" s="120"/>
      <c r="MA107" s="120"/>
      <c r="MB107" s="205"/>
      <c r="MC107" s="205"/>
      <c r="MD107" s="205">
        <f t="shared" si="951"/>
        <v>480</v>
      </c>
      <c r="ME107" s="120"/>
      <c r="MF107" s="120"/>
      <c r="MG107" s="120"/>
      <c r="MH107" s="120"/>
      <c r="MI107" s="205"/>
      <c r="MJ107" s="205"/>
      <c r="MK107" s="205"/>
      <c r="ML107" s="205">
        <f t="shared" si="952"/>
        <v>0</v>
      </c>
      <c r="MM107" s="120"/>
      <c r="MN107" s="120"/>
      <c r="MO107" s="120"/>
      <c r="MP107" s="120"/>
      <c r="MQ107" s="120"/>
      <c r="MR107" s="205"/>
      <c r="MS107" s="205"/>
      <c r="MT107" s="205">
        <f t="shared" si="953"/>
        <v>0</v>
      </c>
      <c r="MU107" s="205">
        <f t="shared" si="954"/>
        <v>480</v>
      </c>
      <c r="MV107" s="120"/>
      <c r="MW107" s="120"/>
      <c r="MX107" s="120"/>
      <c r="MY107" s="120"/>
      <c r="MZ107" s="120"/>
      <c r="NA107" s="205"/>
      <c r="NB107" s="205"/>
      <c r="NC107" s="205">
        <f t="shared" si="880"/>
        <v>0</v>
      </c>
      <c r="ND107" s="120"/>
      <c r="NE107" s="120"/>
      <c r="NF107" s="120"/>
      <c r="NG107" s="120"/>
      <c r="NH107" s="120"/>
      <c r="NI107" s="205"/>
      <c r="NJ107" s="205"/>
      <c r="NK107" s="205">
        <f t="shared" si="881"/>
        <v>0</v>
      </c>
      <c r="NL107" s="120"/>
      <c r="NM107" s="120"/>
      <c r="NN107" s="120"/>
      <c r="NO107" s="120"/>
      <c r="NP107" s="120"/>
      <c r="NQ107" s="205"/>
      <c r="NR107" s="205"/>
      <c r="NS107" s="205">
        <f t="shared" si="882"/>
        <v>0</v>
      </c>
      <c r="NT107" s="120"/>
      <c r="NU107" s="120"/>
      <c r="NV107" s="217">
        <v>240</v>
      </c>
      <c r="NW107" s="120"/>
      <c r="NX107" s="120"/>
      <c r="NY107" s="205"/>
      <c r="NZ107" s="205"/>
      <c r="OA107" s="205">
        <f t="shared" si="883"/>
        <v>240</v>
      </c>
      <c r="OB107" s="205">
        <f t="shared" si="884"/>
        <v>240</v>
      </c>
      <c r="OC107" s="120"/>
      <c r="OD107" s="120"/>
      <c r="OE107" s="120"/>
      <c r="OF107" s="120"/>
      <c r="OG107" s="120"/>
      <c r="OH107" s="205"/>
      <c r="OI107" s="205"/>
      <c r="OJ107" s="205">
        <f t="shared" si="885"/>
        <v>0</v>
      </c>
      <c r="OK107" s="120"/>
      <c r="OL107" s="120"/>
      <c r="OM107" s="120"/>
      <c r="ON107" s="120"/>
      <c r="OO107" s="120"/>
      <c r="OP107" s="205"/>
      <c r="OQ107" s="205"/>
      <c r="OR107" s="205">
        <f t="shared" si="886"/>
        <v>0</v>
      </c>
      <c r="OS107" s="120"/>
      <c r="OT107" s="120"/>
      <c r="OU107" s="120"/>
      <c r="OV107" s="120"/>
      <c r="OW107" s="120"/>
      <c r="OX107" s="205"/>
      <c r="OY107" s="205"/>
      <c r="OZ107" s="205">
        <f t="shared" si="887"/>
        <v>0</v>
      </c>
      <c r="PA107" s="120"/>
      <c r="PB107" s="120"/>
      <c r="PC107" s="120"/>
      <c r="PD107" s="205"/>
      <c r="PE107" s="217"/>
      <c r="PF107" s="205"/>
      <c r="PG107" s="205"/>
      <c r="PH107" s="205">
        <f t="shared" si="888"/>
        <v>0</v>
      </c>
      <c r="PI107" s="120"/>
      <c r="PJ107" s="120"/>
      <c r="PK107" s="195">
        <v>840</v>
      </c>
      <c r="PL107" s="205"/>
      <c r="PM107" s="217"/>
      <c r="PN107" s="205"/>
      <c r="PO107" s="205"/>
      <c r="PP107" s="205">
        <f t="shared" si="889"/>
        <v>840</v>
      </c>
      <c r="PQ107" s="205">
        <f t="shared" si="890"/>
        <v>840</v>
      </c>
      <c r="PR107" s="207"/>
      <c r="PS107" s="207"/>
      <c r="PT107" s="207"/>
      <c r="PU107" s="207"/>
      <c r="PV107" s="207"/>
      <c r="PW107" s="272"/>
      <c r="PX107" s="272"/>
      <c r="PY107" s="205">
        <f t="shared" si="891"/>
        <v>0</v>
      </c>
      <c r="PZ107" s="207"/>
      <c r="QA107" s="207"/>
      <c r="QB107" s="207"/>
      <c r="QC107" s="207"/>
      <c r="QD107" s="207"/>
      <c r="QE107" s="272"/>
      <c r="QF107" s="272"/>
      <c r="QG107" s="205">
        <f t="shared" si="892"/>
        <v>0</v>
      </c>
      <c r="QH107" s="207"/>
      <c r="QI107" s="207"/>
      <c r="QJ107" s="294"/>
      <c r="QK107" s="207"/>
      <c r="QL107" s="207"/>
      <c r="QM107" s="272"/>
      <c r="QN107" s="272"/>
      <c r="QO107" s="205">
        <f t="shared" si="893"/>
        <v>0</v>
      </c>
      <c r="QP107" s="207"/>
      <c r="QQ107" s="124">
        <v>480</v>
      </c>
      <c r="QR107" s="207"/>
      <c r="QS107" s="207"/>
      <c r="QT107" s="207"/>
      <c r="QU107" s="272"/>
      <c r="QV107" s="272"/>
      <c r="QW107" s="205">
        <f t="shared" si="894"/>
        <v>480</v>
      </c>
      <c r="QX107" s="205">
        <f t="shared" si="895"/>
        <v>480</v>
      </c>
      <c r="QY107" s="207"/>
      <c r="QZ107" s="207"/>
      <c r="RA107" s="207"/>
      <c r="RB107" s="207"/>
      <c r="RC107" s="207"/>
      <c r="RD107" s="272"/>
      <c r="RE107" s="272"/>
      <c r="RF107" s="205">
        <f t="shared" si="896"/>
        <v>0</v>
      </c>
      <c r="RG107" s="207"/>
      <c r="RH107" s="207"/>
      <c r="RI107" s="207"/>
      <c r="RJ107" s="207"/>
      <c r="RK107" s="207"/>
      <c r="RL107" s="272"/>
      <c r="RM107" s="272"/>
      <c r="RN107" s="205">
        <f t="shared" si="897"/>
        <v>0</v>
      </c>
      <c r="RO107" s="272"/>
      <c r="RP107" s="272"/>
      <c r="RQ107" s="272"/>
      <c r="RR107" s="272"/>
      <c r="RS107" s="272"/>
      <c r="RT107" s="272"/>
      <c r="RU107" s="272"/>
      <c r="RV107" s="205">
        <f t="shared" si="898"/>
        <v>0</v>
      </c>
      <c r="RW107" s="207"/>
      <c r="RX107" s="207"/>
      <c r="RY107" s="207"/>
      <c r="RZ107" s="207"/>
      <c r="SA107" s="272"/>
      <c r="SB107" s="272"/>
      <c r="SC107" s="272"/>
      <c r="SD107" s="205">
        <f t="shared" si="899"/>
        <v>0</v>
      </c>
      <c r="SE107" s="205">
        <f t="shared" si="900"/>
        <v>0</v>
      </c>
      <c r="SF107" s="207"/>
      <c r="SG107" s="207"/>
      <c r="SH107" s="207"/>
      <c r="SI107" s="207"/>
      <c r="SJ107" s="207"/>
      <c r="SK107" s="272"/>
      <c r="SL107" s="272"/>
      <c r="SM107" s="205">
        <f t="shared" si="901"/>
        <v>0</v>
      </c>
      <c r="SN107" s="217">
        <v>1440</v>
      </c>
      <c r="SO107" s="207"/>
      <c r="SP107" s="207"/>
      <c r="SQ107" s="207"/>
      <c r="SR107" s="207"/>
      <c r="SS107" s="272"/>
      <c r="ST107" s="272"/>
      <c r="SU107" s="205">
        <f t="shared" si="902"/>
        <v>1440</v>
      </c>
      <c r="SV107" s="207"/>
      <c r="SW107" s="207"/>
      <c r="SX107" s="207"/>
      <c r="SY107" s="207"/>
      <c r="SZ107" s="207"/>
      <c r="TA107" s="272"/>
      <c r="TB107" s="272"/>
      <c r="TC107" s="205">
        <f t="shared" si="903"/>
        <v>0</v>
      </c>
      <c r="TD107" s="207"/>
      <c r="TE107" s="207"/>
      <c r="TF107" s="207"/>
      <c r="TG107" s="207"/>
      <c r="TH107" s="207"/>
      <c r="TI107" s="272"/>
      <c r="TJ107" s="272"/>
      <c r="TK107" s="205">
        <f t="shared" si="904"/>
        <v>0</v>
      </c>
      <c r="TL107" s="207"/>
      <c r="TM107" s="207"/>
      <c r="TN107" s="207"/>
      <c r="TO107" s="207"/>
      <c r="TP107" s="272"/>
      <c r="TQ107" s="272"/>
      <c r="TR107" s="272"/>
      <c r="TS107" s="205">
        <f t="shared" si="905"/>
        <v>0</v>
      </c>
      <c r="TT107" s="205">
        <f t="shared" si="906"/>
        <v>1440</v>
      </c>
      <c r="TU107" s="272"/>
      <c r="TV107" s="217">
        <v>480</v>
      </c>
      <c r="TW107" s="207"/>
      <c r="TX107" s="207"/>
      <c r="TY107" s="207"/>
      <c r="TZ107" s="272"/>
      <c r="UA107" s="272"/>
      <c r="UB107" s="205">
        <f t="shared" si="907"/>
        <v>480</v>
      </c>
      <c r="UC107" s="207"/>
      <c r="UD107" s="207"/>
      <c r="UE107" s="207"/>
      <c r="UF107" s="207"/>
      <c r="UG107" s="207"/>
      <c r="UH107" s="272"/>
      <c r="UI107" s="272"/>
      <c r="UJ107" s="205">
        <f t="shared" si="908"/>
        <v>0</v>
      </c>
      <c r="UK107" s="207"/>
      <c r="UL107" s="207"/>
      <c r="UM107" s="207"/>
      <c r="UN107" s="207"/>
      <c r="UO107" s="207"/>
      <c r="UP107" s="272"/>
      <c r="UQ107" s="272"/>
      <c r="UR107" s="205">
        <f t="shared" si="909"/>
        <v>0</v>
      </c>
      <c r="US107" s="207"/>
      <c r="UT107" s="207"/>
      <c r="UU107" s="207"/>
      <c r="UV107" s="207"/>
      <c r="UW107" s="272"/>
      <c r="UX107" s="272"/>
      <c r="UY107" s="272"/>
      <c r="UZ107" s="205">
        <f t="shared" si="910"/>
        <v>0</v>
      </c>
      <c r="VA107" s="205">
        <f t="shared" si="911"/>
        <v>480</v>
      </c>
      <c r="VB107" s="207"/>
      <c r="VC107" s="207"/>
      <c r="VD107" s="207"/>
      <c r="VE107" s="207"/>
      <c r="VF107" s="207"/>
      <c r="VG107" s="272"/>
      <c r="VH107" s="272"/>
      <c r="VI107" s="205">
        <f t="shared" si="912"/>
        <v>0</v>
      </c>
      <c r="VJ107" s="207"/>
      <c r="VK107" s="207"/>
      <c r="VL107" s="195">
        <v>720</v>
      </c>
      <c r="VM107" s="207"/>
      <c r="VN107" s="207"/>
      <c r="VO107" s="272"/>
      <c r="VP107" s="272"/>
      <c r="VQ107" s="205">
        <f t="shared" si="913"/>
        <v>720</v>
      </c>
      <c r="VR107" s="207"/>
      <c r="VS107" s="207"/>
      <c r="VT107" s="207"/>
      <c r="VU107" s="207"/>
      <c r="VV107" s="207"/>
      <c r="VW107" s="272"/>
      <c r="VX107" s="272"/>
      <c r="VY107" s="205">
        <f t="shared" si="914"/>
        <v>0</v>
      </c>
      <c r="VZ107" s="207"/>
      <c r="WA107" s="207"/>
      <c r="WB107" s="207"/>
      <c r="WC107" s="207"/>
      <c r="WD107" s="207"/>
      <c r="WE107" s="272"/>
      <c r="WF107" s="272"/>
      <c r="WG107" s="205">
        <f t="shared" si="915"/>
        <v>0</v>
      </c>
      <c r="WH107" s="205">
        <f t="shared" si="916"/>
        <v>720</v>
      </c>
      <c r="WI107" s="207"/>
      <c r="WJ107" s="207"/>
      <c r="WK107" s="207"/>
      <c r="WL107" s="207"/>
      <c r="WM107" s="207"/>
      <c r="WN107" s="272"/>
      <c r="WO107" s="272"/>
      <c r="WP107" s="205">
        <f t="shared" si="917"/>
        <v>0</v>
      </c>
      <c r="WQ107" s="207"/>
      <c r="WR107" s="207"/>
      <c r="WS107" s="207"/>
      <c r="WT107" s="207"/>
      <c r="WU107" s="207"/>
      <c r="WV107" s="272"/>
      <c r="WW107" s="272"/>
      <c r="WX107" s="205">
        <f t="shared" si="918"/>
        <v>0</v>
      </c>
      <c r="WY107" s="207"/>
      <c r="WZ107" s="207"/>
      <c r="XA107" s="207"/>
      <c r="XB107" s="207"/>
      <c r="XC107" s="272"/>
      <c r="XD107" s="272"/>
      <c r="XE107" s="272"/>
      <c r="XF107" s="205">
        <f t="shared" si="919"/>
        <v>0</v>
      </c>
      <c r="XG107" s="207"/>
      <c r="XH107" s="207"/>
      <c r="XI107" s="207"/>
      <c r="XJ107" s="207"/>
      <c r="XK107" s="207"/>
      <c r="XL107" s="272"/>
      <c r="XM107" s="272"/>
      <c r="XN107" s="205">
        <f t="shared" si="920"/>
        <v>0</v>
      </c>
      <c r="XO107" s="207"/>
      <c r="XP107" s="207"/>
      <c r="XQ107" s="207"/>
      <c r="XR107" s="207"/>
      <c r="XS107" s="207"/>
      <c r="XT107" s="272"/>
      <c r="XU107" s="272"/>
      <c r="XV107" s="205">
        <f t="shared" si="921"/>
        <v>0</v>
      </c>
      <c r="XW107" s="205">
        <f t="shared" si="922"/>
        <v>0</v>
      </c>
      <c r="XX107" s="207"/>
      <c r="XY107" s="207"/>
      <c r="XZ107" s="207"/>
      <c r="YA107" s="207"/>
      <c r="YB107" s="207"/>
      <c r="YC107" s="272"/>
      <c r="YD107" s="272"/>
      <c r="YE107" s="205">
        <f t="shared" si="923"/>
        <v>0</v>
      </c>
      <c r="YF107" s="207"/>
      <c r="YG107" s="207"/>
      <c r="YH107" s="207"/>
      <c r="YI107" s="207"/>
      <c r="YJ107" s="207"/>
      <c r="YK107" s="272"/>
      <c r="YL107" s="272"/>
      <c r="YM107" s="205">
        <f t="shared" si="924"/>
        <v>0</v>
      </c>
      <c r="YN107" s="207"/>
      <c r="YO107" s="207"/>
      <c r="YP107" s="207"/>
      <c r="YQ107" s="207"/>
      <c r="YR107" s="207"/>
      <c r="YS107" s="272"/>
      <c r="YT107" s="272"/>
      <c r="YU107" s="205">
        <f t="shared" si="925"/>
        <v>0</v>
      </c>
      <c r="YV107" s="207"/>
      <c r="YW107" s="207"/>
      <c r="YX107" s="207"/>
      <c r="YY107" s="207"/>
      <c r="YZ107" s="207"/>
      <c r="ZA107" s="272"/>
      <c r="ZB107" s="272"/>
      <c r="ZC107" s="205">
        <f t="shared" si="926"/>
        <v>0</v>
      </c>
      <c r="ZD107" s="205">
        <f t="shared" si="927"/>
        <v>0</v>
      </c>
      <c r="ZE107" s="207"/>
      <c r="ZF107" s="207"/>
      <c r="ZG107" s="207"/>
      <c r="ZH107" s="207"/>
      <c r="ZI107" s="207"/>
      <c r="ZJ107" s="272"/>
      <c r="ZK107" s="272"/>
      <c r="ZL107" s="205">
        <f t="shared" si="928"/>
        <v>0</v>
      </c>
      <c r="ZM107" s="207"/>
      <c r="ZN107" s="207"/>
      <c r="ZO107" s="207"/>
      <c r="ZP107" s="207"/>
      <c r="ZQ107" s="207"/>
      <c r="ZR107" s="272"/>
      <c r="ZS107" s="272"/>
      <c r="ZT107" s="205">
        <f t="shared" si="929"/>
        <v>0</v>
      </c>
      <c r="ZU107" s="207"/>
      <c r="ZV107" s="207"/>
      <c r="ZW107" s="207"/>
      <c r="ZX107" s="207"/>
      <c r="ZY107" s="207"/>
      <c r="ZZ107" s="272"/>
      <c r="AAA107" s="272"/>
      <c r="AAB107" s="205">
        <f t="shared" si="930"/>
        <v>0</v>
      </c>
      <c r="AAC107" s="207"/>
      <c r="AAD107" s="207"/>
      <c r="AAE107" s="207"/>
      <c r="AAF107" s="207"/>
      <c r="AAG107" s="207"/>
      <c r="AAH107" s="272"/>
      <c r="AAI107" s="272"/>
      <c r="AAJ107" s="205">
        <f t="shared" si="931"/>
        <v>0</v>
      </c>
      <c r="AAK107" s="207"/>
      <c r="AAL107" s="207"/>
      <c r="AAM107" s="207"/>
      <c r="AAN107" s="207"/>
      <c r="AAO107" s="207"/>
      <c r="AAP107" s="272"/>
      <c r="AAQ107" s="272"/>
      <c r="AAR107" s="205">
        <f t="shared" si="932"/>
        <v>0</v>
      </c>
      <c r="AAS107" s="205">
        <f t="shared" si="933"/>
        <v>0</v>
      </c>
    </row>
    <row r="108" spans="1:721" ht="69.95" customHeight="1">
      <c r="B108" s="151">
        <v>3630101439</v>
      </c>
      <c r="C108" s="323" t="s">
        <v>741</v>
      </c>
      <c r="D108" s="152" t="s">
        <v>61</v>
      </c>
      <c r="E108" s="130" t="s">
        <v>4</v>
      </c>
      <c r="F108" s="120"/>
      <c r="G108" s="120"/>
      <c r="H108" s="123">
        <v>1000</v>
      </c>
      <c r="I108" s="120"/>
      <c r="J108" s="120"/>
      <c r="K108" s="209"/>
      <c r="L108" s="205"/>
      <c r="M108" s="205">
        <f t="shared" si="1048"/>
        <v>1000</v>
      </c>
      <c r="N108" s="120"/>
      <c r="O108" s="120"/>
      <c r="P108" s="120"/>
      <c r="Q108" s="120"/>
      <c r="R108" s="120"/>
      <c r="S108" s="209"/>
      <c r="T108" s="205"/>
      <c r="U108" s="205">
        <f t="shared" si="1049"/>
        <v>0</v>
      </c>
      <c r="V108" s="120"/>
      <c r="W108" s="120"/>
      <c r="X108" s="120"/>
      <c r="Y108" s="120"/>
      <c r="Z108" s="120"/>
      <c r="AA108" s="209"/>
      <c r="AB108" s="205"/>
      <c r="AC108" s="205">
        <f t="shared" si="1050"/>
        <v>0</v>
      </c>
      <c r="AD108" s="205"/>
      <c r="AE108" s="205"/>
      <c r="AF108" s="205"/>
      <c r="AG108" s="205"/>
      <c r="AH108" s="205"/>
      <c r="AI108" s="209"/>
      <c r="AJ108" s="205"/>
      <c r="AK108" s="205">
        <f t="shared" si="1051"/>
        <v>0</v>
      </c>
      <c r="AL108" s="205" t="e">
        <f>SUM(#REF!,M108,U108,AC108,AD108:AH108)</f>
        <v>#REF!</v>
      </c>
      <c r="AM108" s="120"/>
      <c r="AN108" s="120"/>
      <c r="AO108" s="120"/>
      <c r="AP108" s="120"/>
      <c r="AQ108" s="120"/>
      <c r="AR108" s="209"/>
      <c r="AS108" s="205"/>
      <c r="AT108" s="205">
        <f t="shared" si="1052"/>
        <v>0</v>
      </c>
      <c r="AU108" s="120"/>
      <c r="AV108" s="120"/>
      <c r="AW108" s="120"/>
      <c r="AX108" s="120"/>
      <c r="AY108" s="120"/>
      <c r="AZ108" s="209"/>
      <c r="BA108" s="205"/>
      <c r="BB108" s="205">
        <f t="shared" si="1053"/>
        <v>0</v>
      </c>
      <c r="BC108" s="120"/>
      <c r="BD108" s="120"/>
      <c r="BE108" s="120"/>
      <c r="BF108" s="120"/>
      <c r="BG108" s="120"/>
      <c r="BH108" s="209"/>
      <c r="BI108" s="205"/>
      <c r="BJ108" s="205">
        <f t="shared" si="1054"/>
        <v>0</v>
      </c>
      <c r="BK108" s="250">
        <v>1000</v>
      </c>
      <c r="BL108" s="120"/>
      <c r="BM108" s="120"/>
      <c r="BN108" s="120"/>
      <c r="BO108" s="205"/>
      <c r="BP108" s="209"/>
      <c r="BQ108" s="205"/>
      <c r="BR108" s="205">
        <f t="shared" si="1055"/>
        <v>1000</v>
      </c>
      <c r="BS108" s="205">
        <f t="shared" si="832"/>
        <v>1000</v>
      </c>
      <c r="BT108" s="120"/>
      <c r="BU108" s="120"/>
      <c r="BV108" s="120"/>
      <c r="BW108" s="120"/>
      <c r="BX108" s="120"/>
      <c r="BY108" s="209"/>
      <c r="BZ108" s="205"/>
      <c r="CA108" s="205">
        <f t="shared" si="1056"/>
        <v>0</v>
      </c>
      <c r="CB108" s="120"/>
      <c r="CC108" s="120"/>
      <c r="CD108" s="120"/>
      <c r="CE108" s="120"/>
      <c r="CF108" s="120"/>
      <c r="CG108" s="209"/>
      <c r="CH108" s="205"/>
      <c r="CI108" s="205">
        <f t="shared" si="1057"/>
        <v>0</v>
      </c>
      <c r="CJ108" s="195">
        <v>1000</v>
      </c>
      <c r="CK108" s="120"/>
      <c r="CL108" s="120"/>
      <c r="CM108" s="120"/>
      <c r="CN108" s="120"/>
      <c r="CO108" s="209"/>
      <c r="CP108" s="205"/>
      <c r="CQ108" s="205">
        <f t="shared" si="1058"/>
        <v>1000</v>
      </c>
      <c r="CR108" s="120"/>
      <c r="CS108" s="120"/>
      <c r="CT108" s="120"/>
      <c r="CU108" s="120"/>
      <c r="CV108" s="120"/>
      <c r="CW108" s="209"/>
      <c r="CX108" s="205"/>
      <c r="CY108" s="205">
        <f t="shared" si="1059"/>
        <v>0</v>
      </c>
      <c r="CZ108" s="120"/>
      <c r="DA108" s="120"/>
      <c r="DB108" s="120"/>
      <c r="DC108" s="205"/>
      <c r="DD108" s="205"/>
      <c r="DE108" s="209"/>
      <c r="DF108" s="205"/>
      <c r="DG108" s="205">
        <f t="shared" si="1060"/>
        <v>0</v>
      </c>
      <c r="DH108" s="205">
        <f t="shared" si="838"/>
        <v>1000</v>
      </c>
      <c r="DI108" s="120"/>
      <c r="DJ108" s="120"/>
      <c r="DK108" s="120"/>
      <c r="DL108" s="120"/>
      <c r="DM108" s="120"/>
      <c r="DN108" s="209"/>
      <c r="DO108" s="205"/>
      <c r="DP108" s="205">
        <f t="shared" si="839"/>
        <v>0</v>
      </c>
      <c r="DQ108" s="120"/>
      <c r="DR108" s="120"/>
      <c r="DS108" s="120"/>
      <c r="DT108" s="120"/>
      <c r="DU108" s="120"/>
      <c r="DV108" s="209"/>
      <c r="DW108" s="205"/>
      <c r="DX108" s="205">
        <f t="shared" si="840"/>
        <v>0</v>
      </c>
      <c r="DY108" s="120"/>
      <c r="DZ108" s="120"/>
      <c r="EA108" s="120"/>
      <c r="EB108" s="120"/>
      <c r="EC108" s="120"/>
      <c r="ED108" s="209"/>
      <c r="EE108" s="205"/>
      <c r="EF108" s="205">
        <f t="shared" si="841"/>
        <v>0</v>
      </c>
      <c r="EG108" s="120"/>
      <c r="EH108" s="120"/>
      <c r="EI108" s="120"/>
      <c r="EJ108" s="205"/>
      <c r="EK108" s="205"/>
      <c r="EL108" s="209"/>
      <c r="EM108" s="205"/>
      <c r="EN108" s="205">
        <f t="shared" si="842"/>
        <v>0</v>
      </c>
      <c r="EO108" s="205">
        <f t="shared" si="843"/>
        <v>0</v>
      </c>
      <c r="EP108" s="120"/>
      <c r="EQ108" s="120"/>
      <c r="ER108" s="120"/>
      <c r="ES108" s="250">
        <v>1000</v>
      </c>
      <c r="ET108" s="120"/>
      <c r="EU108" s="209"/>
      <c r="EV108" s="205"/>
      <c r="EW108" s="205">
        <f t="shared" si="844"/>
        <v>1000</v>
      </c>
      <c r="EX108" s="120"/>
      <c r="EY108" s="120"/>
      <c r="EZ108" s="120"/>
      <c r="FA108" s="120"/>
      <c r="FB108" s="120"/>
      <c r="FC108" s="209"/>
      <c r="FD108" s="205"/>
      <c r="FE108" s="205">
        <f t="shared" si="845"/>
        <v>0</v>
      </c>
      <c r="FF108" s="120"/>
      <c r="FG108" s="120"/>
      <c r="FH108" s="120"/>
      <c r="FI108" s="120"/>
      <c r="FJ108" s="120"/>
      <c r="FK108" s="209"/>
      <c r="FL108" s="205"/>
      <c r="FM108" s="205">
        <f t="shared" si="846"/>
        <v>0</v>
      </c>
      <c r="FN108" s="120"/>
      <c r="FO108" s="120"/>
      <c r="FP108" s="120"/>
      <c r="FQ108" s="120"/>
      <c r="FR108" s="205"/>
      <c r="FS108" s="209"/>
      <c r="FT108" s="205"/>
      <c r="FU108" s="205">
        <f t="shared" si="847"/>
        <v>0</v>
      </c>
      <c r="FV108" s="205">
        <f t="shared" si="848"/>
        <v>1000</v>
      </c>
      <c r="FW108" s="123">
        <v>1000</v>
      </c>
      <c r="FX108" s="120"/>
      <c r="FY108" s="120"/>
      <c r="FZ108" s="120"/>
      <c r="GA108" s="120"/>
      <c r="GB108" s="209"/>
      <c r="GC108" s="205"/>
      <c r="GD108" s="205">
        <f t="shared" si="849"/>
        <v>1000</v>
      </c>
      <c r="GE108" s="120"/>
      <c r="GF108" s="120"/>
      <c r="GG108" s="120"/>
      <c r="GH108" s="120"/>
      <c r="GI108" s="120"/>
      <c r="GJ108" s="209"/>
      <c r="GK108" s="205"/>
      <c r="GL108" s="205">
        <f t="shared" si="850"/>
        <v>0</v>
      </c>
      <c r="GM108" s="120"/>
      <c r="GN108" s="120"/>
      <c r="GO108" s="120"/>
      <c r="GP108" s="250">
        <v>1770</v>
      </c>
      <c r="GQ108" s="120"/>
      <c r="GR108" s="209"/>
      <c r="GS108" s="205"/>
      <c r="GT108" s="205">
        <f t="shared" si="851"/>
        <v>1770</v>
      </c>
      <c r="GU108" s="120"/>
      <c r="GV108" s="120"/>
      <c r="GW108" s="120"/>
      <c r="GX108" s="120"/>
      <c r="GY108" s="120"/>
      <c r="GZ108" s="209"/>
      <c r="HA108" s="205"/>
      <c r="HB108" s="205">
        <f t="shared" si="852"/>
        <v>0</v>
      </c>
      <c r="HC108" s="120"/>
      <c r="HD108" s="120"/>
      <c r="HE108" s="120"/>
      <c r="HF108" s="120"/>
      <c r="HG108" s="120"/>
      <c r="HH108" s="209"/>
      <c r="HI108" s="205"/>
      <c r="HJ108" s="205">
        <f t="shared" si="853"/>
        <v>0</v>
      </c>
      <c r="HK108" s="205">
        <f t="shared" si="854"/>
        <v>2770</v>
      </c>
      <c r="HL108" s="124"/>
      <c r="HM108" s="120"/>
      <c r="HN108" s="120"/>
      <c r="HO108" s="120"/>
      <c r="HP108" s="120"/>
      <c r="HQ108" s="205"/>
      <c r="HR108" s="205"/>
      <c r="HS108" s="205">
        <f t="shared" si="934"/>
        <v>0</v>
      </c>
      <c r="HT108" s="120"/>
      <c r="HU108" s="120"/>
      <c r="HV108" s="120"/>
      <c r="HW108" s="120"/>
      <c r="HX108" s="120"/>
      <c r="HY108" s="205"/>
      <c r="HZ108" s="205"/>
      <c r="IA108" s="205">
        <f t="shared" si="935"/>
        <v>0</v>
      </c>
      <c r="IB108" s="217">
        <v>1000</v>
      </c>
      <c r="IC108" s="120"/>
      <c r="ID108" s="120"/>
      <c r="IE108" s="120"/>
      <c r="IF108" s="120"/>
      <c r="IG108" s="205"/>
      <c r="IH108" s="205"/>
      <c r="II108" s="205">
        <f t="shared" si="936"/>
        <v>1000</v>
      </c>
      <c r="IJ108" s="120"/>
      <c r="IK108" s="120"/>
      <c r="IL108" s="120"/>
      <c r="IM108" s="120"/>
      <c r="IN108" s="120"/>
      <c r="IO108" s="205"/>
      <c r="IP108" s="205"/>
      <c r="IQ108" s="205">
        <f t="shared" si="937"/>
        <v>0</v>
      </c>
      <c r="IR108" s="205">
        <f t="shared" si="938"/>
        <v>1000</v>
      </c>
      <c r="IS108" s="120"/>
      <c r="IT108" s="120"/>
      <c r="IU108" s="120"/>
      <c r="IV108" s="120"/>
      <c r="IW108" s="120"/>
      <c r="IX108" s="205"/>
      <c r="IY108" s="205"/>
      <c r="IZ108" s="205">
        <f t="shared" si="939"/>
        <v>0</v>
      </c>
      <c r="JA108" s="120"/>
      <c r="JB108" s="120"/>
      <c r="JC108" s="120"/>
      <c r="JD108" s="120"/>
      <c r="JE108" s="120"/>
      <c r="JF108" s="205"/>
      <c r="JG108" s="205"/>
      <c r="JH108" s="205">
        <f t="shared" si="940"/>
        <v>0</v>
      </c>
      <c r="JI108" s="120"/>
      <c r="JJ108" s="124">
        <v>1520</v>
      </c>
      <c r="JK108" s="120"/>
      <c r="JL108" s="120"/>
      <c r="JM108" s="120"/>
      <c r="JN108" s="205"/>
      <c r="JO108" s="205"/>
      <c r="JP108" s="205">
        <f t="shared" si="941"/>
        <v>1520</v>
      </c>
      <c r="JQ108" s="120"/>
      <c r="JR108" s="120"/>
      <c r="JS108" s="120"/>
      <c r="JT108" s="120"/>
      <c r="JU108" s="120"/>
      <c r="JV108" s="205"/>
      <c r="JW108" s="205"/>
      <c r="JX108" s="205">
        <f t="shared" si="942"/>
        <v>0</v>
      </c>
      <c r="JY108" s="205">
        <f t="shared" si="943"/>
        <v>1520</v>
      </c>
      <c r="JZ108" s="120"/>
      <c r="KA108" s="120"/>
      <c r="KB108" s="120"/>
      <c r="KC108" s="120"/>
      <c r="KD108" s="120"/>
      <c r="KE108" s="205"/>
      <c r="KF108" s="205"/>
      <c r="KG108" s="205">
        <f t="shared" si="944"/>
        <v>0</v>
      </c>
      <c r="KH108" s="120"/>
      <c r="KI108" s="120"/>
      <c r="KJ108" s="120"/>
      <c r="KK108" s="120"/>
      <c r="KL108" s="120"/>
      <c r="KM108" s="205"/>
      <c r="KN108" s="205"/>
      <c r="KO108" s="205">
        <f t="shared" si="945"/>
        <v>0</v>
      </c>
      <c r="KP108" s="120"/>
      <c r="KQ108" s="201">
        <v>520</v>
      </c>
      <c r="KR108" s="120"/>
      <c r="KS108" s="120"/>
      <c r="KT108" s="120"/>
      <c r="KU108" s="205"/>
      <c r="KV108" s="205"/>
      <c r="KW108" s="205">
        <f t="shared" si="946"/>
        <v>520</v>
      </c>
      <c r="KX108" s="120"/>
      <c r="KY108" s="120"/>
      <c r="KZ108" s="120"/>
      <c r="LA108" s="120"/>
      <c r="LB108" s="120"/>
      <c r="LC108" s="205"/>
      <c r="LD108" s="205"/>
      <c r="LE108" s="205">
        <f t="shared" si="947"/>
        <v>0</v>
      </c>
      <c r="LF108" s="205"/>
      <c r="LG108" s="120"/>
      <c r="LH108" s="120"/>
      <c r="LI108" s="120"/>
      <c r="LJ108" s="120"/>
      <c r="LK108" s="205"/>
      <c r="LL108" s="205"/>
      <c r="LM108" s="205">
        <f t="shared" si="948"/>
        <v>0</v>
      </c>
      <c r="LN108" s="205">
        <f t="shared" si="949"/>
        <v>520</v>
      </c>
      <c r="LO108" s="205"/>
      <c r="LP108" s="120"/>
      <c r="LQ108" s="120"/>
      <c r="LR108" s="120"/>
      <c r="LS108" s="205"/>
      <c r="LT108" s="205"/>
      <c r="LU108" s="205"/>
      <c r="LV108" s="205">
        <f t="shared" si="950"/>
        <v>0</v>
      </c>
      <c r="LW108" s="120"/>
      <c r="LX108" s="120"/>
      <c r="LY108" s="120"/>
      <c r="LZ108" s="120"/>
      <c r="MA108" s="120"/>
      <c r="MB108" s="205"/>
      <c r="MC108" s="205"/>
      <c r="MD108" s="205">
        <f t="shared" si="951"/>
        <v>0</v>
      </c>
      <c r="ME108" s="120"/>
      <c r="MF108" s="120"/>
      <c r="MG108" s="201">
        <v>1000</v>
      </c>
      <c r="MH108" s="120"/>
      <c r="MI108" s="205"/>
      <c r="MJ108" s="205"/>
      <c r="MK108" s="205"/>
      <c r="ML108" s="205">
        <f t="shared" si="952"/>
        <v>1000</v>
      </c>
      <c r="MM108" s="120"/>
      <c r="MN108" s="120"/>
      <c r="MO108" s="120"/>
      <c r="MP108" s="120"/>
      <c r="MQ108" s="120"/>
      <c r="MR108" s="205"/>
      <c r="MS108" s="205"/>
      <c r="MT108" s="205">
        <f t="shared" si="953"/>
        <v>0</v>
      </c>
      <c r="MU108" s="205">
        <f t="shared" si="954"/>
        <v>1000</v>
      </c>
      <c r="MV108" s="120"/>
      <c r="MW108" s="120"/>
      <c r="MX108" s="120"/>
      <c r="MY108" s="120"/>
      <c r="MZ108" s="120"/>
      <c r="NA108" s="205"/>
      <c r="NB108" s="205"/>
      <c r="NC108" s="205">
        <f t="shared" si="880"/>
        <v>0</v>
      </c>
      <c r="ND108" s="120"/>
      <c r="NE108" s="120"/>
      <c r="NF108" s="120"/>
      <c r="NG108" s="120"/>
      <c r="NH108" s="120"/>
      <c r="NI108" s="205"/>
      <c r="NJ108" s="205"/>
      <c r="NK108" s="205">
        <f t="shared" si="881"/>
        <v>0</v>
      </c>
      <c r="NL108" s="120"/>
      <c r="NM108" s="120"/>
      <c r="NN108" s="120"/>
      <c r="NO108" s="120"/>
      <c r="NP108" s="120"/>
      <c r="NQ108" s="205"/>
      <c r="NR108" s="205"/>
      <c r="NS108" s="205">
        <f t="shared" si="882"/>
        <v>0</v>
      </c>
      <c r="NT108" s="120"/>
      <c r="NU108" s="120"/>
      <c r="NV108" s="120"/>
      <c r="NW108" s="217">
        <v>520</v>
      </c>
      <c r="NX108" s="120"/>
      <c r="NY108" s="205"/>
      <c r="NZ108" s="205"/>
      <c r="OA108" s="205">
        <f t="shared" si="883"/>
        <v>520</v>
      </c>
      <c r="OB108" s="205">
        <f t="shared" si="884"/>
        <v>520</v>
      </c>
      <c r="OC108" s="120"/>
      <c r="OD108" s="120"/>
      <c r="OE108" s="120"/>
      <c r="OF108" s="120"/>
      <c r="OG108" s="120"/>
      <c r="OH108" s="205"/>
      <c r="OI108" s="205"/>
      <c r="OJ108" s="205">
        <f t="shared" si="885"/>
        <v>0</v>
      </c>
      <c r="OK108" s="120"/>
      <c r="OL108" s="120"/>
      <c r="OM108" s="120"/>
      <c r="ON108" s="120"/>
      <c r="OO108" s="120"/>
      <c r="OP108" s="205"/>
      <c r="OQ108" s="205"/>
      <c r="OR108" s="205">
        <f t="shared" si="886"/>
        <v>0</v>
      </c>
      <c r="OS108" s="124">
        <v>1000</v>
      </c>
      <c r="OT108" s="120"/>
      <c r="OU108" s="120"/>
      <c r="OV108" s="120"/>
      <c r="OW108" s="120"/>
      <c r="OX108" s="205"/>
      <c r="OY108" s="205"/>
      <c r="OZ108" s="205">
        <f t="shared" si="887"/>
        <v>1000</v>
      </c>
      <c r="PA108" s="124">
        <v>1040</v>
      </c>
      <c r="PB108" s="120"/>
      <c r="PC108" s="120"/>
      <c r="PD108" s="205"/>
      <c r="PE108" s="217"/>
      <c r="PF108" s="205"/>
      <c r="PG108" s="205"/>
      <c r="PH108" s="205">
        <f t="shared" si="888"/>
        <v>1040</v>
      </c>
      <c r="PI108" s="120"/>
      <c r="PJ108" s="120"/>
      <c r="PK108" s="120"/>
      <c r="PL108" s="205"/>
      <c r="PM108" s="217"/>
      <c r="PN108" s="205"/>
      <c r="PO108" s="205"/>
      <c r="PP108" s="205">
        <f t="shared" si="889"/>
        <v>0</v>
      </c>
      <c r="PQ108" s="205">
        <f t="shared" si="890"/>
        <v>2040</v>
      </c>
      <c r="PR108" s="124">
        <v>1000</v>
      </c>
      <c r="PS108" s="207"/>
      <c r="PT108" s="207"/>
      <c r="PU108" s="207"/>
      <c r="PV108" s="207"/>
      <c r="PW108" s="272"/>
      <c r="PX108" s="272"/>
      <c r="PY108" s="205">
        <f t="shared" si="891"/>
        <v>1000</v>
      </c>
      <c r="PZ108" s="207"/>
      <c r="QA108" s="207"/>
      <c r="QB108" s="207"/>
      <c r="QC108" s="207"/>
      <c r="QD108" s="207"/>
      <c r="QE108" s="272"/>
      <c r="QF108" s="272"/>
      <c r="QG108" s="205">
        <f t="shared" si="892"/>
        <v>0</v>
      </c>
      <c r="QH108" s="207"/>
      <c r="QI108" s="207"/>
      <c r="QJ108" s="294"/>
      <c r="QK108" s="207"/>
      <c r="QL108" s="207"/>
      <c r="QM108" s="272"/>
      <c r="QN108" s="272"/>
      <c r="QO108" s="205">
        <f t="shared" si="893"/>
        <v>0</v>
      </c>
      <c r="QP108" s="207"/>
      <c r="QQ108" s="207"/>
      <c r="QR108" s="207"/>
      <c r="QS108" s="207"/>
      <c r="QT108" s="207"/>
      <c r="QU108" s="272"/>
      <c r="QV108" s="272"/>
      <c r="QW108" s="205">
        <f t="shared" si="894"/>
        <v>0</v>
      </c>
      <c r="QX108" s="205">
        <f t="shared" si="895"/>
        <v>1000</v>
      </c>
      <c r="QY108" s="207"/>
      <c r="QZ108" s="207"/>
      <c r="RA108" s="207"/>
      <c r="RB108" s="207"/>
      <c r="RC108" s="207"/>
      <c r="RD108" s="272"/>
      <c r="RE108" s="272"/>
      <c r="RF108" s="205">
        <f t="shared" si="896"/>
        <v>0</v>
      </c>
      <c r="RG108" s="201">
        <v>520</v>
      </c>
      <c r="RH108" s="207"/>
      <c r="RI108" s="207"/>
      <c r="RJ108" s="207"/>
      <c r="RK108" s="207"/>
      <c r="RL108" s="272"/>
      <c r="RM108" s="272"/>
      <c r="RN108" s="205">
        <f t="shared" si="897"/>
        <v>520</v>
      </c>
      <c r="RO108" s="272"/>
      <c r="RP108" s="272"/>
      <c r="RQ108" s="272"/>
      <c r="RR108" s="272"/>
      <c r="RS108" s="272"/>
      <c r="RT108" s="272"/>
      <c r="RU108" s="272"/>
      <c r="RV108" s="205">
        <f t="shared" si="898"/>
        <v>0</v>
      </c>
      <c r="RW108" s="207"/>
      <c r="RX108" s="207"/>
      <c r="RY108" s="207"/>
      <c r="RZ108" s="195">
        <v>1000</v>
      </c>
      <c r="SA108" s="272"/>
      <c r="SB108" s="272"/>
      <c r="SC108" s="272"/>
      <c r="SD108" s="205">
        <f t="shared" si="899"/>
        <v>1000</v>
      </c>
      <c r="SE108" s="205">
        <f t="shared" si="900"/>
        <v>1520</v>
      </c>
      <c r="SF108" s="124">
        <v>1000</v>
      </c>
      <c r="SG108" s="207"/>
      <c r="SH108" s="207"/>
      <c r="SI108" s="207"/>
      <c r="SJ108" s="207"/>
      <c r="SK108" s="272"/>
      <c r="SL108" s="272"/>
      <c r="SM108" s="205">
        <f t="shared" si="901"/>
        <v>1000</v>
      </c>
      <c r="SN108" s="207"/>
      <c r="SO108" s="217">
        <v>1040</v>
      </c>
      <c r="SP108" s="207"/>
      <c r="SQ108" s="207"/>
      <c r="SR108" s="207"/>
      <c r="SS108" s="272"/>
      <c r="ST108" s="272"/>
      <c r="SU108" s="205">
        <f t="shared" si="902"/>
        <v>1040</v>
      </c>
      <c r="SV108" s="207"/>
      <c r="SW108" s="207"/>
      <c r="SX108" s="207"/>
      <c r="SY108" s="207"/>
      <c r="SZ108" s="207"/>
      <c r="TA108" s="272"/>
      <c r="TB108" s="272"/>
      <c r="TC108" s="205">
        <f t="shared" si="903"/>
        <v>0</v>
      </c>
      <c r="TD108" s="207"/>
      <c r="TE108" s="207"/>
      <c r="TF108" s="207"/>
      <c r="TG108" s="207"/>
      <c r="TH108" s="207"/>
      <c r="TI108" s="272"/>
      <c r="TJ108" s="272"/>
      <c r="TK108" s="205">
        <f t="shared" si="904"/>
        <v>0</v>
      </c>
      <c r="TL108" s="207"/>
      <c r="TM108" s="207"/>
      <c r="TN108" s="207"/>
      <c r="TO108" s="207"/>
      <c r="TP108" s="272"/>
      <c r="TQ108" s="272"/>
      <c r="TR108" s="272"/>
      <c r="TS108" s="205">
        <f t="shared" si="905"/>
        <v>0</v>
      </c>
      <c r="TT108" s="205">
        <f t="shared" si="906"/>
        <v>2040</v>
      </c>
      <c r="TU108" s="272"/>
      <c r="TV108" s="207"/>
      <c r="TW108" s="207"/>
      <c r="TX108" s="207"/>
      <c r="TY108" s="207"/>
      <c r="TZ108" s="272"/>
      <c r="UA108" s="272"/>
      <c r="UB108" s="205">
        <f t="shared" si="907"/>
        <v>0</v>
      </c>
      <c r="UC108" s="207"/>
      <c r="UD108" s="207"/>
      <c r="UE108" s="207"/>
      <c r="UF108" s="217">
        <v>1280</v>
      </c>
      <c r="UG108" s="207"/>
      <c r="UH108" s="272"/>
      <c r="UI108" s="272"/>
      <c r="UJ108" s="205">
        <f t="shared" si="908"/>
        <v>1280</v>
      </c>
      <c r="UK108" s="207"/>
      <c r="UL108" s="207"/>
      <c r="UM108" s="207"/>
      <c r="UN108" s="207"/>
      <c r="UO108" s="207"/>
      <c r="UP108" s="272"/>
      <c r="UQ108" s="272"/>
      <c r="UR108" s="205">
        <f t="shared" si="909"/>
        <v>0</v>
      </c>
      <c r="US108" s="207"/>
      <c r="UT108" s="207"/>
      <c r="UU108" s="207"/>
      <c r="UV108" s="207"/>
      <c r="UW108" s="272"/>
      <c r="UX108" s="272"/>
      <c r="UY108" s="272"/>
      <c r="UZ108" s="205">
        <f t="shared" si="910"/>
        <v>0</v>
      </c>
      <c r="VA108" s="205">
        <f t="shared" si="911"/>
        <v>1280</v>
      </c>
      <c r="VB108" s="207"/>
      <c r="VC108" s="207"/>
      <c r="VD108" s="207"/>
      <c r="VE108" s="207"/>
      <c r="VF108" s="207"/>
      <c r="VG108" s="272"/>
      <c r="VH108" s="272"/>
      <c r="VI108" s="205">
        <f t="shared" si="912"/>
        <v>0</v>
      </c>
      <c r="VJ108" s="207"/>
      <c r="VK108" s="207"/>
      <c r="VL108" s="207"/>
      <c r="VM108" s="207"/>
      <c r="VN108" s="207"/>
      <c r="VO108" s="272"/>
      <c r="VP108" s="272"/>
      <c r="VQ108" s="205">
        <f t="shared" si="913"/>
        <v>0</v>
      </c>
      <c r="VR108" s="207"/>
      <c r="VS108" s="195">
        <v>1160</v>
      </c>
      <c r="VT108" s="207"/>
      <c r="VU108" s="207"/>
      <c r="VV108" s="207"/>
      <c r="VW108" s="272"/>
      <c r="VX108" s="272"/>
      <c r="VY108" s="205">
        <f t="shared" si="914"/>
        <v>1160</v>
      </c>
      <c r="VZ108" s="207"/>
      <c r="WA108" s="207"/>
      <c r="WB108" s="207"/>
      <c r="WC108" s="207"/>
      <c r="WD108" s="207"/>
      <c r="WE108" s="272"/>
      <c r="WF108" s="272"/>
      <c r="WG108" s="205">
        <f t="shared" si="915"/>
        <v>0</v>
      </c>
      <c r="WH108" s="205">
        <f t="shared" si="916"/>
        <v>1160</v>
      </c>
      <c r="WI108" s="195">
        <v>1000</v>
      </c>
      <c r="WJ108" s="207"/>
      <c r="WK108" s="207"/>
      <c r="WL108" s="207"/>
      <c r="WM108" s="207"/>
      <c r="WN108" s="272"/>
      <c r="WO108" s="272"/>
      <c r="WP108" s="205">
        <f t="shared" si="917"/>
        <v>1000</v>
      </c>
      <c r="WQ108" s="207"/>
      <c r="WR108" s="207"/>
      <c r="WS108" s="207"/>
      <c r="WT108" s="207"/>
      <c r="WU108" s="207"/>
      <c r="WV108" s="272"/>
      <c r="WW108" s="272"/>
      <c r="WX108" s="205">
        <f t="shared" si="918"/>
        <v>0</v>
      </c>
      <c r="WY108" s="207"/>
      <c r="WZ108" s="207"/>
      <c r="XA108" s="207"/>
      <c r="XB108" s="207"/>
      <c r="XC108" s="272"/>
      <c r="XD108" s="272"/>
      <c r="XE108" s="272"/>
      <c r="XF108" s="205">
        <f t="shared" si="919"/>
        <v>0</v>
      </c>
      <c r="XG108" s="207"/>
      <c r="XH108" s="207"/>
      <c r="XI108" s="207"/>
      <c r="XJ108" s="207"/>
      <c r="XK108" s="207"/>
      <c r="XL108" s="272"/>
      <c r="XM108" s="272"/>
      <c r="XN108" s="205">
        <f t="shared" si="920"/>
        <v>0</v>
      </c>
      <c r="XO108" s="207"/>
      <c r="XP108" s="207"/>
      <c r="XQ108" s="207"/>
      <c r="XR108" s="207"/>
      <c r="XS108" s="207"/>
      <c r="XT108" s="272"/>
      <c r="XU108" s="272"/>
      <c r="XV108" s="205">
        <f t="shared" si="921"/>
        <v>0</v>
      </c>
      <c r="XW108" s="205">
        <f t="shared" si="922"/>
        <v>1000</v>
      </c>
      <c r="XX108" s="207"/>
      <c r="XY108" s="207"/>
      <c r="XZ108" s="207"/>
      <c r="YA108" s="207"/>
      <c r="YB108" s="207"/>
      <c r="YC108" s="272"/>
      <c r="YD108" s="272"/>
      <c r="YE108" s="205">
        <f t="shared" si="923"/>
        <v>0</v>
      </c>
      <c r="YF108" s="207"/>
      <c r="YG108" s="207"/>
      <c r="YH108" s="207"/>
      <c r="YI108" s="207"/>
      <c r="YJ108" s="207"/>
      <c r="YK108" s="272"/>
      <c r="YL108" s="272"/>
      <c r="YM108" s="205">
        <f t="shared" si="924"/>
        <v>0</v>
      </c>
      <c r="YN108" s="207"/>
      <c r="YO108" s="207"/>
      <c r="YP108" s="207"/>
      <c r="YQ108" s="207"/>
      <c r="YR108" s="207"/>
      <c r="YS108" s="272"/>
      <c r="YT108" s="272"/>
      <c r="YU108" s="205">
        <f t="shared" si="925"/>
        <v>0</v>
      </c>
      <c r="YV108" s="207"/>
      <c r="YW108" s="207"/>
      <c r="YX108" s="207"/>
      <c r="YY108" s="207"/>
      <c r="YZ108" s="207"/>
      <c r="ZA108" s="272"/>
      <c r="ZB108" s="272"/>
      <c r="ZC108" s="205">
        <f t="shared" si="926"/>
        <v>0</v>
      </c>
      <c r="ZD108" s="205">
        <f t="shared" si="927"/>
        <v>1000</v>
      </c>
      <c r="ZE108" s="207"/>
      <c r="ZF108" s="207"/>
      <c r="ZG108" s="207"/>
      <c r="ZH108" s="207"/>
      <c r="ZI108" s="207"/>
      <c r="ZJ108" s="272"/>
      <c r="ZK108" s="272"/>
      <c r="ZL108" s="205">
        <f t="shared" si="928"/>
        <v>0</v>
      </c>
      <c r="ZM108" s="207"/>
      <c r="ZN108" s="207"/>
      <c r="ZO108" s="207"/>
      <c r="ZP108" s="207"/>
      <c r="ZQ108" s="207"/>
      <c r="ZR108" s="272"/>
      <c r="ZS108" s="272"/>
      <c r="ZT108" s="205">
        <f t="shared" si="929"/>
        <v>0</v>
      </c>
      <c r="ZU108" s="207"/>
      <c r="ZV108" s="207"/>
      <c r="ZW108" s="207"/>
      <c r="ZX108" s="207"/>
      <c r="ZY108" s="207"/>
      <c r="ZZ108" s="272"/>
      <c r="AAA108" s="272"/>
      <c r="AAB108" s="205">
        <f t="shared" si="930"/>
        <v>0</v>
      </c>
      <c r="AAC108" s="207"/>
      <c r="AAD108" s="207"/>
      <c r="AAE108" s="207"/>
      <c r="AAF108" s="207"/>
      <c r="AAG108" s="207"/>
      <c r="AAH108" s="272"/>
      <c r="AAI108" s="272"/>
      <c r="AAJ108" s="205">
        <f t="shared" si="931"/>
        <v>0</v>
      </c>
      <c r="AAK108" s="207"/>
      <c r="AAL108" s="207"/>
      <c r="AAM108" s="207"/>
      <c r="AAN108" s="207"/>
      <c r="AAO108" s="207"/>
      <c r="AAP108" s="272"/>
      <c r="AAQ108" s="272"/>
      <c r="AAR108" s="205">
        <f t="shared" si="932"/>
        <v>0</v>
      </c>
      <c r="AAS108" s="205">
        <f t="shared" si="933"/>
        <v>0</v>
      </c>
    </row>
    <row r="109" spans="1:721" ht="69.95" customHeight="1">
      <c r="B109" s="151">
        <v>3630101471</v>
      </c>
      <c r="C109" s="323" t="s">
        <v>741</v>
      </c>
      <c r="D109" s="152" t="s">
        <v>798</v>
      </c>
      <c r="E109" s="130" t="s">
        <v>793</v>
      </c>
      <c r="F109" s="120"/>
      <c r="G109" s="120"/>
      <c r="H109" s="123"/>
      <c r="I109" s="120"/>
      <c r="J109" s="120"/>
      <c r="K109" s="209"/>
      <c r="L109" s="205"/>
      <c r="M109" s="205">
        <v>0</v>
      </c>
      <c r="N109" s="120"/>
      <c r="O109" s="120"/>
      <c r="P109" s="120"/>
      <c r="Q109" s="120"/>
      <c r="R109" s="120"/>
      <c r="S109" s="209"/>
      <c r="T109" s="205"/>
      <c r="U109" s="205">
        <v>0</v>
      </c>
      <c r="V109" s="120"/>
      <c r="W109" s="120"/>
      <c r="X109" s="120"/>
      <c r="Y109" s="120"/>
      <c r="Z109" s="120"/>
      <c r="AA109" s="209"/>
      <c r="AB109" s="205"/>
      <c r="AC109" s="205">
        <v>0</v>
      </c>
      <c r="AD109" s="205"/>
      <c r="AE109" s="205"/>
      <c r="AF109" s="205"/>
      <c r="AG109" s="205"/>
      <c r="AH109" s="205"/>
      <c r="AI109" s="209"/>
      <c r="AJ109" s="205"/>
      <c r="AK109" s="205">
        <v>0</v>
      </c>
      <c r="AL109" s="205" t="e">
        <v>#REF!</v>
      </c>
      <c r="AM109" s="120"/>
      <c r="AN109" s="120"/>
      <c r="AO109" s="120"/>
      <c r="AP109" s="120"/>
      <c r="AQ109" s="120"/>
      <c r="AR109" s="209"/>
      <c r="AS109" s="205"/>
      <c r="AT109" s="205">
        <v>0</v>
      </c>
      <c r="AU109" s="120"/>
      <c r="AV109" s="120"/>
      <c r="AW109" s="120"/>
      <c r="AX109" s="120"/>
      <c r="AY109" s="120"/>
      <c r="AZ109" s="209"/>
      <c r="BA109" s="205"/>
      <c r="BB109" s="205">
        <v>0</v>
      </c>
      <c r="BC109" s="120"/>
      <c r="BD109" s="120"/>
      <c r="BE109" s="120"/>
      <c r="BF109" s="120"/>
      <c r="BG109" s="120"/>
      <c r="BH109" s="209"/>
      <c r="BI109" s="205"/>
      <c r="BJ109" s="205">
        <v>0</v>
      </c>
      <c r="BK109" s="250"/>
      <c r="BL109" s="120"/>
      <c r="BM109" s="120"/>
      <c r="BN109" s="120"/>
      <c r="BO109" s="205"/>
      <c r="BP109" s="209"/>
      <c r="BQ109" s="205"/>
      <c r="BR109" s="205">
        <v>0</v>
      </c>
      <c r="BS109" s="205">
        <v>0</v>
      </c>
      <c r="BT109" s="120"/>
      <c r="BU109" s="120"/>
      <c r="BV109" s="120"/>
      <c r="BW109" s="120"/>
      <c r="BX109" s="120"/>
      <c r="BY109" s="209"/>
      <c r="BZ109" s="205"/>
      <c r="CA109" s="205">
        <v>0</v>
      </c>
      <c r="CB109" s="120"/>
      <c r="CC109" s="120"/>
      <c r="CD109" s="120"/>
      <c r="CE109" s="120"/>
      <c r="CF109" s="120"/>
      <c r="CG109" s="209"/>
      <c r="CH109" s="205"/>
      <c r="CI109" s="205">
        <v>0</v>
      </c>
      <c r="CJ109" s="195"/>
      <c r="CK109" s="120"/>
      <c r="CL109" s="120"/>
      <c r="CM109" s="120"/>
      <c r="CN109" s="120"/>
      <c r="CO109" s="209"/>
      <c r="CP109" s="205"/>
      <c r="CQ109" s="205">
        <v>0</v>
      </c>
      <c r="CR109" s="120"/>
      <c r="CS109" s="120"/>
      <c r="CT109" s="120"/>
      <c r="CU109" s="120"/>
      <c r="CV109" s="120"/>
      <c r="CW109" s="209"/>
      <c r="CX109" s="205"/>
      <c r="CY109" s="205">
        <v>0</v>
      </c>
      <c r="CZ109" s="120"/>
      <c r="DA109" s="120"/>
      <c r="DB109" s="120"/>
      <c r="DC109" s="205"/>
      <c r="DD109" s="205"/>
      <c r="DE109" s="209"/>
      <c r="DF109" s="205"/>
      <c r="DG109" s="205">
        <v>0</v>
      </c>
      <c r="DH109" s="205">
        <v>0</v>
      </c>
      <c r="DI109" s="120"/>
      <c r="DJ109" s="120"/>
      <c r="DK109" s="120"/>
      <c r="DL109" s="120"/>
      <c r="DM109" s="120"/>
      <c r="DN109" s="209"/>
      <c r="DO109" s="205"/>
      <c r="DP109" s="205">
        <v>0</v>
      </c>
      <c r="DQ109" s="120"/>
      <c r="DR109" s="120"/>
      <c r="DS109" s="120"/>
      <c r="DT109" s="120"/>
      <c r="DU109" s="120"/>
      <c r="DV109" s="209"/>
      <c r="DW109" s="205"/>
      <c r="DX109" s="205">
        <v>0</v>
      </c>
      <c r="DY109" s="120"/>
      <c r="DZ109" s="120"/>
      <c r="EA109" s="120"/>
      <c r="EB109" s="120"/>
      <c r="EC109" s="120"/>
      <c r="ED109" s="209"/>
      <c r="EE109" s="205"/>
      <c r="EF109" s="205">
        <v>0</v>
      </c>
      <c r="EG109" s="120"/>
      <c r="EH109" s="120"/>
      <c r="EI109" s="120"/>
      <c r="EJ109" s="205"/>
      <c r="EK109" s="205"/>
      <c r="EL109" s="209"/>
      <c r="EM109" s="205"/>
      <c r="EN109" s="205">
        <v>0</v>
      </c>
      <c r="EO109" s="205">
        <v>0</v>
      </c>
      <c r="EP109" s="120"/>
      <c r="EQ109" s="120"/>
      <c r="ER109" s="120"/>
      <c r="ES109" s="250"/>
      <c r="ET109" s="120"/>
      <c r="EU109" s="209"/>
      <c r="EV109" s="205"/>
      <c r="EW109" s="205">
        <v>0</v>
      </c>
      <c r="EX109" s="120"/>
      <c r="EY109" s="120"/>
      <c r="EZ109" s="120"/>
      <c r="FA109" s="120"/>
      <c r="FB109" s="120"/>
      <c r="FC109" s="209"/>
      <c r="FD109" s="205"/>
      <c r="FE109" s="205">
        <v>0</v>
      </c>
      <c r="FF109" s="120"/>
      <c r="FG109" s="120"/>
      <c r="FH109" s="120"/>
      <c r="FI109" s="120"/>
      <c r="FJ109" s="120"/>
      <c r="FK109" s="209"/>
      <c r="FL109" s="205"/>
      <c r="FM109" s="205">
        <v>0</v>
      </c>
      <c r="FN109" s="120"/>
      <c r="FO109" s="120"/>
      <c r="FP109" s="120"/>
      <c r="FQ109" s="120"/>
      <c r="FR109" s="205"/>
      <c r="FS109" s="209"/>
      <c r="FT109" s="205"/>
      <c r="FU109" s="205">
        <v>0</v>
      </c>
      <c r="FV109" s="205">
        <v>0</v>
      </c>
      <c r="FW109" s="123"/>
      <c r="FX109" s="120"/>
      <c r="FY109" s="120"/>
      <c r="FZ109" s="120"/>
      <c r="GA109" s="120"/>
      <c r="GB109" s="209"/>
      <c r="GC109" s="205"/>
      <c r="GD109" s="205">
        <v>0</v>
      </c>
      <c r="GE109" s="120"/>
      <c r="GF109" s="120"/>
      <c r="GG109" s="120"/>
      <c r="GH109" s="120"/>
      <c r="GI109" s="120"/>
      <c r="GJ109" s="209"/>
      <c r="GK109" s="205"/>
      <c r="GL109" s="205">
        <v>0</v>
      </c>
      <c r="GM109" s="120"/>
      <c r="GN109" s="120"/>
      <c r="GO109" s="120"/>
      <c r="GP109" s="250"/>
      <c r="GQ109" s="120"/>
      <c r="GR109" s="209"/>
      <c r="GS109" s="205"/>
      <c r="GT109" s="205">
        <v>0</v>
      </c>
      <c r="GU109" s="120"/>
      <c r="GV109" s="120"/>
      <c r="GW109" s="120"/>
      <c r="GX109" s="120"/>
      <c r="GY109" s="120"/>
      <c r="GZ109" s="209"/>
      <c r="HA109" s="205"/>
      <c r="HB109" s="205">
        <v>0</v>
      </c>
      <c r="HC109" s="120"/>
      <c r="HD109" s="120"/>
      <c r="HE109" s="120"/>
      <c r="HF109" s="120"/>
      <c r="HG109" s="120"/>
      <c r="HH109" s="209"/>
      <c r="HI109" s="205"/>
      <c r="HJ109" s="205">
        <v>0</v>
      </c>
      <c r="HK109" s="205">
        <v>0</v>
      </c>
      <c r="HL109" s="124"/>
      <c r="HM109" s="120"/>
      <c r="HN109" s="120"/>
      <c r="HO109" s="120"/>
      <c r="HP109" s="120"/>
      <c r="HQ109" s="205"/>
      <c r="HR109" s="205"/>
      <c r="HS109" s="205">
        <v>0</v>
      </c>
      <c r="HT109" s="120"/>
      <c r="HU109" s="120"/>
      <c r="HV109" s="120"/>
      <c r="HW109" s="120"/>
      <c r="HX109" s="120"/>
      <c r="HY109" s="205"/>
      <c r="HZ109" s="205"/>
      <c r="IA109" s="205">
        <v>0</v>
      </c>
      <c r="IB109" s="120"/>
      <c r="IC109" s="120"/>
      <c r="ID109" s="120"/>
      <c r="IE109" s="120"/>
      <c r="IF109" s="120"/>
      <c r="IG109" s="205"/>
      <c r="IH109" s="205"/>
      <c r="II109" s="205">
        <v>0</v>
      </c>
      <c r="IJ109" s="120"/>
      <c r="IK109" s="120"/>
      <c r="IL109" s="120"/>
      <c r="IM109" s="120"/>
      <c r="IN109" s="120"/>
      <c r="IO109" s="205"/>
      <c r="IP109" s="205"/>
      <c r="IQ109" s="205">
        <v>0</v>
      </c>
      <c r="IR109" s="205">
        <v>0</v>
      </c>
      <c r="IS109" s="120"/>
      <c r="IT109" s="120"/>
      <c r="IU109" s="120"/>
      <c r="IV109" s="120"/>
      <c r="IW109" s="120"/>
      <c r="IX109" s="205"/>
      <c r="IY109" s="205"/>
      <c r="IZ109" s="205">
        <v>0</v>
      </c>
      <c r="JA109" s="120"/>
      <c r="JB109" s="120"/>
      <c r="JC109" s="120"/>
      <c r="JD109" s="120"/>
      <c r="JE109" s="120"/>
      <c r="JF109" s="205"/>
      <c r="JG109" s="205"/>
      <c r="JH109" s="205">
        <v>0</v>
      </c>
      <c r="JI109" s="120"/>
      <c r="JJ109" s="124">
        <v>480</v>
      </c>
      <c r="JK109" s="120"/>
      <c r="JL109" s="120"/>
      <c r="JM109" s="120"/>
      <c r="JN109" s="205"/>
      <c r="JO109" s="205"/>
      <c r="JP109" s="205">
        <f t="shared" si="941"/>
        <v>480</v>
      </c>
      <c r="JQ109" s="120"/>
      <c r="JR109" s="120"/>
      <c r="JS109" s="120"/>
      <c r="JT109" s="120"/>
      <c r="JU109" s="120"/>
      <c r="JV109" s="205"/>
      <c r="JW109" s="205"/>
      <c r="JX109" s="205">
        <v>0</v>
      </c>
      <c r="JY109" s="205">
        <f t="shared" si="943"/>
        <v>480</v>
      </c>
      <c r="JZ109" s="120"/>
      <c r="KA109" s="120"/>
      <c r="KB109" s="120"/>
      <c r="KC109" s="120"/>
      <c r="KD109" s="120"/>
      <c r="KE109" s="205"/>
      <c r="KF109" s="205"/>
      <c r="KG109" s="205">
        <v>0</v>
      </c>
      <c r="KH109" s="120"/>
      <c r="KI109" s="120"/>
      <c r="KJ109" s="120"/>
      <c r="KK109" s="120"/>
      <c r="KL109" s="120"/>
      <c r="KM109" s="205"/>
      <c r="KN109" s="205"/>
      <c r="KO109" s="205">
        <v>0</v>
      </c>
      <c r="KP109" s="120"/>
      <c r="KQ109" s="201">
        <v>480</v>
      </c>
      <c r="KR109" s="120"/>
      <c r="KS109" s="120"/>
      <c r="KT109" s="120"/>
      <c r="KU109" s="205"/>
      <c r="KV109" s="205"/>
      <c r="KW109" s="205">
        <v>0</v>
      </c>
      <c r="KX109" s="120"/>
      <c r="KY109" s="120"/>
      <c r="KZ109" s="120"/>
      <c r="LA109" s="120"/>
      <c r="LB109" s="120"/>
      <c r="LC109" s="205"/>
      <c r="LD109" s="205"/>
      <c r="LE109" s="205">
        <v>0</v>
      </c>
      <c r="LF109" s="205"/>
      <c r="LG109" s="120"/>
      <c r="LH109" s="120"/>
      <c r="LI109" s="120"/>
      <c r="LJ109" s="120"/>
      <c r="LK109" s="205"/>
      <c r="LL109" s="205"/>
      <c r="LM109" s="205">
        <v>0</v>
      </c>
      <c r="LN109" s="205">
        <v>0</v>
      </c>
      <c r="LO109" s="205"/>
      <c r="LP109" s="120"/>
      <c r="LQ109" s="120"/>
      <c r="LR109" s="120"/>
      <c r="LS109" s="205"/>
      <c r="LT109" s="205"/>
      <c r="LU109" s="205"/>
      <c r="LV109" s="205">
        <v>0</v>
      </c>
      <c r="LW109" s="120"/>
      <c r="LX109" s="120"/>
      <c r="LY109" s="120"/>
      <c r="LZ109" s="120"/>
      <c r="MA109" s="120"/>
      <c r="MB109" s="205"/>
      <c r="MC109" s="205"/>
      <c r="MD109" s="205">
        <v>0</v>
      </c>
      <c r="ME109" s="120"/>
      <c r="MF109" s="120"/>
      <c r="MG109" s="120"/>
      <c r="MH109" s="120"/>
      <c r="MI109" s="205"/>
      <c r="MJ109" s="205"/>
      <c r="MK109" s="205"/>
      <c r="ML109" s="205">
        <v>0</v>
      </c>
      <c r="MM109" s="120"/>
      <c r="MN109" s="120"/>
      <c r="MO109" s="120"/>
      <c r="MP109" s="120"/>
      <c r="MQ109" s="120"/>
      <c r="MR109" s="205"/>
      <c r="MS109" s="205"/>
      <c r="MT109" s="205">
        <v>0</v>
      </c>
      <c r="MU109" s="205">
        <v>0</v>
      </c>
      <c r="MV109" s="120"/>
      <c r="MW109" s="120"/>
      <c r="MX109" s="120"/>
      <c r="MY109" s="120"/>
      <c r="MZ109" s="120"/>
      <c r="NA109" s="205"/>
      <c r="NB109" s="205"/>
      <c r="NC109" s="205">
        <f t="shared" si="880"/>
        <v>0</v>
      </c>
      <c r="ND109" s="120"/>
      <c r="NE109" s="120"/>
      <c r="NF109" s="120"/>
      <c r="NG109" s="120"/>
      <c r="NH109" s="120"/>
      <c r="NI109" s="205"/>
      <c r="NJ109" s="205"/>
      <c r="NK109" s="205">
        <f t="shared" si="881"/>
        <v>0</v>
      </c>
      <c r="NL109" s="120"/>
      <c r="NM109" s="120"/>
      <c r="NN109" s="120"/>
      <c r="NO109" s="120"/>
      <c r="NP109" s="120"/>
      <c r="NQ109" s="205"/>
      <c r="NR109" s="205"/>
      <c r="NS109" s="205">
        <f t="shared" si="882"/>
        <v>0</v>
      </c>
      <c r="NT109" s="120"/>
      <c r="NU109" s="120"/>
      <c r="NV109" s="120"/>
      <c r="NW109" s="217">
        <v>480</v>
      </c>
      <c r="NX109" s="120"/>
      <c r="NY109" s="205"/>
      <c r="NZ109" s="205"/>
      <c r="OA109" s="205">
        <f t="shared" si="883"/>
        <v>480</v>
      </c>
      <c r="OB109" s="205">
        <f t="shared" si="884"/>
        <v>480</v>
      </c>
      <c r="OC109" s="120"/>
      <c r="OD109" s="120"/>
      <c r="OE109" s="120"/>
      <c r="OF109" s="120"/>
      <c r="OG109" s="120"/>
      <c r="OH109" s="205"/>
      <c r="OI109" s="205"/>
      <c r="OJ109" s="205">
        <f t="shared" si="885"/>
        <v>0</v>
      </c>
      <c r="OK109" s="120"/>
      <c r="OL109" s="120"/>
      <c r="OM109" s="120"/>
      <c r="ON109" s="120"/>
      <c r="OO109" s="120"/>
      <c r="OP109" s="205"/>
      <c r="OQ109" s="205"/>
      <c r="OR109" s="205">
        <f t="shared" si="886"/>
        <v>0</v>
      </c>
      <c r="OS109" s="120"/>
      <c r="OT109" s="120"/>
      <c r="OU109" s="120"/>
      <c r="OV109" s="120"/>
      <c r="OW109" s="120"/>
      <c r="OX109" s="205"/>
      <c r="OY109" s="205"/>
      <c r="OZ109" s="205">
        <f t="shared" si="887"/>
        <v>0</v>
      </c>
      <c r="PA109" s="124">
        <v>960</v>
      </c>
      <c r="PB109" s="120"/>
      <c r="PC109" s="120"/>
      <c r="PD109" s="205"/>
      <c r="PE109" s="217"/>
      <c r="PF109" s="205"/>
      <c r="PG109" s="205"/>
      <c r="PH109" s="205">
        <f t="shared" si="888"/>
        <v>960</v>
      </c>
      <c r="PI109" s="120"/>
      <c r="PJ109" s="120"/>
      <c r="PK109" s="120"/>
      <c r="PL109" s="205"/>
      <c r="PM109" s="217"/>
      <c r="PN109" s="205"/>
      <c r="PO109" s="205"/>
      <c r="PP109" s="205">
        <f t="shared" si="889"/>
        <v>0</v>
      </c>
      <c r="PQ109" s="205">
        <f t="shared" si="890"/>
        <v>960</v>
      </c>
      <c r="PR109" s="207"/>
      <c r="PS109" s="207"/>
      <c r="PT109" s="207"/>
      <c r="PU109" s="207"/>
      <c r="PV109" s="207"/>
      <c r="PW109" s="272"/>
      <c r="PX109" s="272"/>
      <c r="PY109" s="205">
        <f t="shared" si="891"/>
        <v>0</v>
      </c>
      <c r="PZ109" s="207"/>
      <c r="QA109" s="207"/>
      <c r="QB109" s="207"/>
      <c r="QC109" s="207"/>
      <c r="QD109" s="207"/>
      <c r="QE109" s="272"/>
      <c r="QF109" s="272"/>
      <c r="QG109" s="205">
        <f t="shared" si="892"/>
        <v>0</v>
      </c>
      <c r="QH109" s="207"/>
      <c r="QI109" s="207"/>
      <c r="QJ109" s="294"/>
      <c r="QK109" s="207"/>
      <c r="QL109" s="207"/>
      <c r="QM109" s="272"/>
      <c r="QN109" s="272"/>
      <c r="QO109" s="205">
        <f t="shared" si="893"/>
        <v>0</v>
      </c>
      <c r="QP109" s="207"/>
      <c r="QQ109" s="207"/>
      <c r="QR109" s="207"/>
      <c r="QS109" s="207"/>
      <c r="QT109" s="207"/>
      <c r="QU109" s="272"/>
      <c r="QV109" s="272"/>
      <c r="QW109" s="205">
        <f t="shared" si="894"/>
        <v>0</v>
      </c>
      <c r="QX109" s="205">
        <f t="shared" si="895"/>
        <v>0</v>
      </c>
      <c r="QY109" s="207"/>
      <c r="QZ109" s="207"/>
      <c r="RA109" s="207"/>
      <c r="RB109" s="207"/>
      <c r="RC109" s="207"/>
      <c r="RD109" s="272"/>
      <c r="RE109" s="272"/>
      <c r="RF109" s="205">
        <f t="shared" si="896"/>
        <v>0</v>
      </c>
      <c r="RG109" s="201">
        <v>480</v>
      </c>
      <c r="RH109" s="207"/>
      <c r="RI109" s="207"/>
      <c r="RJ109" s="207"/>
      <c r="RK109" s="207"/>
      <c r="RL109" s="272"/>
      <c r="RM109" s="272"/>
      <c r="RN109" s="205">
        <f t="shared" si="897"/>
        <v>480</v>
      </c>
      <c r="RO109" s="272"/>
      <c r="RP109" s="272"/>
      <c r="RQ109" s="272"/>
      <c r="RR109" s="272"/>
      <c r="RS109" s="272"/>
      <c r="RT109" s="272"/>
      <c r="RU109" s="272"/>
      <c r="RV109" s="205">
        <f t="shared" si="898"/>
        <v>0</v>
      </c>
      <c r="RW109" s="207"/>
      <c r="RX109" s="207"/>
      <c r="RY109" s="207"/>
      <c r="RZ109" s="207"/>
      <c r="SA109" s="272"/>
      <c r="SB109" s="272"/>
      <c r="SC109" s="272"/>
      <c r="SD109" s="205">
        <f t="shared" si="899"/>
        <v>0</v>
      </c>
      <c r="SE109" s="205">
        <f t="shared" si="900"/>
        <v>480</v>
      </c>
      <c r="SF109" s="207"/>
      <c r="SG109" s="207"/>
      <c r="SH109" s="207"/>
      <c r="SI109" s="207"/>
      <c r="SJ109" s="207"/>
      <c r="SK109" s="272"/>
      <c r="SL109" s="272"/>
      <c r="SM109" s="205">
        <f t="shared" si="901"/>
        <v>0</v>
      </c>
      <c r="SN109" s="207"/>
      <c r="SO109" s="217">
        <v>960</v>
      </c>
      <c r="SP109" s="207"/>
      <c r="SQ109" s="207"/>
      <c r="SR109" s="207"/>
      <c r="SS109" s="272"/>
      <c r="ST109" s="272"/>
      <c r="SU109" s="205">
        <f t="shared" si="902"/>
        <v>960</v>
      </c>
      <c r="SV109" s="207"/>
      <c r="SW109" s="207"/>
      <c r="SX109" s="207"/>
      <c r="SY109" s="207"/>
      <c r="SZ109" s="207"/>
      <c r="TA109" s="272"/>
      <c r="TB109" s="272"/>
      <c r="TC109" s="205">
        <f t="shared" si="903"/>
        <v>0</v>
      </c>
      <c r="TD109" s="207"/>
      <c r="TE109" s="207"/>
      <c r="TF109" s="207"/>
      <c r="TG109" s="207"/>
      <c r="TH109" s="207"/>
      <c r="TI109" s="272"/>
      <c r="TJ109" s="272"/>
      <c r="TK109" s="205">
        <f t="shared" si="904"/>
        <v>0</v>
      </c>
      <c r="TL109" s="207"/>
      <c r="TM109" s="207"/>
      <c r="TN109" s="207"/>
      <c r="TO109" s="207"/>
      <c r="TP109" s="272"/>
      <c r="TQ109" s="272"/>
      <c r="TR109" s="272"/>
      <c r="TS109" s="205">
        <f t="shared" si="905"/>
        <v>0</v>
      </c>
      <c r="TT109" s="205">
        <f t="shared" si="906"/>
        <v>960</v>
      </c>
      <c r="TU109" s="272"/>
      <c r="TV109" s="207"/>
      <c r="TW109" s="207"/>
      <c r="TX109" s="207"/>
      <c r="TY109" s="207"/>
      <c r="TZ109" s="272"/>
      <c r="UA109" s="272"/>
      <c r="UB109" s="205">
        <f t="shared" si="907"/>
        <v>0</v>
      </c>
      <c r="UC109" s="207"/>
      <c r="UD109" s="207"/>
      <c r="UE109" s="207"/>
      <c r="UF109" s="217">
        <v>720</v>
      </c>
      <c r="UG109" s="207"/>
      <c r="UH109" s="272"/>
      <c r="UI109" s="272"/>
      <c r="UJ109" s="205">
        <f t="shared" si="908"/>
        <v>720</v>
      </c>
      <c r="UK109" s="207"/>
      <c r="UL109" s="207"/>
      <c r="UM109" s="207"/>
      <c r="UN109" s="207"/>
      <c r="UO109" s="207"/>
      <c r="UP109" s="272"/>
      <c r="UQ109" s="272"/>
      <c r="UR109" s="205">
        <f t="shared" si="909"/>
        <v>0</v>
      </c>
      <c r="US109" s="207"/>
      <c r="UT109" s="207"/>
      <c r="UU109" s="207"/>
      <c r="UV109" s="207"/>
      <c r="UW109" s="272"/>
      <c r="UX109" s="272"/>
      <c r="UY109" s="272"/>
      <c r="UZ109" s="205">
        <f t="shared" si="910"/>
        <v>0</v>
      </c>
      <c r="VA109" s="205">
        <f t="shared" si="911"/>
        <v>720</v>
      </c>
      <c r="VB109" s="207"/>
      <c r="VC109" s="207"/>
      <c r="VD109" s="207"/>
      <c r="VE109" s="207"/>
      <c r="VF109" s="207"/>
      <c r="VG109" s="272"/>
      <c r="VH109" s="272"/>
      <c r="VI109" s="205">
        <f t="shared" si="912"/>
        <v>0</v>
      </c>
      <c r="VJ109" s="207"/>
      <c r="VK109" s="207"/>
      <c r="VL109" s="207"/>
      <c r="VM109" s="207"/>
      <c r="VN109" s="207"/>
      <c r="VO109" s="272"/>
      <c r="VP109" s="272"/>
      <c r="VQ109" s="205">
        <f t="shared" si="913"/>
        <v>0</v>
      </c>
      <c r="VR109" s="207"/>
      <c r="VS109" s="195">
        <v>840</v>
      </c>
      <c r="VT109" s="207"/>
      <c r="VU109" s="207"/>
      <c r="VV109" s="207"/>
      <c r="VW109" s="272"/>
      <c r="VX109" s="272"/>
      <c r="VY109" s="205">
        <f t="shared" si="914"/>
        <v>840</v>
      </c>
      <c r="VZ109" s="207"/>
      <c r="WA109" s="207"/>
      <c r="WB109" s="207"/>
      <c r="WC109" s="207"/>
      <c r="WD109" s="207"/>
      <c r="WE109" s="272"/>
      <c r="WF109" s="272"/>
      <c r="WG109" s="205">
        <f t="shared" si="915"/>
        <v>0</v>
      </c>
      <c r="WH109" s="205">
        <f t="shared" si="916"/>
        <v>840</v>
      </c>
      <c r="WI109" s="207"/>
      <c r="WJ109" s="207"/>
      <c r="WK109" s="207"/>
      <c r="WL109" s="207"/>
      <c r="WM109" s="207"/>
      <c r="WN109" s="272"/>
      <c r="WO109" s="272"/>
      <c r="WP109" s="205">
        <f t="shared" si="917"/>
        <v>0</v>
      </c>
      <c r="WQ109" s="207"/>
      <c r="WR109" s="207"/>
      <c r="WS109" s="207"/>
      <c r="WT109" s="207"/>
      <c r="WU109" s="207"/>
      <c r="WV109" s="272"/>
      <c r="WW109" s="272"/>
      <c r="WX109" s="205">
        <f t="shared" si="918"/>
        <v>0</v>
      </c>
      <c r="WY109" s="207"/>
      <c r="WZ109" s="207"/>
      <c r="XA109" s="207"/>
      <c r="XB109" s="207"/>
      <c r="XC109" s="272"/>
      <c r="XD109" s="272"/>
      <c r="XE109" s="272"/>
      <c r="XF109" s="205">
        <f t="shared" si="919"/>
        <v>0</v>
      </c>
      <c r="XG109" s="207"/>
      <c r="XH109" s="207"/>
      <c r="XI109" s="207"/>
      <c r="XJ109" s="207"/>
      <c r="XK109" s="207"/>
      <c r="XL109" s="272"/>
      <c r="XM109" s="272"/>
      <c r="XN109" s="205">
        <f t="shared" si="920"/>
        <v>0</v>
      </c>
      <c r="XO109" s="207"/>
      <c r="XP109" s="207"/>
      <c r="XQ109" s="207"/>
      <c r="XR109" s="207"/>
      <c r="XS109" s="207"/>
      <c r="XT109" s="272"/>
      <c r="XU109" s="272"/>
      <c r="XV109" s="205">
        <f t="shared" si="921"/>
        <v>0</v>
      </c>
      <c r="XW109" s="205">
        <f t="shared" si="922"/>
        <v>0</v>
      </c>
      <c r="XX109" s="207"/>
      <c r="XY109" s="207"/>
      <c r="XZ109" s="207"/>
      <c r="YA109" s="207"/>
      <c r="YB109" s="207"/>
      <c r="YC109" s="272"/>
      <c r="YD109" s="272"/>
      <c r="YE109" s="205">
        <f t="shared" si="923"/>
        <v>0</v>
      </c>
      <c r="YF109" s="207"/>
      <c r="YG109" s="207"/>
      <c r="YH109" s="207"/>
      <c r="YI109" s="207"/>
      <c r="YJ109" s="207"/>
      <c r="YK109" s="272"/>
      <c r="YL109" s="272"/>
      <c r="YM109" s="205">
        <f t="shared" si="924"/>
        <v>0</v>
      </c>
      <c r="YN109" s="207"/>
      <c r="YO109" s="207"/>
      <c r="YP109" s="207"/>
      <c r="YQ109" s="207"/>
      <c r="YR109" s="207"/>
      <c r="YS109" s="272"/>
      <c r="YT109" s="272"/>
      <c r="YU109" s="205">
        <f t="shared" si="925"/>
        <v>0</v>
      </c>
      <c r="YV109" s="207"/>
      <c r="YW109" s="207"/>
      <c r="YX109" s="207"/>
      <c r="YY109" s="207"/>
      <c r="YZ109" s="207"/>
      <c r="ZA109" s="272"/>
      <c r="ZB109" s="272"/>
      <c r="ZC109" s="205">
        <f t="shared" si="926"/>
        <v>0</v>
      </c>
      <c r="ZD109" s="205">
        <f t="shared" si="927"/>
        <v>0</v>
      </c>
      <c r="ZE109" s="207"/>
      <c r="ZF109" s="207"/>
      <c r="ZG109" s="207"/>
      <c r="ZH109" s="207"/>
      <c r="ZI109" s="207"/>
      <c r="ZJ109" s="272"/>
      <c r="ZK109" s="272"/>
      <c r="ZL109" s="205">
        <f t="shared" si="928"/>
        <v>0</v>
      </c>
      <c r="ZM109" s="207"/>
      <c r="ZN109" s="207"/>
      <c r="ZO109" s="207"/>
      <c r="ZP109" s="207"/>
      <c r="ZQ109" s="207"/>
      <c r="ZR109" s="272"/>
      <c r="ZS109" s="272"/>
      <c r="ZT109" s="205">
        <f t="shared" si="929"/>
        <v>0</v>
      </c>
      <c r="ZU109" s="207"/>
      <c r="ZV109" s="207"/>
      <c r="ZW109" s="207"/>
      <c r="ZX109" s="207"/>
      <c r="ZY109" s="207"/>
      <c r="ZZ109" s="272"/>
      <c r="AAA109" s="272"/>
      <c r="AAB109" s="205">
        <f t="shared" si="930"/>
        <v>0</v>
      </c>
      <c r="AAC109" s="207"/>
      <c r="AAD109" s="207"/>
      <c r="AAE109" s="207"/>
      <c r="AAF109" s="207"/>
      <c r="AAG109" s="207"/>
      <c r="AAH109" s="272"/>
      <c r="AAI109" s="272"/>
      <c r="AAJ109" s="205">
        <f t="shared" si="931"/>
        <v>0</v>
      </c>
      <c r="AAK109" s="207"/>
      <c r="AAL109" s="207"/>
      <c r="AAM109" s="207"/>
      <c r="AAN109" s="207"/>
      <c r="AAO109" s="207"/>
      <c r="AAP109" s="272"/>
      <c r="AAQ109" s="272"/>
      <c r="AAR109" s="205">
        <f t="shared" si="932"/>
        <v>0</v>
      </c>
      <c r="AAS109" s="205">
        <f t="shared" si="933"/>
        <v>0</v>
      </c>
    </row>
    <row r="110" spans="1:721" ht="69.95" hidden="1" customHeight="1">
      <c r="B110" s="151">
        <v>3630101432</v>
      </c>
      <c r="C110" s="323" t="s">
        <v>741</v>
      </c>
      <c r="D110" s="152" t="s">
        <v>827</v>
      </c>
      <c r="E110" s="130" t="s">
        <v>793</v>
      </c>
      <c r="F110" s="120"/>
      <c r="G110" s="120"/>
      <c r="H110" s="123"/>
      <c r="I110" s="120"/>
      <c r="J110" s="120"/>
      <c r="K110" s="209"/>
      <c r="L110" s="205"/>
      <c r="M110" s="205"/>
      <c r="N110" s="120"/>
      <c r="O110" s="120"/>
      <c r="P110" s="120"/>
      <c r="Q110" s="120"/>
      <c r="R110" s="120"/>
      <c r="S110" s="209"/>
      <c r="T110" s="205"/>
      <c r="U110" s="205"/>
      <c r="V110" s="120"/>
      <c r="W110" s="120"/>
      <c r="X110" s="120"/>
      <c r="Y110" s="120"/>
      <c r="Z110" s="120"/>
      <c r="AA110" s="209"/>
      <c r="AB110" s="205"/>
      <c r="AC110" s="205"/>
      <c r="AD110" s="205"/>
      <c r="AE110" s="205"/>
      <c r="AF110" s="205"/>
      <c r="AG110" s="205"/>
      <c r="AH110" s="205"/>
      <c r="AI110" s="209"/>
      <c r="AJ110" s="205"/>
      <c r="AK110" s="205"/>
      <c r="AL110" s="205"/>
      <c r="AM110" s="120"/>
      <c r="AN110" s="120"/>
      <c r="AO110" s="120"/>
      <c r="AP110" s="120"/>
      <c r="AQ110" s="120"/>
      <c r="AR110" s="209"/>
      <c r="AS110" s="205"/>
      <c r="AT110" s="205"/>
      <c r="AU110" s="120"/>
      <c r="AV110" s="120"/>
      <c r="AW110" s="120"/>
      <c r="AX110" s="120"/>
      <c r="AY110" s="120"/>
      <c r="AZ110" s="209"/>
      <c r="BA110" s="205"/>
      <c r="BB110" s="205"/>
      <c r="BC110" s="120"/>
      <c r="BD110" s="120"/>
      <c r="BE110" s="120"/>
      <c r="BF110" s="120"/>
      <c r="BG110" s="120"/>
      <c r="BH110" s="209"/>
      <c r="BI110" s="205"/>
      <c r="BJ110" s="205"/>
      <c r="BK110" s="250"/>
      <c r="BL110" s="120"/>
      <c r="BM110" s="120"/>
      <c r="BN110" s="120"/>
      <c r="BO110" s="205"/>
      <c r="BP110" s="209"/>
      <c r="BQ110" s="205"/>
      <c r="BR110" s="205"/>
      <c r="BS110" s="205"/>
      <c r="BT110" s="120"/>
      <c r="BU110" s="120"/>
      <c r="BV110" s="120"/>
      <c r="BW110" s="120"/>
      <c r="BX110" s="120"/>
      <c r="BY110" s="209"/>
      <c r="BZ110" s="205"/>
      <c r="CA110" s="205"/>
      <c r="CB110" s="120"/>
      <c r="CC110" s="120"/>
      <c r="CD110" s="120"/>
      <c r="CE110" s="120"/>
      <c r="CF110" s="120"/>
      <c r="CG110" s="209"/>
      <c r="CH110" s="205"/>
      <c r="CI110" s="205"/>
      <c r="CJ110" s="195"/>
      <c r="CK110" s="120"/>
      <c r="CL110" s="120"/>
      <c r="CM110" s="120"/>
      <c r="CN110" s="120"/>
      <c r="CO110" s="209"/>
      <c r="CP110" s="205"/>
      <c r="CQ110" s="205"/>
      <c r="CR110" s="120"/>
      <c r="CS110" s="120"/>
      <c r="CT110" s="120"/>
      <c r="CU110" s="120"/>
      <c r="CV110" s="120"/>
      <c r="CW110" s="209"/>
      <c r="CX110" s="205"/>
      <c r="CY110" s="205"/>
      <c r="CZ110" s="120"/>
      <c r="DA110" s="120"/>
      <c r="DB110" s="120"/>
      <c r="DC110" s="205"/>
      <c r="DD110" s="205"/>
      <c r="DE110" s="209"/>
      <c r="DF110" s="205"/>
      <c r="DG110" s="205"/>
      <c r="DH110" s="205"/>
      <c r="DI110" s="120"/>
      <c r="DJ110" s="120"/>
      <c r="DK110" s="120"/>
      <c r="DL110" s="120"/>
      <c r="DM110" s="120"/>
      <c r="DN110" s="209"/>
      <c r="DO110" s="205"/>
      <c r="DP110" s="205"/>
      <c r="DQ110" s="120"/>
      <c r="DR110" s="120"/>
      <c r="DS110" s="120"/>
      <c r="DT110" s="120"/>
      <c r="DU110" s="120"/>
      <c r="DV110" s="209"/>
      <c r="DW110" s="205"/>
      <c r="DX110" s="205"/>
      <c r="DY110" s="120"/>
      <c r="DZ110" s="120"/>
      <c r="EA110" s="120"/>
      <c r="EB110" s="120"/>
      <c r="EC110" s="120"/>
      <c r="ED110" s="209"/>
      <c r="EE110" s="205"/>
      <c r="EF110" s="205"/>
      <c r="EG110" s="120"/>
      <c r="EH110" s="120"/>
      <c r="EI110" s="120"/>
      <c r="EJ110" s="205"/>
      <c r="EK110" s="205"/>
      <c r="EL110" s="209"/>
      <c r="EM110" s="205"/>
      <c r="EN110" s="205"/>
      <c r="EO110" s="205"/>
      <c r="EP110" s="120"/>
      <c r="EQ110" s="120"/>
      <c r="ER110" s="120"/>
      <c r="ES110" s="250"/>
      <c r="ET110" s="120"/>
      <c r="EU110" s="209"/>
      <c r="EV110" s="205"/>
      <c r="EW110" s="205"/>
      <c r="EX110" s="120"/>
      <c r="EY110" s="120"/>
      <c r="EZ110" s="120"/>
      <c r="FA110" s="120"/>
      <c r="FB110" s="120"/>
      <c r="FC110" s="209"/>
      <c r="FD110" s="205"/>
      <c r="FE110" s="205"/>
      <c r="FF110" s="120"/>
      <c r="FG110" s="120"/>
      <c r="FH110" s="120"/>
      <c r="FI110" s="120"/>
      <c r="FJ110" s="120"/>
      <c r="FK110" s="209"/>
      <c r="FL110" s="205"/>
      <c r="FM110" s="205"/>
      <c r="FN110" s="120"/>
      <c r="FO110" s="120"/>
      <c r="FP110" s="120"/>
      <c r="FQ110" s="120"/>
      <c r="FR110" s="205"/>
      <c r="FS110" s="209"/>
      <c r="FT110" s="205"/>
      <c r="FU110" s="205"/>
      <c r="FV110" s="205"/>
      <c r="FW110" s="123"/>
      <c r="FX110" s="120"/>
      <c r="FY110" s="120"/>
      <c r="FZ110" s="120"/>
      <c r="GA110" s="120"/>
      <c r="GB110" s="209"/>
      <c r="GC110" s="205"/>
      <c r="GD110" s="205"/>
      <c r="GE110" s="120"/>
      <c r="GF110" s="120"/>
      <c r="GG110" s="120"/>
      <c r="GH110" s="120"/>
      <c r="GI110" s="120"/>
      <c r="GJ110" s="209"/>
      <c r="GK110" s="205"/>
      <c r="GL110" s="205"/>
      <c r="GM110" s="120"/>
      <c r="GN110" s="120"/>
      <c r="GO110" s="120"/>
      <c r="GP110" s="250"/>
      <c r="GQ110" s="120"/>
      <c r="GR110" s="209"/>
      <c r="GS110" s="205"/>
      <c r="GT110" s="205"/>
      <c r="GU110" s="120"/>
      <c r="GV110" s="120"/>
      <c r="GW110" s="120"/>
      <c r="GX110" s="120"/>
      <c r="GY110" s="120"/>
      <c r="GZ110" s="209"/>
      <c r="HA110" s="205"/>
      <c r="HB110" s="205"/>
      <c r="HC110" s="120"/>
      <c r="HD110" s="120"/>
      <c r="HE110" s="120"/>
      <c r="HF110" s="120"/>
      <c r="HG110" s="120"/>
      <c r="HH110" s="209"/>
      <c r="HI110" s="205"/>
      <c r="HJ110" s="205"/>
      <c r="HK110" s="205"/>
      <c r="HL110" s="124"/>
      <c r="HM110" s="120"/>
      <c r="HN110" s="120"/>
      <c r="HO110" s="120"/>
      <c r="HP110" s="120"/>
      <c r="HQ110" s="205"/>
      <c r="HR110" s="205"/>
      <c r="HS110" s="205"/>
      <c r="HT110" s="120"/>
      <c r="HU110" s="120"/>
      <c r="HV110" s="120"/>
      <c r="HW110" s="120"/>
      <c r="HX110" s="120"/>
      <c r="HY110" s="205"/>
      <c r="HZ110" s="205"/>
      <c r="IA110" s="205"/>
      <c r="IB110" s="120"/>
      <c r="IC110" s="120"/>
      <c r="ID110" s="120"/>
      <c r="IE110" s="120"/>
      <c r="IF110" s="120"/>
      <c r="IG110" s="205"/>
      <c r="IH110" s="205"/>
      <c r="II110" s="205"/>
      <c r="IJ110" s="120"/>
      <c r="IK110" s="120"/>
      <c r="IL110" s="120"/>
      <c r="IM110" s="120"/>
      <c r="IN110" s="120"/>
      <c r="IO110" s="205"/>
      <c r="IP110" s="205"/>
      <c r="IQ110" s="205"/>
      <c r="IR110" s="205"/>
      <c r="IS110" s="120"/>
      <c r="IT110" s="120"/>
      <c r="IU110" s="120"/>
      <c r="IV110" s="120"/>
      <c r="IW110" s="120"/>
      <c r="IX110" s="205"/>
      <c r="IY110" s="205"/>
      <c r="IZ110" s="205"/>
      <c r="JA110" s="120"/>
      <c r="JB110" s="120"/>
      <c r="JC110" s="120"/>
      <c r="JD110" s="120"/>
      <c r="JE110" s="120"/>
      <c r="JF110" s="205"/>
      <c r="JG110" s="205"/>
      <c r="JH110" s="205"/>
      <c r="JI110" s="120"/>
      <c r="JJ110" s="124"/>
      <c r="JK110" s="120"/>
      <c r="JL110" s="120"/>
      <c r="JM110" s="120"/>
      <c r="JN110" s="205"/>
      <c r="JO110" s="205"/>
      <c r="JP110" s="205"/>
      <c r="JQ110" s="120"/>
      <c r="JR110" s="120"/>
      <c r="JS110" s="120"/>
      <c r="JT110" s="120"/>
      <c r="JU110" s="120"/>
      <c r="JV110" s="205"/>
      <c r="JW110" s="205"/>
      <c r="JX110" s="205"/>
      <c r="JY110" s="205"/>
      <c r="JZ110" s="120"/>
      <c r="KA110" s="120"/>
      <c r="KB110" s="120"/>
      <c r="KC110" s="120"/>
      <c r="KD110" s="120"/>
      <c r="KE110" s="205"/>
      <c r="KF110" s="205"/>
      <c r="KG110" s="205"/>
      <c r="KH110" s="120"/>
      <c r="KI110" s="120"/>
      <c r="KJ110" s="120"/>
      <c r="KK110" s="120"/>
      <c r="KL110" s="120"/>
      <c r="KM110" s="205"/>
      <c r="KN110" s="205"/>
      <c r="KO110" s="205"/>
      <c r="KP110" s="120"/>
      <c r="KQ110" s="201"/>
      <c r="KR110" s="120"/>
      <c r="KS110" s="120"/>
      <c r="KT110" s="120"/>
      <c r="KU110" s="205"/>
      <c r="KV110" s="205"/>
      <c r="KW110" s="205"/>
      <c r="KX110" s="120"/>
      <c r="KY110" s="120"/>
      <c r="KZ110" s="120"/>
      <c r="LA110" s="120"/>
      <c r="LB110" s="120"/>
      <c r="LC110" s="205"/>
      <c r="LD110" s="205"/>
      <c r="LE110" s="205"/>
      <c r="LF110" s="205"/>
      <c r="LG110" s="120"/>
      <c r="LH110" s="120"/>
      <c r="LI110" s="120"/>
      <c r="LJ110" s="120"/>
      <c r="LK110" s="205"/>
      <c r="LL110" s="205"/>
      <c r="LM110" s="205"/>
      <c r="LN110" s="205"/>
      <c r="LO110" s="205"/>
      <c r="LP110" s="120"/>
      <c r="LQ110" s="120"/>
      <c r="LR110" s="120"/>
      <c r="LS110" s="205"/>
      <c r="LT110" s="205"/>
      <c r="LU110" s="205"/>
      <c r="LV110" s="205"/>
      <c r="LW110" s="120"/>
      <c r="LX110" s="120"/>
      <c r="LY110" s="120"/>
      <c r="LZ110" s="120"/>
      <c r="MA110" s="120"/>
      <c r="MB110" s="205"/>
      <c r="MC110" s="205"/>
      <c r="MD110" s="205"/>
      <c r="ME110" s="120"/>
      <c r="MF110" s="120"/>
      <c r="MG110" s="120"/>
      <c r="MH110" s="120"/>
      <c r="MI110" s="205"/>
      <c r="MJ110" s="205"/>
      <c r="MK110" s="205"/>
      <c r="ML110" s="205"/>
      <c r="MM110" s="120"/>
      <c r="MN110" s="120"/>
      <c r="MO110" s="120"/>
      <c r="MP110" s="120"/>
      <c r="MQ110" s="120"/>
      <c r="MR110" s="205"/>
      <c r="MS110" s="205"/>
      <c r="MT110" s="205"/>
      <c r="MU110" s="205"/>
      <c r="MV110" s="120"/>
      <c r="MW110" s="120"/>
      <c r="MX110" s="120"/>
      <c r="MY110" s="120"/>
      <c r="MZ110" s="120"/>
      <c r="NA110" s="205"/>
      <c r="NB110" s="205"/>
      <c r="NC110" s="205">
        <f t="shared" si="880"/>
        <v>0</v>
      </c>
      <c r="ND110" s="120"/>
      <c r="NE110" s="120"/>
      <c r="NF110" s="120"/>
      <c r="NG110" s="120"/>
      <c r="NH110" s="120"/>
      <c r="NI110" s="205"/>
      <c r="NJ110" s="205"/>
      <c r="NK110" s="205">
        <f t="shared" si="881"/>
        <v>0</v>
      </c>
      <c r="NL110" s="120"/>
      <c r="NM110" s="120"/>
      <c r="NN110" s="120"/>
      <c r="NO110" s="120"/>
      <c r="NP110" s="120"/>
      <c r="NQ110" s="205"/>
      <c r="NR110" s="205"/>
      <c r="NS110" s="205">
        <f t="shared" si="882"/>
        <v>0</v>
      </c>
      <c r="NT110" s="120"/>
      <c r="NU110" s="120"/>
      <c r="NV110" s="120"/>
      <c r="NW110" s="120"/>
      <c r="NX110" s="120"/>
      <c r="NY110" s="205"/>
      <c r="NZ110" s="205"/>
      <c r="OA110" s="205">
        <f t="shared" si="883"/>
        <v>0</v>
      </c>
      <c r="OB110" s="205">
        <f t="shared" si="884"/>
        <v>0</v>
      </c>
      <c r="OC110" s="120"/>
      <c r="OD110" s="120"/>
      <c r="OE110" s="120"/>
      <c r="OF110" s="120"/>
      <c r="OG110" s="120"/>
      <c r="OH110" s="205"/>
      <c r="OI110" s="205"/>
      <c r="OJ110" s="205">
        <f t="shared" si="885"/>
        <v>0</v>
      </c>
      <c r="OK110" s="120"/>
      <c r="OL110" s="120"/>
      <c r="OM110" s="120"/>
      <c r="ON110" s="120"/>
      <c r="OO110" s="120"/>
      <c r="OP110" s="205"/>
      <c r="OQ110" s="205"/>
      <c r="OR110" s="205">
        <f t="shared" si="886"/>
        <v>0</v>
      </c>
      <c r="OS110" s="120"/>
      <c r="OT110" s="120"/>
      <c r="OU110" s="120"/>
      <c r="OV110" s="120"/>
      <c r="OW110" s="120"/>
      <c r="OX110" s="205"/>
      <c r="OY110" s="205"/>
      <c r="OZ110" s="205">
        <f t="shared" si="887"/>
        <v>0</v>
      </c>
      <c r="PA110" s="120"/>
      <c r="PB110" s="120"/>
      <c r="PC110" s="120"/>
      <c r="PD110" s="205"/>
      <c r="PE110" s="217"/>
      <c r="PF110" s="205"/>
      <c r="PG110" s="205"/>
      <c r="PH110" s="205">
        <f t="shared" si="888"/>
        <v>0</v>
      </c>
      <c r="PI110" s="120"/>
      <c r="PJ110" s="120"/>
      <c r="PK110" s="120"/>
      <c r="PL110" s="205"/>
      <c r="PM110" s="217"/>
      <c r="PN110" s="205"/>
      <c r="PO110" s="205"/>
      <c r="PP110" s="205">
        <f t="shared" si="889"/>
        <v>0</v>
      </c>
      <c r="PQ110" s="205">
        <f t="shared" si="890"/>
        <v>0</v>
      </c>
      <c r="PR110" s="207"/>
      <c r="PS110" s="207"/>
      <c r="PT110" s="207"/>
      <c r="PU110" s="207"/>
      <c r="PV110" s="207"/>
      <c r="PW110" s="272"/>
      <c r="PX110" s="272"/>
      <c r="PY110" s="205">
        <f t="shared" si="891"/>
        <v>0</v>
      </c>
      <c r="PZ110" s="207"/>
      <c r="QA110" s="207"/>
      <c r="QB110" s="207"/>
      <c r="QC110" s="207"/>
      <c r="QD110" s="207"/>
      <c r="QE110" s="272"/>
      <c r="QF110" s="272"/>
      <c r="QG110" s="205"/>
      <c r="QH110" s="207"/>
      <c r="QI110" s="207"/>
      <c r="QJ110" s="294"/>
      <c r="QK110" s="207"/>
      <c r="QL110" s="207"/>
      <c r="QM110" s="272"/>
      <c r="QN110" s="272"/>
      <c r="QO110" s="205"/>
      <c r="QP110" s="207"/>
      <c r="QQ110" s="207"/>
      <c r="QR110" s="207"/>
      <c r="QS110" s="207"/>
      <c r="QT110" s="207"/>
      <c r="QU110" s="272"/>
      <c r="QV110" s="272"/>
      <c r="QW110" s="205"/>
      <c r="QX110" s="205"/>
      <c r="QY110" s="207"/>
      <c r="QZ110" s="207"/>
      <c r="RA110" s="207"/>
      <c r="RB110" s="207"/>
      <c r="RC110" s="207"/>
      <c r="RD110" s="272"/>
      <c r="RE110" s="272"/>
      <c r="RF110" s="205"/>
      <c r="RG110" s="207"/>
      <c r="RH110" s="207"/>
      <c r="RI110" s="207"/>
      <c r="RJ110" s="207"/>
      <c r="RK110" s="207"/>
      <c r="RL110" s="272"/>
      <c r="RM110" s="272"/>
      <c r="RN110" s="205"/>
      <c r="RO110" s="272"/>
      <c r="RP110" s="272"/>
      <c r="RQ110" s="272"/>
      <c r="RR110" s="272"/>
      <c r="RS110" s="272"/>
      <c r="RT110" s="272"/>
      <c r="RU110" s="272"/>
      <c r="RV110" s="205"/>
      <c r="RW110" s="207"/>
      <c r="RX110" s="207"/>
      <c r="RY110" s="207"/>
      <c r="RZ110" s="207"/>
      <c r="SA110" s="272"/>
      <c r="SB110" s="272"/>
      <c r="SC110" s="272"/>
      <c r="SD110" s="205"/>
      <c r="SE110" s="205"/>
      <c r="SF110" s="207"/>
      <c r="SG110" s="207"/>
      <c r="SH110" s="207"/>
      <c r="SI110" s="207"/>
      <c r="SJ110" s="207"/>
      <c r="SK110" s="272"/>
      <c r="SL110" s="272"/>
      <c r="SM110" s="205"/>
      <c r="SN110" s="207"/>
      <c r="SO110" s="207"/>
      <c r="SP110" s="207"/>
      <c r="SQ110" s="207"/>
      <c r="SR110" s="207"/>
      <c r="SS110" s="272"/>
      <c r="ST110" s="272"/>
      <c r="SU110" s="205"/>
      <c r="SV110" s="207"/>
      <c r="SW110" s="207"/>
      <c r="SX110" s="207"/>
      <c r="SY110" s="207"/>
      <c r="SZ110" s="207"/>
      <c r="TA110" s="272"/>
      <c r="TB110" s="272"/>
      <c r="TC110" s="205"/>
      <c r="TD110" s="207"/>
      <c r="TE110" s="207"/>
      <c r="TF110" s="207"/>
      <c r="TG110" s="207"/>
      <c r="TH110" s="207"/>
      <c r="TI110" s="272"/>
      <c r="TJ110" s="272"/>
      <c r="TK110" s="205"/>
      <c r="TL110" s="207"/>
      <c r="TM110" s="207"/>
      <c r="TN110" s="207"/>
      <c r="TO110" s="207"/>
      <c r="TP110" s="272"/>
      <c r="TQ110" s="272"/>
      <c r="TR110" s="272"/>
      <c r="TS110" s="205"/>
      <c r="TT110" s="205"/>
      <c r="TU110" s="272"/>
      <c r="TV110" s="207"/>
      <c r="TW110" s="207"/>
      <c r="TX110" s="207"/>
      <c r="TY110" s="207"/>
      <c r="TZ110" s="272"/>
      <c r="UA110" s="272"/>
      <c r="UB110" s="205">
        <f t="shared" si="907"/>
        <v>0</v>
      </c>
      <c r="UC110" s="207"/>
      <c r="UD110" s="207"/>
      <c r="UE110" s="207"/>
      <c r="UF110" s="207"/>
      <c r="UG110" s="207"/>
      <c r="UH110" s="272"/>
      <c r="UI110" s="272"/>
      <c r="UJ110" s="205">
        <f t="shared" si="908"/>
        <v>0</v>
      </c>
      <c r="UK110" s="207"/>
      <c r="UL110" s="207"/>
      <c r="UM110" s="207"/>
      <c r="UN110" s="207"/>
      <c r="UO110" s="207"/>
      <c r="UP110" s="272"/>
      <c r="UQ110" s="272"/>
      <c r="UR110" s="205">
        <f t="shared" si="909"/>
        <v>0</v>
      </c>
      <c r="US110" s="207"/>
      <c r="UT110" s="207"/>
      <c r="UU110" s="207"/>
      <c r="UV110" s="207"/>
      <c r="UW110" s="272"/>
      <c r="UX110" s="272"/>
      <c r="UY110" s="272"/>
      <c r="UZ110" s="205">
        <f t="shared" si="910"/>
        <v>0</v>
      </c>
      <c r="VA110" s="205">
        <f t="shared" si="911"/>
        <v>0</v>
      </c>
      <c r="VB110" s="207"/>
      <c r="VC110" s="207"/>
      <c r="VD110" s="207"/>
      <c r="VE110" s="207"/>
      <c r="VF110" s="207"/>
      <c r="VG110" s="272"/>
      <c r="VH110" s="272"/>
      <c r="VI110" s="205">
        <f t="shared" si="912"/>
        <v>0</v>
      </c>
      <c r="VJ110" s="207"/>
      <c r="VK110" s="207"/>
      <c r="VL110" s="207"/>
      <c r="VM110" s="207"/>
      <c r="VN110" s="207"/>
      <c r="VO110" s="272"/>
      <c r="VP110" s="272"/>
      <c r="VQ110" s="205">
        <f t="shared" si="913"/>
        <v>0</v>
      </c>
      <c r="VR110" s="207"/>
      <c r="VS110" s="207"/>
      <c r="VT110" s="207"/>
      <c r="VU110" s="207"/>
      <c r="VV110" s="207"/>
      <c r="VW110" s="272"/>
      <c r="VX110" s="272"/>
      <c r="VY110" s="205">
        <f t="shared" si="914"/>
        <v>0</v>
      </c>
      <c r="VZ110" s="207"/>
      <c r="WA110" s="207"/>
      <c r="WB110" s="207"/>
      <c r="WC110" s="207"/>
      <c r="WD110" s="207"/>
      <c r="WE110" s="272"/>
      <c r="WF110" s="272"/>
      <c r="WG110" s="205">
        <f t="shared" si="915"/>
        <v>0</v>
      </c>
      <c r="WH110" s="205">
        <f t="shared" si="916"/>
        <v>0</v>
      </c>
      <c r="WI110" s="207"/>
      <c r="WJ110" s="207"/>
      <c r="WK110" s="207"/>
      <c r="WL110" s="207"/>
      <c r="WM110" s="207"/>
      <c r="WN110" s="272"/>
      <c r="WO110" s="272"/>
      <c r="WP110" s="205">
        <f t="shared" si="917"/>
        <v>0</v>
      </c>
      <c r="WQ110" s="207"/>
      <c r="WR110" s="207"/>
      <c r="WS110" s="207"/>
      <c r="WT110" s="207"/>
      <c r="WU110" s="207"/>
      <c r="WV110" s="272"/>
      <c r="WW110" s="272"/>
      <c r="WX110" s="205">
        <f t="shared" si="918"/>
        <v>0</v>
      </c>
      <c r="WY110" s="207"/>
      <c r="WZ110" s="207"/>
      <c r="XA110" s="207"/>
      <c r="XB110" s="207"/>
      <c r="XC110" s="272"/>
      <c r="XD110" s="272"/>
      <c r="XE110" s="272"/>
      <c r="XF110" s="205">
        <f t="shared" si="919"/>
        <v>0</v>
      </c>
      <c r="XG110" s="207"/>
      <c r="XH110" s="207"/>
      <c r="XI110" s="207"/>
      <c r="XJ110" s="207"/>
      <c r="XK110" s="207"/>
      <c r="XL110" s="272"/>
      <c r="XM110" s="272"/>
      <c r="XN110" s="205">
        <f t="shared" si="920"/>
        <v>0</v>
      </c>
      <c r="XO110" s="207"/>
      <c r="XP110" s="207"/>
      <c r="XQ110" s="207"/>
      <c r="XR110" s="207"/>
      <c r="XS110" s="207"/>
      <c r="XT110" s="272"/>
      <c r="XU110" s="272"/>
      <c r="XV110" s="205">
        <f t="shared" si="921"/>
        <v>0</v>
      </c>
      <c r="XW110" s="205">
        <f t="shared" si="922"/>
        <v>0</v>
      </c>
      <c r="XX110" s="207"/>
      <c r="XY110" s="207"/>
      <c r="XZ110" s="207"/>
      <c r="YA110" s="207"/>
      <c r="YB110" s="207"/>
      <c r="YC110" s="272"/>
      <c r="YD110" s="272"/>
      <c r="YE110" s="205">
        <f t="shared" si="923"/>
        <v>0</v>
      </c>
      <c r="YF110" s="207"/>
      <c r="YG110" s="207"/>
      <c r="YH110" s="207"/>
      <c r="YI110" s="207"/>
      <c r="YJ110" s="207"/>
      <c r="YK110" s="272"/>
      <c r="YL110" s="272"/>
      <c r="YM110" s="205">
        <f t="shared" si="924"/>
        <v>0</v>
      </c>
      <c r="YN110" s="207"/>
      <c r="YO110" s="207"/>
      <c r="YP110" s="207"/>
      <c r="YQ110" s="207"/>
      <c r="YR110" s="207"/>
      <c r="YS110" s="272"/>
      <c r="YT110" s="272"/>
      <c r="YU110" s="205">
        <f t="shared" si="925"/>
        <v>0</v>
      </c>
      <c r="YV110" s="207"/>
      <c r="YW110" s="207"/>
      <c r="YX110" s="207"/>
      <c r="YY110" s="207"/>
      <c r="YZ110" s="207"/>
      <c r="ZA110" s="272"/>
      <c r="ZB110" s="272"/>
      <c r="ZC110" s="205">
        <f t="shared" si="926"/>
        <v>0</v>
      </c>
      <c r="ZD110" s="205">
        <f t="shared" si="927"/>
        <v>0</v>
      </c>
      <c r="ZE110" s="207"/>
      <c r="ZF110" s="207"/>
      <c r="ZG110" s="207"/>
      <c r="ZH110" s="207"/>
      <c r="ZI110" s="207"/>
      <c r="ZJ110" s="272"/>
      <c r="ZK110" s="272"/>
      <c r="ZL110" s="205">
        <f t="shared" si="928"/>
        <v>0</v>
      </c>
      <c r="ZM110" s="207"/>
      <c r="ZN110" s="207"/>
      <c r="ZO110" s="207"/>
      <c r="ZP110" s="207"/>
      <c r="ZQ110" s="207"/>
      <c r="ZR110" s="272"/>
      <c r="ZS110" s="272"/>
      <c r="ZT110" s="205">
        <f t="shared" si="929"/>
        <v>0</v>
      </c>
      <c r="ZU110" s="207"/>
      <c r="ZV110" s="207"/>
      <c r="ZW110" s="207"/>
      <c r="ZX110" s="207"/>
      <c r="ZY110" s="207"/>
      <c r="ZZ110" s="272"/>
      <c r="AAA110" s="272"/>
      <c r="AAB110" s="205">
        <f t="shared" si="930"/>
        <v>0</v>
      </c>
      <c r="AAC110" s="207"/>
      <c r="AAD110" s="207"/>
      <c r="AAE110" s="207"/>
      <c r="AAF110" s="207"/>
      <c r="AAG110" s="207"/>
      <c r="AAH110" s="272"/>
      <c r="AAI110" s="272"/>
      <c r="AAJ110" s="205">
        <f t="shared" si="931"/>
        <v>0</v>
      </c>
      <c r="AAK110" s="207"/>
      <c r="AAL110" s="207"/>
      <c r="AAM110" s="207"/>
      <c r="AAN110" s="207"/>
      <c r="AAO110" s="207"/>
      <c r="AAP110" s="272"/>
      <c r="AAQ110" s="272"/>
      <c r="AAR110" s="205">
        <f t="shared" si="932"/>
        <v>0</v>
      </c>
      <c r="AAS110" s="205">
        <f t="shared" si="933"/>
        <v>0</v>
      </c>
    </row>
    <row r="111" spans="1:721" ht="69.95" customHeight="1">
      <c r="B111" s="151">
        <v>3630101452</v>
      </c>
      <c r="C111" s="323" t="s">
        <v>741</v>
      </c>
      <c r="D111" s="152" t="s">
        <v>505</v>
      </c>
      <c r="E111" s="130" t="s">
        <v>4</v>
      </c>
      <c r="F111" s="120"/>
      <c r="G111" s="120"/>
      <c r="H111" s="120"/>
      <c r="I111" s="120"/>
      <c r="J111" s="120"/>
      <c r="K111" s="209"/>
      <c r="L111" s="205"/>
      <c r="M111" s="205">
        <f t="shared" si="1048"/>
        <v>0</v>
      </c>
      <c r="N111" s="120"/>
      <c r="O111" s="120"/>
      <c r="P111" s="120"/>
      <c r="Q111" s="120"/>
      <c r="R111" s="120"/>
      <c r="S111" s="209"/>
      <c r="T111" s="205"/>
      <c r="U111" s="205">
        <f t="shared" si="1049"/>
        <v>0</v>
      </c>
      <c r="V111" s="120"/>
      <c r="W111" s="120"/>
      <c r="X111" s="120"/>
      <c r="Y111" s="120"/>
      <c r="Z111" s="120"/>
      <c r="AA111" s="209"/>
      <c r="AB111" s="205"/>
      <c r="AC111" s="205">
        <f t="shared" si="1050"/>
        <v>0</v>
      </c>
      <c r="AD111" s="205"/>
      <c r="AE111" s="205"/>
      <c r="AF111" s="205"/>
      <c r="AG111" s="205"/>
      <c r="AH111" s="205"/>
      <c r="AI111" s="209"/>
      <c r="AJ111" s="205"/>
      <c r="AK111" s="205">
        <f t="shared" si="1051"/>
        <v>0</v>
      </c>
      <c r="AL111" s="205" t="e">
        <f>SUM(#REF!,M111,U111,AC111,AD111:AH111)</f>
        <v>#REF!</v>
      </c>
      <c r="AM111" s="120"/>
      <c r="AN111" s="120"/>
      <c r="AO111" s="120"/>
      <c r="AP111" s="120"/>
      <c r="AQ111" s="120"/>
      <c r="AR111" s="209"/>
      <c r="AS111" s="205"/>
      <c r="AT111" s="205">
        <f t="shared" si="1052"/>
        <v>0</v>
      </c>
      <c r="AU111" s="120"/>
      <c r="AV111" s="120"/>
      <c r="AW111" s="120"/>
      <c r="AX111" s="120"/>
      <c r="AY111" s="120"/>
      <c r="AZ111" s="209"/>
      <c r="BA111" s="205"/>
      <c r="BB111" s="205">
        <f t="shared" si="1053"/>
        <v>0</v>
      </c>
      <c r="BC111" s="120"/>
      <c r="BD111" s="120"/>
      <c r="BE111" s="120"/>
      <c r="BF111" s="120"/>
      <c r="BG111" s="120"/>
      <c r="BH111" s="209"/>
      <c r="BI111" s="205"/>
      <c r="BJ111" s="205">
        <f t="shared" si="1054"/>
        <v>0</v>
      </c>
      <c r="BK111" s="120"/>
      <c r="BL111" s="120"/>
      <c r="BM111" s="120"/>
      <c r="BN111" s="120"/>
      <c r="BO111" s="205"/>
      <c r="BP111" s="209"/>
      <c r="BQ111" s="205"/>
      <c r="BR111" s="205">
        <f t="shared" si="1055"/>
        <v>0</v>
      </c>
      <c r="BS111" s="205">
        <f t="shared" si="832"/>
        <v>0</v>
      </c>
      <c r="BT111" s="120"/>
      <c r="BU111" s="120"/>
      <c r="BV111" s="120"/>
      <c r="BW111" s="217">
        <v>300</v>
      </c>
      <c r="BX111" s="120"/>
      <c r="BY111" s="209"/>
      <c r="BZ111" s="205"/>
      <c r="CA111" s="205">
        <f t="shared" si="1056"/>
        <v>300</v>
      </c>
      <c r="CB111" s="120"/>
      <c r="CC111" s="120"/>
      <c r="CD111" s="120"/>
      <c r="CE111" s="120"/>
      <c r="CF111" s="120"/>
      <c r="CG111" s="209"/>
      <c r="CH111" s="205"/>
      <c r="CI111" s="205">
        <f t="shared" si="1057"/>
        <v>0</v>
      </c>
      <c r="CJ111" s="120"/>
      <c r="CK111" s="120"/>
      <c r="CL111" s="120"/>
      <c r="CM111" s="120"/>
      <c r="CN111" s="120"/>
      <c r="CO111" s="209"/>
      <c r="CP111" s="205"/>
      <c r="CQ111" s="205">
        <f t="shared" si="1058"/>
        <v>0</v>
      </c>
      <c r="CR111" s="120"/>
      <c r="CS111" s="120"/>
      <c r="CT111" s="120"/>
      <c r="CU111" s="120"/>
      <c r="CV111" s="120"/>
      <c r="CW111" s="209"/>
      <c r="CX111" s="205"/>
      <c r="CY111" s="205">
        <f t="shared" si="1059"/>
        <v>0</v>
      </c>
      <c r="CZ111" s="120"/>
      <c r="DA111" s="120"/>
      <c r="DB111" s="120"/>
      <c r="DC111" s="205"/>
      <c r="DD111" s="205"/>
      <c r="DE111" s="209"/>
      <c r="DF111" s="205"/>
      <c r="DG111" s="205">
        <f t="shared" si="1060"/>
        <v>0</v>
      </c>
      <c r="DH111" s="205">
        <f t="shared" si="838"/>
        <v>300</v>
      </c>
      <c r="DI111" s="120"/>
      <c r="DJ111" s="120"/>
      <c r="DK111" s="120"/>
      <c r="DL111" s="120"/>
      <c r="DM111" s="120"/>
      <c r="DN111" s="209"/>
      <c r="DO111" s="205"/>
      <c r="DP111" s="205">
        <f t="shared" si="839"/>
        <v>0</v>
      </c>
      <c r="DQ111" s="120"/>
      <c r="DR111" s="120"/>
      <c r="DS111" s="120"/>
      <c r="DT111" s="250">
        <v>300</v>
      </c>
      <c r="DU111" s="120"/>
      <c r="DV111" s="209"/>
      <c r="DW111" s="205"/>
      <c r="DX111" s="205">
        <f t="shared" si="840"/>
        <v>300</v>
      </c>
      <c r="DY111" s="120"/>
      <c r="DZ111" s="120"/>
      <c r="EA111" s="120"/>
      <c r="EB111" s="120"/>
      <c r="EC111" s="120"/>
      <c r="ED111" s="209"/>
      <c r="EE111" s="205"/>
      <c r="EF111" s="205">
        <f t="shared" si="841"/>
        <v>0</v>
      </c>
      <c r="EG111" s="120"/>
      <c r="EH111" s="120"/>
      <c r="EI111" s="120"/>
      <c r="EJ111" s="205"/>
      <c r="EK111" s="205"/>
      <c r="EL111" s="209"/>
      <c r="EM111" s="205"/>
      <c r="EN111" s="205">
        <f t="shared" si="842"/>
        <v>0</v>
      </c>
      <c r="EO111" s="205">
        <f t="shared" si="843"/>
        <v>300</v>
      </c>
      <c r="EP111" s="120"/>
      <c r="EQ111" s="120"/>
      <c r="ER111" s="250">
        <v>400</v>
      </c>
      <c r="ES111" s="120"/>
      <c r="ET111" s="120"/>
      <c r="EU111" s="209"/>
      <c r="EV111" s="205"/>
      <c r="EW111" s="205">
        <f t="shared" si="844"/>
        <v>400</v>
      </c>
      <c r="EX111" s="120"/>
      <c r="EY111" s="120"/>
      <c r="EZ111" s="120"/>
      <c r="FA111" s="120"/>
      <c r="FB111" s="120"/>
      <c r="FC111" s="209"/>
      <c r="FD111" s="205"/>
      <c r="FE111" s="205">
        <f t="shared" si="845"/>
        <v>0</v>
      </c>
      <c r="FF111" s="120"/>
      <c r="FG111" s="120"/>
      <c r="FH111" s="120"/>
      <c r="FI111" s="120"/>
      <c r="FJ111" s="120"/>
      <c r="FK111" s="209"/>
      <c r="FL111" s="205"/>
      <c r="FM111" s="205">
        <f t="shared" si="846"/>
        <v>0</v>
      </c>
      <c r="FN111" s="120"/>
      <c r="FO111" s="120"/>
      <c r="FP111" s="120"/>
      <c r="FQ111" s="120"/>
      <c r="FR111" s="205"/>
      <c r="FS111" s="209"/>
      <c r="FT111" s="205"/>
      <c r="FU111" s="205">
        <f t="shared" si="847"/>
        <v>0</v>
      </c>
      <c r="FV111" s="205">
        <f t="shared" si="848"/>
        <v>400</v>
      </c>
      <c r="FW111" s="120"/>
      <c r="FX111" s="120"/>
      <c r="FY111" s="120"/>
      <c r="FZ111" s="120"/>
      <c r="GA111" s="120"/>
      <c r="GB111" s="209"/>
      <c r="GC111" s="205"/>
      <c r="GD111" s="205">
        <f t="shared" si="849"/>
        <v>0</v>
      </c>
      <c r="GE111" s="120"/>
      <c r="GF111" s="120"/>
      <c r="GG111" s="120"/>
      <c r="GH111" s="250">
        <v>400</v>
      </c>
      <c r="GI111" s="120"/>
      <c r="GJ111" s="209"/>
      <c r="GK111" s="205"/>
      <c r="GL111" s="205">
        <f t="shared" si="850"/>
        <v>400</v>
      </c>
      <c r="GM111" s="120"/>
      <c r="GN111" s="120"/>
      <c r="GO111" s="120"/>
      <c r="GP111" s="120"/>
      <c r="GQ111" s="120"/>
      <c r="GR111" s="209"/>
      <c r="GS111" s="205"/>
      <c r="GT111" s="205">
        <f t="shared" si="851"/>
        <v>0</v>
      </c>
      <c r="GU111" s="120"/>
      <c r="GV111" s="120"/>
      <c r="GW111" s="120"/>
      <c r="GX111" s="120"/>
      <c r="GY111" s="120"/>
      <c r="GZ111" s="209"/>
      <c r="HA111" s="205"/>
      <c r="HB111" s="205">
        <f t="shared" si="852"/>
        <v>0</v>
      </c>
      <c r="HC111" s="120"/>
      <c r="HD111" s="120"/>
      <c r="HE111" s="120"/>
      <c r="HF111" s="120"/>
      <c r="HG111" s="120"/>
      <c r="HH111" s="209"/>
      <c r="HI111" s="205"/>
      <c r="HJ111" s="205">
        <f t="shared" si="853"/>
        <v>0</v>
      </c>
      <c r="HK111" s="205">
        <f t="shared" si="854"/>
        <v>400</v>
      </c>
      <c r="HL111" s="124"/>
      <c r="HM111" s="120"/>
      <c r="HN111" s="120"/>
      <c r="HO111" s="120"/>
      <c r="HP111" s="120"/>
      <c r="HQ111" s="205"/>
      <c r="HR111" s="205"/>
      <c r="HS111" s="205">
        <f t="shared" si="934"/>
        <v>0</v>
      </c>
      <c r="HT111" s="195">
        <v>270</v>
      </c>
      <c r="HU111" s="120"/>
      <c r="HV111" s="120"/>
      <c r="HW111" s="120"/>
      <c r="HX111" s="120"/>
      <c r="HY111" s="205"/>
      <c r="HZ111" s="205"/>
      <c r="IA111" s="205">
        <f t="shared" si="935"/>
        <v>270</v>
      </c>
      <c r="IB111" s="120"/>
      <c r="IC111" s="120"/>
      <c r="ID111" s="120"/>
      <c r="IE111" s="120"/>
      <c r="IF111" s="120"/>
      <c r="IG111" s="205"/>
      <c r="IH111" s="205"/>
      <c r="II111" s="205">
        <f t="shared" si="936"/>
        <v>0</v>
      </c>
      <c r="IJ111" s="120"/>
      <c r="IK111" s="120"/>
      <c r="IL111" s="120"/>
      <c r="IM111" s="120"/>
      <c r="IN111" s="120"/>
      <c r="IO111" s="205"/>
      <c r="IP111" s="205"/>
      <c r="IQ111" s="205">
        <f t="shared" si="937"/>
        <v>0</v>
      </c>
      <c r="IR111" s="205">
        <f t="shared" si="938"/>
        <v>270</v>
      </c>
      <c r="IS111" s="120"/>
      <c r="IT111" s="120"/>
      <c r="IU111" s="120"/>
      <c r="IV111" s="120"/>
      <c r="IW111" s="120"/>
      <c r="IX111" s="205"/>
      <c r="IY111" s="205"/>
      <c r="IZ111" s="205">
        <f t="shared" si="939"/>
        <v>0</v>
      </c>
      <c r="JA111" s="120"/>
      <c r="JB111" s="120"/>
      <c r="JC111" s="120"/>
      <c r="JD111" s="120"/>
      <c r="JE111" s="120"/>
      <c r="JF111" s="205"/>
      <c r="JG111" s="205"/>
      <c r="JH111" s="205">
        <f t="shared" si="940"/>
        <v>0</v>
      </c>
      <c r="JI111" s="120"/>
      <c r="JJ111" s="120"/>
      <c r="JK111" s="120"/>
      <c r="JL111" s="124">
        <v>340</v>
      </c>
      <c r="JM111" s="120"/>
      <c r="JN111" s="205"/>
      <c r="JO111" s="205"/>
      <c r="JP111" s="205">
        <f t="shared" si="941"/>
        <v>340</v>
      </c>
      <c r="JQ111" s="120"/>
      <c r="JR111" s="120"/>
      <c r="JS111" s="201">
        <v>380</v>
      </c>
      <c r="JT111" s="120"/>
      <c r="JU111" s="120"/>
      <c r="JV111" s="205"/>
      <c r="JW111" s="205"/>
      <c r="JX111" s="205">
        <f t="shared" si="942"/>
        <v>380</v>
      </c>
      <c r="JY111" s="205">
        <f t="shared" si="943"/>
        <v>720</v>
      </c>
      <c r="JZ111" s="120"/>
      <c r="KA111" s="250">
        <v>300</v>
      </c>
      <c r="KB111" s="120"/>
      <c r="KC111" s="120"/>
      <c r="KD111" s="120"/>
      <c r="KE111" s="205"/>
      <c r="KF111" s="205"/>
      <c r="KG111" s="205">
        <f t="shared" si="944"/>
        <v>300</v>
      </c>
      <c r="KH111" s="120"/>
      <c r="KI111" s="120"/>
      <c r="KJ111" s="120"/>
      <c r="KK111" s="120"/>
      <c r="KL111" s="120"/>
      <c r="KM111" s="205"/>
      <c r="KN111" s="205"/>
      <c r="KO111" s="205">
        <f t="shared" si="945"/>
        <v>0</v>
      </c>
      <c r="KP111" s="120"/>
      <c r="KQ111" s="120"/>
      <c r="KR111" s="120"/>
      <c r="KS111" s="120"/>
      <c r="KT111" s="120"/>
      <c r="KU111" s="205"/>
      <c r="KV111" s="205"/>
      <c r="KW111" s="205">
        <f t="shared" si="946"/>
        <v>0</v>
      </c>
      <c r="KX111" s="120"/>
      <c r="KY111" s="120"/>
      <c r="KZ111" s="120"/>
      <c r="LA111" s="120"/>
      <c r="LB111" s="120"/>
      <c r="LC111" s="205"/>
      <c r="LD111" s="205"/>
      <c r="LE111" s="205">
        <f t="shared" si="947"/>
        <v>0</v>
      </c>
      <c r="LF111" s="205"/>
      <c r="LG111" s="120"/>
      <c r="LH111" s="120"/>
      <c r="LI111" s="120"/>
      <c r="LJ111" s="120"/>
      <c r="LK111" s="205"/>
      <c r="LL111" s="205"/>
      <c r="LM111" s="205">
        <f t="shared" si="948"/>
        <v>0</v>
      </c>
      <c r="LN111" s="205">
        <f t="shared" si="949"/>
        <v>300</v>
      </c>
      <c r="LO111" s="205"/>
      <c r="LP111" s="195">
        <v>320</v>
      </c>
      <c r="LQ111" s="120"/>
      <c r="LR111" s="120"/>
      <c r="LS111" s="205"/>
      <c r="LT111" s="205"/>
      <c r="LU111" s="205"/>
      <c r="LV111" s="205">
        <f t="shared" si="950"/>
        <v>320</v>
      </c>
      <c r="LW111" s="120"/>
      <c r="LX111" s="120"/>
      <c r="LY111" s="120"/>
      <c r="LZ111" s="120"/>
      <c r="MA111" s="120"/>
      <c r="MB111" s="205"/>
      <c r="MC111" s="205"/>
      <c r="MD111" s="205">
        <f t="shared" si="951"/>
        <v>0</v>
      </c>
      <c r="ME111" s="120"/>
      <c r="MF111" s="201">
        <v>290</v>
      </c>
      <c r="MG111" s="120"/>
      <c r="MH111" s="120"/>
      <c r="MI111" s="205"/>
      <c r="MJ111" s="205"/>
      <c r="MK111" s="205"/>
      <c r="ML111" s="205">
        <f t="shared" si="952"/>
        <v>290</v>
      </c>
      <c r="MM111" s="120"/>
      <c r="MN111" s="120"/>
      <c r="MO111" s="120"/>
      <c r="MP111" s="120"/>
      <c r="MQ111" s="120"/>
      <c r="MR111" s="205"/>
      <c r="MS111" s="205"/>
      <c r="MT111" s="205">
        <f t="shared" si="953"/>
        <v>0</v>
      </c>
      <c r="MU111" s="205">
        <f t="shared" si="954"/>
        <v>610</v>
      </c>
      <c r="MV111" s="120"/>
      <c r="MW111" s="120"/>
      <c r="MX111" s="120"/>
      <c r="MY111" s="120"/>
      <c r="MZ111" s="120"/>
      <c r="NA111" s="205"/>
      <c r="NB111" s="205"/>
      <c r="NC111" s="205">
        <f t="shared" si="880"/>
        <v>0</v>
      </c>
      <c r="ND111" s="120"/>
      <c r="NE111" s="120"/>
      <c r="NF111" s="120"/>
      <c r="NG111" s="120"/>
      <c r="NH111" s="120"/>
      <c r="NI111" s="205"/>
      <c r="NJ111" s="205"/>
      <c r="NK111" s="205">
        <f t="shared" si="881"/>
        <v>0</v>
      </c>
      <c r="NL111" s="120"/>
      <c r="NM111" s="120"/>
      <c r="NN111" s="120"/>
      <c r="NO111" s="120"/>
      <c r="NP111" s="120"/>
      <c r="NQ111" s="205"/>
      <c r="NR111" s="205"/>
      <c r="NS111" s="205">
        <f t="shared" si="882"/>
        <v>0</v>
      </c>
      <c r="NT111" s="120"/>
      <c r="NU111" s="217">
        <v>300</v>
      </c>
      <c r="NV111" s="120"/>
      <c r="NW111" s="120"/>
      <c r="NX111" s="120"/>
      <c r="NY111" s="205"/>
      <c r="NZ111" s="205"/>
      <c r="OA111" s="205">
        <f t="shared" si="883"/>
        <v>300</v>
      </c>
      <c r="OB111" s="205">
        <f t="shared" si="884"/>
        <v>300</v>
      </c>
      <c r="OC111" s="120"/>
      <c r="OD111" s="120"/>
      <c r="OE111" s="120"/>
      <c r="OF111" s="120"/>
      <c r="OG111" s="120"/>
      <c r="OH111" s="205"/>
      <c r="OI111" s="205"/>
      <c r="OJ111" s="205">
        <f t="shared" si="885"/>
        <v>0</v>
      </c>
      <c r="OK111" s="120"/>
      <c r="OL111" s="120"/>
      <c r="OM111" s="120"/>
      <c r="ON111" s="120"/>
      <c r="OO111" s="120"/>
      <c r="OP111" s="205"/>
      <c r="OQ111" s="205"/>
      <c r="OR111" s="205">
        <f t="shared" si="886"/>
        <v>0</v>
      </c>
      <c r="OS111" s="120"/>
      <c r="OT111" s="120"/>
      <c r="OU111" s="120"/>
      <c r="OV111" s="124">
        <v>300</v>
      </c>
      <c r="OW111" s="120"/>
      <c r="OX111" s="205"/>
      <c r="OY111" s="205"/>
      <c r="OZ111" s="205">
        <f t="shared" si="887"/>
        <v>300</v>
      </c>
      <c r="PA111" s="120"/>
      <c r="PB111" s="120"/>
      <c r="PC111" s="120"/>
      <c r="PD111" s="205"/>
      <c r="PE111" s="217"/>
      <c r="PF111" s="205"/>
      <c r="PG111" s="205"/>
      <c r="PH111" s="205">
        <f t="shared" si="888"/>
        <v>0</v>
      </c>
      <c r="PI111" s="120"/>
      <c r="PJ111" s="120"/>
      <c r="PK111" s="120"/>
      <c r="PL111" s="205"/>
      <c r="PM111" s="217"/>
      <c r="PN111" s="205"/>
      <c r="PO111" s="205"/>
      <c r="PP111" s="205">
        <f t="shared" si="889"/>
        <v>0</v>
      </c>
      <c r="PQ111" s="205">
        <f t="shared" si="890"/>
        <v>300</v>
      </c>
      <c r="PR111" s="124">
        <v>428</v>
      </c>
      <c r="PS111" s="207"/>
      <c r="PT111" s="207"/>
      <c r="PU111" s="207"/>
      <c r="PV111" s="207"/>
      <c r="PW111" s="272"/>
      <c r="PX111" s="272"/>
      <c r="PY111" s="205">
        <f t="shared" si="891"/>
        <v>428</v>
      </c>
      <c r="PZ111" s="207"/>
      <c r="QA111" s="207"/>
      <c r="QB111" s="207"/>
      <c r="QC111" s="195">
        <v>440</v>
      </c>
      <c r="QD111" s="207"/>
      <c r="QE111" s="272"/>
      <c r="QF111" s="272"/>
      <c r="QG111" s="205">
        <f t="shared" si="892"/>
        <v>440</v>
      </c>
      <c r="QH111" s="207"/>
      <c r="QI111" s="207"/>
      <c r="QJ111" s="294"/>
      <c r="QK111" s="207"/>
      <c r="QL111" s="207"/>
      <c r="QM111" s="272"/>
      <c r="QN111" s="272"/>
      <c r="QO111" s="205">
        <f t="shared" si="893"/>
        <v>0</v>
      </c>
      <c r="QP111" s="207"/>
      <c r="QQ111" s="207"/>
      <c r="QR111" s="207"/>
      <c r="QS111" s="207"/>
      <c r="QT111" s="207"/>
      <c r="QU111" s="272"/>
      <c r="QV111" s="272"/>
      <c r="QW111" s="205">
        <f t="shared" si="894"/>
        <v>0</v>
      </c>
      <c r="QX111" s="205">
        <f t="shared" si="895"/>
        <v>868</v>
      </c>
      <c r="QY111" s="207"/>
      <c r="QZ111" s="207"/>
      <c r="RA111" s="207"/>
      <c r="RB111" s="207"/>
      <c r="RC111" s="207"/>
      <c r="RD111" s="272"/>
      <c r="RE111" s="272"/>
      <c r="RF111" s="205">
        <f t="shared" si="896"/>
        <v>0</v>
      </c>
      <c r="RG111" s="207"/>
      <c r="RH111" s="207"/>
      <c r="RI111" s="207"/>
      <c r="RJ111" s="207"/>
      <c r="RK111" s="207"/>
      <c r="RL111" s="272"/>
      <c r="RM111" s="272"/>
      <c r="RN111" s="205">
        <f t="shared" si="897"/>
        <v>0</v>
      </c>
      <c r="RO111" s="272"/>
      <c r="RP111" s="272"/>
      <c r="RQ111" s="272"/>
      <c r="RR111" s="272"/>
      <c r="RS111" s="272"/>
      <c r="RT111" s="272"/>
      <c r="RU111" s="272"/>
      <c r="RV111" s="205">
        <f t="shared" si="898"/>
        <v>0</v>
      </c>
      <c r="RW111" s="207"/>
      <c r="RX111" s="207"/>
      <c r="RY111" s="207"/>
      <c r="RZ111" s="207"/>
      <c r="SA111" s="272"/>
      <c r="SB111" s="272"/>
      <c r="SC111" s="272"/>
      <c r="SD111" s="205">
        <f t="shared" si="899"/>
        <v>0</v>
      </c>
      <c r="SE111" s="205">
        <f t="shared" si="900"/>
        <v>0</v>
      </c>
      <c r="SF111" s="207"/>
      <c r="SG111" s="207"/>
      <c r="SH111" s="207"/>
      <c r="SI111" s="195">
        <v>390</v>
      </c>
      <c r="SJ111" s="207"/>
      <c r="SK111" s="272"/>
      <c r="SL111" s="272"/>
      <c r="SM111" s="205">
        <f t="shared" si="901"/>
        <v>390</v>
      </c>
      <c r="SN111" s="207"/>
      <c r="SO111" s="207"/>
      <c r="SP111" s="207"/>
      <c r="SQ111" s="207"/>
      <c r="SR111" s="207"/>
      <c r="SS111" s="272"/>
      <c r="ST111" s="272"/>
      <c r="SU111" s="205">
        <f t="shared" si="902"/>
        <v>0</v>
      </c>
      <c r="SV111" s="207"/>
      <c r="SW111" s="217">
        <v>144</v>
      </c>
      <c r="SX111" s="207"/>
      <c r="SY111" s="207"/>
      <c r="SZ111" s="207"/>
      <c r="TA111" s="272"/>
      <c r="TB111" s="272"/>
      <c r="TC111" s="205">
        <f t="shared" si="903"/>
        <v>144</v>
      </c>
      <c r="TD111" s="207"/>
      <c r="TE111" s="207"/>
      <c r="TF111" s="207"/>
      <c r="TG111" s="207"/>
      <c r="TH111" s="207"/>
      <c r="TI111" s="272"/>
      <c r="TJ111" s="272"/>
      <c r="TK111" s="205">
        <f t="shared" si="904"/>
        <v>0</v>
      </c>
      <c r="TL111" s="207"/>
      <c r="TM111" s="207"/>
      <c r="TN111" s="207"/>
      <c r="TO111" s="207"/>
      <c r="TP111" s="272"/>
      <c r="TQ111" s="272"/>
      <c r="TR111" s="272"/>
      <c r="TS111" s="205">
        <f t="shared" si="905"/>
        <v>0</v>
      </c>
      <c r="TT111" s="205">
        <f t="shared" si="906"/>
        <v>534</v>
      </c>
      <c r="TU111" s="272"/>
      <c r="TV111" s="207"/>
      <c r="TW111" s="207"/>
      <c r="TX111" s="207"/>
      <c r="TY111" s="207"/>
      <c r="TZ111" s="272"/>
      <c r="UA111" s="272"/>
      <c r="UB111" s="205">
        <f t="shared" si="907"/>
        <v>0</v>
      </c>
      <c r="UC111" s="207"/>
      <c r="UD111" s="207"/>
      <c r="UE111" s="207"/>
      <c r="UF111" s="207"/>
      <c r="UG111" s="217">
        <v>340</v>
      </c>
      <c r="UH111" s="272"/>
      <c r="UI111" s="272"/>
      <c r="UJ111" s="205">
        <f t="shared" si="908"/>
        <v>340</v>
      </c>
      <c r="UK111" s="207"/>
      <c r="UL111" s="207"/>
      <c r="UM111" s="207"/>
      <c r="UN111" s="207"/>
      <c r="UO111" s="207"/>
      <c r="UP111" s="272"/>
      <c r="UQ111" s="272"/>
      <c r="UR111" s="205">
        <f t="shared" si="909"/>
        <v>0</v>
      </c>
      <c r="US111" s="207"/>
      <c r="UT111" s="207"/>
      <c r="UU111" s="207"/>
      <c r="UV111" s="207"/>
      <c r="UW111" s="272"/>
      <c r="UX111" s="272"/>
      <c r="UY111" s="272"/>
      <c r="UZ111" s="205">
        <f t="shared" si="910"/>
        <v>0</v>
      </c>
      <c r="VA111" s="205">
        <f t="shared" si="911"/>
        <v>340</v>
      </c>
      <c r="VB111" s="207"/>
      <c r="VC111" s="207"/>
      <c r="VD111" s="207"/>
      <c r="VE111" s="207"/>
      <c r="VF111" s="207"/>
      <c r="VG111" s="272"/>
      <c r="VH111" s="272"/>
      <c r="VI111" s="205">
        <f t="shared" si="912"/>
        <v>0</v>
      </c>
      <c r="VJ111" s="207"/>
      <c r="VK111" s="207"/>
      <c r="VL111" s="207"/>
      <c r="VM111" s="207"/>
      <c r="VN111" s="207"/>
      <c r="VO111" s="272"/>
      <c r="VP111" s="272"/>
      <c r="VQ111" s="205">
        <f t="shared" si="913"/>
        <v>0</v>
      </c>
      <c r="VR111" s="195">
        <v>1000</v>
      </c>
      <c r="VS111" s="207"/>
      <c r="VT111" s="207"/>
      <c r="VU111" s="207"/>
      <c r="VV111" s="207"/>
      <c r="VW111" s="272"/>
      <c r="VX111" s="272"/>
      <c r="VY111" s="205">
        <f t="shared" si="914"/>
        <v>1000</v>
      </c>
      <c r="VZ111" s="207"/>
      <c r="WA111" s="207"/>
      <c r="WB111" s="207"/>
      <c r="WC111" s="207"/>
      <c r="WD111" s="207"/>
      <c r="WE111" s="272"/>
      <c r="WF111" s="272"/>
      <c r="WG111" s="205">
        <f t="shared" si="915"/>
        <v>0</v>
      </c>
      <c r="WH111" s="205">
        <f t="shared" si="916"/>
        <v>1000</v>
      </c>
      <c r="WI111" s="207"/>
      <c r="WJ111" s="207"/>
      <c r="WK111" s="207"/>
      <c r="WL111" s="207"/>
      <c r="WM111" s="207"/>
      <c r="WN111" s="272"/>
      <c r="WO111" s="272"/>
      <c r="WP111" s="205">
        <f t="shared" si="917"/>
        <v>0</v>
      </c>
      <c r="WQ111" s="207"/>
      <c r="WR111" s="207"/>
      <c r="WS111" s="207"/>
      <c r="WT111" s="207"/>
      <c r="WU111" s="207"/>
      <c r="WV111" s="272"/>
      <c r="WW111" s="272"/>
      <c r="WX111" s="205">
        <f t="shared" si="918"/>
        <v>0</v>
      </c>
      <c r="WY111" s="207"/>
      <c r="WZ111" s="207"/>
      <c r="XA111" s="207"/>
      <c r="XB111" s="207"/>
      <c r="XC111" s="272"/>
      <c r="XD111" s="272"/>
      <c r="XE111" s="272"/>
      <c r="XF111" s="205">
        <f t="shared" si="919"/>
        <v>0</v>
      </c>
      <c r="XG111" s="207"/>
      <c r="XH111" s="207"/>
      <c r="XI111" s="207"/>
      <c r="XJ111" s="207"/>
      <c r="XK111" s="207"/>
      <c r="XL111" s="272"/>
      <c r="XM111" s="272"/>
      <c r="XN111" s="205">
        <f t="shared" si="920"/>
        <v>0</v>
      </c>
      <c r="XO111" s="207"/>
      <c r="XP111" s="207"/>
      <c r="XQ111" s="207"/>
      <c r="XR111" s="207"/>
      <c r="XS111" s="207"/>
      <c r="XT111" s="272"/>
      <c r="XU111" s="272"/>
      <c r="XV111" s="205">
        <f t="shared" si="921"/>
        <v>0</v>
      </c>
      <c r="XW111" s="205">
        <f t="shared" si="922"/>
        <v>0</v>
      </c>
      <c r="XX111" s="207"/>
      <c r="XY111" s="207"/>
      <c r="XZ111" s="207"/>
      <c r="YA111" s="207"/>
      <c r="YB111" s="207"/>
      <c r="YC111" s="272"/>
      <c r="YD111" s="272"/>
      <c r="YE111" s="205">
        <f t="shared" si="923"/>
        <v>0</v>
      </c>
      <c r="YF111" s="207"/>
      <c r="YG111" s="207"/>
      <c r="YH111" s="207"/>
      <c r="YI111" s="207"/>
      <c r="YJ111" s="207"/>
      <c r="YK111" s="272"/>
      <c r="YL111" s="272"/>
      <c r="YM111" s="205">
        <f t="shared" si="924"/>
        <v>0</v>
      </c>
      <c r="YN111" s="207"/>
      <c r="YO111" s="207"/>
      <c r="YP111" s="207"/>
      <c r="YQ111" s="207"/>
      <c r="YR111" s="207"/>
      <c r="YS111" s="272"/>
      <c r="YT111" s="272"/>
      <c r="YU111" s="205">
        <f t="shared" si="925"/>
        <v>0</v>
      </c>
      <c r="YV111" s="207"/>
      <c r="YW111" s="207"/>
      <c r="YX111" s="207"/>
      <c r="YY111" s="207"/>
      <c r="YZ111" s="207"/>
      <c r="ZA111" s="272"/>
      <c r="ZB111" s="272"/>
      <c r="ZC111" s="205">
        <f t="shared" si="926"/>
        <v>0</v>
      </c>
      <c r="ZD111" s="205">
        <f t="shared" si="927"/>
        <v>0</v>
      </c>
      <c r="ZE111" s="207"/>
      <c r="ZF111" s="207"/>
      <c r="ZG111" s="207"/>
      <c r="ZH111" s="207"/>
      <c r="ZI111" s="207"/>
      <c r="ZJ111" s="272"/>
      <c r="ZK111" s="272"/>
      <c r="ZL111" s="205">
        <f t="shared" si="928"/>
        <v>0</v>
      </c>
      <c r="ZM111" s="207"/>
      <c r="ZN111" s="207"/>
      <c r="ZO111" s="207"/>
      <c r="ZP111" s="207"/>
      <c r="ZQ111" s="207"/>
      <c r="ZR111" s="272"/>
      <c r="ZS111" s="272"/>
      <c r="ZT111" s="205">
        <f t="shared" si="929"/>
        <v>0</v>
      </c>
      <c r="ZU111" s="207"/>
      <c r="ZV111" s="207"/>
      <c r="ZW111" s="207"/>
      <c r="ZX111" s="207"/>
      <c r="ZY111" s="207"/>
      <c r="ZZ111" s="272"/>
      <c r="AAA111" s="272"/>
      <c r="AAB111" s="205">
        <f t="shared" si="930"/>
        <v>0</v>
      </c>
      <c r="AAC111" s="207"/>
      <c r="AAD111" s="207"/>
      <c r="AAE111" s="207"/>
      <c r="AAF111" s="207"/>
      <c r="AAG111" s="207"/>
      <c r="AAH111" s="272"/>
      <c r="AAI111" s="272"/>
      <c r="AAJ111" s="205">
        <f t="shared" si="931"/>
        <v>0</v>
      </c>
      <c r="AAK111" s="207"/>
      <c r="AAL111" s="207"/>
      <c r="AAM111" s="207"/>
      <c r="AAN111" s="207"/>
      <c r="AAO111" s="207"/>
      <c r="AAP111" s="272"/>
      <c r="AAQ111" s="272"/>
      <c r="AAR111" s="205">
        <f t="shared" si="932"/>
        <v>0</v>
      </c>
      <c r="AAS111" s="205">
        <f t="shared" si="933"/>
        <v>0</v>
      </c>
    </row>
    <row r="112" spans="1:721" ht="69.95" hidden="1" customHeight="1">
      <c r="B112" s="151">
        <v>3630101456</v>
      </c>
      <c r="C112" s="323" t="s">
        <v>741</v>
      </c>
      <c r="D112" s="152" t="s">
        <v>223</v>
      </c>
      <c r="E112" s="130" t="s">
        <v>4</v>
      </c>
      <c r="F112" s="120"/>
      <c r="G112" s="120"/>
      <c r="H112" s="120"/>
      <c r="I112" s="120"/>
      <c r="J112" s="120"/>
      <c r="K112" s="209"/>
      <c r="L112" s="205"/>
      <c r="M112" s="205">
        <f t="shared" si="1048"/>
        <v>0</v>
      </c>
      <c r="N112" s="120"/>
      <c r="O112" s="120"/>
      <c r="P112" s="120"/>
      <c r="Q112" s="120"/>
      <c r="R112" s="120"/>
      <c r="S112" s="209"/>
      <c r="T112" s="205"/>
      <c r="U112" s="205">
        <f t="shared" si="1049"/>
        <v>0</v>
      </c>
      <c r="V112" s="120"/>
      <c r="W112" s="120"/>
      <c r="X112" s="120"/>
      <c r="Y112" s="120"/>
      <c r="Z112" s="120"/>
      <c r="AA112" s="209"/>
      <c r="AB112" s="205"/>
      <c r="AC112" s="205">
        <f t="shared" si="1050"/>
        <v>0</v>
      </c>
      <c r="AD112" s="205"/>
      <c r="AE112" s="205"/>
      <c r="AF112" s="205"/>
      <c r="AG112" s="205"/>
      <c r="AH112" s="205"/>
      <c r="AI112" s="209"/>
      <c r="AJ112" s="205"/>
      <c r="AK112" s="205">
        <f t="shared" si="1051"/>
        <v>0</v>
      </c>
      <c r="AL112" s="205" t="e">
        <f>SUM(#REF!,M112,U112,AC112,AD112:AH112)</f>
        <v>#REF!</v>
      </c>
      <c r="AM112" s="120"/>
      <c r="AN112" s="120"/>
      <c r="AO112" s="120"/>
      <c r="AP112" s="120"/>
      <c r="AQ112" s="120"/>
      <c r="AR112" s="209"/>
      <c r="AS112" s="205"/>
      <c r="AT112" s="205">
        <f t="shared" si="1052"/>
        <v>0</v>
      </c>
      <c r="AU112" s="120"/>
      <c r="AV112" s="120"/>
      <c r="AW112" s="120"/>
      <c r="AX112" s="120"/>
      <c r="AY112" s="120"/>
      <c r="AZ112" s="209"/>
      <c r="BA112" s="205"/>
      <c r="BB112" s="205">
        <f t="shared" si="1053"/>
        <v>0</v>
      </c>
      <c r="BC112" s="120"/>
      <c r="BD112" s="120"/>
      <c r="BE112" s="120"/>
      <c r="BF112" s="120"/>
      <c r="BG112" s="120"/>
      <c r="BH112" s="209"/>
      <c r="BI112" s="205"/>
      <c r="BJ112" s="205">
        <f t="shared" si="1054"/>
        <v>0</v>
      </c>
      <c r="BK112" s="120"/>
      <c r="BL112" s="120"/>
      <c r="BM112" s="120"/>
      <c r="BN112" s="120"/>
      <c r="BO112" s="205"/>
      <c r="BP112" s="209"/>
      <c r="BQ112" s="205"/>
      <c r="BR112" s="205">
        <f t="shared" si="1055"/>
        <v>0</v>
      </c>
      <c r="BS112" s="205">
        <f t="shared" si="832"/>
        <v>0</v>
      </c>
      <c r="BT112" s="120"/>
      <c r="BU112" s="120"/>
      <c r="BV112" s="120"/>
      <c r="BW112" s="120"/>
      <c r="BX112" s="120"/>
      <c r="BY112" s="209"/>
      <c r="BZ112" s="205"/>
      <c r="CA112" s="205">
        <f t="shared" si="1056"/>
        <v>0</v>
      </c>
      <c r="CB112" s="120"/>
      <c r="CC112" s="120"/>
      <c r="CD112" s="120"/>
      <c r="CE112" s="120"/>
      <c r="CF112" s="120"/>
      <c r="CG112" s="209"/>
      <c r="CH112" s="205"/>
      <c r="CI112" s="205">
        <f t="shared" si="1057"/>
        <v>0</v>
      </c>
      <c r="CJ112" s="120"/>
      <c r="CK112" s="120"/>
      <c r="CL112" s="120"/>
      <c r="CM112" s="120"/>
      <c r="CN112" s="120"/>
      <c r="CO112" s="209"/>
      <c r="CP112" s="205"/>
      <c r="CQ112" s="205">
        <f t="shared" si="1058"/>
        <v>0</v>
      </c>
      <c r="CR112" s="120"/>
      <c r="CS112" s="120"/>
      <c r="CT112" s="120"/>
      <c r="CU112" s="120"/>
      <c r="CV112" s="120"/>
      <c r="CW112" s="209"/>
      <c r="CX112" s="205"/>
      <c r="CY112" s="205">
        <f t="shared" si="1059"/>
        <v>0</v>
      </c>
      <c r="CZ112" s="120"/>
      <c r="DA112" s="120"/>
      <c r="DB112" s="120"/>
      <c r="DC112" s="205"/>
      <c r="DD112" s="205"/>
      <c r="DE112" s="209"/>
      <c r="DF112" s="205"/>
      <c r="DG112" s="205">
        <f t="shared" si="1060"/>
        <v>0</v>
      </c>
      <c r="DH112" s="205">
        <f t="shared" si="838"/>
        <v>0</v>
      </c>
      <c r="DI112" s="120"/>
      <c r="DJ112" s="120"/>
      <c r="DK112" s="120"/>
      <c r="DL112" s="120"/>
      <c r="DM112" s="120"/>
      <c r="DN112" s="209"/>
      <c r="DO112" s="205"/>
      <c r="DP112" s="205">
        <f t="shared" si="839"/>
        <v>0</v>
      </c>
      <c r="DQ112" s="120"/>
      <c r="DR112" s="120"/>
      <c r="DS112" s="120"/>
      <c r="DT112" s="120"/>
      <c r="DU112" s="120"/>
      <c r="DV112" s="209"/>
      <c r="DW112" s="205"/>
      <c r="DX112" s="205">
        <f t="shared" si="840"/>
        <v>0</v>
      </c>
      <c r="DY112" s="120"/>
      <c r="DZ112" s="120"/>
      <c r="EA112" s="120"/>
      <c r="EB112" s="120"/>
      <c r="EC112" s="120"/>
      <c r="ED112" s="209"/>
      <c r="EE112" s="205"/>
      <c r="EF112" s="205">
        <f t="shared" si="841"/>
        <v>0</v>
      </c>
      <c r="EG112" s="120"/>
      <c r="EH112" s="120"/>
      <c r="EI112" s="120"/>
      <c r="EJ112" s="205"/>
      <c r="EK112" s="205"/>
      <c r="EL112" s="209"/>
      <c r="EM112" s="205"/>
      <c r="EN112" s="205">
        <f t="shared" si="842"/>
        <v>0</v>
      </c>
      <c r="EO112" s="205">
        <f t="shared" si="843"/>
        <v>0</v>
      </c>
      <c r="EP112" s="120"/>
      <c r="EQ112" s="120"/>
      <c r="ER112" s="120"/>
      <c r="ES112" s="120"/>
      <c r="ET112" s="120"/>
      <c r="EU112" s="209"/>
      <c r="EV112" s="205"/>
      <c r="EW112" s="205">
        <f t="shared" si="844"/>
        <v>0</v>
      </c>
      <c r="EX112" s="120"/>
      <c r="EY112" s="120"/>
      <c r="EZ112" s="120"/>
      <c r="FA112" s="120"/>
      <c r="FB112" s="120"/>
      <c r="FC112" s="209"/>
      <c r="FD112" s="205"/>
      <c r="FE112" s="205">
        <f t="shared" si="845"/>
        <v>0</v>
      </c>
      <c r="FF112" s="120"/>
      <c r="FG112" s="120"/>
      <c r="FH112" s="120"/>
      <c r="FI112" s="120"/>
      <c r="FJ112" s="120"/>
      <c r="FK112" s="209"/>
      <c r="FL112" s="205"/>
      <c r="FM112" s="205">
        <f t="shared" si="846"/>
        <v>0</v>
      </c>
      <c r="FN112" s="120"/>
      <c r="FO112" s="120"/>
      <c r="FP112" s="120"/>
      <c r="FQ112" s="120"/>
      <c r="FR112" s="205"/>
      <c r="FS112" s="209"/>
      <c r="FT112" s="205"/>
      <c r="FU112" s="205">
        <f t="shared" si="847"/>
        <v>0</v>
      </c>
      <c r="FV112" s="205">
        <f t="shared" si="848"/>
        <v>0</v>
      </c>
      <c r="FW112" s="120"/>
      <c r="FX112" s="120"/>
      <c r="FY112" s="120"/>
      <c r="FZ112" s="120"/>
      <c r="GA112" s="120"/>
      <c r="GB112" s="209"/>
      <c r="GC112" s="205"/>
      <c r="GD112" s="205">
        <f t="shared" si="849"/>
        <v>0</v>
      </c>
      <c r="GE112" s="120"/>
      <c r="GF112" s="120"/>
      <c r="GG112" s="120"/>
      <c r="GH112" s="120"/>
      <c r="GI112" s="120"/>
      <c r="GJ112" s="209"/>
      <c r="GK112" s="205"/>
      <c r="GL112" s="205">
        <f t="shared" si="850"/>
        <v>0</v>
      </c>
      <c r="GM112" s="120"/>
      <c r="GN112" s="120"/>
      <c r="GO112" s="120"/>
      <c r="GP112" s="120"/>
      <c r="GQ112" s="120"/>
      <c r="GR112" s="209"/>
      <c r="GS112" s="205"/>
      <c r="GT112" s="205">
        <f t="shared" si="851"/>
        <v>0</v>
      </c>
      <c r="GU112" s="120"/>
      <c r="GV112" s="120"/>
      <c r="GW112" s="120"/>
      <c r="GX112" s="120"/>
      <c r="GY112" s="120"/>
      <c r="GZ112" s="209"/>
      <c r="HA112" s="205"/>
      <c r="HB112" s="205">
        <f t="shared" si="852"/>
        <v>0</v>
      </c>
      <c r="HC112" s="120"/>
      <c r="HD112" s="120"/>
      <c r="HE112" s="120"/>
      <c r="HF112" s="120"/>
      <c r="HG112" s="120"/>
      <c r="HH112" s="209"/>
      <c r="HI112" s="205"/>
      <c r="HJ112" s="205">
        <f t="shared" si="853"/>
        <v>0</v>
      </c>
      <c r="HK112" s="205">
        <f t="shared" si="854"/>
        <v>0</v>
      </c>
      <c r="HL112" s="124"/>
      <c r="HM112" s="120"/>
      <c r="HN112" s="120"/>
      <c r="HO112" s="120"/>
      <c r="HP112" s="120"/>
      <c r="HQ112" s="205"/>
      <c r="HR112" s="205"/>
      <c r="HS112" s="205">
        <f t="shared" si="934"/>
        <v>0</v>
      </c>
      <c r="HT112" s="120"/>
      <c r="HU112" s="120"/>
      <c r="HV112" s="120"/>
      <c r="HW112" s="120"/>
      <c r="HX112" s="120"/>
      <c r="HY112" s="205"/>
      <c r="HZ112" s="205"/>
      <c r="IA112" s="205">
        <f t="shared" si="935"/>
        <v>0</v>
      </c>
      <c r="IB112" s="120"/>
      <c r="IC112" s="120"/>
      <c r="ID112" s="120"/>
      <c r="IE112" s="120"/>
      <c r="IF112" s="120"/>
      <c r="IG112" s="205"/>
      <c r="IH112" s="205"/>
      <c r="II112" s="205">
        <f t="shared" si="936"/>
        <v>0</v>
      </c>
      <c r="IJ112" s="120"/>
      <c r="IK112" s="120"/>
      <c r="IL112" s="120"/>
      <c r="IM112" s="120"/>
      <c r="IN112" s="120"/>
      <c r="IO112" s="205"/>
      <c r="IP112" s="205"/>
      <c r="IQ112" s="205">
        <f t="shared" si="937"/>
        <v>0</v>
      </c>
      <c r="IR112" s="205">
        <f t="shared" si="938"/>
        <v>0</v>
      </c>
      <c r="IS112" s="120"/>
      <c r="IT112" s="120"/>
      <c r="IU112" s="120"/>
      <c r="IV112" s="120"/>
      <c r="IW112" s="120"/>
      <c r="IX112" s="205"/>
      <c r="IY112" s="205"/>
      <c r="IZ112" s="205">
        <f t="shared" si="939"/>
        <v>0</v>
      </c>
      <c r="JA112" s="120"/>
      <c r="JB112" s="120"/>
      <c r="JC112" s="120"/>
      <c r="JD112" s="120"/>
      <c r="JE112" s="120"/>
      <c r="JF112" s="205"/>
      <c r="JG112" s="205"/>
      <c r="JH112" s="205">
        <f t="shared" si="940"/>
        <v>0</v>
      </c>
      <c r="JI112" s="120"/>
      <c r="JJ112" s="120"/>
      <c r="JK112" s="120"/>
      <c r="JL112" s="124"/>
      <c r="JM112" s="120"/>
      <c r="JN112" s="205"/>
      <c r="JO112" s="205"/>
      <c r="JP112" s="205">
        <f t="shared" si="941"/>
        <v>0</v>
      </c>
      <c r="JQ112" s="120"/>
      <c r="JR112" s="120"/>
      <c r="JS112" s="120"/>
      <c r="JT112" s="120"/>
      <c r="JU112" s="120"/>
      <c r="JV112" s="205"/>
      <c r="JW112" s="205"/>
      <c r="JX112" s="205">
        <f t="shared" si="942"/>
        <v>0</v>
      </c>
      <c r="JY112" s="205">
        <f t="shared" si="943"/>
        <v>0</v>
      </c>
      <c r="JZ112" s="120"/>
      <c r="KA112" s="120"/>
      <c r="KB112" s="120"/>
      <c r="KC112" s="120"/>
      <c r="KD112" s="120"/>
      <c r="KE112" s="205"/>
      <c r="KF112" s="205"/>
      <c r="KG112" s="205">
        <f t="shared" si="944"/>
        <v>0</v>
      </c>
      <c r="KH112" s="120"/>
      <c r="KI112" s="120"/>
      <c r="KJ112" s="120"/>
      <c r="KK112" s="120"/>
      <c r="KL112" s="120"/>
      <c r="KM112" s="205"/>
      <c r="KN112" s="205"/>
      <c r="KO112" s="205">
        <f t="shared" si="945"/>
        <v>0</v>
      </c>
      <c r="KP112" s="120"/>
      <c r="KQ112" s="120"/>
      <c r="KR112" s="120"/>
      <c r="KS112" s="120"/>
      <c r="KT112" s="120"/>
      <c r="KU112" s="205"/>
      <c r="KV112" s="205"/>
      <c r="KW112" s="205">
        <f t="shared" si="946"/>
        <v>0</v>
      </c>
      <c r="KX112" s="120"/>
      <c r="KY112" s="120"/>
      <c r="KZ112" s="120"/>
      <c r="LA112" s="120"/>
      <c r="LB112" s="120"/>
      <c r="LC112" s="205"/>
      <c r="LD112" s="205"/>
      <c r="LE112" s="205">
        <f t="shared" si="947"/>
        <v>0</v>
      </c>
      <c r="LF112" s="205"/>
      <c r="LG112" s="120"/>
      <c r="LH112" s="120"/>
      <c r="LI112" s="120"/>
      <c r="LJ112" s="120"/>
      <c r="LK112" s="205"/>
      <c r="LL112" s="205"/>
      <c r="LM112" s="205">
        <f t="shared" si="948"/>
        <v>0</v>
      </c>
      <c r="LN112" s="205">
        <f t="shared" si="949"/>
        <v>0</v>
      </c>
      <c r="LO112" s="205"/>
      <c r="LP112" s="195"/>
      <c r="LQ112" s="120"/>
      <c r="LR112" s="120"/>
      <c r="LS112" s="205"/>
      <c r="LT112" s="205"/>
      <c r="LU112" s="205"/>
      <c r="LV112" s="205">
        <f t="shared" si="950"/>
        <v>0</v>
      </c>
      <c r="LW112" s="120"/>
      <c r="LX112" s="120"/>
      <c r="LY112" s="120"/>
      <c r="LZ112" s="120"/>
      <c r="MA112" s="120"/>
      <c r="MB112" s="205"/>
      <c r="MC112" s="205"/>
      <c r="MD112" s="205">
        <f t="shared" si="951"/>
        <v>0</v>
      </c>
      <c r="ME112" s="120"/>
      <c r="MF112" s="120"/>
      <c r="MG112" s="120"/>
      <c r="MH112" s="120"/>
      <c r="MI112" s="205"/>
      <c r="MJ112" s="205"/>
      <c r="MK112" s="205"/>
      <c r="ML112" s="205">
        <f t="shared" si="952"/>
        <v>0</v>
      </c>
      <c r="MM112" s="120"/>
      <c r="MN112" s="120"/>
      <c r="MO112" s="120"/>
      <c r="MP112" s="120"/>
      <c r="MQ112" s="120"/>
      <c r="MR112" s="205"/>
      <c r="MS112" s="205"/>
      <c r="MT112" s="205">
        <f t="shared" si="953"/>
        <v>0</v>
      </c>
      <c r="MU112" s="205">
        <f t="shared" si="954"/>
        <v>0</v>
      </c>
      <c r="MV112" s="120"/>
      <c r="MW112" s="120"/>
      <c r="MX112" s="120"/>
      <c r="MY112" s="120"/>
      <c r="MZ112" s="120"/>
      <c r="NA112" s="205"/>
      <c r="NB112" s="205"/>
      <c r="NC112" s="205">
        <f t="shared" si="880"/>
        <v>0</v>
      </c>
      <c r="ND112" s="120"/>
      <c r="NE112" s="120"/>
      <c r="NF112" s="120"/>
      <c r="NG112" s="120"/>
      <c r="NH112" s="120"/>
      <c r="NI112" s="205"/>
      <c r="NJ112" s="205"/>
      <c r="NK112" s="205">
        <f t="shared" si="881"/>
        <v>0</v>
      </c>
      <c r="NL112" s="120"/>
      <c r="NM112" s="120"/>
      <c r="NN112" s="120"/>
      <c r="NO112" s="120"/>
      <c r="NP112" s="120"/>
      <c r="NQ112" s="205"/>
      <c r="NR112" s="205"/>
      <c r="NS112" s="205">
        <f t="shared" si="882"/>
        <v>0</v>
      </c>
      <c r="NT112" s="120"/>
      <c r="NU112" s="120"/>
      <c r="NV112" s="120"/>
      <c r="NW112" s="120"/>
      <c r="NX112" s="120"/>
      <c r="NY112" s="205"/>
      <c r="NZ112" s="205"/>
      <c r="OA112" s="205">
        <f t="shared" si="883"/>
        <v>0</v>
      </c>
      <c r="OB112" s="205">
        <f t="shared" si="884"/>
        <v>0</v>
      </c>
      <c r="OC112" s="120"/>
      <c r="OD112" s="120"/>
      <c r="OE112" s="120"/>
      <c r="OF112" s="120"/>
      <c r="OG112" s="120"/>
      <c r="OH112" s="205"/>
      <c r="OI112" s="205"/>
      <c r="OJ112" s="205">
        <f t="shared" si="885"/>
        <v>0</v>
      </c>
      <c r="OK112" s="120"/>
      <c r="OL112" s="120"/>
      <c r="OM112" s="120"/>
      <c r="ON112" s="120"/>
      <c r="OO112" s="120"/>
      <c r="OP112" s="205"/>
      <c r="OQ112" s="205"/>
      <c r="OR112" s="205">
        <f t="shared" si="886"/>
        <v>0</v>
      </c>
      <c r="OS112" s="120"/>
      <c r="OT112" s="120"/>
      <c r="OU112" s="120"/>
      <c r="OV112" s="120"/>
      <c r="OW112" s="120"/>
      <c r="OX112" s="205"/>
      <c r="OY112" s="205"/>
      <c r="OZ112" s="205">
        <f t="shared" si="887"/>
        <v>0</v>
      </c>
      <c r="PA112" s="120"/>
      <c r="PB112" s="120"/>
      <c r="PC112" s="120"/>
      <c r="PD112" s="205"/>
      <c r="PE112" s="217"/>
      <c r="PF112" s="205"/>
      <c r="PG112" s="205"/>
      <c r="PH112" s="205">
        <f t="shared" si="888"/>
        <v>0</v>
      </c>
      <c r="PI112" s="120"/>
      <c r="PJ112" s="120"/>
      <c r="PK112" s="120"/>
      <c r="PL112" s="205"/>
      <c r="PM112" s="217"/>
      <c r="PN112" s="205"/>
      <c r="PO112" s="205"/>
      <c r="PP112" s="205">
        <f t="shared" si="889"/>
        <v>0</v>
      </c>
      <c r="PQ112" s="205">
        <f t="shared" si="890"/>
        <v>0</v>
      </c>
      <c r="PR112" s="124"/>
      <c r="PS112" s="207"/>
      <c r="PT112" s="207"/>
      <c r="PU112" s="207"/>
      <c r="PV112" s="207"/>
      <c r="PW112" s="272"/>
      <c r="PX112" s="272"/>
      <c r="PY112" s="205">
        <f t="shared" si="891"/>
        <v>0</v>
      </c>
      <c r="PZ112" s="207"/>
      <c r="QA112" s="207"/>
      <c r="QB112" s="207"/>
      <c r="QC112" s="300"/>
      <c r="QD112" s="207"/>
      <c r="QE112" s="272"/>
      <c r="QF112" s="272"/>
      <c r="QG112" s="205">
        <f t="shared" si="892"/>
        <v>0</v>
      </c>
      <c r="QH112" s="207"/>
      <c r="QI112" s="207"/>
      <c r="QJ112" s="294"/>
      <c r="QK112" s="207"/>
      <c r="QL112" s="207"/>
      <c r="QM112" s="272"/>
      <c r="QN112" s="272"/>
      <c r="QO112" s="205">
        <f t="shared" si="893"/>
        <v>0</v>
      </c>
      <c r="QP112" s="207"/>
      <c r="QQ112" s="207"/>
      <c r="QR112" s="207"/>
      <c r="QS112" s="207"/>
      <c r="QT112" s="207"/>
      <c r="QU112" s="272"/>
      <c r="QV112" s="272"/>
      <c r="QW112" s="205">
        <f t="shared" si="894"/>
        <v>0</v>
      </c>
      <c r="QX112" s="205">
        <f t="shared" si="895"/>
        <v>0</v>
      </c>
      <c r="QY112" s="207"/>
      <c r="QZ112" s="207"/>
      <c r="RA112" s="207"/>
      <c r="RB112" s="207"/>
      <c r="RC112" s="207"/>
      <c r="RD112" s="272"/>
      <c r="RE112" s="272"/>
      <c r="RF112" s="205">
        <f t="shared" si="896"/>
        <v>0</v>
      </c>
      <c r="RG112" s="207"/>
      <c r="RH112" s="207"/>
      <c r="RI112" s="207"/>
      <c r="RJ112" s="207"/>
      <c r="RK112" s="207"/>
      <c r="RL112" s="272"/>
      <c r="RM112" s="272"/>
      <c r="RN112" s="205">
        <f t="shared" si="897"/>
        <v>0</v>
      </c>
      <c r="RO112" s="272"/>
      <c r="RP112" s="272"/>
      <c r="RQ112" s="272"/>
      <c r="RR112" s="272"/>
      <c r="RS112" s="272"/>
      <c r="RT112" s="272"/>
      <c r="RU112" s="272"/>
      <c r="RV112" s="205">
        <f t="shared" si="898"/>
        <v>0</v>
      </c>
      <c r="RW112" s="207"/>
      <c r="RX112" s="207"/>
      <c r="RY112" s="207"/>
      <c r="RZ112" s="207"/>
      <c r="SA112" s="272"/>
      <c r="SB112" s="272"/>
      <c r="SC112" s="272"/>
      <c r="SD112" s="205">
        <f t="shared" si="899"/>
        <v>0</v>
      </c>
      <c r="SE112" s="205">
        <f t="shared" si="900"/>
        <v>0</v>
      </c>
      <c r="SF112" s="207"/>
      <c r="SG112" s="207"/>
      <c r="SH112" s="207"/>
      <c r="SI112" s="207"/>
      <c r="SJ112" s="207"/>
      <c r="SK112" s="272"/>
      <c r="SL112" s="272"/>
      <c r="SM112" s="205">
        <f t="shared" si="901"/>
        <v>0</v>
      </c>
      <c r="SN112" s="207"/>
      <c r="SO112" s="207"/>
      <c r="SP112" s="207"/>
      <c r="SQ112" s="207"/>
      <c r="SR112" s="207"/>
      <c r="SS112" s="272"/>
      <c r="ST112" s="272"/>
      <c r="SU112" s="205">
        <f t="shared" si="902"/>
        <v>0</v>
      </c>
      <c r="SV112" s="207"/>
      <c r="SW112" s="217">
        <v>156</v>
      </c>
      <c r="SX112" s="207"/>
      <c r="SY112" s="207"/>
      <c r="SZ112" s="207"/>
      <c r="TA112" s="272"/>
      <c r="TB112" s="272"/>
      <c r="TC112" s="205">
        <f t="shared" si="903"/>
        <v>156</v>
      </c>
      <c r="TD112" s="207"/>
      <c r="TE112" s="207"/>
      <c r="TF112" s="207"/>
      <c r="TG112" s="207"/>
      <c r="TH112" s="207"/>
      <c r="TI112" s="272"/>
      <c r="TJ112" s="272"/>
      <c r="TK112" s="205">
        <f t="shared" si="904"/>
        <v>0</v>
      </c>
      <c r="TL112" s="207"/>
      <c r="TM112" s="207"/>
      <c r="TN112" s="207"/>
      <c r="TO112" s="207"/>
      <c r="TP112" s="272"/>
      <c r="TQ112" s="272"/>
      <c r="TR112" s="272"/>
      <c r="TS112" s="205">
        <f t="shared" si="905"/>
        <v>0</v>
      </c>
      <c r="TT112" s="205">
        <f t="shared" si="906"/>
        <v>156</v>
      </c>
      <c r="TU112" s="272"/>
      <c r="TV112" s="207"/>
      <c r="TW112" s="207"/>
      <c r="TX112" s="207"/>
      <c r="TY112" s="207"/>
      <c r="TZ112" s="272"/>
      <c r="UA112" s="272"/>
      <c r="UB112" s="205">
        <f t="shared" si="907"/>
        <v>0</v>
      </c>
      <c r="UC112" s="207"/>
      <c r="UD112" s="207"/>
      <c r="UE112" s="207"/>
      <c r="UF112" s="207"/>
      <c r="UG112" s="217"/>
      <c r="UH112" s="272"/>
      <c r="UI112" s="272"/>
      <c r="UJ112" s="205">
        <f t="shared" si="908"/>
        <v>0</v>
      </c>
      <c r="UK112" s="207"/>
      <c r="UL112" s="207"/>
      <c r="UM112" s="207"/>
      <c r="UN112" s="207"/>
      <c r="UO112" s="207"/>
      <c r="UP112" s="272"/>
      <c r="UQ112" s="272"/>
      <c r="UR112" s="205">
        <f t="shared" si="909"/>
        <v>0</v>
      </c>
      <c r="US112" s="207"/>
      <c r="UT112" s="207"/>
      <c r="UU112" s="207"/>
      <c r="UV112" s="207"/>
      <c r="UW112" s="272"/>
      <c r="UX112" s="272"/>
      <c r="UY112" s="272"/>
      <c r="UZ112" s="205">
        <f t="shared" si="910"/>
        <v>0</v>
      </c>
      <c r="VA112" s="205">
        <f t="shared" si="911"/>
        <v>0</v>
      </c>
      <c r="VB112" s="207"/>
      <c r="VC112" s="207"/>
      <c r="VD112" s="207"/>
      <c r="VE112" s="207"/>
      <c r="VF112" s="207"/>
      <c r="VG112" s="272"/>
      <c r="VH112" s="272"/>
      <c r="VI112" s="205">
        <f t="shared" si="912"/>
        <v>0</v>
      </c>
      <c r="VJ112" s="207"/>
      <c r="VK112" s="207"/>
      <c r="VL112" s="207"/>
      <c r="VM112" s="207"/>
      <c r="VN112" s="207"/>
      <c r="VO112" s="272"/>
      <c r="VP112" s="272"/>
      <c r="VQ112" s="205">
        <f t="shared" si="913"/>
        <v>0</v>
      </c>
      <c r="VR112" s="207"/>
      <c r="VS112" s="207"/>
      <c r="VT112" s="207"/>
      <c r="VU112" s="207"/>
      <c r="VV112" s="207"/>
      <c r="VW112" s="272"/>
      <c r="VX112" s="272"/>
      <c r="VY112" s="205">
        <f t="shared" si="914"/>
        <v>0</v>
      </c>
      <c r="VZ112" s="207"/>
      <c r="WA112" s="207"/>
      <c r="WB112" s="207"/>
      <c r="WC112" s="207"/>
      <c r="WD112" s="207"/>
      <c r="WE112" s="272"/>
      <c r="WF112" s="272"/>
      <c r="WG112" s="205">
        <f t="shared" si="915"/>
        <v>0</v>
      </c>
      <c r="WH112" s="205">
        <f t="shared" si="916"/>
        <v>0</v>
      </c>
      <c r="WI112" s="207"/>
      <c r="WJ112" s="207"/>
      <c r="WK112" s="207"/>
      <c r="WL112" s="207"/>
      <c r="WM112" s="207"/>
      <c r="WN112" s="272"/>
      <c r="WO112" s="272"/>
      <c r="WP112" s="205">
        <f t="shared" si="917"/>
        <v>0</v>
      </c>
      <c r="WQ112" s="207"/>
      <c r="WR112" s="207"/>
      <c r="WS112" s="207"/>
      <c r="WT112" s="207"/>
      <c r="WU112" s="207"/>
      <c r="WV112" s="272"/>
      <c r="WW112" s="272"/>
      <c r="WX112" s="205">
        <f t="shared" si="918"/>
        <v>0</v>
      </c>
      <c r="WY112" s="207"/>
      <c r="WZ112" s="207"/>
      <c r="XA112" s="207"/>
      <c r="XB112" s="207"/>
      <c r="XC112" s="272"/>
      <c r="XD112" s="272"/>
      <c r="XE112" s="272"/>
      <c r="XF112" s="205">
        <f t="shared" si="919"/>
        <v>0</v>
      </c>
      <c r="XG112" s="207"/>
      <c r="XH112" s="207"/>
      <c r="XI112" s="207"/>
      <c r="XJ112" s="207"/>
      <c r="XK112" s="207"/>
      <c r="XL112" s="272"/>
      <c r="XM112" s="272"/>
      <c r="XN112" s="205">
        <f t="shared" si="920"/>
        <v>0</v>
      </c>
      <c r="XO112" s="207"/>
      <c r="XP112" s="207"/>
      <c r="XQ112" s="207"/>
      <c r="XR112" s="207"/>
      <c r="XS112" s="207"/>
      <c r="XT112" s="272"/>
      <c r="XU112" s="272"/>
      <c r="XV112" s="205">
        <f t="shared" si="921"/>
        <v>0</v>
      </c>
      <c r="XW112" s="205">
        <f t="shared" si="922"/>
        <v>0</v>
      </c>
      <c r="XX112" s="207"/>
      <c r="XY112" s="207"/>
      <c r="XZ112" s="207"/>
      <c r="YA112" s="207"/>
      <c r="YB112" s="207"/>
      <c r="YC112" s="272"/>
      <c r="YD112" s="272"/>
      <c r="YE112" s="205">
        <f t="shared" si="923"/>
        <v>0</v>
      </c>
      <c r="YF112" s="207"/>
      <c r="YG112" s="207"/>
      <c r="YH112" s="207"/>
      <c r="YI112" s="207"/>
      <c r="YJ112" s="207"/>
      <c r="YK112" s="272"/>
      <c r="YL112" s="272"/>
      <c r="YM112" s="205">
        <f t="shared" si="924"/>
        <v>0</v>
      </c>
      <c r="YN112" s="207"/>
      <c r="YO112" s="207"/>
      <c r="YP112" s="207"/>
      <c r="YQ112" s="207"/>
      <c r="YR112" s="207"/>
      <c r="YS112" s="272"/>
      <c r="YT112" s="272"/>
      <c r="YU112" s="205">
        <f t="shared" si="925"/>
        <v>0</v>
      </c>
      <c r="YV112" s="207"/>
      <c r="YW112" s="207"/>
      <c r="YX112" s="207"/>
      <c r="YY112" s="207"/>
      <c r="YZ112" s="207"/>
      <c r="ZA112" s="272"/>
      <c r="ZB112" s="272"/>
      <c r="ZC112" s="205">
        <f t="shared" si="926"/>
        <v>0</v>
      </c>
      <c r="ZD112" s="205">
        <f t="shared" si="927"/>
        <v>0</v>
      </c>
      <c r="ZE112" s="207"/>
      <c r="ZF112" s="207"/>
      <c r="ZG112" s="207"/>
      <c r="ZH112" s="207"/>
      <c r="ZI112" s="207"/>
      <c r="ZJ112" s="272"/>
      <c r="ZK112" s="272"/>
      <c r="ZL112" s="205">
        <f t="shared" si="928"/>
        <v>0</v>
      </c>
      <c r="ZM112" s="207"/>
      <c r="ZN112" s="207"/>
      <c r="ZO112" s="207"/>
      <c r="ZP112" s="207"/>
      <c r="ZQ112" s="207"/>
      <c r="ZR112" s="272"/>
      <c r="ZS112" s="272"/>
      <c r="ZT112" s="205">
        <f t="shared" si="929"/>
        <v>0</v>
      </c>
      <c r="ZU112" s="207"/>
      <c r="ZV112" s="207"/>
      <c r="ZW112" s="207"/>
      <c r="ZX112" s="207"/>
      <c r="ZY112" s="207"/>
      <c r="ZZ112" s="272"/>
      <c r="AAA112" s="272"/>
      <c r="AAB112" s="205">
        <f t="shared" si="930"/>
        <v>0</v>
      </c>
      <c r="AAC112" s="207"/>
      <c r="AAD112" s="207"/>
      <c r="AAE112" s="207"/>
      <c r="AAF112" s="207"/>
      <c r="AAG112" s="207"/>
      <c r="AAH112" s="272"/>
      <c r="AAI112" s="272"/>
      <c r="AAJ112" s="205">
        <f t="shared" si="931"/>
        <v>0</v>
      </c>
      <c r="AAK112" s="207"/>
      <c r="AAL112" s="207"/>
      <c r="AAM112" s="207"/>
      <c r="AAN112" s="207"/>
      <c r="AAO112" s="207"/>
      <c r="AAP112" s="272"/>
      <c r="AAQ112" s="272"/>
      <c r="AAR112" s="205">
        <f t="shared" si="932"/>
        <v>0</v>
      </c>
      <c r="AAS112" s="205">
        <f t="shared" si="933"/>
        <v>0</v>
      </c>
    </row>
    <row r="113" spans="2:777" ht="69.95" customHeight="1">
      <c r="B113" s="151">
        <v>3630101458</v>
      </c>
      <c r="C113" s="323" t="s">
        <v>741</v>
      </c>
      <c r="D113" s="152" t="s">
        <v>797</v>
      </c>
      <c r="E113" s="130" t="s">
        <v>4</v>
      </c>
      <c r="F113" s="120"/>
      <c r="G113" s="120"/>
      <c r="H113" s="120"/>
      <c r="I113" s="120"/>
      <c r="J113" s="120"/>
      <c r="K113" s="209"/>
      <c r="L113" s="205"/>
      <c r="M113" s="205">
        <f t="shared" ref="M113" si="1215">SUM(F113:L113)</f>
        <v>0</v>
      </c>
      <c r="N113" s="120"/>
      <c r="O113" s="120"/>
      <c r="P113" s="120"/>
      <c r="Q113" s="120"/>
      <c r="R113" s="120"/>
      <c r="S113" s="209"/>
      <c r="T113" s="205"/>
      <c r="U113" s="205">
        <f t="shared" ref="U113" si="1216">SUM(N113:T113)</f>
        <v>0</v>
      </c>
      <c r="V113" s="120"/>
      <c r="W113" s="120"/>
      <c r="X113" s="120"/>
      <c r="Y113" s="120"/>
      <c r="Z113" s="120"/>
      <c r="AA113" s="209"/>
      <c r="AB113" s="205"/>
      <c r="AC113" s="205">
        <f t="shared" ref="AC113" si="1217">SUM(V113:AB113)</f>
        <v>0</v>
      </c>
      <c r="AD113" s="205"/>
      <c r="AE113" s="205"/>
      <c r="AF113" s="205"/>
      <c r="AG113" s="205"/>
      <c r="AH113" s="205"/>
      <c r="AI113" s="209"/>
      <c r="AJ113" s="205"/>
      <c r="AK113" s="205">
        <f t="shared" ref="AK113" si="1218">SUM(AD113:AJ113)</f>
        <v>0</v>
      </c>
      <c r="AL113" s="205" t="e">
        <f>SUM(#REF!,M113,U113,AC113,AD113:AH113)</f>
        <v>#REF!</v>
      </c>
      <c r="AM113" s="120"/>
      <c r="AN113" s="120"/>
      <c r="AO113" s="120"/>
      <c r="AP113" s="120"/>
      <c r="AQ113" s="120"/>
      <c r="AR113" s="209"/>
      <c r="AS113" s="205"/>
      <c r="AT113" s="205">
        <f t="shared" si="1052"/>
        <v>0</v>
      </c>
      <c r="AU113" s="120"/>
      <c r="AV113" s="120"/>
      <c r="AW113" s="120"/>
      <c r="AX113" s="120"/>
      <c r="AY113" s="120"/>
      <c r="AZ113" s="209"/>
      <c r="BA113" s="205"/>
      <c r="BB113" s="205">
        <f t="shared" si="1053"/>
        <v>0</v>
      </c>
      <c r="BC113" s="120"/>
      <c r="BD113" s="120"/>
      <c r="BE113" s="120"/>
      <c r="BF113" s="120"/>
      <c r="BG113" s="120"/>
      <c r="BH113" s="209"/>
      <c r="BI113" s="205"/>
      <c r="BJ113" s="205">
        <f t="shared" si="1054"/>
        <v>0</v>
      </c>
      <c r="BK113" s="120"/>
      <c r="BL113" s="120"/>
      <c r="BM113" s="120"/>
      <c r="BN113" s="120"/>
      <c r="BO113" s="205"/>
      <c r="BP113" s="209"/>
      <c r="BQ113" s="205"/>
      <c r="BR113" s="205">
        <f t="shared" si="1055"/>
        <v>0</v>
      </c>
      <c r="BS113" s="205">
        <f t="shared" ref="BS113" si="1219">SUM(AI113:AJ113,AT113,BB113,BJ113,BK113:BO113)</f>
        <v>0</v>
      </c>
      <c r="BT113" s="120"/>
      <c r="BU113" s="120"/>
      <c r="BV113" s="120"/>
      <c r="BW113" s="120"/>
      <c r="BX113" s="120"/>
      <c r="BY113" s="209"/>
      <c r="BZ113" s="205"/>
      <c r="CA113" s="205">
        <f t="shared" si="1056"/>
        <v>0</v>
      </c>
      <c r="CB113" s="120"/>
      <c r="CC113" s="120"/>
      <c r="CD113" s="120"/>
      <c r="CE113" s="120"/>
      <c r="CF113" s="120"/>
      <c r="CG113" s="209"/>
      <c r="CH113" s="205"/>
      <c r="CI113" s="205">
        <f t="shared" si="1057"/>
        <v>0</v>
      </c>
      <c r="CJ113" s="120"/>
      <c r="CK113" s="120"/>
      <c r="CL113" s="120"/>
      <c r="CM113" s="120"/>
      <c r="CN113" s="120"/>
      <c r="CO113" s="209"/>
      <c r="CP113" s="205"/>
      <c r="CQ113" s="205">
        <f t="shared" si="1058"/>
        <v>0</v>
      </c>
      <c r="CR113" s="120"/>
      <c r="CS113" s="120"/>
      <c r="CT113" s="120"/>
      <c r="CU113" s="120"/>
      <c r="CV113" s="120"/>
      <c r="CW113" s="209"/>
      <c r="CX113" s="205"/>
      <c r="CY113" s="205">
        <f t="shared" si="1059"/>
        <v>0</v>
      </c>
      <c r="CZ113" s="120"/>
      <c r="DA113" s="120"/>
      <c r="DB113" s="120"/>
      <c r="DC113" s="205"/>
      <c r="DD113" s="205"/>
      <c r="DE113" s="209"/>
      <c r="DF113" s="205"/>
      <c r="DG113" s="205">
        <f t="shared" si="1060"/>
        <v>0</v>
      </c>
      <c r="DH113" s="205">
        <f t="shared" ref="DH113" si="1220">SUM(CA113,CI113,CQ113,CY113,CZ113)</f>
        <v>0</v>
      </c>
      <c r="DI113" s="120"/>
      <c r="DJ113" s="120"/>
      <c r="DK113" s="120"/>
      <c r="DL113" s="120"/>
      <c r="DM113" s="120"/>
      <c r="DN113" s="209"/>
      <c r="DO113" s="205"/>
      <c r="DP113" s="205">
        <f t="shared" ref="DP113" si="1221">SUM(DI113:DO113)</f>
        <v>0</v>
      </c>
      <c r="DQ113" s="120"/>
      <c r="DR113" s="120"/>
      <c r="DS113" s="120"/>
      <c r="DT113" s="120"/>
      <c r="DU113" s="120"/>
      <c r="DV113" s="209"/>
      <c r="DW113" s="205"/>
      <c r="DX113" s="205">
        <f t="shared" ref="DX113" si="1222">SUM(DQ113:DW113)</f>
        <v>0</v>
      </c>
      <c r="DY113" s="120"/>
      <c r="DZ113" s="120"/>
      <c r="EA113" s="120"/>
      <c r="EB113" s="120"/>
      <c r="EC113" s="120"/>
      <c r="ED113" s="209"/>
      <c r="EE113" s="205"/>
      <c r="EF113" s="205">
        <f t="shared" ref="EF113" si="1223">SUM(DY113:EE113)</f>
        <v>0</v>
      </c>
      <c r="EG113" s="120"/>
      <c r="EH113" s="120"/>
      <c r="EI113" s="120"/>
      <c r="EJ113" s="205"/>
      <c r="EK113" s="205"/>
      <c r="EL113" s="209"/>
      <c r="EM113" s="205"/>
      <c r="EN113" s="205">
        <f t="shared" ref="EN113" si="1224">SUM(EG113:EM113)</f>
        <v>0</v>
      </c>
      <c r="EO113" s="205">
        <f t="shared" ref="EO113" si="1225">SUM(DA113:DF113,DP113,DX113,EF113,EG113:EI113)</f>
        <v>0</v>
      </c>
      <c r="EP113" s="120"/>
      <c r="EQ113" s="120"/>
      <c r="ER113" s="120"/>
      <c r="ES113" s="120"/>
      <c r="ET113" s="120"/>
      <c r="EU113" s="209"/>
      <c r="EV113" s="205"/>
      <c r="EW113" s="205">
        <f t="shared" ref="EW113" si="1226">SUM(EP113:EV113)</f>
        <v>0</v>
      </c>
      <c r="EX113" s="120"/>
      <c r="EY113" s="120"/>
      <c r="EZ113" s="120"/>
      <c r="FA113" s="120"/>
      <c r="FB113" s="120"/>
      <c r="FC113" s="209"/>
      <c r="FD113" s="205"/>
      <c r="FE113" s="205">
        <f t="shared" ref="FE113" si="1227">SUM(EX113:FD113)</f>
        <v>0</v>
      </c>
      <c r="FF113" s="120"/>
      <c r="FG113" s="120"/>
      <c r="FH113" s="120"/>
      <c r="FI113" s="120"/>
      <c r="FJ113" s="120"/>
      <c r="FK113" s="209"/>
      <c r="FL113" s="205"/>
      <c r="FM113" s="205">
        <f t="shared" ref="FM113" si="1228">SUM(FF113:FL113)</f>
        <v>0</v>
      </c>
      <c r="FN113" s="120"/>
      <c r="FO113" s="120"/>
      <c r="FP113" s="120"/>
      <c r="FQ113" s="120"/>
      <c r="FR113" s="205"/>
      <c r="FS113" s="209"/>
      <c r="FT113" s="205"/>
      <c r="FU113" s="205">
        <f t="shared" ref="FU113" si="1229">SUM(FN113:FT113)</f>
        <v>0</v>
      </c>
      <c r="FV113" s="205">
        <f t="shared" ref="FV113" si="1230">SUM(EJ113:EK113,EW113,FE113,FM113,FU113)</f>
        <v>0</v>
      </c>
      <c r="FW113" s="120"/>
      <c r="FX113" s="120"/>
      <c r="FY113" s="120"/>
      <c r="FZ113" s="120"/>
      <c r="GA113" s="120"/>
      <c r="GB113" s="209"/>
      <c r="GC113" s="205"/>
      <c r="GD113" s="205">
        <f t="shared" ref="GD113" si="1231">SUM(FW113:GC113)</f>
        <v>0</v>
      </c>
      <c r="GE113" s="120"/>
      <c r="GF113" s="120"/>
      <c r="GG113" s="120"/>
      <c r="GH113" s="120"/>
      <c r="GI113" s="120"/>
      <c r="GJ113" s="209"/>
      <c r="GK113" s="205"/>
      <c r="GL113" s="205">
        <f t="shared" ref="GL113" si="1232">SUM(GE113:GK113)</f>
        <v>0</v>
      </c>
      <c r="GM113" s="120"/>
      <c r="GN113" s="120"/>
      <c r="GO113" s="120"/>
      <c r="GP113" s="120"/>
      <c r="GQ113" s="120"/>
      <c r="GR113" s="209"/>
      <c r="GS113" s="205"/>
      <c r="GT113" s="205">
        <f t="shared" ref="GT113" si="1233">SUM(GM113:GS113)</f>
        <v>0</v>
      </c>
      <c r="GU113" s="120"/>
      <c r="GV113" s="120"/>
      <c r="GW113" s="120"/>
      <c r="GX113" s="120"/>
      <c r="GY113" s="120"/>
      <c r="GZ113" s="209"/>
      <c r="HA113" s="205"/>
      <c r="HB113" s="205">
        <f t="shared" ref="HB113" si="1234">SUM(GU113:HA113)</f>
        <v>0</v>
      </c>
      <c r="HC113" s="120"/>
      <c r="HD113" s="120"/>
      <c r="HE113" s="120"/>
      <c r="HF113" s="120"/>
      <c r="HG113" s="120"/>
      <c r="HH113" s="209"/>
      <c r="HI113" s="205"/>
      <c r="HJ113" s="205">
        <f t="shared" ref="HJ113" si="1235">SUM(HC113:HI113)</f>
        <v>0</v>
      </c>
      <c r="HK113" s="205">
        <f t="shared" ref="HK113" si="1236">SUM(GD113,GL113,GT113,HB113,HC113)</f>
        <v>0</v>
      </c>
      <c r="HL113" s="124"/>
      <c r="HM113" s="120"/>
      <c r="HN113" s="120"/>
      <c r="HO113" s="120"/>
      <c r="HP113" s="120"/>
      <c r="HQ113" s="205"/>
      <c r="HR113" s="205"/>
      <c r="HS113" s="205">
        <f t="shared" si="934"/>
        <v>0</v>
      </c>
      <c r="HT113" s="120"/>
      <c r="HU113" s="120"/>
      <c r="HV113" s="120"/>
      <c r="HW113" s="120"/>
      <c r="HX113" s="120"/>
      <c r="HY113" s="205"/>
      <c r="HZ113" s="205"/>
      <c r="IA113" s="205">
        <f t="shared" si="935"/>
        <v>0</v>
      </c>
      <c r="IB113" s="120"/>
      <c r="IC113" s="120"/>
      <c r="ID113" s="120"/>
      <c r="IE113" s="120"/>
      <c r="IF113" s="120"/>
      <c r="IG113" s="205"/>
      <c r="IH113" s="205"/>
      <c r="II113" s="205">
        <f t="shared" si="936"/>
        <v>0</v>
      </c>
      <c r="IJ113" s="120"/>
      <c r="IK113" s="120"/>
      <c r="IL113" s="120"/>
      <c r="IM113" s="120"/>
      <c r="IN113" s="120"/>
      <c r="IO113" s="205"/>
      <c r="IP113" s="205"/>
      <c r="IQ113" s="205">
        <f t="shared" si="937"/>
        <v>0</v>
      </c>
      <c r="IR113" s="205">
        <f t="shared" si="938"/>
        <v>0</v>
      </c>
      <c r="IS113" s="120"/>
      <c r="IT113" s="120"/>
      <c r="IU113" s="120"/>
      <c r="IV113" s="120"/>
      <c r="IW113" s="120"/>
      <c r="IX113" s="205"/>
      <c r="IY113" s="205"/>
      <c r="IZ113" s="205">
        <f t="shared" si="939"/>
        <v>0</v>
      </c>
      <c r="JA113" s="120"/>
      <c r="JB113" s="120"/>
      <c r="JC113" s="120"/>
      <c r="JD113" s="120"/>
      <c r="JE113" s="120"/>
      <c r="JF113" s="205"/>
      <c r="JG113" s="205"/>
      <c r="JH113" s="205">
        <f t="shared" si="940"/>
        <v>0</v>
      </c>
      <c r="JI113" s="120"/>
      <c r="JJ113" s="120"/>
      <c r="JK113" s="120"/>
      <c r="JL113" s="124">
        <v>60</v>
      </c>
      <c r="JM113" s="120"/>
      <c r="JN113" s="205"/>
      <c r="JO113" s="205"/>
      <c r="JP113" s="205">
        <f t="shared" si="941"/>
        <v>60</v>
      </c>
      <c r="JQ113" s="120"/>
      <c r="JR113" s="120"/>
      <c r="JS113" s="120"/>
      <c r="JT113" s="120"/>
      <c r="JU113" s="120"/>
      <c r="JV113" s="205"/>
      <c r="JW113" s="205"/>
      <c r="JX113" s="205">
        <f t="shared" si="942"/>
        <v>0</v>
      </c>
      <c r="JY113" s="205">
        <f t="shared" si="943"/>
        <v>60</v>
      </c>
      <c r="JZ113" s="120"/>
      <c r="KA113" s="120"/>
      <c r="KB113" s="120"/>
      <c r="KC113" s="120"/>
      <c r="KD113" s="120"/>
      <c r="KE113" s="205"/>
      <c r="KF113" s="205"/>
      <c r="KG113" s="205">
        <f t="shared" si="944"/>
        <v>0</v>
      </c>
      <c r="KH113" s="120"/>
      <c r="KI113" s="120"/>
      <c r="KJ113" s="120"/>
      <c r="KK113" s="120"/>
      <c r="KL113" s="120"/>
      <c r="KM113" s="205"/>
      <c r="KN113" s="205"/>
      <c r="KO113" s="205">
        <f t="shared" si="945"/>
        <v>0</v>
      </c>
      <c r="KP113" s="120"/>
      <c r="KQ113" s="120"/>
      <c r="KR113" s="120"/>
      <c r="KS113" s="120"/>
      <c r="KT113" s="120"/>
      <c r="KU113" s="205"/>
      <c r="KV113" s="205"/>
      <c r="KW113" s="205">
        <f t="shared" si="946"/>
        <v>0</v>
      </c>
      <c r="KX113" s="120"/>
      <c r="KY113" s="120"/>
      <c r="KZ113" s="120"/>
      <c r="LA113" s="120"/>
      <c r="LB113" s="120"/>
      <c r="LC113" s="205"/>
      <c r="LD113" s="205"/>
      <c r="LE113" s="205">
        <f t="shared" si="947"/>
        <v>0</v>
      </c>
      <c r="LF113" s="205"/>
      <c r="LG113" s="120"/>
      <c r="LH113" s="120"/>
      <c r="LI113" s="120"/>
      <c r="LJ113" s="120"/>
      <c r="LK113" s="205"/>
      <c r="LL113" s="205"/>
      <c r="LM113" s="205">
        <f t="shared" si="948"/>
        <v>0</v>
      </c>
      <c r="LN113" s="205">
        <f t="shared" si="949"/>
        <v>0</v>
      </c>
      <c r="LO113" s="205"/>
      <c r="LP113" s="195">
        <v>180</v>
      </c>
      <c r="LQ113" s="120"/>
      <c r="LR113" s="120"/>
      <c r="LS113" s="205"/>
      <c r="LT113" s="205"/>
      <c r="LU113" s="205"/>
      <c r="LV113" s="205">
        <f t="shared" si="950"/>
        <v>180</v>
      </c>
      <c r="LW113" s="120"/>
      <c r="LX113" s="120"/>
      <c r="LY113" s="120"/>
      <c r="LZ113" s="120"/>
      <c r="MA113" s="120"/>
      <c r="MB113" s="205"/>
      <c r="MC113" s="205"/>
      <c r="MD113" s="205">
        <f t="shared" si="951"/>
        <v>0</v>
      </c>
      <c r="ME113" s="120"/>
      <c r="MF113" s="120"/>
      <c r="MG113" s="120"/>
      <c r="MH113" s="120"/>
      <c r="MI113" s="205"/>
      <c r="MJ113" s="205"/>
      <c r="MK113" s="205"/>
      <c r="ML113" s="205">
        <f t="shared" si="952"/>
        <v>0</v>
      </c>
      <c r="MM113" s="120"/>
      <c r="MN113" s="120"/>
      <c r="MO113" s="120"/>
      <c r="MP113" s="120"/>
      <c r="MQ113" s="120"/>
      <c r="MR113" s="205"/>
      <c r="MS113" s="205"/>
      <c r="MT113" s="205">
        <f t="shared" si="953"/>
        <v>0</v>
      </c>
      <c r="MU113" s="205">
        <f t="shared" si="954"/>
        <v>180</v>
      </c>
      <c r="MV113" s="120"/>
      <c r="MW113" s="120"/>
      <c r="MX113" s="120"/>
      <c r="MY113" s="120"/>
      <c r="MZ113" s="120"/>
      <c r="NA113" s="205"/>
      <c r="NB113" s="205"/>
      <c r="NC113" s="205">
        <f t="shared" si="880"/>
        <v>0</v>
      </c>
      <c r="ND113" s="120"/>
      <c r="NE113" s="120"/>
      <c r="NF113" s="120"/>
      <c r="NG113" s="120"/>
      <c r="NH113" s="120"/>
      <c r="NI113" s="205"/>
      <c r="NJ113" s="205"/>
      <c r="NK113" s="205">
        <f t="shared" si="881"/>
        <v>0</v>
      </c>
      <c r="NL113" s="120"/>
      <c r="NM113" s="120"/>
      <c r="NN113" s="120"/>
      <c r="NO113" s="120"/>
      <c r="NP113" s="120"/>
      <c r="NQ113" s="205"/>
      <c r="NR113" s="205"/>
      <c r="NS113" s="205">
        <f t="shared" si="882"/>
        <v>0</v>
      </c>
      <c r="NT113" s="120"/>
      <c r="NU113" s="120"/>
      <c r="NV113" s="120"/>
      <c r="NW113" s="120"/>
      <c r="NX113" s="120"/>
      <c r="NY113" s="205"/>
      <c r="NZ113" s="205"/>
      <c r="OA113" s="205">
        <f t="shared" si="883"/>
        <v>0</v>
      </c>
      <c r="OB113" s="205">
        <f t="shared" si="884"/>
        <v>0</v>
      </c>
      <c r="OC113" s="120"/>
      <c r="OD113" s="120"/>
      <c r="OE113" s="120"/>
      <c r="OF113" s="120"/>
      <c r="OG113" s="120"/>
      <c r="OH113" s="205"/>
      <c r="OI113" s="205"/>
      <c r="OJ113" s="205">
        <f t="shared" si="885"/>
        <v>0</v>
      </c>
      <c r="OK113" s="120"/>
      <c r="OL113" s="120"/>
      <c r="OM113" s="120"/>
      <c r="ON113" s="120"/>
      <c r="OO113" s="120"/>
      <c r="OP113" s="205"/>
      <c r="OQ113" s="205"/>
      <c r="OR113" s="205">
        <f t="shared" si="886"/>
        <v>0</v>
      </c>
      <c r="OS113" s="120"/>
      <c r="OT113" s="120"/>
      <c r="OU113" s="120"/>
      <c r="OV113" s="120"/>
      <c r="OW113" s="120"/>
      <c r="OX113" s="205"/>
      <c r="OY113" s="205"/>
      <c r="OZ113" s="205">
        <f t="shared" si="887"/>
        <v>0</v>
      </c>
      <c r="PA113" s="120"/>
      <c r="PB113" s="120"/>
      <c r="PC113" s="120"/>
      <c r="PD113" s="205"/>
      <c r="PE113" s="217"/>
      <c r="PF113" s="205"/>
      <c r="PG113" s="205"/>
      <c r="PH113" s="205">
        <f t="shared" si="888"/>
        <v>0</v>
      </c>
      <c r="PI113" s="120"/>
      <c r="PJ113" s="120"/>
      <c r="PK113" s="120"/>
      <c r="PL113" s="205"/>
      <c r="PM113" s="217"/>
      <c r="PN113" s="205"/>
      <c r="PO113" s="205"/>
      <c r="PP113" s="205">
        <f t="shared" si="889"/>
        <v>0</v>
      </c>
      <c r="PQ113" s="205">
        <f t="shared" si="890"/>
        <v>0</v>
      </c>
      <c r="PR113" s="124">
        <v>72</v>
      </c>
      <c r="PS113" s="207"/>
      <c r="PT113" s="207"/>
      <c r="PU113" s="207"/>
      <c r="PV113" s="207"/>
      <c r="PW113" s="272"/>
      <c r="PX113" s="272"/>
      <c r="PY113" s="205">
        <f t="shared" si="891"/>
        <v>72</v>
      </c>
      <c r="PZ113" s="207"/>
      <c r="QA113" s="207"/>
      <c r="QB113" s="207"/>
      <c r="QC113" s="195">
        <v>60</v>
      </c>
      <c r="QD113" s="207"/>
      <c r="QE113" s="272"/>
      <c r="QF113" s="272"/>
      <c r="QG113" s="205">
        <f t="shared" si="892"/>
        <v>60</v>
      </c>
      <c r="QH113" s="207"/>
      <c r="QI113" s="207"/>
      <c r="QJ113" s="294"/>
      <c r="QK113" s="207"/>
      <c r="QL113" s="207"/>
      <c r="QM113" s="272"/>
      <c r="QN113" s="272"/>
      <c r="QO113" s="205">
        <f t="shared" si="893"/>
        <v>0</v>
      </c>
      <c r="QP113" s="207"/>
      <c r="QQ113" s="207"/>
      <c r="QR113" s="207"/>
      <c r="QS113" s="207"/>
      <c r="QT113" s="207"/>
      <c r="QU113" s="272"/>
      <c r="QV113" s="272"/>
      <c r="QW113" s="205">
        <f t="shared" si="894"/>
        <v>0</v>
      </c>
      <c r="QX113" s="205">
        <f t="shared" si="895"/>
        <v>132</v>
      </c>
      <c r="QY113" s="207"/>
      <c r="QZ113" s="207"/>
      <c r="RA113" s="207"/>
      <c r="RB113" s="207"/>
      <c r="RC113" s="207"/>
      <c r="RD113" s="272"/>
      <c r="RE113" s="272"/>
      <c r="RF113" s="205">
        <f t="shared" si="896"/>
        <v>0</v>
      </c>
      <c r="RG113" s="207"/>
      <c r="RH113" s="207"/>
      <c r="RI113" s="207"/>
      <c r="RJ113" s="207"/>
      <c r="RK113" s="207"/>
      <c r="RL113" s="272"/>
      <c r="RM113" s="272"/>
      <c r="RN113" s="205">
        <f t="shared" si="897"/>
        <v>0</v>
      </c>
      <c r="RO113" s="272"/>
      <c r="RP113" s="272"/>
      <c r="RQ113" s="272"/>
      <c r="RR113" s="272"/>
      <c r="RS113" s="272"/>
      <c r="RT113" s="272"/>
      <c r="RU113" s="272"/>
      <c r="RV113" s="205">
        <f t="shared" si="898"/>
        <v>0</v>
      </c>
      <c r="RW113" s="207"/>
      <c r="RX113" s="207"/>
      <c r="RY113" s="207"/>
      <c r="RZ113" s="207"/>
      <c r="SA113" s="272"/>
      <c r="SB113" s="272"/>
      <c r="SC113" s="272"/>
      <c r="SD113" s="205">
        <f t="shared" si="899"/>
        <v>0</v>
      </c>
      <c r="SE113" s="205">
        <f t="shared" si="900"/>
        <v>0</v>
      </c>
      <c r="SF113" s="207"/>
      <c r="SG113" s="207"/>
      <c r="SH113" s="207"/>
      <c r="SI113" s="207"/>
      <c r="SJ113" s="207"/>
      <c r="SK113" s="272"/>
      <c r="SL113" s="272"/>
      <c r="SM113" s="205">
        <f t="shared" si="901"/>
        <v>0</v>
      </c>
      <c r="SN113" s="207"/>
      <c r="SO113" s="207"/>
      <c r="SP113" s="207"/>
      <c r="SQ113" s="207"/>
      <c r="SR113" s="207"/>
      <c r="SS113" s="272"/>
      <c r="ST113" s="272"/>
      <c r="SU113" s="205">
        <f t="shared" si="902"/>
        <v>0</v>
      </c>
      <c r="SV113" s="207"/>
      <c r="SW113" s="207"/>
      <c r="SX113" s="207"/>
      <c r="SY113" s="207"/>
      <c r="SZ113" s="207"/>
      <c r="TA113" s="272"/>
      <c r="TB113" s="272"/>
      <c r="TC113" s="205">
        <f t="shared" si="903"/>
        <v>0</v>
      </c>
      <c r="TD113" s="207"/>
      <c r="TE113" s="207"/>
      <c r="TF113" s="207"/>
      <c r="TG113" s="207"/>
      <c r="TH113" s="207"/>
      <c r="TI113" s="272"/>
      <c r="TJ113" s="272"/>
      <c r="TK113" s="205">
        <f t="shared" si="904"/>
        <v>0</v>
      </c>
      <c r="TL113" s="207"/>
      <c r="TM113" s="207"/>
      <c r="TN113" s="207"/>
      <c r="TO113" s="207"/>
      <c r="TP113" s="272"/>
      <c r="TQ113" s="272"/>
      <c r="TR113" s="272"/>
      <c r="TS113" s="205">
        <f t="shared" si="905"/>
        <v>0</v>
      </c>
      <c r="TT113" s="205">
        <f t="shared" si="906"/>
        <v>0</v>
      </c>
      <c r="TU113" s="272"/>
      <c r="TV113" s="207"/>
      <c r="TW113" s="207"/>
      <c r="TX113" s="207"/>
      <c r="TY113" s="207"/>
      <c r="TZ113" s="272"/>
      <c r="UA113" s="272"/>
      <c r="UB113" s="205">
        <f t="shared" si="907"/>
        <v>0</v>
      </c>
      <c r="UC113" s="207"/>
      <c r="UD113" s="207"/>
      <c r="UE113" s="207"/>
      <c r="UF113" s="207"/>
      <c r="UG113" s="217">
        <v>60</v>
      </c>
      <c r="UH113" s="272"/>
      <c r="UI113" s="272"/>
      <c r="UJ113" s="205">
        <f t="shared" si="908"/>
        <v>60</v>
      </c>
      <c r="UK113" s="207"/>
      <c r="UL113" s="207"/>
      <c r="UM113" s="207"/>
      <c r="UN113" s="207"/>
      <c r="UO113" s="207"/>
      <c r="UP113" s="272"/>
      <c r="UQ113" s="272"/>
      <c r="UR113" s="205">
        <f t="shared" si="909"/>
        <v>0</v>
      </c>
      <c r="US113" s="207"/>
      <c r="UT113" s="207"/>
      <c r="UU113" s="207"/>
      <c r="UV113" s="207"/>
      <c r="UW113" s="272"/>
      <c r="UX113" s="272"/>
      <c r="UY113" s="272"/>
      <c r="UZ113" s="205">
        <f t="shared" si="910"/>
        <v>0</v>
      </c>
      <c r="VA113" s="205">
        <f t="shared" si="911"/>
        <v>60</v>
      </c>
      <c r="VB113" s="207"/>
      <c r="VC113" s="207"/>
      <c r="VD113" s="207"/>
      <c r="VE113" s="207"/>
      <c r="VF113" s="207"/>
      <c r="VG113" s="272"/>
      <c r="VH113" s="272"/>
      <c r="VI113" s="205">
        <f t="shared" si="912"/>
        <v>0</v>
      </c>
      <c r="VJ113" s="207"/>
      <c r="VK113" s="207"/>
      <c r="VL113" s="207"/>
      <c r="VM113" s="207"/>
      <c r="VN113" s="207"/>
      <c r="VO113" s="272"/>
      <c r="VP113" s="272"/>
      <c r="VQ113" s="205">
        <f t="shared" si="913"/>
        <v>0</v>
      </c>
      <c r="VR113" s="207"/>
      <c r="VS113" s="207"/>
      <c r="VT113" s="207"/>
      <c r="VU113" s="207"/>
      <c r="VV113" s="207"/>
      <c r="VW113" s="272"/>
      <c r="VX113" s="272"/>
      <c r="VY113" s="205">
        <f t="shared" si="914"/>
        <v>0</v>
      </c>
      <c r="VZ113" s="207"/>
      <c r="WA113" s="207"/>
      <c r="WB113" s="207"/>
      <c r="WC113" s="207"/>
      <c r="WD113" s="207"/>
      <c r="WE113" s="272"/>
      <c r="WF113" s="272"/>
      <c r="WG113" s="205">
        <f t="shared" si="915"/>
        <v>0</v>
      </c>
      <c r="WH113" s="205">
        <f t="shared" si="916"/>
        <v>0</v>
      </c>
      <c r="WI113" s="207"/>
      <c r="WJ113" s="207"/>
      <c r="WK113" s="207"/>
      <c r="WL113" s="207"/>
      <c r="WM113" s="207"/>
      <c r="WN113" s="272"/>
      <c r="WO113" s="272"/>
      <c r="WP113" s="205">
        <f t="shared" si="917"/>
        <v>0</v>
      </c>
      <c r="WQ113" s="207"/>
      <c r="WR113" s="207"/>
      <c r="WS113" s="207"/>
      <c r="WT113" s="207"/>
      <c r="WU113" s="207"/>
      <c r="WV113" s="272"/>
      <c r="WW113" s="272"/>
      <c r="WX113" s="205">
        <f t="shared" si="918"/>
        <v>0</v>
      </c>
      <c r="WY113" s="207"/>
      <c r="WZ113" s="207"/>
      <c r="XA113" s="207"/>
      <c r="XB113" s="207"/>
      <c r="XC113" s="272"/>
      <c r="XD113" s="272"/>
      <c r="XE113" s="272"/>
      <c r="XF113" s="205">
        <f t="shared" si="919"/>
        <v>0</v>
      </c>
      <c r="XG113" s="207"/>
      <c r="XH113" s="207"/>
      <c r="XI113" s="207"/>
      <c r="XJ113" s="207"/>
      <c r="XK113" s="207"/>
      <c r="XL113" s="272"/>
      <c r="XM113" s="272"/>
      <c r="XN113" s="205">
        <f t="shared" si="920"/>
        <v>0</v>
      </c>
      <c r="XO113" s="207"/>
      <c r="XP113" s="207"/>
      <c r="XQ113" s="207"/>
      <c r="XR113" s="207"/>
      <c r="XS113" s="207"/>
      <c r="XT113" s="272"/>
      <c r="XU113" s="272"/>
      <c r="XV113" s="205">
        <f t="shared" si="921"/>
        <v>0</v>
      </c>
      <c r="XW113" s="205">
        <f t="shared" si="922"/>
        <v>0</v>
      </c>
      <c r="XX113" s="207"/>
      <c r="XY113" s="207"/>
      <c r="XZ113" s="207"/>
      <c r="YA113" s="207"/>
      <c r="YB113" s="207"/>
      <c r="YC113" s="272"/>
      <c r="YD113" s="272"/>
      <c r="YE113" s="205">
        <f t="shared" si="923"/>
        <v>0</v>
      </c>
      <c r="YF113" s="207"/>
      <c r="YG113" s="207"/>
      <c r="YH113" s="207"/>
      <c r="YI113" s="207"/>
      <c r="YJ113" s="207"/>
      <c r="YK113" s="272"/>
      <c r="YL113" s="272"/>
      <c r="YM113" s="205">
        <f t="shared" si="924"/>
        <v>0</v>
      </c>
      <c r="YN113" s="207"/>
      <c r="YO113" s="207"/>
      <c r="YP113" s="207"/>
      <c r="YQ113" s="207"/>
      <c r="YR113" s="207"/>
      <c r="YS113" s="272"/>
      <c r="YT113" s="272"/>
      <c r="YU113" s="205">
        <f t="shared" si="925"/>
        <v>0</v>
      </c>
      <c r="YV113" s="207"/>
      <c r="YW113" s="207"/>
      <c r="YX113" s="207"/>
      <c r="YY113" s="207"/>
      <c r="YZ113" s="207"/>
      <c r="ZA113" s="272"/>
      <c r="ZB113" s="272"/>
      <c r="ZC113" s="205">
        <f t="shared" si="926"/>
        <v>0</v>
      </c>
      <c r="ZD113" s="205">
        <f t="shared" si="927"/>
        <v>0</v>
      </c>
      <c r="ZE113" s="207"/>
      <c r="ZF113" s="207"/>
      <c r="ZG113" s="207"/>
      <c r="ZH113" s="207"/>
      <c r="ZI113" s="207"/>
      <c r="ZJ113" s="272"/>
      <c r="ZK113" s="272"/>
      <c r="ZL113" s="205">
        <f t="shared" si="928"/>
        <v>0</v>
      </c>
      <c r="ZM113" s="207"/>
      <c r="ZN113" s="207"/>
      <c r="ZO113" s="207"/>
      <c r="ZP113" s="207"/>
      <c r="ZQ113" s="207"/>
      <c r="ZR113" s="272"/>
      <c r="ZS113" s="272"/>
      <c r="ZT113" s="205">
        <f t="shared" si="929"/>
        <v>0</v>
      </c>
      <c r="ZU113" s="207"/>
      <c r="ZV113" s="207"/>
      <c r="ZW113" s="207"/>
      <c r="ZX113" s="207"/>
      <c r="ZY113" s="207"/>
      <c r="ZZ113" s="272"/>
      <c r="AAA113" s="272"/>
      <c r="AAB113" s="205">
        <f t="shared" si="930"/>
        <v>0</v>
      </c>
      <c r="AAC113" s="207"/>
      <c r="AAD113" s="207"/>
      <c r="AAE113" s="207"/>
      <c r="AAF113" s="207"/>
      <c r="AAG113" s="207"/>
      <c r="AAH113" s="272"/>
      <c r="AAI113" s="272"/>
      <c r="AAJ113" s="205">
        <f t="shared" si="931"/>
        <v>0</v>
      </c>
      <c r="AAK113" s="207"/>
      <c r="AAL113" s="207"/>
      <c r="AAM113" s="207"/>
      <c r="AAN113" s="207"/>
      <c r="AAO113" s="207"/>
      <c r="AAP113" s="272"/>
      <c r="AAQ113" s="272"/>
      <c r="AAR113" s="205">
        <f t="shared" si="932"/>
        <v>0</v>
      </c>
      <c r="AAS113" s="205">
        <f t="shared" si="933"/>
        <v>0</v>
      </c>
    </row>
    <row r="114" spans="2:777" ht="69.95" customHeight="1">
      <c r="B114" s="151">
        <v>3630101479</v>
      </c>
      <c r="C114" s="323" t="s">
        <v>741</v>
      </c>
      <c r="D114" s="152" t="s">
        <v>582</v>
      </c>
      <c r="E114" s="130" t="s">
        <v>4</v>
      </c>
      <c r="F114" s="120"/>
      <c r="G114" s="120"/>
      <c r="H114" s="120"/>
      <c r="I114" s="120"/>
      <c r="J114" s="120"/>
      <c r="K114" s="209"/>
      <c r="L114" s="205"/>
      <c r="M114" s="205">
        <f t="shared" si="1048"/>
        <v>0</v>
      </c>
      <c r="N114" s="120"/>
      <c r="O114" s="120"/>
      <c r="P114" s="120"/>
      <c r="Q114" s="120"/>
      <c r="R114" s="120"/>
      <c r="S114" s="209"/>
      <c r="T114" s="205"/>
      <c r="U114" s="205">
        <f t="shared" si="1049"/>
        <v>0</v>
      </c>
      <c r="V114" s="120"/>
      <c r="W114" s="120"/>
      <c r="X114" s="120"/>
      <c r="Y114" s="120"/>
      <c r="Z114" s="120"/>
      <c r="AA114" s="209"/>
      <c r="AB114" s="205"/>
      <c r="AC114" s="205">
        <f t="shared" si="1050"/>
        <v>0</v>
      </c>
      <c r="AD114" s="205"/>
      <c r="AE114" s="205"/>
      <c r="AF114" s="205"/>
      <c r="AG114" s="205"/>
      <c r="AH114" s="205"/>
      <c r="AI114" s="209"/>
      <c r="AJ114" s="205"/>
      <c r="AK114" s="205">
        <f t="shared" si="1051"/>
        <v>0</v>
      </c>
      <c r="AL114" s="205" t="e">
        <f>SUM(#REF!,M114,U114,AC114,AD114:AH114)</f>
        <v>#REF!</v>
      </c>
      <c r="AM114" s="120"/>
      <c r="AN114" s="120"/>
      <c r="AO114" s="120"/>
      <c r="AP114" s="120"/>
      <c r="AQ114" s="120"/>
      <c r="AR114" s="209"/>
      <c r="AS114" s="205"/>
      <c r="AT114" s="205">
        <f t="shared" si="1052"/>
        <v>0</v>
      </c>
      <c r="AU114" s="120"/>
      <c r="AV114" s="120"/>
      <c r="AW114" s="120"/>
      <c r="AX114" s="120"/>
      <c r="AY114" s="120"/>
      <c r="AZ114" s="209"/>
      <c r="BA114" s="205"/>
      <c r="BB114" s="205">
        <f t="shared" si="1053"/>
        <v>0</v>
      </c>
      <c r="BC114" s="120"/>
      <c r="BD114" s="120"/>
      <c r="BE114" s="120"/>
      <c r="BF114" s="120"/>
      <c r="BG114" s="120"/>
      <c r="BH114" s="209"/>
      <c r="BI114" s="205"/>
      <c r="BJ114" s="205">
        <f t="shared" si="1054"/>
        <v>0</v>
      </c>
      <c r="BK114" s="250">
        <v>300</v>
      </c>
      <c r="BL114" s="120"/>
      <c r="BM114" s="120"/>
      <c r="BN114" s="120"/>
      <c r="BO114" s="205"/>
      <c r="BP114" s="209"/>
      <c r="BQ114" s="205"/>
      <c r="BR114" s="205">
        <f t="shared" si="1055"/>
        <v>300</v>
      </c>
      <c r="BS114" s="205">
        <f t="shared" si="832"/>
        <v>300</v>
      </c>
      <c r="BT114" s="120"/>
      <c r="BU114" s="120"/>
      <c r="BV114" s="120"/>
      <c r="BW114" s="120"/>
      <c r="BX114" s="120"/>
      <c r="BY114" s="209"/>
      <c r="BZ114" s="205"/>
      <c r="CA114" s="205">
        <f t="shared" si="1056"/>
        <v>0</v>
      </c>
      <c r="CB114" s="120"/>
      <c r="CC114" s="120"/>
      <c r="CD114" s="120"/>
      <c r="CE114" s="120"/>
      <c r="CF114" s="120"/>
      <c r="CG114" s="209"/>
      <c r="CH114" s="205"/>
      <c r="CI114" s="205">
        <f t="shared" si="1057"/>
        <v>0</v>
      </c>
      <c r="CJ114" s="120"/>
      <c r="CK114" s="195">
        <v>300</v>
      </c>
      <c r="CL114" s="120"/>
      <c r="CM114" s="120"/>
      <c r="CN114" s="120"/>
      <c r="CO114" s="209"/>
      <c r="CP114" s="205"/>
      <c r="CQ114" s="205">
        <f t="shared" si="1058"/>
        <v>300</v>
      </c>
      <c r="CR114" s="120"/>
      <c r="CS114" s="120"/>
      <c r="CT114" s="120"/>
      <c r="CU114" s="120"/>
      <c r="CV114" s="120"/>
      <c r="CW114" s="209"/>
      <c r="CX114" s="205"/>
      <c r="CY114" s="205">
        <f t="shared" si="1059"/>
        <v>0</v>
      </c>
      <c r="CZ114" s="120"/>
      <c r="DA114" s="120"/>
      <c r="DB114" s="120"/>
      <c r="DC114" s="205"/>
      <c r="DD114" s="205"/>
      <c r="DE114" s="209"/>
      <c r="DF114" s="205"/>
      <c r="DG114" s="205">
        <f t="shared" si="1060"/>
        <v>0</v>
      </c>
      <c r="DH114" s="205">
        <f t="shared" si="838"/>
        <v>300</v>
      </c>
      <c r="DI114" s="120"/>
      <c r="DJ114" s="120"/>
      <c r="DK114" s="120"/>
      <c r="DL114" s="120"/>
      <c r="DM114" s="120"/>
      <c r="DN114" s="209"/>
      <c r="DO114" s="205"/>
      <c r="DP114" s="205">
        <f t="shared" si="839"/>
        <v>0</v>
      </c>
      <c r="DQ114" s="120"/>
      <c r="DR114" s="120"/>
      <c r="DS114" s="120"/>
      <c r="DT114" s="120"/>
      <c r="DU114" s="250">
        <v>500</v>
      </c>
      <c r="DV114" s="209"/>
      <c r="DW114" s="205"/>
      <c r="DX114" s="205">
        <f t="shared" si="840"/>
        <v>500</v>
      </c>
      <c r="DY114" s="120"/>
      <c r="DZ114" s="120"/>
      <c r="EA114" s="120"/>
      <c r="EB114" s="120"/>
      <c r="EC114" s="120"/>
      <c r="ED114" s="209"/>
      <c r="EE114" s="205"/>
      <c r="EF114" s="205">
        <f t="shared" si="841"/>
        <v>0</v>
      </c>
      <c r="EG114" s="120"/>
      <c r="EH114" s="120"/>
      <c r="EI114" s="120"/>
      <c r="EJ114" s="205"/>
      <c r="EK114" s="205"/>
      <c r="EL114" s="209"/>
      <c r="EM114" s="205"/>
      <c r="EN114" s="205">
        <f t="shared" si="842"/>
        <v>0</v>
      </c>
      <c r="EO114" s="205">
        <f t="shared" si="843"/>
        <v>500</v>
      </c>
      <c r="EP114" s="250">
        <v>300</v>
      </c>
      <c r="EQ114" s="120"/>
      <c r="ER114" s="120"/>
      <c r="ES114" s="120"/>
      <c r="ET114" s="120"/>
      <c r="EU114" s="209"/>
      <c r="EV114" s="205"/>
      <c r="EW114" s="205">
        <f t="shared" si="844"/>
        <v>300</v>
      </c>
      <c r="EX114" s="120"/>
      <c r="EY114" s="120"/>
      <c r="EZ114" s="120"/>
      <c r="FA114" s="120"/>
      <c r="FB114" s="120"/>
      <c r="FC114" s="209"/>
      <c r="FD114" s="205"/>
      <c r="FE114" s="205">
        <f t="shared" si="845"/>
        <v>0</v>
      </c>
      <c r="FF114" s="120"/>
      <c r="FG114" s="120"/>
      <c r="FH114" s="120"/>
      <c r="FI114" s="120"/>
      <c r="FJ114" s="120"/>
      <c r="FK114" s="209"/>
      <c r="FL114" s="205"/>
      <c r="FM114" s="205">
        <f t="shared" si="846"/>
        <v>0</v>
      </c>
      <c r="FN114" s="120"/>
      <c r="FO114" s="120"/>
      <c r="FP114" s="120"/>
      <c r="FQ114" s="120"/>
      <c r="FR114" s="205"/>
      <c r="FS114" s="209"/>
      <c r="FT114" s="205"/>
      <c r="FU114" s="205">
        <f t="shared" si="847"/>
        <v>0</v>
      </c>
      <c r="FV114" s="205">
        <f t="shared" si="848"/>
        <v>300</v>
      </c>
      <c r="FW114" s="120"/>
      <c r="FX114" s="120"/>
      <c r="FY114" s="120"/>
      <c r="FZ114" s="120"/>
      <c r="GA114" s="120"/>
      <c r="GB114" s="209"/>
      <c r="GC114" s="205"/>
      <c r="GD114" s="205">
        <f t="shared" si="849"/>
        <v>0</v>
      </c>
      <c r="GE114" s="120"/>
      <c r="GF114" s="120"/>
      <c r="GG114" s="250">
        <v>500</v>
      </c>
      <c r="GH114" s="120"/>
      <c r="GI114" s="120"/>
      <c r="GJ114" s="209"/>
      <c r="GK114" s="205"/>
      <c r="GL114" s="205">
        <f t="shared" si="850"/>
        <v>500</v>
      </c>
      <c r="GM114" s="120"/>
      <c r="GN114" s="120"/>
      <c r="GO114" s="120"/>
      <c r="GP114" s="120"/>
      <c r="GQ114" s="120"/>
      <c r="GR114" s="209"/>
      <c r="GS114" s="205"/>
      <c r="GT114" s="205">
        <f t="shared" si="851"/>
        <v>0</v>
      </c>
      <c r="GU114" s="120"/>
      <c r="GV114" s="120"/>
      <c r="GW114" s="120"/>
      <c r="GX114" s="120"/>
      <c r="GY114" s="120"/>
      <c r="GZ114" s="209"/>
      <c r="HA114" s="205"/>
      <c r="HB114" s="205">
        <f t="shared" si="852"/>
        <v>0</v>
      </c>
      <c r="HC114" s="120"/>
      <c r="HD114" s="120"/>
      <c r="HE114" s="120"/>
      <c r="HF114" s="195">
        <v>540</v>
      </c>
      <c r="HG114" s="120"/>
      <c r="HH114" s="209"/>
      <c r="HI114" s="205"/>
      <c r="HJ114" s="205">
        <f t="shared" si="853"/>
        <v>540</v>
      </c>
      <c r="HK114" s="205">
        <f t="shared" si="854"/>
        <v>500</v>
      </c>
      <c r="HL114" s="124"/>
      <c r="HM114" s="120"/>
      <c r="HN114" s="120"/>
      <c r="HO114" s="120"/>
      <c r="HP114" s="120"/>
      <c r="HQ114" s="205"/>
      <c r="HR114" s="205"/>
      <c r="HS114" s="205">
        <f t="shared" si="934"/>
        <v>0</v>
      </c>
      <c r="HT114" s="120"/>
      <c r="HU114" s="120"/>
      <c r="HV114" s="120"/>
      <c r="HW114" s="120"/>
      <c r="HX114" s="120"/>
      <c r="HY114" s="205"/>
      <c r="HZ114" s="205"/>
      <c r="IA114" s="205">
        <f t="shared" si="935"/>
        <v>0</v>
      </c>
      <c r="IB114" s="120"/>
      <c r="IC114" s="120"/>
      <c r="ID114" s="120"/>
      <c r="IE114" s="120"/>
      <c r="IF114" s="120"/>
      <c r="IG114" s="205"/>
      <c r="IH114" s="205"/>
      <c r="II114" s="205">
        <f t="shared" si="936"/>
        <v>0</v>
      </c>
      <c r="IJ114" s="120"/>
      <c r="IK114" s="120"/>
      <c r="IL114" s="120"/>
      <c r="IM114" s="120"/>
      <c r="IN114" s="120"/>
      <c r="IO114" s="205"/>
      <c r="IP114" s="205"/>
      <c r="IQ114" s="205">
        <f t="shared" si="937"/>
        <v>0</v>
      </c>
      <c r="IR114" s="205">
        <f t="shared" si="938"/>
        <v>540</v>
      </c>
      <c r="IS114" s="120"/>
      <c r="IT114" s="120"/>
      <c r="IU114" s="120"/>
      <c r="IV114" s="120"/>
      <c r="IW114" s="120"/>
      <c r="IX114" s="205"/>
      <c r="IY114" s="205"/>
      <c r="IZ114" s="205">
        <f t="shared" si="939"/>
        <v>0</v>
      </c>
      <c r="JA114" s="120"/>
      <c r="JB114" s="120"/>
      <c r="JC114" s="120"/>
      <c r="JD114" s="120"/>
      <c r="JE114" s="120"/>
      <c r="JF114" s="205"/>
      <c r="JG114" s="205"/>
      <c r="JH114" s="205">
        <f t="shared" si="940"/>
        <v>0</v>
      </c>
      <c r="JI114" s="120"/>
      <c r="JJ114" s="120"/>
      <c r="JK114" s="120"/>
      <c r="JL114" s="124">
        <v>368</v>
      </c>
      <c r="JM114" s="120"/>
      <c r="JN114" s="205"/>
      <c r="JO114" s="205"/>
      <c r="JP114" s="205">
        <f t="shared" si="941"/>
        <v>368</v>
      </c>
      <c r="JQ114" s="120"/>
      <c r="JR114" s="120"/>
      <c r="JS114" s="120"/>
      <c r="JT114" s="120"/>
      <c r="JU114" s="120"/>
      <c r="JV114" s="205"/>
      <c r="JW114" s="205"/>
      <c r="JX114" s="205">
        <f t="shared" si="942"/>
        <v>0</v>
      </c>
      <c r="JY114" s="205">
        <f t="shared" si="943"/>
        <v>368</v>
      </c>
      <c r="JZ114" s="120"/>
      <c r="KA114" s="250">
        <v>800</v>
      </c>
      <c r="KB114" s="120"/>
      <c r="KC114" s="120"/>
      <c r="KD114" s="120"/>
      <c r="KE114" s="205"/>
      <c r="KF114" s="205"/>
      <c r="KG114" s="205">
        <f t="shared" si="944"/>
        <v>800</v>
      </c>
      <c r="KH114" s="120"/>
      <c r="KI114" s="120"/>
      <c r="KJ114" s="120"/>
      <c r="KK114" s="120"/>
      <c r="KL114" s="120"/>
      <c r="KM114" s="205"/>
      <c r="KN114" s="205"/>
      <c r="KO114" s="205">
        <f t="shared" si="945"/>
        <v>0</v>
      </c>
      <c r="KP114" s="120"/>
      <c r="KQ114" s="120"/>
      <c r="KR114" s="201">
        <v>500</v>
      </c>
      <c r="KS114" s="120"/>
      <c r="KT114" s="120"/>
      <c r="KU114" s="205"/>
      <c r="KV114" s="205"/>
      <c r="KW114" s="205">
        <f t="shared" si="946"/>
        <v>500</v>
      </c>
      <c r="KX114" s="120"/>
      <c r="KY114" s="120"/>
      <c r="KZ114" s="120"/>
      <c r="LA114" s="120"/>
      <c r="LB114" s="120"/>
      <c r="LC114" s="205"/>
      <c r="LD114" s="205"/>
      <c r="LE114" s="205">
        <f t="shared" si="947"/>
        <v>0</v>
      </c>
      <c r="LF114" s="205"/>
      <c r="LG114" s="120"/>
      <c r="LH114" s="120"/>
      <c r="LI114" s="120"/>
      <c r="LJ114" s="120"/>
      <c r="LK114" s="205"/>
      <c r="LL114" s="205"/>
      <c r="LM114" s="205">
        <f t="shared" si="948"/>
        <v>0</v>
      </c>
      <c r="LN114" s="205">
        <f t="shared" si="949"/>
        <v>1300</v>
      </c>
      <c r="LO114" s="205"/>
      <c r="LP114" s="120"/>
      <c r="LQ114" s="120"/>
      <c r="LR114" s="120"/>
      <c r="LS114" s="205"/>
      <c r="LT114" s="205"/>
      <c r="LU114" s="205"/>
      <c r="LV114" s="205">
        <f t="shared" si="950"/>
        <v>0</v>
      </c>
      <c r="LW114" s="120"/>
      <c r="LX114" s="120"/>
      <c r="LY114" s="120"/>
      <c r="LZ114" s="120"/>
      <c r="MA114" s="120"/>
      <c r="MB114" s="205"/>
      <c r="MC114" s="205"/>
      <c r="MD114" s="205">
        <f t="shared" si="951"/>
        <v>0</v>
      </c>
      <c r="ME114" s="120"/>
      <c r="MF114" s="120"/>
      <c r="MG114" s="201">
        <v>452</v>
      </c>
      <c r="MH114" s="120"/>
      <c r="MI114" s="205"/>
      <c r="MJ114" s="205"/>
      <c r="MK114" s="205"/>
      <c r="ML114" s="205">
        <f t="shared" si="952"/>
        <v>452</v>
      </c>
      <c r="MM114" s="120"/>
      <c r="MN114" s="120"/>
      <c r="MO114" s="120"/>
      <c r="MP114" s="120"/>
      <c r="MQ114" s="120"/>
      <c r="MR114" s="205"/>
      <c r="MS114" s="205"/>
      <c r="MT114" s="205">
        <f t="shared" si="953"/>
        <v>0</v>
      </c>
      <c r="MU114" s="205">
        <f t="shared" si="954"/>
        <v>452</v>
      </c>
      <c r="MV114" s="120"/>
      <c r="MW114" s="120"/>
      <c r="MX114" s="120"/>
      <c r="MY114" s="120"/>
      <c r="MZ114" s="120"/>
      <c r="NA114" s="205"/>
      <c r="NB114" s="205"/>
      <c r="NC114" s="205">
        <f t="shared" si="880"/>
        <v>0</v>
      </c>
      <c r="ND114" s="120"/>
      <c r="NE114" s="120"/>
      <c r="NF114" s="120"/>
      <c r="NG114" s="120"/>
      <c r="NH114" s="120"/>
      <c r="NI114" s="205"/>
      <c r="NJ114" s="205"/>
      <c r="NK114" s="205">
        <f t="shared" si="881"/>
        <v>0</v>
      </c>
      <c r="NL114" s="124">
        <v>370</v>
      </c>
      <c r="NM114" s="120"/>
      <c r="NN114" s="120"/>
      <c r="NO114" s="120"/>
      <c r="NP114" s="120"/>
      <c r="NQ114" s="205"/>
      <c r="NR114" s="205"/>
      <c r="NS114" s="205">
        <f t="shared" si="882"/>
        <v>370</v>
      </c>
      <c r="NT114" s="120"/>
      <c r="NU114" s="120"/>
      <c r="NV114" s="120"/>
      <c r="NW114" s="120"/>
      <c r="NX114" s="120"/>
      <c r="NY114" s="205"/>
      <c r="NZ114" s="205"/>
      <c r="OA114" s="205">
        <f t="shared" si="883"/>
        <v>0</v>
      </c>
      <c r="OB114" s="205">
        <f t="shared" si="884"/>
        <v>370</v>
      </c>
      <c r="OC114" s="120"/>
      <c r="OD114" s="120"/>
      <c r="OE114" s="120"/>
      <c r="OF114" s="120"/>
      <c r="OG114" s="120"/>
      <c r="OH114" s="205"/>
      <c r="OI114" s="205"/>
      <c r="OJ114" s="205">
        <f t="shared" si="885"/>
        <v>0</v>
      </c>
      <c r="OK114" s="120"/>
      <c r="OL114" s="120"/>
      <c r="OM114" s="120"/>
      <c r="ON114" s="120"/>
      <c r="OO114" s="120"/>
      <c r="OP114" s="205"/>
      <c r="OQ114" s="205"/>
      <c r="OR114" s="205">
        <f t="shared" si="886"/>
        <v>0</v>
      </c>
      <c r="OS114" s="124">
        <v>380</v>
      </c>
      <c r="OT114" s="120"/>
      <c r="OU114" s="120"/>
      <c r="OV114" s="120"/>
      <c r="OW114" s="120"/>
      <c r="OX114" s="205"/>
      <c r="OY114" s="205"/>
      <c r="OZ114" s="205">
        <f t="shared" si="887"/>
        <v>380</v>
      </c>
      <c r="PA114" s="120"/>
      <c r="PB114" s="120"/>
      <c r="PC114" s="120"/>
      <c r="PD114" s="205"/>
      <c r="PE114" s="217"/>
      <c r="PF114" s="205"/>
      <c r="PG114" s="205"/>
      <c r="PH114" s="205">
        <f t="shared" si="888"/>
        <v>0</v>
      </c>
      <c r="PI114" s="120"/>
      <c r="PJ114" s="120"/>
      <c r="PK114" s="120"/>
      <c r="PL114" s="205"/>
      <c r="PM114" s="217"/>
      <c r="PN114" s="205"/>
      <c r="PO114" s="205"/>
      <c r="PP114" s="205">
        <f t="shared" si="889"/>
        <v>0</v>
      </c>
      <c r="PQ114" s="205">
        <f t="shared" si="890"/>
        <v>380</v>
      </c>
      <c r="PR114" s="207"/>
      <c r="PS114" s="124">
        <v>1000</v>
      </c>
      <c r="PT114" s="207"/>
      <c r="PU114" s="207"/>
      <c r="PV114" s="120"/>
      <c r="PW114" s="272"/>
      <c r="PX114" s="272"/>
      <c r="PY114" s="205">
        <f t="shared" si="891"/>
        <v>1000</v>
      </c>
      <c r="PZ114" s="207"/>
      <c r="QA114" s="207"/>
      <c r="QB114" s="207"/>
      <c r="QC114" s="207"/>
      <c r="QD114" s="207"/>
      <c r="QE114" s="272"/>
      <c r="QF114" s="272"/>
      <c r="QG114" s="205">
        <f t="shared" si="892"/>
        <v>0</v>
      </c>
      <c r="QH114" s="207"/>
      <c r="QI114" s="207"/>
      <c r="QJ114" s="294"/>
      <c r="QK114" s="207"/>
      <c r="QL114" s="207"/>
      <c r="QM114" s="272"/>
      <c r="QN114" s="272"/>
      <c r="QO114" s="205">
        <f t="shared" si="893"/>
        <v>0</v>
      </c>
      <c r="QP114" s="207"/>
      <c r="QQ114" s="207"/>
      <c r="QR114" s="207"/>
      <c r="QS114" s="207"/>
      <c r="QT114" s="207"/>
      <c r="QU114" s="272"/>
      <c r="QV114" s="272"/>
      <c r="QW114" s="205">
        <f t="shared" si="894"/>
        <v>0</v>
      </c>
      <c r="QX114" s="205">
        <f t="shared" si="895"/>
        <v>1000</v>
      </c>
      <c r="QY114" s="201">
        <v>160</v>
      </c>
      <c r="QZ114" s="207"/>
      <c r="RA114" s="207"/>
      <c r="RB114" s="207"/>
      <c r="RC114" s="207"/>
      <c r="RD114" s="272"/>
      <c r="RE114" s="272"/>
      <c r="RF114" s="205">
        <f t="shared" si="896"/>
        <v>160</v>
      </c>
      <c r="RG114" s="207"/>
      <c r="RH114" s="207"/>
      <c r="RI114" s="201">
        <v>500</v>
      </c>
      <c r="RJ114" s="207"/>
      <c r="RK114" s="207"/>
      <c r="RL114" s="272"/>
      <c r="RM114" s="272"/>
      <c r="RN114" s="205">
        <f t="shared" si="897"/>
        <v>500</v>
      </c>
      <c r="RO114" s="272"/>
      <c r="RP114" s="272"/>
      <c r="RQ114" s="272"/>
      <c r="RR114" s="272"/>
      <c r="RS114" s="272"/>
      <c r="RT114" s="272"/>
      <c r="RU114" s="272"/>
      <c r="RV114" s="205">
        <f t="shared" si="898"/>
        <v>0</v>
      </c>
      <c r="RW114" s="207"/>
      <c r="RX114" s="207"/>
      <c r="RY114" s="207"/>
      <c r="RZ114" s="207"/>
      <c r="SA114" s="272"/>
      <c r="SB114" s="272"/>
      <c r="SC114" s="272"/>
      <c r="SD114" s="205">
        <f t="shared" si="899"/>
        <v>0</v>
      </c>
      <c r="SE114" s="205">
        <f t="shared" si="900"/>
        <v>660</v>
      </c>
      <c r="SF114" s="207"/>
      <c r="SG114" s="207"/>
      <c r="SH114" s="207"/>
      <c r="SI114" s="207"/>
      <c r="SJ114" s="207"/>
      <c r="SK114" s="272"/>
      <c r="SL114" s="272"/>
      <c r="SM114" s="205">
        <f t="shared" si="901"/>
        <v>0</v>
      </c>
      <c r="SN114" s="207"/>
      <c r="SO114" s="207"/>
      <c r="SP114" s="207"/>
      <c r="SQ114" s="207"/>
      <c r="SR114" s="207"/>
      <c r="SS114" s="272"/>
      <c r="ST114" s="272"/>
      <c r="SU114" s="205">
        <f t="shared" si="902"/>
        <v>0</v>
      </c>
      <c r="SV114" s="207"/>
      <c r="SW114" s="207"/>
      <c r="SX114" s="207"/>
      <c r="SY114" s="207"/>
      <c r="SZ114" s="207"/>
      <c r="TA114" s="272"/>
      <c r="TB114" s="272"/>
      <c r="TC114" s="205">
        <f t="shared" si="903"/>
        <v>0</v>
      </c>
      <c r="TD114" s="207"/>
      <c r="TE114" s="207"/>
      <c r="TF114" s="207"/>
      <c r="TG114" s="207"/>
      <c r="TH114" s="207"/>
      <c r="TI114" s="272"/>
      <c r="TJ114" s="272"/>
      <c r="TK114" s="205">
        <f t="shared" si="904"/>
        <v>0</v>
      </c>
      <c r="TL114" s="207"/>
      <c r="TM114" s="207"/>
      <c r="TN114" s="207"/>
      <c r="TO114" s="207"/>
      <c r="TP114" s="272"/>
      <c r="TQ114" s="272"/>
      <c r="TR114" s="272"/>
      <c r="TS114" s="205">
        <f t="shared" si="905"/>
        <v>0</v>
      </c>
      <c r="TT114" s="205">
        <f t="shared" si="906"/>
        <v>0</v>
      </c>
      <c r="TU114" s="272"/>
      <c r="TV114" s="207"/>
      <c r="TW114" s="207"/>
      <c r="TX114" s="207"/>
      <c r="TY114" s="207"/>
      <c r="TZ114" s="272"/>
      <c r="UA114" s="272"/>
      <c r="UB114" s="205">
        <f t="shared" si="907"/>
        <v>0</v>
      </c>
      <c r="UC114" s="207"/>
      <c r="UD114" s="124">
        <v>428</v>
      </c>
      <c r="UE114" s="207"/>
      <c r="UF114" s="207"/>
      <c r="UG114" s="207"/>
      <c r="UH114" s="272"/>
      <c r="UI114" s="272"/>
      <c r="UJ114" s="205">
        <f t="shared" si="908"/>
        <v>428</v>
      </c>
      <c r="UK114" s="207"/>
      <c r="UL114" s="207"/>
      <c r="UM114" s="207"/>
      <c r="UN114" s="207"/>
      <c r="UO114" s="207"/>
      <c r="UP114" s="272"/>
      <c r="UQ114" s="272"/>
      <c r="UR114" s="205">
        <f t="shared" si="909"/>
        <v>0</v>
      </c>
      <c r="US114" s="207"/>
      <c r="UT114" s="207"/>
      <c r="UU114" s="207"/>
      <c r="UV114" s="207"/>
      <c r="UW114" s="272"/>
      <c r="UX114" s="272"/>
      <c r="UY114" s="272"/>
      <c r="UZ114" s="205">
        <f t="shared" si="910"/>
        <v>0</v>
      </c>
      <c r="VA114" s="205">
        <f t="shared" si="911"/>
        <v>428</v>
      </c>
      <c r="VB114" s="207"/>
      <c r="VC114" s="207"/>
      <c r="VD114" s="207"/>
      <c r="VE114" s="207"/>
      <c r="VF114" s="207"/>
      <c r="VG114" s="272"/>
      <c r="VH114" s="272"/>
      <c r="VI114" s="205">
        <f t="shared" si="912"/>
        <v>0</v>
      </c>
      <c r="VJ114" s="207"/>
      <c r="VK114" s="207"/>
      <c r="VL114" s="207"/>
      <c r="VM114" s="207"/>
      <c r="VN114" s="207"/>
      <c r="VO114" s="272"/>
      <c r="VP114" s="272"/>
      <c r="VQ114" s="205">
        <f t="shared" si="913"/>
        <v>0</v>
      </c>
      <c r="VR114" s="207"/>
      <c r="VS114" s="207"/>
      <c r="VT114" s="195">
        <v>1500</v>
      </c>
      <c r="VU114" s="207"/>
      <c r="VV114" s="207"/>
      <c r="VW114" s="272"/>
      <c r="VX114" s="272"/>
      <c r="VY114" s="205">
        <f t="shared" si="914"/>
        <v>1500</v>
      </c>
      <c r="VZ114" s="207"/>
      <c r="WA114" s="207"/>
      <c r="WB114" s="207"/>
      <c r="WC114" s="207"/>
      <c r="WD114" s="207"/>
      <c r="WE114" s="272"/>
      <c r="WF114" s="272"/>
      <c r="WG114" s="205">
        <f t="shared" si="915"/>
        <v>0</v>
      </c>
      <c r="WH114" s="205">
        <f t="shared" si="916"/>
        <v>1500</v>
      </c>
      <c r="WI114" s="207"/>
      <c r="WJ114" s="207"/>
      <c r="WK114" s="207"/>
      <c r="WL114" s="207"/>
      <c r="WM114" s="207"/>
      <c r="WN114" s="272"/>
      <c r="WO114" s="272"/>
      <c r="WP114" s="205">
        <f t="shared" si="917"/>
        <v>0</v>
      </c>
      <c r="WQ114" s="207"/>
      <c r="WR114" s="207"/>
      <c r="WS114" s="207"/>
      <c r="WT114" s="207"/>
      <c r="WU114" s="207"/>
      <c r="WV114" s="272"/>
      <c r="WW114" s="272"/>
      <c r="WX114" s="205">
        <f t="shared" si="918"/>
        <v>0</v>
      </c>
      <c r="WY114" s="207"/>
      <c r="WZ114" s="207"/>
      <c r="XA114" s="207"/>
      <c r="XB114" s="207"/>
      <c r="XC114" s="272"/>
      <c r="XD114" s="272"/>
      <c r="XE114" s="272"/>
      <c r="XF114" s="205">
        <f t="shared" si="919"/>
        <v>0</v>
      </c>
      <c r="XG114" s="207"/>
      <c r="XH114" s="207"/>
      <c r="XI114" s="207"/>
      <c r="XJ114" s="207"/>
      <c r="XK114" s="207"/>
      <c r="XL114" s="272"/>
      <c r="XM114" s="272"/>
      <c r="XN114" s="205">
        <f t="shared" si="920"/>
        <v>0</v>
      </c>
      <c r="XO114" s="207"/>
      <c r="XP114" s="207"/>
      <c r="XQ114" s="207"/>
      <c r="XR114" s="207"/>
      <c r="XS114" s="207"/>
      <c r="XT114" s="272"/>
      <c r="XU114" s="272"/>
      <c r="XV114" s="205">
        <f t="shared" si="921"/>
        <v>0</v>
      </c>
      <c r="XW114" s="205">
        <f t="shared" si="922"/>
        <v>0</v>
      </c>
      <c r="XX114" s="207"/>
      <c r="XY114" s="207"/>
      <c r="XZ114" s="207"/>
      <c r="YA114" s="207"/>
      <c r="YB114" s="207"/>
      <c r="YC114" s="272"/>
      <c r="YD114" s="272"/>
      <c r="YE114" s="205">
        <f t="shared" si="923"/>
        <v>0</v>
      </c>
      <c r="YF114" s="207"/>
      <c r="YG114" s="207"/>
      <c r="YH114" s="207"/>
      <c r="YI114" s="207"/>
      <c r="YJ114" s="207"/>
      <c r="YK114" s="272"/>
      <c r="YL114" s="272"/>
      <c r="YM114" s="205">
        <f t="shared" si="924"/>
        <v>0</v>
      </c>
      <c r="YN114" s="207"/>
      <c r="YO114" s="207"/>
      <c r="YP114" s="207"/>
      <c r="YQ114" s="207"/>
      <c r="YR114" s="207"/>
      <c r="YS114" s="272"/>
      <c r="YT114" s="272"/>
      <c r="YU114" s="205">
        <f t="shared" si="925"/>
        <v>0</v>
      </c>
      <c r="YV114" s="207"/>
      <c r="YW114" s="207"/>
      <c r="YX114" s="207"/>
      <c r="YY114" s="207"/>
      <c r="YZ114" s="207"/>
      <c r="ZA114" s="272"/>
      <c r="ZB114" s="272"/>
      <c r="ZC114" s="205">
        <f t="shared" si="926"/>
        <v>0</v>
      </c>
      <c r="ZD114" s="205">
        <f t="shared" si="927"/>
        <v>0</v>
      </c>
      <c r="ZE114" s="207"/>
      <c r="ZF114" s="207"/>
      <c r="ZG114" s="207"/>
      <c r="ZH114" s="207"/>
      <c r="ZI114" s="207"/>
      <c r="ZJ114" s="272"/>
      <c r="ZK114" s="272"/>
      <c r="ZL114" s="205">
        <f t="shared" si="928"/>
        <v>0</v>
      </c>
      <c r="ZM114" s="207"/>
      <c r="ZN114" s="207"/>
      <c r="ZO114" s="207"/>
      <c r="ZP114" s="207"/>
      <c r="ZQ114" s="207"/>
      <c r="ZR114" s="272"/>
      <c r="ZS114" s="272"/>
      <c r="ZT114" s="205">
        <f t="shared" si="929"/>
        <v>0</v>
      </c>
      <c r="ZU114" s="207"/>
      <c r="ZV114" s="207"/>
      <c r="ZW114" s="207"/>
      <c r="ZX114" s="207"/>
      <c r="ZY114" s="207"/>
      <c r="ZZ114" s="272"/>
      <c r="AAA114" s="272"/>
      <c r="AAB114" s="205">
        <f t="shared" si="930"/>
        <v>0</v>
      </c>
      <c r="AAC114" s="207"/>
      <c r="AAD114" s="207"/>
      <c r="AAE114" s="207"/>
      <c r="AAF114" s="207"/>
      <c r="AAG114" s="207"/>
      <c r="AAH114" s="272"/>
      <c r="AAI114" s="272"/>
      <c r="AAJ114" s="205">
        <f t="shared" si="931"/>
        <v>0</v>
      </c>
      <c r="AAK114" s="207"/>
      <c r="AAL114" s="207"/>
      <c r="AAM114" s="207"/>
      <c r="AAN114" s="207"/>
      <c r="AAO114" s="207"/>
      <c r="AAP114" s="272"/>
      <c r="AAQ114" s="272"/>
      <c r="AAR114" s="205">
        <f t="shared" si="932"/>
        <v>0</v>
      </c>
      <c r="AAS114" s="205">
        <f t="shared" si="933"/>
        <v>0</v>
      </c>
    </row>
    <row r="115" spans="2:777" ht="69.95" customHeight="1">
      <c r="B115" s="151">
        <v>3630101480</v>
      </c>
      <c r="C115" s="323" t="s">
        <v>741</v>
      </c>
      <c r="D115" s="152" t="s">
        <v>801</v>
      </c>
      <c r="E115" s="130" t="s">
        <v>4</v>
      </c>
      <c r="F115" s="120"/>
      <c r="G115" s="120"/>
      <c r="H115" s="120"/>
      <c r="I115" s="120"/>
      <c r="J115" s="120"/>
      <c r="K115" s="209"/>
      <c r="L115" s="205"/>
      <c r="M115" s="205">
        <f t="shared" ref="M115" si="1237">SUM(F115:L115)</f>
        <v>0</v>
      </c>
      <c r="N115" s="120"/>
      <c r="O115" s="120"/>
      <c r="P115" s="120"/>
      <c r="Q115" s="120"/>
      <c r="R115" s="120"/>
      <c r="S115" s="209"/>
      <c r="T115" s="205"/>
      <c r="U115" s="205">
        <f t="shared" ref="U115" si="1238">SUM(N115:T115)</f>
        <v>0</v>
      </c>
      <c r="V115" s="120"/>
      <c r="W115" s="120"/>
      <c r="X115" s="120"/>
      <c r="Y115" s="120"/>
      <c r="Z115" s="120"/>
      <c r="AA115" s="209"/>
      <c r="AB115" s="205"/>
      <c r="AC115" s="205">
        <f t="shared" ref="AC115" si="1239">SUM(V115:AB115)</f>
        <v>0</v>
      </c>
      <c r="AD115" s="205"/>
      <c r="AE115" s="205"/>
      <c r="AF115" s="205"/>
      <c r="AG115" s="205"/>
      <c r="AH115" s="205"/>
      <c r="AI115" s="209"/>
      <c r="AJ115" s="205"/>
      <c r="AK115" s="205">
        <f t="shared" ref="AK115" si="1240">SUM(AD115:AJ115)</f>
        <v>0</v>
      </c>
      <c r="AL115" s="205" t="e">
        <f>SUM(#REF!,M115,U115,AC115,AD115:AH115)</f>
        <v>#REF!</v>
      </c>
      <c r="AM115" s="120"/>
      <c r="AN115" s="120"/>
      <c r="AO115" s="120"/>
      <c r="AP115" s="120"/>
      <c r="AQ115" s="120"/>
      <c r="AR115" s="209"/>
      <c r="AS115" s="205"/>
      <c r="AT115" s="205">
        <f t="shared" si="1052"/>
        <v>0</v>
      </c>
      <c r="AU115" s="120"/>
      <c r="AV115" s="120"/>
      <c r="AW115" s="120"/>
      <c r="AX115" s="120"/>
      <c r="AY115" s="120"/>
      <c r="AZ115" s="209"/>
      <c r="BA115" s="205"/>
      <c r="BB115" s="205">
        <f t="shared" si="1053"/>
        <v>0</v>
      </c>
      <c r="BC115" s="120"/>
      <c r="BD115" s="120"/>
      <c r="BE115" s="120"/>
      <c r="BF115" s="120"/>
      <c r="BG115" s="120"/>
      <c r="BH115" s="209"/>
      <c r="BI115" s="205"/>
      <c r="BJ115" s="205">
        <f t="shared" si="1054"/>
        <v>0</v>
      </c>
      <c r="BK115" s="120"/>
      <c r="BL115" s="120"/>
      <c r="BM115" s="120"/>
      <c r="BN115" s="120"/>
      <c r="BO115" s="205"/>
      <c r="BP115" s="209"/>
      <c r="BQ115" s="205"/>
      <c r="BR115" s="205">
        <f t="shared" si="1055"/>
        <v>0</v>
      </c>
      <c r="BS115" s="205">
        <f t="shared" ref="BS115" si="1241">SUM(AI115:AJ115,AT115,BB115,BJ115,BK115:BO115)</f>
        <v>0</v>
      </c>
      <c r="BT115" s="120"/>
      <c r="BU115" s="120"/>
      <c r="BV115" s="120"/>
      <c r="BW115" s="120"/>
      <c r="BX115" s="120"/>
      <c r="BY115" s="209"/>
      <c r="BZ115" s="205"/>
      <c r="CA115" s="205">
        <f t="shared" si="1056"/>
        <v>0</v>
      </c>
      <c r="CB115" s="120"/>
      <c r="CC115" s="120"/>
      <c r="CD115" s="120"/>
      <c r="CE115" s="120"/>
      <c r="CF115" s="120"/>
      <c r="CG115" s="209"/>
      <c r="CH115" s="205"/>
      <c r="CI115" s="205">
        <f t="shared" si="1057"/>
        <v>0</v>
      </c>
      <c r="CJ115" s="120"/>
      <c r="CK115" s="120"/>
      <c r="CL115" s="120"/>
      <c r="CM115" s="120"/>
      <c r="CN115" s="120"/>
      <c r="CO115" s="209"/>
      <c r="CP115" s="205"/>
      <c r="CQ115" s="205">
        <f t="shared" si="1058"/>
        <v>0</v>
      </c>
      <c r="CR115" s="120"/>
      <c r="CS115" s="120"/>
      <c r="CT115" s="120"/>
      <c r="CU115" s="120"/>
      <c r="CV115" s="120"/>
      <c r="CW115" s="209"/>
      <c r="CX115" s="205"/>
      <c r="CY115" s="205">
        <f t="shared" si="1059"/>
        <v>0</v>
      </c>
      <c r="CZ115" s="120"/>
      <c r="DA115" s="120"/>
      <c r="DB115" s="120"/>
      <c r="DC115" s="205"/>
      <c r="DD115" s="205"/>
      <c r="DE115" s="209"/>
      <c r="DF115" s="205"/>
      <c r="DG115" s="205">
        <f t="shared" si="1060"/>
        <v>0</v>
      </c>
      <c r="DH115" s="205">
        <f t="shared" ref="DH115" si="1242">SUM(CA115,CI115,CQ115,CY115,CZ115)</f>
        <v>0</v>
      </c>
      <c r="DI115" s="120"/>
      <c r="DJ115" s="120"/>
      <c r="DK115" s="120"/>
      <c r="DL115" s="120"/>
      <c r="DM115" s="120"/>
      <c r="DN115" s="209"/>
      <c r="DO115" s="205"/>
      <c r="DP115" s="205">
        <f t="shared" ref="DP115" si="1243">SUM(DI115:DO115)</f>
        <v>0</v>
      </c>
      <c r="DQ115" s="120"/>
      <c r="DR115" s="120"/>
      <c r="DS115" s="120"/>
      <c r="DT115" s="120"/>
      <c r="DU115" s="120"/>
      <c r="DV115" s="209"/>
      <c r="DW115" s="205"/>
      <c r="DX115" s="205">
        <f t="shared" ref="DX115" si="1244">SUM(DQ115:DW115)</f>
        <v>0</v>
      </c>
      <c r="DY115" s="120"/>
      <c r="DZ115" s="120"/>
      <c r="EA115" s="120"/>
      <c r="EB115" s="120"/>
      <c r="EC115" s="120"/>
      <c r="ED115" s="209"/>
      <c r="EE115" s="205"/>
      <c r="EF115" s="205">
        <f t="shared" ref="EF115" si="1245">SUM(DY115:EE115)</f>
        <v>0</v>
      </c>
      <c r="EG115" s="120"/>
      <c r="EH115" s="120"/>
      <c r="EI115" s="120"/>
      <c r="EJ115" s="205"/>
      <c r="EK115" s="205"/>
      <c r="EL115" s="209"/>
      <c r="EM115" s="205"/>
      <c r="EN115" s="205">
        <f t="shared" ref="EN115" si="1246">SUM(EG115:EM115)</f>
        <v>0</v>
      </c>
      <c r="EO115" s="205">
        <f t="shared" ref="EO115" si="1247">SUM(DA115:DF115,DP115,DX115,EF115,EG115:EI115)</f>
        <v>0</v>
      </c>
      <c r="EP115" s="120"/>
      <c r="EQ115" s="120"/>
      <c r="ER115" s="120"/>
      <c r="ES115" s="120"/>
      <c r="ET115" s="120"/>
      <c r="EU115" s="209"/>
      <c r="EV115" s="205"/>
      <c r="EW115" s="205">
        <f t="shared" ref="EW115" si="1248">SUM(EP115:EV115)</f>
        <v>0</v>
      </c>
      <c r="EX115" s="120"/>
      <c r="EY115" s="120"/>
      <c r="EZ115" s="120"/>
      <c r="FA115" s="120"/>
      <c r="FB115" s="120"/>
      <c r="FC115" s="209"/>
      <c r="FD115" s="205"/>
      <c r="FE115" s="205">
        <f t="shared" ref="FE115" si="1249">SUM(EX115:FD115)</f>
        <v>0</v>
      </c>
      <c r="FF115" s="120"/>
      <c r="FG115" s="120"/>
      <c r="FH115" s="120"/>
      <c r="FI115" s="120"/>
      <c r="FJ115" s="120"/>
      <c r="FK115" s="209"/>
      <c r="FL115" s="205"/>
      <c r="FM115" s="205">
        <f t="shared" ref="FM115" si="1250">SUM(FF115:FL115)</f>
        <v>0</v>
      </c>
      <c r="FN115" s="120"/>
      <c r="FO115" s="120"/>
      <c r="FP115" s="120"/>
      <c r="FQ115" s="120"/>
      <c r="FR115" s="205"/>
      <c r="FS115" s="209"/>
      <c r="FT115" s="205"/>
      <c r="FU115" s="205">
        <f t="shared" ref="FU115" si="1251">SUM(FN115:FT115)</f>
        <v>0</v>
      </c>
      <c r="FV115" s="205">
        <f t="shared" ref="FV115" si="1252">SUM(EJ115:EK115,EW115,FE115,FM115,FU115)</f>
        <v>0</v>
      </c>
      <c r="FW115" s="120"/>
      <c r="FX115" s="120"/>
      <c r="FY115" s="120"/>
      <c r="FZ115" s="120"/>
      <c r="GA115" s="120"/>
      <c r="GB115" s="209"/>
      <c r="GC115" s="205"/>
      <c r="GD115" s="205">
        <f t="shared" ref="GD115" si="1253">SUM(FW115:GC115)</f>
        <v>0</v>
      </c>
      <c r="GE115" s="120"/>
      <c r="GF115" s="120"/>
      <c r="GG115" s="120"/>
      <c r="GH115" s="120"/>
      <c r="GI115" s="120"/>
      <c r="GJ115" s="209"/>
      <c r="GK115" s="205"/>
      <c r="GL115" s="205">
        <f t="shared" ref="GL115" si="1254">SUM(GE115:GK115)</f>
        <v>0</v>
      </c>
      <c r="GM115" s="120"/>
      <c r="GN115" s="120"/>
      <c r="GO115" s="120"/>
      <c r="GP115" s="120"/>
      <c r="GQ115" s="120"/>
      <c r="GR115" s="209"/>
      <c r="GS115" s="205"/>
      <c r="GT115" s="205">
        <f t="shared" ref="GT115" si="1255">SUM(GM115:GS115)</f>
        <v>0</v>
      </c>
      <c r="GU115" s="120"/>
      <c r="GV115" s="120"/>
      <c r="GW115" s="120"/>
      <c r="GX115" s="120"/>
      <c r="GY115" s="120"/>
      <c r="GZ115" s="209"/>
      <c r="HA115" s="205"/>
      <c r="HB115" s="205">
        <f t="shared" ref="HB115" si="1256">SUM(GU115:HA115)</f>
        <v>0</v>
      </c>
      <c r="HC115" s="120"/>
      <c r="HD115" s="120"/>
      <c r="HE115" s="120"/>
      <c r="HF115" s="120"/>
      <c r="HG115" s="120"/>
      <c r="HH115" s="209"/>
      <c r="HI115" s="205"/>
      <c r="HJ115" s="205">
        <f t="shared" ref="HJ115" si="1257">SUM(HC115:HI115)</f>
        <v>0</v>
      </c>
      <c r="HK115" s="205">
        <f t="shared" ref="HK115" si="1258">SUM(GD115,GL115,GT115,HB115,HC115)</f>
        <v>0</v>
      </c>
      <c r="HL115" s="124"/>
      <c r="HM115" s="120"/>
      <c r="HN115" s="120"/>
      <c r="HO115" s="120"/>
      <c r="HP115" s="120"/>
      <c r="HQ115" s="205"/>
      <c r="HR115" s="205"/>
      <c r="HS115" s="205">
        <f t="shared" si="934"/>
        <v>0</v>
      </c>
      <c r="HT115" s="120"/>
      <c r="HU115" s="120"/>
      <c r="HV115" s="120"/>
      <c r="HW115" s="120"/>
      <c r="HX115" s="120"/>
      <c r="HY115" s="205"/>
      <c r="HZ115" s="205"/>
      <c r="IA115" s="205">
        <f t="shared" si="935"/>
        <v>0</v>
      </c>
      <c r="IB115" s="120"/>
      <c r="IC115" s="120"/>
      <c r="ID115" s="120"/>
      <c r="IE115" s="120"/>
      <c r="IF115" s="120"/>
      <c r="IG115" s="205"/>
      <c r="IH115" s="205"/>
      <c r="II115" s="205">
        <f t="shared" si="936"/>
        <v>0</v>
      </c>
      <c r="IJ115" s="120"/>
      <c r="IK115" s="120"/>
      <c r="IL115" s="120"/>
      <c r="IM115" s="120"/>
      <c r="IN115" s="120"/>
      <c r="IO115" s="205"/>
      <c r="IP115" s="205"/>
      <c r="IQ115" s="205">
        <f t="shared" si="937"/>
        <v>0</v>
      </c>
      <c r="IR115" s="205">
        <f t="shared" si="938"/>
        <v>0</v>
      </c>
      <c r="IS115" s="120"/>
      <c r="IT115" s="120"/>
      <c r="IU115" s="120"/>
      <c r="IV115" s="120"/>
      <c r="IW115" s="120"/>
      <c r="IX115" s="205"/>
      <c r="IY115" s="205"/>
      <c r="IZ115" s="205">
        <f t="shared" si="939"/>
        <v>0</v>
      </c>
      <c r="JA115" s="120"/>
      <c r="JB115" s="120"/>
      <c r="JC115" s="120"/>
      <c r="JD115" s="120"/>
      <c r="JE115" s="120"/>
      <c r="JF115" s="205"/>
      <c r="JG115" s="205"/>
      <c r="JH115" s="205">
        <f t="shared" si="940"/>
        <v>0</v>
      </c>
      <c r="JI115" s="120"/>
      <c r="JJ115" s="120"/>
      <c r="JK115" s="120"/>
      <c r="JL115" s="124">
        <v>132</v>
      </c>
      <c r="JM115" s="120"/>
      <c r="JN115" s="205"/>
      <c r="JO115" s="205"/>
      <c r="JP115" s="205">
        <f t="shared" si="941"/>
        <v>132</v>
      </c>
      <c r="JQ115" s="120"/>
      <c r="JR115" s="120"/>
      <c r="JS115" s="120"/>
      <c r="JT115" s="120"/>
      <c r="JU115" s="120"/>
      <c r="JV115" s="205"/>
      <c r="JW115" s="205"/>
      <c r="JX115" s="205">
        <f t="shared" si="942"/>
        <v>0</v>
      </c>
      <c r="JY115" s="205">
        <f t="shared" si="943"/>
        <v>132</v>
      </c>
      <c r="JZ115" s="120"/>
      <c r="KA115" s="120"/>
      <c r="KB115" s="120"/>
      <c r="KC115" s="120"/>
      <c r="KD115" s="120"/>
      <c r="KE115" s="205"/>
      <c r="KF115" s="205"/>
      <c r="KG115" s="205">
        <f t="shared" si="944"/>
        <v>0</v>
      </c>
      <c r="KH115" s="120"/>
      <c r="KI115" s="120"/>
      <c r="KJ115" s="120"/>
      <c r="KK115" s="120"/>
      <c r="KL115" s="120"/>
      <c r="KM115" s="205"/>
      <c r="KN115" s="205"/>
      <c r="KO115" s="205">
        <f t="shared" si="945"/>
        <v>0</v>
      </c>
      <c r="KP115" s="120"/>
      <c r="KQ115" s="120"/>
      <c r="KR115" s="120"/>
      <c r="KS115" s="120"/>
      <c r="KT115" s="120"/>
      <c r="KU115" s="205"/>
      <c r="KV115" s="205"/>
      <c r="KW115" s="205">
        <f t="shared" si="946"/>
        <v>0</v>
      </c>
      <c r="KX115" s="120"/>
      <c r="KY115" s="120"/>
      <c r="KZ115" s="120"/>
      <c r="LA115" s="120"/>
      <c r="LB115" s="120"/>
      <c r="LC115" s="205"/>
      <c r="LD115" s="205"/>
      <c r="LE115" s="205">
        <f t="shared" si="947"/>
        <v>0</v>
      </c>
      <c r="LF115" s="205"/>
      <c r="LG115" s="120"/>
      <c r="LH115" s="120"/>
      <c r="LI115" s="120"/>
      <c r="LJ115" s="120"/>
      <c r="LK115" s="205"/>
      <c r="LL115" s="205"/>
      <c r="LM115" s="205">
        <f t="shared" si="948"/>
        <v>0</v>
      </c>
      <c r="LN115" s="205">
        <f t="shared" si="949"/>
        <v>0</v>
      </c>
      <c r="LO115" s="205"/>
      <c r="LP115" s="120"/>
      <c r="LQ115" s="120"/>
      <c r="LR115" s="120"/>
      <c r="LS115" s="205"/>
      <c r="LT115" s="205"/>
      <c r="LU115" s="205"/>
      <c r="LV115" s="205">
        <f t="shared" si="950"/>
        <v>0</v>
      </c>
      <c r="LW115" s="120"/>
      <c r="LX115" s="120"/>
      <c r="LY115" s="120"/>
      <c r="LZ115" s="120"/>
      <c r="MA115" s="120"/>
      <c r="MB115" s="205"/>
      <c r="MC115" s="205"/>
      <c r="MD115" s="205">
        <f t="shared" si="951"/>
        <v>0</v>
      </c>
      <c r="ME115" s="120"/>
      <c r="MF115" s="120"/>
      <c r="MG115" s="201">
        <v>48</v>
      </c>
      <c r="MH115" s="120"/>
      <c r="MI115" s="205"/>
      <c r="MJ115" s="205"/>
      <c r="MK115" s="205"/>
      <c r="ML115" s="205">
        <f t="shared" si="952"/>
        <v>48</v>
      </c>
      <c r="MM115" s="120"/>
      <c r="MN115" s="120"/>
      <c r="MO115" s="120"/>
      <c r="MP115" s="120"/>
      <c r="MQ115" s="120"/>
      <c r="MR115" s="205"/>
      <c r="MS115" s="205"/>
      <c r="MT115" s="205">
        <f t="shared" si="953"/>
        <v>0</v>
      </c>
      <c r="MU115" s="205">
        <f t="shared" si="954"/>
        <v>48</v>
      </c>
      <c r="MV115" s="120"/>
      <c r="MW115" s="120"/>
      <c r="MX115" s="120"/>
      <c r="MY115" s="120"/>
      <c r="MZ115" s="120"/>
      <c r="NA115" s="205"/>
      <c r="NB115" s="205"/>
      <c r="NC115" s="205">
        <f t="shared" si="880"/>
        <v>0</v>
      </c>
      <c r="ND115" s="120"/>
      <c r="NE115" s="120"/>
      <c r="NF115" s="120"/>
      <c r="NG115" s="120"/>
      <c r="NH115" s="120"/>
      <c r="NI115" s="205"/>
      <c r="NJ115" s="205"/>
      <c r="NK115" s="205">
        <f t="shared" si="881"/>
        <v>0</v>
      </c>
      <c r="NL115" s="124">
        <v>240</v>
      </c>
      <c r="NM115" s="120"/>
      <c r="NN115" s="120"/>
      <c r="NO115" s="120"/>
      <c r="NP115" s="120"/>
      <c r="NQ115" s="205"/>
      <c r="NR115" s="205"/>
      <c r="NS115" s="205">
        <f t="shared" si="882"/>
        <v>240</v>
      </c>
      <c r="NT115" s="120"/>
      <c r="NU115" s="120"/>
      <c r="NV115" s="120"/>
      <c r="NW115" s="120"/>
      <c r="NX115" s="120"/>
      <c r="NY115" s="205"/>
      <c r="NZ115" s="205"/>
      <c r="OA115" s="205">
        <f t="shared" si="883"/>
        <v>0</v>
      </c>
      <c r="OB115" s="205">
        <f t="shared" si="884"/>
        <v>240</v>
      </c>
      <c r="OC115" s="120"/>
      <c r="OD115" s="120"/>
      <c r="OE115" s="120"/>
      <c r="OF115" s="120"/>
      <c r="OG115" s="120"/>
      <c r="OH115" s="205"/>
      <c r="OI115" s="205"/>
      <c r="OJ115" s="205">
        <f t="shared" si="885"/>
        <v>0</v>
      </c>
      <c r="OK115" s="120"/>
      <c r="OL115" s="120"/>
      <c r="OM115" s="120"/>
      <c r="ON115" s="120"/>
      <c r="OO115" s="120"/>
      <c r="OP115" s="205"/>
      <c r="OQ115" s="205"/>
      <c r="OR115" s="205">
        <f t="shared" si="886"/>
        <v>0</v>
      </c>
      <c r="OS115" s="124">
        <v>120</v>
      </c>
      <c r="OT115" s="120"/>
      <c r="OU115" s="120"/>
      <c r="OV115" s="120"/>
      <c r="OW115" s="120"/>
      <c r="OX115" s="205"/>
      <c r="OY115" s="205"/>
      <c r="OZ115" s="205">
        <f t="shared" si="887"/>
        <v>120</v>
      </c>
      <c r="PA115" s="120"/>
      <c r="PB115" s="120"/>
      <c r="PC115" s="120"/>
      <c r="PD115" s="205"/>
      <c r="PE115" s="217"/>
      <c r="PF115" s="205"/>
      <c r="PG115" s="205"/>
      <c r="PH115" s="205">
        <f t="shared" si="888"/>
        <v>0</v>
      </c>
      <c r="PI115" s="120"/>
      <c r="PJ115" s="120"/>
      <c r="PK115" s="120"/>
      <c r="PL115" s="205"/>
      <c r="PM115" s="217"/>
      <c r="PN115" s="205"/>
      <c r="PO115" s="205"/>
      <c r="PP115" s="205">
        <f t="shared" si="889"/>
        <v>0</v>
      </c>
      <c r="PQ115" s="205">
        <f t="shared" si="890"/>
        <v>120</v>
      </c>
      <c r="PR115" s="207"/>
      <c r="PS115" s="207"/>
      <c r="PT115" s="207"/>
      <c r="PU115" s="207"/>
      <c r="PV115" s="207"/>
      <c r="PW115" s="272"/>
      <c r="PX115" s="272"/>
      <c r="PY115" s="205">
        <f t="shared" si="891"/>
        <v>0</v>
      </c>
      <c r="PZ115" s="207"/>
      <c r="QA115" s="207"/>
      <c r="QB115" s="207"/>
      <c r="QC115" s="207"/>
      <c r="QD115" s="207"/>
      <c r="QE115" s="272"/>
      <c r="QF115" s="272"/>
      <c r="QG115" s="205">
        <f t="shared" si="892"/>
        <v>0</v>
      </c>
      <c r="QH115" s="207"/>
      <c r="QI115" s="207"/>
      <c r="QJ115" s="294"/>
      <c r="QK115" s="207"/>
      <c r="QL115" s="207"/>
      <c r="QM115" s="272"/>
      <c r="QN115" s="272"/>
      <c r="QO115" s="205">
        <f t="shared" si="893"/>
        <v>0</v>
      </c>
      <c r="QP115" s="207"/>
      <c r="QQ115" s="207"/>
      <c r="QR115" s="207"/>
      <c r="QS115" s="207"/>
      <c r="QT115" s="207"/>
      <c r="QU115" s="272"/>
      <c r="QV115" s="272"/>
      <c r="QW115" s="205">
        <f t="shared" si="894"/>
        <v>0</v>
      </c>
      <c r="QX115" s="205">
        <f t="shared" si="895"/>
        <v>0</v>
      </c>
      <c r="QY115" s="201">
        <v>240</v>
      </c>
      <c r="QZ115" s="207"/>
      <c r="RA115" s="207"/>
      <c r="RB115" s="207"/>
      <c r="RC115" s="207"/>
      <c r="RD115" s="272"/>
      <c r="RE115" s="272"/>
      <c r="RF115" s="205">
        <f t="shared" si="896"/>
        <v>240</v>
      </c>
      <c r="RG115" s="207"/>
      <c r="RH115" s="207"/>
      <c r="RI115" s="207"/>
      <c r="RJ115" s="207"/>
      <c r="RK115" s="207"/>
      <c r="RL115" s="272"/>
      <c r="RM115" s="272"/>
      <c r="RN115" s="205">
        <f t="shared" si="897"/>
        <v>0</v>
      </c>
      <c r="RO115" s="272"/>
      <c r="RP115" s="272"/>
      <c r="RQ115" s="272"/>
      <c r="RR115" s="272"/>
      <c r="RS115" s="272"/>
      <c r="RT115" s="272"/>
      <c r="RU115" s="272"/>
      <c r="RV115" s="205">
        <f t="shared" si="898"/>
        <v>0</v>
      </c>
      <c r="RW115" s="207"/>
      <c r="RX115" s="207"/>
      <c r="RY115" s="207"/>
      <c r="RZ115" s="207"/>
      <c r="SA115" s="272"/>
      <c r="SB115" s="272"/>
      <c r="SC115" s="272"/>
      <c r="SD115" s="205">
        <f t="shared" si="899"/>
        <v>0</v>
      </c>
      <c r="SE115" s="205">
        <f t="shared" si="900"/>
        <v>240</v>
      </c>
      <c r="SF115" s="207"/>
      <c r="SG115" s="207"/>
      <c r="SH115" s="207"/>
      <c r="SI115" s="207"/>
      <c r="SJ115" s="207"/>
      <c r="SK115" s="272"/>
      <c r="SL115" s="272"/>
      <c r="SM115" s="205">
        <f t="shared" si="901"/>
        <v>0</v>
      </c>
      <c r="SN115" s="207"/>
      <c r="SO115" s="207"/>
      <c r="SP115" s="207"/>
      <c r="SQ115" s="207"/>
      <c r="SR115" s="207"/>
      <c r="SS115" s="272"/>
      <c r="ST115" s="272"/>
      <c r="SU115" s="205">
        <f t="shared" si="902"/>
        <v>0</v>
      </c>
      <c r="SV115" s="207"/>
      <c r="SW115" s="207"/>
      <c r="SX115" s="207"/>
      <c r="SY115" s="207"/>
      <c r="SZ115" s="207"/>
      <c r="TA115" s="272"/>
      <c r="TB115" s="272"/>
      <c r="TC115" s="205">
        <f t="shared" si="903"/>
        <v>0</v>
      </c>
      <c r="TD115" s="207"/>
      <c r="TE115" s="207"/>
      <c r="TF115" s="207"/>
      <c r="TG115" s="207"/>
      <c r="TH115" s="207"/>
      <c r="TI115" s="272"/>
      <c r="TJ115" s="272"/>
      <c r="TK115" s="205">
        <f t="shared" si="904"/>
        <v>0</v>
      </c>
      <c r="TL115" s="207"/>
      <c r="TM115" s="207"/>
      <c r="TN115" s="207"/>
      <c r="TO115" s="207"/>
      <c r="TP115" s="272"/>
      <c r="TQ115" s="272"/>
      <c r="TR115" s="272"/>
      <c r="TS115" s="205">
        <f t="shared" si="905"/>
        <v>0</v>
      </c>
      <c r="TT115" s="205">
        <f t="shared" si="906"/>
        <v>0</v>
      </c>
      <c r="TU115" s="272"/>
      <c r="TV115" s="207"/>
      <c r="TW115" s="207"/>
      <c r="TX115" s="207"/>
      <c r="TY115" s="207"/>
      <c r="TZ115" s="272"/>
      <c r="UA115" s="272"/>
      <c r="UB115" s="205">
        <f t="shared" si="907"/>
        <v>0</v>
      </c>
      <c r="UC115" s="207"/>
      <c r="UD115" s="124">
        <v>72</v>
      </c>
      <c r="UE115" s="207"/>
      <c r="UF115" s="207"/>
      <c r="UG115" s="207"/>
      <c r="UH115" s="272"/>
      <c r="UI115" s="272"/>
      <c r="UJ115" s="205">
        <f t="shared" si="908"/>
        <v>72</v>
      </c>
      <c r="UK115" s="207"/>
      <c r="UL115" s="207"/>
      <c r="UM115" s="207"/>
      <c r="UN115" s="207"/>
      <c r="UO115" s="207"/>
      <c r="UP115" s="272"/>
      <c r="UQ115" s="272"/>
      <c r="UR115" s="205">
        <f t="shared" si="909"/>
        <v>0</v>
      </c>
      <c r="US115" s="207"/>
      <c r="UT115" s="207"/>
      <c r="UU115" s="207"/>
      <c r="UV115" s="207"/>
      <c r="UW115" s="272"/>
      <c r="UX115" s="272"/>
      <c r="UY115" s="272"/>
      <c r="UZ115" s="205">
        <f t="shared" si="910"/>
        <v>0</v>
      </c>
      <c r="VA115" s="205">
        <f t="shared" si="911"/>
        <v>72</v>
      </c>
      <c r="VB115" s="207"/>
      <c r="VC115" s="207"/>
      <c r="VD115" s="207"/>
      <c r="VE115" s="207"/>
      <c r="VF115" s="207"/>
      <c r="VG115" s="272"/>
      <c r="VH115" s="272"/>
      <c r="VI115" s="205">
        <f t="shared" si="912"/>
        <v>0</v>
      </c>
      <c r="VJ115" s="207"/>
      <c r="VK115" s="207"/>
      <c r="VL115" s="207"/>
      <c r="VM115" s="207"/>
      <c r="VN115" s="207"/>
      <c r="VO115" s="272"/>
      <c r="VP115" s="272"/>
      <c r="VQ115" s="205">
        <f t="shared" si="913"/>
        <v>0</v>
      </c>
      <c r="VR115" s="207"/>
      <c r="VS115" s="207"/>
      <c r="VT115" s="207"/>
      <c r="VU115" s="207"/>
      <c r="VV115" s="207"/>
      <c r="VW115" s="272"/>
      <c r="VX115" s="272"/>
      <c r="VY115" s="205">
        <f t="shared" si="914"/>
        <v>0</v>
      </c>
      <c r="VZ115" s="207"/>
      <c r="WA115" s="207"/>
      <c r="WB115" s="207"/>
      <c r="WC115" s="207"/>
      <c r="WD115" s="207"/>
      <c r="WE115" s="272"/>
      <c r="WF115" s="272"/>
      <c r="WG115" s="205">
        <f t="shared" si="915"/>
        <v>0</v>
      </c>
      <c r="WH115" s="205">
        <f t="shared" si="916"/>
        <v>0</v>
      </c>
      <c r="WI115" s="207"/>
      <c r="WJ115" s="207"/>
      <c r="WK115" s="207"/>
      <c r="WL115" s="207"/>
      <c r="WM115" s="207"/>
      <c r="WN115" s="272"/>
      <c r="WO115" s="272"/>
      <c r="WP115" s="205">
        <f t="shared" si="917"/>
        <v>0</v>
      </c>
      <c r="WQ115" s="207"/>
      <c r="WR115" s="207"/>
      <c r="WS115" s="207"/>
      <c r="WT115" s="207"/>
      <c r="WU115" s="207"/>
      <c r="WV115" s="272"/>
      <c r="WW115" s="272"/>
      <c r="WX115" s="205">
        <f t="shared" si="918"/>
        <v>0</v>
      </c>
      <c r="WY115" s="207"/>
      <c r="WZ115" s="207"/>
      <c r="XA115" s="207"/>
      <c r="XB115" s="207"/>
      <c r="XC115" s="272"/>
      <c r="XD115" s="272"/>
      <c r="XE115" s="272"/>
      <c r="XF115" s="205">
        <f t="shared" si="919"/>
        <v>0</v>
      </c>
      <c r="XG115" s="207"/>
      <c r="XH115" s="207"/>
      <c r="XI115" s="207"/>
      <c r="XJ115" s="207"/>
      <c r="XK115" s="207"/>
      <c r="XL115" s="272"/>
      <c r="XM115" s="272"/>
      <c r="XN115" s="205">
        <f t="shared" si="920"/>
        <v>0</v>
      </c>
      <c r="XO115" s="207"/>
      <c r="XP115" s="207"/>
      <c r="XQ115" s="207"/>
      <c r="XR115" s="207"/>
      <c r="XS115" s="207"/>
      <c r="XT115" s="272"/>
      <c r="XU115" s="272"/>
      <c r="XV115" s="205">
        <f t="shared" si="921"/>
        <v>0</v>
      </c>
      <c r="XW115" s="205">
        <f t="shared" si="922"/>
        <v>0</v>
      </c>
      <c r="XX115" s="207"/>
      <c r="XY115" s="207"/>
      <c r="XZ115" s="207"/>
      <c r="YA115" s="207"/>
      <c r="YB115" s="207"/>
      <c r="YC115" s="272"/>
      <c r="YD115" s="272"/>
      <c r="YE115" s="205">
        <f t="shared" si="923"/>
        <v>0</v>
      </c>
      <c r="YF115" s="207"/>
      <c r="YG115" s="207"/>
      <c r="YH115" s="207"/>
      <c r="YI115" s="207"/>
      <c r="YJ115" s="207"/>
      <c r="YK115" s="272"/>
      <c r="YL115" s="272"/>
      <c r="YM115" s="205">
        <f t="shared" si="924"/>
        <v>0</v>
      </c>
      <c r="YN115" s="207"/>
      <c r="YO115" s="207"/>
      <c r="YP115" s="207"/>
      <c r="YQ115" s="207"/>
      <c r="YR115" s="207"/>
      <c r="YS115" s="272"/>
      <c r="YT115" s="272"/>
      <c r="YU115" s="205">
        <f t="shared" si="925"/>
        <v>0</v>
      </c>
      <c r="YV115" s="207"/>
      <c r="YW115" s="207"/>
      <c r="YX115" s="207"/>
      <c r="YY115" s="207"/>
      <c r="YZ115" s="207"/>
      <c r="ZA115" s="272"/>
      <c r="ZB115" s="272"/>
      <c r="ZC115" s="205">
        <f t="shared" si="926"/>
        <v>0</v>
      </c>
      <c r="ZD115" s="205">
        <f t="shared" si="927"/>
        <v>0</v>
      </c>
      <c r="ZE115" s="207"/>
      <c r="ZF115" s="207"/>
      <c r="ZG115" s="207"/>
      <c r="ZH115" s="207"/>
      <c r="ZI115" s="207"/>
      <c r="ZJ115" s="272"/>
      <c r="ZK115" s="272"/>
      <c r="ZL115" s="205">
        <f t="shared" si="928"/>
        <v>0</v>
      </c>
      <c r="ZM115" s="207"/>
      <c r="ZN115" s="207"/>
      <c r="ZO115" s="207"/>
      <c r="ZP115" s="207"/>
      <c r="ZQ115" s="207"/>
      <c r="ZR115" s="272"/>
      <c r="ZS115" s="272"/>
      <c r="ZT115" s="205">
        <f t="shared" si="929"/>
        <v>0</v>
      </c>
      <c r="ZU115" s="207"/>
      <c r="ZV115" s="207"/>
      <c r="ZW115" s="207"/>
      <c r="ZX115" s="207"/>
      <c r="ZY115" s="207"/>
      <c r="ZZ115" s="272"/>
      <c r="AAA115" s="272"/>
      <c r="AAB115" s="205">
        <f t="shared" si="930"/>
        <v>0</v>
      </c>
      <c r="AAC115" s="207"/>
      <c r="AAD115" s="207"/>
      <c r="AAE115" s="207"/>
      <c r="AAF115" s="207"/>
      <c r="AAG115" s="207"/>
      <c r="AAH115" s="272"/>
      <c r="AAI115" s="272"/>
      <c r="AAJ115" s="205">
        <f t="shared" si="931"/>
        <v>0</v>
      </c>
      <c r="AAK115" s="207"/>
      <c r="AAL115" s="207"/>
      <c r="AAM115" s="207"/>
      <c r="AAN115" s="207"/>
      <c r="AAO115" s="207"/>
      <c r="AAP115" s="272"/>
      <c r="AAQ115" s="272"/>
      <c r="AAR115" s="205">
        <f t="shared" si="932"/>
        <v>0</v>
      </c>
      <c r="AAS115" s="205">
        <f t="shared" si="933"/>
        <v>0</v>
      </c>
    </row>
    <row r="116" spans="2:777" ht="69.599999999999994" customHeight="1">
      <c r="B116" s="151">
        <v>3630101476</v>
      </c>
      <c r="C116" s="323" t="s">
        <v>741</v>
      </c>
      <c r="D116" s="152" t="s">
        <v>533</v>
      </c>
      <c r="E116" s="130" t="s">
        <v>4</v>
      </c>
      <c r="F116" s="120"/>
      <c r="G116" s="120"/>
      <c r="H116" s="120"/>
      <c r="I116" s="120"/>
      <c r="J116" s="120"/>
      <c r="K116" s="209"/>
      <c r="L116" s="205"/>
      <c r="M116" s="205">
        <f t="shared" si="1048"/>
        <v>0</v>
      </c>
      <c r="N116" s="120"/>
      <c r="O116" s="120"/>
      <c r="P116" s="120"/>
      <c r="Q116" s="120"/>
      <c r="R116" s="120"/>
      <c r="S116" s="209"/>
      <c r="T116" s="205"/>
      <c r="U116" s="205">
        <f t="shared" si="1049"/>
        <v>0</v>
      </c>
      <c r="V116" s="120"/>
      <c r="W116" s="120"/>
      <c r="X116" s="120"/>
      <c r="Y116" s="120"/>
      <c r="Z116" s="120"/>
      <c r="AA116" s="209"/>
      <c r="AB116" s="205"/>
      <c r="AC116" s="205">
        <f t="shared" si="1050"/>
        <v>0</v>
      </c>
      <c r="AD116" s="205"/>
      <c r="AE116" s="205"/>
      <c r="AF116" s="205"/>
      <c r="AG116" s="205"/>
      <c r="AH116" s="205"/>
      <c r="AI116" s="209"/>
      <c r="AJ116" s="205"/>
      <c r="AK116" s="205">
        <f t="shared" si="1051"/>
        <v>0</v>
      </c>
      <c r="AL116" s="205" t="e">
        <f>SUM(#REF!,M116,U116,AC116,AD116:AH116)</f>
        <v>#REF!</v>
      </c>
      <c r="AM116" s="120"/>
      <c r="AN116" s="120"/>
      <c r="AO116" s="120"/>
      <c r="AP116" s="120"/>
      <c r="AQ116" s="120"/>
      <c r="AR116" s="209"/>
      <c r="AS116" s="205"/>
      <c r="AT116" s="205">
        <f t="shared" si="1052"/>
        <v>0</v>
      </c>
      <c r="AU116" s="201">
        <v>200</v>
      </c>
      <c r="AV116" s="120"/>
      <c r="AW116" s="120"/>
      <c r="AX116" s="120"/>
      <c r="AY116" s="120"/>
      <c r="AZ116" s="209"/>
      <c r="BA116" s="205"/>
      <c r="BB116" s="205">
        <f t="shared" si="1053"/>
        <v>200</v>
      </c>
      <c r="BC116" s="120"/>
      <c r="BD116" s="120"/>
      <c r="BE116" s="120"/>
      <c r="BF116" s="120"/>
      <c r="BG116" s="120"/>
      <c r="BH116" s="209"/>
      <c r="BI116" s="205"/>
      <c r="BJ116" s="205">
        <f t="shared" si="1054"/>
        <v>0</v>
      </c>
      <c r="BK116" s="120"/>
      <c r="BL116" s="120"/>
      <c r="BM116" s="120"/>
      <c r="BN116" s="120"/>
      <c r="BO116" s="205"/>
      <c r="BP116" s="209"/>
      <c r="BQ116" s="205"/>
      <c r="BR116" s="205">
        <f t="shared" si="1055"/>
        <v>0</v>
      </c>
      <c r="BS116" s="205">
        <f t="shared" si="832"/>
        <v>200</v>
      </c>
      <c r="BT116" s="120"/>
      <c r="BU116" s="120"/>
      <c r="BV116" s="120"/>
      <c r="BW116" s="120"/>
      <c r="BX116" s="120"/>
      <c r="BY116" s="209"/>
      <c r="BZ116" s="205"/>
      <c r="CA116" s="205">
        <f t="shared" si="1056"/>
        <v>0</v>
      </c>
      <c r="CB116" s="120"/>
      <c r="CC116" s="120"/>
      <c r="CD116" s="120"/>
      <c r="CE116" s="120"/>
      <c r="CF116" s="120"/>
      <c r="CG116" s="209"/>
      <c r="CH116" s="205"/>
      <c r="CI116" s="205">
        <f t="shared" si="1057"/>
        <v>0</v>
      </c>
      <c r="CJ116" s="120"/>
      <c r="CK116" s="120"/>
      <c r="CL116" s="120"/>
      <c r="CM116" s="120"/>
      <c r="CN116" s="120"/>
      <c r="CO116" s="209"/>
      <c r="CP116" s="205"/>
      <c r="CQ116" s="205">
        <f t="shared" si="1058"/>
        <v>0</v>
      </c>
      <c r="CR116" s="120"/>
      <c r="CS116" s="120"/>
      <c r="CT116" s="120"/>
      <c r="CU116" s="120"/>
      <c r="CV116" s="120"/>
      <c r="CW116" s="209"/>
      <c r="CX116" s="205"/>
      <c r="CY116" s="205">
        <f t="shared" si="1059"/>
        <v>0</v>
      </c>
      <c r="CZ116" s="120"/>
      <c r="DA116" s="120"/>
      <c r="DB116" s="120"/>
      <c r="DC116" s="205"/>
      <c r="DD116" s="205"/>
      <c r="DE116" s="209"/>
      <c r="DF116" s="205"/>
      <c r="DG116" s="205">
        <f t="shared" si="1060"/>
        <v>0</v>
      </c>
      <c r="DH116" s="205">
        <f t="shared" si="838"/>
        <v>0</v>
      </c>
      <c r="DI116" s="120"/>
      <c r="DJ116" s="120"/>
      <c r="DK116" s="120"/>
      <c r="DL116" s="120"/>
      <c r="DM116" s="120"/>
      <c r="DN116" s="209"/>
      <c r="DO116" s="205"/>
      <c r="DP116" s="205">
        <f t="shared" si="839"/>
        <v>0</v>
      </c>
      <c r="DQ116" s="120"/>
      <c r="DR116" s="120"/>
      <c r="DS116" s="120"/>
      <c r="DT116" s="120"/>
      <c r="DU116" s="120"/>
      <c r="DV116" s="209"/>
      <c r="DW116" s="205"/>
      <c r="DX116" s="205">
        <f t="shared" si="840"/>
        <v>0</v>
      </c>
      <c r="DY116" s="217">
        <v>300</v>
      </c>
      <c r="DZ116" s="120"/>
      <c r="EA116" s="120"/>
      <c r="EB116" s="120"/>
      <c r="EC116" s="120"/>
      <c r="ED116" s="209"/>
      <c r="EE116" s="205"/>
      <c r="EF116" s="205">
        <f t="shared" si="841"/>
        <v>300</v>
      </c>
      <c r="EG116" s="120"/>
      <c r="EH116" s="120"/>
      <c r="EI116" s="120"/>
      <c r="EJ116" s="205"/>
      <c r="EK116" s="205"/>
      <c r="EL116" s="209"/>
      <c r="EM116" s="205"/>
      <c r="EN116" s="205">
        <f t="shared" si="842"/>
        <v>0</v>
      </c>
      <c r="EO116" s="205">
        <f t="shared" si="843"/>
        <v>300</v>
      </c>
      <c r="EP116" s="120"/>
      <c r="EQ116" s="120"/>
      <c r="ER116" s="120"/>
      <c r="ES116" s="120"/>
      <c r="ET116" s="120"/>
      <c r="EU116" s="209"/>
      <c r="EV116" s="205"/>
      <c r="EW116" s="205">
        <f t="shared" si="844"/>
        <v>0</v>
      </c>
      <c r="EX116" s="120"/>
      <c r="EY116" s="120"/>
      <c r="EZ116" s="120"/>
      <c r="FA116" s="120"/>
      <c r="FB116" s="120"/>
      <c r="FC116" s="209"/>
      <c r="FD116" s="205"/>
      <c r="FE116" s="205">
        <f t="shared" si="845"/>
        <v>0</v>
      </c>
      <c r="FF116" s="120"/>
      <c r="FG116" s="120"/>
      <c r="FH116" s="120"/>
      <c r="FI116" s="120"/>
      <c r="FJ116" s="120"/>
      <c r="FK116" s="209"/>
      <c r="FL116" s="205"/>
      <c r="FM116" s="205">
        <f t="shared" si="846"/>
        <v>0</v>
      </c>
      <c r="FN116" s="120"/>
      <c r="FO116" s="120"/>
      <c r="FP116" s="120"/>
      <c r="FQ116" s="120"/>
      <c r="FR116" s="205"/>
      <c r="FS116" s="209"/>
      <c r="FT116" s="205"/>
      <c r="FU116" s="205">
        <f t="shared" si="847"/>
        <v>0</v>
      </c>
      <c r="FV116" s="205">
        <f t="shared" si="848"/>
        <v>0</v>
      </c>
      <c r="FW116" s="120"/>
      <c r="FX116" s="120"/>
      <c r="FY116" s="120"/>
      <c r="FZ116" s="120"/>
      <c r="GA116" s="120"/>
      <c r="GB116" s="209"/>
      <c r="GC116" s="205"/>
      <c r="GD116" s="205">
        <f t="shared" si="849"/>
        <v>0</v>
      </c>
      <c r="GE116" s="120"/>
      <c r="GF116" s="120"/>
      <c r="GG116" s="120"/>
      <c r="GH116" s="120"/>
      <c r="GI116" s="120"/>
      <c r="GJ116" s="209"/>
      <c r="GK116" s="205"/>
      <c r="GL116" s="205">
        <f t="shared" si="850"/>
        <v>0</v>
      </c>
      <c r="GM116" s="120"/>
      <c r="GN116" s="120"/>
      <c r="GO116" s="120"/>
      <c r="GP116" s="120"/>
      <c r="GQ116" s="120"/>
      <c r="GR116" s="209"/>
      <c r="GS116" s="205"/>
      <c r="GT116" s="205">
        <f t="shared" si="851"/>
        <v>0</v>
      </c>
      <c r="GU116" s="120"/>
      <c r="GV116" s="120"/>
      <c r="GW116" s="120"/>
      <c r="GX116" s="120"/>
      <c r="GY116" s="120"/>
      <c r="GZ116" s="209"/>
      <c r="HA116" s="205"/>
      <c r="HB116" s="205">
        <f t="shared" si="852"/>
        <v>0</v>
      </c>
      <c r="HC116" s="120"/>
      <c r="HD116" s="120"/>
      <c r="HE116" s="120"/>
      <c r="HF116" s="120"/>
      <c r="HG116" s="120"/>
      <c r="HH116" s="209"/>
      <c r="HI116" s="205"/>
      <c r="HJ116" s="205">
        <f t="shared" si="853"/>
        <v>0</v>
      </c>
      <c r="HK116" s="205">
        <f t="shared" si="854"/>
        <v>0</v>
      </c>
      <c r="HL116" s="124"/>
      <c r="HM116" s="120"/>
      <c r="HN116" s="120"/>
      <c r="HO116" s="120"/>
      <c r="HP116" s="120"/>
      <c r="HQ116" s="205"/>
      <c r="HR116" s="205"/>
      <c r="HS116" s="205">
        <f t="shared" si="934"/>
        <v>0</v>
      </c>
      <c r="HT116" s="120"/>
      <c r="HU116" s="120"/>
      <c r="HV116" s="120"/>
      <c r="HW116" s="120"/>
      <c r="HX116" s="120"/>
      <c r="HY116" s="205"/>
      <c r="HZ116" s="205"/>
      <c r="IA116" s="205">
        <f t="shared" si="935"/>
        <v>0</v>
      </c>
      <c r="IB116" s="120"/>
      <c r="IC116" s="120"/>
      <c r="ID116" s="120"/>
      <c r="IE116" s="120"/>
      <c r="IF116" s="120"/>
      <c r="IG116" s="205"/>
      <c r="IH116" s="205"/>
      <c r="II116" s="205">
        <f t="shared" si="936"/>
        <v>0</v>
      </c>
      <c r="IJ116" s="120"/>
      <c r="IK116" s="120"/>
      <c r="IL116" s="120"/>
      <c r="IM116" s="120"/>
      <c r="IN116" s="120"/>
      <c r="IO116" s="205"/>
      <c r="IP116" s="205"/>
      <c r="IQ116" s="205">
        <f t="shared" si="937"/>
        <v>0</v>
      </c>
      <c r="IR116" s="205">
        <f t="shared" si="938"/>
        <v>0</v>
      </c>
      <c r="IS116" s="120"/>
      <c r="IT116" s="120"/>
      <c r="IU116" s="120"/>
      <c r="IV116" s="120"/>
      <c r="IW116" s="120"/>
      <c r="IX116" s="205"/>
      <c r="IY116" s="205"/>
      <c r="IZ116" s="205">
        <f t="shared" si="939"/>
        <v>0</v>
      </c>
      <c r="JA116" s="120"/>
      <c r="JB116" s="120"/>
      <c r="JC116" s="120"/>
      <c r="JD116" s="120"/>
      <c r="JE116" s="120"/>
      <c r="JF116" s="205"/>
      <c r="JG116" s="205"/>
      <c r="JH116" s="205">
        <f t="shared" si="940"/>
        <v>0</v>
      </c>
      <c r="JI116" s="120"/>
      <c r="JJ116" s="120"/>
      <c r="JK116" s="120"/>
      <c r="JL116" s="120"/>
      <c r="JM116" s="120"/>
      <c r="JN116" s="205"/>
      <c r="JO116" s="205"/>
      <c r="JP116" s="205">
        <f t="shared" si="941"/>
        <v>0</v>
      </c>
      <c r="JQ116" s="120"/>
      <c r="JR116" s="120"/>
      <c r="JS116" s="120"/>
      <c r="JT116" s="120"/>
      <c r="JU116" s="120"/>
      <c r="JV116" s="205"/>
      <c r="JW116" s="205"/>
      <c r="JX116" s="205">
        <f t="shared" si="942"/>
        <v>0</v>
      </c>
      <c r="JY116" s="205">
        <f t="shared" si="943"/>
        <v>0</v>
      </c>
      <c r="JZ116" s="120"/>
      <c r="KA116" s="120"/>
      <c r="KB116" s="120"/>
      <c r="KC116" s="120"/>
      <c r="KD116" s="120"/>
      <c r="KE116" s="205"/>
      <c r="KF116" s="205"/>
      <c r="KG116" s="205">
        <f t="shared" si="944"/>
        <v>0</v>
      </c>
      <c r="KH116" s="120"/>
      <c r="KI116" s="120"/>
      <c r="KJ116" s="120"/>
      <c r="KK116" s="120"/>
      <c r="KL116" s="120"/>
      <c r="KM116" s="205"/>
      <c r="KN116" s="205"/>
      <c r="KO116" s="205">
        <f t="shared" si="945"/>
        <v>0</v>
      </c>
      <c r="KP116" s="120"/>
      <c r="KQ116" s="120"/>
      <c r="KR116" s="120"/>
      <c r="KS116" s="120"/>
      <c r="KT116" s="120"/>
      <c r="KU116" s="205"/>
      <c r="KV116" s="205"/>
      <c r="KW116" s="205">
        <f t="shared" si="946"/>
        <v>0</v>
      </c>
      <c r="KX116" s="120"/>
      <c r="KY116" s="120"/>
      <c r="KZ116" s="120"/>
      <c r="LA116" s="120"/>
      <c r="LB116" s="120"/>
      <c r="LC116" s="205"/>
      <c r="LD116" s="205"/>
      <c r="LE116" s="205">
        <f t="shared" si="947"/>
        <v>0</v>
      </c>
      <c r="LF116" s="205"/>
      <c r="LG116" s="120"/>
      <c r="LH116" s="120"/>
      <c r="LI116" s="120"/>
      <c r="LJ116" s="120"/>
      <c r="LK116" s="205"/>
      <c r="LL116" s="205"/>
      <c r="LM116" s="205">
        <f t="shared" si="948"/>
        <v>0</v>
      </c>
      <c r="LN116" s="205">
        <f t="shared" si="949"/>
        <v>0</v>
      </c>
      <c r="LO116" s="205"/>
      <c r="LP116" s="120"/>
      <c r="LQ116" s="120"/>
      <c r="LR116" s="120"/>
      <c r="LS116" s="205"/>
      <c r="LT116" s="205"/>
      <c r="LU116" s="205"/>
      <c r="LV116" s="205">
        <f t="shared" si="950"/>
        <v>0</v>
      </c>
      <c r="LW116" s="120"/>
      <c r="LX116" s="120"/>
      <c r="LY116" s="120"/>
      <c r="LZ116" s="120"/>
      <c r="MA116" s="120"/>
      <c r="MB116" s="205"/>
      <c r="MC116" s="205"/>
      <c r="MD116" s="205">
        <f t="shared" si="951"/>
        <v>0</v>
      </c>
      <c r="ME116" s="120"/>
      <c r="MF116" s="120"/>
      <c r="MG116" s="120"/>
      <c r="MH116" s="120"/>
      <c r="MI116" s="205"/>
      <c r="MJ116" s="205"/>
      <c r="MK116" s="205"/>
      <c r="ML116" s="205">
        <f t="shared" si="952"/>
        <v>0</v>
      </c>
      <c r="MM116" s="120"/>
      <c r="MN116" s="120"/>
      <c r="MO116" s="120"/>
      <c r="MP116" s="120"/>
      <c r="MQ116" s="120"/>
      <c r="MR116" s="205"/>
      <c r="MS116" s="205"/>
      <c r="MT116" s="205">
        <f t="shared" si="953"/>
        <v>0</v>
      </c>
      <c r="MU116" s="205">
        <f t="shared" si="954"/>
        <v>0</v>
      </c>
      <c r="MV116" s="120"/>
      <c r="MW116" s="120"/>
      <c r="MX116" s="120"/>
      <c r="MY116" s="120"/>
      <c r="MZ116" s="120"/>
      <c r="NA116" s="205"/>
      <c r="NB116" s="205"/>
      <c r="NC116" s="205">
        <f t="shared" si="880"/>
        <v>0</v>
      </c>
      <c r="ND116" s="217">
        <v>200</v>
      </c>
      <c r="NE116" s="120"/>
      <c r="NF116" s="120"/>
      <c r="NG116" s="120"/>
      <c r="NH116" s="120"/>
      <c r="NI116" s="205"/>
      <c r="NJ116" s="205"/>
      <c r="NK116" s="205">
        <f t="shared" si="881"/>
        <v>200</v>
      </c>
      <c r="NL116" s="120"/>
      <c r="NM116" s="120"/>
      <c r="NN116" s="120"/>
      <c r="NO116" s="120"/>
      <c r="NP116" s="120"/>
      <c r="NQ116" s="205"/>
      <c r="NR116" s="205"/>
      <c r="NS116" s="205">
        <f t="shared" si="882"/>
        <v>0</v>
      </c>
      <c r="NT116" s="120"/>
      <c r="NU116" s="120"/>
      <c r="NV116" s="120"/>
      <c r="NW116" s="120"/>
      <c r="NX116" s="120"/>
      <c r="NY116" s="205"/>
      <c r="NZ116" s="205"/>
      <c r="OA116" s="205">
        <f t="shared" si="883"/>
        <v>0</v>
      </c>
      <c r="OB116" s="205">
        <f t="shared" si="884"/>
        <v>200</v>
      </c>
      <c r="OC116" s="120"/>
      <c r="OD116" s="120"/>
      <c r="OE116" s="120"/>
      <c r="OF116" s="120"/>
      <c r="OG116" s="120"/>
      <c r="OH116" s="205"/>
      <c r="OI116" s="205"/>
      <c r="OJ116" s="205">
        <f t="shared" si="885"/>
        <v>0</v>
      </c>
      <c r="OK116" s="120"/>
      <c r="OL116" s="120"/>
      <c r="OM116" s="120"/>
      <c r="ON116" s="120"/>
      <c r="OO116" s="120"/>
      <c r="OP116" s="205"/>
      <c r="OQ116" s="205"/>
      <c r="OR116" s="205">
        <f t="shared" si="886"/>
        <v>0</v>
      </c>
      <c r="OS116" s="124">
        <v>300</v>
      </c>
      <c r="OT116" s="120"/>
      <c r="OU116" s="120"/>
      <c r="OV116" s="120"/>
      <c r="OW116" s="120"/>
      <c r="OX116" s="205"/>
      <c r="OY116" s="205"/>
      <c r="OZ116" s="205">
        <f t="shared" si="887"/>
        <v>300</v>
      </c>
      <c r="PA116" s="120"/>
      <c r="PB116" s="120"/>
      <c r="PC116" s="120"/>
      <c r="PD116" s="205"/>
      <c r="PE116" s="217"/>
      <c r="PF116" s="205"/>
      <c r="PG116" s="205"/>
      <c r="PH116" s="205">
        <f t="shared" si="888"/>
        <v>0</v>
      </c>
      <c r="PI116" s="120"/>
      <c r="PJ116" s="120"/>
      <c r="PK116" s="120"/>
      <c r="PL116" s="205"/>
      <c r="PM116" s="217"/>
      <c r="PN116" s="205"/>
      <c r="PO116" s="205"/>
      <c r="PP116" s="205">
        <f t="shared" si="889"/>
        <v>0</v>
      </c>
      <c r="PQ116" s="205">
        <f t="shared" si="890"/>
        <v>300</v>
      </c>
      <c r="PR116" s="207"/>
      <c r="PS116" s="207"/>
      <c r="PT116" s="207"/>
      <c r="PU116" s="207"/>
      <c r="PV116" s="207"/>
      <c r="PW116" s="272"/>
      <c r="PX116" s="272"/>
      <c r="PY116" s="205">
        <f t="shared" si="891"/>
        <v>0</v>
      </c>
      <c r="PZ116" s="207"/>
      <c r="QA116" s="207"/>
      <c r="QB116" s="207"/>
      <c r="QC116" s="207"/>
      <c r="QD116" s="207"/>
      <c r="QE116" s="272"/>
      <c r="QF116" s="272"/>
      <c r="QG116" s="205">
        <f t="shared" si="892"/>
        <v>0</v>
      </c>
      <c r="QH116" s="207"/>
      <c r="QI116" s="207"/>
      <c r="QJ116" s="294"/>
      <c r="QK116" s="207"/>
      <c r="QL116" s="207"/>
      <c r="QM116" s="272"/>
      <c r="QN116" s="272"/>
      <c r="QO116" s="205">
        <f t="shared" si="893"/>
        <v>0</v>
      </c>
      <c r="QP116" s="207"/>
      <c r="QQ116" s="207"/>
      <c r="QR116" s="207"/>
      <c r="QS116" s="207"/>
      <c r="QT116" s="207"/>
      <c r="QU116" s="272"/>
      <c r="QV116" s="272"/>
      <c r="QW116" s="205">
        <f t="shared" si="894"/>
        <v>0</v>
      </c>
      <c r="QX116" s="205">
        <f t="shared" si="895"/>
        <v>0</v>
      </c>
      <c r="QY116" s="207"/>
      <c r="QZ116" s="207"/>
      <c r="RA116" s="207"/>
      <c r="RB116" s="207"/>
      <c r="RC116" s="207"/>
      <c r="RD116" s="272"/>
      <c r="RE116" s="272"/>
      <c r="RF116" s="205">
        <f>SUM(QY116:RE116)</f>
        <v>0</v>
      </c>
      <c r="RG116" s="207"/>
      <c r="RH116" s="207"/>
      <c r="RI116" s="207"/>
      <c r="RJ116" s="207"/>
      <c r="RK116" s="207"/>
      <c r="RL116" s="272"/>
      <c r="RM116" s="272"/>
      <c r="RN116" s="205">
        <f t="shared" si="897"/>
        <v>0</v>
      </c>
      <c r="RO116" s="272"/>
      <c r="RP116" s="272"/>
      <c r="RQ116" s="272"/>
      <c r="RR116" s="272"/>
      <c r="RS116" s="272"/>
      <c r="RT116" s="272"/>
      <c r="RU116" s="272"/>
      <c r="RV116" s="205">
        <f t="shared" si="898"/>
        <v>0</v>
      </c>
      <c r="RW116" s="207"/>
      <c r="RX116" s="207"/>
      <c r="RY116" s="207"/>
      <c r="RZ116" s="207"/>
      <c r="SA116" s="272"/>
      <c r="SB116" s="272"/>
      <c r="SC116" s="272"/>
      <c r="SD116" s="205">
        <f t="shared" si="899"/>
        <v>0</v>
      </c>
      <c r="SE116" s="205">
        <f t="shared" si="900"/>
        <v>0</v>
      </c>
      <c r="SF116" s="207"/>
      <c r="SG116" s="207"/>
      <c r="SH116" s="207"/>
      <c r="SI116" s="207"/>
      <c r="SJ116" s="207"/>
      <c r="SK116" s="272"/>
      <c r="SL116" s="272"/>
      <c r="SM116" s="205">
        <f t="shared" si="901"/>
        <v>0</v>
      </c>
      <c r="SN116" s="207"/>
      <c r="SO116" s="207"/>
      <c r="SP116" s="207"/>
      <c r="SQ116" s="207"/>
      <c r="SR116" s="207"/>
      <c r="SS116" s="272"/>
      <c r="ST116" s="272"/>
      <c r="SU116" s="205">
        <f t="shared" si="902"/>
        <v>0</v>
      </c>
      <c r="SV116" s="207"/>
      <c r="SW116" s="207"/>
      <c r="SX116" s="207"/>
      <c r="SY116" s="207"/>
      <c r="SZ116" s="207"/>
      <c r="TA116" s="272"/>
      <c r="TB116" s="272"/>
      <c r="TC116" s="205">
        <f t="shared" si="903"/>
        <v>0</v>
      </c>
      <c r="TD116" s="207"/>
      <c r="TE116" s="207"/>
      <c r="TF116" s="207"/>
      <c r="TG116" s="207"/>
      <c r="TH116" s="207"/>
      <c r="TI116" s="272"/>
      <c r="TJ116" s="272"/>
      <c r="TK116" s="205">
        <f t="shared" si="904"/>
        <v>0</v>
      </c>
      <c r="TL116" s="207"/>
      <c r="TM116" s="207"/>
      <c r="TN116" s="207"/>
      <c r="TO116" s="207"/>
      <c r="TP116" s="272"/>
      <c r="TQ116" s="272"/>
      <c r="TR116" s="272"/>
      <c r="TS116" s="205">
        <f t="shared" si="905"/>
        <v>0</v>
      </c>
      <c r="TT116" s="205">
        <f t="shared" si="906"/>
        <v>0</v>
      </c>
      <c r="TU116" s="272"/>
      <c r="TV116" s="207"/>
      <c r="TW116" s="207"/>
      <c r="TX116" s="195">
        <v>330</v>
      </c>
      <c r="TY116" s="207"/>
      <c r="TZ116" s="272"/>
      <c r="UA116" s="272"/>
      <c r="UB116" s="205">
        <f t="shared" si="907"/>
        <v>330</v>
      </c>
      <c r="UC116" s="207"/>
      <c r="UD116" s="207"/>
      <c r="UE116" s="207"/>
      <c r="UF116" s="207"/>
      <c r="UG116" s="207"/>
      <c r="UH116" s="272"/>
      <c r="UI116" s="272"/>
      <c r="UJ116" s="205">
        <f t="shared" si="908"/>
        <v>0</v>
      </c>
      <c r="UK116" s="207"/>
      <c r="UL116" s="207"/>
      <c r="UM116" s="207"/>
      <c r="UN116" s="207"/>
      <c r="UO116" s="207"/>
      <c r="UP116" s="272"/>
      <c r="UQ116" s="272"/>
      <c r="UR116" s="205">
        <f t="shared" si="909"/>
        <v>0</v>
      </c>
      <c r="US116" s="207"/>
      <c r="UT116" s="207"/>
      <c r="UU116" s="207"/>
      <c r="UV116" s="207"/>
      <c r="UW116" s="272"/>
      <c r="UX116" s="272"/>
      <c r="UY116" s="272"/>
      <c r="UZ116" s="205">
        <f t="shared" si="910"/>
        <v>0</v>
      </c>
      <c r="VA116" s="205">
        <f t="shared" si="911"/>
        <v>330</v>
      </c>
      <c r="VB116" s="207"/>
      <c r="VC116" s="207"/>
      <c r="VD116" s="207"/>
      <c r="VE116" s="207"/>
      <c r="VF116" s="207"/>
      <c r="VG116" s="272"/>
      <c r="VH116" s="272"/>
      <c r="VI116" s="205">
        <f t="shared" si="912"/>
        <v>0</v>
      </c>
      <c r="VJ116" s="207"/>
      <c r="VK116" s="207"/>
      <c r="VL116" s="207"/>
      <c r="VM116" s="207"/>
      <c r="VN116" s="207"/>
      <c r="VO116" s="272"/>
      <c r="VP116" s="272"/>
      <c r="VQ116" s="205">
        <f t="shared" si="913"/>
        <v>0</v>
      </c>
      <c r="VR116" s="207"/>
      <c r="VS116" s="207"/>
      <c r="VT116" s="207"/>
      <c r="VU116" s="207"/>
      <c r="VV116" s="207"/>
      <c r="VW116" s="272"/>
      <c r="VX116" s="272"/>
      <c r="VY116" s="205">
        <f t="shared" si="914"/>
        <v>0</v>
      </c>
      <c r="VZ116" s="207"/>
      <c r="WA116" s="207"/>
      <c r="WB116" s="207"/>
      <c r="WC116" s="207"/>
      <c r="WD116" s="207"/>
      <c r="WE116" s="272"/>
      <c r="WF116" s="272"/>
      <c r="WG116" s="205">
        <f t="shared" si="915"/>
        <v>0</v>
      </c>
      <c r="WH116" s="205">
        <f t="shared" si="916"/>
        <v>0</v>
      </c>
      <c r="WI116" s="207"/>
      <c r="WJ116" s="207"/>
      <c r="WK116" s="207"/>
      <c r="WL116" s="207"/>
      <c r="WM116" s="207"/>
      <c r="WN116" s="272"/>
      <c r="WO116" s="272"/>
      <c r="WP116" s="205">
        <f t="shared" si="917"/>
        <v>0</v>
      </c>
      <c r="WQ116" s="207"/>
      <c r="WR116" s="207"/>
      <c r="WS116" s="207"/>
      <c r="WT116" s="207"/>
      <c r="WU116" s="207"/>
      <c r="WV116" s="272"/>
      <c r="WW116" s="272"/>
      <c r="WX116" s="205">
        <f t="shared" si="918"/>
        <v>0</v>
      </c>
      <c r="WY116" s="207"/>
      <c r="WZ116" s="207"/>
      <c r="XA116" s="207"/>
      <c r="XB116" s="207"/>
      <c r="XC116" s="272"/>
      <c r="XD116" s="272"/>
      <c r="XE116" s="272"/>
      <c r="XF116" s="205">
        <f t="shared" si="919"/>
        <v>0</v>
      </c>
      <c r="XG116" s="207"/>
      <c r="XH116" s="207"/>
      <c r="XI116" s="207"/>
      <c r="XJ116" s="207"/>
      <c r="XK116" s="207"/>
      <c r="XL116" s="272"/>
      <c r="XM116" s="272"/>
      <c r="XN116" s="205">
        <f t="shared" si="920"/>
        <v>0</v>
      </c>
      <c r="XO116" s="207"/>
      <c r="XP116" s="207"/>
      <c r="XQ116" s="207"/>
      <c r="XR116" s="207"/>
      <c r="XS116" s="207"/>
      <c r="XT116" s="272"/>
      <c r="XU116" s="272"/>
      <c r="XV116" s="205">
        <f t="shared" si="921"/>
        <v>0</v>
      </c>
      <c r="XW116" s="205">
        <f t="shared" si="922"/>
        <v>0</v>
      </c>
      <c r="XX116" s="207"/>
      <c r="XY116" s="207"/>
      <c r="XZ116" s="207"/>
      <c r="YA116" s="207"/>
      <c r="YB116" s="207"/>
      <c r="YC116" s="272"/>
      <c r="YD116" s="272"/>
      <c r="YE116" s="205">
        <f t="shared" si="923"/>
        <v>0</v>
      </c>
      <c r="YF116" s="207"/>
      <c r="YG116" s="207"/>
      <c r="YH116" s="207"/>
      <c r="YI116" s="207"/>
      <c r="YJ116" s="207"/>
      <c r="YK116" s="272"/>
      <c r="YL116" s="272"/>
      <c r="YM116" s="205">
        <f t="shared" si="924"/>
        <v>0</v>
      </c>
      <c r="YN116" s="207"/>
      <c r="YO116" s="207"/>
      <c r="YP116" s="207"/>
      <c r="YQ116" s="207"/>
      <c r="YR116" s="207"/>
      <c r="YS116" s="272"/>
      <c r="YT116" s="272"/>
      <c r="YU116" s="205">
        <f t="shared" si="925"/>
        <v>0</v>
      </c>
      <c r="YV116" s="207"/>
      <c r="YW116" s="207"/>
      <c r="YX116" s="207"/>
      <c r="YY116" s="207"/>
      <c r="YZ116" s="207"/>
      <c r="ZA116" s="272"/>
      <c r="ZB116" s="272"/>
      <c r="ZC116" s="205">
        <f t="shared" si="926"/>
        <v>0</v>
      </c>
      <c r="ZD116" s="205">
        <f t="shared" si="927"/>
        <v>0</v>
      </c>
      <c r="ZE116" s="207"/>
      <c r="ZF116" s="207"/>
      <c r="ZG116" s="207"/>
      <c r="ZH116" s="207"/>
      <c r="ZI116" s="207"/>
      <c r="ZJ116" s="272"/>
      <c r="ZK116" s="272"/>
      <c r="ZL116" s="205">
        <f t="shared" si="928"/>
        <v>0</v>
      </c>
      <c r="ZM116" s="207"/>
      <c r="ZN116" s="207"/>
      <c r="ZO116" s="207"/>
      <c r="ZP116" s="207"/>
      <c r="ZQ116" s="207"/>
      <c r="ZR116" s="272"/>
      <c r="ZS116" s="272"/>
      <c r="ZT116" s="205">
        <f t="shared" si="929"/>
        <v>0</v>
      </c>
      <c r="ZU116" s="207"/>
      <c r="ZV116" s="207"/>
      <c r="ZW116" s="207"/>
      <c r="ZX116" s="207"/>
      <c r="ZY116" s="207"/>
      <c r="ZZ116" s="272"/>
      <c r="AAA116" s="272"/>
      <c r="AAB116" s="205">
        <f t="shared" si="930"/>
        <v>0</v>
      </c>
      <c r="AAC116" s="207"/>
      <c r="AAD116" s="207"/>
      <c r="AAE116" s="207"/>
      <c r="AAF116" s="207"/>
      <c r="AAG116" s="207"/>
      <c r="AAH116" s="272"/>
      <c r="AAI116" s="272"/>
      <c r="AAJ116" s="205">
        <f t="shared" si="931"/>
        <v>0</v>
      </c>
      <c r="AAK116" s="207"/>
      <c r="AAL116" s="207"/>
      <c r="AAM116" s="207"/>
      <c r="AAN116" s="207"/>
      <c r="AAO116" s="207"/>
      <c r="AAP116" s="272"/>
      <c r="AAQ116" s="272"/>
      <c r="AAR116" s="205">
        <f t="shared" si="932"/>
        <v>0</v>
      </c>
      <c r="AAS116" s="205">
        <f t="shared" si="933"/>
        <v>0</v>
      </c>
    </row>
    <row r="117" spans="2:777" ht="69.95" customHeight="1">
      <c r="B117" s="151">
        <v>3630101478</v>
      </c>
      <c r="C117" s="323" t="s">
        <v>741</v>
      </c>
      <c r="D117" s="152" t="s">
        <v>607</v>
      </c>
      <c r="E117" s="130" t="s">
        <v>4</v>
      </c>
      <c r="F117" s="120"/>
      <c r="G117" s="201">
        <v>200</v>
      </c>
      <c r="H117" s="120"/>
      <c r="I117" s="120"/>
      <c r="J117" s="120"/>
      <c r="K117" s="209"/>
      <c r="L117" s="205"/>
      <c r="M117" s="205">
        <f t="shared" si="1048"/>
        <v>200</v>
      </c>
      <c r="N117" s="120"/>
      <c r="O117" s="120"/>
      <c r="P117" s="120"/>
      <c r="Q117" s="120"/>
      <c r="R117" s="120"/>
      <c r="S117" s="209"/>
      <c r="T117" s="205"/>
      <c r="U117" s="205">
        <f t="shared" si="1049"/>
        <v>0</v>
      </c>
      <c r="V117" s="120"/>
      <c r="W117" s="120"/>
      <c r="X117" s="120"/>
      <c r="Y117" s="120"/>
      <c r="Z117" s="120"/>
      <c r="AA117" s="209"/>
      <c r="AB117" s="205"/>
      <c r="AC117" s="205">
        <f t="shared" si="1050"/>
        <v>0</v>
      </c>
      <c r="AD117" s="205"/>
      <c r="AE117" s="205"/>
      <c r="AF117" s="205"/>
      <c r="AG117" s="205"/>
      <c r="AH117" s="205"/>
      <c r="AI117" s="209"/>
      <c r="AJ117" s="205"/>
      <c r="AK117" s="205">
        <f t="shared" si="1051"/>
        <v>0</v>
      </c>
      <c r="AL117" s="205" t="e">
        <f>SUM(#REF!,M117,U117,AC117,AD117:AH117)</f>
        <v>#REF!</v>
      </c>
      <c r="AM117" s="120"/>
      <c r="AN117" s="120"/>
      <c r="AO117" s="120"/>
      <c r="AP117" s="120"/>
      <c r="AQ117" s="120"/>
      <c r="AR117" s="209"/>
      <c r="AS117" s="205"/>
      <c r="AT117" s="205">
        <f t="shared" si="1052"/>
        <v>0</v>
      </c>
      <c r="AU117" s="120"/>
      <c r="AV117" s="120"/>
      <c r="AW117" s="120"/>
      <c r="AX117" s="120"/>
      <c r="AY117" s="120"/>
      <c r="AZ117" s="209"/>
      <c r="BA117" s="205"/>
      <c r="BB117" s="205">
        <f t="shared" si="1053"/>
        <v>0</v>
      </c>
      <c r="BC117" s="120"/>
      <c r="BD117" s="120"/>
      <c r="BE117" s="120"/>
      <c r="BF117" s="120"/>
      <c r="BG117" s="120"/>
      <c r="BH117" s="209"/>
      <c r="BI117" s="205"/>
      <c r="BJ117" s="205">
        <f t="shared" si="1054"/>
        <v>0</v>
      </c>
      <c r="BK117" s="120"/>
      <c r="BL117" s="120"/>
      <c r="BM117" s="120"/>
      <c r="BN117" s="120"/>
      <c r="BO117" s="205"/>
      <c r="BP117" s="209"/>
      <c r="BQ117" s="205"/>
      <c r="BR117" s="205">
        <f t="shared" si="1055"/>
        <v>0</v>
      </c>
      <c r="BS117" s="205">
        <f t="shared" si="832"/>
        <v>0</v>
      </c>
      <c r="BT117" s="120"/>
      <c r="BU117" s="120"/>
      <c r="BV117" s="120"/>
      <c r="BW117" s="120"/>
      <c r="BX117" s="120"/>
      <c r="BY117" s="209"/>
      <c r="BZ117" s="205"/>
      <c r="CA117" s="205">
        <f t="shared" si="1056"/>
        <v>0</v>
      </c>
      <c r="CB117" s="120"/>
      <c r="CC117" s="120"/>
      <c r="CD117" s="120"/>
      <c r="CE117" s="120"/>
      <c r="CF117" s="120"/>
      <c r="CG117" s="209"/>
      <c r="CH117" s="205"/>
      <c r="CI117" s="205">
        <f t="shared" si="1057"/>
        <v>0</v>
      </c>
      <c r="CJ117" s="120"/>
      <c r="CK117" s="120"/>
      <c r="CL117" s="120"/>
      <c r="CM117" s="120"/>
      <c r="CN117" s="120"/>
      <c r="CO117" s="209"/>
      <c r="CP117" s="205"/>
      <c r="CQ117" s="205">
        <f t="shared" si="1058"/>
        <v>0</v>
      </c>
      <c r="CR117" s="120"/>
      <c r="CS117" s="120"/>
      <c r="CT117" s="120"/>
      <c r="CU117" s="120"/>
      <c r="CV117" s="120"/>
      <c r="CW117" s="209"/>
      <c r="CX117" s="205"/>
      <c r="CY117" s="205">
        <f t="shared" si="1059"/>
        <v>0</v>
      </c>
      <c r="CZ117" s="120"/>
      <c r="DA117" s="120"/>
      <c r="DB117" s="120"/>
      <c r="DC117" s="205"/>
      <c r="DD117" s="205"/>
      <c r="DE117" s="209"/>
      <c r="DF117" s="205"/>
      <c r="DG117" s="205">
        <f t="shared" si="1060"/>
        <v>0</v>
      </c>
      <c r="DH117" s="205">
        <f t="shared" si="838"/>
        <v>0</v>
      </c>
      <c r="DI117" s="120"/>
      <c r="DJ117" s="120"/>
      <c r="DK117" s="120"/>
      <c r="DL117" s="120"/>
      <c r="DM117" s="120"/>
      <c r="DN117" s="209"/>
      <c r="DO117" s="205"/>
      <c r="DP117" s="205">
        <f t="shared" si="839"/>
        <v>0</v>
      </c>
      <c r="DQ117" s="120"/>
      <c r="DR117" s="120"/>
      <c r="DS117" s="120"/>
      <c r="DT117" s="120"/>
      <c r="DU117" s="120"/>
      <c r="DV117" s="209"/>
      <c r="DW117" s="205"/>
      <c r="DX117" s="205">
        <f t="shared" si="840"/>
        <v>0</v>
      </c>
      <c r="DY117" s="120"/>
      <c r="DZ117" s="120"/>
      <c r="EA117" s="120"/>
      <c r="EB117" s="120"/>
      <c r="EC117" s="120"/>
      <c r="ED117" s="209"/>
      <c r="EE117" s="205"/>
      <c r="EF117" s="205">
        <f t="shared" si="841"/>
        <v>0</v>
      </c>
      <c r="EG117" s="120"/>
      <c r="EH117" s="120"/>
      <c r="EI117" s="120"/>
      <c r="EJ117" s="205"/>
      <c r="EK117" s="205"/>
      <c r="EL117" s="209"/>
      <c r="EM117" s="205"/>
      <c r="EN117" s="205">
        <f t="shared" si="842"/>
        <v>0</v>
      </c>
      <c r="EO117" s="205">
        <f t="shared" si="843"/>
        <v>0</v>
      </c>
      <c r="EP117" s="120"/>
      <c r="EQ117" s="120"/>
      <c r="ER117" s="120"/>
      <c r="ES117" s="120"/>
      <c r="ET117" s="120"/>
      <c r="EU117" s="209"/>
      <c r="EV117" s="205"/>
      <c r="EW117" s="205">
        <f t="shared" si="844"/>
        <v>0</v>
      </c>
      <c r="EX117" s="120"/>
      <c r="EY117" s="120"/>
      <c r="EZ117" s="120"/>
      <c r="FA117" s="120"/>
      <c r="FB117" s="120"/>
      <c r="FC117" s="209"/>
      <c r="FD117" s="205"/>
      <c r="FE117" s="205">
        <f t="shared" si="845"/>
        <v>0</v>
      </c>
      <c r="FF117" s="120"/>
      <c r="FG117" s="120"/>
      <c r="FH117" s="120"/>
      <c r="FI117" s="120"/>
      <c r="FJ117" s="120"/>
      <c r="FK117" s="209"/>
      <c r="FL117" s="205"/>
      <c r="FM117" s="205">
        <f t="shared" si="846"/>
        <v>0</v>
      </c>
      <c r="FN117" s="120"/>
      <c r="FO117" s="120"/>
      <c r="FP117" s="120"/>
      <c r="FQ117" s="120"/>
      <c r="FR117" s="205"/>
      <c r="FS117" s="209"/>
      <c r="FT117" s="205"/>
      <c r="FU117" s="205">
        <f t="shared" si="847"/>
        <v>0</v>
      </c>
      <c r="FV117" s="205">
        <f t="shared" si="848"/>
        <v>0</v>
      </c>
      <c r="FW117" s="120"/>
      <c r="FX117" s="120"/>
      <c r="FY117" s="120"/>
      <c r="FZ117" s="120"/>
      <c r="GA117" s="120"/>
      <c r="GB117" s="209"/>
      <c r="GC117" s="205"/>
      <c r="GD117" s="205">
        <f t="shared" si="849"/>
        <v>0</v>
      </c>
      <c r="GE117" s="120"/>
      <c r="GF117" s="120"/>
      <c r="GG117" s="120"/>
      <c r="GH117" s="250">
        <v>200</v>
      </c>
      <c r="GI117" s="120"/>
      <c r="GJ117" s="209"/>
      <c r="GK117" s="205"/>
      <c r="GL117" s="205">
        <f t="shared" si="850"/>
        <v>200</v>
      </c>
      <c r="GM117" s="120"/>
      <c r="GN117" s="120"/>
      <c r="GO117" s="120"/>
      <c r="GP117" s="120"/>
      <c r="GQ117" s="120"/>
      <c r="GR117" s="209"/>
      <c r="GS117" s="205"/>
      <c r="GT117" s="205">
        <f t="shared" si="851"/>
        <v>0</v>
      </c>
      <c r="GU117" s="120"/>
      <c r="GV117" s="120"/>
      <c r="GW117" s="120"/>
      <c r="GX117" s="120"/>
      <c r="GY117" s="120"/>
      <c r="GZ117" s="209"/>
      <c r="HA117" s="205"/>
      <c r="HB117" s="205">
        <f t="shared" si="852"/>
        <v>0</v>
      </c>
      <c r="HC117" s="120"/>
      <c r="HD117" s="120"/>
      <c r="HE117" s="120"/>
      <c r="HF117" s="120"/>
      <c r="HG117" s="120"/>
      <c r="HH117" s="209"/>
      <c r="HI117" s="205"/>
      <c r="HJ117" s="205">
        <f t="shared" si="853"/>
        <v>0</v>
      </c>
      <c r="HK117" s="205">
        <f t="shared" si="854"/>
        <v>200</v>
      </c>
      <c r="HL117" s="124"/>
      <c r="HM117" s="120"/>
      <c r="HN117" s="120"/>
      <c r="HO117" s="120"/>
      <c r="HP117" s="120"/>
      <c r="HQ117" s="205"/>
      <c r="HR117" s="205"/>
      <c r="HS117" s="205">
        <f t="shared" si="934"/>
        <v>0</v>
      </c>
      <c r="HT117" s="120"/>
      <c r="HU117" s="120"/>
      <c r="HV117" s="120"/>
      <c r="HW117" s="120"/>
      <c r="HX117" s="120"/>
      <c r="HY117" s="205"/>
      <c r="HZ117" s="205"/>
      <c r="IA117" s="205">
        <f t="shared" si="935"/>
        <v>0</v>
      </c>
      <c r="IB117" s="120"/>
      <c r="IC117" s="120"/>
      <c r="ID117" s="120"/>
      <c r="IE117" s="120"/>
      <c r="IF117" s="120"/>
      <c r="IG117" s="205"/>
      <c r="IH117" s="205"/>
      <c r="II117" s="205">
        <f t="shared" si="936"/>
        <v>0</v>
      </c>
      <c r="IJ117" s="120"/>
      <c r="IK117" s="120"/>
      <c r="IL117" s="120"/>
      <c r="IM117" s="120"/>
      <c r="IN117" s="120"/>
      <c r="IO117" s="205"/>
      <c r="IP117" s="205"/>
      <c r="IQ117" s="205">
        <f t="shared" si="937"/>
        <v>0</v>
      </c>
      <c r="IR117" s="205">
        <f t="shared" si="938"/>
        <v>0</v>
      </c>
      <c r="IS117" s="120"/>
      <c r="IT117" s="120"/>
      <c r="IU117" s="120"/>
      <c r="IV117" s="120"/>
      <c r="IW117" s="120"/>
      <c r="IX117" s="205"/>
      <c r="IY117" s="205"/>
      <c r="IZ117" s="205">
        <f t="shared" si="939"/>
        <v>0</v>
      </c>
      <c r="JA117" s="120"/>
      <c r="JB117" s="120"/>
      <c r="JC117" s="120"/>
      <c r="JD117" s="120"/>
      <c r="JE117" s="120"/>
      <c r="JF117" s="205"/>
      <c r="JG117" s="205"/>
      <c r="JH117" s="205">
        <f t="shared" si="940"/>
        <v>0</v>
      </c>
      <c r="JI117" s="120"/>
      <c r="JJ117" s="120"/>
      <c r="JK117" s="120"/>
      <c r="JL117" s="120"/>
      <c r="JM117" s="120"/>
      <c r="JN117" s="205"/>
      <c r="JO117" s="205"/>
      <c r="JP117" s="205">
        <f t="shared" si="941"/>
        <v>0</v>
      </c>
      <c r="JQ117" s="120"/>
      <c r="JR117" s="120"/>
      <c r="JS117" s="120"/>
      <c r="JT117" s="120"/>
      <c r="JU117" s="120"/>
      <c r="JV117" s="205"/>
      <c r="JW117" s="205"/>
      <c r="JX117" s="205">
        <f t="shared" si="942"/>
        <v>0</v>
      </c>
      <c r="JY117" s="205">
        <f t="shared" si="943"/>
        <v>0</v>
      </c>
      <c r="JZ117" s="120"/>
      <c r="KA117" s="120"/>
      <c r="KB117" s="120"/>
      <c r="KC117" s="120"/>
      <c r="KD117" s="120"/>
      <c r="KE117" s="205"/>
      <c r="KF117" s="205"/>
      <c r="KG117" s="205">
        <f t="shared" si="944"/>
        <v>0</v>
      </c>
      <c r="KH117" s="120"/>
      <c r="KI117" s="120"/>
      <c r="KJ117" s="120"/>
      <c r="KK117" s="120"/>
      <c r="KL117" s="120"/>
      <c r="KM117" s="205"/>
      <c r="KN117" s="205"/>
      <c r="KO117" s="205">
        <f t="shared" si="945"/>
        <v>0</v>
      </c>
      <c r="KP117" s="120"/>
      <c r="KQ117" s="120"/>
      <c r="KR117" s="120"/>
      <c r="KS117" s="120"/>
      <c r="KT117" s="120"/>
      <c r="KU117" s="205"/>
      <c r="KV117" s="205"/>
      <c r="KW117" s="205">
        <f t="shared" si="946"/>
        <v>0</v>
      </c>
      <c r="KX117" s="120"/>
      <c r="KY117" s="120"/>
      <c r="KZ117" s="120"/>
      <c r="LA117" s="120"/>
      <c r="LB117" s="120"/>
      <c r="LC117" s="205"/>
      <c r="LD117" s="205"/>
      <c r="LE117" s="205">
        <f t="shared" si="947"/>
        <v>0</v>
      </c>
      <c r="LF117" s="205"/>
      <c r="LG117" s="120"/>
      <c r="LH117" s="120"/>
      <c r="LI117" s="120"/>
      <c r="LJ117" s="120"/>
      <c r="LK117" s="205"/>
      <c r="LL117" s="205"/>
      <c r="LM117" s="205">
        <f t="shared" si="948"/>
        <v>0</v>
      </c>
      <c r="LN117" s="205">
        <f t="shared" si="949"/>
        <v>0</v>
      </c>
      <c r="LO117" s="205"/>
      <c r="LP117" s="120"/>
      <c r="LQ117" s="120"/>
      <c r="LR117" s="195">
        <v>200</v>
      </c>
      <c r="LS117" s="205"/>
      <c r="LT117" s="205"/>
      <c r="LU117" s="205"/>
      <c r="LV117" s="205">
        <f t="shared" si="950"/>
        <v>200</v>
      </c>
      <c r="LW117" s="120"/>
      <c r="LX117" s="120"/>
      <c r="LY117" s="120"/>
      <c r="LZ117" s="120"/>
      <c r="MA117" s="120"/>
      <c r="MB117" s="205"/>
      <c r="MC117" s="205"/>
      <c r="MD117" s="205">
        <f t="shared" si="951"/>
        <v>0</v>
      </c>
      <c r="ME117" s="120"/>
      <c r="MF117" s="120"/>
      <c r="MG117" s="120"/>
      <c r="MH117" s="120"/>
      <c r="MI117" s="205"/>
      <c r="MJ117" s="205"/>
      <c r="MK117" s="205"/>
      <c r="ML117" s="205">
        <f t="shared" si="952"/>
        <v>0</v>
      </c>
      <c r="MM117" s="120"/>
      <c r="MN117" s="120"/>
      <c r="MO117" s="120"/>
      <c r="MP117" s="120"/>
      <c r="MQ117" s="120"/>
      <c r="MR117" s="205"/>
      <c r="MS117" s="205"/>
      <c r="MT117" s="205">
        <f t="shared" si="953"/>
        <v>0</v>
      </c>
      <c r="MU117" s="205">
        <f t="shared" si="954"/>
        <v>200</v>
      </c>
      <c r="MV117" s="120"/>
      <c r="MW117" s="120"/>
      <c r="MX117" s="120"/>
      <c r="MY117" s="120"/>
      <c r="MZ117" s="120"/>
      <c r="NA117" s="205"/>
      <c r="NB117" s="205"/>
      <c r="NC117" s="205">
        <f t="shared" si="880"/>
        <v>0</v>
      </c>
      <c r="ND117" s="120"/>
      <c r="NE117" s="120"/>
      <c r="NF117" s="120"/>
      <c r="NG117" s="120"/>
      <c r="NH117" s="120"/>
      <c r="NI117" s="205"/>
      <c r="NJ117" s="205"/>
      <c r="NK117" s="205">
        <f t="shared" si="881"/>
        <v>0</v>
      </c>
      <c r="NL117" s="120"/>
      <c r="NM117" s="120"/>
      <c r="NN117" s="120"/>
      <c r="NO117" s="120"/>
      <c r="NP117" s="120"/>
      <c r="NQ117" s="205"/>
      <c r="NR117" s="205"/>
      <c r="NS117" s="205">
        <f t="shared" si="882"/>
        <v>0</v>
      </c>
      <c r="NT117" s="120"/>
      <c r="NU117" s="120"/>
      <c r="NV117" s="120"/>
      <c r="NW117" s="120"/>
      <c r="NX117" s="120"/>
      <c r="NY117" s="205"/>
      <c r="NZ117" s="205"/>
      <c r="OA117" s="205">
        <f t="shared" si="883"/>
        <v>0</v>
      </c>
      <c r="OB117" s="205">
        <f t="shared" si="884"/>
        <v>0</v>
      </c>
      <c r="OC117" s="120"/>
      <c r="OD117" s="120"/>
      <c r="OE117" s="120"/>
      <c r="OF117" s="120"/>
      <c r="OG117" s="120"/>
      <c r="OH117" s="205"/>
      <c r="OI117" s="205"/>
      <c r="OJ117" s="205">
        <f t="shared" si="885"/>
        <v>0</v>
      </c>
      <c r="OK117" s="120"/>
      <c r="OL117" s="120"/>
      <c r="OM117" s="120"/>
      <c r="ON117" s="120"/>
      <c r="OO117" s="120"/>
      <c r="OP117" s="205"/>
      <c r="OQ117" s="205"/>
      <c r="OR117" s="205">
        <f t="shared" si="886"/>
        <v>0</v>
      </c>
      <c r="OS117" s="120"/>
      <c r="OT117" s="120"/>
      <c r="OU117" s="120"/>
      <c r="OV117" s="120"/>
      <c r="OW117" s="120"/>
      <c r="OX117" s="205"/>
      <c r="OY117" s="205"/>
      <c r="OZ117" s="205">
        <f t="shared" si="887"/>
        <v>0</v>
      </c>
      <c r="PA117" s="120"/>
      <c r="PB117" s="120"/>
      <c r="PC117" s="120"/>
      <c r="PD117" s="205"/>
      <c r="PE117" s="217"/>
      <c r="PF117" s="205"/>
      <c r="PG117" s="205"/>
      <c r="PH117" s="205">
        <f t="shared" si="888"/>
        <v>0</v>
      </c>
      <c r="PI117" s="120"/>
      <c r="PJ117" s="120"/>
      <c r="PK117" s="120"/>
      <c r="PL117" s="205"/>
      <c r="PM117" s="217"/>
      <c r="PN117" s="205"/>
      <c r="PO117" s="205"/>
      <c r="PP117" s="205">
        <f t="shared" si="889"/>
        <v>0</v>
      </c>
      <c r="PQ117" s="205">
        <f t="shared" si="890"/>
        <v>0</v>
      </c>
      <c r="PR117" s="207"/>
      <c r="PS117" s="207"/>
      <c r="PT117" s="207"/>
      <c r="PU117" s="207"/>
      <c r="PV117" s="207"/>
      <c r="PW117" s="272"/>
      <c r="PX117" s="272"/>
      <c r="PY117" s="205">
        <f t="shared" si="891"/>
        <v>0</v>
      </c>
      <c r="PZ117" s="207"/>
      <c r="QA117" s="207"/>
      <c r="QB117" s="207"/>
      <c r="QC117" s="207"/>
      <c r="QD117" s="207"/>
      <c r="QE117" s="272"/>
      <c r="QF117" s="272"/>
      <c r="QG117" s="205">
        <f t="shared" si="892"/>
        <v>0</v>
      </c>
      <c r="QH117" s="207"/>
      <c r="QI117" s="207"/>
      <c r="QJ117" s="294"/>
      <c r="QK117" s="207"/>
      <c r="QL117" s="207"/>
      <c r="QM117" s="272"/>
      <c r="QN117" s="272"/>
      <c r="QO117" s="205">
        <f t="shared" si="893"/>
        <v>0</v>
      </c>
      <c r="QP117" s="207"/>
      <c r="QQ117" s="207"/>
      <c r="QR117" s="207"/>
      <c r="QS117" s="207"/>
      <c r="QT117" s="207"/>
      <c r="QU117" s="272"/>
      <c r="QV117" s="272"/>
      <c r="QW117" s="205">
        <f t="shared" si="894"/>
        <v>0</v>
      </c>
      <c r="QX117" s="205">
        <f t="shared" si="895"/>
        <v>0</v>
      </c>
      <c r="QY117" s="207"/>
      <c r="QZ117" s="207"/>
      <c r="RA117" s="207"/>
      <c r="RB117" s="207"/>
      <c r="RC117" s="207"/>
      <c r="RD117" s="272"/>
      <c r="RE117" s="272"/>
      <c r="RF117" s="205">
        <f t="shared" si="896"/>
        <v>0</v>
      </c>
      <c r="RG117" s="207"/>
      <c r="RH117" s="207"/>
      <c r="RI117" s="201">
        <v>200</v>
      </c>
      <c r="RJ117" s="207"/>
      <c r="RK117" s="207"/>
      <c r="RL117" s="272"/>
      <c r="RM117" s="272"/>
      <c r="RN117" s="205">
        <f t="shared" si="897"/>
        <v>200</v>
      </c>
      <c r="RO117" s="272"/>
      <c r="RP117" s="272"/>
      <c r="RQ117" s="272"/>
      <c r="RR117" s="272"/>
      <c r="RS117" s="272"/>
      <c r="RT117" s="272"/>
      <c r="RU117" s="272"/>
      <c r="RV117" s="205">
        <f t="shared" si="898"/>
        <v>0</v>
      </c>
      <c r="RW117" s="207"/>
      <c r="RX117" s="207"/>
      <c r="RY117" s="207"/>
      <c r="RZ117" s="207"/>
      <c r="SA117" s="272"/>
      <c r="SB117" s="272"/>
      <c r="SC117" s="272"/>
      <c r="SD117" s="205">
        <f t="shared" si="899"/>
        <v>0</v>
      </c>
      <c r="SE117" s="205">
        <f t="shared" si="900"/>
        <v>200</v>
      </c>
      <c r="SF117" s="207"/>
      <c r="SG117" s="207"/>
      <c r="SH117" s="207"/>
      <c r="SI117" s="207"/>
      <c r="SJ117" s="207"/>
      <c r="SK117" s="272"/>
      <c r="SL117" s="272"/>
      <c r="SM117" s="205">
        <f t="shared" si="901"/>
        <v>0</v>
      </c>
      <c r="SN117" s="207"/>
      <c r="SO117" s="207"/>
      <c r="SP117" s="207"/>
      <c r="SQ117" s="207"/>
      <c r="SR117" s="207"/>
      <c r="SS117" s="272"/>
      <c r="ST117" s="272"/>
      <c r="SU117" s="205">
        <f t="shared" si="902"/>
        <v>0</v>
      </c>
      <c r="SV117" s="207"/>
      <c r="SW117" s="207"/>
      <c r="SX117" s="207"/>
      <c r="SY117" s="207"/>
      <c r="SZ117" s="207"/>
      <c r="TA117" s="272"/>
      <c r="TB117" s="272"/>
      <c r="TC117" s="205">
        <f t="shared" si="903"/>
        <v>0</v>
      </c>
      <c r="TD117" s="207"/>
      <c r="TE117" s="207"/>
      <c r="TF117" s="207"/>
      <c r="TG117" s="207"/>
      <c r="TH117" s="207"/>
      <c r="TI117" s="272"/>
      <c r="TJ117" s="272"/>
      <c r="TK117" s="205">
        <f t="shared" si="904"/>
        <v>0</v>
      </c>
      <c r="TL117" s="207"/>
      <c r="TM117" s="207"/>
      <c r="TN117" s="207"/>
      <c r="TO117" s="207"/>
      <c r="TP117" s="272"/>
      <c r="TQ117" s="272"/>
      <c r="TR117" s="272"/>
      <c r="TS117" s="205">
        <f t="shared" si="905"/>
        <v>0</v>
      </c>
      <c r="TT117" s="205">
        <f t="shared" si="906"/>
        <v>0</v>
      </c>
      <c r="TU117" s="272"/>
      <c r="TV117" s="207"/>
      <c r="TW117" s="207"/>
      <c r="TX117" s="195">
        <v>300</v>
      </c>
      <c r="TY117" s="207"/>
      <c r="TZ117" s="272"/>
      <c r="UA117" s="272"/>
      <c r="UB117" s="205">
        <f t="shared" si="907"/>
        <v>300</v>
      </c>
      <c r="UC117" s="207"/>
      <c r="UD117" s="207"/>
      <c r="UE117" s="207"/>
      <c r="UF117" s="207"/>
      <c r="UG117" s="207"/>
      <c r="UH117" s="272"/>
      <c r="UI117" s="272"/>
      <c r="UJ117" s="205">
        <f t="shared" si="908"/>
        <v>0</v>
      </c>
      <c r="UK117" s="207"/>
      <c r="UL117" s="207"/>
      <c r="UM117" s="207"/>
      <c r="UN117" s="207"/>
      <c r="UO117" s="207"/>
      <c r="UP117" s="272"/>
      <c r="UQ117" s="272"/>
      <c r="UR117" s="205">
        <f t="shared" si="909"/>
        <v>0</v>
      </c>
      <c r="US117" s="207"/>
      <c r="UT117" s="207"/>
      <c r="UU117" s="207"/>
      <c r="UV117" s="207"/>
      <c r="UW117" s="272"/>
      <c r="UX117" s="272"/>
      <c r="UY117" s="272"/>
      <c r="UZ117" s="205">
        <f t="shared" si="910"/>
        <v>0</v>
      </c>
      <c r="VA117" s="205">
        <f t="shared" si="911"/>
        <v>300</v>
      </c>
      <c r="VB117" s="207"/>
      <c r="VC117" s="207"/>
      <c r="VD117" s="207"/>
      <c r="VE117" s="207"/>
      <c r="VF117" s="207"/>
      <c r="VG117" s="272"/>
      <c r="VH117" s="272"/>
      <c r="VI117" s="205">
        <f t="shared" si="912"/>
        <v>0</v>
      </c>
      <c r="VJ117" s="207"/>
      <c r="VK117" s="207"/>
      <c r="VL117" s="207"/>
      <c r="VM117" s="207"/>
      <c r="VN117" s="207"/>
      <c r="VO117" s="272"/>
      <c r="VP117" s="272"/>
      <c r="VQ117" s="205">
        <f t="shared" si="913"/>
        <v>0</v>
      </c>
      <c r="VR117" s="207"/>
      <c r="VS117" s="207"/>
      <c r="VT117" s="207"/>
      <c r="VU117" s="195">
        <v>300</v>
      </c>
      <c r="VV117" s="207"/>
      <c r="VW117" s="272"/>
      <c r="VX117" s="272"/>
      <c r="VY117" s="205">
        <f t="shared" si="914"/>
        <v>300</v>
      </c>
      <c r="VZ117" s="207"/>
      <c r="WA117" s="207"/>
      <c r="WB117" s="207"/>
      <c r="WC117" s="207"/>
      <c r="WD117" s="207"/>
      <c r="WE117" s="272"/>
      <c r="WF117" s="272"/>
      <c r="WG117" s="205">
        <f t="shared" si="915"/>
        <v>0</v>
      </c>
      <c r="WH117" s="205">
        <f t="shared" si="916"/>
        <v>300</v>
      </c>
      <c r="WI117" s="207"/>
      <c r="WJ117" s="207"/>
      <c r="WK117" s="207"/>
      <c r="WL117" s="207"/>
      <c r="WM117" s="207"/>
      <c r="WN117" s="272"/>
      <c r="WO117" s="272"/>
      <c r="WP117" s="205">
        <f t="shared" si="917"/>
        <v>0</v>
      </c>
      <c r="WQ117" s="207"/>
      <c r="WR117" s="207"/>
      <c r="WS117" s="207"/>
      <c r="WT117" s="207"/>
      <c r="WU117" s="207"/>
      <c r="WV117" s="272"/>
      <c r="WW117" s="272"/>
      <c r="WX117" s="205">
        <f t="shared" si="918"/>
        <v>0</v>
      </c>
      <c r="WY117" s="207"/>
      <c r="WZ117" s="207"/>
      <c r="XA117" s="207"/>
      <c r="XB117" s="207"/>
      <c r="XC117" s="272"/>
      <c r="XD117" s="272"/>
      <c r="XE117" s="272"/>
      <c r="XF117" s="205">
        <f t="shared" si="919"/>
        <v>0</v>
      </c>
      <c r="XG117" s="207"/>
      <c r="XH117" s="207"/>
      <c r="XI117" s="207"/>
      <c r="XJ117" s="207"/>
      <c r="XK117" s="207"/>
      <c r="XL117" s="272"/>
      <c r="XM117" s="272"/>
      <c r="XN117" s="205">
        <f t="shared" si="920"/>
        <v>0</v>
      </c>
      <c r="XO117" s="207"/>
      <c r="XP117" s="207"/>
      <c r="XQ117" s="207"/>
      <c r="XR117" s="207"/>
      <c r="XS117" s="207"/>
      <c r="XT117" s="272"/>
      <c r="XU117" s="272"/>
      <c r="XV117" s="205">
        <f t="shared" si="921"/>
        <v>0</v>
      </c>
      <c r="XW117" s="205">
        <f t="shared" si="922"/>
        <v>0</v>
      </c>
      <c r="XX117" s="207"/>
      <c r="XY117" s="207"/>
      <c r="XZ117" s="207"/>
      <c r="YA117" s="207"/>
      <c r="YB117" s="207"/>
      <c r="YC117" s="272"/>
      <c r="YD117" s="272"/>
      <c r="YE117" s="205">
        <f t="shared" si="923"/>
        <v>0</v>
      </c>
      <c r="YF117" s="207"/>
      <c r="YG117" s="207"/>
      <c r="YH117" s="207"/>
      <c r="YI117" s="207"/>
      <c r="YJ117" s="207"/>
      <c r="YK117" s="272"/>
      <c r="YL117" s="272"/>
      <c r="YM117" s="205">
        <f t="shared" si="924"/>
        <v>0</v>
      </c>
      <c r="YN117" s="207"/>
      <c r="YO117" s="207"/>
      <c r="YP117" s="207"/>
      <c r="YQ117" s="207"/>
      <c r="YR117" s="207"/>
      <c r="YS117" s="272"/>
      <c r="YT117" s="272"/>
      <c r="YU117" s="205">
        <f t="shared" si="925"/>
        <v>0</v>
      </c>
      <c r="YV117" s="207"/>
      <c r="YW117" s="207"/>
      <c r="YX117" s="207"/>
      <c r="YY117" s="207"/>
      <c r="YZ117" s="207"/>
      <c r="ZA117" s="272"/>
      <c r="ZB117" s="272"/>
      <c r="ZC117" s="205">
        <f t="shared" si="926"/>
        <v>0</v>
      </c>
      <c r="ZD117" s="205">
        <f t="shared" si="927"/>
        <v>0</v>
      </c>
      <c r="ZE117" s="207"/>
      <c r="ZF117" s="207"/>
      <c r="ZG117" s="207"/>
      <c r="ZH117" s="207"/>
      <c r="ZI117" s="207"/>
      <c r="ZJ117" s="272"/>
      <c r="ZK117" s="272"/>
      <c r="ZL117" s="205">
        <f t="shared" si="928"/>
        <v>0</v>
      </c>
      <c r="ZM117" s="207"/>
      <c r="ZN117" s="207"/>
      <c r="ZO117" s="207"/>
      <c r="ZP117" s="207"/>
      <c r="ZQ117" s="207"/>
      <c r="ZR117" s="272"/>
      <c r="ZS117" s="272"/>
      <c r="ZT117" s="205">
        <f t="shared" si="929"/>
        <v>0</v>
      </c>
      <c r="ZU117" s="207"/>
      <c r="ZV117" s="207"/>
      <c r="ZW117" s="207"/>
      <c r="ZX117" s="207"/>
      <c r="ZY117" s="207"/>
      <c r="ZZ117" s="272"/>
      <c r="AAA117" s="272"/>
      <c r="AAB117" s="205">
        <f t="shared" si="930"/>
        <v>0</v>
      </c>
      <c r="AAC117" s="207"/>
      <c r="AAD117" s="207"/>
      <c r="AAE117" s="207"/>
      <c r="AAF117" s="207"/>
      <c r="AAG117" s="207"/>
      <c r="AAH117" s="272"/>
      <c r="AAI117" s="272"/>
      <c r="AAJ117" s="205">
        <f t="shared" si="931"/>
        <v>0</v>
      </c>
      <c r="AAK117" s="207"/>
      <c r="AAL117" s="207"/>
      <c r="AAM117" s="207"/>
      <c r="AAN117" s="207"/>
      <c r="AAO117" s="207"/>
      <c r="AAP117" s="272"/>
      <c r="AAQ117" s="272"/>
      <c r="AAR117" s="205">
        <f t="shared" si="932"/>
        <v>0</v>
      </c>
      <c r="AAS117" s="205">
        <f t="shared" si="933"/>
        <v>0</v>
      </c>
    </row>
    <row r="118" spans="2:777" ht="69.95" customHeight="1">
      <c r="B118" s="151">
        <v>3630101484</v>
      </c>
      <c r="C118" s="323" t="s">
        <v>741</v>
      </c>
      <c r="D118" s="152" t="s">
        <v>800</v>
      </c>
      <c r="E118" s="130" t="s">
        <v>4</v>
      </c>
      <c r="F118" s="120"/>
      <c r="G118" s="120"/>
      <c r="H118" s="120"/>
      <c r="I118" s="120"/>
      <c r="J118" s="120"/>
      <c r="K118" s="209"/>
      <c r="L118" s="205"/>
      <c r="M118" s="205">
        <f t="shared" ref="M118" si="1259">SUM(F118:L118)</f>
        <v>0</v>
      </c>
      <c r="N118" s="120"/>
      <c r="O118" s="120"/>
      <c r="P118" s="120"/>
      <c r="Q118" s="120"/>
      <c r="R118" s="120"/>
      <c r="S118" s="209"/>
      <c r="T118" s="205"/>
      <c r="U118" s="205">
        <f t="shared" ref="U118" si="1260">SUM(N118:T118)</f>
        <v>0</v>
      </c>
      <c r="V118" s="120"/>
      <c r="W118" s="120"/>
      <c r="X118" s="120"/>
      <c r="Y118" s="120"/>
      <c r="Z118" s="120"/>
      <c r="AA118" s="209"/>
      <c r="AB118" s="205"/>
      <c r="AC118" s="205">
        <f t="shared" ref="AC118" si="1261">SUM(V118:AB118)</f>
        <v>0</v>
      </c>
      <c r="AD118" s="205"/>
      <c r="AE118" s="205"/>
      <c r="AF118" s="205"/>
      <c r="AG118" s="205"/>
      <c r="AH118" s="205"/>
      <c r="AI118" s="209"/>
      <c r="AJ118" s="205"/>
      <c r="AK118" s="205">
        <f t="shared" ref="AK118" si="1262">SUM(AD118:AJ118)</f>
        <v>0</v>
      </c>
      <c r="AL118" s="205" t="e">
        <f>SUM(#REF!,M118,U118,AC118,AD118:AH118)</f>
        <v>#REF!</v>
      </c>
      <c r="AM118" s="120"/>
      <c r="AN118" s="120"/>
      <c r="AO118" s="120"/>
      <c r="AP118" s="120"/>
      <c r="AQ118" s="120"/>
      <c r="AR118" s="209"/>
      <c r="AS118" s="205"/>
      <c r="AT118" s="205">
        <f t="shared" si="1052"/>
        <v>0</v>
      </c>
      <c r="AU118" s="120"/>
      <c r="AV118" s="120"/>
      <c r="AW118" s="120"/>
      <c r="AX118" s="120"/>
      <c r="AY118" s="120"/>
      <c r="AZ118" s="209"/>
      <c r="BA118" s="205"/>
      <c r="BB118" s="205">
        <f t="shared" si="1053"/>
        <v>0</v>
      </c>
      <c r="BC118" s="120"/>
      <c r="BD118" s="120"/>
      <c r="BE118" s="120"/>
      <c r="BF118" s="120"/>
      <c r="BG118" s="120"/>
      <c r="BH118" s="209"/>
      <c r="BI118" s="205"/>
      <c r="BJ118" s="205">
        <f t="shared" si="1054"/>
        <v>0</v>
      </c>
      <c r="BK118" s="120"/>
      <c r="BL118" s="120"/>
      <c r="BM118" s="120"/>
      <c r="BN118" s="120"/>
      <c r="BO118" s="205"/>
      <c r="BP118" s="209"/>
      <c r="BQ118" s="205"/>
      <c r="BR118" s="205">
        <f t="shared" si="1055"/>
        <v>0</v>
      </c>
      <c r="BS118" s="205">
        <f t="shared" ref="BS118" si="1263">SUM(AI118:AJ118,AT118,BB118,BJ118,BK118:BO118)</f>
        <v>0</v>
      </c>
      <c r="BT118" s="120"/>
      <c r="BU118" s="120"/>
      <c r="BV118" s="120"/>
      <c r="BW118" s="120"/>
      <c r="BX118" s="120"/>
      <c r="BY118" s="209"/>
      <c r="BZ118" s="205"/>
      <c r="CA118" s="205">
        <f t="shared" si="1056"/>
        <v>0</v>
      </c>
      <c r="CB118" s="120"/>
      <c r="CC118" s="120"/>
      <c r="CD118" s="120"/>
      <c r="CE118" s="120"/>
      <c r="CF118" s="120"/>
      <c r="CG118" s="209"/>
      <c r="CH118" s="205"/>
      <c r="CI118" s="205">
        <f t="shared" si="1057"/>
        <v>0</v>
      </c>
      <c r="CJ118" s="120"/>
      <c r="CK118" s="120"/>
      <c r="CL118" s="120"/>
      <c r="CM118" s="120"/>
      <c r="CN118" s="120"/>
      <c r="CO118" s="209"/>
      <c r="CP118" s="205"/>
      <c r="CQ118" s="205">
        <f t="shared" si="1058"/>
        <v>0</v>
      </c>
      <c r="CR118" s="120"/>
      <c r="CS118" s="120"/>
      <c r="CT118" s="120"/>
      <c r="CU118" s="120"/>
      <c r="CV118" s="120"/>
      <c r="CW118" s="209"/>
      <c r="CX118" s="205"/>
      <c r="CY118" s="205">
        <f t="shared" si="1059"/>
        <v>0</v>
      </c>
      <c r="CZ118" s="120"/>
      <c r="DA118" s="120"/>
      <c r="DB118" s="120"/>
      <c r="DC118" s="205"/>
      <c r="DD118" s="205"/>
      <c r="DE118" s="209"/>
      <c r="DF118" s="205"/>
      <c r="DG118" s="205">
        <f t="shared" si="1060"/>
        <v>0</v>
      </c>
      <c r="DH118" s="205">
        <f t="shared" ref="DH118" si="1264">SUM(CA118,CI118,CQ118,CY118,CZ118)</f>
        <v>0</v>
      </c>
      <c r="DI118" s="120"/>
      <c r="DJ118" s="120"/>
      <c r="DK118" s="120"/>
      <c r="DL118" s="120"/>
      <c r="DM118" s="120"/>
      <c r="DN118" s="209"/>
      <c r="DO118" s="205"/>
      <c r="DP118" s="205">
        <f t="shared" ref="DP118" si="1265">SUM(DI118:DO118)</f>
        <v>0</v>
      </c>
      <c r="DQ118" s="120"/>
      <c r="DR118" s="120"/>
      <c r="DS118" s="120"/>
      <c r="DT118" s="120"/>
      <c r="DU118" s="120"/>
      <c r="DV118" s="209"/>
      <c r="DW118" s="205"/>
      <c r="DX118" s="205">
        <f t="shared" ref="DX118" si="1266">SUM(DQ118:DW118)</f>
        <v>0</v>
      </c>
      <c r="DY118" s="120"/>
      <c r="DZ118" s="120"/>
      <c r="EA118" s="120"/>
      <c r="EB118" s="120"/>
      <c r="EC118" s="120"/>
      <c r="ED118" s="209"/>
      <c r="EE118" s="205"/>
      <c r="EF118" s="205">
        <f t="shared" ref="EF118" si="1267">SUM(DY118:EE118)</f>
        <v>0</v>
      </c>
      <c r="EG118" s="120"/>
      <c r="EH118" s="120"/>
      <c r="EI118" s="120"/>
      <c r="EJ118" s="205"/>
      <c r="EK118" s="205"/>
      <c r="EL118" s="209"/>
      <c r="EM118" s="205"/>
      <c r="EN118" s="205">
        <f t="shared" ref="EN118" si="1268">SUM(EG118:EM118)</f>
        <v>0</v>
      </c>
      <c r="EO118" s="205">
        <f t="shared" ref="EO118" si="1269">SUM(DA118:DF118,DP118,DX118,EF118,EG118:EI118)</f>
        <v>0</v>
      </c>
      <c r="EP118" s="120"/>
      <c r="EQ118" s="120"/>
      <c r="ER118" s="120"/>
      <c r="ES118" s="120"/>
      <c r="ET118" s="120"/>
      <c r="EU118" s="209"/>
      <c r="EV118" s="205"/>
      <c r="EW118" s="205">
        <f t="shared" ref="EW118" si="1270">SUM(EP118:EV118)</f>
        <v>0</v>
      </c>
      <c r="EX118" s="120"/>
      <c r="EY118" s="120"/>
      <c r="EZ118" s="120"/>
      <c r="FA118" s="120"/>
      <c r="FB118" s="120"/>
      <c r="FC118" s="209"/>
      <c r="FD118" s="205"/>
      <c r="FE118" s="205">
        <f t="shared" ref="FE118" si="1271">SUM(EX118:FD118)</f>
        <v>0</v>
      </c>
      <c r="FF118" s="120"/>
      <c r="FG118" s="120"/>
      <c r="FH118" s="120"/>
      <c r="FI118" s="120"/>
      <c r="FJ118" s="120"/>
      <c r="FK118" s="209"/>
      <c r="FL118" s="205"/>
      <c r="FM118" s="205">
        <f t="shared" ref="FM118" si="1272">SUM(FF118:FL118)</f>
        <v>0</v>
      </c>
      <c r="FN118" s="120"/>
      <c r="FO118" s="120"/>
      <c r="FP118" s="120"/>
      <c r="FQ118" s="120"/>
      <c r="FR118" s="205"/>
      <c r="FS118" s="209"/>
      <c r="FT118" s="205"/>
      <c r="FU118" s="205">
        <f t="shared" ref="FU118" si="1273">SUM(FN118:FT118)</f>
        <v>0</v>
      </c>
      <c r="FV118" s="205">
        <f t="shared" ref="FV118" si="1274">SUM(EJ118:EK118,EW118,FE118,FM118,FU118)</f>
        <v>0</v>
      </c>
      <c r="FW118" s="120"/>
      <c r="FX118" s="120"/>
      <c r="FY118" s="120"/>
      <c r="FZ118" s="120"/>
      <c r="GA118" s="120"/>
      <c r="GB118" s="209"/>
      <c r="GC118" s="205"/>
      <c r="GD118" s="205">
        <f t="shared" ref="GD118" si="1275">SUM(FW118:GC118)</f>
        <v>0</v>
      </c>
      <c r="GE118" s="120"/>
      <c r="GF118" s="120"/>
      <c r="GG118" s="120"/>
      <c r="GH118" s="120"/>
      <c r="GI118" s="120"/>
      <c r="GJ118" s="209"/>
      <c r="GK118" s="205"/>
      <c r="GL118" s="205">
        <f t="shared" ref="GL118" si="1276">SUM(GE118:GK118)</f>
        <v>0</v>
      </c>
      <c r="GM118" s="120"/>
      <c r="GN118" s="120"/>
      <c r="GO118" s="120"/>
      <c r="GP118" s="120"/>
      <c r="GQ118" s="120"/>
      <c r="GR118" s="209"/>
      <c r="GS118" s="205"/>
      <c r="GT118" s="205">
        <f t="shared" ref="GT118" si="1277">SUM(GM118:GS118)</f>
        <v>0</v>
      </c>
      <c r="GU118" s="120"/>
      <c r="GV118" s="120"/>
      <c r="GW118" s="120"/>
      <c r="GX118" s="120"/>
      <c r="GY118" s="120"/>
      <c r="GZ118" s="209"/>
      <c r="HA118" s="205"/>
      <c r="HB118" s="205">
        <f t="shared" ref="HB118" si="1278">SUM(GU118:HA118)</f>
        <v>0</v>
      </c>
      <c r="HC118" s="120"/>
      <c r="HD118" s="120"/>
      <c r="HE118" s="120"/>
      <c r="HF118" s="120"/>
      <c r="HG118" s="120"/>
      <c r="HH118" s="209"/>
      <c r="HI118" s="205"/>
      <c r="HJ118" s="205">
        <f t="shared" ref="HJ118" si="1279">SUM(HC118:HI118)</f>
        <v>0</v>
      </c>
      <c r="HK118" s="205">
        <f t="shared" ref="HK118" si="1280">SUM(GD118,GL118,GT118,HB118,HC118)</f>
        <v>0</v>
      </c>
      <c r="HL118" s="124"/>
      <c r="HM118" s="120"/>
      <c r="HN118" s="120"/>
      <c r="HO118" s="120"/>
      <c r="HP118" s="120"/>
      <c r="HQ118" s="205"/>
      <c r="HR118" s="205"/>
      <c r="HS118" s="205">
        <f t="shared" si="934"/>
        <v>0</v>
      </c>
      <c r="HT118" s="120"/>
      <c r="HU118" s="120"/>
      <c r="HV118" s="120"/>
      <c r="HW118" s="120"/>
      <c r="HX118" s="120"/>
      <c r="HY118" s="205"/>
      <c r="HZ118" s="205"/>
      <c r="IA118" s="205">
        <f t="shared" si="935"/>
        <v>0</v>
      </c>
      <c r="IB118" s="120"/>
      <c r="IC118" s="120"/>
      <c r="ID118" s="120"/>
      <c r="IE118" s="120"/>
      <c r="IF118" s="120"/>
      <c r="IG118" s="205"/>
      <c r="IH118" s="205"/>
      <c r="II118" s="205">
        <f t="shared" si="936"/>
        <v>0</v>
      </c>
      <c r="IJ118" s="120"/>
      <c r="IK118" s="120"/>
      <c r="IL118" s="120"/>
      <c r="IM118" s="120"/>
      <c r="IN118" s="120"/>
      <c r="IO118" s="205"/>
      <c r="IP118" s="205"/>
      <c r="IQ118" s="205">
        <f t="shared" si="937"/>
        <v>0</v>
      </c>
      <c r="IR118" s="205">
        <f t="shared" si="938"/>
        <v>0</v>
      </c>
      <c r="IS118" s="120"/>
      <c r="IT118" s="120"/>
      <c r="IU118" s="120"/>
      <c r="IV118" s="120"/>
      <c r="IW118" s="120"/>
      <c r="IX118" s="205"/>
      <c r="IY118" s="205"/>
      <c r="IZ118" s="205">
        <f t="shared" si="939"/>
        <v>0</v>
      </c>
      <c r="JA118" s="120"/>
      <c r="JB118" s="120"/>
      <c r="JC118" s="120"/>
      <c r="JD118" s="120"/>
      <c r="JE118" s="120"/>
      <c r="JF118" s="205"/>
      <c r="JG118" s="205"/>
      <c r="JH118" s="205">
        <f t="shared" si="940"/>
        <v>0</v>
      </c>
      <c r="JI118" s="120"/>
      <c r="JJ118" s="120"/>
      <c r="JK118" s="120"/>
      <c r="JL118" s="120"/>
      <c r="JM118" s="120"/>
      <c r="JN118" s="205"/>
      <c r="JO118" s="205"/>
      <c r="JP118" s="205">
        <f t="shared" si="941"/>
        <v>0</v>
      </c>
      <c r="JQ118" s="120"/>
      <c r="JR118" s="120"/>
      <c r="JS118" s="120"/>
      <c r="JT118" s="120"/>
      <c r="JU118" s="120"/>
      <c r="JV118" s="205"/>
      <c r="JW118" s="205"/>
      <c r="JX118" s="205">
        <f t="shared" si="942"/>
        <v>0</v>
      </c>
      <c r="JY118" s="205">
        <f t="shared" si="943"/>
        <v>0</v>
      </c>
      <c r="JZ118" s="120"/>
      <c r="KA118" s="120"/>
      <c r="KB118" s="120"/>
      <c r="KC118" s="120"/>
      <c r="KD118" s="120"/>
      <c r="KE118" s="205"/>
      <c r="KF118" s="205"/>
      <c r="KG118" s="205">
        <f t="shared" si="944"/>
        <v>0</v>
      </c>
      <c r="KH118" s="120"/>
      <c r="KI118" s="120"/>
      <c r="KJ118" s="120"/>
      <c r="KK118" s="120"/>
      <c r="KL118" s="120"/>
      <c r="KM118" s="205"/>
      <c r="KN118" s="205"/>
      <c r="KO118" s="205">
        <f t="shared" si="945"/>
        <v>0</v>
      </c>
      <c r="KP118" s="120"/>
      <c r="KQ118" s="120"/>
      <c r="KR118" s="120"/>
      <c r="KS118" s="120"/>
      <c r="KT118" s="120"/>
      <c r="KU118" s="205"/>
      <c r="KV118" s="205"/>
      <c r="KW118" s="205">
        <f t="shared" si="946"/>
        <v>0</v>
      </c>
      <c r="KX118" s="120"/>
      <c r="KY118" s="120"/>
      <c r="KZ118" s="120"/>
      <c r="LA118" s="120"/>
      <c r="LB118" s="120"/>
      <c r="LC118" s="205"/>
      <c r="LD118" s="205"/>
      <c r="LE118" s="205">
        <f t="shared" si="947"/>
        <v>0</v>
      </c>
      <c r="LF118" s="205"/>
      <c r="LG118" s="120"/>
      <c r="LH118" s="120"/>
      <c r="LI118" s="120"/>
      <c r="LJ118" s="120"/>
      <c r="LK118" s="205"/>
      <c r="LL118" s="205"/>
      <c r="LM118" s="205">
        <f t="shared" si="948"/>
        <v>0</v>
      </c>
      <c r="LN118" s="205">
        <f t="shared" si="949"/>
        <v>0</v>
      </c>
      <c r="LO118" s="205"/>
      <c r="LP118" s="120"/>
      <c r="LQ118" s="120"/>
      <c r="LR118" s="120"/>
      <c r="LS118" s="205"/>
      <c r="LT118" s="205"/>
      <c r="LU118" s="205"/>
      <c r="LV118" s="205">
        <f t="shared" si="950"/>
        <v>0</v>
      </c>
      <c r="LW118" s="120"/>
      <c r="LX118" s="120"/>
      <c r="LY118" s="120"/>
      <c r="LZ118" s="120"/>
      <c r="MA118" s="120"/>
      <c r="MB118" s="205"/>
      <c r="MC118" s="205"/>
      <c r="MD118" s="205">
        <f t="shared" si="951"/>
        <v>0</v>
      </c>
      <c r="ME118" s="120"/>
      <c r="MF118" s="120"/>
      <c r="MG118" s="120"/>
      <c r="MH118" s="120"/>
      <c r="MI118" s="205"/>
      <c r="MJ118" s="205"/>
      <c r="MK118" s="205"/>
      <c r="ML118" s="205">
        <f t="shared" si="952"/>
        <v>0</v>
      </c>
      <c r="MM118" s="120"/>
      <c r="MN118" s="120"/>
      <c r="MO118" s="120"/>
      <c r="MP118" s="120"/>
      <c r="MQ118" s="120"/>
      <c r="MR118" s="205"/>
      <c r="MS118" s="205"/>
      <c r="MT118" s="205">
        <f t="shared" si="953"/>
        <v>0</v>
      </c>
      <c r="MU118" s="205">
        <f t="shared" si="954"/>
        <v>0</v>
      </c>
      <c r="MV118" s="120"/>
      <c r="MW118" s="120"/>
      <c r="MX118" s="120"/>
      <c r="MY118" s="120"/>
      <c r="MZ118" s="120"/>
      <c r="NA118" s="205"/>
      <c r="NB118" s="205"/>
      <c r="NC118" s="205">
        <f t="shared" si="880"/>
        <v>0</v>
      </c>
      <c r="ND118" s="120"/>
      <c r="NE118" s="120"/>
      <c r="NF118" s="120"/>
      <c r="NG118" s="120"/>
      <c r="NH118" s="120"/>
      <c r="NI118" s="205"/>
      <c r="NJ118" s="205"/>
      <c r="NK118" s="205">
        <f t="shared" si="881"/>
        <v>0</v>
      </c>
      <c r="NL118" s="120"/>
      <c r="NM118" s="120"/>
      <c r="NN118" s="120"/>
      <c r="NO118" s="120"/>
      <c r="NP118" s="120"/>
      <c r="NQ118" s="205"/>
      <c r="NR118" s="205"/>
      <c r="NS118" s="205">
        <f t="shared" si="882"/>
        <v>0</v>
      </c>
      <c r="NT118" s="120"/>
      <c r="NU118" s="120"/>
      <c r="NV118" s="120"/>
      <c r="NW118" s="120"/>
      <c r="NX118" s="120"/>
      <c r="NY118" s="205"/>
      <c r="NZ118" s="205"/>
      <c r="OA118" s="205">
        <f t="shared" si="883"/>
        <v>0</v>
      </c>
      <c r="OB118" s="205">
        <f t="shared" si="884"/>
        <v>0</v>
      </c>
      <c r="OC118" s="120"/>
      <c r="OD118" s="120"/>
      <c r="OE118" s="120"/>
      <c r="OF118" s="120"/>
      <c r="OG118" s="120"/>
      <c r="OH118" s="205"/>
      <c r="OI118" s="205"/>
      <c r="OJ118" s="205">
        <f t="shared" si="885"/>
        <v>0</v>
      </c>
      <c r="OK118" s="120"/>
      <c r="OL118" s="120"/>
      <c r="OM118" s="120"/>
      <c r="ON118" s="120"/>
      <c r="OO118" s="120"/>
      <c r="OP118" s="205"/>
      <c r="OQ118" s="205"/>
      <c r="OR118" s="205">
        <f t="shared" si="886"/>
        <v>0</v>
      </c>
      <c r="OS118" s="120"/>
      <c r="OT118" s="120"/>
      <c r="OU118" s="120"/>
      <c r="OV118" s="120"/>
      <c r="OW118" s="120"/>
      <c r="OX118" s="205"/>
      <c r="OY118" s="205"/>
      <c r="OZ118" s="205">
        <f t="shared" si="887"/>
        <v>0</v>
      </c>
      <c r="PA118" s="120"/>
      <c r="PB118" s="120"/>
      <c r="PC118" s="120"/>
      <c r="PD118" s="205"/>
      <c r="PE118" s="217"/>
      <c r="PF118" s="205"/>
      <c r="PG118" s="205"/>
      <c r="PH118" s="205">
        <f t="shared" si="888"/>
        <v>0</v>
      </c>
      <c r="PI118" s="120"/>
      <c r="PJ118" s="120"/>
      <c r="PK118" s="120"/>
      <c r="PL118" s="205"/>
      <c r="PM118" s="217"/>
      <c r="PN118" s="205"/>
      <c r="PO118" s="205"/>
      <c r="PP118" s="205">
        <f t="shared" si="889"/>
        <v>0</v>
      </c>
      <c r="PQ118" s="205">
        <f t="shared" si="890"/>
        <v>0</v>
      </c>
      <c r="PR118" s="207"/>
      <c r="PS118" s="207"/>
      <c r="PT118" s="207"/>
      <c r="PU118" s="207"/>
      <c r="PV118" s="207"/>
      <c r="PW118" s="272"/>
      <c r="PX118" s="272"/>
      <c r="PY118" s="205">
        <f t="shared" si="891"/>
        <v>0</v>
      </c>
      <c r="PZ118" s="207"/>
      <c r="QA118" s="207"/>
      <c r="QB118" s="207"/>
      <c r="QC118" s="207"/>
      <c r="QD118" s="207"/>
      <c r="QE118" s="272"/>
      <c r="QF118" s="272"/>
      <c r="QG118" s="205">
        <f t="shared" si="892"/>
        <v>0</v>
      </c>
      <c r="QH118" s="207"/>
      <c r="QI118" s="207"/>
      <c r="QJ118" s="294"/>
      <c r="QK118" s="207"/>
      <c r="QL118" s="207"/>
      <c r="QM118" s="272"/>
      <c r="QN118" s="272"/>
      <c r="QO118" s="205">
        <f t="shared" si="893"/>
        <v>0</v>
      </c>
      <c r="QP118" s="207"/>
      <c r="QQ118" s="207"/>
      <c r="QR118" s="207"/>
      <c r="QS118" s="207"/>
      <c r="QT118" s="207"/>
      <c r="QU118" s="272"/>
      <c r="QV118" s="272"/>
      <c r="QW118" s="205">
        <f t="shared" si="894"/>
        <v>0</v>
      </c>
      <c r="QX118" s="205">
        <f t="shared" si="895"/>
        <v>0</v>
      </c>
      <c r="QY118" s="207"/>
      <c r="QZ118" s="207"/>
      <c r="RA118" s="207"/>
      <c r="RB118" s="207"/>
      <c r="RC118" s="207"/>
      <c r="RD118" s="272"/>
      <c r="RE118" s="272"/>
      <c r="RF118" s="205">
        <f t="shared" si="896"/>
        <v>0</v>
      </c>
      <c r="RG118" s="207"/>
      <c r="RH118" s="207"/>
      <c r="RI118" s="207"/>
      <c r="RJ118" s="207"/>
      <c r="RK118" s="207"/>
      <c r="RL118" s="272"/>
      <c r="RM118" s="272"/>
      <c r="RN118" s="205">
        <f t="shared" si="897"/>
        <v>0</v>
      </c>
      <c r="RO118" s="272"/>
      <c r="RP118" s="272"/>
      <c r="RQ118" s="272"/>
      <c r="RR118" s="272"/>
      <c r="RS118" s="272"/>
      <c r="RT118" s="272"/>
      <c r="RU118" s="272"/>
      <c r="RV118" s="205">
        <f t="shared" si="898"/>
        <v>0</v>
      </c>
      <c r="RW118" s="207"/>
      <c r="RX118" s="207"/>
      <c r="RY118" s="207"/>
      <c r="RZ118" s="207"/>
      <c r="SA118" s="272"/>
      <c r="SB118" s="272"/>
      <c r="SC118" s="272"/>
      <c r="SD118" s="205">
        <f t="shared" si="899"/>
        <v>0</v>
      </c>
      <c r="SE118" s="205">
        <f t="shared" si="900"/>
        <v>0</v>
      </c>
      <c r="SF118" s="207"/>
      <c r="SG118" s="207"/>
      <c r="SH118" s="207"/>
      <c r="SI118" s="207"/>
      <c r="SJ118" s="207"/>
      <c r="SK118" s="272"/>
      <c r="SL118" s="272"/>
      <c r="SM118" s="205">
        <f t="shared" si="901"/>
        <v>0</v>
      </c>
      <c r="SN118" s="207"/>
      <c r="SO118" s="207"/>
      <c r="SP118" s="207"/>
      <c r="SQ118" s="207"/>
      <c r="SR118" s="207"/>
      <c r="SS118" s="272"/>
      <c r="ST118" s="272"/>
      <c r="SU118" s="205">
        <f t="shared" si="902"/>
        <v>0</v>
      </c>
      <c r="SV118" s="207"/>
      <c r="SW118" s="207"/>
      <c r="SX118" s="207"/>
      <c r="SY118" s="207"/>
      <c r="SZ118" s="207"/>
      <c r="TA118" s="272"/>
      <c r="TB118" s="272"/>
      <c r="TC118" s="205">
        <f t="shared" si="903"/>
        <v>0</v>
      </c>
      <c r="TD118" s="207"/>
      <c r="TE118" s="207"/>
      <c r="TF118" s="207"/>
      <c r="TG118" s="207"/>
      <c r="TH118" s="207"/>
      <c r="TI118" s="272"/>
      <c r="TJ118" s="272"/>
      <c r="TK118" s="205">
        <f t="shared" si="904"/>
        <v>0</v>
      </c>
      <c r="TL118" s="207"/>
      <c r="TM118" s="207"/>
      <c r="TN118" s="207"/>
      <c r="TO118" s="207"/>
      <c r="TP118" s="272"/>
      <c r="TQ118" s="272"/>
      <c r="TR118" s="272"/>
      <c r="TS118" s="205">
        <f t="shared" si="905"/>
        <v>0</v>
      </c>
      <c r="TT118" s="205">
        <f t="shared" si="906"/>
        <v>0</v>
      </c>
      <c r="TU118" s="272"/>
      <c r="TV118" s="207"/>
      <c r="TW118" s="207"/>
      <c r="TX118" s="207"/>
      <c r="TY118" s="207"/>
      <c r="TZ118" s="272"/>
      <c r="UA118" s="272"/>
      <c r="UB118" s="205">
        <f t="shared" si="907"/>
        <v>0</v>
      </c>
      <c r="UC118" s="207"/>
      <c r="UD118" s="207"/>
      <c r="UE118" s="207"/>
      <c r="UF118" s="207"/>
      <c r="UG118" s="207"/>
      <c r="UH118" s="272"/>
      <c r="UI118" s="272"/>
      <c r="UJ118" s="205">
        <f t="shared" si="908"/>
        <v>0</v>
      </c>
      <c r="UK118" s="207"/>
      <c r="UL118" s="207"/>
      <c r="UM118" s="207"/>
      <c r="UN118" s="207"/>
      <c r="UO118" s="207"/>
      <c r="UP118" s="272"/>
      <c r="UQ118" s="272"/>
      <c r="UR118" s="205">
        <f t="shared" si="909"/>
        <v>0</v>
      </c>
      <c r="US118" s="207"/>
      <c r="UT118" s="207"/>
      <c r="UU118" s="207"/>
      <c r="UV118" s="207"/>
      <c r="UW118" s="272"/>
      <c r="UX118" s="272"/>
      <c r="UY118" s="272"/>
      <c r="UZ118" s="205">
        <f t="shared" si="910"/>
        <v>0</v>
      </c>
      <c r="VA118" s="205">
        <f t="shared" si="911"/>
        <v>0</v>
      </c>
      <c r="VB118" s="207"/>
      <c r="VC118" s="207"/>
      <c r="VD118" s="207"/>
      <c r="VE118" s="207"/>
      <c r="VF118" s="207"/>
      <c r="VG118" s="272"/>
      <c r="VH118" s="272"/>
      <c r="VI118" s="205">
        <f t="shared" si="912"/>
        <v>0</v>
      </c>
      <c r="VJ118" s="207"/>
      <c r="VK118" s="207"/>
      <c r="VL118" s="207"/>
      <c r="VM118" s="207"/>
      <c r="VN118" s="207"/>
      <c r="VO118" s="272"/>
      <c r="VP118" s="272"/>
      <c r="VQ118" s="205">
        <f t="shared" si="913"/>
        <v>0</v>
      </c>
      <c r="VR118" s="207"/>
      <c r="VS118" s="207"/>
      <c r="VT118" s="207"/>
      <c r="VU118" s="207"/>
      <c r="VV118" s="207"/>
      <c r="VW118" s="272"/>
      <c r="VX118" s="272"/>
      <c r="VY118" s="205">
        <f t="shared" si="914"/>
        <v>0</v>
      </c>
      <c r="VZ118" s="207"/>
      <c r="WA118" s="207"/>
      <c r="WB118" s="207"/>
      <c r="WC118" s="207"/>
      <c r="WD118" s="207"/>
      <c r="WE118" s="272"/>
      <c r="WF118" s="272"/>
      <c r="WG118" s="205">
        <f t="shared" si="915"/>
        <v>0</v>
      </c>
      <c r="WH118" s="205">
        <f t="shared" si="916"/>
        <v>0</v>
      </c>
      <c r="WI118" s="207"/>
      <c r="WJ118" s="207"/>
      <c r="WK118" s="207"/>
      <c r="WL118" s="207"/>
      <c r="WM118" s="207"/>
      <c r="WN118" s="272"/>
      <c r="WO118" s="272"/>
      <c r="WP118" s="205">
        <f t="shared" si="917"/>
        <v>0</v>
      </c>
      <c r="WQ118" s="207"/>
      <c r="WR118" s="207"/>
      <c r="WS118" s="207"/>
      <c r="WT118" s="207"/>
      <c r="WU118" s="207"/>
      <c r="WV118" s="272"/>
      <c r="WW118" s="272"/>
      <c r="WX118" s="205">
        <f t="shared" si="918"/>
        <v>0</v>
      </c>
      <c r="WY118" s="207"/>
      <c r="WZ118" s="207"/>
      <c r="XA118" s="207"/>
      <c r="XB118" s="207"/>
      <c r="XC118" s="272"/>
      <c r="XD118" s="272"/>
      <c r="XE118" s="272"/>
      <c r="XF118" s="205">
        <f t="shared" si="919"/>
        <v>0</v>
      </c>
      <c r="XG118" s="207"/>
      <c r="XH118" s="207"/>
      <c r="XI118" s="207"/>
      <c r="XJ118" s="207"/>
      <c r="XK118" s="207"/>
      <c r="XL118" s="272"/>
      <c r="XM118" s="272"/>
      <c r="XN118" s="205">
        <f t="shared" si="920"/>
        <v>0</v>
      </c>
      <c r="XO118" s="207"/>
      <c r="XP118" s="207"/>
      <c r="XQ118" s="207"/>
      <c r="XR118" s="207"/>
      <c r="XS118" s="207"/>
      <c r="XT118" s="272"/>
      <c r="XU118" s="272"/>
      <c r="XV118" s="205">
        <f t="shared" si="921"/>
        <v>0</v>
      </c>
      <c r="XW118" s="205">
        <f t="shared" si="922"/>
        <v>0</v>
      </c>
      <c r="XX118" s="207"/>
      <c r="XY118" s="207"/>
      <c r="XZ118" s="207"/>
      <c r="YA118" s="207"/>
      <c r="YB118" s="207"/>
      <c r="YC118" s="272"/>
      <c r="YD118" s="272"/>
      <c r="YE118" s="205">
        <f t="shared" si="923"/>
        <v>0</v>
      </c>
      <c r="YF118" s="207"/>
      <c r="YG118" s="207"/>
      <c r="YH118" s="207"/>
      <c r="YI118" s="207"/>
      <c r="YJ118" s="207"/>
      <c r="YK118" s="272"/>
      <c r="YL118" s="272"/>
      <c r="YM118" s="205">
        <f t="shared" si="924"/>
        <v>0</v>
      </c>
      <c r="YN118" s="207"/>
      <c r="YO118" s="207"/>
      <c r="YP118" s="207"/>
      <c r="YQ118" s="207"/>
      <c r="YR118" s="207"/>
      <c r="YS118" s="272"/>
      <c r="YT118" s="272"/>
      <c r="YU118" s="205">
        <f t="shared" si="925"/>
        <v>0</v>
      </c>
      <c r="YV118" s="207"/>
      <c r="YW118" s="207"/>
      <c r="YX118" s="207"/>
      <c r="YY118" s="207"/>
      <c r="YZ118" s="207"/>
      <c r="ZA118" s="272"/>
      <c r="ZB118" s="272"/>
      <c r="ZC118" s="205">
        <f t="shared" si="926"/>
        <v>0</v>
      </c>
      <c r="ZD118" s="205">
        <f t="shared" si="927"/>
        <v>0</v>
      </c>
      <c r="ZE118" s="207"/>
      <c r="ZF118" s="207"/>
      <c r="ZG118" s="207"/>
      <c r="ZH118" s="207"/>
      <c r="ZI118" s="207"/>
      <c r="ZJ118" s="272"/>
      <c r="ZK118" s="272"/>
      <c r="ZL118" s="205">
        <f t="shared" si="928"/>
        <v>0</v>
      </c>
      <c r="ZM118" s="207"/>
      <c r="ZN118" s="207"/>
      <c r="ZO118" s="207"/>
      <c r="ZP118" s="207"/>
      <c r="ZQ118" s="207"/>
      <c r="ZR118" s="272"/>
      <c r="ZS118" s="272"/>
      <c r="ZT118" s="205">
        <f t="shared" si="929"/>
        <v>0</v>
      </c>
      <c r="ZU118" s="207"/>
      <c r="ZV118" s="207"/>
      <c r="ZW118" s="207"/>
      <c r="ZX118" s="207"/>
      <c r="ZY118" s="207"/>
      <c r="ZZ118" s="272"/>
      <c r="AAA118" s="272"/>
      <c r="AAB118" s="205">
        <f t="shared" si="930"/>
        <v>0</v>
      </c>
      <c r="AAC118" s="207"/>
      <c r="AAD118" s="207"/>
      <c r="AAE118" s="207"/>
      <c r="AAF118" s="207"/>
      <c r="AAG118" s="207"/>
      <c r="AAH118" s="272"/>
      <c r="AAI118" s="272"/>
      <c r="AAJ118" s="205">
        <f t="shared" si="931"/>
        <v>0</v>
      </c>
      <c r="AAK118" s="207"/>
      <c r="AAL118" s="207"/>
      <c r="AAM118" s="207"/>
      <c r="AAN118" s="207"/>
      <c r="AAO118" s="207"/>
      <c r="AAP118" s="272"/>
      <c r="AAQ118" s="272"/>
      <c r="AAR118" s="205">
        <f t="shared" si="932"/>
        <v>0</v>
      </c>
      <c r="AAS118" s="205">
        <f t="shared" si="933"/>
        <v>0</v>
      </c>
    </row>
    <row r="119" spans="2:777" ht="69.95" customHeight="1">
      <c r="B119" s="151">
        <v>3630101481</v>
      </c>
      <c r="C119" s="323" t="s">
        <v>741</v>
      </c>
      <c r="D119" s="152" t="s">
        <v>608</v>
      </c>
      <c r="E119" s="130" t="s">
        <v>4</v>
      </c>
      <c r="F119" s="120"/>
      <c r="G119" s="120"/>
      <c r="H119" s="120"/>
      <c r="I119" s="120"/>
      <c r="J119" s="120"/>
      <c r="K119" s="209"/>
      <c r="L119" s="205"/>
      <c r="M119" s="205">
        <f t="shared" si="1048"/>
        <v>0</v>
      </c>
      <c r="N119" s="120"/>
      <c r="O119" s="120"/>
      <c r="P119" s="120"/>
      <c r="Q119" s="120"/>
      <c r="R119" s="120"/>
      <c r="S119" s="209"/>
      <c r="T119" s="205"/>
      <c r="U119" s="205">
        <f t="shared" si="1049"/>
        <v>0</v>
      </c>
      <c r="V119" s="120"/>
      <c r="W119" s="120"/>
      <c r="X119" s="120"/>
      <c r="Y119" s="120"/>
      <c r="Z119" s="120"/>
      <c r="AA119" s="209"/>
      <c r="AB119" s="205"/>
      <c r="AC119" s="205">
        <f t="shared" si="1050"/>
        <v>0</v>
      </c>
      <c r="AD119" s="205"/>
      <c r="AE119" s="205"/>
      <c r="AF119" s="205"/>
      <c r="AG119" s="205"/>
      <c r="AH119" s="205"/>
      <c r="AI119" s="209"/>
      <c r="AJ119" s="205"/>
      <c r="AK119" s="205">
        <f t="shared" si="1051"/>
        <v>0</v>
      </c>
      <c r="AL119" s="205" t="e">
        <f>SUM(#REF!,M119,U119,AC119,AD119:AH119)</f>
        <v>#REF!</v>
      </c>
      <c r="AM119" s="120"/>
      <c r="AN119" s="120"/>
      <c r="AO119" s="120"/>
      <c r="AP119" s="120"/>
      <c r="AQ119" s="120"/>
      <c r="AR119" s="209"/>
      <c r="AS119" s="205"/>
      <c r="AT119" s="205">
        <f t="shared" si="1052"/>
        <v>0</v>
      </c>
      <c r="AU119" s="120"/>
      <c r="AV119" s="120"/>
      <c r="AW119" s="120"/>
      <c r="AX119" s="120"/>
      <c r="AY119" s="120"/>
      <c r="AZ119" s="209"/>
      <c r="BA119" s="205"/>
      <c r="BB119" s="205">
        <f t="shared" si="1053"/>
        <v>0</v>
      </c>
      <c r="BC119" s="120"/>
      <c r="BD119" s="120"/>
      <c r="BE119" s="120"/>
      <c r="BF119" s="120"/>
      <c r="BG119" s="120"/>
      <c r="BH119" s="209"/>
      <c r="BI119" s="205"/>
      <c r="BJ119" s="205">
        <f t="shared" si="1054"/>
        <v>0</v>
      </c>
      <c r="BK119" s="250">
        <v>200</v>
      </c>
      <c r="BL119" s="120"/>
      <c r="BM119" s="120"/>
      <c r="BN119" s="120"/>
      <c r="BO119" s="205"/>
      <c r="BP119" s="209"/>
      <c r="BQ119" s="205"/>
      <c r="BR119" s="205">
        <f t="shared" si="1055"/>
        <v>200</v>
      </c>
      <c r="BS119" s="205">
        <f t="shared" si="832"/>
        <v>200</v>
      </c>
      <c r="BT119" s="120"/>
      <c r="BU119" s="120"/>
      <c r="BV119" s="120"/>
      <c r="BW119" s="120"/>
      <c r="BX119" s="120"/>
      <c r="BY119" s="209"/>
      <c r="BZ119" s="205"/>
      <c r="CA119" s="205">
        <f t="shared" si="1056"/>
        <v>0</v>
      </c>
      <c r="CB119" s="120"/>
      <c r="CC119" s="120"/>
      <c r="CD119" s="120"/>
      <c r="CE119" s="120"/>
      <c r="CF119" s="120"/>
      <c r="CG119" s="209"/>
      <c r="CH119" s="205"/>
      <c r="CI119" s="205">
        <f t="shared" si="1057"/>
        <v>0</v>
      </c>
      <c r="CJ119" s="120"/>
      <c r="CK119" s="120"/>
      <c r="CL119" s="120"/>
      <c r="CM119" s="120"/>
      <c r="CN119" s="120"/>
      <c r="CO119" s="209"/>
      <c r="CP119" s="205"/>
      <c r="CQ119" s="205">
        <f t="shared" si="1058"/>
        <v>0</v>
      </c>
      <c r="CR119" s="120"/>
      <c r="CS119" s="120"/>
      <c r="CT119" s="120"/>
      <c r="CU119" s="120"/>
      <c r="CV119" s="120"/>
      <c r="CW119" s="209"/>
      <c r="CX119" s="205"/>
      <c r="CY119" s="205">
        <f t="shared" si="1059"/>
        <v>0</v>
      </c>
      <c r="CZ119" s="120"/>
      <c r="DA119" s="120"/>
      <c r="DB119" s="120"/>
      <c r="DC119" s="205"/>
      <c r="DD119" s="205"/>
      <c r="DE119" s="209"/>
      <c r="DF119" s="205"/>
      <c r="DG119" s="205">
        <f t="shared" si="1060"/>
        <v>0</v>
      </c>
      <c r="DH119" s="205">
        <f t="shared" si="838"/>
        <v>0</v>
      </c>
      <c r="DI119" s="120"/>
      <c r="DJ119" s="120"/>
      <c r="DK119" s="120"/>
      <c r="DL119" s="120"/>
      <c r="DM119" s="120"/>
      <c r="DN119" s="209"/>
      <c r="DO119" s="205"/>
      <c r="DP119" s="205">
        <f t="shared" si="839"/>
        <v>0</v>
      </c>
      <c r="DQ119" s="120"/>
      <c r="DR119" s="120"/>
      <c r="DS119" s="120"/>
      <c r="DT119" s="120"/>
      <c r="DU119" s="120"/>
      <c r="DV119" s="209"/>
      <c r="DW119" s="205"/>
      <c r="DX119" s="205">
        <f t="shared" si="840"/>
        <v>0</v>
      </c>
      <c r="DY119" s="120"/>
      <c r="DZ119" s="120"/>
      <c r="EA119" s="120"/>
      <c r="EB119" s="120"/>
      <c r="EC119" s="120"/>
      <c r="ED119" s="209"/>
      <c r="EE119" s="205"/>
      <c r="EF119" s="205">
        <f t="shared" si="841"/>
        <v>0</v>
      </c>
      <c r="EG119" s="120"/>
      <c r="EH119" s="120"/>
      <c r="EI119" s="120"/>
      <c r="EJ119" s="205"/>
      <c r="EK119" s="205"/>
      <c r="EL119" s="209"/>
      <c r="EM119" s="205"/>
      <c r="EN119" s="205">
        <f t="shared" si="842"/>
        <v>0</v>
      </c>
      <c r="EO119" s="205">
        <f t="shared" si="843"/>
        <v>0</v>
      </c>
      <c r="EP119" s="120"/>
      <c r="EQ119" s="120"/>
      <c r="ER119" s="120"/>
      <c r="ES119" s="120"/>
      <c r="ET119" s="120"/>
      <c r="EU119" s="209"/>
      <c r="EV119" s="205"/>
      <c r="EW119" s="205">
        <f t="shared" si="844"/>
        <v>0</v>
      </c>
      <c r="EX119" s="120"/>
      <c r="EY119" s="120"/>
      <c r="EZ119" s="120"/>
      <c r="FA119" s="120"/>
      <c r="FB119" s="120"/>
      <c r="FC119" s="209"/>
      <c r="FD119" s="205"/>
      <c r="FE119" s="205">
        <f t="shared" si="845"/>
        <v>0</v>
      </c>
      <c r="FF119" s="120"/>
      <c r="FG119" s="120"/>
      <c r="FH119" s="120"/>
      <c r="FI119" s="120"/>
      <c r="FJ119" s="120"/>
      <c r="FK119" s="209"/>
      <c r="FL119" s="205"/>
      <c r="FM119" s="205">
        <f t="shared" si="846"/>
        <v>0</v>
      </c>
      <c r="FN119" s="120"/>
      <c r="FO119" s="120"/>
      <c r="FP119" s="120"/>
      <c r="FQ119" s="120"/>
      <c r="FR119" s="205"/>
      <c r="FS119" s="209"/>
      <c r="FT119" s="205"/>
      <c r="FU119" s="205">
        <f t="shared" si="847"/>
        <v>0</v>
      </c>
      <c r="FV119" s="205">
        <f t="shared" si="848"/>
        <v>0</v>
      </c>
      <c r="FW119" s="120"/>
      <c r="FX119" s="120"/>
      <c r="FY119" s="120"/>
      <c r="FZ119" s="120"/>
      <c r="GA119" s="120"/>
      <c r="GB119" s="209"/>
      <c r="GC119" s="205"/>
      <c r="GD119" s="205">
        <f t="shared" si="849"/>
        <v>0</v>
      </c>
      <c r="GE119" s="120"/>
      <c r="GF119" s="120"/>
      <c r="GG119" s="120"/>
      <c r="GH119" s="250">
        <v>200</v>
      </c>
      <c r="GI119" s="120"/>
      <c r="GJ119" s="209"/>
      <c r="GK119" s="205"/>
      <c r="GL119" s="205">
        <f t="shared" si="850"/>
        <v>200</v>
      </c>
      <c r="GM119" s="120"/>
      <c r="GN119" s="120"/>
      <c r="GO119" s="120"/>
      <c r="GP119" s="120"/>
      <c r="GQ119" s="120"/>
      <c r="GR119" s="209"/>
      <c r="GS119" s="205"/>
      <c r="GT119" s="205">
        <f t="shared" si="851"/>
        <v>0</v>
      </c>
      <c r="GU119" s="120"/>
      <c r="GV119" s="120"/>
      <c r="GW119" s="120"/>
      <c r="GX119" s="120"/>
      <c r="GY119" s="120"/>
      <c r="GZ119" s="209"/>
      <c r="HA119" s="205"/>
      <c r="HB119" s="205">
        <f t="shared" si="852"/>
        <v>0</v>
      </c>
      <c r="HC119" s="120"/>
      <c r="HD119" s="120"/>
      <c r="HE119" s="120"/>
      <c r="HF119" s="120"/>
      <c r="HG119" s="120"/>
      <c r="HH119" s="209"/>
      <c r="HI119" s="205"/>
      <c r="HJ119" s="205">
        <f t="shared" si="853"/>
        <v>0</v>
      </c>
      <c r="HK119" s="205">
        <f t="shared" si="854"/>
        <v>200</v>
      </c>
      <c r="HL119" s="124"/>
      <c r="HM119" s="120"/>
      <c r="HN119" s="120"/>
      <c r="HO119" s="120"/>
      <c r="HP119" s="120"/>
      <c r="HQ119" s="205"/>
      <c r="HR119" s="205"/>
      <c r="HS119" s="205">
        <f t="shared" si="934"/>
        <v>0</v>
      </c>
      <c r="HT119" s="120"/>
      <c r="HU119" s="120"/>
      <c r="HV119" s="120"/>
      <c r="HW119" s="120"/>
      <c r="HX119" s="120"/>
      <c r="HY119" s="205"/>
      <c r="HZ119" s="205"/>
      <c r="IA119" s="205">
        <f t="shared" si="935"/>
        <v>0</v>
      </c>
      <c r="IB119" s="120"/>
      <c r="IC119" s="120"/>
      <c r="ID119" s="120"/>
      <c r="IE119" s="120"/>
      <c r="IF119" s="120"/>
      <c r="IG119" s="205"/>
      <c r="IH119" s="205"/>
      <c r="II119" s="205">
        <f t="shared" si="936"/>
        <v>0</v>
      </c>
      <c r="IJ119" s="120"/>
      <c r="IK119" s="120"/>
      <c r="IL119" s="120"/>
      <c r="IM119" s="120"/>
      <c r="IN119" s="120"/>
      <c r="IO119" s="205"/>
      <c r="IP119" s="205"/>
      <c r="IQ119" s="205">
        <f t="shared" si="937"/>
        <v>0</v>
      </c>
      <c r="IR119" s="205">
        <f t="shared" si="938"/>
        <v>0</v>
      </c>
      <c r="IS119" s="120"/>
      <c r="IT119" s="120"/>
      <c r="IU119" s="120"/>
      <c r="IV119" s="120"/>
      <c r="IW119" s="120"/>
      <c r="IX119" s="205"/>
      <c r="IY119" s="205"/>
      <c r="IZ119" s="205">
        <f t="shared" si="939"/>
        <v>0</v>
      </c>
      <c r="JA119" s="120"/>
      <c r="JB119" s="120"/>
      <c r="JC119" s="120"/>
      <c r="JD119" s="120"/>
      <c r="JE119" s="120"/>
      <c r="JF119" s="205"/>
      <c r="JG119" s="205"/>
      <c r="JH119" s="205">
        <f t="shared" si="940"/>
        <v>0</v>
      </c>
      <c r="JI119" s="120"/>
      <c r="JJ119" s="120"/>
      <c r="JK119" s="120"/>
      <c r="JL119" s="124">
        <v>300</v>
      </c>
      <c r="JM119" s="120"/>
      <c r="JN119" s="205"/>
      <c r="JO119" s="205"/>
      <c r="JP119" s="205">
        <f t="shared" si="941"/>
        <v>300</v>
      </c>
      <c r="JQ119" s="120"/>
      <c r="JR119" s="120"/>
      <c r="JS119" s="120"/>
      <c r="JT119" s="120"/>
      <c r="JU119" s="120"/>
      <c r="JV119" s="205"/>
      <c r="JW119" s="205"/>
      <c r="JX119" s="205">
        <f t="shared" si="942"/>
        <v>0</v>
      </c>
      <c r="JY119" s="205">
        <f t="shared" si="943"/>
        <v>300</v>
      </c>
      <c r="JZ119" s="120"/>
      <c r="KA119" s="120"/>
      <c r="KB119" s="120"/>
      <c r="KC119" s="120"/>
      <c r="KD119" s="120"/>
      <c r="KE119" s="205"/>
      <c r="KF119" s="205"/>
      <c r="KG119" s="205">
        <f t="shared" si="944"/>
        <v>0</v>
      </c>
      <c r="KH119" s="120"/>
      <c r="KI119" s="120"/>
      <c r="KJ119" s="120"/>
      <c r="KK119" s="120"/>
      <c r="KL119" s="120"/>
      <c r="KM119" s="205"/>
      <c r="KN119" s="205"/>
      <c r="KO119" s="205">
        <f t="shared" si="945"/>
        <v>0</v>
      </c>
      <c r="KP119" s="120"/>
      <c r="KQ119" s="120"/>
      <c r="KR119" s="120"/>
      <c r="KS119" s="120"/>
      <c r="KT119" s="120"/>
      <c r="KU119" s="205"/>
      <c r="KV119" s="205"/>
      <c r="KW119" s="205">
        <f t="shared" si="946"/>
        <v>0</v>
      </c>
      <c r="KX119" s="120"/>
      <c r="KY119" s="120"/>
      <c r="KZ119" s="120"/>
      <c r="LA119" s="120"/>
      <c r="LB119" s="120"/>
      <c r="LC119" s="205"/>
      <c r="LD119" s="205"/>
      <c r="LE119" s="205">
        <f t="shared" si="947"/>
        <v>0</v>
      </c>
      <c r="LF119" s="205"/>
      <c r="LG119" s="120"/>
      <c r="LH119" s="120"/>
      <c r="LI119" s="120"/>
      <c r="LJ119" s="120"/>
      <c r="LK119" s="205"/>
      <c r="LL119" s="205"/>
      <c r="LM119" s="205">
        <f t="shared" si="948"/>
        <v>0</v>
      </c>
      <c r="LN119" s="205">
        <f t="shared" si="949"/>
        <v>0</v>
      </c>
      <c r="LO119" s="205"/>
      <c r="LP119" s="120"/>
      <c r="LQ119" s="120"/>
      <c r="LR119" s="120"/>
      <c r="LS119" s="205"/>
      <c r="LT119" s="205"/>
      <c r="LU119" s="205"/>
      <c r="LV119" s="205">
        <f t="shared" si="950"/>
        <v>0</v>
      </c>
      <c r="LW119" s="120"/>
      <c r="LX119" s="120"/>
      <c r="LY119" s="120"/>
      <c r="LZ119" s="120"/>
      <c r="MA119" s="120"/>
      <c r="MB119" s="205"/>
      <c r="MC119" s="205"/>
      <c r="MD119" s="205">
        <f t="shared" si="951"/>
        <v>0</v>
      </c>
      <c r="ME119" s="120"/>
      <c r="MF119" s="120"/>
      <c r="MG119" s="120"/>
      <c r="MH119" s="120"/>
      <c r="MI119" s="205"/>
      <c r="MJ119" s="205"/>
      <c r="MK119" s="205"/>
      <c r="ML119" s="205">
        <f t="shared" si="952"/>
        <v>0</v>
      </c>
      <c r="MM119" s="120"/>
      <c r="MN119" s="120"/>
      <c r="MO119" s="120"/>
      <c r="MP119" s="120"/>
      <c r="MQ119" s="120"/>
      <c r="MR119" s="205"/>
      <c r="MS119" s="205"/>
      <c r="MT119" s="205">
        <f t="shared" si="953"/>
        <v>0</v>
      </c>
      <c r="MU119" s="205">
        <f t="shared" si="954"/>
        <v>0</v>
      </c>
      <c r="MV119" s="120"/>
      <c r="MW119" s="120"/>
      <c r="MX119" s="120"/>
      <c r="MY119" s="120"/>
      <c r="MZ119" s="120"/>
      <c r="NA119" s="205"/>
      <c r="NB119" s="205"/>
      <c r="NC119" s="205">
        <f t="shared" si="880"/>
        <v>0</v>
      </c>
      <c r="ND119" s="120"/>
      <c r="NE119" s="120"/>
      <c r="NF119" s="120"/>
      <c r="NG119" s="120"/>
      <c r="NH119" s="120"/>
      <c r="NI119" s="205"/>
      <c r="NJ119" s="205"/>
      <c r="NK119" s="205">
        <f t="shared" si="881"/>
        <v>0</v>
      </c>
      <c r="NL119" s="120"/>
      <c r="NM119" s="120"/>
      <c r="NN119" s="120"/>
      <c r="NO119" s="120"/>
      <c r="NP119" s="120"/>
      <c r="NQ119" s="205"/>
      <c r="NR119" s="205"/>
      <c r="NS119" s="205">
        <f t="shared" si="882"/>
        <v>0</v>
      </c>
      <c r="NT119" s="120"/>
      <c r="NU119" s="120"/>
      <c r="NV119" s="120"/>
      <c r="NW119" s="120"/>
      <c r="NX119" s="120"/>
      <c r="NY119" s="205"/>
      <c r="NZ119" s="205"/>
      <c r="OA119" s="205">
        <f t="shared" si="883"/>
        <v>0</v>
      </c>
      <c r="OB119" s="205">
        <f t="shared" si="884"/>
        <v>0</v>
      </c>
      <c r="OC119" s="120"/>
      <c r="OD119" s="120"/>
      <c r="OE119" s="120"/>
      <c r="OF119" s="120"/>
      <c r="OG119" s="120"/>
      <c r="OH119" s="205"/>
      <c r="OI119" s="205"/>
      <c r="OJ119" s="205">
        <f t="shared" si="885"/>
        <v>0</v>
      </c>
      <c r="OK119" s="120"/>
      <c r="OL119" s="120"/>
      <c r="OM119" s="120"/>
      <c r="ON119" s="120"/>
      <c r="OO119" s="120"/>
      <c r="OP119" s="205"/>
      <c r="OQ119" s="205"/>
      <c r="OR119" s="205">
        <f t="shared" si="886"/>
        <v>0</v>
      </c>
      <c r="OS119" s="120"/>
      <c r="OT119" s="120"/>
      <c r="OU119" s="120"/>
      <c r="OV119" s="120"/>
      <c r="OW119" s="120"/>
      <c r="OX119" s="205"/>
      <c r="OY119" s="205"/>
      <c r="OZ119" s="205">
        <f t="shared" si="887"/>
        <v>0</v>
      </c>
      <c r="PA119" s="120"/>
      <c r="PB119" s="120"/>
      <c r="PC119" s="120"/>
      <c r="PD119" s="205"/>
      <c r="PE119" s="217"/>
      <c r="PF119" s="205"/>
      <c r="PG119" s="205"/>
      <c r="PH119" s="205">
        <f t="shared" si="888"/>
        <v>0</v>
      </c>
      <c r="PI119" s="120"/>
      <c r="PJ119" s="120"/>
      <c r="PK119" s="120"/>
      <c r="PL119" s="205"/>
      <c r="PM119" s="217"/>
      <c r="PN119" s="205"/>
      <c r="PO119" s="205"/>
      <c r="PP119" s="205">
        <f t="shared" si="889"/>
        <v>0</v>
      </c>
      <c r="PQ119" s="205">
        <f t="shared" si="890"/>
        <v>0</v>
      </c>
      <c r="PR119" s="207"/>
      <c r="PS119" s="207"/>
      <c r="PT119" s="207"/>
      <c r="PU119" s="207"/>
      <c r="PV119" s="207"/>
      <c r="PW119" s="272"/>
      <c r="PX119" s="272"/>
      <c r="PY119" s="205">
        <f t="shared" si="891"/>
        <v>0</v>
      </c>
      <c r="PZ119" s="207"/>
      <c r="QA119" s="207"/>
      <c r="QB119" s="207"/>
      <c r="QC119" s="207"/>
      <c r="QD119" s="207"/>
      <c r="QE119" s="272"/>
      <c r="QF119" s="272"/>
      <c r="QG119" s="205">
        <f t="shared" si="892"/>
        <v>0</v>
      </c>
      <c r="QH119" s="207"/>
      <c r="QI119" s="207"/>
      <c r="QJ119" s="294"/>
      <c r="QK119" s="217">
        <v>200</v>
      </c>
      <c r="QL119" s="207"/>
      <c r="QM119" s="272"/>
      <c r="QN119" s="272"/>
      <c r="QO119" s="205">
        <f t="shared" si="893"/>
        <v>200</v>
      </c>
      <c r="QP119" s="207"/>
      <c r="QQ119" s="207"/>
      <c r="QR119" s="207"/>
      <c r="QS119" s="207"/>
      <c r="QT119" s="207"/>
      <c r="QU119" s="272"/>
      <c r="QV119" s="272"/>
      <c r="QW119" s="205">
        <f t="shared" si="894"/>
        <v>0</v>
      </c>
      <c r="QX119" s="205">
        <f t="shared" si="895"/>
        <v>200</v>
      </c>
      <c r="QY119" s="207"/>
      <c r="QZ119" s="207"/>
      <c r="RA119" s="207"/>
      <c r="RB119" s="207"/>
      <c r="RC119" s="207"/>
      <c r="RD119" s="272"/>
      <c r="RE119" s="272"/>
      <c r="RF119" s="205">
        <f t="shared" si="896"/>
        <v>0</v>
      </c>
      <c r="RG119" s="207"/>
      <c r="RH119" s="207"/>
      <c r="RI119" s="207"/>
      <c r="RJ119" s="207"/>
      <c r="RK119" s="207"/>
      <c r="RL119" s="272"/>
      <c r="RM119" s="272"/>
      <c r="RN119" s="205">
        <f t="shared" si="897"/>
        <v>0</v>
      </c>
      <c r="RO119" s="272"/>
      <c r="RP119" s="272"/>
      <c r="RQ119" s="272"/>
      <c r="RR119" s="272"/>
      <c r="RS119" s="272"/>
      <c r="RT119" s="272"/>
      <c r="RU119" s="272"/>
      <c r="RV119" s="205">
        <f t="shared" si="898"/>
        <v>0</v>
      </c>
      <c r="RW119" s="207"/>
      <c r="RX119" s="207"/>
      <c r="RY119" s="207"/>
      <c r="RZ119" s="207"/>
      <c r="SA119" s="272"/>
      <c r="SB119" s="272"/>
      <c r="SC119" s="272"/>
      <c r="SD119" s="205">
        <f t="shared" si="899"/>
        <v>0</v>
      </c>
      <c r="SE119" s="205">
        <f t="shared" si="900"/>
        <v>0</v>
      </c>
      <c r="SF119" s="207"/>
      <c r="SG119" s="207"/>
      <c r="SH119" s="207"/>
      <c r="SI119" s="207"/>
      <c r="SJ119" s="207"/>
      <c r="SK119" s="272"/>
      <c r="SL119" s="272"/>
      <c r="SM119" s="205">
        <f t="shared" si="901"/>
        <v>0</v>
      </c>
      <c r="SN119" s="207"/>
      <c r="SO119" s="207"/>
      <c r="SP119" s="207"/>
      <c r="SQ119" s="207"/>
      <c r="SR119" s="207"/>
      <c r="SS119" s="272"/>
      <c r="ST119" s="272"/>
      <c r="SU119" s="205">
        <f t="shared" si="902"/>
        <v>0</v>
      </c>
      <c r="SV119" s="207"/>
      <c r="SW119" s="207"/>
      <c r="SX119" s="207"/>
      <c r="SY119" s="207"/>
      <c r="SZ119" s="207"/>
      <c r="TA119" s="272"/>
      <c r="TB119" s="272"/>
      <c r="TC119" s="205">
        <f t="shared" si="903"/>
        <v>0</v>
      </c>
      <c r="TD119" s="207"/>
      <c r="TE119" s="207"/>
      <c r="TF119" s="207"/>
      <c r="TG119" s="207"/>
      <c r="TH119" s="207"/>
      <c r="TI119" s="272"/>
      <c r="TJ119" s="272"/>
      <c r="TK119" s="205">
        <f t="shared" si="904"/>
        <v>0</v>
      </c>
      <c r="TL119" s="207"/>
      <c r="TM119" s="207"/>
      <c r="TN119" s="207"/>
      <c r="TO119" s="207"/>
      <c r="TP119" s="272"/>
      <c r="TQ119" s="272"/>
      <c r="TR119" s="272"/>
      <c r="TS119" s="205">
        <f t="shared" si="905"/>
        <v>0</v>
      </c>
      <c r="TT119" s="205">
        <f t="shared" si="906"/>
        <v>0</v>
      </c>
      <c r="TU119" s="272"/>
      <c r="TV119" s="207"/>
      <c r="TW119" s="207"/>
      <c r="TX119" s="207"/>
      <c r="TY119" s="207"/>
      <c r="TZ119" s="272"/>
      <c r="UA119" s="272"/>
      <c r="UB119" s="205">
        <f t="shared" si="907"/>
        <v>0</v>
      </c>
      <c r="UC119" s="207"/>
      <c r="UD119" s="207"/>
      <c r="UE119" s="207"/>
      <c r="UF119" s="207"/>
      <c r="UG119" s="207"/>
      <c r="UH119" s="272"/>
      <c r="UI119" s="272"/>
      <c r="UJ119" s="205">
        <f t="shared" si="908"/>
        <v>0</v>
      </c>
      <c r="UK119" s="207"/>
      <c r="UL119" s="207"/>
      <c r="UM119" s="207"/>
      <c r="UN119" s="207"/>
      <c r="UO119" s="207"/>
      <c r="UP119" s="272"/>
      <c r="UQ119" s="272"/>
      <c r="UR119" s="205">
        <f t="shared" si="909"/>
        <v>0</v>
      </c>
      <c r="US119" s="207"/>
      <c r="UT119" s="207"/>
      <c r="UU119" s="207"/>
      <c r="UV119" s="207"/>
      <c r="UW119" s="272"/>
      <c r="UX119" s="272"/>
      <c r="UY119" s="272"/>
      <c r="UZ119" s="205">
        <f t="shared" si="910"/>
        <v>0</v>
      </c>
      <c r="VA119" s="205">
        <f t="shared" si="911"/>
        <v>0</v>
      </c>
      <c r="VB119" s="207"/>
      <c r="VC119" s="207"/>
      <c r="VD119" s="207"/>
      <c r="VE119" s="207"/>
      <c r="VF119" s="207"/>
      <c r="VG119" s="272"/>
      <c r="VH119" s="272"/>
      <c r="VI119" s="205">
        <f t="shared" si="912"/>
        <v>0</v>
      </c>
      <c r="VJ119" s="207"/>
      <c r="VK119" s="207"/>
      <c r="VL119" s="207"/>
      <c r="VM119" s="207"/>
      <c r="VN119" s="207"/>
      <c r="VO119" s="272"/>
      <c r="VP119" s="272"/>
      <c r="VQ119" s="205">
        <f t="shared" si="913"/>
        <v>0</v>
      </c>
      <c r="VR119" s="195">
        <v>300</v>
      </c>
      <c r="VS119" s="207"/>
      <c r="VT119" s="207"/>
      <c r="VU119" s="207"/>
      <c r="VV119" s="207"/>
      <c r="VW119" s="272"/>
      <c r="VX119" s="272"/>
      <c r="VY119" s="205">
        <f t="shared" si="914"/>
        <v>300</v>
      </c>
      <c r="VZ119" s="207"/>
      <c r="WA119" s="207"/>
      <c r="WB119" s="207"/>
      <c r="WC119" s="207"/>
      <c r="WD119" s="207"/>
      <c r="WE119" s="272"/>
      <c r="WF119" s="272"/>
      <c r="WG119" s="205">
        <f t="shared" si="915"/>
        <v>0</v>
      </c>
      <c r="WH119" s="205">
        <f t="shared" si="916"/>
        <v>300</v>
      </c>
      <c r="WI119" s="207"/>
      <c r="WJ119" s="207"/>
      <c r="WK119" s="207"/>
      <c r="WL119" s="207"/>
      <c r="WM119" s="207"/>
      <c r="WN119" s="272"/>
      <c r="WO119" s="272"/>
      <c r="WP119" s="205">
        <f t="shared" si="917"/>
        <v>0</v>
      </c>
      <c r="WQ119" s="207"/>
      <c r="WR119" s="207"/>
      <c r="WS119" s="207"/>
      <c r="WT119" s="207"/>
      <c r="WU119" s="207"/>
      <c r="WV119" s="272"/>
      <c r="WW119" s="272"/>
      <c r="WX119" s="205">
        <f t="shared" si="918"/>
        <v>0</v>
      </c>
      <c r="WY119" s="207"/>
      <c r="WZ119" s="207"/>
      <c r="XA119" s="207"/>
      <c r="XB119" s="207"/>
      <c r="XC119" s="272"/>
      <c r="XD119" s="272"/>
      <c r="XE119" s="272"/>
      <c r="XF119" s="205">
        <f t="shared" si="919"/>
        <v>0</v>
      </c>
      <c r="XG119" s="207"/>
      <c r="XH119" s="207"/>
      <c r="XI119" s="207"/>
      <c r="XJ119" s="207"/>
      <c r="XK119" s="207"/>
      <c r="XL119" s="272"/>
      <c r="XM119" s="272"/>
      <c r="XN119" s="205">
        <f t="shared" si="920"/>
        <v>0</v>
      </c>
      <c r="XO119" s="207"/>
      <c r="XP119" s="207"/>
      <c r="XQ119" s="207"/>
      <c r="XR119" s="207"/>
      <c r="XS119" s="207"/>
      <c r="XT119" s="272"/>
      <c r="XU119" s="272"/>
      <c r="XV119" s="205">
        <f t="shared" si="921"/>
        <v>0</v>
      </c>
      <c r="XW119" s="205">
        <f t="shared" si="922"/>
        <v>0</v>
      </c>
      <c r="XX119" s="207"/>
      <c r="XY119" s="207"/>
      <c r="XZ119" s="207"/>
      <c r="YA119" s="207"/>
      <c r="YB119" s="207"/>
      <c r="YC119" s="272"/>
      <c r="YD119" s="272"/>
      <c r="YE119" s="205">
        <f t="shared" si="923"/>
        <v>0</v>
      </c>
      <c r="YF119" s="207"/>
      <c r="YG119" s="207"/>
      <c r="YH119" s="207"/>
      <c r="YI119" s="207"/>
      <c r="YJ119" s="207"/>
      <c r="YK119" s="272"/>
      <c r="YL119" s="272"/>
      <c r="YM119" s="205">
        <f t="shared" si="924"/>
        <v>0</v>
      </c>
      <c r="YN119" s="207"/>
      <c r="YO119" s="207"/>
      <c r="YP119" s="207"/>
      <c r="YQ119" s="207"/>
      <c r="YR119" s="207"/>
      <c r="YS119" s="272"/>
      <c r="YT119" s="272"/>
      <c r="YU119" s="205">
        <f t="shared" si="925"/>
        <v>0</v>
      </c>
      <c r="YV119" s="207"/>
      <c r="YW119" s="207"/>
      <c r="YX119" s="207"/>
      <c r="YY119" s="207"/>
      <c r="YZ119" s="207"/>
      <c r="ZA119" s="272"/>
      <c r="ZB119" s="272"/>
      <c r="ZC119" s="205">
        <f t="shared" si="926"/>
        <v>0</v>
      </c>
      <c r="ZD119" s="205">
        <f t="shared" si="927"/>
        <v>0</v>
      </c>
      <c r="ZE119" s="207"/>
      <c r="ZF119" s="207"/>
      <c r="ZG119" s="207"/>
      <c r="ZH119" s="207"/>
      <c r="ZI119" s="207"/>
      <c r="ZJ119" s="272"/>
      <c r="ZK119" s="272"/>
      <c r="ZL119" s="205">
        <f t="shared" si="928"/>
        <v>0</v>
      </c>
      <c r="ZM119" s="207"/>
      <c r="ZN119" s="207"/>
      <c r="ZO119" s="207"/>
      <c r="ZP119" s="207"/>
      <c r="ZQ119" s="207"/>
      <c r="ZR119" s="272"/>
      <c r="ZS119" s="272"/>
      <c r="ZT119" s="205">
        <f t="shared" si="929"/>
        <v>0</v>
      </c>
      <c r="ZU119" s="207"/>
      <c r="ZV119" s="207"/>
      <c r="ZW119" s="207"/>
      <c r="ZX119" s="207"/>
      <c r="ZY119" s="207"/>
      <c r="ZZ119" s="272"/>
      <c r="AAA119" s="272"/>
      <c r="AAB119" s="205">
        <f t="shared" si="930"/>
        <v>0</v>
      </c>
      <c r="AAC119" s="207"/>
      <c r="AAD119" s="207"/>
      <c r="AAE119" s="207"/>
      <c r="AAF119" s="207"/>
      <c r="AAG119" s="207"/>
      <c r="AAH119" s="272"/>
      <c r="AAI119" s="272"/>
      <c r="AAJ119" s="205">
        <f t="shared" si="931"/>
        <v>0</v>
      </c>
      <c r="AAK119" s="207"/>
      <c r="AAL119" s="207"/>
      <c r="AAM119" s="207"/>
      <c r="AAN119" s="207"/>
      <c r="AAO119" s="207"/>
      <c r="AAP119" s="272"/>
      <c r="AAQ119" s="272"/>
      <c r="AAR119" s="205">
        <f t="shared" si="932"/>
        <v>0</v>
      </c>
      <c r="AAS119" s="205">
        <f t="shared" si="933"/>
        <v>0</v>
      </c>
    </row>
    <row r="120" spans="2:777" ht="69.95" hidden="1" customHeight="1">
      <c r="B120" s="151">
        <v>3630101483</v>
      </c>
      <c r="C120" s="323" t="s">
        <v>741</v>
      </c>
      <c r="D120" s="152" t="s">
        <v>799</v>
      </c>
      <c r="E120" s="130" t="s">
        <v>4</v>
      </c>
      <c r="F120" s="120"/>
      <c r="G120" s="120"/>
      <c r="H120" s="120"/>
      <c r="I120" s="120"/>
      <c r="J120" s="120"/>
      <c r="K120" s="209"/>
      <c r="L120" s="205"/>
      <c r="M120" s="205">
        <f t="shared" ref="M120" si="1281">SUM(F120:L120)</f>
        <v>0</v>
      </c>
      <c r="N120" s="120"/>
      <c r="O120" s="120"/>
      <c r="P120" s="120"/>
      <c r="Q120" s="120"/>
      <c r="R120" s="120"/>
      <c r="S120" s="209"/>
      <c r="T120" s="205"/>
      <c r="U120" s="205">
        <f t="shared" ref="U120" si="1282">SUM(N120:T120)</f>
        <v>0</v>
      </c>
      <c r="V120" s="120"/>
      <c r="W120" s="120"/>
      <c r="X120" s="120"/>
      <c r="Y120" s="120"/>
      <c r="Z120" s="120"/>
      <c r="AA120" s="209"/>
      <c r="AB120" s="205"/>
      <c r="AC120" s="205">
        <f t="shared" ref="AC120" si="1283">SUM(V120:AB120)</f>
        <v>0</v>
      </c>
      <c r="AD120" s="205"/>
      <c r="AE120" s="205"/>
      <c r="AF120" s="205"/>
      <c r="AG120" s="205"/>
      <c r="AH120" s="205"/>
      <c r="AI120" s="209"/>
      <c r="AJ120" s="205"/>
      <c r="AK120" s="205">
        <f t="shared" ref="AK120" si="1284">SUM(AD120:AJ120)</f>
        <v>0</v>
      </c>
      <c r="AL120" s="205" t="e">
        <f>SUM(#REF!,M120,U120,AC120,AD120:AH120)</f>
        <v>#REF!</v>
      </c>
      <c r="AM120" s="120"/>
      <c r="AN120" s="120"/>
      <c r="AO120" s="120"/>
      <c r="AP120" s="120"/>
      <c r="AQ120" s="120"/>
      <c r="AR120" s="209"/>
      <c r="AS120" s="205"/>
      <c r="AT120" s="205">
        <f t="shared" si="1052"/>
        <v>0</v>
      </c>
      <c r="AU120" s="120"/>
      <c r="AV120" s="120"/>
      <c r="AW120" s="120"/>
      <c r="AX120" s="120"/>
      <c r="AY120" s="120"/>
      <c r="AZ120" s="209"/>
      <c r="BA120" s="205"/>
      <c r="BB120" s="205">
        <f t="shared" si="1053"/>
        <v>0</v>
      </c>
      <c r="BC120" s="120"/>
      <c r="BD120" s="120"/>
      <c r="BE120" s="120"/>
      <c r="BF120" s="120"/>
      <c r="BG120" s="120"/>
      <c r="BH120" s="209"/>
      <c r="BI120" s="205"/>
      <c r="BJ120" s="205">
        <f t="shared" si="1054"/>
        <v>0</v>
      </c>
      <c r="BK120" s="120"/>
      <c r="BL120" s="120"/>
      <c r="BM120" s="120"/>
      <c r="BN120" s="120"/>
      <c r="BO120" s="205"/>
      <c r="BP120" s="209"/>
      <c r="BQ120" s="205"/>
      <c r="BR120" s="205">
        <f t="shared" si="1055"/>
        <v>0</v>
      </c>
      <c r="BS120" s="205">
        <f t="shared" ref="BS120" si="1285">SUM(AI120:AJ120,AT120,BB120,BJ120,BK120:BO120)</f>
        <v>0</v>
      </c>
      <c r="BT120" s="120"/>
      <c r="BU120" s="120"/>
      <c r="BV120" s="120"/>
      <c r="BW120" s="120"/>
      <c r="BX120" s="120"/>
      <c r="BY120" s="209"/>
      <c r="BZ120" s="205"/>
      <c r="CA120" s="205">
        <f t="shared" si="1056"/>
        <v>0</v>
      </c>
      <c r="CB120" s="120"/>
      <c r="CC120" s="120"/>
      <c r="CD120" s="120"/>
      <c r="CE120" s="120"/>
      <c r="CF120" s="120"/>
      <c r="CG120" s="209"/>
      <c r="CH120" s="205"/>
      <c r="CI120" s="205">
        <f t="shared" si="1057"/>
        <v>0</v>
      </c>
      <c r="CJ120" s="120"/>
      <c r="CK120" s="120"/>
      <c r="CL120" s="120"/>
      <c r="CM120" s="120"/>
      <c r="CN120" s="120"/>
      <c r="CO120" s="209"/>
      <c r="CP120" s="205"/>
      <c r="CQ120" s="205">
        <f t="shared" si="1058"/>
        <v>0</v>
      </c>
      <c r="CR120" s="120"/>
      <c r="CS120" s="120"/>
      <c r="CT120" s="120"/>
      <c r="CU120" s="120"/>
      <c r="CV120" s="120"/>
      <c r="CW120" s="209"/>
      <c r="CX120" s="205"/>
      <c r="CY120" s="205">
        <f t="shared" si="1059"/>
        <v>0</v>
      </c>
      <c r="CZ120" s="120"/>
      <c r="DA120" s="120"/>
      <c r="DB120" s="120"/>
      <c r="DC120" s="205"/>
      <c r="DD120" s="205"/>
      <c r="DE120" s="209"/>
      <c r="DF120" s="205"/>
      <c r="DG120" s="205">
        <f t="shared" si="1060"/>
        <v>0</v>
      </c>
      <c r="DH120" s="205">
        <f t="shared" ref="DH120" si="1286">SUM(CA120,CI120,CQ120,CY120,CZ120)</f>
        <v>0</v>
      </c>
      <c r="DI120" s="120"/>
      <c r="DJ120" s="120"/>
      <c r="DK120" s="120"/>
      <c r="DL120" s="120"/>
      <c r="DM120" s="120"/>
      <c r="DN120" s="209"/>
      <c r="DO120" s="205"/>
      <c r="DP120" s="205">
        <f t="shared" ref="DP120" si="1287">SUM(DI120:DO120)</f>
        <v>0</v>
      </c>
      <c r="DQ120" s="120"/>
      <c r="DR120" s="120"/>
      <c r="DS120" s="120"/>
      <c r="DT120" s="120"/>
      <c r="DU120" s="120"/>
      <c r="DV120" s="209"/>
      <c r="DW120" s="205"/>
      <c r="DX120" s="205">
        <f t="shared" ref="DX120" si="1288">SUM(DQ120:DW120)</f>
        <v>0</v>
      </c>
      <c r="DY120" s="120"/>
      <c r="DZ120" s="120"/>
      <c r="EA120" s="120"/>
      <c r="EB120" s="120"/>
      <c r="EC120" s="120"/>
      <c r="ED120" s="209"/>
      <c r="EE120" s="205"/>
      <c r="EF120" s="205">
        <f t="shared" ref="EF120" si="1289">SUM(DY120:EE120)</f>
        <v>0</v>
      </c>
      <c r="EG120" s="120"/>
      <c r="EH120" s="120"/>
      <c r="EI120" s="120"/>
      <c r="EJ120" s="205"/>
      <c r="EK120" s="205"/>
      <c r="EL120" s="209"/>
      <c r="EM120" s="205"/>
      <c r="EN120" s="205">
        <f t="shared" ref="EN120" si="1290">SUM(EG120:EM120)</f>
        <v>0</v>
      </c>
      <c r="EO120" s="205">
        <f t="shared" ref="EO120" si="1291">SUM(DA120:DF120,DP120,DX120,EF120,EG120:EI120)</f>
        <v>0</v>
      </c>
      <c r="EP120" s="120"/>
      <c r="EQ120" s="120"/>
      <c r="ER120" s="120"/>
      <c r="ES120" s="120"/>
      <c r="ET120" s="120"/>
      <c r="EU120" s="209"/>
      <c r="EV120" s="205"/>
      <c r="EW120" s="205">
        <f t="shared" ref="EW120" si="1292">SUM(EP120:EV120)</f>
        <v>0</v>
      </c>
      <c r="EX120" s="120"/>
      <c r="EY120" s="120"/>
      <c r="EZ120" s="120"/>
      <c r="FA120" s="120"/>
      <c r="FB120" s="120"/>
      <c r="FC120" s="209"/>
      <c r="FD120" s="205"/>
      <c r="FE120" s="205">
        <f t="shared" ref="FE120" si="1293">SUM(EX120:FD120)</f>
        <v>0</v>
      </c>
      <c r="FF120" s="120"/>
      <c r="FG120" s="120"/>
      <c r="FH120" s="120"/>
      <c r="FI120" s="120"/>
      <c r="FJ120" s="120"/>
      <c r="FK120" s="209"/>
      <c r="FL120" s="205"/>
      <c r="FM120" s="205">
        <f t="shared" ref="FM120" si="1294">SUM(FF120:FL120)</f>
        <v>0</v>
      </c>
      <c r="FN120" s="120"/>
      <c r="FO120" s="120"/>
      <c r="FP120" s="120"/>
      <c r="FQ120" s="120"/>
      <c r="FR120" s="205"/>
      <c r="FS120" s="209"/>
      <c r="FT120" s="205"/>
      <c r="FU120" s="205">
        <f t="shared" ref="FU120" si="1295">SUM(FN120:FT120)</f>
        <v>0</v>
      </c>
      <c r="FV120" s="205">
        <f t="shared" ref="FV120" si="1296">SUM(EJ120:EK120,EW120,FE120,FM120,FU120)</f>
        <v>0</v>
      </c>
      <c r="FW120" s="120"/>
      <c r="FX120" s="120"/>
      <c r="FY120" s="120"/>
      <c r="FZ120" s="120"/>
      <c r="GA120" s="120"/>
      <c r="GB120" s="209"/>
      <c r="GC120" s="205"/>
      <c r="GD120" s="205">
        <f t="shared" ref="GD120" si="1297">SUM(FW120:GC120)</f>
        <v>0</v>
      </c>
      <c r="GE120" s="120"/>
      <c r="GF120" s="120"/>
      <c r="GG120" s="120"/>
      <c r="GH120" s="120"/>
      <c r="GI120" s="120"/>
      <c r="GJ120" s="209"/>
      <c r="GK120" s="205"/>
      <c r="GL120" s="205">
        <f t="shared" ref="GL120" si="1298">SUM(GE120:GK120)</f>
        <v>0</v>
      </c>
      <c r="GM120" s="120"/>
      <c r="GN120" s="120"/>
      <c r="GO120" s="120"/>
      <c r="GP120" s="120"/>
      <c r="GQ120" s="120"/>
      <c r="GR120" s="209"/>
      <c r="GS120" s="205"/>
      <c r="GT120" s="205">
        <f t="shared" ref="GT120" si="1299">SUM(GM120:GS120)</f>
        <v>0</v>
      </c>
      <c r="GU120" s="120"/>
      <c r="GV120" s="120"/>
      <c r="GW120" s="120"/>
      <c r="GX120" s="120"/>
      <c r="GY120" s="120"/>
      <c r="GZ120" s="209"/>
      <c r="HA120" s="205"/>
      <c r="HB120" s="205">
        <f t="shared" ref="HB120" si="1300">SUM(GU120:HA120)</f>
        <v>0</v>
      </c>
      <c r="HC120" s="120"/>
      <c r="HD120" s="120"/>
      <c r="HE120" s="120"/>
      <c r="HF120" s="120"/>
      <c r="HG120" s="120"/>
      <c r="HH120" s="209"/>
      <c r="HI120" s="205"/>
      <c r="HJ120" s="205">
        <f t="shared" ref="HJ120" si="1301">SUM(HC120:HI120)</f>
        <v>0</v>
      </c>
      <c r="HK120" s="205">
        <f t="shared" ref="HK120" si="1302">SUM(GD120,GL120,GT120,HB120,HC120)</f>
        <v>0</v>
      </c>
      <c r="HL120" s="124"/>
      <c r="HM120" s="120"/>
      <c r="HN120" s="120"/>
      <c r="HO120" s="120"/>
      <c r="HP120" s="120"/>
      <c r="HQ120" s="205"/>
      <c r="HR120" s="205"/>
      <c r="HS120" s="205">
        <f t="shared" si="934"/>
        <v>0</v>
      </c>
      <c r="HT120" s="120"/>
      <c r="HU120" s="120"/>
      <c r="HV120" s="120"/>
      <c r="HW120" s="120"/>
      <c r="HX120" s="120"/>
      <c r="HY120" s="205"/>
      <c r="HZ120" s="205"/>
      <c r="IA120" s="205">
        <f t="shared" si="935"/>
        <v>0</v>
      </c>
      <c r="IB120" s="120"/>
      <c r="IC120" s="120"/>
      <c r="ID120" s="120"/>
      <c r="IE120" s="120"/>
      <c r="IF120" s="120"/>
      <c r="IG120" s="205"/>
      <c r="IH120" s="205"/>
      <c r="II120" s="205">
        <f t="shared" si="936"/>
        <v>0</v>
      </c>
      <c r="IJ120" s="120"/>
      <c r="IK120" s="120"/>
      <c r="IL120" s="120"/>
      <c r="IM120" s="120"/>
      <c r="IN120" s="120"/>
      <c r="IO120" s="205"/>
      <c r="IP120" s="205"/>
      <c r="IQ120" s="205">
        <f t="shared" si="937"/>
        <v>0</v>
      </c>
      <c r="IR120" s="205">
        <f t="shared" si="938"/>
        <v>0</v>
      </c>
      <c r="IS120" s="120"/>
      <c r="IT120" s="120"/>
      <c r="IU120" s="120"/>
      <c r="IV120" s="120"/>
      <c r="IW120" s="120"/>
      <c r="IX120" s="205"/>
      <c r="IY120" s="205"/>
      <c r="IZ120" s="205">
        <f t="shared" si="939"/>
        <v>0</v>
      </c>
      <c r="JA120" s="120"/>
      <c r="JB120" s="120"/>
      <c r="JC120" s="120"/>
      <c r="JD120" s="120"/>
      <c r="JE120" s="120"/>
      <c r="JF120" s="205"/>
      <c r="JG120" s="205"/>
      <c r="JH120" s="205">
        <f t="shared" si="940"/>
        <v>0</v>
      </c>
      <c r="JI120" s="120"/>
      <c r="JJ120" s="120"/>
      <c r="JK120" s="120"/>
      <c r="JL120" s="120"/>
      <c r="JM120" s="120"/>
      <c r="JN120" s="205"/>
      <c r="JO120" s="205"/>
      <c r="JP120" s="205">
        <f t="shared" si="941"/>
        <v>0</v>
      </c>
      <c r="JQ120" s="120"/>
      <c r="JR120" s="120"/>
      <c r="JS120" s="120"/>
      <c r="JT120" s="120"/>
      <c r="JU120" s="120"/>
      <c r="JV120" s="205"/>
      <c r="JW120" s="205"/>
      <c r="JX120" s="205">
        <f t="shared" si="942"/>
        <v>0</v>
      </c>
      <c r="JY120" s="205">
        <f t="shared" si="943"/>
        <v>0</v>
      </c>
      <c r="JZ120" s="120"/>
      <c r="KA120" s="120"/>
      <c r="KB120" s="120"/>
      <c r="KC120" s="120"/>
      <c r="KD120" s="120"/>
      <c r="KE120" s="205"/>
      <c r="KF120" s="205"/>
      <c r="KG120" s="205">
        <f t="shared" si="944"/>
        <v>0</v>
      </c>
      <c r="KH120" s="120"/>
      <c r="KI120" s="120"/>
      <c r="KJ120" s="120"/>
      <c r="KK120" s="120"/>
      <c r="KL120" s="120"/>
      <c r="KM120" s="205"/>
      <c r="KN120" s="205"/>
      <c r="KO120" s="205">
        <f t="shared" si="945"/>
        <v>0</v>
      </c>
      <c r="KP120" s="120"/>
      <c r="KQ120" s="120"/>
      <c r="KR120" s="120"/>
      <c r="KS120" s="120"/>
      <c r="KT120" s="120"/>
      <c r="KU120" s="205"/>
      <c r="KV120" s="205"/>
      <c r="KW120" s="205">
        <f t="shared" si="946"/>
        <v>0</v>
      </c>
      <c r="KX120" s="120"/>
      <c r="KY120" s="120"/>
      <c r="KZ120" s="120"/>
      <c r="LA120" s="120"/>
      <c r="LB120" s="120"/>
      <c r="LC120" s="205"/>
      <c r="LD120" s="205"/>
      <c r="LE120" s="205">
        <f t="shared" si="947"/>
        <v>0</v>
      </c>
      <c r="LF120" s="205"/>
      <c r="LG120" s="120"/>
      <c r="LH120" s="120"/>
      <c r="LI120" s="120"/>
      <c r="LJ120" s="120"/>
      <c r="LK120" s="205"/>
      <c r="LL120" s="205"/>
      <c r="LM120" s="205">
        <f t="shared" si="948"/>
        <v>0</v>
      </c>
      <c r="LN120" s="205">
        <f t="shared" si="949"/>
        <v>0</v>
      </c>
      <c r="LO120" s="205"/>
      <c r="LP120" s="120"/>
      <c r="LQ120" s="120"/>
      <c r="LR120" s="120"/>
      <c r="LS120" s="120"/>
      <c r="LT120" s="205"/>
      <c r="LU120" s="205"/>
      <c r="LV120" s="205">
        <f t="shared" si="950"/>
        <v>0</v>
      </c>
      <c r="LW120" s="120"/>
      <c r="LX120" s="120"/>
      <c r="LY120" s="120"/>
      <c r="LZ120" s="120"/>
      <c r="MA120" s="120"/>
      <c r="MB120" s="205"/>
      <c r="MC120" s="205"/>
      <c r="MD120" s="205">
        <f t="shared" si="951"/>
        <v>0</v>
      </c>
      <c r="ME120" s="120"/>
      <c r="MF120" s="120"/>
      <c r="MG120" s="120"/>
      <c r="MH120" s="120"/>
      <c r="MI120" s="205"/>
      <c r="MJ120" s="205"/>
      <c r="MK120" s="205"/>
      <c r="ML120" s="205">
        <f t="shared" si="952"/>
        <v>0</v>
      </c>
      <c r="MM120" s="120"/>
      <c r="MN120" s="120"/>
      <c r="MO120" s="120"/>
      <c r="MP120" s="120"/>
      <c r="MQ120" s="120"/>
      <c r="MR120" s="205"/>
      <c r="MS120" s="205"/>
      <c r="MT120" s="205">
        <f t="shared" si="953"/>
        <v>0</v>
      </c>
      <c r="MU120" s="205">
        <f t="shared" si="954"/>
        <v>0</v>
      </c>
      <c r="MV120" s="117"/>
      <c r="MW120" s="117"/>
      <c r="MX120" s="117"/>
      <c r="MY120" s="117"/>
      <c r="MZ120" s="117"/>
      <c r="NA120" s="264"/>
      <c r="NB120" s="264"/>
      <c r="NC120" s="205">
        <f t="shared" si="880"/>
        <v>0</v>
      </c>
      <c r="ND120" s="117"/>
      <c r="NE120" s="117"/>
      <c r="NF120" s="117"/>
      <c r="NG120" s="117"/>
      <c r="NH120" s="117"/>
      <c r="NI120" s="264"/>
      <c r="NJ120" s="264"/>
      <c r="NK120" s="264"/>
      <c r="NL120" s="117"/>
      <c r="NM120" s="117"/>
      <c r="NN120" s="117"/>
      <c r="NO120" s="117"/>
      <c r="NP120" s="117"/>
      <c r="NQ120" s="264"/>
      <c r="NR120" s="264"/>
      <c r="NS120" s="205">
        <f t="shared" si="882"/>
        <v>0</v>
      </c>
      <c r="NT120" s="117"/>
      <c r="NU120" s="117"/>
      <c r="NV120" s="117"/>
      <c r="NW120" s="117"/>
      <c r="NX120" s="117"/>
      <c r="NY120" s="264"/>
      <c r="NZ120" s="264"/>
      <c r="OA120" s="264"/>
      <c r="OB120" s="264"/>
      <c r="OC120" s="117"/>
      <c r="OD120" s="117"/>
      <c r="OE120" s="117"/>
      <c r="OF120" s="117"/>
      <c r="OG120" s="117"/>
      <c r="OH120" s="264"/>
      <c r="OI120" s="264"/>
      <c r="OJ120" s="264"/>
      <c r="OK120" s="117"/>
      <c r="OL120" s="117"/>
      <c r="OM120" s="117"/>
      <c r="ON120" s="117"/>
      <c r="OO120" s="117"/>
      <c r="OP120" s="264"/>
      <c r="OQ120" s="264"/>
      <c r="OR120" s="264"/>
      <c r="OS120" s="117"/>
      <c r="OT120" s="117"/>
      <c r="OU120" s="117"/>
      <c r="OV120" s="117"/>
      <c r="OW120" s="117"/>
      <c r="OX120" s="264"/>
      <c r="OY120" s="264"/>
      <c r="OZ120" s="264"/>
      <c r="PA120" s="117"/>
      <c r="PB120" s="117"/>
      <c r="PC120" s="117"/>
      <c r="PD120" s="264"/>
      <c r="PE120" s="270"/>
      <c r="PF120" s="264"/>
      <c r="PG120" s="264"/>
      <c r="PH120" s="264"/>
      <c r="PI120" s="117"/>
      <c r="PJ120" s="117"/>
      <c r="PK120" s="117"/>
      <c r="PL120" s="264"/>
      <c r="PM120" s="270"/>
      <c r="PN120" s="264"/>
      <c r="PO120" s="264"/>
      <c r="PP120" s="264"/>
      <c r="PQ120" s="264"/>
      <c r="TU120" s="272"/>
      <c r="TV120" s="207"/>
      <c r="TW120" s="207"/>
      <c r="TX120" s="207"/>
      <c r="TY120" s="207"/>
      <c r="TZ120" s="272"/>
      <c r="UA120" s="272"/>
      <c r="UB120" s="205">
        <f t="shared" si="907"/>
        <v>0</v>
      </c>
      <c r="UC120" s="207"/>
      <c r="UD120" s="207"/>
      <c r="UE120" s="207"/>
      <c r="UF120" s="207"/>
      <c r="UG120" s="207"/>
      <c r="UH120" s="272"/>
      <c r="UI120" s="272"/>
      <c r="UJ120" s="205">
        <f t="shared" si="908"/>
        <v>0</v>
      </c>
      <c r="UK120" s="207"/>
      <c r="UL120" s="207"/>
      <c r="UM120" s="207"/>
      <c r="UN120" s="207"/>
      <c r="UO120" s="207"/>
      <c r="UP120" s="272"/>
      <c r="UQ120" s="272"/>
      <c r="UR120" s="205">
        <f t="shared" si="909"/>
        <v>0</v>
      </c>
      <c r="US120" s="207"/>
      <c r="UT120" s="207"/>
      <c r="UU120" s="207"/>
      <c r="UV120" s="207"/>
      <c r="UW120" s="272"/>
      <c r="UX120" s="272"/>
      <c r="UY120" s="272"/>
      <c r="UZ120" s="205">
        <f t="shared" si="910"/>
        <v>0</v>
      </c>
      <c r="VA120" s="205">
        <f t="shared" si="911"/>
        <v>0</v>
      </c>
    </row>
    <row r="121" spans="2:777" ht="69.95" customHeight="1">
      <c r="B121" s="150"/>
      <c r="C121" s="132"/>
      <c r="E121" s="150" t="s">
        <v>5</v>
      </c>
      <c r="F121" s="210">
        <f t="shared" ref="F121:BQ121" si="1303">SUMIF($E$85:$E$119,"Plan",F$85:F$119)</f>
        <v>1800</v>
      </c>
      <c r="G121" s="210">
        <f t="shared" si="1303"/>
        <v>1500</v>
      </c>
      <c r="H121" s="210">
        <f t="shared" si="1303"/>
        <v>2000</v>
      </c>
      <c r="I121" s="210">
        <f t="shared" si="1303"/>
        <v>0</v>
      </c>
      <c r="J121" s="210">
        <f t="shared" si="1303"/>
        <v>0</v>
      </c>
      <c r="K121" s="210">
        <f t="shared" si="1303"/>
        <v>0</v>
      </c>
      <c r="L121" s="210">
        <f t="shared" si="1303"/>
        <v>0</v>
      </c>
      <c r="M121" s="210">
        <f t="shared" si="1303"/>
        <v>5300</v>
      </c>
      <c r="N121" s="210">
        <f t="shared" si="1303"/>
        <v>0</v>
      </c>
      <c r="O121" s="210">
        <f t="shared" si="1303"/>
        <v>0</v>
      </c>
      <c r="P121" s="210">
        <f t="shared" si="1303"/>
        <v>0</v>
      </c>
      <c r="Q121" s="210">
        <f t="shared" si="1303"/>
        <v>0</v>
      </c>
      <c r="R121" s="210">
        <f t="shared" si="1303"/>
        <v>0</v>
      </c>
      <c r="S121" s="210">
        <f t="shared" si="1303"/>
        <v>0</v>
      </c>
      <c r="T121" s="210">
        <f t="shared" si="1303"/>
        <v>0</v>
      </c>
      <c r="U121" s="210">
        <f t="shared" si="1303"/>
        <v>0</v>
      </c>
      <c r="V121" s="210">
        <f t="shared" si="1303"/>
        <v>1800</v>
      </c>
      <c r="W121" s="210">
        <f t="shared" si="1303"/>
        <v>1500</v>
      </c>
      <c r="X121" s="210">
        <f t="shared" si="1303"/>
        <v>800</v>
      </c>
      <c r="Y121" s="210">
        <f t="shared" si="1303"/>
        <v>0</v>
      </c>
      <c r="Z121" s="210">
        <f t="shared" si="1303"/>
        <v>0</v>
      </c>
      <c r="AA121" s="210">
        <f t="shared" si="1303"/>
        <v>0</v>
      </c>
      <c r="AB121" s="210">
        <f t="shared" si="1303"/>
        <v>0</v>
      </c>
      <c r="AC121" s="210">
        <f t="shared" si="1303"/>
        <v>4100</v>
      </c>
      <c r="AD121" s="210">
        <f t="shared" si="1303"/>
        <v>0</v>
      </c>
      <c r="AE121" s="210">
        <f t="shared" si="1303"/>
        <v>0</v>
      </c>
      <c r="AF121" s="210">
        <f t="shared" si="1303"/>
        <v>0</v>
      </c>
      <c r="AG121" s="210">
        <f t="shared" si="1303"/>
        <v>0</v>
      </c>
      <c r="AH121" s="210">
        <f t="shared" si="1303"/>
        <v>0</v>
      </c>
      <c r="AI121" s="210">
        <f t="shared" si="1303"/>
        <v>0</v>
      </c>
      <c r="AJ121" s="210">
        <f t="shared" si="1303"/>
        <v>0</v>
      </c>
      <c r="AK121" s="210">
        <f t="shared" si="1303"/>
        <v>0</v>
      </c>
      <c r="AL121" s="210" t="e">
        <f t="shared" si="1303"/>
        <v>#REF!</v>
      </c>
      <c r="AM121" s="210">
        <f t="shared" si="1303"/>
        <v>0</v>
      </c>
      <c r="AN121" s="210">
        <f t="shared" si="1303"/>
        <v>0</v>
      </c>
      <c r="AO121" s="210">
        <f t="shared" si="1303"/>
        <v>0</v>
      </c>
      <c r="AP121" s="210">
        <f t="shared" si="1303"/>
        <v>0</v>
      </c>
      <c r="AQ121" s="210">
        <f t="shared" si="1303"/>
        <v>0</v>
      </c>
      <c r="AR121" s="210">
        <f t="shared" si="1303"/>
        <v>0</v>
      </c>
      <c r="AS121" s="210">
        <f t="shared" si="1303"/>
        <v>0</v>
      </c>
      <c r="AT121" s="210">
        <f t="shared" si="1303"/>
        <v>0</v>
      </c>
      <c r="AU121" s="210">
        <f t="shared" si="1303"/>
        <v>1930</v>
      </c>
      <c r="AV121" s="210">
        <f t="shared" si="1303"/>
        <v>0</v>
      </c>
      <c r="AW121" s="210">
        <f t="shared" si="1303"/>
        <v>0</v>
      </c>
      <c r="AX121" s="210">
        <f t="shared" si="1303"/>
        <v>0</v>
      </c>
      <c r="AY121" s="210">
        <f t="shared" si="1303"/>
        <v>0</v>
      </c>
      <c r="AZ121" s="210">
        <f t="shared" si="1303"/>
        <v>0</v>
      </c>
      <c r="BA121" s="210">
        <f t="shared" si="1303"/>
        <v>0</v>
      </c>
      <c r="BB121" s="210">
        <f t="shared" si="1303"/>
        <v>1930</v>
      </c>
      <c r="BC121" s="210">
        <f t="shared" si="1303"/>
        <v>0</v>
      </c>
      <c r="BD121" s="210">
        <f t="shared" si="1303"/>
        <v>0</v>
      </c>
      <c r="BE121" s="210">
        <f t="shared" si="1303"/>
        <v>0</v>
      </c>
      <c r="BF121" s="210">
        <f t="shared" si="1303"/>
        <v>2000</v>
      </c>
      <c r="BG121" s="210">
        <f t="shared" si="1303"/>
        <v>0</v>
      </c>
      <c r="BH121" s="210">
        <f t="shared" si="1303"/>
        <v>0</v>
      </c>
      <c r="BI121" s="210">
        <f t="shared" si="1303"/>
        <v>0</v>
      </c>
      <c r="BJ121" s="210">
        <f t="shared" si="1303"/>
        <v>2000</v>
      </c>
      <c r="BK121" s="210">
        <f t="shared" si="1303"/>
        <v>1500</v>
      </c>
      <c r="BL121" s="210">
        <f t="shared" si="1303"/>
        <v>1800</v>
      </c>
      <c r="BM121" s="210">
        <f t="shared" si="1303"/>
        <v>0</v>
      </c>
      <c r="BN121" s="210">
        <f t="shared" si="1303"/>
        <v>0</v>
      </c>
      <c r="BO121" s="210">
        <f t="shared" si="1303"/>
        <v>0</v>
      </c>
      <c r="BP121" s="210">
        <f t="shared" si="1303"/>
        <v>0</v>
      </c>
      <c r="BQ121" s="210">
        <f t="shared" si="1303"/>
        <v>0</v>
      </c>
      <c r="BR121" s="210">
        <f t="shared" ref="BR121:EC121" si="1304">SUMIF($E$85:$E$119,"Plan",BR$85:BR$119)</f>
        <v>3300</v>
      </c>
      <c r="BS121" s="210">
        <f t="shared" si="1304"/>
        <v>7230</v>
      </c>
      <c r="BT121" s="210">
        <f t="shared" si="1304"/>
        <v>2000</v>
      </c>
      <c r="BU121" s="210">
        <f t="shared" si="1304"/>
        <v>2000</v>
      </c>
      <c r="BV121" s="210">
        <f t="shared" si="1304"/>
        <v>2000</v>
      </c>
      <c r="BW121" s="210">
        <f t="shared" si="1304"/>
        <v>1600</v>
      </c>
      <c r="BX121" s="210">
        <f t="shared" si="1304"/>
        <v>1500</v>
      </c>
      <c r="BY121" s="210">
        <f t="shared" si="1304"/>
        <v>0</v>
      </c>
      <c r="BZ121" s="210">
        <f t="shared" si="1304"/>
        <v>0</v>
      </c>
      <c r="CA121" s="210">
        <f t="shared" si="1304"/>
        <v>9100</v>
      </c>
      <c r="CB121" s="210">
        <f t="shared" si="1304"/>
        <v>0</v>
      </c>
      <c r="CC121" s="210">
        <f t="shared" si="1304"/>
        <v>0</v>
      </c>
      <c r="CD121" s="210">
        <f t="shared" si="1304"/>
        <v>0</v>
      </c>
      <c r="CE121" s="210">
        <f t="shared" si="1304"/>
        <v>0</v>
      </c>
      <c r="CF121" s="210">
        <f t="shared" si="1304"/>
        <v>0</v>
      </c>
      <c r="CG121" s="210">
        <f t="shared" si="1304"/>
        <v>0</v>
      </c>
      <c r="CH121" s="210">
        <f t="shared" si="1304"/>
        <v>0</v>
      </c>
      <c r="CI121" s="210">
        <f t="shared" si="1304"/>
        <v>0</v>
      </c>
      <c r="CJ121" s="210">
        <f t="shared" si="1304"/>
        <v>1500</v>
      </c>
      <c r="CK121" s="210">
        <f t="shared" si="1304"/>
        <v>1800</v>
      </c>
      <c r="CL121" s="210">
        <f t="shared" si="1304"/>
        <v>1500</v>
      </c>
      <c r="CM121" s="210">
        <f t="shared" si="1304"/>
        <v>0</v>
      </c>
      <c r="CN121" s="210">
        <f t="shared" si="1304"/>
        <v>0</v>
      </c>
      <c r="CO121" s="210">
        <f t="shared" si="1304"/>
        <v>0</v>
      </c>
      <c r="CP121" s="210">
        <f t="shared" si="1304"/>
        <v>0</v>
      </c>
      <c r="CQ121" s="210">
        <f t="shared" si="1304"/>
        <v>4800</v>
      </c>
      <c r="CR121" s="210">
        <f t="shared" si="1304"/>
        <v>0</v>
      </c>
      <c r="CS121" s="210">
        <f t="shared" si="1304"/>
        <v>0</v>
      </c>
      <c r="CT121" s="210">
        <f t="shared" si="1304"/>
        <v>0</v>
      </c>
      <c r="CU121" s="210">
        <f t="shared" si="1304"/>
        <v>0</v>
      </c>
      <c r="CV121" s="210">
        <f t="shared" si="1304"/>
        <v>0</v>
      </c>
      <c r="CW121" s="210">
        <f t="shared" si="1304"/>
        <v>0</v>
      </c>
      <c r="CX121" s="210">
        <f t="shared" si="1304"/>
        <v>0</v>
      </c>
      <c r="CY121" s="210">
        <f t="shared" si="1304"/>
        <v>0</v>
      </c>
      <c r="CZ121" s="210">
        <f t="shared" si="1304"/>
        <v>0</v>
      </c>
      <c r="DA121" s="210">
        <f t="shared" si="1304"/>
        <v>0</v>
      </c>
      <c r="DB121" s="210">
        <f t="shared" si="1304"/>
        <v>0</v>
      </c>
      <c r="DC121" s="210">
        <f t="shared" si="1304"/>
        <v>0</v>
      </c>
      <c r="DD121" s="210">
        <f t="shared" si="1304"/>
        <v>0</v>
      </c>
      <c r="DE121" s="210">
        <f t="shared" si="1304"/>
        <v>0</v>
      </c>
      <c r="DF121" s="210">
        <f t="shared" si="1304"/>
        <v>0</v>
      </c>
      <c r="DG121" s="210">
        <f t="shared" si="1304"/>
        <v>0</v>
      </c>
      <c r="DH121" s="210">
        <f t="shared" si="1304"/>
        <v>13900</v>
      </c>
      <c r="DI121" s="210">
        <f t="shared" si="1304"/>
        <v>1300</v>
      </c>
      <c r="DJ121" s="210">
        <f t="shared" si="1304"/>
        <v>2000</v>
      </c>
      <c r="DK121" s="210">
        <f t="shared" si="1304"/>
        <v>2000</v>
      </c>
      <c r="DL121" s="210">
        <f t="shared" si="1304"/>
        <v>2000</v>
      </c>
      <c r="DM121" s="210">
        <f t="shared" si="1304"/>
        <v>0</v>
      </c>
      <c r="DN121" s="210">
        <f t="shared" si="1304"/>
        <v>0</v>
      </c>
      <c r="DO121" s="210">
        <f t="shared" si="1304"/>
        <v>0</v>
      </c>
      <c r="DP121" s="210">
        <f t="shared" si="1304"/>
        <v>7300</v>
      </c>
      <c r="DQ121" s="210">
        <f t="shared" si="1304"/>
        <v>0</v>
      </c>
      <c r="DR121" s="210">
        <f t="shared" si="1304"/>
        <v>0</v>
      </c>
      <c r="DS121" s="210">
        <f t="shared" si="1304"/>
        <v>1900</v>
      </c>
      <c r="DT121" s="210">
        <f t="shared" si="1304"/>
        <v>1100</v>
      </c>
      <c r="DU121" s="210">
        <f t="shared" si="1304"/>
        <v>500</v>
      </c>
      <c r="DV121" s="210">
        <f t="shared" si="1304"/>
        <v>0</v>
      </c>
      <c r="DW121" s="210">
        <f t="shared" si="1304"/>
        <v>0</v>
      </c>
      <c r="DX121" s="210">
        <f t="shared" si="1304"/>
        <v>3500</v>
      </c>
      <c r="DY121" s="210">
        <f t="shared" si="1304"/>
        <v>1300</v>
      </c>
      <c r="DZ121" s="210">
        <f t="shared" si="1304"/>
        <v>2000</v>
      </c>
      <c r="EA121" s="210">
        <f t="shared" si="1304"/>
        <v>2000</v>
      </c>
      <c r="EB121" s="210">
        <f t="shared" si="1304"/>
        <v>960</v>
      </c>
      <c r="EC121" s="210">
        <f t="shared" si="1304"/>
        <v>0</v>
      </c>
      <c r="ED121" s="210">
        <f t="shared" ref="ED121:GO121" si="1305">SUMIF($E$85:$E$119,"Plan",ED$85:ED$119)</f>
        <v>0</v>
      </c>
      <c r="EE121" s="210">
        <f t="shared" si="1305"/>
        <v>0</v>
      </c>
      <c r="EF121" s="210">
        <f t="shared" si="1305"/>
        <v>6260</v>
      </c>
      <c r="EG121" s="210">
        <f t="shared" si="1305"/>
        <v>2000</v>
      </c>
      <c r="EH121" s="210">
        <f t="shared" si="1305"/>
        <v>2000</v>
      </c>
      <c r="EI121" s="210">
        <f t="shared" si="1305"/>
        <v>0</v>
      </c>
      <c r="EJ121" s="210">
        <f t="shared" si="1305"/>
        <v>0</v>
      </c>
      <c r="EK121" s="210">
        <f t="shared" si="1305"/>
        <v>0</v>
      </c>
      <c r="EL121" s="210">
        <f t="shared" si="1305"/>
        <v>0</v>
      </c>
      <c r="EM121" s="210">
        <f t="shared" si="1305"/>
        <v>0</v>
      </c>
      <c r="EN121" s="210">
        <f t="shared" si="1305"/>
        <v>4000</v>
      </c>
      <c r="EO121" s="210">
        <f t="shared" si="1305"/>
        <v>21060</v>
      </c>
      <c r="EP121" s="210">
        <f t="shared" si="1305"/>
        <v>1600</v>
      </c>
      <c r="EQ121" s="210">
        <f t="shared" si="1305"/>
        <v>2000</v>
      </c>
      <c r="ER121" s="210">
        <f t="shared" si="1305"/>
        <v>1500</v>
      </c>
      <c r="ES121" s="210">
        <f t="shared" si="1305"/>
        <v>2000</v>
      </c>
      <c r="ET121" s="210">
        <f t="shared" si="1305"/>
        <v>0</v>
      </c>
      <c r="EU121" s="210">
        <f t="shared" si="1305"/>
        <v>0</v>
      </c>
      <c r="EV121" s="210">
        <f t="shared" si="1305"/>
        <v>0</v>
      </c>
      <c r="EW121" s="210">
        <f t="shared" si="1305"/>
        <v>7100</v>
      </c>
      <c r="EX121" s="210">
        <f t="shared" si="1305"/>
        <v>0</v>
      </c>
      <c r="EY121" s="210">
        <f t="shared" si="1305"/>
        <v>1000</v>
      </c>
      <c r="EZ121" s="210">
        <f t="shared" si="1305"/>
        <v>0</v>
      </c>
      <c r="FA121" s="210">
        <f t="shared" si="1305"/>
        <v>0</v>
      </c>
      <c r="FB121" s="210">
        <f t="shared" si="1305"/>
        <v>0</v>
      </c>
      <c r="FC121" s="210">
        <f t="shared" si="1305"/>
        <v>0</v>
      </c>
      <c r="FD121" s="210">
        <f t="shared" si="1305"/>
        <v>0</v>
      </c>
      <c r="FE121" s="210">
        <f t="shared" si="1305"/>
        <v>1000</v>
      </c>
      <c r="FF121" s="210">
        <f t="shared" si="1305"/>
        <v>1300</v>
      </c>
      <c r="FG121" s="210">
        <f t="shared" si="1305"/>
        <v>0</v>
      </c>
      <c r="FH121" s="210">
        <f t="shared" si="1305"/>
        <v>0</v>
      </c>
      <c r="FI121" s="210">
        <f t="shared" si="1305"/>
        <v>0</v>
      </c>
      <c r="FJ121" s="210">
        <f t="shared" si="1305"/>
        <v>0</v>
      </c>
      <c r="FK121" s="210">
        <f t="shared" si="1305"/>
        <v>0</v>
      </c>
      <c r="FL121" s="210">
        <f t="shared" si="1305"/>
        <v>0</v>
      </c>
      <c r="FM121" s="210">
        <f t="shared" si="1305"/>
        <v>1300</v>
      </c>
      <c r="FN121" s="210">
        <f t="shared" si="1305"/>
        <v>0</v>
      </c>
      <c r="FO121" s="210">
        <f t="shared" si="1305"/>
        <v>0</v>
      </c>
      <c r="FP121" s="210">
        <f t="shared" si="1305"/>
        <v>0</v>
      </c>
      <c r="FQ121" s="210">
        <f t="shared" si="1305"/>
        <v>0</v>
      </c>
      <c r="FR121" s="210">
        <f t="shared" si="1305"/>
        <v>0</v>
      </c>
      <c r="FS121" s="210">
        <f t="shared" si="1305"/>
        <v>0</v>
      </c>
      <c r="FT121" s="210">
        <f t="shared" si="1305"/>
        <v>0</v>
      </c>
      <c r="FU121" s="210">
        <f t="shared" si="1305"/>
        <v>0</v>
      </c>
      <c r="FV121" s="210">
        <f t="shared" si="1305"/>
        <v>9400</v>
      </c>
      <c r="FW121" s="210">
        <f t="shared" si="1305"/>
        <v>1000</v>
      </c>
      <c r="FX121" s="210">
        <f t="shared" si="1305"/>
        <v>0</v>
      </c>
      <c r="FY121" s="210">
        <f t="shared" si="1305"/>
        <v>0</v>
      </c>
      <c r="FZ121" s="210">
        <f t="shared" si="1305"/>
        <v>0</v>
      </c>
      <c r="GA121" s="210">
        <f t="shared" si="1305"/>
        <v>0</v>
      </c>
      <c r="GB121" s="210">
        <f t="shared" si="1305"/>
        <v>0</v>
      </c>
      <c r="GC121" s="210">
        <f t="shared" si="1305"/>
        <v>0</v>
      </c>
      <c r="GD121" s="210">
        <f t="shared" si="1305"/>
        <v>1000</v>
      </c>
      <c r="GE121" s="210">
        <f t="shared" si="1305"/>
        <v>0</v>
      </c>
      <c r="GF121" s="210">
        <f t="shared" si="1305"/>
        <v>2000</v>
      </c>
      <c r="GG121" s="210">
        <f t="shared" si="1305"/>
        <v>2000</v>
      </c>
      <c r="GH121" s="210">
        <f t="shared" si="1305"/>
        <v>800</v>
      </c>
      <c r="GI121" s="210">
        <f t="shared" si="1305"/>
        <v>0</v>
      </c>
      <c r="GJ121" s="210">
        <f t="shared" si="1305"/>
        <v>0</v>
      </c>
      <c r="GK121" s="210">
        <f t="shared" si="1305"/>
        <v>0</v>
      </c>
      <c r="GL121" s="210">
        <f t="shared" si="1305"/>
        <v>4800</v>
      </c>
      <c r="GM121" s="210">
        <f t="shared" si="1305"/>
        <v>2000</v>
      </c>
      <c r="GN121" s="210">
        <f t="shared" si="1305"/>
        <v>2000</v>
      </c>
      <c r="GO121" s="210">
        <f t="shared" si="1305"/>
        <v>2000</v>
      </c>
      <c r="GP121" s="210">
        <f t="shared" ref="GP121:JA121" si="1306">SUMIF($E$85:$E$119,"Plan",GP$85:GP$119)</f>
        <v>1770</v>
      </c>
      <c r="GQ121" s="210">
        <f t="shared" si="1306"/>
        <v>0</v>
      </c>
      <c r="GR121" s="210">
        <f t="shared" si="1306"/>
        <v>0</v>
      </c>
      <c r="GS121" s="210">
        <f t="shared" si="1306"/>
        <v>0</v>
      </c>
      <c r="GT121" s="210">
        <f t="shared" si="1306"/>
        <v>7770</v>
      </c>
      <c r="GU121" s="210">
        <f t="shared" si="1306"/>
        <v>1060</v>
      </c>
      <c r="GV121" s="210">
        <f t="shared" si="1306"/>
        <v>1300</v>
      </c>
      <c r="GW121" s="210">
        <f t="shared" si="1306"/>
        <v>1500</v>
      </c>
      <c r="GX121" s="210">
        <f t="shared" si="1306"/>
        <v>0</v>
      </c>
      <c r="GY121" s="210">
        <f t="shared" si="1306"/>
        <v>0</v>
      </c>
      <c r="GZ121" s="210">
        <f t="shared" si="1306"/>
        <v>0</v>
      </c>
      <c r="HA121" s="210">
        <f t="shared" si="1306"/>
        <v>0</v>
      </c>
      <c r="HB121" s="210">
        <f t="shared" si="1306"/>
        <v>3860</v>
      </c>
      <c r="HC121" s="210">
        <f t="shared" si="1306"/>
        <v>0</v>
      </c>
      <c r="HD121" s="210">
        <f t="shared" si="1306"/>
        <v>0</v>
      </c>
      <c r="HE121" s="210">
        <f t="shared" si="1306"/>
        <v>0</v>
      </c>
      <c r="HF121" s="210">
        <f t="shared" si="1306"/>
        <v>2010</v>
      </c>
      <c r="HG121" s="210">
        <f t="shared" si="1306"/>
        <v>0</v>
      </c>
      <c r="HH121" s="210">
        <f t="shared" si="1306"/>
        <v>0</v>
      </c>
      <c r="HI121" s="210">
        <f t="shared" si="1306"/>
        <v>0</v>
      </c>
      <c r="HJ121" s="210">
        <f t="shared" si="1306"/>
        <v>2010</v>
      </c>
      <c r="HK121" s="210">
        <f t="shared" si="1306"/>
        <v>17430</v>
      </c>
      <c r="HL121" s="210">
        <f t="shared" si="1306"/>
        <v>0</v>
      </c>
      <c r="HM121" s="210">
        <f t="shared" si="1306"/>
        <v>930</v>
      </c>
      <c r="HN121" s="210">
        <f t="shared" si="1306"/>
        <v>2000</v>
      </c>
      <c r="HO121" s="210">
        <f t="shared" si="1306"/>
        <v>2000</v>
      </c>
      <c r="HP121" s="210">
        <f t="shared" si="1306"/>
        <v>2000</v>
      </c>
      <c r="HQ121" s="210">
        <f t="shared" si="1306"/>
        <v>0</v>
      </c>
      <c r="HR121" s="210">
        <f t="shared" si="1306"/>
        <v>0</v>
      </c>
      <c r="HS121" s="210">
        <f t="shared" si="1306"/>
        <v>6930</v>
      </c>
      <c r="HT121" s="210">
        <f t="shared" si="1306"/>
        <v>1270</v>
      </c>
      <c r="HU121" s="210">
        <f t="shared" si="1306"/>
        <v>2000</v>
      </c>
      <c r="HV121" s="210">
        <f t="shared" si="1306"/>
        <v>0</v>
      </c>
      <c r="HW121" s="210">
        <f t="shared" si="1306"/>
        <v>0</v>
      </c>
      <c r="HX121" s="210">
        <f t="shared" si="1306"/>
        <v>0</v>
      </c>
      <c r="HY121" s="210">
        <f t="shared" si="1306"/>
        <v>0</v>
      </c>
      <c r="HZ121" s="210">
        <f t="shared" si="1306"/>
        <v>0</v>
      </c>
      <c r="IA121" s="210">
        <f t="shared" si="1306"/>
        <v>3270</v>
      </c>
      <c r="IB121" s="210">
        <f t="shared" si="1306"/>
        <v>2000</v>
      </c>
      <c r="IC121" s="210">
        <f t="shared" si="1306"/>
        <v>440</v>
      </c>
      <c r="ID121" s="210">
        <f t="shared" si="1306"/>
        <v>0</v>
      </c>
      <c r="IE121" s="210">
        <f t="shared" si="1306"/>
        <v>0</v>
      </c>
      <c r="IF121" s="210">
        <f t="shared" si="1306"/>
        <v>0</v>
      </c>
      <c r="IG121" s="210">
        <f t="shared" si="1306"/>
        <v>0</v>
      </c>
      <c r="IH121" s="210">
        <f t="shared" si="1306"/>
        <v>0</v>
      </c>
      <c r="II121" s="210">
        <f t="shared" si="1306"/>
        <v>2440</v>
      </c>
      <c r="IJ121" s="210">
        <f t="shared" si="1306"/>
        <v>0</v>
      </c>
      <c r="IK121" s="210">
        <f t="shared" si="1306"/>
        <v>0</v>
      </c>
      <c r="IL121" s="210">
        <f t="shared" si="1306"/>
        <v>0</v>
      </c>
      <c r="IM121" s="210">
        <f t="shared" si="1306"/>
        <v>0</v>
      </c>
      <c r="IN121" s="210">
        <f t="shared" si="1306"/>
        <v>0</v>
      </c>
      <c r="IO121" s="210">
        <f t="shared" si="1306"/>
        <v>0</v>
      </c>
      <c r="IP121" s="210">
        <f t="shared" si="1306"/>
        <v>0</v>
      </c>
      <c r="IQ121" s="210">
        <f t="shared" si="1306"/>
        <v>0</v>
      </c>
      <c r="IR121" s="210">
        <f t="shared" si="1306"/>
        <v>14650</v>
      </c>
      <c r="IS121" s="210">
        <f t="shared" si="1306"/>
        <v>1800</v>
      </c>
      <c r="IT121" s="210">
        <f t="shared" si="1306"/>
        <v>2000</v>
      </c>
      <c r="IU121" s="210">
        <f t="shared" si="1306"/>
        <v>1800</v>
      </c>
      <c r="IV121" s="210">
        <f t="shared" si="1306"/>
        <v>0</v>
      </c>
      <c r="IW121" s="210">
        <f t="shared" si="1306"/>
        <v>0</v>
      </c>
      <c r="IX121" s="210">
        <f t="shared" si="1306"/>
        <v>0</v>
      </c>
      <c r="IY121" s="210">
        <f t="shared" si="1306"/>
        <v>0</v>
      </c>
      <c r="IZ121" s="210">
        <f t="shared" si="1306"/>
        <v>5600</v>
      </c>
      <c r="JA121" s="210">
        <f t="shared" si="1306"/>
        <v>0</v>
      </c>
      <c r="JB121" s="210">
        <f t="shared" ref="JB121:LM121" si="1307">SUMIF($E$85:$E$119,"Plan",JB$85:JB$119)</f>
        <v>0</v>
      </c>
      <c r="JC121" s="210">
        <f t="shared" si="1307"/>
        <v>0</v>
      </c>
      <c r="JD121" s="210">
        <f t="shared" si="1307"/>
        <v>0</v>
      </c>
      <c r="JE121" s="210">
        <f t="shared" si="1307"/>
        <v>0</v>
      </c>
      <c r="JF121" s="210">
        <f t="shared" si="1307"/>
        <v>0</v>
      </c>
      <c r="JG121" s="210">
        <f t="shared" si="1307"/>
        <v>0</v>
      </c>
      <c r="JH121" s="210">
        <f t="shared" si="1307"/>
        <v>0</v>
      </c>
      <c r="JI121" s="210">
        <f t="shared" si="1307"/>
        <v>2000</v>
      </c>
      <c r="JJ121" s="210">
        <f t="shared" si="1307"/>
        <v>2000</v>
      </c>
      <c r="JK121" s="210">
        <f t="shared" si="1307"/>
        <v>2000</v>
      </c>
      <c r="JL121" s="210">
        <f t="shared" si="1307"/>
        <v>2000</v>
      </c>
      <c r="JM121" s="210">
        <f t="shared" si="1307"/>
        <v>0</v>
      </c>
      <c r="JN121" s="210">
        <f t="shared" si="1307"/>
        <v>0</v>
      </c>
      <c r="JO121" s="210">
        <f t="shared" si="1307"/>
        <v>0</v>
      </c>
      <c r="JP121" s="210">
        <f t="shared" si="1307"/>
        <v>8000</v>
      </c>
      <c r="JQ121" s="210">
        <f t="shared" si="1307"/>
        <v>2000</v>
      </c>
      <c r="JR121" s="210">
        <f t="shared" si="1307"/>
        <v>2000</v>
      </c>
      <c r="JS121" s="210">
        <f t="shared" si="1307"/>
        <v>2180</v>
      </c>
      <c r="JT121" s="210">
        <f t="shared" si="1307"/>
        <v>2000</v>
      </c>
      <c r="JU121" s="210">
        <f t="shared" si="1307"/>
        <v>0</v>
      </c>
      <c r="JV121" s="210">
        <f t="shared" si="1307"/>
        <v>0</v>
      </c>
      <c r="JW121" s="210">
        <f t="shared" si="1307"/>
        <v>0</v>
      </c>
      <c r="JX121" s="210">
        <f t="shared" si="1307"/>
        <v>8180</v>
      </c>
      <c r="JY121" s="210">
        <f t="shared" si="1307"/>
        <v>21780</v>
      </c>
      <c r="JZ121" s="210">
        <f t="shared" si="1307"/>
        <v>2000</v>
      </c>
      <c r="KA121" s="210">
        <f t="shared" si="1307"/>
        <v>1800</v>
      </c>
      <c r="KB121" s="210">
        <f t="shared" si="1307"/>
        <v>2000</v>
      </c>
      <c r="KC121" s="210">
        <f t="shared" si="1307"/>
        <v>450</v>
      </c>
      <c r="KD121" s="210">
        <f t="shared" si="1307"/>
        <v>0</v>
      </c>
      <c r="KE121" s="210">
        <f t="shared" si="1307"/>
        <v>0</v>
      </c>
      <c r="KF121" s="210">
        <f t="shared" si="1307"/>
        <v>0</v>
      </c>
      <c r="KG121" s="210">
        <f t="shared" si="1307"/>
        <v>6250</v>
      </c>
      <c r="KH121" s="210">
        <f t="shared" si="1307"/>
        <v>0</v>
      </c>
      <c r="KI121" s="210">
        <f t="shared" si="1307"/>
        <v>0</v>
      </c>
      <c r="KJ121" s="210">
        <f t="shared" si="1307"/>
        <v>0</v>
      </c>
      <c r="KK121" s="210">
        <f t="shared" si="1307"/>
        <v>0</v>
      </c>
      <c r="KL121" s="210">
        <f t="shared" si="1307"/>
        <v>0</v>
      </c>
      <c r="KM121" s="210">
        <f t="shared" si="1307"/>
        <v>0</v>
      </c>
      <c r="KN121" s="210">
        <f t="shared" si="1307"/>
        <v>0</v>
      </c>
      <c r="KO121" s="210">
        <f t="shared" si="1307"/>
        <v>0</v>
      </c>
      <c r="KP121" s="210">
        <f t="shared" si="1307"/>
        <v>2000</v>
      </c>
      <c r="KQ121" s="210">
        <f t="shared" si="1307"/>
        <v>1800</v>
      </c>
      <c r="KR121" s="210">
        <f t="shared" si="1307"/>
        <v>1000</v>
      </c>
      <c r="KS121" s="210">
        <f t="shared" si="1307"/>
        <v>0</v>
      </c>
      <c r="KT121" s="210">
        <f t="shared" si="1307"/>
        <v>0</v>
      </c>
      <c r="KU121" s="210">
        <f t="shared" si="1307"/>
        <v>0</v>
      </c>
      <c r="KV121" s="210">
        <f t="shared" si="1307"/>
        <v>0</v>
      </c>
      <c r="KW121" s="210">
        <f t="shared" si="1307"/>
        <v>4320</v>
      </c>
      <c r="KX121" s="210">
        <f t="shared" si="1307"/>
        <v>0</v>
      </c>
      <c r="KY121" s="210">
        <f t="shared" si="1307"/>
        <v>1600</v>
      </c>
      <c r="KZ121" s="210">
        <f t="shared" si="1307"/>
        <v>500</v>
      </c>
      <c r="LA121" s="210">
        <f t="shared" si="1307"/>
        <v>0</v>
      </c>
      <c r="LB121" s="210">
        <f t="shared" si="1307"/>
        <v>0</v>
      </c>
      <c r="LC121" s="210">
        <f t="shared" si="1307"/>
        <v>0</v>
      </c>
      <c r="LD121" s="210">
        <f t="shared" si="1307"/>
        <v>0</v>
      </c>
      <c r="LE121" s="210">
        <f t="shared" si="1307"/>
        <v>2100</v>
      </c>
      <c r="LF121" s="210">
        <f t="shared" si="1307"/>
        <v>0</v>
      </c>
      <c r="LG121" s="210">
        <f t="shared" si="1307"/>
        <v>0</v>
      </c>
      <c r="LH121" s="210">
        <f t="shared" si="1307"/>
        <v>0</v>
      </c>
      <c r="LI121" s="210">
        <f t="shared" si="1307"/>
        <v>0</v>
      </c>
      <c r="LJ121" s="210">
        <f t="shared" si="1307"/>
        <v>0</v>
      </c>
      <c r="LK121" s="210">
        <f t="shared" si="1307"/>
        <v>0</v>
      </c>
      <c r="LL121" s="210">
        <f t="shared" si="1307"/>
        <v>0</v>
      </c>
      <c r="LM121" s="210">
        <f t="shared" si="1307"/>
        <v>0</v>
      </c>
      <c r="LN121" s="210">
        <f t="shared" ref="LN121:NY121" si="1308">SUMIF($E$85:$E$119,"Plan",LN$85:LN$119)</f>
        <v>12670</v>
      </c>
      <c r="LO121" s="210">
        <f t="shared" si="1308"/>
        <v>0</v>
      </c>
      <c r="LP121" s="210">
        <f t="shared" si="1308"/>
        <v>2000</v>
      </c>
      <c r="LQ121" s="210">
        <f t="shared" si="1308"/>
        <v>1900</v>
      </c>
      <c r="LR121" s="210">
        <f t="shared" si="1308"/>
        <v>200</v>
      </c>
      <c r="LS121" s="210">
        <f t="shared" si="1308"/>
        <v>0</v>
      </c>
      <c r="LT121" s="210">
        <f t="shared" si="1308"/>
        <v>0</v>
      </c>
      <c r="LU121" s="210">
        <f t="shared" si="1308"/>
        <v>0</v>
      </c>
      <c r="LV121" s="210">
        <f t="shared" si="1308"/>
        <v>4100</v>
      </c>
      <c r="LW121" s="210">
        <f t="shared" si="1308"/>
        <v>0</v>
      </c>
      <c r="LX121" s="210">
        <f t="shared" si="1308"/>
        <v>2000</v>
      </c>
      <c r="LY121" s="210">
        <f t="shared" si="1308"/>
        <v>900</v>
      </c>
      <c r="LZ121" s="210">
        <f t="shared" si="1308"/>
        <v>0</v>
      </c>
      <c r="MA121" s="210">
        <f t="shared" si="1308"/>
        <v>0</v>
      </c>
      <c r="MB121" s="210">
        <f t="shared" si="1308"/>
        <v>0</v>
      </c>
      <c r="MC121" s="210">
        <f t="shared" si="1308"/>
        <v>0</v>
      </c>
      <c r="MD121" s="210">
        <f t="shared" si="1308"/>
        <v>2900</v>
      </c>
      <c r="ME121" s="210">
        <f t="shared" si="1308"/>
        <v>2020</v>
      </c>
      <c r="MF121" s="210">
        <f t="shared" si="1308"/>
        <v>1790</v>
      </c>
      <c r="MG121" s="210">
        <f t="shared" si="1308"/>
        <v>2000</v>
      </c>
      <c r="MH121" s="210">
        <f t="shared" si="1308"/>
        <v>640</v>
      </c>
      <c r="MI121" s="210">
        <f t="shared" si="1308"/>
        <v>0</v>
      </c>
      <c r="MJ121" s="210">
        <f t="shared" si="1308"/>
        <v>0</v>
      </c>
      <c r="MK121" s="210">
        <f t="shared" si="1308"/>
        <v>0</v>
      </c>
      <c r="ML121" s="210">
        <f t="shared" si="1308"/>
        <v>6450</v>
      </c>
      <c r="MM121" s="210">
        <f t="shared" si="1308"/>
        <v>0</v>
      </c>
      <c r="MN121" s="210">
        <f t="shared" si="1308"/>
        <v>0</v>
      </c>
      <c r="MO121" s="210">
        <f t="shared" si="1308"/>
        <v>0</v>
      </c>
      <c r="MP121" s="210">
        <f t="shared" si="1308"/>
        <v>0</v>
      </c>
      <c r="MQ121" s="210">
        <f t="shared" si="1308"/>
        <v>0</v>
      </c>
      <c r="MR121" s="210">
        <f t="shared" si="1308"/>
        <v>0</v>
      </c>
      <c r="MS121" s="210">
        <f t="shared" si="1308"/>
        <v>0</v>
      </c>
      <c r="MT121" s="210">
        <f t="shared" si="1308"/>
        <v>0</v>
      </c>
      <c r="MU121" s="210">
        <f t="shared" si="1308"/>
        <v>13450</v>
      </c>
      <c r="MV121" s="210">
        <f t="shared" si="1308"/>
        <v>1600</v>
      </c>
      <c r="MW121" s="210">
        <f t="shared" si="1308"/>
        <v>1000</v>
      </c>
      <c r="MX121" s="210">
        <f t="shared" si="1308"/>
        <v>0</v>
      </c>
      <c r="MY121" s="210">
        <f t="shared" si="1308"/>
        <v>0</v>
      </c>
      <c r="MZ121" s="210">
        <f t="shared" si="1308"/>
        <v>0</v>
      </c>
      <c r="NA121" s="210">
        <f t="shared" si="1308"/>
        <v>0</v>
      </c>
      <c r="NB121" s="210">
        <f t="shared" si="1308"/>
        <v>0</v>
      </c>
      <c r="NC121" s="210">
        <f t="shared" si="1308"/>
        <v>2600</v>
      </c>
      <c r="ND121" s="210">
        <f t="shared" si="1308"/>
        <v>1200</v>
      </c>
      <c r="NE121" s="210">
        <f t="shared" si="1308"/>
        <v>0</v>
      </c>
      <c r="NF121" s="210">
        <f t="shared" si="1308"/>
        <v>0</v>
      </c>
      <c r="NG121" s="210">
        <f t="shared" si="1308"/>
        <v>0</v>
      </c>
      <c r="NH121" s="210">
        <f t="shared" si="1308"/>
        <v>0</v>
      </c>
      <c r="NI121" s="210">
        <f t="shared" si="1308"/>
        <v>0</v>
      </c>
      <c r="NJ121" s="210">
        <f t="shared" si="1308"/>
        <v>0</v>
      </c>
      <c r="NK121" s="210">
        <f t="shared" si="1308"/>
        <v>1200</v>
      </c>
      <c r="NL121" s="210">
        <f t="shared" si="1308"/>
        <v>2110</v>
      </c>
      <c r="NM121" s="210">
        <f t="shared" si="1308"/>
        <v>0</v>
      </c>
      <c r="NN121" s="210">
        <f t="shared" si="1308"/>
        <v>0</v>
      </c>
      <c r="NO121" s="210">
        <f t="shared" si="1308"/>
        <v>0</v>
      </c>
      <c r="NP121" s="210">
        <f t="shared" si="1308"/>
        <v>0</v>
      </c>
      <c r="NQ121" s="210">
        <f t="shared" si="1308"/>
        <v>0</v>
      </c>
      <c r="NR121" s="210">
        <f t="shared" si="1308"/>
        <v>0</v>
      </c>
      <c r="NS121" s="210">
        <f t="shared" si="1308"/>
        <v>2110</v>
      </c>
      <c r="NT121" s="210">
        <f t="shared" si="1308"/>
        <v>1500</v>
      </c>
      <c r="NU121" s="210">
        <f t="shared" si="1308"/>
        <v>1700</v>
      </c>
      <c r="NV121" s="210">
        <f t="shared" si="1308"/>
        <v>2000</v>
      </c>
      <c r="NW121" s="210">
        <f t="shared" si="1308"/>
        <v>1000</v>
      </c>
      <c r="NX121" s="210">
        <f t="shared" si="1308"/>
        <v>0</v>
      </c>
      <c r="NY121" s="210">
        <f t="shared" si="1308"/>
        <v>0</v>
      </c>
      <c r="NZ121" s="210">
        <f t="shared" ref="NZ121:QK121" si="1309">SUMIF($E$85:$E$119,"Plan",NZ$85:NZ$119)</f>
        <v>0</v>
      </c>
      <c r="OA121" s="210">
        <f t="shared" si="1309"/>
        <v>6200</v>
      </c>
      <c r="OB121" s="210">
        <f t="shared" si="1309"/>
        <v>12110</v>
      </c>
      <c r="OC121" s="210">
        <f t="shared" si="1309"/>
        <v>0</v>
      </c>
      <c r="OD121" s="210">
        <f t="shared" si="1309"/>
        <v>0</v>
      </c>
      <c r="OE121" s="210">
        <f t="shared" si="1309"/>
        <v>0</v>
      </c>
      <c r="OF121" s="210">
        <f t="shared" si="1309"/>
        <v>0</v>
      </c>
      <c r="OG121" s="210">
        <f t="shared" si="1309"/>
        <v>0</v>
      </c>
      <c r="OH121" s="210">
        <f t="shared" si="1309"/>
        <v>0</v>
      </c>
      <c r="OI121" s="210">
        <f t="shared" si="1309"/>
        <v>0</v>
      </c>
      <c r="OJ121" s="210">
        <f t="shared" si="1309"/>
        <v>0</v>
      </c>
      <c r="OK121" s="210">
        <f t="shared" si="1309"/>
        <v>1800</v>
      </c>
      <c r="OL121" s="210">
        <f t="shared" si="1309"/>
        <v>2000</v>
      </c>
      <c r="OM121" s="210">
        <f t="shared" si="1309"/>
        <v>2000</v>
      </c>
      <c r="ON121" s="210">
        <f t="shared" si="1309"/>
        <v>2000</v>
      </c>
      <c r="OO121" s="210">
        <f t="shared" si="1309"/>
        <v>0</v>
      </c>
      <c r="OP121" s="210">
        <f t="shared" si="1309"/>
        <v>0</v>
      </c>
      <c r="OQ121" s="210">
        <f t="shared" si="1309"/>
        <v>0</v>
      </c>
      <c r="OR121" s="210">
        <f t="shared" si="1309"/>
        <v>7800</v>
      </c>
      <c r="OS121" s="210">
        <f t="shared" si="1309"/>
        <v>2100</v>
      </c>
      <c r="OT121" s="210">
        <f t="shared" si="1309"/>
        <v>2000</v>
      </c>
      <c r="OU121" s="210">
        <f t="shared" si="1309"/>
        <v>2000</v>
      </c>
      <c r="OV121" s="210">
        <f t="shared" si="1309"/>
        <v>2300</v>
      </c>
      <c r="OW121" s="210">
        <f t="shared" si="1309"/>
        <v>1500</v>
      </c>
      <c r="OX121" s="210">
        <f t="shared" si="1309"/>
        <v>0</v>
      </c>
      <c r="OY121" s="210">
        <f t="shared" si="1309"/>
        <v>0</v>
      </c>
      <c r="OZ121" s="210">
        <f t="shared" si="1309"/>
        <v>9900</v>
      </c>
      <c r="PA121" s="210">
        <f t="shared" si="1309"/>
        <v>2000</v>
      </c>
      <c r="PB121" s="210">
        <f t="shared" si="1309"/>
        <v>2000</v>
      </c>
      <c r="PC121" s="210">
        <f t="shared" si="1309"/>
        <v>1800</v>
      </c>
      <c r="PD121" s="210">
        <f t="shared" si="1309"/>
        <v>0</v>
      </c>
      <c r="PE121" s="269">
        <f t="shared" si="1309"/>
        <v>0</v>
      </c>
      <c r="PF121" s="210">
        <f t="shared" si="1309"/>
        <v>0</v>
      </c>
      <c r="PG121" s="210">
        <f t="shared" si="1309"/>
        <v>0</v>
      </c>
      <c r="PH121" s="210">
        <f t="shared" si="1309"/>
        <v>5800</v>
      </c>
      <c r="PI121" s="210">
        <f t="shared" si="1309"/>
        <v>2000</v>
      </c>
      <c r="PJ121" s="210">
        <f t="shared" si="1309"/>
        <v>2000</v>
      </c>
      <c r="PK121" s="210">
        <f t="shared" si="1309"/>
        <v>2000</v>
      </c>
      <c r="PL121" s="210">
        <f t="shared" si="1309"/>
        <v>0</v>
      </c>
      <c r="PM121" s="269">
        <f t="shared" si="1309"/>
        <v>0</v>
      </c>
      <c r="PN121" s="210">
        <f t="shared" si="1309"/>
        <v>0</v>
      </c>
      <c r="PO121" s="210">
        <f t="shared" si="1309"/>
        <v>0</v>
      </c>
      <c r="PP121" s="210">
        <f t="shared" si="1309"/>
        <v>6000</v>
      </c>
      <c r="PQ121" s="210">
        <f t="shared" si="1309"/>
        <v>29500</v>
      </c>
      <c r="PR121" s="210">
        <f t="shared" si="1309"/>
        <v>2000</v>
      </c>
      <c r="PS121" s="210">
        <f t="shared" si="1309"/>
        <v>2100</v>
      </c>
      <c r="PT121" s="210">
        <f t="shared" si="1309"/>
        <v>2000</v>
      </c>
      <c r="PU121" s="210">
        <f t="shared" si="1309"/>
        <v>2000</v>
      </c>
      <c r="PV121" s="210">
        <f t="shared" si="1309"/>
        <v>500</v>
      </c>
      <c r="PW121" s="210">
        <f t="shared" si="1309"/>
        <v>0</v>
      </c>
      <c r="PX121" s="210">
        <f t="shared" si="1309"/>
        <v>0</v>
      </c>
      <c r="PY121" s="210">
        <f t="shared" si="1309"/>
        <v>8600</v>
      </c>
      <c r="PZ121" s="210">
        <f t="shared" si="1309"/>
        <v>2000</v>
      </c>
      <c r="QA121" s="210">
        <f t="shared" si="1309"/>
        <v>2000</v>
      </c>
      <c r="QB121" s="210">
        <f t="shared" si="1309"/>
        <v>2000</v>
      </c>
      <c r="QC121" s="210">
        <f t="shared" si="1309"/>
        <v>2000</v>
      </c>
      <c r="QD121" s="210">
        <f t="shared" si="1309"/>
        <v>1500</v>
      </c>
      <c r="QE121" s="210">
        <f t="shared" si="1309"/>
        <v>0</v>
      </c>
      <c r="QF121" s="210">
        <f t="shared" si="1309"/>
        <v>0</v>
      </c>
      <c r="QG121" s="210">
        <f t="shared" si="1309"/>
        <v>9500</v>
      </c>
      <c r="QH121" s="210">
        <f t="shared" si="1309"/>
        <v>0</v>
      </c>
      <c r="QI121" s="210">
        <f t="shared" si="1309"/>
        <v>0</v>
      </c>
      <c r="QJ121" s="210">
        <f t="shared" si="1309"/>
        <v>0</v>
      </c>
      <c r="QK121" s="210">
        <f t="shared" si="1309"/>
        <v>200</v>
      </c>
      <c r="QL121" s="210">
        <f t="shared" ref="QL121:SW121" si="1310">SUMIF($E$85:$E$119,"Plan",QL$85:QL$119)</f>
        <v>0</v>
      </c>
      <c r="QM121" s="210">
        <f t="shared" si="1310"/>
        <v>0</v>
      </c>
      <c r="QN121" s="210">
        <f t="shared" si="1310"/>
        <v>0</v>
      </c>
      <c r="QO121" s="210">
        <f t="shared" si="1310"/>
        <v>200</v>
      </c>
      <c r="QP121" s="210">
        <f t="shared" si="1310"/>
        <v>2000</v>
      </c>
      <c r="QQ121" s="210">
        <f t="shared" si="1310"/>
        <v>2000</v>
      </c>
      <c r="QR121" s="210">
        <f t="shared" si="1310"/>
        <v>0</v>
      </c>
      <c r="QS121" s="210">
        <f t="shared" si="1310"/>
        <v>0</v>
      </c>
      <c r="QT121" s="210">
        <f t="shared" si="1310"/>
        <v>0</v>
      </c>
      <c r="QU121" s="210">
        <f t="shared" si="1310"/>
        <v>0</v>
      </c>
      <c r="QV121" s="210">
        <f t="shared" si="1310"/>
        <v>0</v>
      </c>
      <c r="QW121" s="210">
        <f t="shared" si="1310"/>
        <v>4000</v>
      </c>
      <c r="QX121" s="210">
        <f t="shared" si="1310"/>
        <v>22300</v>
      </c>
      <c r="QY121" s="210">
        <f t="shared" si="1310"/>
        <v>1400</v>
      </c>
      <c r="QZ121" s="210">
        <f t="shared" si="1310"/>
        <v>0</v>
      </c>
      <c r="RA121" s="210">
        <f t="shared" si="1310"/>
        <v>0</v>
      </c>
      <c r="RB121" s="210">
        <f t="shared" si="1310"/>
        <v>0</v>
      </c>
      <c r="RC121" s="210">
        <f t="shared" si="1310"/>
        <v>0</v>
      </c>
      <c r="RD121" s="210">
        <f t="shared" si="1310"/>
        <v>0</v>
      </c>
      <c r="RE121" s="210">
        <f t="shared" si="1310"/>
        <v>0</v>
      </c>
      <c r="RF121" s="210">
        <f t="shared" si="1310"/>
        <v>1400</v>
      </c>
      <c r="RG121" s="210">
        <f t="shared" si="1310"/>
        <v>2000</v>
      </c>
      <c r="RH121" s="210">
        <f t="shared" si="1310"/>
        <v>2000</v>
      </c>
      <c r="RI121" s="210">
        <f t="shared" si="1310"/>
        <v>1700</v>
      </c>
      <c r="RJ121" s="210">
        <f t="shared" si="1310"/>
        <v>1500</v>
      </c>
      <c r="RK121" s="210">
        <f t="shared" si="1310"/>
        <v>0</v>
      </c>
      <c r="RL121" s="210">
        <f t="shared" si="1310"/>
        <v>0</v>
      </c>
      <c r="RM121" s="210">
        <f t="shared" si="1310"/>
        <v>0</v>
      </c>
      <c r="RN121" s="210">
        <f t="shared" si="1310"/>
        <v>7200</v>
      </c>
      <c r="RO121" s="210">
        <f t="shared" si="1310"/>
        <v>0</v>
      </c>
      <c r="RP121" s="210">
        <f t="shared" si="1310"/>
        <v>0</v>
      </c>
      <c r="RQ121" s="210">
        <f t="shared" si="1310"/>
        <v>0</v>
      </c>
      <c r="RR121" s="210">
        <f t="shared" si="1310"/>
        <v>0</v>
      </c>
      <c r="RS121" s="210">
        <f t="shared" si="1310"/>
        <v>0</v>
      </c>
      <c r="RT121" s="210">
        <f t="shared" si="1310"/>
        <v>0</v>
      </c>
      <c r="RU121" s="210">
        <f t="shared" si="1310"/>
        <v>0</v>
      </c>
      <c r="RV121" s="210">
        <f t="shared" si="1310"/>
        <v>0</v>
      </c>
      <c r="RW121" s="210">
        <f t="shared" si="1310"/>
        <v>2000</v>
      </c>
      <c r="RX121" s="210">
        <f t="shared" si="1310"/>
        <v>2000</v>
      </c>
      <c r="RY121" s="210">
        <f t="shared" si="1310"/>
        <v>2000</v>
      </c>
      <c r="RZ121" s="210">
        <f t="shared" si="1310"/>
        <v>2300</v>
      </c>
      <c r="SA121" s="210">
        <f t="shared" si="1310"/>
        <v>0</v>
      </c>
      <c r="SB121" s="210">
        <f t="shared" si="1310"/>
        <v>0</v>
      </c>
      <c r="SC121" s="210">
        <f t="shared" si="1310"/>
        <v>0</v>
      </c>
      <c r="SD121" s="210">
        <f t="shared" si="1310"/>
        <v>8300</v>
      </c>
      <c r="SE121" s="210">
        <f t="shared" si="1310"/>
        <v>16900</v>
      </c>
      <c r="SF121" s="210">
        <f t="shared" si="1310"/>
        <v>1500</v>
      </c>
      <c r="SG121" s="210">
        <f t="shared" si="1310"/>
        <v>2000</v>
      </c>
      <c r="SH121" s="210">
        <f t="shared" si="1310"/>
        <v>2000</v>
      </c>
      <c r="SI121" s="210">
        <f t="shared" si="1310"/>
        <v>1890</v>
      </c>
      <c r="SJ121" s="210">
        <f t="shared" si="1310"/>
        <v>0</v>
      </c>
      <c r="SK121" s="210">
        <f t="shared" si="1310"/>
        <v>0</v>
      </c>
      <c r="SL121" s="210">
        <f t="shared" si="1310"/>
        <v>0</v>
      </c>
      <c r="SM121" s="210">
        <f t="shared" si="1310"/>
        <v>7390</v>
      </c>
      <c r="SN121" s="210">
        <f t="shared" si="1310"/>
        <v>2000</v>
      </c>
      <c r="SO121" s="210">
        <f t="shared" si="1310"/>
        <v>2000</v>
      </c>
      <c r="SP121" s="210">
        <f t="shared" si="1310"/>
        <v>0</v>
      </c>
      <c r="SQ121" s="210">
        <f t="shared" si="1310"/>
        <v>0</v>
      </c>
      <c r="SR121" s="210">
        <f t="shared" si="1310"/>
        <v>0</v>
      </c>
      <c r="SS121" s="210">
        <f t="shared" si="1310"/>
        <v>0</v>
      </c>
      <c r="ST121" s="210">
        <f t="shared" si="1310"/>
        <v>0</v>
      </c>
      <c r="SU121" s="210">
        <f t="shared" si="1310"/>
        <v>4000</v>
      </c>
      <c r="SV121" s="210">
        <f t="shared" si="1310"/>
        <v>0</v>
      </c>
      <c r="SW121" s="210">
        <f t="shared" si="1310"/>
        <v>1690</v>
      </c>
      <c r="SX121" s="210">
        <f t="shared" ref="SX121:VI121" si="1311">SUMIF($E$85:$E$119,"Plan",SX$85:SX$119)</f>
        <v>0</v>
      </c>
      <c r="SY121" s="210">
        <f t="shared" si="1311"/>
        <v>0</v>
      </c>
      <c r="SZ121" s="210">
        <f t="shared" si="1311"/>
        <v>0</v>
      </c>
      <c r="TA121" s="210">
        <f t="shared" si="1311"/>
        <v>0</v>
      </c>
      <c r="TB121" s="210">
        <f t="shared" si="1311"/>
        <v>0</v>
      </c>
      <c r="TC121" s="210">
        <f t="shared" si="1311"/>
        <v>1690</v>
      </c>
      <c r="TD121" s="210">
        <f t="shared" si="1311"/>
        <v>0</v>
      </c>
      <c r="TE121" s="210">
        <f t="shared" si="1311"/>
        <v>0</v>
      </c>
      <c r="TF121" s="210">
        <f t="shared" si="1311"/>
        <v>0</v>
      </c>
      <c r="TG121" s="210">
        <f t="shared" si="1311"/>
        <v>0</v>
      </c>
      <c r="TH121" s="210">
        <f t="shared" si="1311"/>
        <v>0</v>
      </c>
      <c r="TI121" s="210">
        <f t="shared" si="1311"/>
        <v>0</v>
      </c>
      <c r="TJ121" s="210">
        <f t="shared" si="1311"/>
        <v>0</v>
      </c>
      <c r="TK121" s="210">
        <f t="shared" si="1311"/>
        <v>0</v>
      </c>
      <c r="TL121" s="210">
        <f t="shared" si="1311"/>
        <v>0</v>
      </c>
      <c r="TM121" s="210">
        <f t="shared" si="1311"/>
        <v>0</v>
      </c>
      <c r="TN121" s="210">
        <f t="shared" si="1311"/>
        <v>0</v>
      </c>
      <c r="TO121" s="210">
        <f t="shared" si="1311"/>
        <v>500</v>
      </c>
      <c r="TP121" s="210">
        <f t="shared" si="1311"/>
        <v>0</v>
      </c>
      <c r="TQ121" s="210">
        <f t="shared" si="1311"/>
        <v>0</v>
      </c>
      <c r="TR121" s="210">
        <f t="shared" si="1311"/>
        <v>0</v>
      </c>
      <c r="TS121" s="210">
        <f t="shared" si="1311"/>
        <v>500</v>
      </c>
      <c r="TT121" s="210">
        <f t="shared" si="1311"/>
        <v>13080</v>
      </c>
      <c r="TU121" s="210">
        <f t="shared" si="1311"/>
        <v>0</v>
      </c>
      <c r="TV121" s="210">
        <f t="shared" si="1311"/>
        <v>2000</v>
      </c>
      <c r="TW121" s="210">
        <f t="shared" si="1311"/>
        <v>1500</v>
      </c>
      <c r="TX121" s="210">
        <f t="shared" si="1311"/>
        <v>1630</v>
      </c>
      <c r="TY121" s="210">
        <f t="shared" si="1311"/>
        <v>1000</v>
      </c>
      <c r="TZ121" s="210">
        <f t="shared" si="1311"/>
        <v>0</v>
      </c>
      <c r="UA121" s="210">
        <f t="shared" si="1311"/>
        <v>0</v>
      </c>
      <c r="UB121" s="210">
        <f t="shared" si="1311"/>
        <v>6130</v>
      </c>
      <c r="UC121" s="210">
        <f t="shared" si="1311"/>
        <v>2000</v>
      </c>
      <c r="UD121" s="210">
        <f t="shared" si="1311"/>
        <v>2000</v>
      </c>
      <c r="UE121" s="210">
        <f t="shared" si="1311"/>
        <v>2000</v>
      </c>
      <c r="UF121" s="210">
        <f t="shared" si="1311"/>
        <v>2000</v>
      </c>
      <c r="UG121" s="210">
        <f t="shared" si="1311"/>
        <v>1400</v>
      </c>
      <c r="UH121" s="210">
        <f t="shared" si="1311"/>
        <v>0</v>
      </c>
      <c r="UI121" s="210">
        <f t="shared" si="1311"/>
        <v>0</v>
      </c>
      <c r="UJ121" s="210">
        <f t="shared" si="1311"/>
        <v>9400</v>
      </c>
      <c r="UK121" s="210">
        <f t="shared" si="1311"/>
        <v>0</v>
      </c>
      <c r="UL121" s="210">
        <f t="shared" si="1311"/>
        <v>0</v>
      </c>
      <c r="UM121" s="210">
        <f t="shared" si="1311"/>
        <v>0</v>
      </c>
      <c r="UN121" s="210">
        <f t="shared" si="1311"/>
        <v>0</v>
      </c>
      <c r="UO121" s="210">
        <f t="shared" si="1311"/>
        <v>0</v>
      </c>
      <c r="UP121" s="210">
        <f t="shared" si="1311"/>
        <v>0</v>
      </c>
      <c r="UQ121" s="210">
        <f t="shared" si="1311"/>
        <v>0</v>
      </c>
      <c r="UR121" s="210">
        <f t="shared" si="1311"/>
        <v>0</v>
      </c>
      <c r="US121" s="210">
        <f t="shared" si="1311"/>
        <v>500</v>
      </c>
      <c r="UT121" s="210">
        <f t="shared" si="1311"/>
        <v>0</v>
      </c>
      <c r="UU121" s="210">
        <f t="shared" si="1311"/>
        <v>0</v>
      </c>
      <c r="UV121" s="210">
        <f t="shared" si="1311"/>
        <v>0</v>
      </c>
      <c r="UW121" s="210">
        <f t="shared" si="1311"/>
        <v>0</v>
      </c>
      <c r="UX121" s="210">
        <f t="shared" si="1311"/>
        <v>0</v>
      </c>
      <c r="UY121" s="210">
        <f t="shared" si="1311"/>
        <v>0</v>
      </c>
      <c r="UZ121" s="210">
        <f t="shared" si="1311"/>
        <v>500</v>
      </c>
      <c r="VA121" s="210">
        <f t="shared" si="1311"/>
        <v>16530</v>
      </c>
      <c r="VB121" s="210">
        <f t="shared" si="1311"/>
        <v>0</v>
      </c>
      <c r="VC121" s="210">
        <f t="shared" si="1311"/>
        <v>0</v>
      </c>
      <c r="VD121" s="210">
        <f t="shared" si="1311"/>
        <v>0</v>
      </c>
      <c r="VE121" s="210">
        <f t="shared" si="1311"/>
        <v>0</v>
      </c>
      <c r="VF121" s="210">
        <f t="shared" si="1311"/>
        <v>0</v>
      </c>
      <c r="VG121" s="210">
        <f t="shared" si="1311"/>
        <v>0</v>
      </c>
      <c r="VH121" s="210">
        <f t="shared" si="1311"/>
        <v>0</v>
      </c>
      <c r="VI121" s="210">
        <f t="shared" si="1311"/>
        <v>0</v>
      </c>
      <c r="VJ121" s="210">
        <f t="shared" ref="VJ121:XU121" si="1312">SUMIF($E$85:$E$119,"Plan",VJ$85:VJ$119)</f>
        <v>2000</v>
      </c>
      <c r="VK121" s="210">
        <f t="shared" si="1312"/>
        <v>2000</v>
      </c>
      <c r="VL121" s="210">
        <f t="shared" si="1312"/>
        <v>2000</v>
      </c>
      <c r="VM121" s="210">
        <f t="shared" si="1312"/>
        <v>1000</v>
      </c>
      <c r="VN121" s="210">
        <f t="shared" si="1312"/>
        <v>0</v>
      </c>
      <c r="VO121" s="210">
        <f t="shared" si="1312"/>
        <v>0</v>
      </c>
      <c r="VP121" s="210">
        <f t="shared" si="1312"/>
        <v>0</v>
      </c>
      <c r="VQ121" s="210">
        <f t="shared" si="1312"/>
        <v>7000</v>
      </c>
      <c r="VR121" s="210">
        <f t="shared" si="1312"/>
        <v>1800</v>
      </c>
      <c r="VS121" s="210">
        <f t="shared" si="1312"/>
        <v>2000</v>
      </c>
      <c r="VT121" s="210">
        <f t="shared" si="1312"/>
        <v>2100</v>
      </c>
      <c r="VU121" s="210">
        <f t="shared" si="1312"/>
        <v>1600</v>
      </c>
      <c r="VV121" s="210">
        <f t="shared" si="1312"/>
        <v>0</v>
      </c>
      <c r="VW121" s="210">
        <f t="shared" si="1312"/>
        <v>0</v>
      </c>
      <c r="VX121" s="210">
        <f t="shared" si="1312"/>
        <v>0</v>
      </c>
      <c r="VY121" s="210">
        <f t="shared" si="1312"/>
        <v>7500</v>
      </c>
      <c r="VZ121" s="210">
        <f t="shared" si="1312"/>
        <v>2000</v>
      </c>
      <c r="WA121" s="210">
        <f t="shared" si="1312"/>
        <v>2000</v>
      </c>
      <c r="WB121" s="210">
        <f t="shared" si="1312"/>
        <v>2000</v>
      </c>
      <c r="WC121" s="210">
        <f t="shared" si="1312"/>
        <v>2000</v>
      </c>
      <c r="WD121" s="210">
        <f t="shared" si="1312"/>
        <v>0</v>
      </c>
      <c r="WE121" s="210">
        <f t="shared" si="1312"/>
        <v>0</v>
      </c>
      <c r="WF121" s="210">
        <f t="shared" si="1312"/>
        <v>0</v>
      </c>
      <c r="WG121" s="210">
        <f t="shared" si="1312"/>
        <v>8000</v>
      </c>
      <c r="WH121" s="210">
        <f t="shared" si="1312"/>
        <v>22500</v>
      </c>
      <c r="WI121" s="210">
        <f t="shared" si="1312"/>
        <v>2000</v>
      </c>
      <c r="WJ121" s="210">
        <f t="shared" si="1312"/>
        <v>0</v>
      </c>
      <c r="WK121" s="210">
        <f t="shared" si="1312"/>
        <v>0</v>
      </c>
      <c r="WL121" s="210">
        <f t="shared" si="1312"/>
        <v>0</v>
      </c>
      <c r="WM121" s="210">
        <f t="shared" si="1312"/>
        <v>0</v>
      </c>
      <c r="WN121" s="210">
        <f t="shared" si="1312"/>
        <v>0</v>
      </c>
      <c r="WO121" s="210">
        <f t="shared" si="1312"/>
        <v>0</v>
      </c>
      <c r="WP121" s="210">
        <f t="shared" si="1312"/>
        <v>2000</v>
      </c>
      <c r="WQ121" s="210">
        <f t="shared" si="1312"/>
        <v>0</v>
      </c>
      <c r="WR121" s="210">
        <f t="shared" si="1312"/>
        <v>0</v>
      </c>
      <c r="WS121" s="210">
        <f t="shared" si="1312"/>
        <v>0</v>
      </c>
      <c r="WT121" s="210">
        <f t="shared" si="1312"/>
        <v>0</v>
      </c>
      <c r="WU121" s="210">
        <f t="shared" si="1312"/>
        <v>0</v>
      </c>
      <c r="WV121" s="210">
        <f t="shared" si="1312"/>
        <v>0</v>
      </c>
      <c r="WW121" s="210">
        <f t="shared" si="1312"/>
        <v>0</v>
      </c>
      <c r="WX121" s="210">
        <f t="shared" si="1312"/>
        <v>0</v>
      </c>
      <c r="WY121" s="210">
        <f t="shared" si="1312"/>
        <v>0</v>
      </c>
      <c r="WZ121" s="210">
        <f t="shared" si="1312"/>
        <v>0</v>
      </c>
      <c r="XA121" s="210">
        <f t="shared" si="1312"/>
        <v>0</v>
      </c>
      <c r="XB121" s="210">
        <f t="shared" si="1312"/>
        <v>0</v>
      </c>
      <c r="XC121" s="210">
        <f t="shared" si="1312"/>
        <v>0</v>
      </c>
      <c r="XD121" s="210">
        <f t="shared" si="1312"/>
        <v>0</v>
      </c>
      <c r="XE121" s="210">
        <f t="shared" si="1312"/>
        <v>0</v>
      </c>
      <c r="XF121" s="210">
        <f t="shared" si="1312"/>
        <v>0</v>
      </c>
      <c r="XG121" s="210">
        <f t="shared" si="1312"/>
        <v>0</v>
      </c>
      <c r="XH121" s="210">
        <f t="shared" si="1312"/>
        <v>0</v>
      </c>
      <c r="XI121" s="210">
        <f t="shared" si="1312"/>
        <v>0</v>
      </c>
      <c r="XJ121" s="210">
        <f t="shared" si="1312"/>
        <v>0</v>
      </c>
      <c r="XK121" s="210">
        <f t="shared" si="1312"/>
        <v>0</v>
      </c>
      <c r="XL121" s="210">
        <f t="shared" si="1312"/>
        <v>0</v>
      </c>
      <c r="XM121" s="210">
        <f t="shared" si="1312"/>
        <v>0</v>
      </c>
      <c r="XN121" s="210">
        <f t="shared" si="1312"/>
        <v>0</v>
      </c>
      <c r="XO121" s="210">
        <f t="shared" si="1312"/>
        <v>0</v>
      </c>
      <c r="XP121" s="210">
        <f t="shared" si="1312"/>
        <v>0</v>
      </c>
      <c r="XQ121" s="210">
        <f t="shared" si="1312"/>
        <v>0</v>
      </c>
      <c r="XR121" s="210">
        <f t="shared" si="1312"/>
        <v>0</v>
      </c>
      <c r="XS121" s="210">
        <f t="shared" si="1312"/>
        <v>0</v>
      </c>
      <c r="XT121" s="210">
        <f t="shared" si="1312"/>
        <v>0</v>
      </c>
      <c r="XU121" s="210">
        <f t="shared" si="1312"/>
        <v>0</v>
      </c>
      <c r="XV121" s="210">
        <f t="shared" ref="XV121:XW121" si="1313">SUMIF($E$85:$E$119,"Plan",XV$85:XV$119)</f>
        <v>0</v>
      </c>
      <c r="XW121" s="210">
        <f t="shared" si="1313"/>
        <v>2000</v>
      </c>
    </row>
    <row r="122" spans="2:777" ht="69.95" customHeight="1">
      <c r="B122" s="150" t="s">
        <v>37</v>
      </c>
      <c r="C122" s="132"/>
      <c r="DQ122" s="397" t="s">
        <v>715</v>
      </c>
      <c r="DR122" s="397"/>
      <c r="DS122" s="397"/>
      <c r="DT122" s="397"/>
      <c r="DU122" s="397"/>
      <c r="DY122" s="397" t="s">
        <v>716</v>
      </c>
      <c r="DZ122" s="397"/>
      <c r="EA122" s="397"/>
      <c r="EB122" s="397"/>
      <c r="EC122" s="397"/>
      <c r="OS122" s="118" t="s">
        <v>216</v>
      </c>
      <c r="OY122" s="117"/>
      <c r="OZ122" s="117"/>
    </row>
    <row r="123" spans="2:777" ht="69.95" customHeight="1">
      <c r="B123" s="130" t="s">
        <v>877</v>
      </c>
      <c r="C123" s="146" t="s">
        <v>226</v>
      </c>
      <c r="D123" s="136" t="s">
        <v>0</v>
      </c>
      <c r="E123" s="130"/>
      <c r="F123" s="121">
        <f t="shared" ref="F123:AK123" si="1314">F2</f>
        <v>45663</v>
      </c>
      <c r="G123" s="121">
        <f t="shared" si="1314"/>
        <v>45664</v>
      </c>
      <c r="H123" s="121">
        <f t="shared" si="1314"/>
        <v>45665</v>
      </c>
      <c r="I123" s="121">
        <f t="shared" si="1314"/>
        <v>45666</v>
      </c>
      <c r="J123" s="121">
        <f t="shared" si="1314"/>
        <v>45667</v>
      </c>
      <c r="K123" s="122">
        <f t="shared" si="1314"/>
        <v>45668</v>
      </c>
      <c r="L123" s="122">
        <f t="shared" si="1314"/>
        <v>45669</v>
      </c>
      <c r="M123" s="122" t="str">
        <f t="shared" si="1314"/>
        <v>WK02</v>
      </c>
      <c r="N123" s="121">
        <f t="shared" si="1314"/>
        <v>45670</v>
      </c>
      <c r="O123" s="121">
        <f t="shared" si="1314"/>
        <v>45671</v>
      </c>
      <c r="P123" s="121">
        <f t="shared" si="1314"/>
        <v>45672</v>
      </c>
      <c r="Q123" s="121">
        <f t="shared" si="1314"/>
        <v>45673</v>
      </c>
      <c r="R123" s="121">
        <f t="shared" si="1314"/>
        <v>45674</v>
      </c>
      <c r="S123" s="122">
        <f t="shared" si="1314"/>
        <v>45675</v>
      </c>
      <c r="T123" s="122">
        <f t="shared" si="1314"/>
        <v>45676</v>
      </c>
      <c r="U123" s="122" t="str">
        <f t="shared" si="1314"/>
        <v>WK03</v>
      </c>
      <c r="V123" s="121">
        <f t="shared" si="1314"/>
        <v>45677</v>
      </c>
      <c r="W123" s="121">
        <f t="shared" si="1314"/>
        <v>45678</v>
      </c>
      <c r="X123" s="121">
        <f t="shared" si="1314"/>
        <v>45679</v>
      </c>
      <c r="Y123" s="121">
        <f t="shared" si="1314"/>
        <v>45680</v>
      </c>
      <c r="Z123" s="121">
        <f t="shared" si="1314"/>
        <v>45681</v>
      </c>
      <c r="AA123" s="122">
        <f t="shared" si="1314"/>
        <v>45682</v>
      </c>
      <c r="AB123" s="122">
        <f t="shared" si="1314"/>
        <v>45683</v>
      </c>
      <c r="AC123" s="122" t="str">
        <f t="shared" si="1314"/>
        <v>WK04</v>
      </c>
      <c r="AD123" s="122">
        <f t="shared" si="1314"/>
        <v>45684</v>
      </c>
      <c r="AE123" s="122">
        <f t="shared" si="1314"/>
        <v>45685</v>
      </c>
      <c r="AF123" s="122">
        <f t="shared" si="1314"/>
        <v>45686</v>
      </c>
      <c r="AG123" s="122">
        <f t="shared" si="1314"/>
        <v>45687</v>
      </c>
      <c r="AH123" s="122">
        <f t="shared" si="1314"/>
        <v>45688</v>
      </c>
      <c r="AI123" s="122">
        <f t="shared" si="1314"/>
        <v>45689</v>
      </c>
      <c r="AJ123" s="122">
        <f t="shared" si="1314"/>
        <v>45690</v>
      </c>
      <c r="AK123" s="122" t="str">
        <f t="shared" si="1314"/>
        <v>WK05</v>
      </c>
      <c r="AL123" s="122" t="str">
        <f t="shared" ref="AL123:BQ123" si="1315">AL2</f>
        <v>JAN</v>
      </c>
      <c r="AM123" s="121">
        <f t="shared" si="1315"/>
        <v>45691</v>
      </c>
      <c r="AN123" s="121">
        <f t="shared" si="1315"/>
        <v>45692</v>
      </c>
      <c r="AO123" s="121">
        <f t="shared" si="1315"/>
        <v>45693</v>
      </c>
      <c r="AP123" s="121">
        <f t="shared" si="1315"/>
        <v>45694</v>
      </c>
      <c r="AQ123" s="121">
        <f t="shared" si="1315"/>
        <v>45695</v>
      </c>
      <c r="AR123" s="122">
        <f t="shared" si="1315"/>
        <v>45696</v>
      </c>
      <c r="AS123" s="122">
        <f t="shared" si="1315"/>
        <v>45697</v>
      </c>
      <c r="AT123" s="122" t="str">
        <f t="shared" si="1315"/>
        <v>WK06</v>
      </c>
      <c r="AU123" s="121">
        <f t="shared" si="1315"/>
        <v>45698</v>
      </c>
      <c r="AV123" s="121">
        <f t="shared" si="1315"/>
        <v>45699</v>
      </c>
      <c r="AW123" s="121">
        <f t="shared" si="1315"/>
        <v>45700</v>
      </c>
      <c r="AX123" s="121">
        <f t="shared" si="1315"/>
        <v>45701</v>
      </c>
      <c r="AY123" s="121">
        <f t="shared" si="1315"/>
        <v>45702</v>
      </c>
      <c r="AZ123" s="122">
        <f t="shared" si="1315"/>
        <v>45703</v>
      </c>
      <c r="BA123" s="122">
        <f t="shared" si="1315"/>
        <v>45704</v>
      </c>
      <c r="BB123" s="122" t="str">
        <f t="shared" si="1315"/>
        <v>WK07</v>
      </c>
      <c r="BC123" s="121">
        <f t="shared" si="1315"/>
        <v>45705</v>
      </c>
      <c r="BD123" s="121">
        <f t="shared" si="1315"/>
        <v>45706</v>
      </c>
      <c r="BE123" s="121">
        <f t="shared" si="1315"/>
        <v>45707</v>
      </c>
      <c r="BF123" s="121">
        <f t="shared" si="1315"/>
        <v>45708</v>
      </c>
      <c r="BG123" s="121">
        <f t="shared" si="1315"/>
        <v>45709</v>
      </c>
      <c r="BH123" s="122">
        <f t="shared" si="1315"/>
        <v>45710</v>
      </c>
      <c r="BI123" s="122">
        <f t="shared" si="1315"/>
        <v>45711</v>
      </c>
      <c r="BJ123" s="122" t="str">
        <f t="shared" si="1315"/>
        <v>WK08</v>
      </c>
      <c r="BK123" s="121">
        <f t="shared" si="1315"/>
        <v>45712</v>
      </c>
      <c r="BL123" s="121">
        <f t="shared" si="1315"/>
        <v>45713</v>
      </c>
      <c r="BM123" s="121">
        <f t="shared" si="1315"/>
        <v>45714</v>
      </c>
      <c r="BN123" s="121">
        <f t="shared" si="1315"/>
        <v>45715</v>
      </c>
      <c r="BO123" s="122">
        <f t="shared" si="1315"/>
        <v>45716</v>
      </c>
      <c r="BP123" s="122">
        <f t="shared" si="1315"/>
        <v>45717</v>
      </c>
      <c r="BQ123" s="122">
        <f t="shared" si="1315"/>
        <v>45718</v>
      </c>
      <c r="BR123" s="122" t="str">
        <f t="shared" ref="BR123:CW123" si="1316">BR2</f>
        <v>WK09</v>
      </c>
      <c r="BS123" s="122" t="str">
        <f t="shared" si="1316"/>
        <v>FEB</v>
      </c>
      <c r="BT123" s="121">
        <f t="shared" si="1316"/>
        <v>45719</v>
      </c>
      <c r="BU123" s="121">
        <f t="shared" si="1316"/>
        <v>45720</v>
      </c>
      <c r="BV123" s="121">
        <f t="shared" si="1316"/>
        <v>45721</v>
      </c>
      <c r="BW123" s="121">
        <f t="shared" si="1316"/>
        <v>45722</v>
      </c>
      <c r="BX123" s="121">
        <f t="shared" si="1316"/>
        <v>45723</v>
      </c>
      <c r="BY123" s="122">
        <f t="shared" si="1316"/>
        <v>45724</v>
      </c>
      <c r="BZ123" s="122">
        <f t="shared" si="1316"/>
        <v>45725</v>
      </c>
      <c r="CA123" s="122" t="str">
        <f t="shared" si="1316"/>
        <v>WK10</v>
      </c>
      <c r="CB123" s="121">
        <f t="shared" si="1316"/>
        <v>45726</v>
      </c>
      <c r="CC123" s="121">
        <f t="shared" si="1316"/>
        <v>45727</v>
      </c>
      <c r="CD123" s="121">
        <f t="shared" si="1316"/>
        <v>45728</v>
      </c>
      <c r="CE123" s="121">
        <f t="shared" si="1316"/>
        <v>45729</v>
      </c>
      <c r="CF123" s="121">
        <f t="shared" si="1316"/>
        <v>45730</v>
      </c>
      <c r="CG123" s="122">
        <f t="shared" si="1316"/>
        <v>45731</v>
      </c>
      <c r="CH123" s="122">
        <f t="shared" si="1316"/>
        <v>45732</v>
      </c>
      <c r="CI123" s="122" t="str">
        <f t="shared" si="1316"/>
        <v>WK11</v>
      </c>
      <c r="CJ123" s="121">
        <f t="shared" si="1316"/>
        <v>45733</v>
      </c>
      <c r="CK123" s="121">
        <f t="shared" si="1316"/>
        <v>45734</v>
      </c>
      <c r="CL123" s="121">
        <f t="shared" si="1316"/>
        <v>45735</v>
      </c>
      <c r="CM123" s="121">
        <f t="shared" si="1316"/>
        <v>45736</v>
      </c>
      <c r="CN123" s="121">
        <f t="shared" si="1316"/>
        <v>45737</v>
      </c>
      <c r="CO123" s="122">
        <f t="shared" si="1316"/>
        <v>45738</v>
      </c>
      <c r="CP123" s="122">
        <f t="shared" si="1316"/>
        <v>45739</v>
      </c>
      <c r="CQ123" s="122" t="str">
        <f t="shared" si="1316"/>
        <v>WK12</v>
      </c>
      <c r="CR123" s="121">
        <f t="shared" si="1316"/>
        <v>45740</v>
      </c>
      <c r="CS123" s="121">
        <f t="shared" si="1316"/>
        <v>45741</v>
      </c>
      <c r="CT123" s="121">
        <f t="shared" si="1316"/>
        <v>45742</v>
      </c>
      <c r="CU123" s="121">
        <f t="shared" si="1316"/>
        <v>45743</v>
      </c>
      <c r="CV123" s="121">
        <f t="shared" si="1316"/>
        <v>45744</v>
      </c>
      <c r="CW123" s="122">
        <f t="shared" si="1316"/>
        <v>45745</v>
      </c>
      <c r="CX123" s="122">
        <f t="shared" ref="CX123:DH123" si="1317">CX2</f>
        <v>45746</v>
      </c>
      <c r="CY123" s="122" t="str">
        <f t="shared" si="1317"/>
        <v>WK13</v>
      </c>
      <c r="CZ123" s="121">
        <f t="shared" si="1317"/>
        <v>45747</v>
      </c>
      <c r="DA123" s="121">
        <f t="shared" si="1317"/>
        <v>45748</v>
      </c>
      <c r="DB123" s="121">
        <f t="shared" si="1317"/>
        <v>45749</v>
      </c>
      <c r="DC123" s="122">
        <f t="shared" si="1317"/>
        <v>45750</v>
      </c>
      <c r="DD123" s="122">
        <f t="shared" si="1317"/>
        <v>45751</v>
      </c>
      <c r="DE123" s="122">
        <f t="shared" si="1317"/>
        <v>45752</v>
      </c>
      <c r="DF123" s="122">
        <f t="shared" si="1317"/>
        <v>45753</v>
      </c>
      <c r="DG123" s="122" t="str">
        <f t="shared" si="1317"/>
        <v>WK14</v>
      </c>
      <c r="DH123" s="122" t="str">
        <f t="shared" si="1317"/>
        <v>MAR</v>
      </c>
      <c r="DI123" s="121">
        <f>DF123+1</f>
        <v>45754</v>
      </c>
      <c r="DJ123" s="121">
        <f t="shared" ref="DJ123:DO123" si="1318">DI123+1</f>
        <v>45755</v>
      </c>
      <c r="DK123" s="121">
        <f t="shared" si="1318"/>
        <v>45756</v>
      </c>
      <c r="DL123" s="121">
        <f t="shared" si="1318"/>
        <v>45757</v>
      </c>
      <c r="DM123" s="121">
        <f t="shared" si="1318"/>
        <v>45758</v>
      </c>
      <c r="DN123" s="122">
        <f t="shared" si="1318"/>
        <v>45759</v>
      </c>
      <c r="DO123" s="122">
        <f t="shared" si="1318"/>
        <v>45760</v>
      </c>
      <c r="DP123" s="122" t="s">
        <v>577</v>
      </c>
      <c r="DQ123" s="121">
        <f>DO123+1</f>
        <v>45761</v>
      </c>
      <c r="DR123" s="121">
        <f t="shared" ref="DR123:DW123" si="1319">DQ123+1</f>
        <v>45762</v>
      </c>
      <c r="DS123" s="121">
        <f t="shared" si="1319"/>
        <v>45763</v>
      </c>
      <c r="DT123" s="121">
        <f t="shared" si="1319"/>
        <v>45764</v>
      </c>
      <c r="DU123" s="121">
        <f t="shared" si="1319"/>
        <v>45765</v>
      </c>
      <c r="DV123" s="122">
        <f t="shared" si="1319"/>
        <v>45766</v>
      </c>
      <c r="DW123" s="122">
        <f t="shared" si="1319"/>
        <v>45767</v>
      </c>
      <c r="DX123" s="122" t="s">
        <v>578</v>
      </c>
      <c r="DY123" s="121">
        <f>DW123+1</f>
        <v>45768</v>
      </c>
      <c r="DZ123" s="121">
        <f t="shared" ref="DZ123:EE123" si="1320">DY123+1</f>
        <v>45769</v>
      </c>
      <c r="EA123" s="121">
        <f t="shared" si="1320"/>
        <v>45770</v>
      </c>
      <c r="EB123" s="121">
        <f t="shared" si="1320"/>
        <v>45771</v>
      </c>
      <c r="EC123" s="121">
        <f t="shared" si="1320"/>
        <v>45772</v>
      </c>
      <c r="ED123" s="122">
        <f t="shared" si="1320"/>
        <v>45773</v>
      </c>
      <c r="EE123" s="122">
        <f t="shared" si="1320"/>
        <v>45774</v>
      </c>
      <c r="EF123" s="122" t="s">
        <v>579</v>
      </c>
      <c r="EG123" s="121">
        <f>EE123+1</f>
        <v>45775</v>
      </c>
      <c r="EH123" s="121">
        <f t="shared" ref="EH123:EM123" si="1321">EG123+1</f>
        <v>45776</v>
      </c>
      <c r="EI123" s="121">
        <f t="shared" si="1321"/>
        <v>45777</v>
      </c>
      <c r="EJ123" s="204">
        <f t="shared" si="1321"/>
        <v>45778</v>
      </c>
      <c r="EK123" s="204">
        <f t="shared" si="1321"/>
        <v>45779</v>
      </c>
      <c r="EL123" s="122">
        <f t="shared" si="1321"/>
        <v>45780</v>
      </c>
      <c r="EM123" s="122">
        <f t="shared" si="1321"/>
        <v>45781</v>
      </c>
      <c r="EN123" s="122" t="s">
        <v>580</v>
      </c>
      <c r="EO123" s="122" t="s">
        <v>581</v>
      </c>
      <c r="EP123" s="121">
        <f>EM123+1</f>
        <v>45782</v>
      </c>
      <c r="EQ123" s="121">
        <f t="shared" ref="EQ123:EV123" si="1322">EP123+1</f>
        <v>45783</v>
      </c>
      <c r="ER123" s="121">
        <f t="shared" si="1322"/>
        <v>45784</v>
      </c>
      <c r="ES123" s="121">
        <f t="shared" si="1322"/>
        <v>45785</v>
      </c>
      <c r="ET123" s="121">
        <f t="shared" si="1322"/>
        <v>45786</v>
      </c>
      <c r="EU123" s="122">
        <f t="shared" si="1322"/>
        <v>45787</v>
      </c>
      <c r="EV123" s="122">
        <f t="shared" si="1322"/>
        <v>45788</v>
      </c>
      <c r="EW123" s="122" t="s">
        <v>584</v>
      </c>
      <c r="EX123" s="121">
        <f>EV123+1</f>
        <v>45789</v>
      </c>
      <c r="EY123" s="121">
        <f t="shared" ref="EY123:FD123" si="1323">EX123+1</f>
        <v>45790</v>
      </c>
      <c r="EZ123" s="121">
        <f t="shared" si="1323"/>
        <v>45791</v>
      </c>
      <c r="FA123" s="121">
        <f t="shared" si="1323"/>
        <v>45792</v>
      </c>
      <c r="FB123" s="121">
        <f t="shared" si="1323"/>
        <v>45793</v>
      </c>
      <c r="FC123" s="122">
        <f t="shared" si="1323"/>
        <v>45794</v>
      </c>
      <c r="FD123" s="122">
        <f t="shared" si="1323"/>
        <v>45795</v>
      </c>
      <c r="FE123" s="122" t="s">
        <v>585</v>
      </c>
      <c r="FF123" s="121">
        <f>FD123+1</f>
        <v>45796</v>
      </c>
      <c r="FG123" s="121">
        <f t="shared" ref="FG123:FL123" si="1324">FF123+1</f>
        <v>45797</v>
      </c>
      <c r="FH123" s="121">
        <f t="shared" si="1324"/>
        <v>45798</v>
      </c>
      <c r="FI123" s="121">
        <f t="shared" si="1324"/>
        <v>45799</v>
      </c>
      <c r="FJ123" s="121">
        <f t="shared" si="1324"/>
        <v>45800</v>
      </c>
      <c r="FK123" s="122">
        <f t="shared" si="1324"/>
        <v>45801</v>
      </c>
      <c r="FL123" s="122">
        <f t="shared" si="1324"/>
        <v>45802</v>
      </c>
      <c r="FM123" s="122" t="s">
        <v>586</v>
      </c>
      <c r="FN123" s="121">
        <f>FL123+1</f>
        <v>45803</v>
      </c>
      <c r="FO123" s="121">
        <f t="shared" ref="FO123:FT123" si="1325">FN123+1</f>
        <v>45804</v>
      </c>
      <c r="FP123" s="121">
        <f t="shared" si="1325"/>
        <v>45805</v>
      </c>
      <c r="FQ123" s="121">
        <f t="shared" si="1325"/>
        <v>45806</v>
      </c>
      <c r="FR123" s="204">
        <f t="shared" si="1325"/>
        <v>45807</v>
      </c>
      <c r="FS123" s="122">
        <f t="shared" si="1325"/>
        <v>45808</v>
      </c>
      <c r="FT123" s="122">
        <f t="shared" si="1325"/>
        <v>45809</v>
      </c>
      <c r="FU123" s="122" t="s">
        <v>587</v>
      </c>
      <c r="FV123" s="122" t="s">
        <v>588</v>
      </c>
      <c r="FW123" s="121">
        <f>FT123+1</f>
        <v>45810</v>
      </c>
      <c r="FX123" s="121">
        <f t="shared" ref="FX123:GC123" si="1326">FW123+1</f>
        <v>45811</v>
      </c>
      <c r="FY123" s="121">
        <f t="shared" si="1326"/>
        <v>45812</v>
      </c>
      <c r="FZ123" s="121">
        <f t="shared" si="1326"/>
        <v>45813</v>
      </c>
      <c r="GA123" s="121">
        <f t="shared" si="1326"/>
        <v>45814</v>
      </c>
      <c r="GB123" s="122">
        <f t="shared" si="1326"/>
        <v>45815</v>
      </c>
      <c r="GC123" s="122">
        <f t="shared" si="1326"/>
        <v>45816</v>
      </c>
      <c r="GD123" s="122" t="s">
        <v>589</v>
      </c>
      <c r="GE123" s="121">
        <f>GC123+1</f>
        <v>45817</v>
      </c>
      <c r="GF123" s="121">
        <f t="shared" ref="GF123:GK123" si="1327">GE123+1</f>
        <v>45818</v>
      </c>
      <c r="GG123" s="121">
        <f t="shared" si="1327"/>
        <v>45819</v>
      </c>
      <c r="GH123" s="121">
        <f t="shared" si="1327"/>
        <v>45820</v>
      </c>
      <c r="GI123" s="121">
        <f t="shared" si="1327"/>
        <v>45821</v>
      </c>
      <c r="GJ123" s="122">
        <f t="shared" si="1327"/>
        <v>45822</v>
      </c>
      <c r="GK123" s="122">
        <f t="shared" si="1327"/>
        <v>45823</v>
      </c>
      <c r="GL123" s="122" t="s">
        <v>590</v>
      </c>
      <c r="GM123" s="121">
        <f>GK123+1</f>
        <v>45824</v>
      </c>
      <c r="GN123" s="121">
        <f t="shared" ref="GN123:GS123" si="1328">GM123+1</f>
        <v>45825</v>
      </c>
      <c r="GO123" s="121">
        <f t="shared" si="1328"/>
        <v>45826</v>
      </c>
      <c r="GP123" s="121">
        <f t="shared" si="1328"/>
        <v>45827</v>
      </c>
      <c r="GQ123" s="121">
        <f t="shared" si="1328"/>
        <v>45828</v>
      </c>
      <c r="GR123" s="122">
        <f t="shared" si="1328"/>
        <v>45829</v>
      </c>
      <c r="GS123" s="122">
        <f t="shared" si="1328"/>
        <v>45830</v>
      </c>
      <c r="GT123" s="122" t="s">
        <v>591</v>
      </c>
      <c r="GU123" s="121">
        <f>GS123+1</f>
        <v>45831</v>
      </c>
      <c r="GV123" s="121">
        <f t="shared" ref="GV123:HA123" si="1329">GU123+1</f>
        <v>45832</v>
      </c>
      <c r="GW123" s="121">
        <f t="shared" si="1329"/>
        <v>45833</v>
      </c>
      <c r="GX123" s="121">
        <f t="shared" si="1329"/>
        <v>45834</v>
      </c>
      <c r="GY123" s="121">
        <f t="shared" si="1329"/>
        <v>45835</v>
      </c>
      <c r="GZ123" s="122">
        <f t="shared" si="1329"/>
        <v>45836</v>
      </c>
      <c r="HA123" s="122">
        <f t="shared" si="1329"/>
        <v>45837</v>
      </c>
      <c r="HB123" s="122" t="s">
        <v>592</v>
      </c>
      <c r="HC123" s="121">
        <f>HA123+1</f>
        <v>45838</v>
      </c>
      <c r="HD123" s="121">
        <f t="shared" ref="HD123:HI123" si="1330">HC123+1</f>
        <v>45839</v>
      </c>
      <c r="HE123" s="121">
        <f t="shared" si="1330"/>
        <v>45840</v>
      </c>
      <c r="HF123" s="121">
        <f t="shared" si="1330"/>
        <v>45841</v>
      </c>
      <c r="HG123" s="121">
        <f t="shared" si="1330"/>
        <v>45842</v>
      </c>
      <c r="HH123" s="122">
        <f t="shared" si="1330"/>
        <v>45843</v>
      </c>
      <c r="HI123" s="122">
        <f t="shared" si="1330"/>
        <v>45844</v>
      </c>
      <c r="HJ123" s="122" t="s">
        <v>599</v>
      </c>
      <c r="HK123" s="122" t="s">
        <v>593</v>
      </c>
      <c r="HL123" s="262">
        <f>HI123+1</f>
        <v>45845</v>
      </c>
      <c r="HM123" s="121">
        <f t="shared" ref="HM123:HR123" si="1331">HL123+1</f>
        <v>45846</v>
      </c>
      <c r="HN123" s="121">
        <f t="shared" si="1331"/>
        <v>45847</v>
      </c>
      <c r="HO123" s="121">
        <f t="shared" si="1331"/>
        <v>45848</v>
      </c>
      <c r="HP123" s="121">
        <f t="shared" si="1331"/>
        <v>45849</v>
      </c>
      <c r="HQ123" s="122">
        <f t="shared" si="1331"/>
        <v>45850</v>
      </c>
      <c r="HR123" s="122">
        <f t="shared" si="1331"/>
        <v>45851</v>
      </c>
      <c r="HS123" s="122" t="s">
        <v>721</v>
      </c>
      <c r="HT123" s="121">
        <f>HR123+1</f>
        <v>45852</v>
      </c>
      <c r="HU123" s="121">
        <f t="shared" ref="HU123:HZ123" si="1332">HT123+1</f>
        <v>45853</v>
      </c>
      <c r="HV123" s="121">
        <f t="shared" si="1332"/>
        <v>45854</v>
      </c>
      <c r="HW123" s="121">
        <f t="shared" si="1332"/>
        <v>45855</v>
      </c>
      <c r="HX123" s="121">
        <f t="shared" si="1332"/>
        <v>45856</v>
      </c>
      <c r="HY123" s="122">
        <f t="shared" si="1332"/>
        <v>45857</v>
      </c>
      <c r="HZ123" s="122">
        <f t="shared" si="1332"/>
        <v>45858</v>
      </c>
      <c r="IA123" s="122" t="s">
        <v>722</v>
      </c>
      <c r="IB123" s="121">
        <f>HZ123+1</f>
        <v>45859</v>
      </c>
      <c r="IC123" s="121">
        <f t="shared" ref="IC123:IH123" si="1333">IB123+1</f>
        <v>45860</v>
      </c>
      <c r="ID123" s="121">
        <f t="shared" si="1333"/>
        <v>45861</v>
      </c>
      <c r="IE123" s="121">
        <f t="shared" si="1333"/>
        <v>45862</v>
      </c>
      <c r="IF123" s="121">
        <f t="shared" si="1333"/>
        <v>45863</v>
      </c>
      <c r="IG123" s="122">
        <f t="shared" si="1333"/>
        <v>45864</v>
      </c>
      <c r="IH123" s="122">
        <f t="shared" si="1333"/>
        <v>45865</v>
      </c>
      <c r="II123" s="122" t="s">
        <v>723</v>
      </c>
      <c r="IJ123" s="121">
        <f>IH123+1</f>
        <v>45866</v>
      </c>
      <c r="IK123" s="121">
        <f t="shared" ref="IK123:IP123" si="1334">IJ123+1</f>
        <v>45867</v>
      </c>
      <c r="IL123" s="121">
        <f t="shared" si="1334"/>
        <v>45868</v>
      </c>
      <c r="IM123" s="121">
        <f t="shared" si="1334"/>
        <v>45869</v>
      </c>
      <c r="IN123" s="121">
        <f t="shared" si="1334"/>
        <v>45870</v>
      </c>
      <c r="IO123" s="122">
        <f t="shared" si="1334"/>
        <v>45871</v>
      </c>
      <c r="IP123" s="122">
        <f t="shared" si="1334"/>
        <v>45872</v>
      </c>
      <c r="IQ123" s="122" t="s">
        <v>724</v>
      </c>
      <c r="IR123" s="122" t="s">
        <v>725</v>
      </c>
      <c r="IS123" s="121">
        <f>IP123+1</f>
        <v>45873</v>
      </c>
      <c r="IT123" s="121">
        <f t="shared" ref="IT123:IY123" si="1335">IS123+1</f>
        <v>45874</v>
      </c>
      <c r="IU123" s="121">
        <f t="shared" si="1335"/>
        <v>45875</v>
      </c>
      <c r="IV123" s="121">
        <f t="shared" si="1335"/>
        <v>45876</v>
      </c>
      <c r="IW123" s="121">
        <f t="shared" si="1335"/>
        <v>45877</v>
      </c>
      <c r="IX123" s="122">
        <f t="shared" si="1335"/>
        <v>45878</v>
      </c>
      <c r="IY123" s="122">
        <f t="shared" si="1335"/>
        <v>45879</v>
      </c>
      <c r="IZ123" s="122" t="s">
        <v>726</v>
      </c>
      <c r="JA123" s="121">
        <f>IY123+1</f>
        <v>45880</v>
      </c>
      <c r="JB123" s="121">
        <f t="shared" ref="JB123:JG123" si="1336">JA123+1</f>
        <v>45881</v>
      </c>
      <c r="JC123" s="121">
        <f t="shared" si="1336"/>
        <v>45882</v>
      </c>
      <c r="JD123" s="121">
        <f t="shared" si="1336"/>
        <v>45883</v>
      </c>
      <c r="JE123" s="121">
        <f t="shared" si="1336"/>
        <v>45884</v>
      </c>
      <c r="JF123" s="122">
        <f t="shared" si="1336"/>
        <v>45885</v>
      </c>
      <c r="JG123" s="122">
        <f t="shared" si="1336"/>
        <v>45886</v>
      </c>
      <c r="JH123" s="122" t="s">
        <v>727</v>
      </c>
      <c r="JI123" s="121">
        <f>JG123+1</f>
        <v>45887</v>
      </c>
      <c r="JJ123" s="121">
        <f t="shared" ref="JJ123:JO123" si="1337">JI123+1</f>
        <v>45888</v>
      </c>
      <c r="JK123" s="121">
        <f t="shared" si="1337"/>
        <v>45889</v>
      </c>
      <c r="JL123" s="121">
        <f t="shared" si="1337"/>
        <v>45890</v>
      </c>
      <c r="JM123" s="121">
        <f t="shared" si="1337"/>
        <v>45891</v>
      </c>
      <c r="JN123" s="122">
        <f t="shared" si="1337"/>
        <v>45892</v>
      </c>
      <c r="JO123" s="122">
        <f t="shared" si="1337"/>
        <v>45893</v>
      </c>
      <c r="JP123" s="122" t="s">
        <v>728</v>
      </c>
      <c r="JQ123" s="121">
        <f>JO123+1</f>
        <v>45894</v>
      </c>
      <c r="JR123" s="121">
        <f t="shared" ref="JR123:JW123" si="1338">JQ123+1</f>
        <v>45895</v>
      </c>
      <c r="JS123" s="121">
        <f t="shared" si="1338"/>
        <v>45896</v>
      </c>
      <c r="JT123" s="121">
        <f t="shared" si="1338"/>
        <v>45897</v>
      </c>
      <c r="JU123" s="121">
        <f t="shared" si="1338"/>
        <v>45898</v>
      </c>
      <c r="JV123" s="122">
        <f t="shared" si="1338"/>
        <v>45899</v>
      </c>
      <c r="JW123" s="122">
        <f t="shared" si="1338"/>
        <v>45900</v>
      </c>
      <c r="JX123" s="122" t="s">
        <v>729</v>
      </c>
      <c r="JY123" s="122" t="s">
        <v>730</v>
      </c>
      <c r="JZ123" s="121">
        <f>JW123+1</f>
        <v>45901</v>
      </c>
      <c r="KA123" s="121">
        <f t="shared" ref="KA123:KF123" si="1339">JZ123+1</f>
        <v>45902</v>
      </c>
      <c r="KB123" s="121">
        <f t="shared" si="1339"/>
        <v>45903</v>
      </c>
      <c r="KC123" s="121">
        <f t="shared" si="1339"/>
        <v>45904</v>
      </c>
      <c r="KD123" s="121">
        <f t="shared" si="1339"/>
        <v>45905</v>
      </c>
      <c r="KE123" s="122">
        <f t="shared" si="1339"/>
        <v>45906</v>
      </c>
      <c r="KF123" s="122">
        <f t="shared" si="1339"/>
        <v>45907</v>
      </c>
      <c r="KG123" s="122" t="s">
        <v>731</v>
      </c>
      <c r="KH123" s="121">
        <f>KF123+1</f>
        <v>45908</v>
      </c>
      <c r="KI123" s="121">
        <f t="shared" ref="KI123:KN123" si="1340">KH123+1</f>
        <v>45909</v>
      </c>
      <c r="KJ123" s="121">
        <f t="shared" si="1340"/>
        <v>45910</v>
      </c>
      <c r="KK123" s="121">
        <f t="shared" si="1340"/>
        <v>45911</v>
      </c>
      <c r="KL123" s="121">
        <f t="shared" si="1340"/>
        <v>45912</v>
      </c>
      <c r="KM123" s="122">
        <f t="shared" si="1340"/>
        <v>45913</v>
      </c>
      <c r="KN123" s="122">
        <f t="shared" si="1340"/>
        <v>45914</v>
      </c>
      <c r="KO123" s="122" t="s">
        <v>732</v>
      </c>
      <c r="KP123" s="121">
        <f>KN123+1</f>
        <v>45915</v>
      </c>
      <c r="KQ123" s="121">
        <f t="shared" ref="KQ123:KV123" si="1341">KP123+1</f>
        <v>45916</v>
      </c>
      <c r="KR123" s="121">
        <f t="shared" si="1341"/>
        <v>45917</v>
      </c>
      <c r="KS123" s="121">
        <f t="shared" si="1341"/>
        <v>45918</v>
      </c>
      <c r="KT123" s="121">
        <f t="shared" si="1341"/>
        <v>45919</v>
      </c>
      <c r="KU123" s="122">
        <f t="shared" si="1341"/>
        <v>45920</v>
      </c>
      <c r="KV123" s="122">
        <f t="shared" si="1341"/>
        <v>45921</v>
      </c>
      <c r="KW123" s="122" t="s">
        <v>733</v>
      </c>
      <c r="KX123" s="121">
        <f>KV123+1</f>
        <v>45922</v>
      </c>
      <c r="KY123" s="121">
        <f t="shared" ref="KY123:LD123" si="1342">KX123+1</f>
        <v>45923</v>
      </c>
      <c r="KZ123" s="121">
        <f t="shared" si="1342"/>
        <v>45924</v>
      </c>
      <c r="LA123" s="121">
        <f t="shared" si="1342"/>
        <v>45925</v>
      </c>
      <c r="LB123" s="121">
        <f t="shared" si="1342"/>
        <v>45926</v>
      </c>
      <c r="LC123" s="122">
        <f t="shared" si="1342"/>
        <v>45927</v>
      </c>
      <c r="LD123" s="122">
        <f t="shared" si="1342"/>
        <v>45928</v>
      </c>
      <c r="LE123" s="122" t="s">
        <v>734</v>
      </c>
      <c r="LF123" s="204">
        <f>LD123+1</f>
        <v>45929</v>
      </c>
      <c r="LG123" s="121">
        <f t="shared" ref="LG123:LL123" si="1343">LF123+1</f>
        <v>45930</v>
      </c>
      <c r="LH123" s="121">
        <f t="shared" si="1343"/>
        <v>45931</v>
      </c>
      <c r="LI123" s="121">
        <f t="shared" si="1343"/>
        <v>45932</v>
      </c>
      <c r="LJ123" s="121">
        <f t="shared" si="1343"/>
        <v>45933</v>
      </c>
      <c r="LK123" s="122">
        <f t="shared" si="1343"/>
        <v>45934</v>
      </c>
      <c r="LL123" s="122">
        <f t="shared" si="1343"/>
        <v>45935</v>
      </c>
      <c r="LM123" s="122" t="s">
        <v>735</v>
      </c>
      <c r="LN123" s="122" t="s">
        <v>736</v>
      </c>
      <c r="LO123" s="204">
        <f>LL123+1</f>
        <v>45936</v>
      </c>
      <c r="LP123" s="121">
        <f t="shared" ref="LP123:LU123" si="1344">LO123+1</f>
        <v>45937</v>
      </c>
      <c r="LQ123" s="121">
        <f t="shared" si="1344"/>
        <v>45938</v>
      </c>
      <c r="LR123" s="121">
        <f t="shared" si="1344"/>
        <v>45939</v>
      </c>
      <c r="LS123" s="204">
        <f t="shared" si="1344"/>
        <v>45940</v>
      </c>
      <c r="LT123" s="122">
        <f t="shared" si="1344"/>
        <v>45941</v>
      </c>
      <c r="LU123" s="122">
        <f t="shared" si="1344"/>
        <v>45942</v>
      </c>
      <c r="LV123" s="122" t="s">
        <v>744</v>
      </c>
      <c r="LW123" s="121">
        <f>LU123+1</f>
        <v>45943</v>
      </c>
      <c r="LX123" s="121">
        <f t="shared" ref="LX123:MC123" si="1345">LW123+1</f>
        <v>45944</v>
      </c>
      <c r="LY123" s="121">
        <f t="shared" si="1345"/>
        <v>45945</v>
      </c>
      <c r="LZ123" s="121">
        <f t="shared" si="1345"/>
        <v>45946</v>
      </c>
      <c r="MA123" s="121">
        <f t="shared" si="1345"/>
        <v>45947</v>
      </c>
      <c r="MB123" s="122">
        <f t="shared" si="1345"/>
        <v>45948</v>
      </c>
      <c r="MC123" s="122">
        <f t="shared" si="1345"/>
        <v>45949</v>
      </c>
      <c r="MD123" s="122" t="s">
        <v>745</v>
      </c>
      <c r="ME123" s="121">
        <f>MC123+1</f>
        <v>45950</v>
      </c>
      <c r="MF123" s="121">
        <f t="shared" ref="MF123:MK123" si="1346">ME123+1</f>
        <v>45951</v>
      </c>
      <c r="MG123" s="121">
        <f t="shared" si="1346"/>
        <v>45952</v>
      </c>
      <c r="MH123" s="121">
        <f t="shared" si="1346"/>
        <v>45953</v>
      </c>
      <c r="MI123" s="204">
        <f t="shared" si="1346"/>
        <v>45954</v>
      </c>
      <c r="MJ123" s="122">
        <f t="shared" si="1346"/>
        <v>45955</v>
      </c>
      <c r="MK123" s="122">
        <f t="shared" si="1346"/>
        <v>45956</v>
      </c>
      <c r="ML123" s="122" t="s">
        <v>746</v>
      </c>
      <c r="MM123" s="121">
        <f>MK123+1</f>
        <v>45957</v>
      </c>
      <c r="MN123" s="121">
        <f t="shared" ref="MN123:MS123" si="1347">MM123+1</f>
        <v>45958</v>
      </c>
      <c r="MO123" s="121">
        <f t="shared" si="1347"/>
        <v>45959</v>
      </c>
      <c r="MP123" s="121">
        <f t="shared" si="1347"/>
        <v>45960</v>
      </c>
      <c r="MQ123" s="121">
        <f t="shared" si="1347"/>
        <v>45961</v>
      </c>
      <c r="MR123" s="122">
        <f t="shared" si="1347"/>
        <v>45962</v>
      </c>
      <c r="MS123" s="122">
        <f t="shared" si="1347"/>
        <v>45963</v>
      </c>
      <c r="MT123" s="122" t="s">
        <v>747</v>
      </c>
      <c r="MU123" s="122" t="s">
        <v>512</v>
      </c>
      <c r="MV123" s="121">
        <f>MS123+1</f>
        <v>45964</v>
      </c>
      <c r="MW123" s="121">
        <f t="shared" ref="MW123:NB123" si="1348">MV123+1</f>
        <v>45965</v>
      </c>
      <c r="MX123" s="121">
        <f t="shared" si="1348"/>
        <v>45966</v>
      </c>
      <c r="MY123" s="121">
        <f t="shared" si="1348"/>
        <v>45967</v>
      </c>
      <c r="MZ123" s="121">
        <f t="shared" si="1348"/>
        <v>45968</v>
      </c>
      <c r="NA123" s="122">
        <f t="shared" si="1348"/>
        <v>45969</v>
      </c>
      <c r="NB123" s="122">
        <f t="shared" si="1348"/>
        <v>45970</v>
      </c>
      <c r="NC123" s="122" t="s">
        <v>748</v>
      </c>
      <c r="ND123" s="121">
        <f>NB123+1</f>
        <v>45971</v>
      </c>
      <c r="NE123" s="121">
        <f t="shared" ref="NE123:NJ123" si="1349">ND123+1</f>
        <v>45972</v>
      </c>
      <c r="NF123" s="121">
        <f t="shared" si="1349"/>
        <v>45973</v>
      </c>
      <c r="NG123" s="121">
        <f t="shared" si="1349"/>
        <v>45974</v>
      </c>
      <c r="NH123" s="121">
        <f t="shared" si="1349"/>
        <v>45975</v>
      </c>
      <c r="NI123" s="122">
        <f t="shared" si="1349"/>
        <v>45976</v>
      </c>
      <c r="NJ123" s="122">
        <f t="shared" si="1349"/>
        <v>45977</v>
      </c>
      <c r="NK123" s="122" t="s">
        <v>749</v>
      </c>
      <c r="NL123" s="121">
        <f>NJ123+1</f>
        <v>45978</v>
      </c>
      <c r="NM123" s="121">
        <f t="shared" ref="NM123:NR123" si="1350">NL123+1</f>
        <v>45979</v>
      </c>
      <c r="NN123" s="121">
        <f t="shared" si="1350"/>
        <v>45980</v>
      </c>
      <c r="NO123" s="121">
        <f t="shared" si="1350"/>
        <v>45981</v>
      </c>
      <c r="NP123" s="121">
        <f t="shared" si="1350"/>
        <v>45982</v>
      </c>
      <c r="NQ123" s="122">
        <f t="shared" si="1350"/>
        <v>45983</v>
      </c>
      <c r="NR123" s="122">
        <f t="shared" si="1350"/>
        <v>45984</v>
      </c>
      <c r="NS123" s="122" t="s">
        <v>750</v>
      </c>
      <c r="NT123" s="121">
        <f>NR123+1</f>
        <v>45985</v>
      </c>
      <c r="NU123" s="121">
        <f t="shared" ref="NU123:NZ123" si="1351">NT123+1</f>
        <v>45986</v>
      </c>
      <c r="NV123" s="121">
        <f t="shared" si="1351"/>
        <v>45987</v>
      </c>
      <c r="NW123" s="121">
        <f t="shared" si="1351"/>
        <v>45988</v>
      </c>
      <c r="NX123" s="121">
        <f t="shared" si="1351"/>
        <v>45989</v>
      </c>
      <c r="NY123" s="122">
        <f t="shared" si="1351"/>
        <v>45990</v>
      </c>
      <c r="NZ123" s="122">
        <f t="shared" si="1351"/>
        <v>45991</v>
      </c>
      <c r="OA123" s="122" t="s">
        <v>751</v>
      </c>
      <c r="OB123" s="122" t="s">
        <v>514</v>
      </c>
      <c r="OC123" s="121">
        <f>NZ123+1</f>
        <v>45992</v>
      </c>
      <c r="OD123" s="121">
        <f t="shared" ref="OD123:OI123" si="1352">OC123+1</f>
        <v>45993</v>
      </c>
      <c r="OE123" s="121">
        <f t="shared" si="1352"/>
        <v>45994</v>
      </c>
      <c r="OF123" s="121">
        <f t="shared" si="1352"/>
        <v>45995</v>
      </c>
      <c r="OG123" s="121">
        <f t="shared" si="1352"/>
        <v>45996</v>
      </c>
      <c r="OH123" s="122">
        <f t="shared" si="1352"/>
        <v>45997</v>
      </c>
      <c r="OI123" s="122">
        <f t="shared" si="1352"/>
        <v>45998</v>
      </c>
      <c r="OJ123" s="122" t="s">
        <v>752</v>
      </c>
      <c r="OK123" s="121">
        <f>OI123+1</f>
        <v>45999</v>
      </c>
      <c r="OL123" s="121">
        <f t="shared" ref="OL123:OQ123" si="1353">OK123+1</f>
        <v>46000</v>
      </c>
      <c r="OM123" s="121">
        <f t="shared" si="1353"/>
        <v>46001</v>
      </c>
      <c r="ON123" s="121">
        <f t="shared" si="1353"/>
        <v>46002</v>
      </c>
      <c r="OO123" s="121">
        <f t="shared" si="1353"/>
        <v>46003</v>
      </c>
      <c r="OP123" s="122">
        <f t="shared" si="1353"/>
        <v>46004</v>
      </c>
      <c r="OQ123" s="122">
        <f t="shared" si="1353"/>
        <v>46005</v>
      </c>
      <c r="OR123" s="122" t="s">
        <v>753</v>
      </c>
      <c r="OS123" s="121">
        <f>OQ123+1</f>
        <v>46006</v>
      </c>
      <c r="OT123" s="121">
        <f t="shared" ref="OT123:OY123" si="1354">OS123+1</f>
        <v>46007</v>
      </c>
      <c r="OU123" s="121">
        <f t="shared" si="1354"/>
        <v>46008</v>
      </c>
      <c r="OV123" s="121">
        <f t="shared" si="1354"/>
        <v>46009</v>
      </c>
      <c r="OW123" s="121">
        <f t="shared" si="1354"/>
        <v>46010</v>
      </c>
      <c r="OX123" s="122">
        <f t="shared" si="1354"/>
        <v>46011</v>
      </c>
      <c r="OY123" s="122">
        <f t="shared" si="1354"/>
        <v>46012</v>
      </c>
      <c r="OZ123" s="122" t="s">
        <v>754</v>
      </c>
      <c r="PA123" s="121">
        <f>OY123+1</f>
        <v>46013</v>
      </c>
      <c r="PB123" s="121">
        <f t="shared" ref="PB123:PG123" si="1355">PA123+1</f>
        <v>46014</v>
      </c>
      <c r="PC123" s="121">
        <f t="shared" si="1355"/>
        <v>46015</v>
      </c>
      <c r="PD123" s="204">
        <f t="shared" si="1355"/>
        <v>46016</v>
      </c>
      <c r="PE123" s="256">
        <f t="shared" si="1355"/>
        <v>46017</v>
      </c>
      <c r="PF123" s="122">
        <f t="shared" si="1355"/>
        <v>46018</v>
      </c>
      <c r="PG123" s="122">
        <f t="shared" si="1355"/>
        <v>46019</v>
      </c>
      <c r="PH123" s="122" t="s">
        <v>755</v>
      </c>
      <c r="PI123" s="121">
        <f>PG123+1</f>
        <v>46020</v>
      </c>
      <c r="PJ123" s="121">
        <f t="shared" ref="PJ123:PO123" si="1356">PI123+1</f>
        <v>46021</v>
      </c>
      <c r="PK123" s="121">
        <f t="shared" si="1356"/>
        <v>46022</v>
      </c>
      <c r="PL123" s="204">
        <f t="shared" si="1356"/>
        <v>46023</v>
      </c>
      <c r="PM123" s="256">
        <f t="shared" si="1356"/>
        <v>46024</v>
      </c>
      <c r="PN123" s="122">
        <f t="shared" si="1356"/>
        <v>46025</v>
      </c>
      <c r="PO123" s="122">
        <f t="shared" si="1356"/>
        <v>46026</v>
      </c>
      <c r="PP123" s="122" t="s">
        <v>756</v>
      </c>
      <c r="PQ123" s="122" t="s">
        <v>757</v>
      </c>
      <c r="PR123" s="121">
        <v>46027</v>
      </c>
      <c r="PS123" s="121">
        <f>PR123+1</f>
        <v>46028</v>
      </c>
      <c r="PT123" s="121">
        <f>PS123+1</f>
        <v>46029</v>
      </c>
      <c r="PU123" s="121">
        <f t="shared" ref="PU123" si="1357">PT123+1</f>
        <v>46030</v>
      </c>
      <c r="PV123" s="121">
        <f>PU123+1</f>
        <v>46031</v>
      </c>
      <c r="PW123" s="204">
        <f t="shared" ref="PW123" si="1358">PV123+1</f>
        <v>46032</v>
      </c>
      <c r="PX123" s="204">
        <f>PW123+1</f>
        <v>46033</v>
      </c>
      <c r="PY123" s="122" t="s">
        <v>615</v>
      </c>
      <c r="PZ123" s="121">
        <f>PX123+1</f>
        <v>46034</v>
      </c>
      <c r="QA123" s="121">
        <f>PZ123+1</f>
        <v>46035</v>
      </c>
      <c r="QB123" s="121">
        <f>QA123+1</f>
        <v>46036</v>
      </c>
      <c r="QC123" s="121">
        <f t="shared" ref="QC123" si="1359">QB123+1</f>
        <v>46037</v>
      </c>
      <c r="QD123" s="121">
        <f>QC123+1</f>
        <v>46038</v>
      </c>
      <c r="QE123" s="204">
        <f t="shared" ref="QE123" si="1360">QD123+1</f>
        <v>46039</v>
      </c>
      <c r="QF123" s="204">
        <f>QE123+1</f>
        <v>46040</v>
      </c>
      <c r="QG123" s="122" t="s">
        <v>616</v>
      </c>
      <c r="QH123" s="121">
        <f>QF123+1</f>
        <v>46041</v>
      </c>
      <c r="QI123" s="121">
        <f>QH123+1</f>
        <v>46042</v>
      </c>
      <c r="QJ123" s="254">
        <f>QI123+1</f>
        <v>46043</v>
      </c>
      <c r="QK123" s="121">
        <f t="shared" ref="QK123" si="1361">QJ123+1</f>
        <v>46044</v>
      </c>
      <c r="QL123" s="121">
        <f>QK123+1</f>
        <v>46045</v>
      </c>
      <c r="QM123" s="204">
        <f t="shared" ref="QM123" si="1362">QL123+1</f>
        <v>46046</v>
      </c>
      <c r="QN123" s="204">
        <f>QM123+1</f>
        <v>46047</v>
      </c>
      <c r="QO123" s="122" t="s">
        <v>78</v>
      </c>
      <c r="QP123" s="121">
        <f>QN123+1</f>
        <v>46048</v>
      </c>
      <c r="QQ123" s="121">
        <f>QP123+1</f>
        <v>46049</v>
      </c>
      <c r="QR123" s="121">
        <f>QQ123+1</f>
        <v>46050</v>
      </c>
      <c r="QS123" s="121">
        <f t="shared" ref="QS123" si="1363">QR123+1</f>
        <v>46051</v>
      </c>
      <c r="QT123" s="121">
        <f>QS123+1</f>
        <v>46052</v>
      </c>
      <c r="QU123" s="204">
        <f t="shared" ref="QU123" si="1364">QT123+1</f>
        <v>46053</v>
      </c>
      <c r="QV123" s="204">
        <f>QU123+1</f>
        <v>46054</v>
      </c>
      <c r="QW123" s="122" t="s">
        <v>53</v>
      </c>
      <c r="QX123" s="122" t="s">
        <v>55</v>
      </c>
      <c r="QY123" s="121">
        <f>QV123+1</f>
        <v>46055</v>
      </c>
      <c r="QZ123" s="121">
        <f>QY123+1</f>
        <v>46056</v>
      </c>
      <c r="RA123" s="121">
        <f>QZ123+1</f>
        <v>46057</v>
      </c>
      <c r="RB123" s="121">
        <f t="shared" ref="RB123" si="1365">RA123+1</f>
        <v>46058</v>
      </c>
      <c r="RC123" s="121">
        <f>RB123+1</f>
        <v>46059</v>
      </c>
      <c r="RD123" s="204">
        <f t="shared" ref="RD123" si="1366">RC123+1</f>
        <v>46060</v>
      </c>
      <c r="RE123" s="204">
        <f>RD123+1</f>
        <v>46061</v>
      </c>
      <c r="RF123" s="122" t="s">
        <v>54</v>
      </c>
      <c r="RG123" s="121">
        <f>RE123+1</f>
        <v>46062</v>
      </c>
      <c r="RH123" s="121">
        <f>RG123+1</f>
        <v>46063</v>
      </c>
      <c r="RI123" s="121">
        <f>RH123+1</f>
        <v>46064</v>
      </c>
      <c r="RJ123" s="121">
        <f t="shared" ref="RJ123" si="1367">RI123+1</f>
        <v>46065</v>
      </c>
      <c r="RK123" s="121">
        <f>RJ123+1</f>
        <v>46066</v>
      </c>
      <c r="RL123" s="204">
        <f t="shared" ref="RL123" si="1368">RK123+1</f>
        <v>46067</v>
      </c>
      <c r="RM123" s="204">
        <f>RL123+1</f>
        <v>46068</v>
      </c>
      <c r="RN123" s="122" t="s">
        <v>81</v>
      </c>
      <c r="RO123" s="204">
        <f>RM123+1</f>
        <v>46069</v>
      </c>
      <c r="RP123" s="204">
        <f>RO123+1</f>
        <v>46070</v>
      </c>
      <c r="RQ123" s="204">
        <f>RP123+1</f>
        <v>46071</v>
      </c>
      <c r="RR123" s="204">
        <f t="shared" ref="RR123" si="1369">RQ123+1</f>
        <v>46072</v>
      </c>
      <c r="RS123" s="204">
        <f>RR123+1</f>
        <v>46073</v>
      </c>
      <c r="RT123" s="204">
        <f t="shared" ref="RT123" si="1370">RS123+1</f>
        <v>46074</v>
      </c>
      <c r="RU123" s="204">
        <f>RT123+1</f>
        <v>46075</v>
      </c>
      <c r="RV123" s="122" t="s">
        <v>82</v>
      </c>
      <c r="RW123" s="121">
        <f>RU123+1</f>
        <v>46076</v>
      </c>
      <c r="RX123" s="121">
        <f>RW123+1</f>
        <v>46077</v>
      </c>
      <c r="RY123" s="121">
        <f>RX123+1</f>
        <v>46078</v>
      </c>
      <c r="RZ123" s="121">
        <f t="shared" ref="RZ123" si="1371">RY123+1</f>
        <v>46079</v>
      </c>
      <c r="SA123" s="204">
        <f>RZ123+1</f>
        <v>46080</v>
      </c>
      <c r="SB123" s="204">
        <f t="shared" ref="SB123" si="1372">SA123+1</f>
        <v>46081</v>
      </c>
      <c r="SC123" s="204">
        <f>SB123+1</f>
        <v>46082</v>
      </c>
      <c r="SD123" s="122" t="s">
        <v>83</v>
      </c>
      <c r="SE123" s="122" t="s">
        <v>56</v>
      </c>
      <c r="SF123" s="121">
        <f>SC123+1</f>
        <v>46083</v>
      </c>
      <c r="SG123" s="121">
        <f>SF123+1</f>
        <v>46084</v>
      </c>
      <c r="SH123" s="121">
        <f>SG123+1</f>
        <v>46085</v>
      </c>
      <c r="SI123" s="121">
        <f t="shared" ref="SI123" si="1373">SH123+1</f>
        <v>46086</v>
      </c>
      <c r="SJ123" s="121">
        <f>SI123+1</f>
        <v>46087</v>
      </c>
      <c r="SK123" s="204">
        <f t="shared" ref="SK123" si="1374">SJ123+1</f>
        <v>46088</v>
      </c>
      <c r="SL123" s="204">
        <f>SK123+1</f>
        <v>46089</v>
      </c>
      <c r="SM123" s="122" t="s">
        <v>84</v>
      </c>
      <c r="SN123" s="121">
        <f>SL123+1</f>
        <v>46090</v>
      </c>
      <c r="SO123" s="121">
        <f>SN123+1</f>
        <v>46091</v>
      </c>
      <c r="SP123" s="121">
        <f>SO123+1</f>
        <v>46092</v>
      </c>
      <c r="SQ123" s="121">
        <f t="shared" ref="SQ123" si="1375">SP123+1</f>
        <v>46093</v>
      </c>
      <c r="SR123" s="121">
        <f>SQ123+1</f>
        <v>46094</v>
      </c>
      <c r="SS123" s="204">
        <f t="shared" ref="SS123" si="1376">SR123+1</f>
        <v>46095</v>
      </c>
      <c r="ST123" s="204">
        <f>SS123+1</f>
        <v>46096</v>
      </c>
      <c r="SU123" s="122" t="s">
        <v>576</v>
      </c>
      <c r="SV123" s="121">
        <f>ST123+1</f>
        <v>46097</v>
      </c>
      <c r="SW123" s="121">
        <f>SV123+1</f>
        <v>46098</v>
      </c>
      <c r="SX123" s="121">
        <f>SW123+1</f>
        <v>46099</v>
      </c>
      <c r="SY123" s="121">
        <f t="shared" ref="SY123" si="1377">SX123+1</f>
        <v>46100</v>
      </c>
      <c r="SZ123" s="121">
        <f>SY123+1</f>
        <v>46101</v>
      </c>
      <c r="TA123" s="204">
        <f t="shared" ref="TA123" si="1378">SZ123+1</f>
        <v>46102</v>
      </c>
      <c r="TB123" s="204">
        <f>TA123+1</f>
        <v>46103</v>
      </c>
      <c r="TC123" s="122" t="s">
        <v>575</v>
      </c>
      <c r="TD123" s="121">
        <f>TB123+1</f>
        <v>46104</v>
      </c>
      <c r="TE123" s="121">
        <f>TD123+1</f>
        <v>46105</v>
      </c>
      <c r="TF123" s="121">
        <f>TE123+1</f>
        <v>46106</v>
      </c>
      <c r="TG123" s="121">
        <f t="shared" ref="TG123" si="1379">TF123+1</f>
        <v>46107</v>
      </c>
      <c r="TH123" s="121">
        <f>TG123+1</f>
        <v>46108</v>
      </c>
      <c r="TI123" s="204">
        <f t="shared" ref="TI123" si="1380">TH123+1</f>
        <v>46109</v>
      </c>
      <c r="TJ123" s="204">
        <f>TI123+1</f>
        <v>46110</v>
      </c>
      <c r="TK123" s="122" t="s">
        <v>574</v>
      </c>
      <c r="TL123" s="121">
        <f>TJ123+1</f>
        <v>46111</v>
      </c>
      <c r="TM123" s="121">
        <f>TL123+1</f>
        <v>46112</v>
      </c>
      <c r="TN123" s="121">
        <f>TM123+1</f>
        <v>46113</v>
      </c>
      <c r="TO123" s="121">
        <f t="shared" ref="TO123" si="1381">TN123+1</f>
        <v>46114</v>
      </c>
      <c r="TP123" s="204">
        <f>TO123+1</f>
        <v>46115</v>
      </c>
      <c r="TQ123" s="204">
        <f t="shared" ref="TQ123" si="1382">TP123+1</f>
        <v>46116</v>
      </c>
      <c r="TR123" s="204">
        <f>TQ123+1</f>
        <v>46117</v>
      </c>
      <c r="TS123" s="122" t="s">
        <v>573</v>
      </c>
      <c r="TT123" s="122" t="s">
        <v>85</v>
      </c>
      <c r="TU123" s="204">
        <v>46118</v>
      </c>
      <c r="TV123" s="121">
        <f>TU123+1</f>
        <v>46119</v>
      </c>
      <c r="TW123" s="121">
        <f>TV123+1</f>
        <v>46120</v>
      </c>
      <c r="TX123" s="121">
        <f t="shared" ref="TX123" si="1383">TW123+1</f>
        <v>46121</v>
      </c>
      <c r="TY123" s="121">
        <f>TX123+1</f>
        <v>46122</v>
      </c>
      <c r="TZ123" s="204">
        <f t="shared" ref="TZ123" si="1384">TY123+1</f>
        <v>46123</v>
      </c>
      <c r="UA123" s="204">
        <f>TZ123+1</f>
        <v>46124</v>
      </c>
      <c r="UB123" s="122" t="s">
        <v>577</v>
      </c>
      <c r="UC123" s="121">
        <f>UA123+1</f>
        <v>46125</v>
      </c>
      <c r="UD123" s="121">
        <f>UC123+1</f>
        <v>46126</v>
      </c>
      <c r="UE123" s="121">
        <f>UD123+1</f>
        <v>46127</v>
      </c>
      <c r="UF123" s="121">
        <f t="shared" ref="UF123" si="1385">UE123+1</f>
        <v>46128</v>
      </c>
      <c r="UG123" s="121">
        <f>UF123+1</f>
        <v>46129</v>
      </c>
      <c r="UH123" s="204">
        <f t="shared" ref="UH123" si="1386">UG123+1</f>
        <v>46130</v>
      </c>
      <c r="UI123" s="204">
        <f>UH123+1</f>
        <v>46131</v>
      </c>
      <c r="UJ123" s="122" t="s">
        <v>578</v>
      </c>
      <c r="UK123" s="121">
        <f>UI123+1</f>
        <v>46132</v>
      </c>
      <c r="UL123" s="121">
        <f>UK123+1</f>
        <v>46133</v>
      </c>
      <c r="UM123" s="121">
        <f>UL123+1</f>
        <v>46134</v>
      </c>
      <c r="UN123" s="121">
        <f t="shared" ref="UN123" si="1387">UM123+1</f>
        <v>46135</v>
      </c>
      <c r="UO123" s="121">
        <f>UN123+1</f>
        <v>46136</v>
      </c>
      <c r="UP123" s="204">
        <f t="shared" ref="UP123" si="1388">UO123+1</f>
        <v>46137</v>
      </c>
      <c r="UQ123" s="204">
        <f>UP123+1</f>
        <v>46138</v>
      </c>
      <c r="UR123" s="122" t="s">
        <v>579</v>
      </c>
      <c r="US123" s="121">
        <f>UQ123+1</f>
        <v>46139</v>
      </c>
      <c r="UT123" s="121">
        <f>US123+1</f>
        <v>46140</v>
      </c>
      <c r="UU123" s="121">
        <f>UT123+1</f>
        <v>46141</v>
      </c>
      <c r="UV123" s="121">
        <f t="shared" ref="UV123" si="1389">UU123+1</f>
        <v>46142</v>
      </c>
      <c r="UW123" s="204">
        <f>UV123+1</f>
        <v>46143</v>
      </c>
      <c r="UX123" s="204">
        <f t="shared" ref="UX123" si="1390">UW123+1</f>
        <v>46144</v>
      </c>
      <c r="UY123" s="204">
        <f>UX123+1</f>
        <v>46145</v>
      </c>
      <c r="UZ123" s="122" t="s">
        <v>580</v>
      </c>
      <c r="VA123" s="122" t="s">
        <v>581</v>
      </c>
      <c r="VB123" s="121">
        <f>UY123+1</f>
        <v>46146</v>
      </c>
      <c r="VC123" s="121">
        <f>VB123+1</f>
        <v>46147</v>
      </c>
      <c r="VD123" s="121">
        <f>VC123+1</f>
        <v>46148</v>
      </c>
      <c r="VE123" s="121">
        <f t="shared" ref="VE123" si="1391">VD123+1</f>
        <v>46149</v>
      </c>
      <c r="VF123" s="121">
        <f>VE123+1</f>
        <v>46150</v>
      </c>
      <c r="VG123" s="204">
        <f t="shared" ref="VG123" si="1392">VF123+1</f>
        <v>46151</v>
      </c>
      <c r="VH123" s="204">
        <f>VG123+1</f>
        <v>46152</v>
      </c>
      <c r="VI123" s="122" t="s">
        <v>584</v>
      </c>
      <c r="VJ123" s="121">
        <f>VH123+1</f>
        <v>46153</v>
      </c>
      <c r="VK123" s="121">
        <f>VJ123+1</f>
        <v>46154</v>
      </c>
      <c r="VL123" s="121">
        <f>VK123+1</f>
        <v>46155</v>
      </c>
      <c r="VM123" s="121">
        <f t="shared" ref="VM123" si="1393">VL123+1</f>
        <v>46156</v>
      </c>
      <c r="VN123" s="121">
        <f>VM123+1</f>
        <v>46157</v>
      </c>
      <c r="VO123" s="204">
        <f t="shared" ref="VO123" si="1394">VN123+1</f>
        <v>46158</v>
      </c>
      <c r="VP123" s="204">
        <f>VO123+1</f>
        <v>46159</v>
      </c>
      <c r="VQ123" s="122" t="s">
        <v>585</v>
      </c>
      <c r="VR123" s="121">
        <f>VP123+1</f>
        <v>46160</v>
      </c>
      <c r="VS123" s="121">
        <f>VR123+1</f>
        <v>46161</v>
      </c>
      <c r="VT123" s="121">
        <f>VS123+1</f>
        <v>46162</v>
      </c>
      <c r="VU123" s="121">
        <f t="shared" ref="VU123" si="1395">VT123+1</f>
        <v>46163</v>
      </c>
      <c r="VV123" s="121">
        <f>VU123+1</f>
        <v>46164</v>
      </c>
      <c r="VW123" s="204">
        <f t="shared" ref="VW123" si="1396">VV123+1</f>
        <v>46165</v>
      </c>
      <c r="VX123" s="204">
        <f>VW123+1</f>
        <v>46166</v>
      </c>
      <c r="VY123" s="122" t="s">
        <v>586</v>
      </c>
      <c r="VZ123" s="121">
        <f>VX123+1</f>
        <v>46167</v>
      </c>
      <c r="WA123" s="121">
        <f>VZ123+1</f>
        <v>46168</v>
      </c>
      <c r="WB123" s="121">
        <f>WA123+1</f>
        <v>46169</v>
      </c>
      <c r="WC123" s="121">
        <f t="shared" ref="WC123" si="1397">WB123+1</f>
        <v>46170</v>
      </c>
      <c r="WD123" s="121">
        <f>WC123+1</f>
        <v>46171</v>
      </c>
      <c r="WE123" s="204">
        <f t="shared" ref="WE123" si="1398">WD123+1</f>
        <v>46172</v>
      </c>
      <c r="WF123" s="204">
        <f>WE123+1</f>
        <v>46173</v>
      </c>
      <c r="WG123" s="122" t="s">
        <v>587</v>
      </c>
      <c r="WH123" s="122" t="s">
        <v>588</v>
      </c>
      <c r="WI123" s="121">
        <f>WF123+1</f>
        <v>46174</v>
      </c>
      <c r="WJ123" s="121">
        <f>WI123+1</f>
        <v>46175</v>
      </c>
      <c r="WK123" s="121">
        <f>WJ123+1</f>
        <v>46176</v>
      </c>
      <c r="WL123" s="121">
        <f t="shared" ref="WL123" si="1399">WK123+1</f>
        <v>46177</v>
      </c>
      <c r="WM123" s="121">
        <f>WL123+1</f>
        <v>46178</v>
      </c>
      <c r="WN123" s="204">
        <f t="shared" ref="WN123" si="1400">WM123+1</f>
        <v>46179</v>
      </c>
      <c r="WO123" s="204">
        <f>WN123+1</f>
        <v>46180</v>
      </c>
      <c r="WP123" s="122" t="s">
        <v>589</v>
      </c>
      <c r="WQ123" s="121">
        <f>WO123+1</f>
        <v>46181</v>
      </c>
      <c r="WR123" s="121">
        <f>WQ123+1</f>
        <v>46182</v>
      </c>
      <c r="WS123" s="121">
        <f>WR123+1</f>
        <v>46183</v>
      </c>
      <c r="WT123" s="121">
        <f t="shared" ref="WT123" si="1401">WS123+1</f>
        <v>46184</v>
      </c>
      <c r="WU123" s="121">
        <f>WT123+1</f>
        <v>46185</v>
      </c>
      <c r="WV123" s="204">
        <f t="shared" ref="WV123" si="1402">WU123+1</f>
        <v>46186</v>
      </c>
      <c r="WW123" s="204">
        <f>WV123+1</f>
        <v>46187</v>
      </c>
      <c r="WX123" s="122" t="s">
        <v>590</v>
      </c>
      <c r="WY123" s="121">
        <f>WW123+1</f>
        <v>46188</v>
      </c>
      <c r="WZ123" s="121">
        <f>WY123+1</f>
        <v>46189</v>
      </c>
      <c r="XA123" s="121">
        <f>WZ123+1</f>
        <v>46190</v>
      </c>
      <c r="XB123" s="121">
        <f t="shared" ref="XB123" si="1403">XA123+1</f>
        <v>46191</v>
      </c>
      <c r="XC123" s="204">
        <f>XB123+1</f>
        <v>46192</v>
      </c>
      <c r="XD123" s="204">
        <f t="shared" ref="XD123" si="1404">XC123+1</f>
        <v>46193</v>
      </c>
      <c r="XE123" s="204">
        <f>XD123+1</f>
        <v>46194</v>
      </c>
      <c r="XF123" s="122" t="s">
        <v>591</v>
      </c>
      <c r="XG123" s="121">
        <f>XE123+1</f>
        <v>46195</v>
      </c>
      <c r="XH123" s="121">
        <f>XG123+1</f>
        <v>46196</v>
      </c>
      <c r="XI123" s="121">
        <f>XH123+1</f>
        <v>46197</v>
      </c>
      <c r="XJ123" s="121">
        <f t="shared" ref="XJ123" si="1405">XI123+1</f>
        <v>46198</v>
      </c>
      <c r="XK123" s="121">
        <f>XJ123+1</f>
        <v>46199</v>
      </c>
      <c r="XL123" s="204">
        <f t="shared" ref="XL123" si="1406">XK123+1</f>
        <v>46200</v>
      </c>
      <c r="XM123" s="204">
        <f>XL123+1</f>
        <v>46201</v>
      </c>
      <c r="XN123" s="122" t="s">
        <v>592</v>
      </c>
      <c r="XO123" s="121">
        <f>XM123+1</f>
        <v>46202</v>
      </c>
      <c r="XP123" s="121">
        <f>XO123+1</f>
        <v>46203</v>
      </c>
      <c r="XQ123" s="121">
        <f>XP123+1</f>
        <v>46204</v>
      </c>
      <c r="XR123" s="121">
        <f t="shared" ref="XR123" si="1407">XQ123+1</f>
        <v>46205</v>
      </c>
      <c r="XS123" s="121">
        <f>XR123+1</f>
        <v>46206</v>
      </c>
      <c r="XT123" s="204">
        <f t="shared" ref="XT123" si="1408">XS123+1</f>
        <v>46207</v>
      </c>
      <c r="XU123" s="204">
        <f>XT123+1</f>
        <v>46208</v>
      </c>
      <c r="XV123" s="122" t="s">
        <v>599</v>
      </c>
      <c r="XW123" s="122" t="s">
        <v>593</v>
      </c>
      <c r="XX123" s="121">
        <f>XU123+1</f>
        <v>46209</v>
      </c>
      <c r="XY123" s="121">
        <f>XX123+1</f>
        <v>46210</v>
      </c>
      <c r="XZ123" s="121">
        <f>XY123+1</f>
        <v>46211</v>
      </c>
      <c r="YA123" s="121">
        <f t="shared" ref="YA123" si="1409">XZ123+1</f>
        <v>46212</v>
      </c>
      <c r="YB123" s="121">
        <f>YA123+1</f>
        <v>46213</v>
      </c>
      <c r="YC123" s="204">
        <f t="shared" ref="YC123" si="1410">YB123+1</f>
        <v>46214</v>
      </c>
      <c r="YD123" s="204">
        <f>YC123+1</f>
        <v>46215</v>
      </c>
      <c r="YE123" s="122" t="s">
        <v>721</v>
      </c>
      <c r="YF123" s="121">
        <f>YD123+1</f>
        <v>46216</v>
      </c>
      <c r="YG123" s="121">
        <f>YF123+1</f>
        <v>46217</v>
      </c>
      <c r="YH123" s="121">
        <f>YG123+1</f>
        <v>46218</v>
      </c>
      <c r="YI123" s="121">
        <f t="shared" ref="YI123" si="1411">YH123+1</f>
        <v>46219</v>
      </c>
      <c r="YJ123" s="121">
        <f>YI123+1</f>
        <v>46220</v>
      </c>
      <c r="YK123" s="204">
        <f t="shared" ref="YK123" si="1412">YJ123+1</f>
        <v>46221</v>
      </c>
      <c r="YL123" s="204">
        <f>YK123+1</f>
        <v>46222</v>
      </c>
      <c r="YM123" s="122" t="s">
        <v>722</v>
      </c>
      <c r="YN123" s="121">
        <f>YL123+1</f>
        <v>46223</v>
      </c>
      <c r="YO123" s="121">
        <f>YN123+1</f>
        <v>46224</v>
      </c>
      <c r="YP123" s="121">
        <f>YO123+1</f>
        <v>46225</v>
      </c>
      <c r="YQ123" s="121">
        <f t="shared" ref="YQ123" si="1413">YP123+1</f>
        <v>46226</v>
      </c>
      <c r="YR123" s="121">
        <f>YQ123+1</f>
        <v>46227</v>
      </c>
      <c r="YS123" s="204">
        <f t="shared" ref="YS123" si="1414">YR123+1</f>
        <v>46228</v>
      </c>
      <c r="YT123" s="204">
        <f>YS123+1</f>
        <v>46229</v>
      </c>
      <c r="YU123" s="122" t="s">
        <v>723</v>
      </c>
      <c r="YV123" s="121">
        <f>YT123+1</f>
        <v>46230</v>
      </c>
      <c r="YW123" s="121">
        <f>YV123+1</f>
        <v>46231</v>
      </c>
      <c r="YX123" s="121">
        <f>YW123+1</f>
        <v>46232</v>
      </c>
      <c r="YY123" s="121">
        <f t="shared" ref="YY123" si="1415">YX123+1</f>
        <v>46233</v>
      </c>
      <c r="YZ123" s="121">
        <f>YY123+1</f>
        <v>46234</v>
      </c>
      <c r="ZA123" s="204">
        <f t="shared" ref="ZA123" si="1416">YZ123+1</f>
        <v>46235</v>
      </c>
      <c r="ZB123" s="204">
        <f>ZA123+1</f>
        <v>46236</v>
      </c>
      <c r="ZC123" s="122" t="s">
        <v>724</v>
      </c>
      <c r="ZD123" s="122" t="s">
        <v>725</v>
      </c>
      <c r="ZE123" s="121">
        <f>ZB123+1</f>
        <v>46237</v>
      </c>
      <c r="ZF123" s="121">
        <f>ZE123+1</f>
        <v>46238</v>
      </c>
      <c r="ZG123" s="121">
        <f>ZF123+1</f>
        <v>46239</v>
      </c>
      <c r="ZH123" s="121">
        <f t="shared" ref="ZH123" si="1417">ZG123+1</f>
        <v>46240</v>
      </c>
      <c r="ZI123" s="121">
        <f>ZH123+1</f>
        <v>46241</v>
      </c>
      <c r="ZJ123" s="204">
        <f t="shared" ref="ZJ123" si="1418">ZI123+1</f>
        <v>46242</v>
      </c>
      <c r="ZK123" s="204">
        <f>ZJ123+1</f>
        <v>46243</v>
      </c>
      <c r="ZL123" s="122" t="s">
        <v>726</v>
      </c>
      <c r="ZM123" s="121">
        <f>ZK123+1</f>
        <v>46244</v>
      </c>
      <c r="ZN123" s="121">
        <f>ZM123+1</f>
        <v>46245</v>
      </c>
      <c r="ZO123" s="121">
        <f>ZN123+1</f>
        <v>46246</v>
      </c>
      <c r="ZP123" s="121">
        <f t="shared" ref="ZP123" si="1419">ZO123+1</f>
        <v>46247</v>
      </c>
      <c r="ZQ123" s="121">
        <f>ZP123+1</f>
        <v>46248</v>
      </c>
      <c r="ZR123" s="204">
        <f t="shared" ref="ZR123" si="1420">ZQ123+1</f>
        <v>46249</v>
      </c>
      <c r="ZS123" s="204">
        <f>ZR123+1</f>
        <v>46250</v>
      </c>
      <c r="ZT123" s="122" t="s">
        <v>727</v>
      </c>
      <c r="ZU123" s="121">
        <f>ZS123+1</f>
        <v>46251</v>
      </c>
      <c r="ZV123" s="121">
        <f>ZU123+1</f>
        <v>46252</v>
      </c>
      <c r="ZW123" s="121">
        <f>ZV123+1</f>
        <v>46253</v>
      </c>
      <c r="ZX123" s="121">
        <f t="shared" ref="ZX123" si="1421">ZW123+1</f>
        <v>46254</v>
      </c>
      <c r="ZY123" s="121">
        <f>ZX123+1</f>
        <v>46255</v>
      </c>
      <c r="ZZ123" s="204">
        <f t="shared" ref="ZZ123" si="1422">ZY123+1</f>
        <v>46256</v>
      </c>
      <c r="AAA123" s="204">
        <f>ZZ123+1</f>
        <v>46257</v>
      </c>
      <c r="AAB123" s="122" t="s">
        <v>728</v>
      </c>
      <c r="AAC123" s="121">
        <f>AAA123+1</f>
        <v>46258</v>
      </c>
      <c r="AAD123" s="121">
        <f>AAC123+1</f>
        <v>46259</v>
      </c>
      <c r="AAE123" s="121">
        <f>AAD123+1</f>
        <v>46260</v>
      </c>
      <c r="AAF123" s="121">
        <f t="shared" ref="AAF123" si="1423">AAE123+1</f>
        <v>46261</v>
      </c>
      <c r="AAG123" s="121">
        <f>AAF123+1</f>
        <v>46262</v>
      </c>
      <c r="AAH123" s="204">
        <f t="shared" ref="AAH123" si="1424">AAG123+1</f>
        <v>46263</v>
      </c>
      <c r="AAI123" s="204">
        <f>AAH123+1</f>
        <v>46264</v>
      </c>
      <c r="AAJ123" s="122" t="s">
        <v>729</v>
      </c>
      <c r="AAK123" s="121">
        <f>AAI123+1</f>
        <v>46265</v>
      </c>
      <c r="AAL123" s="121">
        <f>AAK123+1</f>
        <v>46266</v>
      </c>
      <c r="AAM123" s="121">
        <f>AAL123+1</f>
        <v>46267</v>
      </c>
      <c r="AAN123" s="121">
        <f t="shared" ref="AAN123" si="1425">AAM123+1</f>
        <v>46268</v>
      </c>
      <c r="AAO123" s="121">
        <f>AAN123+1</f>
        <v>46269</v>
      </c>
      <c r="AAP123" s="204">
        <f t="shared" ref="AAP123" si="1426">AAO123+1</f>
        <v>46270</v>
      </c>
      <c r="AAQ123" s="204">
        <f>AAP123+1</f>
        <v>46271</v>
      </c>
      <c r="AAR123" s="122" t="s">
        <v>731</v>
      </c>
      <c r="AAS123" s="122" t="s">
        <v>730</v>
      </c>
    </row>
    <row r="124" spans="2:777" ht="81.95" customHeight="1">
      <c r="B124" s="136">
        <v>5714600131</v>
      </c>
      <c r="C124" s="334" t="s">
        <v>227</v>
      </c>
      <c r="D124" s="136" t="s">
        <v>421</v>
      </c>
      <c r="E124" s="130" t="s">
        <v>4</v>
      </c>
      <c r="F124" s="120"/>
      <c r="G124" s="120"/>
      <c r="H124" s="120"/>
      <c r="I124" s="120"/>
      <c r="J124" s="120"/>
      <c r="K124" s="209"/>
      <c r="L124" s="205"/>
      <c r="M124" s="205">
        <f>SUM(F124:L124)</f>
        <v>0</v>
      </c>
      <c r="N124" s="120"/>
      <c r="O124" s="120"/>
      <c r="P124" s="120"/>
      <c r="Q124" s="120"/>
      <c r="R124" s="120"/>
      <c r="S124" s="209"/>
      <c r="T124" s="205"/>
      <c r="U124" s="205">
        <f>SUM(N124:T124)</f>
        <v>0</v>
      </c>
      <c r="V124" s="120"/>
      <c r="W124" s="120"/>
      <c r="X124" s="120"/>
      <c r="Y124" s="120"/>
      <c r="Z124" s="120"/>
      <c r="AA124" s="209"/>
      <c r="AB124" s="205"/>
      <c r="AC124" s="205">
        <f>SUM(V124:AB124)</f>
        <v>0</v>
      </c>
      <c r="AD124" s="205"/>
      <c r="AE124" s="205"/>
      <c r="AF124" s="205"/>
      <c r="AG124" s="205"/>
      <c r="AH124" s="205"/>
      <c r="AI124" s="209"/>
      <c r="AJ124" s="205"/>
      <c r="AK124" s="205">
        <f>SUM(AD124:AJ124)</f>
        <v>0</v>
      </c>
      <c r="AL124" s="205" t="e">
        <f>SUM(#REF!,M124,U124,AC124,AD124:AH124)</f>
        <v>#REF!</v>
      </c>
      <c r="AM124" s="120"/>
      <c r="AN124" s="120"/>
      <c r="AO124" s="120"/>
      <c r="AP124" s="120"/>
      <c r="AQ124" s="120"/>
      <c r="AR124" s="209"/>
      <c r="AS124" s="205"/>
      <c r="AT124" s="205">
        <f>SUM(AM124:AS124)</f>
        <v>0</v>
      </c>
      <c r="AU124" s="120"/>
      <c r="AV124" s="120"/>
      <c r="AW124" s="120"/>
      <c r="AX124" s="120"/>
      <c r="AY124" s="120"/>
      <c r="AZ124" s="209"/>
      <c r="BA124" s="205"/>
      <c r="BB124" s="205">
        <f>SUM(AU124:BA124)</f>
        <v>0</v>
      </c>
      <c r="BC124" s="120"/>
      <c r="BD124" s="120"/>
      <c r="BE124" s="120"/>
      <c r="BF124" s="120"/>
      <c r="BG124" s="120"/>
      <c r="BH124" s="209"/>
      <c r="BI124" s="205"/>
      <c r="BJ124" s="205">
        <f>SUM(BC124:BI124)</f>
        <v>0</v>
      </c>
      <c r="BK124" s="120"/>
      <c r="BL124" s="120"/>
      <c r="BM124" s="120"/>
      <c r="BN124" s="120"/>
      <c r="BO124" s="205"/>
      <c r="BP124" s="209"/>
      <c r="BQ124" s="205"/>
      <c r="BR124" s="205">
        <f>SUM(BK124:BQ124)</f>
        <v>0</v>
      </c>
      <c r="BS124" s="205">
        <f t="shared" ref="BS124:BS190" si="1427">SUM(AI124:AJ124,AT124,BB124,BJ124,BK124:BO124)</f>
        <v>0</v>
      </c>
      <c r="BT124" s="120"/>
      <c r="BU124" s="120"/>
      <c r="BV124" s="120"/>
      <c r="BW124" s="120"/>
      <c r="BX124" s="120"/>
      <c r="BY124" s="209"/>
      <c r="BZ124" s="205"/>
      <c r="CA124" s="205">
        <f>SUM(BT124:BZ124)</f>
        <v>0</v>
      </c>
      <c r="CB124" s="201">
        <v>4000</v>
      </c>
      <c r="CC124" s="201">
        <v>4000</v>
      </c>
      <c r="CD124" s="120"/>
      <c r="CE124" s="120"/>
      <c r="CF124" s="120"/>
      <c r="CG124" s="209"/>
      <c r="CH124" s="205"/>
      <c r="CI124" s="205">
        <f>SUM(CB124:CH124)</f>
        <v>8000</v>
      </c>
      <c r="CJ124" s="120"/>
      <c r="CK124" s="120"/>
      <c r="CL124" s="120"/>
      <c r="CM124" s="120"/>
      <c r="CN124" s="120"/>
      <c r="CO124" s="209"/>
      <c r="CP124" s="205"/>
      <c r="CQ124" s="205">
        <f>SUM(CJ124:CP124)</f>
        <v>0</v>
      </c>
      <c r="CR124" s="120"/>
      <c r="CS124" s="120"/>
      <c r="CT124" s="120"/>
      <c r="CU124" s="120"/>
      <c r="CV124" s="120"/>
      <c r="CW124" s="209"/>
      <c r="CX124" s="205"/>
      <c r="CY124" s="205">
        <f>SUM(CR124:CX124)</f>
        <v>0</v>
      </c>
      <c r="CZ124" s="120"/>
      <c r="DA124" s="120"/>
      <c r="DB124" s="120"/>
      <c r="DC124" s="205"/>
      <c r="DD124" s="205"/>
      <c r="DE124" s="209"/>
      <c r="DF124" s="205"/>
      <c r="DG124" s="205">
        <f>SUM(CZ124:DF124)</f>
        <v>0</v>
      </c>
      <c r="DH124" s="205">
        <f t="shared" ref="DH124:DH190" si="1428">SUM(CA124,CI124,CQ124,CY124,CZ124)</f>
        <v>8000</v>
      </c>
      <c r="DI124" s="195">
        <v>4000</v>
      </c>
      <c r="DJ124" s="195">
        <v>4000</v>
      </c>
      <c r="DK124" s="120"/>
      <c r="DL124" s="120"/>
      <c r="DM124" s="120"/>
      <c r="DN124" s="209"/>
      <c r="DO124" s="205"/>
      <c r="DP124" s="205">
        <f>SUM(DI124:DO124)</f>
        <v>8000</v>
      </c>
      <c r="DQ124" s="120"/>
      <c r="DR124" s="120"/>
      <c r="DS124" s="120"/>
      <c r="DT124" s="120"/>
      <c r="DU124" s="120"/>
      <c r="DV124" s="209"/>
      <c r="DW124" s="205"/>
      <c r="DX124" s="205">
        <f>SUM(DQ124:DW124)</f>
        <v>0</v>
      </c>
      <c r="DY124" s="120"/>
      <c r="DZ124" s="120"/>
      <c r="EA124" s="120"/>
      <c r="EB124" s="120"/>
      <c r="EC124" s="120"/>
      <c r="ED124" s="209"/>
      <c r="EE124" s="205"/>
      <c r="EF124" s="205">
        <f>SUM(DY124:EE124)</f>
        <v>0</v>
      </c>
      <c r="EG124" s="120"/>
      <c r="EH124" s="120"/>
      <c r="EI124" s="120"/>
      <c r="EJ124" s="205"/>
      <c r="EK124" s="205"/>
      <c r="EL124" s="209"/>
      <c r="EM124" s="205"/>
      <c r="EN124" s="205">
        <f>SUM(EG124:EM124)</f>
        <v>0</v>
      </c>
      <c r="EO124" s="205">
        <f t="shared" ref="EO124:EO190" si="1429">SUM(DA124:DF124,DP124,DX124,EF124,EG124:EI124)</f>
        <v>8000</v>
      </c>
      <c r="EP124" s="120"/>
      <c r="EQ124" s="120"/>
      <c r="ER124" s="120"/>
      <c r="ES124" s="120"/>
      <c r="ET124" s="120"/>
      <c r="EU124" s="209"/>
      <c r="EV124" s="205"/>
      <c r="EW124" s="205">
        <f>SUM(EP124:EV124)</f>
        <v>0</v>
      </c>
      <c r="EX124" s="120"/>
      <c r="EY124" s="120"/>
      <c r="EZ124" s="120"/>
      <c r="FA124" s="120"/>
      <c r="FB124" s="120"/>
      <c r="FC124" s="209"/>
      <c r="FD124" s="205"/>
      <c r="FE124" s="205">
        <f>SUM(EX124:FD124)</f>
        <v>0</v>
      </c>
      <c r="FF124" s="120"/>
      <c r="FG124" s="120"/>
      <c r="FH124" s="120"/>
      <c r="FI124" s="120"/>
      <c r="FJ124" s="120"/>
      <c r="FK124" s="209"/>
      <c r="FL124" s="205"/>
      <c r="FM124" s="205">
        <f>SUM(FF124:FL124)</f>
        <v>0</v>
      </c>
      <c r="FN124" s="120"/>
      <c r="FO124" s="124">
        <v>4000</v>
      </c>
      <c r="FP124" s="124">
        <v>4000</v>
      </c>
      <c r="FQ124" s="120"/>
      <c r="FR124" s="205"/>
      <c r="FS124" s="209"/>
      <c r="FT124" s="205"/>
      <c r="FU124" s="205">
        <f>SUM(FN124:FT124)</f>
        <v>8000</v>
      </c>
      <c r="FV124" s="205">
        <f t="shared" ref="FV124:FV190" si="1430">SUM(EJ124:EK124,EW124,FE124,FM124,FU124)</f>
        <v>8000</v>
      </c>
      <c r="FW124" s="120"/>
      <c r="FX124" s="120"/>
      <c r="FY124" s="120"/>
      <c r="FZ124" s="120"/>
      <c r="GA124" s="120"/>
      <c r="GB124" s="209"/>
      <c r="GC124" s="205"/>
      <c r="GD124" s="205">
        <f>SUM(FW124:GC124)</f>
        <v>0</v>
      </c>
      <c r="GE124" s="250">
        <v>4000</v>
      </c>
      <c r="GF124" s="250">
        <v>4000</v>
      </c>
      <c r="GG124" s="120"/>
      <c r="GH124" s="120"/>
      <c r="GI124" s="120"/>
      <c r="GJ124" s="209"/>
      <c r="GK124" s="205"/>
      <c r="GL124" s="205">
        <f>SUM(GE124:GK124)</f>
        <v>8000</v>
      </c>
      <c r="GM124" s="120"/>
      <c r="GN124" s="120"/>
      <c r="GO124" s="120"/>
      <c r="GP124" s="120"/>
      <c r="GQ124" s="120"/>
      <c r="GR124" s="209"/>
      <c r="GS124" s="205"/>
      <c r="GT124" s="205">
        <f>SUM(GM124:GS124)</f>
        <v>0</v>
      </c>
      <c r="GU124" s="120"/>
      <c r="GV124" s="120"/>
      <c r="GW124" s="120"/>
      <c r="GX124" s="120"/>
      <c r="GY124" s="120"/>
      <c r="GZ124" s="209"/>
      <c r="HA124" s="205"/>
      <c r="HB124" s="205">
        <f>SUM(GU124:HA124)</f>
        <v>0</v>
      </c>
      <c r="HC124" s="120"/>
      <c r="HD124" s="120"/>
      <c r="HE124" s="120"/>
      <c r="HF124" s="120"/>
      <c r="HG124" s="120"/>
      <c r="HH124" s="209"/>
      <c r="HI124" s="205"/>
      <c r="HJ124" s="205">
        <f>SUM(HC124:HI124)</f>
        <v>0</v>
      </c>
      <c r="HK124" s="205">
        <f t="shared" ref="HK124:HK190" si="1431">SUM(GD124,GL124,GT124,HB124,HC124)</f>
        <v>8000</v>
      </c>
      <c r="HL124" s="124"/>
      <c r="HM124" s="120"/>
      <c r="HN124" s="120"/>
      <c r="HO124" s="120"/>
      <c r="HP124" s="120"/>
      <c r="HQ124" s="205"/>
      <c r="HR124" s="205"/>
      <c r="HS124" s="205">
        <f>SUM(HL124:HR124)</f>
        <v>0</v>
      </c>
      <c r="HT124" s="195">
        <v>4000</v>
      </c>
      <c r="HU124" s="195">
        <v>4000</v>
      </c>
      <c r="HV124" s="195">
        <v>4000</v>
      </c>
      <c r="HW124" s="195">
        <v>4000</v>
      </c>
      <c r="HX124" s="120"/>
      <c r="HY124" s="205"/>
      <c r="HZ124" s="205"/>
      <c r="IA124" s="205">
        <f>SUM(HT124:HZ124)</f>
        <v>16000</v>
      </c>
      <c r="IB124" s="120"/>
      <c r="IC124" s="120"/>
      <c r="ID124" s="120"/>
      <c r="IE124" s="120"/>
      <c r="IF124" s="120"/>
      <c r="IG124" s="205"/>
      <c r="IH124" s="205"/>
      <c r="II124" s="205">
        <f>SUM(IB124:IH124)</f>
        <v>0</v>
      </c>
      <c r="IJ124" s="120"/>
      <c r="IK124" s="120"/>
      <c r="IL124" s="120"/>
      <c r="IM124" s="120"/>
      <c r="IN124" s="120"/>
      <c r="IO124" s="205"/>
      <c r="IP124" s="205"/>
      <c r="IQ124" s="205">
        <f>SUM(IJ124:IP124)</f>
        <v>0</v>
      </c>
      <c r="IR124" s="205">
        <f>SUM(IJ124:IM124,II124,IA124,HS124,HD124:HG124,HH124:HI124)</f>
        <v>16000</v>
      </c>
      <c r="IS124" s="120"/>
      <c r="IT124" s="120"/>
      <c r="IU124" s="120"/>
      <c r="IV124" s="120"/>
      <c r="IW124" s="120"/>
      <c r="IX124" s="205"/>
      <c r="IY124" s="205"/>
      <c r="IZ124" s="205">
        <f>SUM(IS124:IY124)</f>
        <v>0</v>
      </c>
      <c r="JA124" s="120"/>
      <c r="JB124" s="120"/>
      <c r="JC124" s="120"/>
      <c r="JD124" s="120"/>
      <c r="JE124" s="120"/>
      <c r="JF124" s="205"/>
      <c r="JG124" s="205"/>
      <c r="JH124" s="205">
        <f>SUM(JA124:JG124)</f>
        <v>0</v>
      </c>
      <c r="JI124" s="120"/>
      <c r="JJ124" s="120"/>
      <c r="JK124" s="120"/>
      <c r="JL124" s="120"/>
      <c r="JM124" s="120"/>
      <c r="JN124" s="205"/>
      <c r="JO124" s="205"/>
      <c r="JP124" s="205">
        <f>SUM(JI124:JO124)</f>
        <v>0</v>
      </c>
      <c r="JQ124" s="120"/>
      <c r="JR124" s="120"/>
      <c r="JS124" s="120"/>
      <c r="JT124" s="120"/>
      <c r="JU124" s="120"/>
      <c r="JV124" s="205"/>
      <c r="JW124" s="205"/>
      <c r="JX124" s="205">
        <f>SUM(JQ124:JW124)</f>
        <v>0</v>
      </c>
      <c r="JY124" s="205">
        <f>SUM(JX124,JP124,JH124,IZ124,IN124:IP124)</f>
        <v>0</v>
      </c>
      <c r="JZ124" s="120"/>
      <c r="KA124" s="120"/>
      <c r="KB124" s="120"/>
      <c r="KC124" s="120"/>
      <c r="KD124" s="120"/>
      <c r="KE124" s="205"/>
      <c r="KF124" s="205"/>
      <c r="KG124" s="205">
        <f>SUM(JZ124:KF124)</f>
        <v>0</v>
      </c>
      <c r="KH124" s="120"/>
      <c r="KI124" s="120"/>
      <c r="KJ124" s="120"/>
      <c r="KK124" s="120"/>
      <c r="KL124" s="120"/>
      <c r="KM124" s="205"/>
      <c r="KN124" s="205"/>
      <c r="KO124" s="205">
        <f>SUM(KH124:KN124)</f>
        <v>0</v>
      </c>
      <c r="KP124" s="120"/>
      <c r="KQ124" s="120"/>
      <c r="KR124" s="120"/>
      <c r="KS124" s="120"/>
      <c r="KT124" s="120"/>
      <c r="KU124" s="205"/>
      <c r="KV124" s="205"/>
      <c r="KW124" s="205">
        <f>SUM(KP124:KV124)</f>
        <v>0</v>
      </c>
      <c r="KX124" s="120"/>
      <c r="KY124" s="120"/>
      <c r="KZ124" s="120"/>
      <c r="LA124" s="120"/>
      <c r="LB124" s="120"/>
      <c r="LC124" s="205"/>
      <c r="LD124" s="205"/>
      <c r="LE124" s="205">
        <f>SUM(KX124:LD124)</f>
        <v>0</v>
      </c>
      <c r="LF124" s="205"/>
      <c r="LG124" s="120"/>
      <c r="LH124" s="120"/>
      <c r="LI124" s="120"/>
      <c r="LJ124" s="120"/>
      <c r="LK124" s="205"/>
      <c r="LL124" s="205"/>
      <c r="LM124" s="205">
        <f>SUM(LF124:LL124)</f>
        <v>0</v>
      </c>
      <c r="LN124" s="205">
        <f>SUM(LF124:LG124,LE124,KW124,KO124,KG124)</f>
        <v>0</v>
      </c>
      <c r="LO124" s="205"/>
      <c r="LP124" s="120"/>
      <c r="LQ124" s="120"/>
      <c r="LR124" s="120"/>
      <c r="LS124" s="205"/>
      <c r="LT124" s="205"/>
      <c r="LU124" s="205"/>
      <c r="LV124" s="205">
        <f>SUM(LO124:LU124)</f>
        <v>0</v>
      </c>
      <c r="LW124" s="120"/>
      <c r="LX124" s="120"/>
      <c r="LY124" s="120"/>
      <c r="LZ124" s="120"/>
      <c r="MA124" s="120"/>
      <c r="MB124" s="205"/>
      <c r="MC124" s="205"/>
      <c r="MD124" s="205">
        <f>SUM(LW124:MC124)</f>
        <v>0</v>
      </c>
      <c r="ME124" s="120"/>
      <c r="MF124" s="120"/>
      <c r="MG124" s="120"/>
      <c r="MH124" s="120"/>
      <c r="MI124" s="205"/>
      <c r="MJ124" s="205"/>
      <c r="MK124" s="205"/>
      <c r="ML124" s="205">
        <f>SUM(ME124:MK124)</f>
        <v>0</v>
      </c>
      <c r="MM124" s="120"/>
      <c r="MN124" s="120"/>
      <c r="MO124" s="120"/>
      <c r="MP124" s="120"/>
      <c r="MQ124" s="120"/>
      <c r="MR124" s="205"/>
      <c r="MS124" s="205"/>
      <c r="MT124" s="205">
        <f>SUM(MM124:MS124)</f>
        <v>0</v>
      </c>
      <c r="MU124" s="205">
        <f>SUM(LH124:LL124,LV124,MD124,ML124,MM124:MQ124)</f>
        <v>0</v>
      </c>
      <c r="MV124" s="120"/>
      <c r="MW124" s="120"/>
      <c r="MX124" s="120"/>
      <c r="MY124" s="120"/>
      <c r="MZ124" s="120"/>
      <c r="NA124" s="205"/>
      <c r="NB124" s="205"/>
      <c r="NC124" s="205">
        <f>SUM(MV124:NB124)</f>
        <v>0</v>
      </c>
      <c r="ND124" s="120"/>
      <c r="NE124" s="120"/>
      <c r="NF124" s="120"/>
      <c r="NG124" s="120"/>
      <c r="NH124" s="120"/>
      <c r="NI124" s="205"/>
      <c r="NJ124" s="205"/>
      <c r="NK124" s="205">
        <f>SUM(ND124:NJ124)</f>
        <v>0</v>
      </c>
      <c r="NL124" s="120"/>
      <c r="NM124" s="120"/>
      <c r="NN124" s="120"/>
      <c r="NO124" s="120"/>
      <c r="NP124" s="120"/>
      <c r="NQ124" s="205"/>
      <c r="NR124" s="205"/>
      <c r="NS124" s="205">
        <f>SUM(NL124:NR124)</f>
        <v>0</v>
      </c>
      <c r="NT124" s="120"/>
      <c r="NU124" s="120"/>
      <c r="NV124" s="120"/>
      <c r="NW124" s="120"/>
      <c r="NX124" s="120"/>
      <c r="NY124" s="205"/>
      <c r="NZ124" s="205"/>
      <c r="OA124" s="205">
        <f>SUM(NT124:NZ124)</f>
        <v>0</v>
      </c>
      <c r="OB124" s="205">
        <f>SUM(MR124:MS124,NC124,NK124,NS124,OA124)</f>
        <v>0</v>
      </c>
      <c r="OC124" s="120"/>
      <c r="OD124" s="120"/>
      <c r="OE124" s="120"/>
      <c r="OF124" s="120"/>
      <c r="OG124" s="120"/>
      <c r="OH124" s="205"/>
      <c r="OI124" s="205"/>
      <c r="OJ124" s="205">
        <f>SUM(OC124:OI124)</f>
        <v>0</v>
      </c>
      <c r="OK124" s="120"/>
      <c r="OL124" s="120"/>
      <c r="OM124" s="120"/>
      <c r="ON124" s="120"/>
      <c r="OO124" s="120"/>
      <c r="OP124" s="205"/>
      <c r="OQ124" s="205"/>
      <c r="OR124" s="205">
        <f>SUM(OK124:OQ124)</f>
        <v>0</v>
      </c>
      <c r="OS124" s="120"/>
      <c r="OT124" s="120"/>
      <c r="OU124" s="120"/>
      <c r="OV124" s="120"/>
      <c r="OW124" s="120"/>
      <c r="OX124" s="205"/>
      <c r="OY124" s="205"/>
      <c r="OZ124" s="205">
        <f>SUM(OS124:OY124)</f>
        <v>0</v>
      </c>
      <c r="PA124" s="120"/>
      <c r="PB124" s="120"/>
      <c r="PC124" s="120"/>
      <c r="PD124" s="205"/>
      <c r="PE124" s="217"/>
      <c r="PF124" s="205"/>
      <c r="PG124" s="205"/>
      <c r="PH124" s="205">
        <f>SUM(PA124:PG124)</f>
        <v>0</v>
      </c>
      <c r="PI124" s="120"/>
      <c r="PJ124" s="120"/>
      <c r="PK124" s="120"/>
      <c r="PL124" s="205"/>
      <c r="PM124" s="217"/>
      <c r="PN124" s="205"/>
      <c r="PO124" s="205"/>
      <c r="PP124" s="205">
        <f>SUM(PI124:PO124)</f>
        <v>0</v>
      </c>
      <c r="PQ124" s="205">
        <f>SUM(OJ124,OR124,OZ124,PH124,PI124:PK124)</f>
        <v>0</v>
      </c>
      <c r="PR124" s="207"/>
      <c r="PS124" s="207"/>
      <c r="PT124" s="207"/>
      <c r="PU124" s="207"/>
      <c r="PV124" s="207"/>
      <c r="PW124" s="272"/>
      <c r="PX124" s="272"/>
      <c r="PY124" s="205">
        <f>SUM(PR124:PX124)</f>
        <v>0</v>
      </c>
      <c r="PZ124" s="207"/>
      <c r="QA124" s="207"/>
      <c r="QB124" s="207"/>
      <c r="QC124" s="207"/>
      <c r="QD124" s="207"/>
      <c r="QE124" s="272"/>
      <c r="QF124" s="272"/>
      <c r="QG124" s="205">
        <f>SUM(PZ124:QF124)</f>
        <v>0</v>
      </c>
      <c r="QH124" s="207"/>
      <c r="QI124" s="207"/>
      <c r="QJ124" s="294"/>
      <c r="QK124" s="207"/>
      <c r="QL124" s="207"/>
      <c r="QM124" s="272"/>
      <c r="QN124" s="272"/>
      <c r="QO124" s="205">
        <f>SUM(QH124:QN124)</f>
        <v>0</v>
      </c>
      <c r="QP124" s="207"/>
      <c r="QQ124" s="207"/>
      <c r="QR124" s="207"/>
      <c r="QS124" s="207"/>
      <c r="QT124" s="207"/>
      <c r="QU124" s="272"/>
      <c r="QV124" s="272"/>
      <c r="QW124" s="205">
        <f>SUM(QP124:QV124)</f>
        <v>0</v>
      </c>
      <c r="QX124" s="205">
        <f>SUM(QW124,QO124,QG124,PY124,PL124,PM124,PN124,PO124)</f>
        <v>0</v>
      </c>
      <c r="QY124" s="207"/>
      <c r="QZ124" s="207"/>
      <c r="RA124" s="207"/>
      <c r="RB124" s="207"/>
      <c r="RC124" s="207"/>
      <c r="RD124" s="272"/>
      <c r="RE124" s="272"/>
      <c r="RF124" s="205">
        <f>SUM(QY124:RE124)</f>
        <v>0</v>
      </c>
      <c r="RG124" s="207"/>
      <c r="RH124" s="207"/>
      <c r="RI124" s="207"/>
      <c r="RJ124" s="207"/>
      <c r="RK124" s="207"/>
      <c r="RL124" s="272"/>
      <c r="RM124" s="272"/>
      <c r="RN124" s="205">
        <f>SUM(RG124:RM124)</f>
        <v>0</v>
      </c>
      <c r="RO124" s="272"/>
      <c r="RP124" s="272"/>
      <c r="RQ124" s="272"/>
      <c r="RR124" s="272"/>
      <c r="RS124" s="272"/>
      <c r="RT124" s="272"/>
      <c r="RU124" s="272"/>
      <c r="RV124" s="205">
        <f>SUM(RO124:RU124)</f>
        <v>0</v>
      </c>
      <c r="RW124" s="207"/>
      <c r="RX124" s="207"/>
      <c r="RY124" s="207"/>
      <c r="RZ124" s="207"/>
      <c r="SA124" s="272"/>
      <c r="SB124" s="272"/>
      <c r="SC124" s="272"/>
      <c r="SD124" s="205">
        <f>SUM(RW124:SC124)</f>
        <v>0</v>
      </c>
      <c r="SE124" s="205">
        <f>SUM(SD124,RV124,RN124,RF124,QV124)</f>
        <v>0</v>
      </c>
      <c r="SF124" s="207"/>
      <c r="SG124" s="207"/>
      <c r="SH124" s="207"/>
      <c r="SI124" s="207"/>
      <c r="SJ124" s="207"/>
      <c r="SK124" s="272"/>
      <c r="SL124" s="272"/>
      <c r="SM124" s="205">
        <f>SUM(SF124:SL124)</f>
        <v>0</v>
      </c>
      <c r="SN124" s="207"/>
      <c r="SO124" s="207"/>
      <c r="SP124" s="207"/>
      <c r="SQ124" s="207"/>
      <c r="SR124" s="207"/>
      <c r="SS124" s="272"/>
      <c r="ST124" s="272"/>
      <c r="SU124" s="205">
        <f>SUM(SN124:ST124)</f>
        <v>0</v>
      </c>
      <c r="SV124" s="207"/>
      <c r="SW124" s="207"/>
      <c r="SX124" s="207"/>
      <c r="SY124" s="207"/>
      <c r="SZ124" s="207"/>
      <c r="TA124" s="272"/>
      <c r="TB124" s="272"/>
      <c r="TC124" s="205">
        <f>SUM(SV124:TB124)</f>
        <v>0</v>
      </c>
      <c r="TD124" s="207"/>
      <c r="TE124" s="207"/>
      <c r="TF124" s="207"/>
      <c r="TG124" s="207"/>
      <c r="TH124" s="207"/>
      <c r="TI124" s="272"/>
      <c r="TJ124" s="272"/>
      <c r="TK124" s="205">
        <f>SUM(TD124:TJ124)</f>
        <v>0</v>
      </c>
      <c r="TL124" s="207"/>
      <c r="TM124" s="207"/>
      <c r="TN124" s="207"/>
      <c r="TO124" s="207"/>
      <c r="TP124" s="272"/>
      <c r="TQ124" s="272"/>
      <c r="TR124" s="272"/>
      <c r="TS124" s="205">
        <f>SUM(TL124:TR124)</f>
        <v>0</v>
      </c>
      <c r="TT124" s="205">
        <f>SUM(TL124:TM124,TK124,TC124,SU124,SM124,SC124)</f>
        <v>0</v>
      </c>
      <c r="TU124" s="272"/>
      <c r="TV124" s="207"/>
      <c r="TW124" s="207"/>
      <c r="TX124" s="207"/>
      <c r="TY124" s="207"/>
      <c r="TZ124" s="272"/>
      <c r="UA124" s="272"/>
      <c r="UB124" s="205">
        <f>SUM(TU124:UA124)</f>
        <v>0</v>
      </c>
      <c r="UC124" s="207"/>
      <c r="UD124" s="207"/>
      <c r="UE124" s="207"/>
      <c r="UF124" s="207"/>
      <c r="UG124" s="207"/>
      <c r="UH124" s="272"/>
      <c r="UI124" s="272"/>
      <c r="UJ124" s="205">
        <f>SUM(UC124:UI124)</f>
        <v>0</v>
      </c>
      <c r="UK124" s="207"/>
      <c r="UL124" s="207"/>
      <c r="UM124" s="207"/>
      <c r="UN124" s="207"/>
      <c r="UO124" s="207"/>
      <c r="UP124" s="272"/>
      <c r="UQ124" s="272"/>
      <c r="UR124" s="205">
        <f>SUM(UK124:UQ124)</f>
        <v>0</v>
      </c>
      <c r="US124" s="207"/>
      <c r="UT124" s="207"/>
      <c r="UU124" s="207"/>
      <c r="UV124" s="207"/>
      <c r="UW124" s="272"/>
      <c r="UX124" s="272"/>
      <c r="UY124" s="272"/>
      <c r="UZ124" s="205">
        <f>SUM(US124:UY124)</f>
        <v>0</v>
      </c>
      <c r="VA124" s="205">
        <f>SUM(TN124:TR124,UB124,UJ124,UR124,US124:UV124)</f>
        <v>0</v>
      </c>
      <c r="VB124" s="207"/>
      <c r="VC124" s="207"/>
      <c r="VD124" s="207"/>
      <c r="VE124" s="207"/>
      <c r="VF124" s="207"/>
      <c r="VG124" s="272"/>
      <c r="VH124" s="272"/>
      <c r="VI124" s="205">
        <f>SUM(VB124:VH124)</f>
        <v>0</v>
      </c>
      <c r="VJ124" s="207"/>
      <c r="VK124" s="207"/>
      <c r="VL124" s="207"/>
      <c r="VM124" s="207"/>
      <c r="VN124" s="207"/>
      <c r="VO124" s="272"/>
      <c r="VP124" s="272"/>
      <c r="VQ124" s="205">
        <f>SUM(VJ124:VP124)</f>
        <v>0</v>
      </c>
      <c r="VR124" s="207"/>
      <c r="VS124" s="207"/>
      <c r="VT124" s="207"/>
      <c r="VU124" s="207"/>
      <c r="VV124" s="207"/>
      <c r="VW124" s="272"/>
      <c r="VX124" s="272"/>
      <c r="VY124" s="205">
        <f>SUM(VR124:VX124)</f>
        <v>0</v>
      </c>
      <c r="VZ124" s="207"/>
      <c r="WA124" s="207"/>
      <c r="WB124" s="207"/>
      <c r="WC124" s="207"/>
      <c r="WD124" s="207"/>
      <c r="WE124" s="272"/>
      <c r="WF124" s="272"/>
      <c r="WG124" s="205">
        <f>SUM(VZ124:WF124)</f>
        <v>0</v>
      </c>
      <c r="WH124" s="205">
        <f>SUM(WG124,VY124,VQ124,VI124,UW124:UY124)</f>
        <v>0</v>
      </c>
      <c r="WI124" s="207"/>
      <c r="WJ124" s="207"/>
      <c r="WK124" s="207"/>
      <c r="WL124" s="207"/>
      <c r="WM124" s="207"/>
      <c r="WN124" s="272"/>
      <c r="WO124" s="272"/>
      <c r="WP124" s="205">
        <f>SUM(WI124:WO124)</f>
        <v>0</v>
      </c>
      <c r="WQ124" s="207"/>
      <c r="WR124" s="207"/>
      <c r="WS124" s="207"/>
      <c r="WT124" s="207"/>
      <c r="WU124" s="207"/>
      <c r="WV124" s="272"/>
      <c r="WW124" s="272"/>
      <c r="WX124" s="205">
        <f>SUM(WQ124:WW124)</f>
        <v>0</v>
      </c>
      <c r="WY124" s="207"/>
      <c r="WZ124" s="207"/>
      <c r="XA124" s="207"/>
      <c r="XB124" s="207"/>
      <c r="XC124" s="272"/>
      <c r="XD124" s="272"/>
      <c r="XE124" s="272"/>
      <c r="XF124" s="205">
        <f>SUM(WY124:XE124)</f>
        <v>0</v>
      </c>
      <c r="XG124" s="207"/>
      <c r="XH124" s="207"/>
      <c r="XI124" s="207"/>
      <c r="XJ124" s="207"/>
      <c r="XK124" s="207"/>
      <c r="XL124" s="272"/>
      <c r="XM124" s="272"/>
      <c r="XN124" s="205">
        <f>SUM(XG124:XM124)</f>
        <v>0</v>
      </c>
      <c r="XO124" s="207"/>
      <c r="XP124" s="207"/>
      <c r="XQ124" s="207"/>
      <c r="XR124" s="207"/>
      <c r="XS124" s="207"/>
      <c r="XT124" s="272"/>
      <c r="XU124" s="272"/>
      <c r="XV124" s="205">
        <f>SUM(XO124:XU124)</f>
        <v>0</v>
      </c>
      <c r="XW124" s="205">
        <f>SUM(XO124:XP124,XN124,XF124,WX124,WP124)</f>
        <v>0</v>
      </c>
      <c r="XX124" s="207"/>
      <c r="XY124" s="207"/>
      <c r="XZ124" s="207"/>
      <c r="YA124" s="207"/>
      <c r="YB124" s="207"/>
      <c r="YC124" s="272"/>
      <c r="YD124" s="272"/>
      <c r="YE124" s="205">
        <f>SUM(XX124:YD124)</f>
        <v>0</v>
      </c>
      <c r="YF124" s="207"/>
      <c r="YG124" s="207"/>
      <c r="YH124" s="207"/>
      <c r="YI124" s="207"/>
      <c r="YJ124" s="207"/>
      <c r="YK124" s="272"/>
      <c r="YL124" s="272"/>
      <c r="YM124" s="205">
        <f>SUM(YF124:YL124)</f>
        <v>0</v>
      </c>
      <c r="YN124" s="207"/>
      <c r="YO124" s="207"/>
      <c r="YP124" s="207"/>
      <c r="YQ124" s="207"/>
      <c r="YR124" s="207"/>
      <c r="YS124" s="272"/>
      <c r="YT124" s="272"/>
      <c r="YU124" s="205">
        <f>SUM(YN124:YT124)</f>
        <v>0</v>
      </c>
      <c r="YV124" s="207"/>
      <c r="YW124" s="207"/>
      <c r="YX124" s="207"/>
      <c r="YY124" s="207"/>
      <c r="YZ124" s="207"/>
      <c r="ZA124" s="272"/>
      <c r="ZB124" s="272"/>
      <c r="ZC124" s="205">
        <f>SUM(YV124:ZB124)</f>
        <v>0</v>
      </c>
      <c r="ZD124" s="205">
        <f>SUM(YV124:YW124,YU124,YM124,YE124,XW124)</f>
        <v>0</v>
      </c>
      <c r="ZE124" s="207"/>
      <c r="ZF124" s="207"/>
      <c r="ZG124" s="207"/>
      <c r="ZH124" s="207"/>
      <c r="ZI124" s="207"/>
      <c r="ZJ124" s="272"/>
      <c r="ZK124" s="272"/>
      <c r="ZL124" s="205">
        <f>SUM(ZE124:ZK124)</f>
        <v>0</v>
      </c>
      <c r="ZM124" s="207"/>
      <c r="ZN124" s="207"/>
      <c r="ZO124" s="207"/>
      <c r="ZP124" s="207"/>
      <c r="ZQ124" s="207"/>
      <c r="ZR124" s="272"/>
      <c r="ZS124" s="272"/>
      <c r="ZT124" s="205">
        <f>SUM(ZM124:ZS124)</f>
        <v>0</v>
      </c>
      <c r="ZU124" s="207"/>
      <c r="ZV124" s="207"/>
      <c r="ZW124" s="207"/>
      <c r="ZX124" s="207"/>
      <c r="ZY124" s="207"/>
      <c r="ZZ124" s="272"/>
      <c r="AAA124" s="272"/>
      <c r="AAB124" s="205">
        <f>SUM(ZU124:AAA124)</f>
        <v>0</v>
      </c>
      <c r="AAC124" s="207"/>
      <c r="AAD124" s="207"/>
      <c r="AAE124" s="207"/>
      <c r="AAF124" s="207"/>
      <c r="AAG124" s="207"/>
      <c r="AAH124" s="272"/>
      <c r="AAI124" s="272"/>
      <c r="AAJ124" s="205">
        <f>SUM(AAC124:AAI124)</f>
        <v>0</v>
      </c>
      <c r="AAK124" s="207"/>
      <c r="AAL124" s="207"/>
      <c r="AAM124" s="207"/>
      <c r="AAN124" s="207"/>
      <c r="AAO124" s="207"/>
      <c r="AAP124" s="272"/>
      <c r="AAQ124" s="272"/>
      <c r="AAR124" s="205">
        <f>SUM(AAK124:AAQ124)</f>
        <v>0</v>
      </c>
      <c r="AAS124" s="205">
        <f>SUM(AAK124:AAL124,AAJ124,AAB124,ZT124,ZL124)</f>
        <v>0</v>
      </c>
    </row>
    <row r="125" spans="2:777" ht="93" customHeight="1">
      <c r="B125" s="136">
        <v>3621101701</v>
      </c>
      <c r="C125" s="334" t="s">
        <v>816</v>
      </c>
      <c r="D125" s="136" t="s">
        <v>237</v>
      </c>
      <c r="E125" s="130" t="s">
        <v>4</v>
      </c>
      <c r="F125" s="120"/>
      <c r="G125" s="120"/>
      <c r="H125" s="120"/>
      <c r="I125" s="201">
        <v>1360</v>
      </c>
      <c r="J125" s="120"/>
      <c r="K125" s="209"/>
      <c r="L125" s="205"/>
      <c r="M125" s="205">
        <f>SUM(F125:L125)</f>
        <v>1360</v>
      </c>
      <c r="N125" s="120"/>
      <c r="O125" s="120"/>
      <c r="P125" s="120"/>
      <c r="Q125" s="120"/>
      <c r="R125" s="120"/>
      <c r="S125" s="209"/>
      <c r="T125" s="205"/>
      <c r="U125" s="205">
        <f>SUM(N125:T125)</f>
        <v>0</v>
      </c>
      <c r="V125" s="120"/>
      <c r="W125" s="120"/>
      <c r="X125" s="120"/>
      <c r="Y125" s="120"/>
      <c r="Z125" s="120"/>
      <c r="AA125" s="209"/>
      <c r="AB125" s="205"/>
      <c r="AC125" s="205">
        <f>SUM(V125:AB125)</f>
        <v>0</v>
      </c>
      <c r="AD125" s="205"/>
      <c r="AE125" s="205"/>
      <c r="AF125" s="205"/>
      <c r="AG125" s="205"/>
      <c r="AH125" s="205"/>
      <c r="AI125" s="209"/>
      <c r="AJ125" s="205"/>
      <c r="AK125" s="205">
        <f>SUM(AD125:AJ125)</f>
        <v>0</v>
      </c>
      <c r="AL125" s="205" t="e">
        <f>SUM(#REF!,M125,U125,AC125,AD125:AH125)</f>
        <v>#REF!</v>
      </c>
      <c r="AM125" s="120"/>
      <c r="AN125" s="120"/>
      <c r="AO125" s="120"/>
      <c r="AP125" s="120"/>
      <c r="AQ125" s="120"/>
      <c r="AR125" s="209"/>
      <c r="AS125" s="205"/>
      <c r="AT125" s="205">
        <f>SUM(AM125:AS125)</f>
        <v>0</v>
      </c>
      <c r="AU125" s="120"/>
      <c r="AV125" s="120"/>
      <c r="AW125" s="120"/>
      <c r="AX125" s="120"/>
      <c r="AY125" s="120"/>
      <c r="AZ125" s="209"/>
      <c r="BA125" s="205"/>
      <c r="BB125" s="205">
        <f>SUM(AU125:BA125)</f>
        <v>0</v>
      </c>
      <c r="BC125" s="120"/>
      <c r="BD125" s="120"/>
      <c r="BE125" s="120"/>
      <c r="BF125" s="120"/>
      <c r="BG125" s="217">
        <v>800</v>
      </c>
      <c r="BH125" s="209"/>
      <c r="BI125" s="205"/>
      <c r="BJ125" s="205">
        <f>SUM(BC125:BI125)</f>
        <v>800</v>
      </c>
      <c r="BK125" s="120"/>
      <c r="BL125" s="120"/>
      <c r="BM125" s="120"/>
      <c r="BN125" s="120"/>
      <c r="BO125" s="205"/>
      <c r="BP125" s="209"/>
      <c r="BQ125" s="205"/>
      <c r="BR125" s="205">
        <f>SUM(BK125:BQ125)</f>
        <v>0</v>
      </c>
      <c r="BS125" s="205">
        <f t="shared" si="1427"/>
        <v>800</v>
      </c>
      <c r="BT125" s="120"/>
      <c r="BU125" s="120"/>
      <c r="BV125" s="120"/>
      <c r="BW125" s="120"/>
      <c r="BX125" s="120"/>
      <c r="BY125" s="209"/>
      <c r="BZ125" s="205"/>
      <c r="CA125" s="205">
        <f>SUM(BT125:BZ125)</f>
        <v>0</v>
      </c>
      <c r="CB125" s="201">
        <v>2000</v>
      </c>
      <c r="CC125" s="120"/>
      <c r="CD125" s="201">
        <v>2200</v>
      </c>
      <c r="CE125" s="120"/>
      <c r="CF125" s="120"/>
      <c r="CG125" s="209"/>
      <c r="CH125" s="205"/>
      <c r="CI125" s="205">
        <f>SUM(CB125:CH125)</f>
        <v>4200</v>
      </c>
      <c r="CJ125" s="120"/>
      <c r="CK125" s="120"/>
      <c r="CL125" s="120"/>
      <c r="CM125" s="120"/>
      <c r="CN125" s="120"/>
      <c r="CO125" s="209"/>
      <c r="CP125" s="205"/>
      <c r="CQ125" s="205">
        <f>SUM(CJ125:CP125)</f>
        <v>0</v>
      </c>
      <c r="CR125" s="120"/>
      <c r="CS125" s="120"/>
      <c r="CT125" s="120"/>
      <c r="CU125" s="120"/>
      <c r="CV125" s="120"/>
      <c r="CW125" s="209"/>
      <c r="CX125" s="205"/>
      <c r="CY125" s="205">
        <f>SUM(CR125:CX125)</f>
        <v>0</v>
      </c>
      <c r="CZ125" s="120"/>
      <c r="DA125" s="120"/>
      <c r="DB125" s="120"/>
      <c r="DC125" s="205"/>
      <c r="DD125" s="205"/>
      <c r="DE125" s="209"/>
      <c r="DF125" s="205"/>
      <c r="DG125" s="205">
        <f>SUM(CZ125:DF125)</f>
        <v>0</v>
      </c>
      <c r="DH125" s="205">
        <f t="shared" si="1428"/>
        <v>4200</v>
      </c>
      <c r="DI125" s="120"/>
      <c r="DJ125" s="120"/>
      <c r="DK125" s="120"/>
      <c r="DL125" s="120"/>
      <c r="DM125" s="120"/>
      <c r="DN125" s="209"/>
      <c r="DO125" s="205"/>
      <c r="DP125" s="205">
        <f t="shared" ref="DP125:DP190" si="1432">SUM(DI125:DO125)</f>
        <v>0</v>
      </c>
      <c r="DQ125" s="120"/>
      <c r="DR125" s="120"/>
      <c r="DS125" s="120"/>
      <c r="DT125" s="120"/>
      <c r="DU125" s="120"/>
      <c r="DV125" s="209"/>
      <c r="DW125" s="205"/>
      <c r="DX125" s="205">
        <f t="shared" ref="DX125:DX190" si="1433">SUM(DQ125:DW125)</f>
        <v>0</v>
      </c>
      <c r="DY125" s="120"/>
      <c r="DZ125" s="120"/>
      <c r="EA125" s="120"/>
      <c r="EB125" s="120"/>
      <c r="EC125" s="120"/>
      <c r="ED125" s="209"/>
      <c r="EE125" s="205"/>
      <c r="EF125" s="205">
        <f t="shared" ref="EF125:EF190" si="1434">SUM(DY125:EE125)</f>
        <v>0</v>
      </c>
      <c r="EG125" s="120"/>
      <c r="EH125" s="120"/>
      <c r="EI125" s="120"/>
      <c r="EJ125" s="205"/>
      <c r="EK125" s="205"/>
      <c r="EL125" s="209"/>
      <c r="EM125" s="205"/>
      <c r="EN125" s="205">
        <f t="shared" ref="EN125:EN190" si="1435">SUM(EG125:EM125)</f>
        <v>0</v>
      </c>
      <c r="EO125" s="205">
        <f t="shared" si="1429"/>
        <v>0</v>
      </c>
      <c r="EP125" s="120"/>
      <c r="EQ125" s="120"/>
      <c r="ER125" s="120"/>
      <c r="ES125" s="250">
        <v>2180</v>
      </c>
      <c r="ET125" s="120"/>
      <c r="EU125" s="209"/>
      <c r="EV125" s="205"/>
      <c r="EW125" s="205">
        <f t="shared" ref="EW125:EW190" si="1436">SUM(EP125:EV125)</f>
        <v>2180</v>
      </c>
      <c r="EX125" s="120"/>
      <c r="EY125" s="120"/>
      <c r="FA125" s="250">
        <v>4000</v>
      </c>
      <c r="FB125" s="120"/>
      <c r="FC125" s="209"/>
      <c r="FD125" s="205"/>
      <c r="FE125" s="205">
        <f t="shared" ref="FE125:FE190" si="1437">SUM(EX125:FD125)</f>
        <v>4000</v>
      </c>
      <c r="FF125" s="120"/>
      <c r="FG125" s="120"/>
      <c r="FH125" s="258"/>
      <c r="FI125" s="120"/>
      <c r="FJ125" s="120"/>
      <c r="FK125" s="209"/>
      <c r="FL125" s="205"/>
      <c r="FM125" s="205">
        <f t="shared" ref="FM125:FM190" si="1438">SUM(FF125:FL125)</f>
        <v>0</v>
      </c>
      <c r="FN125" s="120"/>
      <c r="FO125" s="120"/>
      <c r="FP125" s="120"/>
      <c r="FQ125" s="120"/>
      <c r="FR125" s="205"/>
      <c r="FS125" s="209"/>
      <c r="FT125" s="205"/>
      <c r="FU125" s="205">
        <f t="shared" ref="FU125:FU190" si="1439">SUM(FN125:FT125)</f>
        <v>0</v>
      </c>
      <c r="FV125" s="205">
        <f t="shared" si="1430"/>
        <v>6180</v>
      </c>
      <c r="FW125" s="120"/>
      <c r="FX125" s="120"/>
      <c r="FY125" s="120"/>
      <c r="FZ125" s="201">
        <v>4000</v>
      </c>
      <c r="GA125" s="120"/>
      <c r="GB125" s="209"/>
      <c r="GC125" s="205"/>
      <c r="GD125" s="205">
        <f t="shared" ref="GD125:GD190" si="1440">SUM(FW125:GC125)</f>
        <v>4000</v>
      </c>
      <c r="GE125" s="120"/>
      <c r="GF125" s="120"/>
      <c r="GG125" s="120"/>
      <c r="GH125" s="250">
        <v>4000</v>
      </c>
      <c r="GI125" s="120"/>
      <c r="GJ125" s="209"/>
      <c r="GK125" s="205"/>
      <c r="GL125" s="205">
        <f t="shared" ref="GL125:GL190" si="1441">SUM(GE125:GK125)</f>
        <v>4000</v>
      </c>
      <c r="GM125" s="120"/>
      <c r="GN125" s="120"/>
      <c r="GO125" s="120"/>
      <c r="GP125" s="123">
        <v>3741</v>
      </c>
      <c r="GQ125" s="120"/>
      <c r="GR125" s="209"/>
      <c r="GS125" s="205"/>
      <c r="GT125" s="205">
        <f t="shared" ref="GT125:GT190" si="1442">SUM(GM125:GS125)</f>
        <v>3741</v>
      </c>
      <c r="GU125" s="120"/>
      <c r="GV125" s="120"/>
      <c r="GW125" s="120"/>
      <c r="GX125" s="120"/>
      <c r="GY125" s="120"/>
      <c r="GZ125" s="209"/>
      <c r="HA125" s="205"/>
      <c r="HB125" s="205">
        <f t="shared" ref="HB125:HB190" si="1443">SUM(GU125:HA125)</f>
        <v>0</v>
      </c>
      <c r="HC125" s="120"/>
      <c r="HD125" s="120"/>
      <c r="HE125" s="120"/>
      <c r="HF125" s="120"/>
      <c r="HG125" s="120"/>
      <c r="HH125" s="209"/>
      <c r="HI125" s="205"/>
      <c r="HJ125" s="205">
        <f t="shared" ref="HJ125:HJ190" si="1444">SUM(HC125:HI125)</f>
        <v>0</v>
      </c>
      <c r="HK125" s="205">
        <f t="shared" si="1431"/>
        <v>11741</v>
      </c>
      <c r="HL125" s="124"/>
      <c r="HM125" s="120"/>
      <c r="HN125" s="120"/>
      <c r="HO125" s="120"/>
      <c r="HP125" s="120"/>
      <c r="HQ125" s="205"/>
      <c r="HR125" s="205"/>
      <c r="HS125" s="205">
        <f t="shared" ref="HS125:HS190" si="1445">SUM(HL125:HR125)</f>
        <v>0</v>
      </c>
      <c r="HT125" s="120"/>
      <c r="HU125" s="120"/>
      <c r="HV125" s="120"/>
      <c r="HW125" s="120"/>
      <c r="HX125" s="120"/>
      <c r="HY125" s="205"/>
      <c r="HZ125" s="205"/>
      <c r="IA125" s="205">
        <f t="shared" ref="IA125:IA190" si="1446">SUM(HT125:HZ125)</f>
        <v>0</v>
      </c>
      <c r="IB125" s="120"/>
      <c r="IC125" s="120"/>
      <c r="ID125" s="217">
        <v>140</v>
      </c>
      <c r="IE125" s="120"/>
      <c r="IF125" s="120"/>
      <c r="IG125" s="205"/>
      <c r="IH125" s="205"/>
      <c r="II125" s="205">
        <f t="shared" ref="II125:II190" si="1447">SUM(IB125:IH125)</f>
        <v>140</v>
      </c>
      <c r="IJ125" s="123">
        <v>200</v>
      </c>
      <c r="IK125" s="120"/>
      <c r="IL125" s="120"/>
      <c r="IM125" s="120"/>
      <c r="IN125" s="120"/>
      <c r="IO125" s="205"/>
      <c r="IP125" s="205"/>
      <c r="IQ125" s="205">
        <f t="shared" ref="IQ125:IQ190" si="1448">SUM(IJ125:IP125)</f>
        <v>200</v>
      </c>
      <c r="IR125" s="205">
        <f t="shared" ref="IR125:IR190" si="1449">SUM(IJ125:IM125,II125,IA125,HS125,HD125:HG125,HH125:HI125)</f>
        <v>340</v>
      </c>
      <c r="IS125" s="120"/>
      <c r="IT125" s="120"/>
      <c r="IU125" s="120"/>
      <c r="IV125" s="120"/>
      <c r="IW125" s="120"/>
      <c r="IX125" s="205"/>
      <c r="IY125" s="205"/>
      <c r="IZ125" s="205">
        <f t="shared" ref="IZ125:IZ190" si="1450">SUM(IS125:IY125)</f>
        <v>0</v>
      </c>
      <c r="JA125" s="120"/>
      <c r="JB125" s="120"/>
      <c r="JC125" s="120"/>
      <c r="JD125" s="120"/>
      <c r="JE125" s="120"/>
      <c r="JF125" s="205"/>
      <c r="JG125" s="205"/>
      <c r="JH125" s="205">
        <f t="shared" ref="JH125:JH190" si="1451">SUM(JA125:JG125)</f>
        <v>0</v>
      </c>
      <c r="JI125" s="120"/>
      <c r="JJ125" s="120"/>
      <c r="JK125" s="120"/>
      <c r="JL125" s="120"/>
      <c r="JM125" s="120"/>
      <c r="JN125" s="205"/>
      <c r="JO125" s="205"/>
      <c r="JP125" s="205">
        <f t="shared" ref="JP125:JP190" si="1452">SUM(JI125:JO125)</f>
        <v>0</v>
      </c>
      <c r="JQ125" s="120"/>
      <c r="JR125" s="120"/>
      <c r="JS125" s="120"/>
      <c r="JT125" s="120"/>
      <c r="JU125" s="120"/>
      <c r="JV125" s="205"/>
      <c r="JW125" s="205"/>
      <c r="JX125" s="205">
        <f t="shared" ref="JX125:JX190" si="1453">SUM(JQ125:JW125)</f>
        <v>0</v>
      </c>
      <c r="JY125" s="205">
        <f t="shared" ref="JY125:JY190" si="1454">SUM(JX125,JP125,JH125,IZ125,IN125:IP125)</f>
        <v>0</v>
      </c>
      <c r="JZ125" s="120"/>
      <c r="KA125" s="120"/>
      <c r="KB125" s="120"/>
      <c r="KC125" s="120"/>
      <c r="KD125" s="120"/>
      <c r="KE125" s="205"/>
      <c r="KF125" s="205"/>
      <c r="KG125" s="205">
        <f t="shared" ref="KG125:KG190" si="1455">SUM(JZ125:KF125)</f>
        <v>0</v>
      </c>
      <c r="KH125" s="120"/>
      <c r="KI125" s="120"/>
      <c r="KJ125" s="120"/>
      <c r="KK125" s="120"/>
      <c r="KL125" s="120"/>
      <c r="KM125" s="205"/>
      <c r="KN125" s="205"/>
      <c r="KO125" s="205">
        <f t="shared" ref="KO125:KO190" si="1456">SUM(KH125:KN125)</f>
        <v>0</v>
      </c>
      <c r="KP125" s="120"/>
      <c r="KQ125" s="120"/>
      <c r="KR125" s="120"/>
      <c r="KS125" s="120"/>
      <c r="KT125" s="120"/>
      <c r="KU125" s="205"/>
      <c r="KV125" s="205"/>
      <c r="KW125" s="205">
        <f t="shared" ref="KW125:KW190" si="1457">SUM(KP125:KV125)</f>
        <v>0</v>
      </c>
      <c r="KX125" s="120"/>
      <c r="KY125" s="120"/>
      <c r="KZ125" s="120"/>
      <c r="LA125" s="120"/>
      <c r="LB125" s="120"/>
      <c r="LC125" s="205"/>
      <c r="LD125" s="205"/>
      <c r="LE125" s="205">
        <f t="shared" ref="LE125:LE190" si="1458">SUM(KX125:LD125)</f>
        <v>0</v>
      </c>
      <c r="LF125" s="205"/>
      <c r="LG125" s="120"/>
      <c r="LH125" s="120"/>
      <c r="LI125" s="120"/>
      <c r="LJ125" s="120"/>
      <c r="LK125" s="205"/>
      <c r="LL125" s="205"/>
      <c r="LM125" s="205">
        <f t="shared" ref="LM125:LM190" si="1459">SUM(LF125:LL125)</f>
        <v>0</v>
      </c>
      <c r="LN125" s="205">
        <f t="shared" ref="LN125:LN190" si="1460">SUM(LF125:LG125,LE125,KW125,KO125,KG125)</f>
        <v>0</v>
      </c>
      <c r="LO125" s="205"/>
      <c r="LP125" s="120"/>
      <c r="LQ125" s="120"/>
      <c r="LR125" s="120"/>
      <c r="LS125" s="205"/>
      <c r="LT125" s="205"/>
      <c r="LU125" s="205"/>
      <c r="LV125" s="205">
        <f t="shared" ref="LV125:LV190" si="1461">SUM(LO125:LU125)</f>
        <v>0</v>
      </c>
      <c r="LW125" s="120"/>
      <c r="LX125" s="120"/>
      <c r="LY125" s="120"/>
      <c r="LZ125" s="120"/>
      <c r="MA125" s="120"/>
      <c r="MB125" s="205"/>
      <c r="MC125" s="205"/>
      <c r="MD125" s="205">
        <f t="shared" ref="MD125:MD190" si="1462">SUM(LW125:MC125)</f>
        <v>0</v>
      </c>
      <c r="ME125" s="120"/>
      <c r="MF125" s="120"/>
      <c r="MG125" s="120"/>
      <c r="MH125" s="120"/>
      <c r="MI125" s="205"/>
      <c r="MJ125" s="205"/>
      <c r="MK125" s="205"/>
      <c r="ML125" s="205">
        <f t="shared" ref="ML125:ML190" si="1463">SUM(ME125:MK125)</f>
        <v>0</v>
      </c>
      <c r="MM125" s="120"/>
      <c r="MN125" s="120"/>
      <c r="MO125" s="120"/>
      <c r="MP125" s="120"/>
      <c r="MQ125" s="120"/>
      <c r="MR125" s="205"/>
      <c r="MS125" s="205"/>
      <c r="MT125" s="205">
        <f t="shared" ref="MT125:MT190" si="1464">SUM(MM125:MS125)</f>
        <v>0</v>
      </c>
      <c r="MU125" s="205">
        <f t="shared" ref="MU125:MU190" si="1465">SUM(LH125:LL125,LV125,MD125,ML125,MM125:MQ125)</f>
        <v>0</v>
      </c>
      <c r="MV125" s="120"/>
      <c r="MW125" s="120"/>
      <c r="MX125" s="120"/>
      <c r="MY125" s="120"/>
      <c r="MZ125" s="120"/>
      <c r="NA125" s="205"/>
      <c r="NB125" s="205"/>
      <c r="NC125" s="205">
        <f t="shared" ref="NC125:NC190" si="1466">SUM(MV125:NB125)</f>
        <v>0</v>
      </c>
      <c r="ND125" s="120"/>
      <c r="NE125" s="120"/>
      <c r="NF125" s="120"/>
      <c r="NG125" s="120"/>
      <c r="NH125" s="120"/>
      <c r="NI125" s="205"/>
      <c r="NJ125" s="205"/>
      <c r="NK125" s="205">
        <f t="shared" ref="NK125:NK190" si="1467">SUM(ND125:NJ125)</f>
        <v>0</v>
      </c>
      <c r="NL125" s="120"/>
      <c r="NM125" s="120"/>
      <c r="NN125" s="120"/>
      <c r="NO125" s="120"/>
      <c r="NP125" s="120"/>
      <c r="NQ125" s="205"/>
      <c r="NR125" s="205"/>
      <c r="NS125" s="205">
        <f t="shared" ref="NS125:NS190" si="1468">SUM(NL125:NR125)</f>
        <v>0</v>
      </c>
      <c r="NT125" s="120"/>
      <c r="NU125" s="120"/>
      <c r="NV125" s="120"/>
      <c r="NW125" s="120"/>
      <c r="NX125" s="120"/>
      <c r="NY125" s="205"/>
      <c r="NZ125" s="205"/>
      <c r="OA125" s="205">
        <f t="shared" ref="OA125:OA190" si="1469">SUM(NT125:NZ125)</f>
        <v>0</v>
      </c>
      <c r="OB125" s="205">
        <f t="shared" ref="OB125:OB190" si="1470">SUM(MR125:MS125,NC125,NK125,NS125,OA125)</f>
        <v>0</v>
      </c>
      <c r="OC125" s="120"/>
      <c r="OD125" s="120"/>
      <c r="OE125" s="120"/>
      <c r="OF125" s="120"/>
      <c r="OG125" s="120"/>
      <c r="OH125" s="205"/>
      <c r="OI125" s="205"/>
      <c r="OJ125" s="205">
        <f t="shared" ref="OJ125:OJ190" si="1471">SUM(OC125:OI125)</f>
        <v>0</v>
      </c>
      <c r="OK125" s="120"/>
      <c r="OL125" s="120"/>
      <c r="OM125" s="120"/>
      <c r="ON125" s="120"/>
      <c r="OO125" s="120"/>
      <c r="OP125" s="205"/>
      <c r="OQ125" s="205"/>
      <c r="OR125" s="205">
        <f t="shared" ref="OR125:OR190" si="1472">SUM(OK125:OQ125)</f>
        <v>0</v>
      </c>
      <c r="OS125" s="120"/>
      <c r="OT125" s="120"/>
      <c r="OU125" s="120"/>
      <c r="OV125" s="120"/>
      <c r="OW125" s="120"/>
      <c r="OX125" s="205"/>
      <c r="OY125" s="205"/>
      <c r="OZ125" s="205">
        <f t="shared" ref="OZ125:OZ190" si="1473">SUM(OS125:OY125)</f>
        <v>0</v>
      </c>
      <c r="PA125" s="120"/>
      <c r="PB125" s="120"/>
      <c r="PC125" s="120"/>
      <c r="PD125" s="205"/>
      <c r="PE125" s="217"/>
      <c r="PF125" s="205"/>
      <c r="PG125" s="205"/>
      <c r="PH125" s="205">
        <f t="shared" ref="PH125:PH190" si="1474">SUM(PA125:PG125)</f>
        <v>0</v>
      </c>
      <c r="PI125" s="120"/>
      <c r="PJ125" s="120"/>
      <c r="PK125" s="120"/>
      <c r="PL125" s="205"/>
      <c r="PM125" s="217"/>
      <c r="PN125" s="205"/>
      <c r="PO125" s="205"/>
      <c r="PP125" s="205">
        <f t="shared" ref="PP125:PP190" si="1475">SUM(PI125:PO125)</f>
        <v>0</v>
      </c>
      <c r="PQ125" s="205">
        <f t="shared" ref="PQ125:PQ190" si="1476">SUM(OJ125,OR125,OZ125,PH125,PI125:PK125)</f>
        <v>0</v>
      </c>
      <c r="PR125" s="207"/>
      <c r="PS125" s="207"/>
      <c r="PT125" s="207"/>
      <c r="PU125" s="207"/>
      <c r="PV125" s="207"/>
      <c r="PW125" s="272"/>
      <c r="PX125" s="272"/>
      <c r="PY125" s="205">
        <f t="shared" ref="PY125:PY189" si="1477">SUM(PR125:PX125)</f>
        <v>0</v>
      </c>
      <c r="PZ125" s="207"/>
      <c r="QA125" s="207"/>
      <c r="QB125" s="207"/>
      <c r="QC125" s="207"/>
      <c r="QD125" s="207"/>
      <c r="QE125" s="272"/>
      <c r="QF125" s="272"/>
      <c r="QG125" s="205">
        <f t="shared" ref="QG125:QG189" si="1478">SUM(PZ125:QF125)</f>
        <v>0</v>
      </c>
      <c r="QH125" s="207"/>
      <c r="QI125" s="207"/>
      <c r="QJ125" s="294"/>
      <c r="QK125" s="207"/>
      <c r="QL125" s="207"/>
      <c r="QM125" s="272"/>
      <c r="QN125" s="272"/>
      <c r="QO125" s="205">
        <f t="shared" ref="QO125:QO189" si="1479">SUM(QH125:QN125)</f>
        <v>0</v>
      </c>
      <c r="QP125" s="207"/>
      <c r="QQ125" s="207"/>
      <c r="QR125" s="207"/>
      <c r="QS125" s="207"/>
      <c r="QT125" s="207"/>
      <c r="QU125" s="272"/>
      <c r="QV125" s="272"/>
      <c r="QW125" s="205">
        <f t="shared" ref="QW125:QW189" si="1480">SUM(QP125:QV125)</f>
        <v>0</v>
      </c>
      <c r="QX125" s="205">
        <f t="shared" ref="QX125:QX189" si="1481">SUM(QW125,QO125,QG125,PY125,PL125,PM125,PN125,PO125)</f>
        <v>0</v>
      </c>
      <c r="QY125" s="207"/>
      <c r="QZ125" s="207"/>
      <c r="RA125" s="207"/>
      <c r="RB125" s="207"/>
      <c r="RC125" s="207"/>
      <c r="RD125" s="272"/>
      <c r="RE125" s="272"/>
      <c r="RF125" s="205">
        <f t="shared" ref="RF125:RF189" si="1482">SUM(QY125:RE125)</f>
        <v>0</v>
      </c>
      <c r="RG125" s="207"/>
      <c r="RH125" s="207"/>
      <c r="RI125" s="207"/>
      <c r="RJ125" s="207"/>
      <c r="RK125" s="207"/>
      <c r="RL125" s="272"/>
      <c r="RM125" s="272"/>
      <c r="RN125" s="205">
        <f t="shared" ref="RN125:RN189" si="1483">SUM(RG125:RM125)</f>
        <v>0</v>
      </c>
      <c r="RO125" s="272"/>
      <c r="RP125" s="272"/>
      <c r="RQ125" s="272"/>
      <c r="RR125" s="272"/>
      <c r="RS125" s="272"/>
      <c r="RT125" s="272"/>
      <c r="RU125" s="272"/>
      <c r="RV125" s="205">
        <f t="shared" ref="RV125:RV189" si="1484">SUM(RO125:RU125)</f>
        <v>0</v>
      </c>
      <c r="RW125" s="207"/>
      <c r="RX125" s="207"/>
      <c r="RY125" s="207"/>
      <c r="RZ125" s="207"/>
      <c r="SA125" s="272"/>
      <c r="SB125" s="272"/>
      <c r="SC125" s="272"/>
      <c r="SD125" s="205">
        <f t="shared" ref="SD125:SD189" si="1485">SUM(RW125:SC125)</f>
        <v>0</v>
      </c>
      <c r="SE125" s="205">
        <f t="shared" ref="SE125:SE189" si="1486">SUM(SD125,RV125,RN125,RF125,QV125)</f>
        <v>0</v>
      </c>
      <c r="SF125" s="207"/>
      <c r="SG125" s="207"/>
      <c r="SH125" s="207"/>
      <c r="SI125" s="207"/>
      <c r="SJ125" s="207"/>
      <c r="SK125" s="272"/>
      <c r="SL125" s="272"/>
      <c r="SM125" s="205">
        <f t="shared" ref="SM125:SM189" si="1487">SUM(SF125:SL125)</f>
        <v>0</v>
      </c>
      <c r="SN125" s="207"/>
      <c r="SO125" s="207"/>
      <c r="SP125" s="207"/>
      <c r="SQ125" s="207"/>
      <c r="SR125" s="207"/>
      <c r="SS125" s="272"/>
      <c r="ST125" s="272"/>
      <c r="SU125" s="205">
        <f t="shared" ref="SU125:SU189" si="1488">SUM(SN125:ST125)</f>
        <v>0</v>
      </c>
      <c r="SV125" s="207"/>
      <c r="SW125" s="207"/>
      <c r="SX125" s="207"/>
      <c r="SY125" s="207"/>
      <c r="SZ125" s="207"/>
      <c r="TA125" s="272"/>
      <c r="TB125" s="272"/>
      <c r="TC125" s="205">
        <f t="shared" ref="TC125:TC189" si="1489">SUM(SV125:TB125)</f>
        <v>0</v>
      </c>
      <c r="TD125" s="207"/>
      <c r="TE125" s="207"/>
      <c r="TF125" s="207"/>
      <c r="TG125" s="207"/>
      <c r="TH125" s="207"/>
      <c r="TI125" s="272"/>
      <c r="TJ125" s="272"/>
      <c r="TK125" s="205">
        <f t="shared" ref="TK125:TK189" si="1490">SUM(TD125:TJ125)</f>
        <v>0</v>
      </c>
      <c r="TL125" s="207"/>
      <c r="TM125" s="207"/>
      <c r="TN125" s="207"/>
      <c r="TO125" s="207"/>
      <c r="TP125" s="272"/>
      <c r="TQ125" s="272"/>
      <c r="TR125" s="272"/>
      <c r="TS125" s="205">
        <f t="shared" ref="TS125:TS189" si="1491">SUM(TL125:TR125)</f>
        <v>0</v>
      </c>
      <c r="TT125" s="205">
        <f t="shared" ref="TT125:TT189" si="1492">SUM(TL125:TM125,TK125,TC125,SU125,SM125,SC125)</f>
        <v>0</v>
      </c>
      <c r="TU125" s="272"/>
      <c r="TV125" s="207"/>
      <c r="TW125" s="207"/>
      <c r="TX125" s="207"/>
      <c r="TY125" s="207"/>
      <c r="TZ125" s="272"/>
      <c r="UA125" s="272"/>
      <c r="UB125" s="205">
        <f t="shared" ref="UB125:UB189" si="1493">SUM(TU125:UA125)</f>
        <v>0</v>
      </c>
      <c r="UC125" s="207"/>
      <c r="UD125" s="207"/>
      <c r="UE125" s="207"/>
      <c r="UF125" s="207"/>
      <c r="UG125" s="207"/>
      <c r="UH125" s="272"/>
      <c r="UI125" s="272"/>
      <c r="UJ125" s="205">
        <f t="shared" ref="UJ125:UJ189" si="1494">SUM(UC125:UI125)</f>
        <v>0</v>
      </c>
      <c r="UK125" s="207"/>
      <c r="UL125" s="207"/>
      <c r="UM125" s="207"/>
      <c r="UN125" s="207"/>
      <c r="UO125" s="207"/>
      <c r="UP125" s="272"/>
      <c r="UQ125" s="272"/>
      <c r="UR125" s="205">
        <f t="shared" ref="UR125:UR189" si="1495">SUM(UK125:UQ125)</f>
        <v>0</v>
      </c>
      <c r="US125" s="207"/>
      <c r="UT125" s="207"/>
      <c r="UU125" s="207"/>
      <c r="UV125" s="207"/>
      <c r="UW125" s="272"/>
      <c r="UX125" s="272"/>
      <c r="UY125" s="272"/>
      <c r="UZ125" s="205">
        <f t="shared" ref="UZ125:UZ189" si="1496">SUM(US125:UY125)</f>
        <v>0</v>
      </c>
      <c r="VA125" s="205">
        <f t="shared" ref="VA125:VA189" si="1497">SUM(TN125:TR125,UB125,UJ125,UR125,US125:UV125)</f>
        <v>0</v>
      </c>
      <c r="VB125" s="207"/>
      <c r="VC125" s="207"/>
      <c r="VD125" s="207"/>
      <c r="VE125" s="207"/>
      <c r="VF125" s="207"/>
      <c r="VG125" s="272"/>
      <c r="VH125" s="272"/>
      <c r="VI125" s="205">
        <f t="shared" ref="VI125:VI189" si="1498">SUM(VB125:VH125)</f>
        <v>0</v>
      </c>
      <c r="VJ125" s="207"/>
      <c r="VK125" s="207"/>
      <c r="VL125" s="207"/>
      <c r="VM125" s="207"/>
      <c r="VN125" s="207"/>
      <c r="VO125" s="272"/>
      <c r="VP125" s="272"/>
      <c r="VQ125" s="205">
        <f t="shared" ref="VQ125:VQ189" si="1499">SUM(VJ125:VP125)</f>
        <v>0</v>
      </c>
      <c r="VR125" s="207"/>
      <c r="VS125" s="207"/>
      <c r="VT125" s="207"/>
      <c r="VU125" s="207"/>
      <c r="VV125" s="207"/>
      <c r="VW125" s="272"/>
      <c r="VX125" s="272"/>
      <c r="VY125" s="205">
        <f t="shared" ref="VY125:VY189" si="1500">SUM(VR125:VX125)</f>
        <v>0</v>
      </c>
      <c r="VZ125" s="207"/>
      <c r="WA125" s="207"/>
      <c r="WB125" s="207"/>
      <c r="WC125" s="207"/>
      <c r="WD125" s="207"/>
      <c r="WE125" s="272"/>
      <c r="WF125" s="272"/>
      <c r="WG125" s="205">
        <f t="shared" ref="WG125:WG189" si="1501">SUM(VZ125:WF125)</f>
        <v>0</v>
      </c>
      <c r="WH125" s="205">
        <f t="shared" ref="WH125:WH189" si="1502">SUM(WG125,VY125,VQ125,VI125,UW125:UY125)</f>
        <v>0</v>
      </c>
      <c r="WI125" s="207"/>
      <c r="WJ125" s="207"/>
      <c r="WK125" s="207"/>
      <c r="WL125" s="207"/>
      <c r="WM125" s="207"/>
      <c r="WN125" s="272"/>
      <c r="WO125" s="272"/>
      <c r="WP125" s="205">
        <f t="shared" ref="WP125:WP189" si="1503">SUM(WI125:WO125)</f>
        <v>0</v>
      </c>
      <c r="WQ125" s="207"/>
      <c r="WR125" s="207"/>
      <c r="WS125" s="207"/>
      <c r="WT125" s="207"/>
      <c r="WU125" s="207"/>
      <c r="WV125" s="272"/>
      <c r="WW125" s="272"/>
      <c r="WX125" s="205">
        <f t="shared" ref="WX125:WX189" si="1504">SUM(WQ125:WW125)</f>
        <v>0</v>
      </c>
      <c r="WY125" s="207"/>
      <c r="WZ125" s="207"/>
      <c r="XA125" s="207"/>
      <c r="XB125" s="207"/>
      <c r="XC125" s="272"/>
      <c r="XD125" s="272"/>
      <c r="XE125" s="272"/>
      <c r="XF125" s="205">
        <f t="shared" ref="XF125:XF189" si="1505">SUM(WY125:XE125)</f>
        <v>0</v>
      </c>
      <c r="XG125" s="207"/>
      <c r="XH125" s="207"/>
      <c r="XI125" s="207"/>
      <c r="XJ125" s="207"/>
      <c r="XK125" s="207"/>
      <c r="XL125" s="272"/>
      <c r="XM125" s="272"/>
      <c r="XN125" s="205">
        <f t="shared" ref="XN125:XN189" si="1506">SUM(XG125:XM125)</f>
        <v>0</v>
      </c>
      <c r="XO125" s="207"/>
      <c r="XP125" s="207"/>
      <c r="XQ125" s="207"/>
      <c r="XR125" s="207"/>
      <c r="XS125" s="207"/>
      <c r="XT125" s="272"/>
      <c r="XU125" s="272"/>
      <c r="XV125" s="205">
        <f t="shared" ref="XV125:XV189" si="1507">SUM(XO125:XU125)</f>
        <v>0</v>
      </c>
      <c r="XW125" s="205">
        <f t="shared" ref="XW125:XW189" si="1508">SUM(XO125:XP125,XN125,XF125,WX125,WP125)</f>
        <v>0</v>
      </c>
      <c r="XX125" s="207"/>
      <c r="XY125" s="207"/>
      <c r="XZ125" s="207"/>
      <c r="YA125" s="207"/>
      <c r="YB125" s="207"/>
      <c r="YC125" s="272"/>
      <c r="YD125" s="272"/>
      <c r="YE125" s="205">
        <f t="shared" ref="YE125:YE188" si="1509">SUM(XX125:YD125)</f>
        <v>0</v>
      </c>
      <c r="YF125" s="207"/>
      <c r="YG125" s="207"/>
      <c r="YH125" s="207"/>
      <c r="YI125" s="207"/>
      <c r="YJ125" s="207"/>
      <c r="YK125" s="272"/>
      <c r="YL125" s="272"/>
      <c r="YM125" s="205">
        <f t="shared" ref="YM125:YM188" si="1510">SUM(YF125:YL125)</f>
        <v>0</v>
      </c>
      <c r="YN125" s="207"/>
      <c r="YO125" s="207"/>
      <c r="YP125" s="207"/>
      <c r="YQ125" s="207"/>
      <c r="YR125" s="207"/>
      <c r="YS125" s="272"/>
      <c r="YT125" s="272"/>
      <c r="YU125" s="205">
        <f t="shared" ref="YU125:YU188" si="1511">SUM(YN125:YT125)</f>
        <v>0</v>
      </c>
      <c r="YV125" s="207"/>
      <c r="YW125" s="207"/>
      <c r="YX125" s="207"/>
      <c r="YY125" s="207"/>
      <c r="YZ125" s="207"/>
      <c r="ZA125" s="272"/>
      <c r="ZB125" s="272"/>
      <c r="ZC125" s="205">
        <f t="shared" ref="ZC125:ZC188" si="1512">SUM(YV125:ZB125)</f>
        <v>0</v>
      </c>
      <c r="ZD125" s="205">
        <f t="shared" ref="ZD125:ZD188" si="1513">SUM(YV125:YW125,YU125,YM125,YE125,XW125)</f>
        <v>0</v>
      </c>
      <c r="ZE125" s="207"/>
      <c r="ZF125" s="207"/>
      <c r="ZG125" s="207"/>
      <c r="ZH125" s="207"/>
      <c r="ZI125" s="207"/>
      <c r="ZJ125" s="272"/>
      <c r="ZK125" s="272"/>
      <c r="ZL125" s="205">
        <f t="shared" ref="ZL125:ZL188" si="1514">SUM(ZE125:ZK125)</f>
        <v>0</v>
      </c>
      <c r="ZM125" s="207"/>
      <c r="ZN125" s="207"/>
      <c r="ZO125" s="207"/>
      <c r="ZP125" s="207"/>
      <c r="ZQ125" s="207"/>
      <c r="ZR125" s="272"/>
      <c r="ZS125" s="272"/>
      <c r="ZT125" s="205">
        <f t="shared" ref="ZT125:ZT188" si="1515">SUM(ZM125:ZS125)</f>
        <v>0</v>
      </c>
      <c r="ZU125" s="207"/>
      <c r="ZV125" s="207"/>
      <c r="ZW125" s="207"/>
      <c r="ZX125" s="207"/>
      <c r="ZY125" s="207"/>
      <c r="ZZ125" s="272"/>
      <c r="AAA125" s="272"/>
      <c r="AAB125" s="205">
        <f t="shared" ref="AAB125:AAB188" si="1516">SUM(ZU125:AAA125)</f>
        <v>0</v>
      </c>
      <c r="AAC125" s="207"/>
      <c r="AAD125" s="207"/>
      <c r="AAE125" s="207"/>
      <c r="AAF125" s="207"/>
      <c r="AAG125" s="207"/>
      <c r="AAH125" s="272"/>
      <c r="AAI125" s="272"/>
      <c r="AAJ125" s="205">
        <f t="shared" ref="AAJ125:AAJ188" si="1517">SUM(AAC125:AAI125)</f>
        <v>0</v>
      </c>
      <c r="AAK125" s="207"/>
      <c r="AAL125" s="207"/>
      <c r="AAM125" s="207"/>
      <c r="AAN125" s="207"/>
      <c r="AAO125" s="207"/>
      <c r="AAP125" s="272"/>
      <c r="AAQ125" s="272"/>
      <c r="AAR125" s="205">
        <f t="shared" ref="AAR125:AAR188" si="1518">SUM(AAK125:AAQ125)</f>
        <v>0</v>
      </c>
      <c r="AAS125" s="205">
        <f t="shared" ref="AAS125:AAS188" si="1519">SUM(AAK125:AAL125,AAJ125,AAB125,ZT125,ZL125)</f>
        <v>0</v>
      </c>
      <c r="ABR125" s="118" ph="1"/>
      <c r="ABS125" s="118" ph="1"/>
      <c r="ABT125" s="118" ph="1"/>
      <c r="ABU125" s="118" ph="1"/>
      <c r="ABV125" s="118" ph="1"/>
      <c r="ABW125" s="118" ph="1"/>
      <c r="ABX125" s="118" ph="1"/>
      <c r="ABY125" s="118" ph="1"/>
      <c r="ABZ125" s="118" ph="1"/>
      <c r="ACA125" s="118" ph="1"/>
      <c r="ACB125" s="118" ph="1"/>
      <c r="ACC125" s="118" ph="1"/>
      <c r="ACD125" s="118" ph="1"/>
      <c r="ACE125" s="118" ph="1"/>
      <c r="ACF125" s="118" ph="1"/>
      <c r="ACG125" s="118" ph="1"/>
      <c r="ACH125" s="118" ph="1"/>
      <c r="ACI125" s="118" ph="1"/>
      <c r="ACJ125" s="118" ph="1"/>
      <c r="ACK125" s="118" ph="1"/>
      <c r="ACL125" s="118" ph="1"/>
      <c r="ACM125" s="118" ph="1"/>
      <c r="ACN125" s="118" ph="1"/>
      <c r="ACO125" s="118" ph="1"/>
      <c r="ACP125" s="118" ph="1"/>
      <c r="ACQ125" s="118" ph="1"/>
      <c r="ACR125" s="118" ph="1"/>
      <c r="ACS125" s="118" ph="1"/>
      <c r="ACT125" s="118" ph="1"/>
      <c r="ACU125" s="118" ph="1"/>
      <c r="ACV125" s="118" ph="1"/>
      <c r="ACW125" s="118" ph="1"/>
    </row>
    <row r="126" spans="2:777" ht="99" customHeight="1">
      <c r="B126" s="176">
        <v>5701000131</v>
      </c>
      <c r="C126" s="334" t="s">
        <v>815</v>
      </c>
      <c r="D126" s="252" t="s">
        <v>742</v>
      </c>
      <c r="E126" s="130" t="s">
        <v>4</v>
      </c>
      <c r="F126" s="120"/>
      <c r="G126" s="120"/>
      <c r="H126" s="120"/>
      <c r="I126" s="120"/>
      <c r="J126" s="120"/>
      <c r="K126" s="209"/>
      <c r="L126" s="205"/>
      <c r="M126" s="205">
        <f t="shared" ref="M126:M190" si="1520">SUM(F126:L126)</f>
        <v>0</v>
      </c>
      <c r="N126" s="120"/>
      <c r="O126" s="120"/>
      <c r="P126" s="120"/>
      <c r="Q126" s="120"/>
      <c r="R126" s="120"/>
      <c r="S126" s="209"/>
      <c r="T126" s="205"/>
      <c r="U126" s="205">
        <f t="shared" ref="U126:U190" si="1521">SUM(N126:T126)</f>
        <v>0</v>
      </c>
      <c r="V126" s="120"/>
      <c r="W126" s="120"/>
      <c r="X126" s="120"/>
      <c r="Y126" s="120"/>
      <c r="Z126" s="120"/>
      <c r="AA126" s="209"/>
      <c r="AB126" s="205"/>
      <c r="AC126" s="205">
        <f t="shared" ref="AC126:AC190" si="1522">SUM(V126:AB126)</f>
        <v>0</v>
      </c>
      <c r="AD126" s="205"/>
      <c r="AE126" s="205"/>
      <c r="AF126" s="205"/>
      <c r="AG126" s="205"/>
      <c r="AH126" s="205"/>
      <c r="AI126" s="209"/>
      <c r="AJ126" s="205"/>
      <c r="AK126" s="205">
        <f t="shared" ref="AK126:AK190" si="1523">SUM(AD126:AJ126)</f>
        <v>0</v>
      </c>
      <c r="AL126" s="205" t="e">
        <f>SUM(#REF!,M126,U126,AC126,AD126:AH126)</f>
        <v>#REF!</v>
      </c>
      <c r="AM126" s="120"/>
      <c r="AN126" s="120"/>
      <c r="AO126" s="120"/>
      <c r="AP126" s="120"/>
      <c r="AQ126" s="120"/>
      <c r="AR126" s="209"/>
      <c r="AS126" s="205"/>
      <c r="AT126" s="205">
        <f t="shared" ref="AT126:AT190" si="1524">SUM(AM126:AS126)</f>
        <v>0</v>
      </c>
      <c r="AU126" s="120"/>
      <c r="AV126" s="120"/>
      <c r="AW126" s="120"/>
      <c r="AX126" s="120"/>
      <c r="AY126" s="120"/>
      <c r="AZ126" s="209"/>
      <c r="BA126" s="205"/>
      <c r="BB126" s="205">
        <f t="shared" ref="BB126:BB190" si="1525">SUM(AU126:BA126)</f>
        <v>0</v>
      </c>
      <c r="BC126" s="120"/>
      <c r="BD126" s="120"/>
      <c r="BE126" s="120"/>
      <c r="BF126" s="120"/>
      <c r="BG126" s="120"/>
      <c r="BH126" s="209"/>
      <c r="BI126" s="205"/>
      <c r="BJ126" s="205">
        <f t="shared" ref="BJ126:BJ190" si="1526">SUM(BC126:BI126)</f>
        <v>0</v>
      </c>
      <c r="BK126" s="120"/>
      <c r="BL126" s="120"/>
      <c r="BM126" s="120"/>
      <c r="BN126" s="120"/>
      <c r="BO126" s="205"/>
      <c r="BP126" s="209"/>
      <c r="BQ126" s="205"/>
      <c r="BR126" s="205">
        <f t="shared" ref="BR126:BR190" si="1527">SUM(BK126:BQ126)</f>
        <v>0</v>
      </c>
      <c r="BS126" s="205">
        <f t="shared" si="1427"/>
        <v>0</v>
      </c>
      <c r="BT126" s="120"/>
      <c r="BU126" s="120"/>
      <c r="BV126" s="120"/>
      <c r="BW126" s="120"/>
      <c r="BX126" s="120"/>
      <c r="BY126" s="209"/>
      <c r="BZ126" s="205"/>
      <c r="CA126" s="205">
        <f t="shared" ref="CA126:CA190" si="1528">SUM(BT126:BZ126)</f>
        <v>0</v>
      </c>
      <c r="CB126" s="120"/>
      <c r="CC126" s="120"/>
      <c r="CD126" s="120"/>
      <c r="CE126" s="120"/>
      <c r="CF126" s="120"/>
      <c r="CG126" s="209"/>
      <c r="CH126" s="205"/>
      <c r="CI126" s="205">
        <f t="shared" ref="CI126:CI190" si="1529">SUM(CB126:CH126)</f>
        <v>0</v>
      </c>
      <c r="CJ126" s="120"/>
      <c r="CK126" s="120"/>
      <c r="CL126" s="120"/>
      <c r="CM126" s="120"/>
      <c r="CN126" s="120"/>
      <c r="CO126" s="209"/>
      <c r="CP126" s="205"/>
      <c r="CQ126" s="205">
        <f t="shared" ref="CQ126:CQ190" si="1530">SUM(CJ126:CP126)</f>
        <v>0</v>
      </c>
      <c r="CR126" s="120"/>
      <c r="CS126" s="120"/>
      <c r="CT126" s="120"/>
      <c r="CU126" s="120"/>
      <c r="CV126" s="120"/>
      <c r="CW126" s="209"/>
      <c r="CX126" s="205"/>
      <c r="CY126" s="205">
        <f t="shared" ref="CY126:CY190" si="1531">SUM(CR126:CX126)</f>
        <v>0</v>
      </c>
      <c r="CZ126" s="120"/>
      <c r="DA126" s="120"/>
      <c r="DB126" s="120"/>
      <c r="DC126" s="205"/>
      <c r="DD126" s="205"/>
      <c r="DE126" s="209"/>
      <c r="DF126" s="205"/>
      <c r="DG126" s="205">
        <f t="shared" ref="DG126:DG190" si="1532">SUM(CZ126:DF126)</f>
        <v>0</v>
      </c>
      <c r="DH126" s="205">
        <f t="shared" si="1428"/>
        <v>0</v>
      </c>
      <c r="DI126" s="120"/>
      <c r="DJ126" s="120"/>
      <c r="DK126" s="120"/>
      <c r="DL126" s="120"/>
      <c r="DM126" s="120"/>
      <c r="DN126" s="209"/>
      <c r="DO126" s="205"/>
      <c r="DP126" s="205">
        <f t="shared" si="1432"/>
        <v>0</v>
      </c>
      <c r="DQ126" s="120"/>
      <c r="DR126" s="120"/>
      <c r="DS126" s="120"/>
      <c r="DT126" s="120"/>
      <c r="DU126" s="120"/>
      <c r="DV126" s="209"/>
      <c r="DW126" s="205"/>
      <c r="DX126" s="205">
        <f t="shared" si="1433"/>
        <v>0</v>
      </c>
      <c r="DY126" s="120"/>
      <c r="DZ126" s="120"/>
      <c r="EA126" s="120"/>
      <c r="EB126" s="120"/>
      <c r="EC126" s="120"/>
      <c r="ED126" s="209"/>
      <c r="EE126" s="205"/>
      <c r="EF126" s="205">
        <f t="shared" si="1434"/>
        <v>0</v>
      </c>
      <c r="EG126" s="120"/>
      <c r="EH126" s="120"/>
      <c r="EI126" s="120"/>
      <c r="EJ126" s="205"/>
      <c r="EK126" s="205"/>
      <c r="EL126" s="209"/>
      <c r="EM126" s="205"/>
      <c r="EN126" s="205">
        <f t="shared" si="1435"/>
        <v>0</v>
      </c>
      <c r="EO126" s="205">
        <f t="shared" si="1429"/>
        <v>0</v>
      </c>
      <c r="EP126" s="120"/>
      <c r="EQ126" s="120"/>
      <c r="ER126" s="120"/>
      <c r="ES126" s="120"/>
      <c r="ET126" s="120"/>
      <c r="EU126" s="209"/>
      <c r="EV126" s="205"/>
      <c r="EW126" s="205">
        <f t="shared" si="1436"/>
        <v>0</v>
      </c>
      <c r="EX126" s="120"/>
      <c r="EY126" s="120"/>
      <c r="EZ126" s="120"/>
      <c r="FA126" s="120"/>
      <c r="FB126" s="120"/>
      <c r="FC126" s="209"/>
      <c r="FD126" s="205"/>
      <c r="FE126" s="205">
        <f t="shared" si="1437"/>
        <v>0</v>
      </c>
      <c r="FF126" s="120"/>
      <c r="FG126" s="120"/>
      <c r="FH126" s="120"/>
      <c r="FI126" s="120"/>
      <c r="FJ126" s="120"/>
      <c r="FK126" s="209"/>
      <c r="FL126" s="205"/>
      <c r="FM126" s="205">
        <f t="shared" si="1438"/>
        <v>0</v>
      </c>
      <c r="FN126" s="120"/>
      <c r="FO126" s="120"/>
      <c r="FP126" s="120"/>
      <c r="FQ126" s="120"/>
      <c r="FR126" s="205"/>
      <c r="FS126" s="209"/>
      <c r="FT126" s="205"/>
      <c r="FU126" s="205">
        <f t="shared" si="1439"/>
        <v>0</v>
      </c>
      <c r="FV126" s="205">
        <f t="shared" si="1430"/>
        <v>0</v>
      </c>
      <c r="FW126" s="120"/>
      <c r="FX126" s="120"/>
      <c r="FY126" s="120"/>
      <c r="FZ126" s="120"/>
      <c r="GA126" s="120"/>
      <c r="GB126" s="209"/>
      <c r="GC126" s="205"/>
      <c r="GD126" s="205">
        <f t="shared" si="1440"/>
        <v>0</v>
      </c>
      <c r="GE126" s="120"/>
      <c r="GF126" s="120"/>
      <c r="GG126" s="120"/>
      <c r="GH126" s="120"/>
      <c r="GI126" s="120"/>
      <c r="GJ126" s="209"/>
      <c r="GK126" s="205"/>
      <c r="GL126" s="205">
        <f t="shared" si="1441"/>
        <v>0</v>
      </c>
      <c r="GM126" s="120"/>
      <c r="GN126" s="120"/>
      <c r="GO126" s="120"/>
      <c r="GP126" s="120"/>
      <c r="GQ126" s="120"/>
      <c r="GR126" s="209"/>
      <c r="GS126" s="205"/>
      <c r="GT126" s="205">
        <f t="shared" si="1442"/>
        <v>0</v>
      </c>
      <c r="GU126" s="120"/>
      <c r="GV126" s="120"/>
      <c r="GW126" s="120"/>
      <c r="GX126" s="120"/>
      <c r="GY126" s="120"/>
      <c r="GZ126" s="209"/>
      <c r="HA126" s="205"/>
      <c r="HB126" s="205">
        <f t="shared" si="1443"/>
        <v>0</v>
      </c>
      <c r="HC126" s="120"/>
      <c r="HD126" s="120"/>
      <c r="HE126" s="120"/>
      <c r="HF126" s="120"/>
      <c r="HG126" s="120"/>
      <c r="HH126" s="209"/>
      <c r="HI126" s="205"/>
      <c r="HJ126" s="205">
        <f t="shared" si="1444"/>
        <v>0</v>
      </c>
      <c r="HK126" s="205">
        <f t="shared" si="1431"/>
        <v>0</v>
      </c>
      <c r="HL126" s="124"/>
      <c r="HM126" s="120"/>
      <c r="HN126" s="120"/>
      <c r="HO126" s="120"/>
      <c r="HP126" s="120"/>
      <c r="HQ126" s="205"/>
      <c r="HR126" s="205"/>
      <c r="HS126" s="205">
        <f t="shared" si="1445"/>
        <v>0</v>
      </c>
      <c r="HT126" s="120"/>
      <c r="HU126" s="120"/>
      <c r="HV126" s="120"/>
      <c r="HW126" s="120"/>
      <c r="HX126" s="120"/>
      <c r="HY126" s="205"/>
      <c r="HZ126" s="205"/>
      <c r="IA126" s="205">
        <f t="shared" si="1446"/>
        <v>0</v>
      </c>
      <c r="IB126" s="120"/>
      <c r="IC126" s="120"/>
      <c r="ID126" s="217">
        <v>2110</v>
      </c>
      <c r="IE126" s="217">
        <v>4000</v>
      </c>
      <c r="IF126" s="217">
        <v>4000</v>
      </c>
      <c r="IG126" s="205"/>
      <c r="IH126" s="205"/>
      <c r="II126" s="205">
        <f t="shared" si="1447"/>
        <v>10110</v>
      </c>
      <c r="IJ126" s="123">
        <v>1100</v>
      </c>
      <c r="IK126" s="120"/>
      <c r="IL126" s="120"/>
      <c r="IM126" s="120"/>
      <c r="IN126" s="120"/>
      <c r="IO126" s="205"/>
      <c r="IP126" s="205"/>
      <c r="IQ126" s="205">
        <f t="shared" si="1448"/>
        <v>1100</v>
      </c>
      <c r="IR126" s="205">
        <f t="shared" si="1449"/>
        <v>11210</v>
      </c>
      <c r="IS126" s="120"/>
      <c r="IT126" s="120"/>
      <c r="IU126" s="120"/>
      <c r="IV126" s="120"/>
      <c r="IW126" s="120"/>
      <c r="IX126" s="205"/>
      <c r="IY126" s="205"/>
      <c r="IZ126" s="205">
        <f t="shared" si="1450"/>
        <v>0</v>
      </c>
      <c r="JA126" s="120"/>
      <c r="JB126" s="120"/>
      <c r="JC126" s="120"/>
      <c r="JD126" s="120"/>
      <c r="JE126" s="120"/>
      <c r="JF126" s="205"/>
      <c r="JG126" s="205"/>
      <c r="JH126" s="205">
        <f t="shared" si="1451"/>
        <v>0</v>
      </c>
      <c r="JI126" s="120"/>
      <c r="JJ126" s="120"/>
      <c r="JK126" s="120"/>
      <c r="JL126" s="120"/>
      <c r="JM126" s="120"/>
      <c r="JN126" s="205"/>
      <c r="JO126" s="205"/>
      <c r="JP126" s="205">
        <f t="shared" si="1452"/>
        <v>0</v>
      </c>
      <c r="JQ126" s="120"/>
      <c r="JR126" s="120"/>
      <c r="JS126" s="120"/>
      <c r="JT126" s="120"/>
      <c r="JU126" s="120"/>
      <c r="JV126" s="205"/>
      <c r="JW126" s="205"/>
      <c r="JX126" s="205">
        <f t="shared" si="1453"/>
        <v>0</v>
      </c>
      <c r="JY126" s="205">
        <f t="shared" si="1454"/>
        <v>0</v>
      </c>
      <c r="JZ126" s="120"/>
      <c r="KA126" s="120"/>
      <c r="KB126" s="120"/>
      <c r="KC126" s="120"/>
      <c r="KD126" s="120"/>
      <c r="KE126" s="205"/>
      <c r="KF126" s="205"/>
      <c r="KG126" s="205">
        <f>SUM(JZ126:KF126)</f>
        <v>0</v>
      </c>
      <c r="KH126" s="120"/>
      <c r="KI126" s="120"/>
      <c r="KJ126" s="120"/>
      <c r="KK126" s="120"/>
      <c r="KL126" s="120"/>
      <c r="KM126" s="205"/>
      <c r="KN126" s="205"/>
      <c r="KO126" s="205">
        <f t="shared" si="1456"/>
        <v>0</v>
      </c>
      <c r="KP126" s="120"/>
      <c r="KQ126" s="120"/>
      <c r="KR126" s="120"/>
      <c r="KS126" s="120"/>
      <c r="KT126" s="120"/>
      <c r="KU126" s="205"/>
      <c r="KV126" s="205"/>
      <c r="KW126" s="205">
        <f t="shared" si="1457"/>
        <v>0</v>
      </c>
      <c r="KX126" s="120"/>
      <c r="KY126" s="120"/>
      <c r="KZ126" s="120"/>
      <c r="LA126" s="120"/>
      <c r="LB126" s="120"/>
      <c r="LC126" s="205"/>
      <c r="LD126" s="205"/>
      <c r="LE126" s="205">
        <f t="shared" si="1458"/>
        <v>0</v>
      </c>
      <c r="LF126" s="205"/>
      <c r="LG126" s="120"/>
      <c r="LH126" s="120"/>
      <c r="LI126" s="120"/>
      <c r="LJ126" s="120"/>
      <c r="LK126" s="205"/>
      <c r="LL126" s="205"/>
      <c r="LM126" s="205">
        <f t="shared" si="1459"/>
        <v>0</v>
      </c>
      <c r="LN126" s="205">
        <f t="shared" si="1460"/>
        <v>0</v>
      </c>
      <c r="LO126" s="205"/>
      <c r="LP126" s="120"/>
      <c r="LQ126" s="120"/>
      <c r="LR126" s="120"/>
      <c r="LS126" s="205"/>
      <c r="LT126" s="205"/>
      <c r="LU126" s="205"/>
      <c r="LV126" s="205">
        <f t="shared" si="1461"/>
        <v>0</v>
      </c>
      <c r="LW126" s="120"/>
      <c r="LX126" s="120"/>
      <c r="LY126" s="120"/>
      <c r="LZ126" s="120"/>
      <c r="MA126" s="120"/>
      <c r="MB126" s="205"/>
      <c r="MC126" s="205"/>
      <c r="MD126" s="205">
        <f t="shared" si="1462"/>
        <v>0</v>
      </c>
      <c r="ME126" s="120"/>
      <c r="MF126" s="120"/>
      <c r="MG126" s="120"/>
      <c r="MH126" s="120"/>
      <c r="MI126" s="205"/>
      <c r="MJ126" s="205"/>
      <c r="MK126" s="205"/>
      <c r="ML126" s="205">
        <f t="shared" si="1463"/>
        <v>0</v>
      </c>
      <c r="MM126" s="120"/>
      <c r="MN126" s="120"/>
      <c r="MO126" s="120"/>
      <c r="MP126" s="120"/>
      <c r="MQ126" s="120"/>
      <c r="MR126" s="205"/>
      <c r="MS126" s="205"/>
      <c r="MT126" s="205">
        <f t="shared" si="1464"/>
        <v>0</v>
      </c>
      <c r="MU126" s="205">
        <f t="shared" si="1465"/>
        <v>0</v>
      </c>
      <c r="MV126" s="120"/>
      <c r="MW126" s="120"/>
      <c r="MX126" s="120"/>
      <c r="MY126" s="120"/>
      <c r="MZ126" s="120"/>
      <c r="NA126" s="205"/>
      <c r="NB126" s="205"/>
      <c r="NC126" s="205">
        <f t="shared" si="1466"/>
        <v>0</v>
      </c>
      <c r="ND126" s="120"/>
      <c r="NE126" s="120"/>
      <c r="NF126" s="120"/>
      <c r="NG126" s="120"/>
      <c r="NH126" s="120"/>
      <c r="NI126" s="205"/>
      <c r="NJ126" s="205"/>
      <c r="NK126" s="205">
        <f t="shared" si="1467"/>
        <v>0</v>
      </c>
      <c r="NL126" s="120"/>
      <c r="NM126" s="120"/>
      <c r="NN126" s="120"/>
      <c r="NO126" s="120"/>
      <c r="NP126" s="120"/>
      <c r="NQ126" s="205"/>
      <c r="NR126" s="205"/>
      <c r="NS126" s="205">
        <f t="shared" si="1468"/>
        <v>0</v>
      </c>
      <c r="NT126" s="120"/>
      <c r="NU126" s="120"/>
      <c r="NV126" s="120"/>
      <c r="NW126" s="120"/>
      <c r="NX126" s="120"/>
      <c r="NY126" s="205"/>
      <c r="NZ126" s="205"/>
      <c r="OA126" s="205">
        <f t="shared" si="1469"/>
        <v>0</v>
      </c>
      <c r="OB126" s="205">
        <f t="shared" si="1470"/>
        <v>0</v>
      </c>
      <c r="OC126" s="120"/>
      <c r="OD126" s="120"/>
      <c r="OE126" s="120"/>
      <c r="OF126" s="120"/>
      <c r="OG126" s="120"/>
      <c r="OH126" s="205"/>
      <c r="OI126" s="205"/>
      <c r="OJ126" s="205">
        <f t="shared" si="1471"/>
        <v>0</v>
      </c>
      <c r="OK126" s="120"/>
      <c r="OL126" s="120"/>
      <c r="OM126" s="120"/>
      <c r="ON126" s="120"/>
      <c r="OO126" s="120"/>
      <c r="OP126" s="205"/>
      <c r="OQ126" s="205"/>
      <c r="OR126" s="205">
        <f t="shared" si="1472"/>
        <v>0</v>
      </c>
      <c r="OS126" s="120"/>
      <c r="OT126" s="120"/>
      <c r="OU126" s="120"/>
      <c r="OV126" s="120"/>
      <c r="OW126" s="120"/>
      <c r="OX126" s="205"/>
      <c r="OY126" s="205"/>
      <c r="OZ126" s="205">
        <f t="shared" si="1473"/>
        <v>0</v>
      </c>
      <c r="PA126" s="120"/>
      <c r="PB126" s="120"/>
      <c r="PC126" s="120"/>
      <c r="PD126" s="205"/>
      <c r="PE126" s="217"/>
      <c r="PF126" s="205"/>
      <c r="PG126" s="205"/>
      <c r="PH126" s="205">
        <f t="shared" si="1474"/>
        <v>0</v>
      </c>
      <c r="PI126" s="120"/>
      <c r="PJ126" s="120"/>
      <c r="PK126" s="120"/>
      <c r="PL126" s="205"/>
      <c r="PM126" s="217"/>
      <c r="PN126" s="205"/>
      <c r="PO126" s="205"/>
      <c r="PP126" s="205">
        <f t="shared" si="1475"/>
        <v>0</v>
      </c>
      <c r="PQ126" s="205">
        <f t="shared" si="1476"/>
        <v>0</v>
      </c>
      <c r="PR126" s="207"/>
      <c r="PS126" s="207"/>
      <c r="PT126" s="207"/>
      <c r="PU126" s="207"/>
      <c r="PV126" s="207"/>
      <c r="PW126" s="272"/>
      <c r="PX126" s="272"/>
      <c r="PY126" s="205">
        <f t="shared" si="1477"/>
        <v>0</v>
      </c>
      <c r="PZ126" s="207"/>
      <c r="QA126" s="207"/>
      <c r="QB126" s="207"/>
      <c r="QC126" s="207"/>
      <c r="QD126" s="207"/>
      <c r="QE126" s="272"/>
      <c r="QF126" s="272"/>
      <c r="QG126" s="205">
        <f t="shared" si="1478"/>
        <v>0</v>
      </c>
      <c r="QH126" s="207"/>
      <c r="QI126" s="207"/>
      <c r="QJ126" s="294"/>
      <c r="QK126" s="207"/>
      <c r="QL126" s="207"/>
      <c r="QM126" s="272"/>
      <c r="QN126" s="272"/>
      <c r="QO126" s="205">
        <f t="shared" si="1479"/>
        <v>0</v>
      </c>
      <c r="QP126" s="207"/>
      <c r="QQ126" s="207"/>
      <c r="QR126" s="207"/>
      <c r="QS126" s="207"/>
      <c r="QT126" s="207"/>
      <c r="QU126" s="272"/>
      <c r="QV126" s="272"/>
      <c r="QW126" s="205">
        <f t="shared" si="1480"/>
        <v>0</v>
      </c>
      <c r="QX126" s="205">
        <f t="shared" si="1481"/>
        <v>0</v>
      </c>
      <c r="QY126" s="207"/>
      <c r="QZ126" s="207"/>
      <c r="RA126" s="207"/>
      <c r="RB126" s="207"/>
      <c r="RC126" s="207"/>
      <c r="RD126" s="272"/>
      <c r="RE126" s="272"/>
      <c r="RF126" s="205">
        <f t="shared" si="1482"/>
        <v>0</v>
      </c>
      <c r="RG126" s="207"/>
      <c r="RH126" s="207"/>
      <c r="RI126" s="207"/>
      <c r="RJ126" s="207"/>
      <c r="RK126" s="207"/>
      <c r="RL126" s="272"/>
      <c r="RM126" s="272"/>
      <c r="RN126" s="205">
        <f t="shared" si="1483"/>
        <v>0</v>
      </c>
      <c r="RO126" s="272"/>
      <c r="RP126" s="272"/>
      <c r="RQ126" s="272"/>
      <c r="RR126" s="272"/>
      <c r="RS126" s="272"/>
      <c r="RT126" s="272"/>
      <c r="RU126" s="272"/>
      <c r="RV126" s="205">
        <f t="shared" si="1484"/>
        <v>0</v>
      </c>
      <c r="RW126" s="207"/>
      <c r="RX126" s="207"/>
      <c r="RY126" s="207"/>
      <c r="RZ126" s="207"/>
      <c r="SA126" s="272"/>
      <c r="SB126" s="272"/>
      <c r="SC126" s="272"/>
      <c r="SD126" s="205">
        <f t="shared" si="1485"/>
        <v>0</v>
      </c>
      <c r="SE126" s="205">
        <f t="shared" si="1486"/>
        <v>0</v>
      </c>
      <c r="SF126" s="207"/>
      <c r="SG126" s="207"/>
      <c r="SH126" s="207"/>
      <c r="SI126" s="207"/>
      <c r="SJ126" s="207"/>
      <c r="SK126" s="272"/>
      <c r="SL126" s="272"/>
      <c r="SM126" s="205">
        <f t="shared" si="1487"/>
        <v>0</v>
      </c>
      <c r="SN126" s="207"/>
      <c r="SO126" s="207"/>
      <c r="SP126" s="207"/>
      <c r="SQ126" s="207"/>
      <c r="SR126" s="207"/>
      <c r="SS126" s="272"/>
      <c r="ST126" s="272"/>
      <c r="SU126" s="205">
        <f t="shared" si="1488"/>
        <v>0</v>
      </c>
      <c r="SV126" s="207"/>
      <c r="SW126" s="207"/>
      <c r="SX126" s="207"/>
      <c r="SY126" s="207"/>
      <c r="SZ126" s="207"/>
      <c r="TA126" s="272"/>
      <c r="TB126" s="272"/>
      <c r="TC126" s="205">
        <f t="shared" si="1489"/>
        <v>0</v>
      </c>
      <c r="TD126" s="207"/>
      <c r="TE126" s="207"/>
      <c r="TF126" s="207"/>
      <c r="TG126" s="207"/>
      <c r="TH126" s="207"/>
      <c r="TI126" s="272"/>
      <c r="TJ126" s="272"/>
      <c r="TK126" s="205">
        <f t="shared" si="1490"/>
        <v>0</v>
      </c>
      <c r="TL126" s="207"/>
      <c r="TM126" s="207"/>
      <c r="TN126" s="207"/>
      <c r="TO126" s="207"/>
      <c r="TP126" s="272"/>
      <c r="TQ126" s="272"/>
      <c r="TR126" s="272"/>
      <c r="TS126" s="205">
        <f t="shared" si="1491"/>
        <v>0</v>
      </c>
      <c r="TT126" s="205">
        <f t="shared" si="1492"/>
        <v>0</v>
      </c>
      <c r="TU126" s="272"/>
      <c r="TV126" s="207"/>
      <c r="TW126" s="207"/>
      <c r="TX126" s="207"/>
      <c r="TY126" s="207"/>
      <c r="TZ126" s="272"/>
      <c r="UA126" s="272"/>
      <c r="UB126" s="205">
        <f t="shared" si="1493"/>
        <v>0</v>
      </c>
      <c r="UC126" s="207"/>
      <c r="UD126" s="207"/>
      <c r="UE126" s="207"/>
      <c r="UF126" s="207"/>
      <c r="UG126" s="207"/>
      <c r="UH126" s="272"/>
      <c r="UI126" s="272"/>
      <c r="UJ126" s="205">
        <f t="shared" si="1494"/>
        <v>0</v>
      </c>
      <c r="UK126" s="207"/>
      <c r="UL126" s="207"/>
      <c r="UM126" s="207"/>
      <c r="UN126" s="207"/>
      <c r="UO126" s="207"/>
      <c r="UP126" s="272"/>
      <c r="UQ126" s="272"/>
      <c r="UR126" s="205">
        <f t="shared" si="1495"/>
        <v>0</v>
      </c>
      <c r="US126" s="207"/>
      <c r="UT126" s="207"/>
      <c r="UU126" s="207"/>
      <c r="UV126" s="207"/>
      <c r="UW126" s="272"/>
      <c r="UX126" s="272"/>
      <c r="UY126" s="272"/>
      <c r="UZ126" s="205">
        <f t="shared" si="1496"/>
        <v>0</v>
      </c>
      <c r="VA126" s="205">
        <f t="shared" si="1497"/>
        <v>0</v>
      </c>
      <c r="VB126" s="207"/>
      <c r="VC126" s="207"/>
      <c r="VD126" s="207"/>
      <c r="VE126" s="207"/>
      <c r="VF126" s="207"/>
      <c r="VG126" s="272"/>
      <c r="VH126" s="272"/>
      <c r="VI126" s="205">
        <f t="shared" si="1498"/>
        <v>0</v>
      </c>
      <c r="VJ126" s="207"/>
      <c r="VK126" s="207"/>
      <c r="VL126" s="207"/>
      <c r="VM126" s="207"/>
      <c r="VN126" s="207"/>
      <c r="VO126" s="272"/>
      <c r="VP126" s="272"/>
      <c r="VQ126" s="205">
        <f t="shared" si="1499"/>
        <v>0</v>
      </c>
      <c r="VR126" s="207"/>
      <c r="VS126" s="207"/>
      <c r="VT126" s="207"/>
      <c r="VU126" s="207"/>
      <c r="VV126" s="207"/>
      <c r="VW126" s="272"/>
      <c r="VX126" s="272"/>
      <c r="VY126" s="205">
        <f t="shared" si="1500"/>
        <v>0</v>
      </c>
      <c r="VZ126" s="207"/>
      <c r="WA126" s="207"/>
      <c r="WB126" s="207"/>
      <c r="WC126" s="207"/>
      <c r="WD126" s="207"/>
      <c r="WE126" s="272"/>
      <c r="WF126" s="272"/>
      <c r="WG126" s="205">
        <f t="shared" si="1501"/>
        <v>0</v>
      </c>
      <c r="WH126" s="205">
        <f t="shared" si="1502"/>
        <v>0</v>
      </c>
      <c r="WI126" s="207"/>
      <c r="WJ126" s="207"/>
      <c r="WK126" s="207"/>
      <c r="WL126" s="207"/>
      <c r="WM126" s="207"/>
      <c r="WN126" s="272"/>
      <c r="WO126" s="272"/>
      <c r="WP126" s="205">
        <f t="shared" si="1503"/>
        <v>0</v>
      </c>
      <c r="WQ126" s="207"/>
      <c r="WR126" s="207"/>
      <c r="WS126" s="207"/>
      <c r="WT126" s="207"/>
      <c r="WU126" s="207"/>
      <c r="WV126" s="272"/>
      <c r="WW126" s="272"/>
      <c r="WX126" s="205">
        <f t="shared" si="1504"/>
        <v>0</v>
      </c>
      <c r="WY126" s="207"/>
      <c r="WZ126" s="207"/>
      <c r="XA126" s="207"/>
      <c r="XB126" s="207"/>
      <c r="XC126" s="272"/>
      <c r="XD126" s="272"/>
      <c r="XE126" s="272"/>
      <c r="XF126" s="205">
        <f t="shared" si="1505"/>
        <v>0</v>
      </c>
      <c r="XG126" s="207"/>
      <c r="XH126" s="207"/>
      <c r="XI126" s="207"/>
      <c r="XJ126" s="207"/>
      <c r="XK126" s="207"/>
      <c r="XL126" s="272"/>
      <c r="XM126" s="272"/>
      <c r="XN126" s="205">
        <f t="shared" si="1506"/>
        <v>0</v>
      </c>
      <c r="XO126" s="207"/>
      <c r="XP126" s="207"/>
      <c r="XQ126" s="207"/>
      <c r="XR126" s="207"/>
      <c r="XS126" s="207"/>
      <c r="XT126" s="272"/>
      <c r="XU126" s="272"/>
      <c r="XV126" s="205">
        <f t="shared" si="1507"/>
        <v>0</v>
      </c>
      <c r="XW126" s="205">
        <f t="shared" si="1508"/>
        <v>0</v>
      </c>
      <c r="XX126" s="207"/>
      <c r="XY126" s="207"/>
      <c r="XZ126" s="207"/>
      <c r="YA126" s="207"/>
      <c r="YB126" s="207"/>
      <c r="YC126" s="272"/>
      <c r="YD126" s="272"/>
      <c r="YE126" s="205">
        <f t="shared" si="1509"/>
        <v>0</v>
      </c>
      <c r="YF126" s="207"/>
      <c r="YG126" s="207"/>
      <c r="YH126" s="207"/>
      <c r="YI126" s="207"/>
      <c r="YJ126" s="207"/>
      <c r="YK126" s="272"/>
      <c r="YL126" s="272"/>
      <c r="YM126" s="205">
        <f t="shared" si="1510"/>
        <v>0</v>
      </c>
      <c r="YN126" s="207"/>
      <c r="YO126" s="207"/>
      <c r="YP126" s="207"/>
      <c r="YQ126" s="207"/>
      <c r="YR126" s="207"/>
      <c r="YS126" s="272"/>
      <c r="YT126" s="272"/>
      <c r="YU126" s="205">
        <f t="shared" si="1511"/>
        <v>0</v>
      </c>
      <c r="YV126" s="207"/>
      <c r="YW126" s="207"/>
      <c r="YX126" s="207"/>
      <c r="YY126" s="207"/>
      <c r="YZ126" s="207"/>
      <c r="ZA126" s="272"/>
      <c r="ZB126" s="272"/>
      <c r="ZC126" s="205">
        <f t="shared" si="1512"/>
        <v>0</v>
      </c>
      <c r="ZD126" s="205">
        <f t="shared" si="1513"/>
        <v>0</v>
      </c>
      <c r="ZE126" s="207"/>
      <c r="ZF126" s="207"/>
      <c r="ZG126" s="207"/>
      <c r="ZH126" s="207"/>
      <c r="ZI126" s="207"/>
      <c r="ZJ126" s="272"/>
      <c r="ZK126" s="272"/>
      <c r="ZL126" s="205">
        <f t="shared" si="1514"/>
        <v>0</v>
      </c>
      <c r="ZM126" s="207"/>
      <c r="ZN126" s="207"/>
      <c r="ZO126" s="207"/>
      <c r="ZP126" s="207"/>
      <c r="ZQ126" s="207"/>
      <c r="ZR126" s="272"/>
      <c r="ZS126" s="272"/>
      <c r="ZT126" s="205">
        <f t="shared" si="1515"/>
        <v>0</v>
      </c>
      <c r="ZU126" s="207"/>
      <c r="ZV126" s="207"/>
      <c r="ZW126" s="207"/>
      <c r="ZX126" s="207"/>
      <c r="ZY126" s="207"/>
      <c r="ZZ126" s="272"/>
      <c r="AAA126" s="272"/>
      <c r="AAB126" s="205">
        <f t="shared" si="1516"/>
        <v>0</v>
      </c>
      <c r="AAC126" s="207"/>
      <c r="AAD126" s="207"/>
      <c r="AAE126" s="207"/>
      <c r="AAF126" s="207"/>
      <c r="AAG126" s="207"/>
      <c r="AAH126" s="272"/>
      <c r="AAI126" s="272"/>
      <c r="AAJ126" s="205">
        <f t="shared" si="1517"/>
        <v>0</v>
      </c>
      <c r="AAK126" s="207"/>
      <c r="AAL126" s="207"/>
      <c r="AAM126" s="207"/>
      <c r="AAN126" s="207"/>
      <c r="AAO126" s="207"/>
      <c r="AAP126" s="272"/>
      <c r="AAQ126" s="272"/>
      <c r="AAR126" s="205">
        <f t="shared" si="1518"/>
        <v>0</v>
      </c>
      <c r="AAS126" s="205">
        <f t="shared" si="1519"/>
        <v>0</v>
      </c>
      <c r="ABR126" s="118" ph="1"/>
      <c r="ABS126" s="118" ph="1"/>
      <c r="ABT126" s="118" ph="1"/>
      <c r="ABU126" s="118" ph="1"/>
      <c r="ABV126" s="118" ph="1"/>
      <c r="ABW126" s="118" ph="1"/>
      <c r="ABX126" s="118" ph="1"/>
      <c r="ABY126" s="118" ph="1"/>
      <c r="ABZ126" s="118" ph="1"/>
      <c r="ACA126" s="118" ph="1"/>
      <c r="ACB126" s="118" ph="1"/>
      <c r="ACC126" s="118" ph="1"/>
      <c r="ACD126" s="118" ph="1"/>
      <c r="ACE126" s="118" ph="1"/>
      <c r="ACF126" s="118" ph="1"/>
      <c r="ACG126" s="118" ph="1"/>
      <c r="ACH126" s="118" ph="1"/>
      <c r="ACI126" s="118" ph="1"/>
      <c r="ACJ126" s="118" ph="1"/>
      <c r="ACK126" s="118" ph="1"/>
      <c r="ACL126" s="118" ph="1"/>
      <c r="ACM126" s="118" ph="1"/>
      <c r="ACN126" s="118" ph="1"/>
      <c r="ACO126" s="118" ph="1"/>
      <c r="ACP126" s="118" ph="1"/>
      <c r="ACQ126" s="118" ph="1"/>
      <c r="ACR126" s="118" ph="1"/>
      <c r="ACS126" s="118" ph="1"/>
      <c r="ACT126" s="118" ph="1"/>
      <c r="ACU126" s="118" ph="1"/>
      <c r="ACV126" s="118" ph="1"/>
      <c r="ACW126" s="118" ph="1"/>
    </row>
    <row r="127" spans="2:777" ht="101.1" customHeight="1">
      <c r="B127" s="136">
        <v>3621101709</v>
      </c>
      <c r="C127" s="334" t="s">
        <v>230</v>
      </c>
      <c r="D127" s="136" t="s">
        <v>583</v>
      </c>
      <c r="E127" s="130" t="s">
        <v>4</v>
      </c>
      <c r="F127" s="120"/>
      <c r="G127" s="120"/>
      <c r="H127" s="120"/>
      <c r="I127" s="120"/>
      <c r="J127" s="120"/>
      <c r="K127" s="209"/>
      <c r="L127" s="205"/>
      <c r="M127" s="205">
        <f t="shared" si="1520"/>
        <v>0</v>
      </c>
      <c r="N127" s="120"/>
      <c r="O127" s="120"/>
      <c r="P127" s="120"/>
      <c r="Q127" s="120"/>
      <c r="R127" s="120"/>
      <c r="S127" s="209"/>
      <c r="T127" s="205"/>
      <c r="U127" s="205">
        <f t="shared" si="1521"/>
        <v>0</v>
      </c>
      <c r="V127" s="120"/>
      <c r="W127" s="120"/>
      <c r="X127" s="120"/>
      <c r="Y127" s="120"/>
      <c r="Z127" s="120"/>
      <c r="AA127" s="209"/>
      <c r="AB127" s="205"/>
      <c r="AC127" s="205">
        <f t="shared" si="1522"/>
        <v>0</v>
      </c>
      <c r="AD127" s="205"/>
      <c r="AE127" s="205"/>
      <c r="AF127" s="205"/>
      <c r="AG127" s="205"/>
      <c r="AH127" s="205"/>
      <c r="AI127" s="209"/>
      <c r="AJ127" s="205"/>
      <c r="AK127" s="205">
        <f t="shared" si="1523"/>
        <v>0</v>
      </c>
      <c r="AL127" s="205" t="e">
        <f>SUM(#REF!,M127,U127,AC127,AD127:AH127)</f>
        <v>#REF!</v>
      </c>
      <c r="AM127" s="120"/>
      <c r="AN127" s="120"/>
      <c r="AO127" s="120"/>
      <c r="AP127" s="120"/>
      <c r="AQ127" s="120"/>
      <c r="AR127" s="209"/>
      <c r="AS127" s="205"/>
      <c r="AT127" s="205">
        <f t="shared" si="1524"/>
        <v>0</v>
      </c>
      <c r="AU127" s="120"/>
      <c r="AV127" s="120"/>
      <c r="AW127" s="120"/>
      <c r="AX127" s="120"/>
      <c r="AY127" s="120"/>
      <c r="AZ127" s="209"/>
      <c r="BA127" s="205"/>
      <c r="BB127" s="205">
        <f t="shared" si="1525"/>
        <v>0</v>
      </c>
      <c r="BC127" s="120"/>
      <c r="BD127" s="120"/>
      <c r="BE127" s="120"/>
      <c r="BF127" s="120"/>
      <c r="BG127" s="120"/>
      <c r="BH127" s="209"/>
      <c r="BI127" s="205"/>
      <c r="BJ127" s="205">
        <f t="shared" si="1526"/>
        <v>0</v>
      </c>
      <c r="BK127" s="120"/>
      <c r="BL127" s="120"/>
      <c r="BM127" s="120"/>
      <c r="BN127" s="120"/>
      <c r="BO127" s="205"/>
      <c r="BP127" s="209"/>
      <c r="BQ127" s="205"/>
      <c r="BR127" s="205">
        <f t="shared" si="1527"/>
        <v>0</v>
      </c>
      <c r="BS127" s="205">
        <f t="shared" si="1427"/>
        <v>0</v>
      </c>
      <c r="BT127" s="120"/>
      <c r="BU127" s="120"/>
      <c r="BV127" s="120"/>
      <c r="BW127" s="120"/>
      <c r="BX127" s="120"/>
      <c r="BY127" s="209"/>
      <c r="BZ127" s="205"/>
      <c r="CA127" s="205">
        <f t="shared" si="1528"/>
        <v>0</v>
      </c>
      <c r="CB127" s="120"/>
      <c r="CC127" s="120"/>
      <c r="CD127" s="120"/>
      <c r="CE127" s="120"/>
      <c r="CF127" s="120"/>
      <c r="CG127" s="209"/>
      <c r="CH127" s="205"/>
      <c r="CI127" s="205">
        <f t="shared" si="1529"/>
        <v>0</v>
      </c>
      <c r="CJ127" s="120"/>
      <c r="CK127" s="120"/>
      <c r="CL127" s="120"/>
      <c r="CM127" s="120"/>
      <c r="CN127" s="120"/>
      <c r="CO127" s="209"/>
      <c r="CP127" s="205"/>
      <c r="CQ127" s="205">
        <f t="shared" si="1530"/>
        <v>0</v>
      </c>
      <c r="CR127" s="120"/>
      <c r="CS127" s="120"/>
      <c r="CT127" s="120"/>
      <c r="CU127" s="120"/>
      <c r="CV127" s="120"/>
      <c r="CW127" s="209"/>
      <c r="CX127" s="205"/>
      <c r="CY127" s="205">
        <f t="shared" si="1531"/>
        <v>0</v>
      </c>
      <c r="CZ127" s="120"/>
      <c r="DA127" s="120"/>
      <c r="DB127" s="120"/>
      <c r="DC127" s="205"/>
      <c r="DD127" s="205"/>
      <c r="DE127" s="209"/>
      <c r="DF127" s="205"/>
      <c r="DG127" s="205">
        <f t="shared" si="1532"/>
        <v>0</v>
      </c>
      <c r="DH127" s="205">
        <f t="shared" si="1428"/>
        <v>0</v>
      </c>
      <c r="DI127" s="120"/>
      <c r="DJ127" s="120"/>
      <c r="DK127" s="120"/>
      <c r="DL127" s="120"/>
      <c r="DM127" s="120"/>
      <c r="DN127" s="209"/>
      <c r="DO127" s="205"/>
      <c r="DP127" s="205">
        <f t="shared" si="1432"/>
        <v>0</v>
      </c>
      <c r="DQ127" s="120"/>
      <c r="DR127" s="120"/>
      <c r="DS127" s="120"/>
      <c r="DT127" s="120"/>
      <c r="DU127" s="120"/>
      <c r="DV127" s="209"/>
      <c r="DW127" s="205"/>
      <c r="DX127" s="205">
        <f t="shared" si="1433"/>
        <v>0</v>
      </c>
      <c r="DY127" s="120"/>
      <c r="DZ127" s="120"/>
      <c r="EA127" s="120"/>
      <c r="EB127" s="120"/>
      <c r="EC127" s="120"/>
      <c r="ED127" s="209"/>
      <c r="EE127" s="205"/>
      <c r="EF127" s="205">
        <f t="shared" si="1434"/>
        <v>0</v>
      </c>
      <c r="EG127" s="120"/>
      <c r="EH127" s="120"/>
      <c r="EI127" s="120"/>
      <c r="EJ127" s="205"/>
      <c r="EK127" s="205"/>
      <c r="EL127" s="209"/>
      <c r="EM127" s="205"/>
      <c r="EN127" s="205">
        <f t="shared" si="1435"/>
        <v>0</v>
      </c>
      <c r="EO127" s="205">
        <f t="shared" si="1429"/>
        <v>0</v>
      </c>
      <c r="EP127" s="120"/>
      <c r="EQ127" s="120"/>
      <c r="ER127" s="120"/>
      <c r="ES127" s="120"/>
      <c r="ET127" s="120"/>
      <c r="EU127" s="209"/>
      <c r="EV127" s="205"/>
      <c r="EW127" s="205">
        <f t="shared" si="1436"/>
        <v>0</v>
      </c>
      <c r="EX127" s="120"/>
      <c r="EY127" s="120"/>
      <c r="EZ127" s="120"/>
      <c r="FA127" s="120"/>
      <c r="FB127" s="120"/>
      <c r="FC127" s="209"/>
      <c r="FD127" s="205"/>
      <c r="FE127" s="205">
        <f t="shared" si="1437"/>
        <v>0</v>
      </c>
      <c r="FF127" s="120"/>
      <c r="FG127" s="120"/>
      <c r="FH127" s="120"/>
      <c r="FI127" s="120"/>
      <c r="FJ127" s="120"/>
      <c r="FK127" s="209"/>
      <c r="FL127" s="205"/>
      <c r="FM127" s="205">
        <f t="shared" si="1438"/>
        <v>0</v>
      </c>
      <c r="FN127" s="120"/>
      <c r="FO127" s="120"/>
      <c r="FP127" s="120"/>
      <c r="FQ127" s="120"/>
      <c r="FR127" s="205"/>
      <c r="FS127" s="209"/>
      <c r="FT127" s="205"/>
      <c r="FU127" s="205">
        <f t="shared" si="1439"/>
        <v>0</v>
      </c>
      <c r="FV127" s="205">
        <f t="shared" si="1430"/>
        <v>0</v>
      </c>
      <c r="FW127" s="120"/>
      <c r="FX127" s="120"/>
      <c r="FY127" s="120"/>
      <c r="FZ127" s="120"/>
      <c r="GA127" s="120"/>
      <c r="GB127" s="209"/>
      <c r="GC127" s="205"/>
      <c r="GD127" s="205">
        <f t="shared" si="1440"/>
        <v>0</v>
      </c>
      <c r="GE127" s="120"/>
      <c r="GF127" s="120"/>
      <c r="GG127" s="120"/>
      <c r="GH127" s="120"/>
      <c r="GI127" s="120"/>
      <c r="GJ127" s="209"/>
      <c r="GK127" s="205"/>
      <c r="GL127" s="205">
        <f t="shared" si="1441"/>
        <v>0</v>
      </c>
      <c r="GM127" s="120"/>
      <c r="GN127" s="120"/>
      <c r="GO127" s="120"/>
      <c r="GP127" s="120"/>
      <c r="GQ127" s="120"/>
      <c r="GR127" s="209"/>
      <c r="GS127" s="205"/>
      <c r="GT127" s="205">
        <f t="shared" si="1442"/>
        <v>0</v>
      </c>
      <c r="GU127" s="120"/>
      <c r="GV127" s="120"/>
      <c r="GW127" s="120"/>
      <c r="GX127" s="120"/>
      <c r="GY127" s="120"/>
      <c r="GZ127" s="209"/>
      <c r="HA127" s="205"/>
      <c r="HB127" s="205">
        <f t="shared" si="1443"/>
        <v>0</v>
      </c>
      <c r="HC127" s="120"/>
      <c r="HD127" s="120"/>
      <c r="HE127" s="120"/>
      <c r="HF127" s="120"/>
      <c r="HG127" s="120"/>
      <c r="HH127" s="209"/>
      <c r="HI127" s="205"/>
      <c r="HJ127" s="205">
        <f t="shared" si="1444"/>
        <v>0</v>
      </c>
      <c r="HK127" s="205">
        <f t="shared" si="1431"/>
        <v>0</v>
      </c>
      <c r="HL127" s="124"/>
      <c r="HM127" s="120"/>
      <c r="HN127" s="120"/>
      <c r="HO127" s="120"/>
      <c r="HP127" s="120"/>
      <c r="HQ127" s="205"/>
      <c r="HR127" s="205"/>
      <c r="HS127" s="205">
        <f t="shared" si="1445"/>
        <v>0</v>
      </c>
      <c r="HT127" s="120"/>
      <c r="HU127" s="120"/>
      <c r="HV127" s="120"/>
      <c r="HW127" s="120"/>
      <c r="HX127" s="120"/>
      <c r="HY127" s="205"/>
      <c r="HZ127" s="205"/>
      <c r="IA127" s="205">
        <f t="shared" si="1446"/>
        <v>0</v>
      </c>
      <c r="IB127" s="120"/>
      <c r="IC127" s="120"/>
      <c r="ID127" s="120"/>
      <c r="IE127" s="120"/>
      <c r="IF127" s="120"/>
      <c r="IG127" s="205"/>
      <c r="IH127" s="205"/>
      <c r="II127" s="205">
        <f t="shared" si="1447"/>
        <v>0</v>
      </c>
      <c r="IJ127" s="120"/>
      <c r="IK127" s="120"/>
      <c r="IL127" s="120"/>
      <c r="IM127" s="120"/>
      <c r="IN127" s="120"/>
      <c r="IO127" s="205"/>
      <c r="IP127" s="205"/>
      <c r="IQ127" s="205">
        <f t="shared" si="1448"/>
        <v>0</v>
      </c>
      <c r="IR127" s="205">
        <f t="shared" si="1449"/>
        <v>0</v>
      </c>
      <c r="IS127" s="120"/>
      <c r="IT127" s="120"/>
      <c r="IU127" s="120"/>
      <c r="IV127" s="120"/>
      <c r="IW127" s="120"/>
      <c r="IX127" s="205"/>
      <c r="IY127" s="205"/>
      <c r="IZ127" s="205">
        <f t="shared" si="1450"/>
        <v>0</v>
      </c>
      <c r="JA127" s="120"/>
      <c r="JB127" s="120"/>
      <c r="JC127" s="120"/>
      <c r="JD127" s="120"/>
      <c r="JE127" s="120"/>
      <c r="JF127" s="205"/>
      <c r="JG127" s="205"/>
      <c r="JH127" s="205">
        <f t="shared" si="1451"/>
        <v>0</v>
      </c>
      <c r="JI127" s="120"/>
      <c r="JJ127" s="120"/>
      <c r="JK127" s="120"/>
      <c r="JL127" s="120"/>
      <c r="JM127" s="120"/>
      <c r="JN127" s="205"/>
      <c r="JO127" s="205"/>
      <c r="JP127" s="205">
        <f t="shared" si="1452"/>
        <v>0</v>
      </c>
      <c r="JQ127" s="120"/>
      <c r="JR127" s="120"/>
      <c r="JS127" s="120"/>
      <c r="JT127" s="120"/>
      <c r="JU127" s="120"/>
      <c r="JV127" s="205"/>
      <c r="JW127" s="205"/>
      <c r="JX127" s="205">
        <f t="shared" si="1453"/>
        <v>0</v>
      </c>
      <c r="JY127" s="205">
        <f t="shared" si="1454"/>
        <v>0</v>
      </c>
      <c r="JZ127" s="120"/>
      <c r="KA127" s="120"/>
      <c r="KB127" s="120"/>
      <c r="KC127" s="120"/>
      <c r="KD127" s="120"/>
      <c r="KE127" s="205"/>
      <c r="KF127" s="205"/>
      <c r="KG127" s="205">
        <f t="shared" si="1455"/>
        <v>0</v>
      </c>
      <c r="KH127" s="120"/>
      <c r="KI127" s="120"/>
      <c r="KJ127" s="120"/>
      <c r="KK127" s="120"/>
      <c r="KL127" s="120"/>
      <c r="KM127" s="205"/>
      <c r="KN127" s="205"/>
      <c r="KO127" s="205">
        <f t="shared" si="1456"/>
        <v>0</v>
      </c>
      <c r="KP127" s="120"/>
      <c r="KQ127" s="120"/>
      <c r="KR127" s="120"/>
      <c r="KS127" s="120"/>
      <c r="KT127" s="120"/>
      <c r="KU127" s="205"/>
      <c r="KV127" s="205"/>
      <c r="KW127" s="205">
        <f t="shared" si="1457"/>
        <v>0</v>
      </c>
      <c r="KX127" s="120"/>
      <c r="KY127" s="120"/>
      <c r="KZ127" s="120"/>
      <c r="LA127" s="120"/>
      <c r="LB127" s="120"/>
      <c r="LC127" s="205"/>
      <c r="LD127" s="205"/>
      <c r="LE127" s="205">
        <f t="shared" si="1458"/>
        <v>0</v>
      </c>
      <c r="LF127" s="205"/>
      <c r="LG127" s="120"/>
      <c r="LH127" s="120"/>
      <c r="LI127" s="120"/>
      <c r="LJ127" s="120"/>
      <c r="LK127" s="205"/>
      <c r="LL127" s="205"/>
      <c r="LM127" s="205">
        <f t="shared" si="1459"/>
        <v>0</v>
      </c>
      <c r="LN127" s="205">
        <f t="shared" si="1460"/>
        <v>0</v>
      </c>
      <c r="LO127" s="205"/>
      <c r="LP127" s="120"/>
      <c r="LQ127" s="120"/>
      <c r="LR127" s="120"/>
      <c r="LS127" s="205"/>
      <c r="LT127" s="205"/>
      <c r="LU127" s="205"/>
      <c r="LV127" s="205">
        <f t="shared" si="1461"/>
        <v>0</v>
      </c>
      <c r="LW127" s="120"/>
      <c r="LX127" s="120"/>
      <c r="LY127" s="120"/>
      <c r="LZ127" s="120"/>
      <c r="MA127" s="120"/>
      <c r="MB127" s="205"/>
      <c r="MC127" s="205"/>
      <c r="MD127" s="205">
        <f t="shared" si="1462"/>
        <v>0</v>
      </c>
      <c r="ME127" s="120"/>
      <c r="MF127" s="120"/>
      <c r="MG127" s="120"/>
      <c r="MH127" s="120"/>
      <c r="MI127" s="205"/>
      <c r="MJ127" s="205"/>
      <c r="MK127" s="205"/>
      <c r="ML127" s="205">
        <f t="shared" si="1463"/>
        <v>0</v>
      </c>
      <c r="MM127" s="120"/>
      <c r="MN127" s="120"/>
      <c r="MO127" s="120"/>
      <c r="MP127" s="120"/>
      <c r="MQ127" s="120"/>
      <c r="MR127" s="205"/>
      <c r="MS127" s="205"/>
      <c r="MT127" s="205">
        <f t="shared" si="1464"/>
        <v>0</v>
      </c>
      <c r="MU127" s="205">
        <f t="shared" si="1465"/>
        <v>0</v>
      </c>
      <c r="MV127" s="120"/>
      <c r="MW127" s="120"/>
      <c r="MX127" s="120"/>
      <c r="MY127" s="120"/>
      <c r="MZ127" s="120"/>
      <c r="NA127" s="205"/>
      <c r="NB127" s="205"/>
      <c r="NC127" s="205">
        <f t="shared" si="1466"/>
        <v>0</v>
      </c>
      <c r="ND127" s="120"/>
      <c r="NE127" s="120"/>
      <c r="NF127" s="120"/>
      <c r="NG127" s="120"/>
      <c r="NH127" s="120"/>
      <c r="NI127" s="205"/>
      <c r="NJ127" s="205"/>
      <c r="NK127" s="205">
        <f t="shared" si="1467"/>
        <v>0</v>
      </c>
      <c r="NL127" s="120"/>
      <c r="NM127" s="120"/>
      <c r="NN127" s="120"/>
      <c r="NO127" s="120"/>
      <c r="NP127" s="120"/>
      <c r="NQ127" s="205"/>
      <c r="NR127" s="205"/>
      <c r="NS127" s="205">
        <f t="shared" si="1468"/>
        <v>0</v>
      </c>
      <c r="NT127" s="120"/>
      <c r="NU127" s="120"/>
      <c r="NV127" s="120"/>
      <c r="NW127" s="120"/>
      <c r="NX127" s="120"/>
      <c r="NY127" s="205"/>
      <c r="NZ127" s="205"/>
      <c r="OA127" s="205">
        <f t="shared" si="1469"/>
        <v>0</v>
      </c>
      <c r="OB127" s="205">
        <f t="shared" si="1470"/>
        <v>0</v>
      </c>
      <c r="OC127" s="120"/>
      <c r="OD127" s="120"/>
      <c r="OE127" s="120"/>
      <c r="OF127" s="120"/>
      <c r="OG127" s="120"/>
      <c r="OH127" s="205"/>
      <c r="OI127" s="205"/>
      <c r="OJ127" s="205">
        <f t="shared" si="1471"/>
        <v>0</v>
      </c>
      <c r="OK127" s="120"/>
      <c r="OL127" s="120"/>
      <c r="OM127" s="120"/>
      <c r="ON127" s="120"/>
      <c r="OO127" s="120"/>
      <c r="OP127" s="205"/>
      <c r="OQ127" s="205"/>
      <c r="OR127" s="205">
        <f t="shared" si="1472"/>
        <v>0</v>
      </c>
      <c r="OS127" s="120"/>
      <c r="OT127" s="120"/>
      <c r="OU127" s="120"/>
      <c r="OV127" s="120"/>
      <c r="OW127" s="120"/>
      <c r="OX127" s="205"/>
      <c r="OY127" s="205"/>
      <c r="OZ127" s="205">
        <f t="shared" si="1473"/>
        <v>0</v>
      </c>
      <c r="PA127" s="120"/>
      <c r="PB127" s="120"/>
      <c r="PC127" s="120"/>
      <c r="PD127" s="205"/>
      <c r="PE127" s="217"/>
      <c r="PF127" s="205"/>
      <c r="PG127" s="205"/>
      <c r="PH127" s="205">
        <f t="shared" si="1474"/>
        <v>0</v>
      </c>
      <c r="PI127" s="120"/>
      <c r="PJ127" s="120"/>
      <c r="PK127" s="120"/>
      <c r="PL127" s="205"/>
      <c r="PM127" s="217"/>
      <c r="PN127" s="205"/>
      <c r="PO127" s="205"/>
      <c r="PP127" s="205">
        <f t="shared" si="1475"/>
        <v>0</v>
      </c>
      <c r="PQ127" s="205">
        <f t="shared" si="1476"/>
        <v>0</v>
      </c>
      <c r="PR127" s="207"/>
      <c r="PS127" s="207"/>
      <c r="PT127" s="207"/>
      <c r="PU127" s="207"/>
      <c r="PV127" s="207"/>
      <c r="PW127" s="272"/>
      <c r="PX127" s="272"/>
      <c r="PY127" s="205">
        <f t="shared" si="1477"/>
        <v>0</v>
      </c>
      <c r="PZ127" s="207"/>
      <c r="QA127" s="207"/>
      <c r="QB127" s="207"/>
      <c r="QC127" s="207"/>
      <c r="QD127" s="207"/>
      <c r="QE127" s="272"/>
      <c r="QF127" s="272"/>
      <c r="QG127" s="205">
        <f t="shared" si="1478"/>
        <v>0</v>
      </c>
      <c r="QH127" s="207"/>
      <c r="QI127" s="207"/>
      <c r="QJ127" s="294"/>
      <c r="QK127" s="207"/>
      <c r="QL127" s="207"/>
      <c r="QM127" s="272"/>
      <c r="QN127" s="272"/>
      <c r="QO127" s="205">
        <f t="shared" si="1479"/>
        <v>0</v>
      </c>
      <c r="QP127" s="207"/>
      <c r="QQ127" s="207"/>
      <c r="QR127" s="207"/>
      <c r="QS127" s="207"/>
      <c r="QT127" s="207"/>
      <c r="QU127" s="272"/>
      <c r="QV127" s="272"/>
      <c r="QW127" s="205">
        <f t="shared" si="1480"/>
        <v>0</v>
      </c>
      <c r="QX127" s="205">
        <f t="shared" si="1481"/>
        <v>0</v>
      </c>
      <c r="QY127" s="207"/>
      <c r="QZ127" s="207"/>
      <c r="RA127" s="207"/>
      <c r="RB127" s="207"/>
      <c r="RC127" s="207"/>
      <c r="RD127" s="272"/>
      <c r="RE127" s="272"/>
      <c r="RF127" s="205">
        <f t="shared" si="1482"/>
        <v>0</v>
      </c>
      <c r="RG127" s="207"/>
      <c r="RH127" s="207"/>
      <c r="RI127" s="207"/>
      <c r="RJ127" s="207"/>
      <c r="RK127" s="207"/>
      <c r="RL127" s="272"/>
      <c r="RM127" s="272"/>
      <c r="RN127" s="205">
        <f t="shared" si="1483"/>
        <v>0</v>
      </c>
      <c r="RO127" s="272"/>
      <c r="RP127" s="272"/>
      <c r="RQ127" s="272"/>
      <c r="RR127" s="272"/>
      <c r="RS127" s="272"/>
      <c r="RT127" s="272"/>
      <c r="RU127" s="272"/>
      <c r="RV127" s="205">
        <f t="shared" si="1484"/>
        <v>0</v>
      </c>
      <c r="RW127" s="207"/>
      <c r="RX127" s="207"/>
      <c r="RY127" s="207"/>
      <c r="RZ127" s="207"/>
      <c r="SA127" s="272"/>
      <c r="SB127" s="272"/>
      <c r="SC127" s="272"/>
      <c r="SD127" s="205">
        <f t="shared" si="1485"/>
        <v>0</v>
      </c>
      <c r="SE127" s="205">
        <f t="shared" si="1486"/>
        <v>0</v>
      </c>
      <c r="SF127" s="207"/>
      <c r="SG127" s="207"/>
      <c r="SH127" s="207"/>
      <c r="SI127" s="207"/>
      <c r="SJ127" s="207"/>
      <c r="SK127" s="272"/>
      <c r="SL127" s="272"/>
      <c r="SM127" s="205">
        <f t="shared" si="1487"/>
        <v>0</v>
      </c>
      <c r="SN127" s="207"/>
      <c r="SO127" s="207"/>
      <c r="SP127" s="207"/>
      <c r="SQ127" s="207"/>
      <c r="SR127" s="207"/>
      <c r="SS127" s="272"/>
      <c r="ST127" s="272"/>
      <c r="SU127" s="205">
        <f t="shared" si="1488"/>
        <v>0</v>
      </c>
      <c r="SV127" s="207"/>
      <c r="SW127" s="207"/>
      <c r="SX127" s="207"/>
      <c r="SY127" s="207"/>
      <c r="SZ127" s="207"/>
      <c r="TA127" s="272"/>
      <c r="TB127" s="272"/>
      <c r="TC127" s="205">
        <f t="shared" si="1489"/>
        <v>0</v>
      </c>
      <c r="TD127" s="207"/>
      <c r="TE127" s="207"/>
      <c r="TF127" s="207"/>
      <c r="TG127" s="207"/>
      <c r="TH127" s="207"/>
      <c r="TI127" s="272"/>
      <c r="TJ127" s="272"/>
      <c r="TK127" s="205">
        <f t="shared" si="1490"/>
        <v>0</v>
      </c>
      <c r="TL127" s="207"/>
      <c r="TM127" s="207"/>
      <c r="TN127" s="207"/>
      <c r="TO127" s="207"/>
      <c r="TP127" s="272"/>
      <c r="TQ127" s="272"/>
      <c r="TR127" s="272"/>
      <c r="TS127" s="205">
        <f t="shared" si="1491"/>
        <v>0</v>
      </c>
      <c r="TT127" s="205">
        <f t="shared" si="1492"/>
        <v>0</v>
      </c>
      <c r="TU127" s="272"/>
      <c r="TV127" s="207"/>
      <c r="TW127" s="207"/>
      <c r="TX127" s="207"/>
      <c r="TY127" s="207"/>
      <c r="TZ127" s="272"/>
      <c r="UA127" s="272"/>
      <c r="UB127" s="205">
        <f t="shared" si="1493"/>
        <v>0</v>
      </c>
      <c r="UC127" s="207"/>
      <c r="UD127" s="207"/>
      <c r="UE127" s="207"/>
      <c r="UF127" s="207"/>
      <c r="UG127" s="207"/>
      <c r="UH127" s="272"/>
      <c r="UI127" s="272"/>
      <c r="UJ127" s="205">
        <f t="shared" si="1494"/>
        <v>0</v>
      </c>
      <c r="UK127" s="207"/>
      <c r="UL127" s="207"/>
      <c r="UM127" s="207"/>
      <c r="UN127" s="207"/>
      <c r="UO127" s="207"/>
      <c r="UP127" s="272"/>
      <c r="UQ127" s="272"/>
      <c r="UR127" s="205">
        <f t="shared" si="1495"/>
        <v>0</v>
      </c>
      <c r="US127" s="207"/>
      <c r="UT127" s="207"/>
      <c r="UU127" s="207"/>
      <c r="UV127" s="207"/>
      <c r="UW127" s="272"/>
      <c r="UX127" s="272"/>
      <c r="UY127" s="272"/>
      <c r="UZ127" s="205">
        <f t="shared" si="1496"/>
        <v>0</v>
      </c>
      <c r="VA127" s="205">
        <f t="shared" si="1497"/>
        <v>0</v>
      </c>
      <c r="VB127" s="207"/>
      <c r="VC127" s="207"/>
      <c r="VD127" s="207"/>
      <c r="VE127" s="207"/>
      <c r="VF127" s="207"/>
      <c r="VG127" s="272"/>
      <c r="VH127" s="272"/>
      <c r="VI127" s="205">
        <f t="shared" si="1498"/>
        <v>0</v>
      </c>
      <c r="VJ127" s="207"/>
      <c r="VK127" s="207"/>
      <c r="VL127" s="207"/>
      <c r="VM127" s="207"/>
      <c r="VN127" s="207"/>
      <c r="VO127" s="272"/>
      <c r="VP127" s="272"/>
      <c r="VQ127" s="205">
        <f t="shared" si="1499"/>
        <v>0</v>
      </c>
      <c r="VR127" s="207"/>
      <c r="VS127" s="207"/>
      <c r="VT127" s="207"/>
      <c r="VU127" s="207"/>
      <c r="VV127" s="207"/>
      <c r="VW127" s="272"/>
      <c r="VX127" s="272"/>
      <c r="VY127" s="205">
        <f t="shared" si="1500"/>
        <v>0</v>
      </c>
      <c r="VZ127" s="207"/>
      <c r="WA127" s="207"/>
      <c r="WB127" s="207"/>
      <c r="WC127" s="207"/>
      <c r="WD127" s="207"/>
      <c r="WE127" s="272"/>
      <c r="WF127" s="272"/>
      <c r="WG127" s="205">
        <f t="shared" si="1501"/>
        <v>0</v>
      </c>
      <c r="WH127" s="205">
        <f t="shared" si="1502"/>
        <v>0</v>
      </c>
      <c r="WI127" s="207"/>
      <c r="WJ127" s="207"/>
      <c r="WK127" s="207"/>
      <c r="WL127" s="207"/>
      <c r="WM127" s="207"/>
      <c r="WN127" s="272"/>
      <c r="WO127" s="272"/>
      <c r="WP127" s="205">
        <f t="shared" si="1503"/>
        <v>0</v>
      </c>
      <c r="WQ127" s="207"/>
      <c r="WR127" s="207"/>
      <c r="WS127" s="207"/>
      <c r="WT127" s="207"/>
      <c r="WU127" s="207"/>
      <c r="WV127" s="272"/>
      <c r="WW127" s="272"/>
      <c r="WX127" s="205">
        <f t="shared" si="1504"/>
        <v>0</v>
      </c>
      <c r="WY127" s="207"/>
      <c r="WZ127" s="207"/>
      <c r="XA127" s="207"/>
      <c r="XB127" s="207"/>
      <c r="XC127" s="272"/>
      <c r="XD127" s="272"/>
      <c r="XE127" s="272"/>
      <c r="XF127" s="205">
        <f t="shared" si="1505"/>
        <v>0</v>
      </c>
      <c r="XG127" s="207"/>
      <c r="XH127" s="207"/>
      <c r="XI127" s="207"/>
      <c r="XJ127" s="207"/>
      <c r="XK127" s="207"/>
      <c r="XL127" s="272"/>
      <c r="XM127" s="272"/>
      <c r="XN127" s="205">
        <f t="shared" si="1506"/>
        <v>0</v>
      </c>
      <c r="XO127" s="207"/>
      <c r="XP127" s="207"/>
      <c r="XQ127" s="207"/>
      <c r="XR127" s="207"/>
      <c r="XS127" s="207"/>
      <c r="XT127" s="272"/>
      <c r="XU127" s="272"/>
      <c r="XV127" s="205">
        <f t="shared" si="1507"/>
        <v>0</v>
      </c>
      <c r="XW127" s="205">
        <f t="shared" si="1508"/>
        <v>0</v>
      </c>
      <c r="XX127" s="207"/>
      <c r="XY127" s="207"/>
      <c r="XZ127" s="207"/>
      <c r="YA127" s="207"/>
      <c r="YB127" s="207"/>
      <c r="YC127" s="272"/>
      <c r="YD127" s="272"/>
      <c r="YE127" s="205">
        <f t="shared" si="1509"/>
        <v>0</v>
      </c>
      <c r="YF127" s="207"/>
      <c r="YG127" s="207"/>
      <c r="YH127" s="207"/>
      <c r="YI127" s="207"/>
      <c r="YJ127" s="207"/>
      <c r="YK127" s="272"/>
      <c r="YL127" s="272"/>
      <c r="YM127" s="205">
        <f t="shared" si="1510"/>
        <v>0</v>
      </c>
      <c r="YN127" s="207"/>
      <c r="YO127" s="207"/>
      <c r="YP127" s="207"/>
      <c r="YQ127" s="207"/>
      <c r="YR127" s="207"/>
      <c r="YS127" s="272"/>
      <c r="YT127" s="272"/>
      <c r="YU127" s="205">
        <f t="shared" si="1511"/>
        <v>0</v>
      </c>
      <c r="YV127" s="207"/>
      <c r="YW127" s="207"/>
      <c r="YX127" s="207"/>
      <c r="YY127" s="207"/>
      <c r="YZ127" s="207"/>
      <c r="ZA127" s="272"/>
      <c r="ZB127" s="272"/>
      <c r="ZC127" s="205">
        <f t="shared" si="1512"/>
        <v>0</v>
      </c>
      <c r="ZD127" s="205">
        <f t="shared" si="1513"/>
        <v>0</v>
      </c>
      <c r="ZE127" s="207"/>
      <c r="ZF127" s="207"/>
      <c r="ZG127" s="207"/>
      <c r="ZH127" s="207"/>
      <c r="ZI127" s="207"/>
      <c r="ZJ127" s="272"/>
      <c r="ZK127" s="272"/>
      <c r="ZL127" s="205">
        <f t="shared" si="1514"/>
        <v>0</v>
      </c>
      <c r="ZM127" s="207"/>
      <c r="ZN127" s="207"/>
      <c r="ZO127" s="207"/>
      <c r="ZP127" s="207"/>
      <c r="ZQ127" s="207"/>
      <c r="ZR127" s="272"/>
      <c r="ZS127" s="272"/>
      <c r="ZT127" s="205">
        <f t="shared" si="1515"/>
        <v>0</v>
      </c>
      <c r="ZU127" s="207"/>
      <c r="ZV127" s="207"/>
      <c r="ZW127" s="207"/>
      <c r="ZX127" s="207"/>
      <c r="ZY127" s="207"/>
      <c r="ZZ127" s="272"/>
      <c r="AAA127" s="272"/>
      <c r="AAB127" s="205">
        <f t="shared" si="1516"/>
        <v>0</v>
      </c>
      <c r="AAC127" s="207"/>
      <c r="AAD127" s="207"/>
      <c r="AAE127" s="207"/>
      <c r="AAF127" s="207"/>
      <c r="AAG127" s="207"/>
      <c r="AAH127" s="272"/>
      <c r="AAI127" s="272"/>
      <c r="AAJ127" s="205">
        <f t="shared" si="1517"/>
        <v>0</v>
      </c>
      <c r="AAK127" s="207"/>
      <c r="AAL127" s="207"/>
      <c r="AAM127" s="207"/>
      <c r="AAN127" s="207"/>
      <c r="AAO127" s="207"/>
      <c r="AAP127" s="272"/>
      <c r="AAQ127" s="272"/>
      <c r="AAR127" s="205">
        <f t="shared" si="1518"/>
        <v>0</v>
      </c>
      <c r="AAS127" s="205">
        <f t="shared" si="1519"/>
        <v>0</v>
      </c>
      <c r="ABR127" s="118" ph="1"/>
      <c r="ABS127" s="118" ph="1"/>
      <c r="ABT127" s="118" ph="1"/>
      <c r="ABU127" s="118" ph="1"/>
      <c r="ABV127" s="118" ph="1"/>
      <c r="ABW127" s="118" ph="1"/>
      <c r="ABX127" s="118" ph="1"/>
      <c r="ABY127" s="118" ph="1"/>
      <c r="ABZ127" s="118" ph="1"/>
      <c r="ACA127" s="118" ph="1"/>
      <c r="ACB127" s="118" ph="1"/>
      <c r="ACC127" s="118" ph="1"/>
      <c r="ACD127" s="118" ph="1"/>
      <c r="ACE127" s="118" ph="1"/>
      <c r="ACF127" s="118" ph="1"/>
      <c r="ACG127" s="118" ph="1"/>
      <c r="ACH127" s="118" ph="1"/>
      <c r="ACI127" s="118" ph="1"/>
      <c r="ACJ127" s="118" ph="1"/>
      <c r="ACK127" s="118" ph="1"/>
      <c r="ACL127" s="118" ph="1"/>
      <c r="ACM127" s="118" ph="1"/>
      <c r="ACN127" s="118" ph="1"/>
      <c r="ACO127" s="118" ph="1"/>
      <c r="ACP127" s="118" ph="1"/>
      <c r="ACQ127" s="118" ph="1"/>
      <c r="ACR127" s="118" ph="1"/>
      <c r="ACS127" s="118" ph="1"/>
      <c r="ACT127" s="118" ph="1"/>
      <c r="ACU127" s="118" ph="1"/>
      <c r="ACV127" s="118" ph="1"/>
      <c r="ACW127" s="118" ph="1"/>
    </row>
    <row r="128" spans="2:777" ht="99.95" customHeight="1">
      <c r="B128" s="136">
        <v>3621101705</v>
      </c>
      <c r="C128" s="334" t="s">
        <v>817</v>
      </c>
      <c r="D128" s="136" t="s">
        <v>240</v>
      </c>
      <c r="E128" s="130" t="s">
        <v>4</v>
      </c>
      <c r="F128" s="120"/>
      <c r="G128" s="120"/>
      <c r="H128" s="120"/>
      <c r="I128" s="120"/>
      <c r="J128" s="120"/>
      <c r="K128" s="209"/>
      <c r="L128" s="205"/>
      <c r="M128" s="205">
        <f t="shared" si="1520"/>
        <v>0</v>
      </c>
      <c r="N128" s="120"/>
      <c r="O128" s="120"/>
      <c r="P128" s="120"/>
      <c r="Q128" s="120"/>
      <c r="R128" s="120"/>
      <c r="S128" s="209"/>
      <c r="T128" s="205"/>
      <c r="U128" s="205">
        <f t="shared" si="1521"/>
        <v>0</v>
      </c>
      <c r="V128" s="120"/>
      <c r="W128" s="120"/>
      <c r="X128" s="120"/>
      <c r="Y128" s="120"/>
      <c r="Z128" s="120"/>
      <c r="AA128" s="209"/>
      <c r="AB128" s="205"/>
      <c r="AC128" s="205">
        <f t="shared" si="1522"/>
        <v>0</v>
      </c>
      <c r="AD128" s="205"/>
      <c r="AE128" s="205"/>
      <c r="AF128" s="205"/>
      <c r="AG128" s="205"/>
      <c r="AH128" s="205"/>
      <c r="AI128" s="209"/>
      <c r="AJ128" s="205"/>
      <c r="AK128" s="205">
        <f t="shared" si="1523"/>
        <v>0</v>
      </c>
      <c r="AL128" s="205" t="e">
        <f>SUM(#REF!,M128,U128,AC128,AD128:AH128)</f>
        <v>#REF!</v>
      </c>
      <c r="AM128" s="120"/>
      <c r="AN128" s="120"/>
      <c r="AO128" s="120"/>
      <c r="AP128" s="120"/>
      <c r="AQ128" s="120"/>
      <c r="AR128" s="209"/>
      <c r="AS128" s="205"/>
      <c r="AT128" s="205">
        <f t="shared" si="1524"/>
        <v>0</v>
      </c>
      <c r="AU128" s="120"/>
      <c r="AV128" s="120"/>
      <c r="AW128" s="120"/>
      <c r="AX128" s="120"/>
      <c r="AY128" s="120"/>
      <c r="AZ128" s="209"/>
      <c r="BA128" s="205"/>
      <c r="BB128" s="205">
        <f t="shared" si="1525"/>
        <v>0</v>
      </c>
      <c r="BC128" s="120"/>
      <c r="BD128" s="120"/>
      <c r="BE128" s="120"/>
      <c r="BF128" s="120"/>
      <c r="BG128" s="120"/>
      <c r="BH128" s="209"/>
      <c r="BI128" s="205"/>
      <c r="BJ128" s="205">
        <f t="shared" si="1526"/>
        <v>0</v>
      </c>
      <c r="BK128" s="120"/>
      <c r="BL128" s="120"/>
      <c r="BM128" s="120"/>
      <c r="BN128" s="120"/>
      <c r="BO128" s="205"/>
      <c r="BP128" s="209"/>
      <c r="BQ128" s="205"/>
      <c r="BR128" s="205">
        <f t="shared" si="1527"/>
        <v>0</v>
      </c>
      <c r="BS128" s="205">
        <f t="shared" si="1427"/>
        <v>0</v>
      </c>
      <c r="BT128" s="120"/>
      <c r="BU128" s="120"/>
      <c r="BV128" s="120"/>
      <c r="BW128" s="120"/>
      <c r="BX128" s="120"/>
      <c r="BY128" s="209"/>
      <c r="BZ128" s="205"/>
      <c r="CA128" s="205">
        <f t="shared" si="1528"/>
        <v>0</v>
      </c>
      <c r="CB128" s="120"/>
      <c r="CC128" s="120"/>
      <c r="CD128" s="120"/>
      <c r="CE128" s="120"/>
      <c r="CF128" s="120"/>
      <c r="CG128" s="209"/>
      <c r="CH128" s="205"/>
      <c r="CI128" s="205">
        <f t="shared" si="1529"/>
        <v>0</v>
      </c>
      <c r="CJ128" s="120"/>
      <c r="CK128" s="120"/>
      <c r="CL128" s="120"/>
      <c r="CM128" s="120"/>
      <c r="CN128" s="120"/>
      <c r="CO128" s="209"/>
      <c r="CP128" s="205"/>
      <c r="CQ128" s="205">
        <f t="shared" si="1530"/>
        <v>0</v>
      </c>
      <c r="CR128" s="120"/>
      <c r="CS128" s="120"/>
      <c r="CT128" s="120"/>
      <c r="CU128" s="120"/>
      <c r="CV128" s="120"/>
      <c r="CW128" s="209"/>
      <c r="CX128" s="205"/>
      <c r="CY128" s="205">
        <f t="shared" si="1531"/>
        <v>0</v>
      </c>
      <c r="CZ128" s="120"/>
      <c r="DA128" s="120"/>
      <c r="DB128" s="120"/>
      <c r="DC128" s="205"/>
      <c r="DD128" s="205"/>
      <c r="DE128" s="209"/>
      <c r="DF128" s="205"/>
      <c r="DG128" s="205">
        <f t="shared" si="1532"/>
        <v>0</v>
      </c>
      <c r="DH128" s="205">
        <f t="shared" si="1428"/>
        <v>0</v>
      </c>
      <c r="DI128" s="120"/>
      <c r="DJ128" s="120"/>
      <c r="DK128" s="120"/>
      <c r="DL128" s="120"/>
      <c r="DM128" s="120"/>
      <c r="DN128" s="209"/>
      <c r="DO128" s="205"/>
      <c r="DP128" s="205">
        <f t="shared" si="1432"/>
        <v>0</v>
      </c>
      <c r="DQ128" s="120"/>
      <c r="DR128" s="120"/>
      <c r="DS128" s="120"/>
      <c r="DT128" s="120"/>
      <c r="DU128" s="120"/>
      <c r="DV128" s="209"/>
      <c r="DW128" s="205"/>
      <c r="DX128" s="205">
        <f t="shared" si="1433"/>
        <v>0</v>
      </c>
      <c r="DY128" s="120"/>
      <c r="DZ128" s="120"/>
      <c r="EA128" s="120"/>
      <c r="EB128" s="120"/>
      <c r="EC128" s="120"/>
      <c r="ED128" s="209"/>
      <c r="EE128" s="205"/>
      <c r="EF128" s="205">
        <f t="shared" si="1434"/>
        <v>0</v>
      </c>
      <c r="EG128" s="120"/>
      <c r="EH128" s="120"/>
      <c r="EI128" s="120"/>
      <c r="EJ128" s="205"/>
      <c r="EK128" s="205"/>
      <c r="EL128" s="209"/>
      <c r="EM128" s="205"/>
      <c r="EN128" s="205">
        <f t="shared" si="1435"/>
        <v>0</v>
      </c>
      <c r="EO128" s="205">
        <f t="shared" si="1429"/>
        <v>0</v>
      </c>
      <c r="EP128" s="120"/>
      <c r="EQ128" s="120"/>
      <c r="ER128" s="120"/>
      <c r="ES128" s="120"/>
      <c r="ET128" s="120"/>
      <c r="EU128" s="209"/>
      <c r="EV128" s="205"/>
      <c r="EW128" s="205">
        <f t="shared" si="1436"/>
        <v>0</v>
      </c>
      <c r="EX128" s="120"/>
      <c r="EY128" s="120"/>
      <c r="EZ128" s="120"/>
      <c r="FA128" s="120"/>
      <c r="FB128" s="120"/>
      <c r="FC128" s="209"/>
      <c r="FD128" s="205"/>
      <c r="FE128" s="205">
        <f t="shared" si="1437"/>
        <v>0</v>
      </c>
      <c r="FF128" s="120"/>
      <c r="FG128" s="120"/>
      <c r="FH128" s="120"/>
      <c r="FI128" s="120"/>
      <c r="FJ128" s="120"/>
      <c r="FK128" s="209"/>
      <c r="FL128" s="205"/>
      <c r="FM128" s="205">
        <f t="shared" si="1438"/>
        <v>0</v>
      </c>
      <c r="FN128" s="120"/>
      <c r="FO128" s="120"/>
      <c r="FP128" s="120"/>
      <c r="FQ128" s="120"/>
      <c r="FR128" s="205"/>
      <c r="FS128" s="209"/>
      <c r="FT128" s="205"/>
      <c r="FU128" s="205">
        <f t="shared" si="1439"/>
        <v>0</v>
      </c>
      <c r="FV128" s="205">
        <f t="shared" si="1430"/>
        <v>0</v>
      </c>
      <c r="FW128" s="120"/>
      <c r="FX128" s="120"/>
      <c r="FY128" s="120"/>
      <c r="FZ128" s="120"/>
      <c r="GA128" s="120"/>
      <c r="GB128" s="209"/>
      <c r="GC128" s="205"/>
      <c r="GD128" s="205">
        <f t="shared" si="1440"/>
        <v>0</v>
      </c>
      <c r="GE128" s="120"/>
      <c r="GF128" s="120"/>
      <c r="GG128" s="120"/>
      <c r="GH128" s="120"/>
      <c r="GI128" s="120"/>
      <c r="GJ128" s="209"/>
      <c r="GK128" s="205"/>
      <c r="GL128" s="205">
        <f t="shared" si="1441"/>
        <v>0</v>
      </c>
      <c r="GM128" s="120"/>
      <c r="GN128" s="120"/>
      <c r="GO128" s="120"/>
      <c r="GP128" s="120"/>
      <c r="GQ128" s="120"/>
      <c r="GR128" s="209"/>
      <c r="GS128" s="205"/>
      <c r="GT128" s="205">
        <f t="shared" si="1442"/>
        <v>0</v>
      </c>
      <c r="GU128" s="120"/>
      <c r="GV128" s="120"/>
      <c r="GW128" s="120"/>
      <c r="GX128" s="120"/>
      <c r="GY128" s="120"/>
      <c r="GZ128" s="209"/>
      <c r="HA128" s="205"/>
      <c r="HB128" s="205">
        <f t="shared" si="1443"/>
        <v>0</v>
      </c>
      <c r="HC128" s="120"/>
      <c r="HD128" s="120"/>
      <c r="HE128" s="120"/>
      <c r="HF128" s="120"/>
      <c r="HG128" s="120"/>
      <c r="HH128" s="209"/>
      <c r="HI128" s="205"/>
      <c r="HJ128" s="205">
        <f t="shared" si="1444"/>
        <v>0</v>
      </c>
      <c r="HK128" s="205">
        <f t="shared" si="1431"/>
        <v>0</v>
      </c>
      <c r="HL128" s="124"/>
      <c r="HM128" s="120"/>
      <c r="HN128" s="120"/>
      <c r="HO128" s="120"/>
      <c r="HP128" s="120"/>
      <c r="HQ128" s="205"/>
      <c r="HR128" s="205"/>
      <c r="HS128" s="205">
        <f t="shared" si="1445"/>
        <v>0</v>
      </c>
      <c r="HT128" s="120"/>
      <c r="HU128" s="120"/>
      <c r="HV128" s="120"/>
      <c r="HW128" s="120"/>
      <c r="HX128" s="120"/>
      <c r="HY128" s="205"/>
      <c r="HZ128" s="205"/>
      <c r="IA128" s="205">
        <f t="shared" si="1446"/>
        <v>0</v>
      </c>
      <c r="IB128" s="120"/>
      <c r="IC128" s="120"/>
      <c r="ID128" s="120"/>
      <c r="IE128" s="120"/>
      <c r="IF128" s="120"/>
      <c r="IG128" s="205"/>
      <c r="IH128" s="205"/>
      <c r="II128" s="205">
        <f t="shared" si="1447"/>
        <v>0</v>
      </c>
      <c r="IJ128" s="120"/>
      <c r="IK128" s="120"/>
      <c r="IL128" s="120"/>
      <c r="IM128" s="120"/>
      <c r="IN128" s="120"/>
      <c r="IO128" s="205"/>
      <c r="IP128" s="205"/>
      <c r="IQ128" s="205">
        <f t="shared" si="1448"/>
        <v>0</v>
      </c>
      <c r="IR128" s="205">
        <f t="shared" si="1449"/>
        <v>0</v>
      </c>
      <c r="IS128" s="120"/>
      <c r="IT128" s="120"/>
      <c r="IU128" s="120"/>
      <c r="IV128" s="120"/>
      <c r="IW128" s="120"/>
      <c r="IX128" s="205"/>
      <c r="IY128" s="205"/>
      <c r="IZ128" s="205">
        <f t="shared" si="1450"/>
        <v>0</v>
      </c>
      <c r="JA128" s="120"/>
      <c r="JB128" s="120"/>
      <c r="JC128" s="120"/>
      <c r="JD128" s="120"/>
      <c r="JE128" s="120"/>
      <c r="JF128" s="205"/>
      <c r="JG128" s="205"/>
      <c r="JH128" s="205">
        <f t="shared" si="1451"/>
        <v>0</v>
      </c>
      <c r="JI128" s="120"/>
      <c r="JJ128" s="120"/>
      <c r="JK128" s="120"/>
      <c r="JL128" s="120"/>
      <c r="JM128" s="120"/>
      <c r="JN128" s="205"/>
      <c r="JO128" s="205"/>
      <c r="JP128" s="205">
        <f t="shared" si="1452"/>
        <v>0</v>
      </c>
      <c r="JQ128" s="120"/>
      <c r="JR128" s="120"/>
      <c r="JS128" s="120"/>
      <c r="JT128" s="120"/>
      <c r="JU128" s="120"/>
      <c r="JV128" s="205"/>
      <c r="JW128" s="205"/>
      <c r="JX128" s="205">
        <f t="shared" si="1453"/>
        <v>0</v>
      </c>
      <c r="JY128" s="205">
        <f t="shared" si="1454"/>
        <v>0</v>
      </c>
      <c r="JZ128" s="120"/>
      <c r="KA128" s="120"/>
      <c r="KB128" s="120"/>
      <c r="KC128" s="120"/>
      <c r="KD128" s="120"/>
      <c r="KE128" s="205"/>
      <c r="KF128" s="205"/>
      <c r="KG128" s="205">
        <f t="shared" si="1455"/>
        <v>0</v>
      </c>
      <c r="KH128" s="120"/>
      <c r="KI128" s="120"/>
      <c r="KJ128" s="120"/>
      <c r="KK128" s="120"/>
      <c r="KL128" s="120"/>
      <c r="KM128" s="205"/>
      <c r="KN128" s="205"/>
      <c r="KO128" s="205">
        <f t="shared" si="1456"/>
        <v>0</v>
      </c>
      <c r="KP128" s="120"/>
      <c r="KQ128" s="120"/>
      <c r="KR128" s="120"/>
      <c r="KS128" s="120"/>
      <c r="KT128" s="120"/>
      <c r="KU128" s="205"/>
      <c r="KV128" s="205"/>
      <c r="KW128" s="205">
        <f t="shared" si="1457"/>
        <v>0</v>
      </c>
      <c r="KX128" s="120"/>
      <c r="KY128" s="120"/>
      <c r="KZ128" s="120"/>
      <c r="LA128" s="120"/>
      <c r="LB128" s="120"/>
      <c r="LC128" s="205"/>
      <c r="LD128" s="205"/>
      <c r="LE128" s="205">
        <f t="shared" si="1458"/>
        <v>0</v>
      </c>
      <c r="LF128" s="205"/>
      <c r="LG128" s="120"/>
      <c r="LH128" s="120"/>
      <c r="LI128" s="120"/>
      <c r="LJ128" s="120"/>
      <c r="LK128" s="205"/>
      <c r="LL128" s="205"/>
      <c r="LM128" s="205">
        <f t="shared" si="1459"/>
        <v>0</v>
      </c>
      <c r="LN128" s="205">
        <f t="shared" si="1460"/>
        <v>0</v>
      </c>
      <c r="LO128" s="205"/>
      <c r="LP128" s="120"/>
      <c r="LQ128" s="120"/>
      <c r="LR128" s="120"/>
      <c r="LS128" s="205"/>
      <c r="LT128" s="205"/>
      <c r="LU128" s="205"/>
      <c r="LV128" s="205">
        <f t="shared" si="1461"/>
        <v>0</v>
      </c>
      <c r="LW128" s="120"/>
      <c r="LX128" s="120"/>
      <c r="LY128" s="120"/>
      <c r="LZ128" s="120"/>
      <c r="MA128" s="120"/>
      <c r="MB128" s="205"/>
      <c r="MC128" s="205"/>
      <c r="MD128" s="205">
        <f t="shared" si="1462"/>
        <v>0</v>
      </c>
      <c r="ME128" s="120"/>
      <c r="MF128" s="120"/>
      <c r="MG128" s="120"/>
      <c r="MH128" s="120"/>
      <c r="MI128" s="205"/>
      <c r="MJ128" s="205"/>
      <c r="MK128" s="205"/>
      <c r="ML128" s="205">
        <f t="shared" si="1463"/>
        <v>0</v>
      </c>
      <c r="MM128" s="120"/>
      <c r="MN128" s="120"/>
      <c r="MO128" s="120"/>
      <c r="MP128" s="120"/>
      <c r="MQ128" s="120"/>
      <c r="MR128" s="205"/>
      <c r="MS128" s="205"/>
      <c r="MT128" s="205">
        <f t="shared" si="1464"/>
        <v>0</v>
      </c>
      <c r="MU128" s="205">
        <f t="shared" si="1465"/>
        <v>0</v>
      </c>
      <c r="MV128" s="120"/>
      <c r="MW128" s="120"/>
      <c r="MX128" s="120"/>
      <c r="MY128" s="120"/>
      <c r="MZ128" s="120"/>
      <c r="NA128" s="205"/>
      <c r="NB128" s="205"/>
      <c r="NC128" s="205">
        <f t="shared" si="1466"/>
        <v>0</v>
      </c>
      <c r="ND128" s="120"/>
      <c r="NE128" s="120"/>
      <c r="NF128" s="120"/>
      <c r="NG128" s="120"/>
      <c r="NH128" s="120"/>
      <c r="NI128" s="205"/>
      <c r="NJ128" s="205"/>
      <c r="NK128" s="205">
        <f t="shared" si="1467"/>
        <v>0</v>
      </c>
      <c r="NL128" s="120"/>
      <c r="NM128" s="120"/>
      <c r="NN128" s="120"/>
      <c r="NO128" s="120"/>
      <c r="NP128" s="120"/>
      <c r="NQ128" s="205"/>
      <c r="NR128" s="205"/>
      <c r="NS128" s="205">
        <f t="shared" si="1468"/>
        <v>0</v>
      </c>
      <c r="NT128" s="120"/>
      <c r="NU128" s="120"/>
      <c r="NV128" s="120"/>
      <c r="NW128" s="120"/>
      <c r="NX128" s="120"/>
      <c r="NY128" s="205"/>
      <c r="NZ128" s="205"/>
      <c r="OA128" s="205">
        <f t="shared" si="1469"/>
        <v>0</v>
      </c>
      <c r="OB128" s="205">
        <f t="shared" si="1470"/>
        <v>0</v>
      </c>
      <c r="OC128" s="120"/>
      <c r="OD128" s="120"/>
      <c r="OE128" s="120"/>
      <c r="OF128" s="120"/>
      <c r="OG128" s="120"/>
      <c r="OH128" s="205"/>
      <c r="OI128" s="205"/>
      <c r="OJ128" s="205">
        <f t="shared" si="1471"/>
        <v>0</v>
      </c>
      <c r="OK128" s="120"/>
      <c r="OL128" s="120"/>
      <c r="OM128" s="120"/>
      <c r="ON128" s="120"/>
      <c r="OO128" s="120"/>
      <c r="OP128" s="205"/>
      <c r="OQ128" s="205"/>
      <c r="OR128" s="205">
        <f t="shared" si="1472"/>
        <v>0</v>
      </c>
      <c r="OS128" s="120"/>
      <c r="OT128" s="120"/>
      <c r="OU128" s="120"/>
      <c r="OV128" s="120"/>
      <c r="OW128" s="120"/>
      <c r="OX128" s="205"/>
      <c r="OY128" s="205"/>
      <c r="OZ128" s="205">
        <f t="shared" si="1473"/>
        <v>0</v>
      </c>
      <c r="PA128" s="120"/>
      <c r="PB128" s="120"/>
      <c r="PC128" s="120"/>
      <c r="PD128" s="205"/>
      <c r="PE128" s="217"/>
      <c r="PF128" s="205"/>
      <c r="PG128" s="205"/>
      <c r="PH128" s="205">
        <f t="shared" si="1474"/>
        <v>0</v>
      </c>
      <c r="PI128" s="120"/>
      <c r="PJ128" s="120"/>
      <c r="PK128" s="120"/>
      <c r="PL128" s="205"/>
      <c r="PM128" s="217"/>
      <c r="PN128" s="205"/>
      <c r="PO128" s="205"/>
      <c r="PP128" s="205">
        <f t="shared" si="1475"/>
        <v>0</v>
      </c>
      <c r="PQ128" s="205">
        <f t="shared" si="1476"/>
        <v>0</v>
      </c>
      <c r="PR128" s="207"/>
      <c r="PS128" s="207"/>
      <c r="PT128" s="207"/>
      <c r="PU128" s="207"/>
      <c r="PV128" s="207"/>
      <c r="PW128" s="272"/>
      <c r="PX128" s="272"/>
      <c r="PY128" s="205">
        <f t="shared" si="1477"/>
        <v>0</v>
      </c>
      <c r="PZ128" s="207"/>
      <c r="QA128" s="207"/>
      <c r="QB128" s="207"/>
      <c r="QC128" s="207"/>
      <c r="QD128" s="207"/>
      <c r="QE128" s="272"/>
      <c r="QF128" s="272"/>
      <c r="QG128" s="205">
        <f t="shared" si="1478"/>
        <v>0</v>
      </c>
      <c r="QH128" s="207"/>
      <c r="QI128" s="207"/>
      <c r="QJ128" s="294"/>
      <c r="QK128" s="207"/>
      <c r="QL128" s="207"/>
      <c r="QM128" s="272"/>
      <c r="QN128" s="272"/>
      <c r="QO128" s="205">
        <f t="shared" si="1479"/>
        <v>0</v>
      </c>
      <c r="QP128" s="207"/>
      <c r="QQ128" s="207"/>
      <c r="QR128" s="207"/>
      <c r="QS128" s="207"/>
      <c r="QT128" s="207"/>
      <c r="QU128" s="272"/>
      <c r="QV128" s="272"/>
      <c r="QW128" s="205">
        <f t="shared" si="1480"/>
        <v>0</v>
      </c>
      <c r="QX128" s="205">
        <f t="shared" si="1481"/>
        <v>0</v>
      </c>
      <c r="QY128" s="207"/>
      <c r="QZ128" s="207"/>
      <c r="RA128" s="207"/>
      <c r="RB128" s="207"/>
      <c r="RC128" s="207"/>
      <c r="RD128" s="272"/>
      <c r="RE128" s="272"/>
      <c r="RF128" s="205">
        <f t="shared" si="1482"/>
        <v>0</v>
      </c>
      <c r="RG128" s="207"/>
      <c r="RH128" s="207"/>
      <c r="RI128" s="207"/>
      <c r="RJ128" s="207"/>
      <c r="RK128" s="207"/>
      <c r="RL128" s="272"/>
      <c r="RM128" s="272"/>
      <c r="RN128" s="205">
        <f t="shared" si="1483"/>
        <v>0</v>
      </c>
      <c r="RO128" s="272"/>
      <c r="RP128" s="272"/>
      <c r="RQ128" s="272"/>
      <c r="RR128" s="272"/>
      <c r="RS128" s="272"/>
      <c r="RT128" s="272"/>
      <c r="RU128" s="272"/>
      <c r="RV128" s="205">
        <f t="shared" si="1484"/>
        <v>0</v>
      </c>
      <c r="RW128" s="207"/>
      <c r="RX128" s="207"/>
      <c r="RY128" s="207"/>
      <c r="RZ128" s="207"/>
      <c r="SA128" s="272"/>
      <c r="SB128" s="272"/>
      <c r="SC128" s="272"/>
      <c r="SD128" s="205">
        <f t="shared" si="1485"/>
        <v>0</v>
      </c>
      <c r="SE128" s="205">
        <f t="shared" si="1486"/>
        <v>0</v>
      </c>
      <c r="SF128" s="207"/>
      <c r="SG128" s="207"/>
      <c r="SH128" s="207"/>
      <c r="SI128" s="207"/>
      <c r="SJ128" s="207"/>
      <c r="SK128" s="272"/>
      <c r="SL128" s="272"/>
      <c r="SM128" s="205">
        <f t="shared" si="1487"/>
        <v>0</v>
      </c>
      <c r="SN128" s="207"/>
      <c r="SO128" s="207"/>
      <c r="SP128" s="207"/>
      <c r="SQ128" s="207"/>
      <c r="SR128" s="207"/>
      <c r="SS128" s="272"/>
      <c r="ST128" s="272"/>
      <c r="SU128" s="205">
        <f t="shared" si="1488"/>
        <v>0</v>
      </c>
      <c r="SV128" s="207"/>
      <c r="SW128" s="207"/>
      <c r="SX128" s="207"/>
      <c r="SY128" s="207"/>
      <c r="SZ128" s="207"/>
      <c r="TA128" s="272"/>
      <c r="TB128" s="272"/>
      <c r="TC128" s="205">
        <f t="shared" si="1489"/>
        <v>0</v>
      </c>
      <c r="TD128" s="207"/>
      <c r="TE128" s="207"/>
      <c r="TF128" s="207"/>
      <c r="TG128" s="207"/>
      <c r="TH128" s="207"/>
      <c r="TI128" s="272"/>
      <c r="TJ128" s="272"/>
      <c r="TK128" s="205">
        <f t="shared" si="1490"/>
        <v>0</v>
      </c>
      <c r="TL128" s="207"/>
      <c r="TM128" s="207"/>
      <c r="TN128" s="207"/>
      <c r="TO128" s="207"/>
      <c r="TP128" s="272"/>
      <c r="TQ128" s="272"/>
      <c r="TR128" s="272"/>
      <c r="TS128" s="205">
        <f t="shared" si="1491"/>
        <v>0</v>
      </c>
      <c r="TT128" s="205">
        <f t="shared" si="1492"/>
        <v>0</v>
      </c>
      <c r="TU128" s="272"/>
      <c r="TV128" s="207"/>
      <c r="TW128" s="207"/>
      <c r="TX128" s="207"/>
      <c r="TY128" s="207"/>
      <c r="TZ128" s="272"/>
      <c r="UA128" s="272"/>
      <c r="UB128" s="205">
        <f t="shared" si="1493"/>
        <v>0</v>
      </c>
      <c r="UC128" s="207"/>
      <c r="UD128" s="207"/>
      <c r="UE128" s="207"/>
      <c r="UF128" s="207"/>
      <c r="UG128" s="207"/>
      <c r="UH128" s="272"/>
      <c r="UI128" s="272"/>
      <c r="UJ128" s="205">
        <f t="shared" si="1494"/>
        <v>0</v>
      </c>
      <c r="UK128" s="207"/>
      <c r="UL128" s="207"/>
      <c r="UM128" s="207"/>
      <c r="UN128" s="207"/>
      <c r="UO128" s="207"/>
      <c r="UP128" s="272"/>
      <c r="UQ128" s="272"/>
      <c r="UR128" s="205">
        <f t="shared" si="1495"/>
        <v>0</v>
      </c>
      <c r="US128" s="207"/>
      <c r="UT128" s="207"/>
      <c r="UU128" s="207"/>
      <c r="UV128" s="207"/>
      <c r="UW128" s="272"/>
      <c r="UX128" s="272"/>
      <c r="UY128" s="272"/>
      <c r="UZ128" s="205">
        <f t="shared" si="1496"/>
        <v>0</v>
      </c>
      <c r="VA128" s="205">
        <f t="shared" si="1497"/>
        <v>0</v>
      </c>
      <c r="VB128" s="207"/>
      <c r="VC128" s="207"/>
      <c r="VD128" s="207"/>
      <c r="VE128" s="207"/>
      <c r="VF128" s="207"/>
      <c r="VG128" s="272"/>
      <c r="VH128" s="272"/>
      <c r="VI128" s="205">
        <f t="shared" si="1498"/>
        <v>0</v>
      </c>
      <c r="VJ128" s="207"/>
      <c r="VK128" s="207"/>
      <c r="VL128" s="207"/>
      <c r="VM128" s="207"/>
      <c r="VN128" s="207"/>
      <c r="VO128" s="272"/>
      <c r="VP128" s="272"/>
      <c r="VQ128" s="205">
        <f t="shared" si="1499"/>
        <v>0</v>
      </c>
      <c r="VR128" s="207"/>
      <c r="VS128" s="207"/>
      <c r="VT128" s="207"/>
      <c r="VU128" s="207"/>
      <c r="VV128" s="207"/>
      <c r="VW128" s="272"/>
      <c r="VX128" s="272"/>
      <c r="VY128" s="205">
        <f t="shared" si="1500"/>
        <v>0</v>
      </c>
      <c r="VZ128" s="207"/>
      <c r="WA128" s="207"/>
      <c r="WB128" s="207"/>
      <c r="WC128" s="207"/>
      <c r="WD128" s="207"/>
      <c r="WE128" s="272"/>
      <c r="WF128" s="272"/>
      <c r="WG128" s="205">
        <f t="shared" si="1501"/>
        <v>0</v>
      </c>
      <c r="WH128" s="205">
        <f t="shared" si="1502"/>
        <v>0</v>
      </c>
      <c r="WI128" s="207"/>
      <c r="WJ128" s="207"/>
      <c r="WK128" s="207"/>
      <c r="WL128" s="207"/>
      <c r="WM128" s="207"/>
      <c r="WN128" s="272"/>
      <c r="WO128" s="272"/>
      <c r="WP128" s="205">
        <f t="shared" si="1503"/>
        <v>0</v>
      </c>
      <c r="WQ128" s="207"/>
      <c r="WR128" s="207"/>
      <c r="WS128" s="207"/>
      <c r="WT128" s="207"/>
      <c r="WU128" s="207"/>
      <c r="WV128" s="272"/>
      <c r="WW128" s="272"/>
      <c r="WX128" s="205">
        <f t="shared" si="1504"/>
        <v>0</v>
      </c>
      <c r="WY128" s="207"/>
      <c r="WZ128" s="207"/>
      <c r="XA128" s="207"/>
      <c r="XB128" s="207"/>
      <c r="XC128" s="272"/>
      <c r="XD128" s="272"/>
      <c r="XE128" s="272"/>
      <c r="XF128" s="205">
        <f t="shared" si="1505"/>
        <v>0</v>
      </c>
      <c r="XG128" s="207"/>
      <c r="XH128" s="207"/>
      <c r="XI128" s="207"/>
      <c r="XJ128" s="207"/>
      <c r="XK128" s="207"/>
      <c r="XL128" s="272"/>
      <c r="XM128" s="272"/>
      <c r="XN128" s="205">
        <f t="shared" si="1506"/>
        <v>0</v>
      </c>
      <c r="XO128" s="207"/>
      <c r="XP128" s="207"/>
      <c r="XQ128" s="207"/>
      <c r="XR128" s="207"/>
      <c r="XS128" s="207"/>
      <c r="XT128" s="272"/>
      <c r="XU128" s="272"/>
      <c r="XV128" s="205">
        <f t="shared" si="1507"/>
        <v>0</v>
      </c>
      <c r="XW128" s="205">
        <f t="shared" si="1508"/>
        <v>0</v>
      </c>
      <c r="XX128" s="207"/>
      <c r="XY128" s="207"/>
      <c r="XZ128" s="207"/>
      <c r="YA128" s="207"/>
      <c r="YB128" s="207"/>
      <c r="YC128" s="272"/>
      <c r="YD128" s="272"/>
      <c r="YE128" s="205">
        <f t="shared" si="1509"/>
        <v>0</v>
      </c>
      <c r="YF128" s="207"/>
      <c r="YG128" s="207"/>
      <c r="YH128" s="207"/>
      <c r="YI128" s="207"/>
      <c r="YJ128" s="207"/>
      <c r="YK128" s="272"/>
      <c r="YL128" s="272"/>
      <c r="YM128" s="205">
        <f t="shared" si="1510"/>
        <v>0</v>
      </c>
      <c r="YN128" s="207"/>
      <c r="YO128" s="207"/>
      <c r="YP128" s="207"/>
      <c r="YQ128" s="207"/>
      <c r="YR128" s="207"/>
      <c r="YS128" s="272"/>
      <c r="YT128" s="272"/>
      <c r="YU128" s="205">
        <f t="shared" si="1511"/>
        <v>0</v>
      </c>
      <c r="YV128" s="207"/>
      <c r="YW128" s="207"/>
      <c r="YX128" s="207"/>
      <c r="YY128" s="207"/>
      <c r="YZ128" s="207"/>
      <c r="ZA128" s="272"/>
      <c r="ZB128" s="272"/>
      <c r="ZC128" s="205">
        <f t="shared" si="1512"/>
        <v>0</v>
      </c>
      <c r="ZD128" s="205">
        <f t="shared" si="1513"/>
        <v>0</v>
      </c>
      <c r="ZE128" s="207"/>
      <c r="ZF128" s="207"/>
      <c r="ZG128" s="207"/>
      <c r="ZH128" s="207"/>
      <c r="ZI128" s="207"/>
      <c r="ZJ128" s="272"/>
      <c r="ZK128" s="272"/>
      <c r="ZL128" s="205">
        <f t="shared" si="1514"/>
        <v>0</v>
      </c>
      <c r="ZM128" s="207"/>
      <c r="ZN128" s="207"/>
      <c r="ZO128" s="207"/>
      <c r="ZP128" s="207"/>
      <c r="ZQ128" s="207"/>
      <c r="ZR128" s="272"/>
      <c r="ZS128" s="272"/>
      <c r="ZT128" s="205">
        <f t="shared" si="1515"/>
        <v>0</v>
      </c>
      <c r="ZU128" s="207"/>
      <c r="ZV128" s="207"/>
      <c r="ZW128" s="207"/>
      <c r="ZX128" s="207"/>
      <c r="ZY128" s="207"/>
      <c r="ZZ128" s="272"/>
      <c r="AAA128" s="272"/>
      <c r="AAB128" s="205">
        <f t="shared" si="1516"/>
        <v>0</v>
      </c>
      <c r="AAC128" s="207"/>
      <c r="AAD128" s="207"/>
      <c r="AAE128" s="207"/>
      <c r="AAF128" s="207"/>
      <c r="AAG128" s="207"/>
      <c r="AAH128" s="272"/>
      <c r="AAI128" s="272"/>
      <c r="AAJ128" s="205">
        <f t="shared" si="1517"/>
        <v>0</v>
      </c>
      <c r="AAK128" s="207"/>
      <c r="AAL128" s="207"/>
      <c r="AAM128" s="207"/>
      <c r="AAN128" s="207"/>
      <c r="AAO128" s="207"/>
      <c r="AAP128" s="272"/>
      <c r="AAQ128" s="272"/>
      <c r="AAR128" s="205">
        <f t="shared" si="1518"/>
        <v>0</v>
      </c>
      <c r="AAS128" s="205">
        <f t="shared" si="1519"/>
        <v>0</v>
      </c>
    </row>
    <row r="129" spans="1:721" ht="76.5" customHeight="1">
      <c r="B129" s="136">
        <v>3621101706</v>
      </c>
      <c r="C129" s="334" t="s">
        <v>234</v>
      </c>
      <c r="D129" s="253" t="s">
        <v>244</v>
      </c>
      <c r="E129" s="130" t="s">
        <v>4</v>
      </c>
      <c r="F129" s="120"/>
      <c r="G129" s="120"/>
      <c r="H129" s="120"/>
      <c r="I129" s="120"/>
      <c r="J129" s="120"/>
      <c r="K129" s="209"/>
      <c r="L129" s="205"/>
      <c r="M129" s="205">
        <f t="shared" si="1520"/>
        <v>0</v>
      </c>
      <c r="N129" s="120"/>
      <c r="O129" s="120"/>
      <c r="P129" s="120"/>
      <c r="Q129" s="120"/>
      <c r="R129" s="120"/>
      <c r="S129" s="209"/>
      <c r="T129" s="205"/>
      <c r="U129" s="205">
        <f t="shared" si="1521"/>
        <v>0</v>
      </c>
      <c r="V129" s="120"/>
      <c r="W129" s="120"/>
      <c r="X129" s="120"/>
      <c r="Y129" s="120"/>
      <c r="Z129" s="120"/>
      <c r="AA129" s="209"/>
      <c r="AB129" s="205"/>
      <c r="AC129" s="205">
        <f t="shared" si="1522"/>
        <v>0</v>
      </c>
      <c r="AD129" s="205"/>
      <c r="AE129" s="205"/>
      <c r="AF129" s="205"/>
      <c r="AG129" s="205"/>
      <c r="AH129" s="205"/>
      <c r="AI129" s="209"/>
      <c r="AJ129" s="205"/>
      <c r="AK129" s="205">
        <f t="shared" si="1523"/>
        <v>0</v>
      </c>
      <c r="AL129" s="205" t="e">
        <f>SUM(#REF!,M129,U129,AC129,AD129:AH129)</f>
        <v>#REF!</v>
      </c>
      <c r="AM129" s="120"/>
      <c r="AN129" s="120"/>
      <c r="AO129" s="120"/>
      <c r="AP129" s="120"/>
      <c r="AQ129" s="120"/>
      <c r="AR129" s="209"/>
      <c r="AS129" s="205"/>
      <c r="AT129" s="205">
        <f t="shared" si="1524"/>
        <v>0</v>
      </c>
      <c r="AU129" s="120"/>
      <c r="AV129" s="120"/>
      <c r="AW129" s="120"/>
      <c r="AX129" s="120"/>
      <c r="AY129" s="120"/>
      <c r="AZ129" s="209"/>
      <c r="BA129" s="205"/>
      <c r="BB129" s="205">
        <f t="shared" si="1525"/>
        <v>0</v>
      </c>
      <c r="BC129" s="120"/>
      <c r="BD129" s="120"/>
      <c r="BE129" s="120"/>
      <c r="BF129" s="120"/>
      <c r="BG129" s="120"/>
      <c r="BH129" s="209"/>
      <c r="BI129" s="205"/>
      <c r="BJ129" s="205">
        <f t="shared" si="1526"/>
        <v>0</v>
      </c>
      <c r="BK129" s="120"/>
      <c r="BL129" s="120"/>
      <c r="BM129" s="120"/>
      <c r="BN129" s="120"/>
      <c r="BO129" s="205"/>
      <c r="BP129" s="209"/>
      <c r="BQ129" s="205"/>
      <c r="BR129" s="205">
        <f t="shared" si="1527"/>
        <v>0</v>
      </c>
      <c r="BS129" s="205">
        <f t="shared" si="1427"/>
        <v>0</v>
      </c>
      <c r="BT129" s="120"/>
      <c r="BU129" s="120"/>
      <c r="BV129" s="120"/>
      <c r="BW129" s="120"/>
      <c r="BX129" s="120"/>
      <c r="BY129" s="209"/>
      <c r="BZ129" s="205"/>
      <c r="CA129" s="205">
        <f t="shared" si="1528"/>
        <v>0</v>
      </c>
      <c r="CB129" s="120"/>
      <c r="CC129" s="120"/>
      <c r="CD129" s="120"/>
      <c r="CE129" s="120"/>
      <c r="CF129" s="120"/>
      <c r="CG129" s="209"/>
      <c r="CH129" s="205"/>
      <c r="CI129" s="205">
        <f t="shared" si="1529"/>
        <v>0</v>
      </c>
      <c r="CJ129" s="120"/>
      <c r="CK129" s="120"/>
      <c r="CL129" s="120"/>
      <c r="CM129" s="120"/>
      <c r="CN129" s="120"/>
      <c r="CO129" s="209"/>
      <c r="CP129" s="205"/>
      <c r="CQ129" s="205">
        <f t="shared" si="1530"/>
        <v>0</v>
      </c>
      <c r="CR129" s="120"/>
      <c r="CS129" s="120"/>
      <c r="CT129" s="120"/>
      <c r="CU129" s="120"/>
      <c r="CV129" s="120"/>
      <c r="CW129" s="209"/>
      <c r="CX129" s="205"/>
      <c r="CY129" s="205">
        <f t="shared" si="1531"/>
        <v>0</v>
      </c>
      <c r="CZ129" s="120"/>
      <c r="DA129" s="120"/>
      <c r="DB129" s="120"/>
      <c r="DC129" s="205"/>
      <c r="DD129" s="205"/>
      <c r="DE129" s="209"/>
      <c r="DF129" s="205"/>
      <c r="DG129" s="205">
        <f t="shared" si="1532"/>
        <v>0</v>
      </c>
      <c r="DH129" s="205">
        <f t="shared" si="1428"/>
        <v>0</v>
      </c>
      <c r="DI129" s="120"/>
      <c r="DJ129" s="120"/>
      <c r="DK129" s="120"/>
      <c r="DL129" s="120"/>
      <c r="DM129" s="120"/>
      <c r="DN129" s="209"/>
      <c r="DO129" s="205"/>
      <c r="DP129" s="205">
        <f t="shared" si="1432"/>
        <v>0</v>
      </c>
      <c r="DQ129" s="120"/>
      <c r="DR129" s="120"/>
      <c r="DS129" s="120"/>
      <c r="DT129" s="120"/>
      <c r="DU129" s="120"/>
      <c r="DV129" s="209"/>
      <c r="DW129" s="205"/>
      <c r="DX129" s="205">
        <f t="shared" si="1433"/>
        <v>0</v>
      </c>
      <c r="DY129" s="120"/>
      <c r="DZ129" s="120"/>
      <c r="EA129" s="120"/>
      <c r="EB129" s="120"/>
      <c r="EC129" s="120"/>
      <c r="ED129" s="209"/>
      <c r="EE129" s="205"/>
      <c r="EF129" s="205">
        <f t="shared" si="1434"/>
        <v>0</v>
      </c>
      <c r="EG129" s="120"/>
      <c r="EH129" s="120"/>
      <c r="EI129" s="120"/>
      <c r="EJ129" s="205"/>
      <c r="EK129" s="205"/>
      <c r="EL129" s="209"/>
      <c r="EM129" s="205"/>
      <c r="EN129" s="205">
        <f t="shared" si="1435"/>
        <v>0</v>
      </c>
      <c r="EO129" s="205">
        <f t="shared" si="1429"/>
        <v>0</v>
      </c>
      <c r="EP129" s="120"/>
      <c r="EQ129" s="120"/>
      <c r="ER129" s="120"/>
      <c r="ES129" s="120"/>
      <c r="ET129" s="120"/>
      <c r="EU129" s="209"/>
      <c r="EV129" s="205"/>
      <c r="EW129" s="205">
        <f t="shared" si="1436"/>
        <v>0</v>
      </c>
      <c r="EX129" s="120"/>
      <c r="EY129" s="120"/>
      <c r="EZ129" s="120"/>
      <c r="FA129" s="120"/>
      <c r="FB129" s="120"/>
      <c r="FC129" s="209"/>
      <c r="FD129" s="205"/>
      <c r="FE129" s="205">
        <f t="shared" si="1437"/>
        <v>0</v>
      </c>
      <c r="FF129" s="120"/>
      <c r="FG129" s="120"/>
      <c r="FH129" s="120"/>
      <c r="FI129" s="120"/>
      <c r="FJ129" s="120"/>
      <c r="FK129" s="209"/>
      <c r="FL129" s="205"/>
      <c r="FM129" s="205">
        <f t="shared" si="1438"/>
        <v>0</v>
      </c>
      <c r="FN129" s="120"/>
      <c r="FO129" s="120"/>
      <c r="FP129" s="120"/>
      <c r="FQ129" s="120"/>
      <c r="FR129" s="205"/>
      <c r="FS129" s="209"/>
      <c r="FT129" s="205"/>
      <c r="FU129" s="205">
        <f t="shared" si="1439"/>
        <v>0</v>
      </c>
      <c r="FV129" s="205">
        <f t="shared" si="1430"/>
        <v>0</v>
      </c>
      <c r="FW129" s="120"/>
      <c r="FX129" s="120"/>
      <c r="FY129" s="120"/>
      <c r="FZ129" s="120"/>
      <c r="GA129" s="120"/>
      <c r="GB129" s="209"/>
      <c r="GC129" s="205"/>
      <c r="GD129" s="205">
        <f t="shared" si="1440"/>
        <v>0</v>
      </c>
      <c r="GE129" s="120"/>
      <c r="GF129" s="120"/>
      <c r="GG129" s="120"/>
      <c r="GH129" s="120"/>
      <c r="GI129" s="120"/>
      <c r="GJ129" s="209"/>
      <c r="GK129" s="205"/>
      <c r="GL129" s="205">
        <f t="shared" si="1441"/>
        <v>0</v>
      </c>
      <c r="GM129" s="120"/>
      <c r="GN129" s="120"/>
      <c r="GO129" s="120"/>
      <c r="GP129" s="120"/>
      <c r="GQ129" s="120"/>
      <c r="GR129" s="209"/>
      <c r="GS129" s="205"/>
      <c r="GT129" s="205">
        <f t="shared" si="1442"/>
        <v>0</v>
      </c>
      <c r="GU129" s="120"/>
      <c r="GV129" s="120"/>
      <c r="GW129" s="120"/>
      <c r="GX129" s="120"/>
      <c r="GY129" s="120"/>
      <c r="GZ129" s="209"/>
      <c r="HA129" s="205"/>
      <c r="HB129" s="205">
        <f t="shared" si="1443"/>
        <v>0</v>
      </c>
      <c r="HC129" s="120"/>
      <c r="HD129" s="120"/>
      <c r="HE129" s="120"/>
      <c r="HF129" s="120"/>
      <c r="HG129" s="120"/>
      <c r="HH129" s="209"/>
      <c r="HI129" s="205"/>
      <c r="HJ129" s="205">
        <f t="shared" si="1444"/>
        <v>0</v>
      </c>
      <c r="HK129" s="205">
        <f t="shared" si="1431"/>
        <v>0</v>
      </c>
      <c r="HL129" s="124"/>
      <c r="HM129" s="120"/>
      <c r="HN129" s="120"/>
      <c r="HO129" s="120"/>
      <c r="HP129" s="120"/>
      <c r="HQ129" s="205"/>
      <c r="HR129" s="205"/>
      <c r="HS129" s="205">
        <f t="shared" si="1445"/>
        <v>0</v>
      </c>
      <c r="HT129" s="120"/>
      <c r="HU129" s="120"/>
      <c r="HV129" s="120"/>
      <c r="HW129" s="120"/>
      <c r="HX129" s="120"/>
      <c r="HY129" s="205"/>
      <c r="HZ129" s="205"/>
      <c r="IA129" s="205">
        <f t="shared" si="1446"/>
        <v>0</v>
      </c>
      <c r="IB129" s="120"/>
      <c r="IC129" s="120"/>
      <c r="ID129" s="120"/>
      <c r="IE129" s="120"/>
      <c r="IF129" s="120"/>
      <c r="IG129" s="205"/>
      <c r="IH129" s="205"/>
      <c r="II129" s="205">
        <f t="shared" si="1447"/>
        <v>0</v>
      </c>
      <c r="IJ129" s="120"/>
      <c r="IK129" s="120"/>
      <c r="IL129" s="120"/>
      <c r="IM129" s="120"/>
      <c r="IN129" s="120"/>
      <c r="IO129" s="205"/>
      <c r="IP129" s="205"/>
      <c r="IQ129" s="205">
        <f t="shared" si="1448"/>
        <v>0</v>
      </c>
      <c r="IR129" s="205">
        <f t="shared" si="1449"/>
        <v>0</v>
      </c>
      <c r="IS129" s="120"/>
      <c r="IT129" s="120"/>
      <c r="IU129" s="120"/>
      <c r="IV129" s="120"/>
      <c r="IW129" s="120"/>
      <c r="IX129" s="205"/>
      <c r="IY129" s="205"/>
      <c r="IZ129" s="205">
        <f t="shared" si="1450"/>
        <v>0</v>
      </c>
      <c r="JA129" s="120"/>
      <c r="JB129" s="120"/>
      <c r="JC129" s="120"/>
      <c r="JD129" s="120"/>
      <c r="JE129" s="120"/>
      <c r="JF129" s="205"/>
      <c r="JG129" s="205"/>
      <c r="JH129" s="205">
        <f t="shared" si="1451"/>
        <v>0</v>
      </c>
      <c r="JI129" s="120"/>
      <c r="JJ129" s="120"/>
      <c r="JK129" s="120"/>
      <c r="JL129" s="120"/>
      <c r="JM129" s="120"/>
      <c r="JN129" s="205"/>
      <c r="JO129" s="205"/>
      <c r="JP129" s="205">
        <f t="shared" si="1452"/>
        <v>0</v>
      </c>
      <c r="JQ129" s="120"/>
      <c r="JR129" s="120"/>
      <c r="JS129" s="120"/>
      <c r="JT129" s="120"/>
      <c r="JU129" s="120"/>
      <c r="JV129" s="205"/>
      <c r="JW129" s="205"/>
      <c r="JX129" s="205">
        <f t="shared" si="1453"/>
        <v>0</v>
      </c>
      <c r="JY129" s="205">
        <f t="shared" si="1454"/>
        <v>0</v>
      </c>
      <c r="JZ129" s="120"/>
      <c r="KA129" s="120"/>
      <c r="KB129" s="120"/>
      <c r="KC129" s="120"/>
      <c r="KD129" s="120"/>
      <c r="KE129" s="205"/>
      <c r="KF129" s="205"/>
      <c r="KG129" s="205">
        <f t="shared" si="1455"/>
        <v>0</v>
      </c>
      <c r="KH129" s="120"/>
      <c r="KI129" s="120"/>
      <c r="KJ129" s="120"/>
      <c r="KK129" s="120"/>
      <c r="KL129" s="120"/>
      <c r="KM129" s="205"/>
      <c r="KN129" s="205"/>
      <c r="KO129" s="205">
        <f t="shared" si="1456"/>
        <v>0</v>
      </c>
      <c r="KP129" s="120"/>
      <c r="KQ129" s="120"/>
      <c r="KR129" s="120"/>
      <c r="KS129" s="120"/>
      <c r="KT129" s="120"/>
      <c r="KU129" s="205"/>
      <c r="KV129" s="205"/>
      <c r="KW129" s="205">
        <f t="shared" si="1457"/>
        <v>0</v>
      </c>
      <c r="KX129" s="120"/>
      <c r="KY129" s="120"/>
      <c r="KZ129" s="120"/>
      <c r="LA129" s="120"/>
      <c r="LB129" s="120"/>
      <c r="LC129" s="205"/>
      <c r="LD129" s="205"/>
      <c r="LE129" s="205">
        <f t="shared" si="1458"/>
        <v>0</v>
      </c>
      <c r="LF129" s="205"/>
      <c r="LG129" s="120"/>
      <c r="LH129" s="120"/>
      <c r="LI129" s="120"/>
      <c r="LJ129" s="120"/>
      <c r="LK129" s="205"/>
      <c r="LL129" s="205"/>
      <c r="LM129" s="205">
        <f t="shared" si="1459"/>
        <v>0</v>
      </c>
      <c r="LN129" s="205">
        <f t="shared" si="1460"/>
        <v>0</v>
      </c>
      <c r="LO129" s="205"/>
      <c r="LP129" s="120"/>
      <c r="LQ129" s="120"/>
      <c r="LR129" s="120"/>
      <c r="LS129" s="205"/>
      <c r="LT129" s="205"/>
      <c r="LU129" s="205"/>
      <c r="LV129" s="205">
        <f t="shared" si="1461"/>
        <v>0</v>
      </c>
      <c r="LW129" s="120"/>
      <c r="LX129" s="120"/>
      <c r="LY129" s="120"/>
      <c r="LZ129" s="120"/>
      <c r="MA129" s="120"/>
      <c r="MB129" s="205"/>
      <c r="MC129" s="205"/>
      <c r="MD129" s="205">
        <f t="shared" si="1462"/>
        <v>0</v>
      </c>
      <c r="ME129" s="120"/>
      <c r="MF129" s="120"/>
      <c r="MG129" s="120"/>
      <c r="MH129" s="120"/>
      <c r="MI129" s="205"/>
      <c r="MJ129" s="205"/>
      <c r="MK129" s="205"/>
      <c r="ML129" s="205">
        <f t="shared" si="1463"/>
        <v>0</v>
      </c>
      <c r="MM129" s="120"/>
      <c r="MN129" s="120"/>
      <c r="MO129" s="120"/>
      <c r="MP129" s="120"/>
      <c r="MQ129" s="120"/>
      <c r="MR129" s="205"/>
      <c r="MS129" s="205"/>
      <c r="MT129" s="205">
        <f t="shared" si="1464"/>
        <v>0</v>
      </c>
      <c r="MU129" s="205">
        <f t="shared" si="1465"/>
        <v>0</v>
      </c>
      <c r="MV129" s="120"/>
      <c r="MW129" s="120"/>
      <c r="MX129" s="120"/>
      <c r="MY129" s="120"/>
      <c r="MZ129" s="120"/>
      <c r="NA129" s="205"/>
      <c r="NB129" s="205"/>
      <c r="NC129" s="205">
        <f t="shared" si="1466"/>
        <v>0</v>
      </c>
      <c r="ND129" s="120"/>
      <c r="NE129" s="120"/>
      <c r="NF129" s="120"/>
      <c r="NG129" s="120"/>
      <c r="NH129" s="120"/>
      <c r="NI129" s="205"/>
      <c r="NJ129" s="205"/>
      <c r="NK129" s="205">
        <f t="shared" si="1467"/>
        <v>0</v>
      </c>
      <c r="NL129" s="120"/>
      <c r="NM129" s="120"/>
      <c r="NN129" s="120"/>
      <c r="NO129" s="120"/>
      <c r="NP129" s="120"/>
      <c r="NQ129" s="205"/>
      <c r="NR129" s="205"/>
      <c r="NS129" s="205">
        <f t="shared" si="1468"/>
        <v>0</v>
      </c>
      <c r="NT129" s="120"/>
      <c r="NU129" s="120"/>
      <c r="NV129" s="120"/>
      <c r="NW129" s="120"/>
      <c r="NX129" s="120"/>
      <c r="NY129" s="205"/>
      <c r="NZ129" s="205"/>
      <c r="OA129" s="205">
        <f t="shared" si="1469"/>
        <v>0</v>
      </c>
      <c r="OB129" s="205">
        <f t="shared" si="1470"/>
        <v>0</v>
      </c>
      <c r="OC129" s="120"/>
      <c r="OD129" s="120"/>
      <c r="OE129" s="120"/>
      <c r="OF129" s="120"/>
      <c r="OG129" s="120"/>
      <c r="OH129" s="205"/>
      <c r="OI129" s="205"/>
      <c r="OJ129" s="205">
        <f t="shared" si="1471"/>
        <v>0</v>
      </c>
      <c r="OK129" s="120"/>
      <c r="OL129" s="120"/>
      <c r="OM129" s="120"/>
      <c r="ON129" s="120"/>
      <c r="OO129" s="120"/>
      <c r="OP129" s="205"/>
      <c r="OQ129" s="205"/>
      <c r="OR129" s="205">
        <f t="shared" si="1472"/>
        <v>0</v>
      </c>
      <c r="OS129" s="120"/>
      <c r="OT129" s="120"/>
      <c r="OU129" s="120"/>
      <c r="OV129" s="120"/>
      <c r="OW129" s="120"/>
      <c r="OX129" s="205"/>
      <c r="OY129" s="205"/>
      <c r="OZ129" s="205">
        <f t="shared" si="1473"/>
        <v>0</v>
      </c>
      <c r="PA129" s="120"/>
      <c r="PB129" s="120"/>
      <c r="PC129" s="120"/>
      <c r="PD129" s="205"/>
      <c r="PE129" s="217"/>
      <c r="PF129" s="205"/>
      <c r="PG129" s="205"/>
      <c r="PH129" s="205">
        <f t="shared" si="1474"/>
        <v>0</v>
      </c>
      <c r="PI129" s="120"/>
      <c r="PJ129" s="120"/>
      <c r="PK129" s="120"/>
      <c r="PL129" s="205"/>
      <c r="PM129" s="217"/>
      <c r="PN129" s="205"/>
      <c r="PO129" s="205"/>
      <c r="PP129" s="205">
        <f t="shared" si="1475"/>
        <v>0</v>
      </c>
      <c r="PQ129" s="205">
        <f t="shared" si="1476"/>
        <v>0</v>
      </c>
      <c r="PR129" s="207"/>
      <c r="PS129" s="207"/>
      <c r="PT129" s="207"/>
      <c r="PU129" s="207"/>
      <c r="PV129" s="207"/>
      <c r="PW129" s="272"/>
      <c r="PX129" s="272"/>
      <c r="PY129" s="205">
        <f t="shared" si="1477"/>
        <v>0</v>
      </c>
      <c r="PZ129" s="207"/>
      <c r="QA129" s="207"/>
      <c r="QB129" s="207"/>
      <c r="QC129" s="207"/>
      <c r="QD129" s="207"/>
      <c r="QE129" s="272"/>
      <c r="QF129" s="272"/>
      <c r="QG129" s="205">
        <f t="shared" si="1478"/>
        <v>0</v>
      </c>
      <c r="QH129" s="207"/>
      <c r="QI129" s="207"/>
      <c r="QJ129" s="294"/>
      <c r="QK129" s="207"/>
      <c r="QL129" s="207"/>
      <c r="QM129" s="272"/>
      <c r="QN129" s="272"/>
      <c r="QO129" s="205">
        <f t="shared" si="1479"/>
        <v>0</v>
      </c>
      <c r="QP129" s="207"/>
      <c r="QQ129" s="207"/>
      <c r="QR129" s="207"/>
      <c r="QS129" s="207"/>
      <c r="QT129" s="207"/>
      <c r="QU129" s="272"/>
      <c r="QV129" s="272"/>
      <c r="QW129" s="205">
        <f t="shared" si="1480"/>
        <v>0</v>
      </c>
      <c r="QX129" s="205">
        <f t="shared" si="1481"/>
        <v>0</v>
      </c>
      <c r="QY129" s="207"/>
      <c r="QZ129" s="207"/>
      <c r="RA129" s="207"/>
      <c r="RB129" s="207"/>
      <c r="RC129" s="207"/>
      <c r="RD129" s="272"/>
      <c r="RE129" s="272"/>
      <c r="RF129" s="205">
        <f t="shared" si="1482"/>
        <v>0</v>
      </c>
      <c r="RG129" s="207"/>
      <c r="RH129" s="207"/>
      <c r="RI129" s="207"/>
      <c r="RJ129" s="207"/>
      <c r="RK129" s="207"/>
      <c r="RL129" s="272"/>
      <c r="RM129" s="272"/>
      <c r="RN129" s="205">
        <f t="shared" si="1483"/>
        <v>0</v>
      </c>
      <c r="RO129" s="272"/>
      <c r="RP129" s="272"/>
      <c r="RQ129" s="272"/>
      <c r="RR129" s="272"/>
      <c r="RS129" s="272"/>
      <c r="RT129" s="272"/>
      <c r="RU129" s="272"/>
      <c r="RV129" s="205">
        <f t="shared" si="1484"/>
        <v>0</v>
      </c>
      <c r="RW129" s="207"/>
      <c r="RX129" s="207"/>
      <c r="RY129" s="207"/>
      <c r="RZ129" s="207"/>
      <c r="SA129" s="272"/>
      <c r="SB129" s="272"/>
      <c r="SC129" s="272"/>
      <c r="SD129" s="205">
        <f t="shared" si="1485"/>
        <v>0</v>
      </c>
      <c r="SE129" s="205">
        <f t="shared" si="1486"/>
        <v>0</v>
      </c>
      <c r="SF129" s="207"/>
      <c r="SG129" s="207"/>
      <c r="SH129" s="207"/>
      <c r="SI129" s="207"/>
      <c r="SJ129" s="207"/>
      <c r="SK129" s="272"/>
      <c r="SL129" s="272"/>
      <c r="SM129" s="205">
        <f t="shared" si="1487"/>
        <v>0</v>
      </c>
      <c r="SN129" s="207"/>
      <c r="SO129" s="207"/>
      <c r="SP129" s="207"/>
      <c r="SQ129" s="207"/>
      <c r="SR129" s="207"/>
      <c r="SS129" s="272"/>
      <c r="ST129" s="272"/>
      <c r="SU129" s="205">
        <f t="shared" si="1488"/>
        <v>0</v>
      </c>
      <c r="SV129" s="207"/>
      <c r="SW129" s="207"/>
      <c r="SX129" s="207"/>
      <c r="SY129" s="207"/>
      <c r="SZ129" s="207"/>
      <c r="TA129" s="272"/>
      <c r="TB129" s="272"/>
      <c r="TC129" s="205">
        <f t="shared" si="1489"/>
        <v>0</v>
      </c>
      <c r="TD129" s="207"/>
      <c r="TE129" s="207"/>
      <c r="TF129" s="207"/>
      <c r="TG129" s="207"/>
      <c r="TH129" s="207"/>
      <c r="TI129" s="272"/>
      <c r="TJ129" s="272"/>
      <c r="TK129" s="205">
        <f t="shared" si="1490"/>
        <v>0</v>
      </c>
      <c r="TL129" s="207"/>
      <c r="TM129" s="207"/>
      <c r="TN129" s="207"/>
      <c r="TO129" s="207"/>
      <c r="TP129" s="272"/>
      <c r="TQ129" s="272"/>
      <c r="TR129" s="272"/>
      <c r="TS129" s="205">
        <f t="shared" si="1491"/>
        <v>0</v>
      </c>
      <c r="TT129" s="205">
        <f t="shared" si="1492"/>
        <v>0</v>
      </c>
      <c r="TU129" s="272"/>
      <c r="TV129" s="207"/>
      <c r="TW129" s="207"/>
      <c r="TX129" s="207"/>
      <c r="TY129" s="207"/>
      <c r="TZ129" s="272"/>
      <c r="UA129" s="272"/>
      <c r="UB129" s="205">
        <f t="shared" si="1493"/>
        <v>0</v>
      </c>
      <c r="UC129" s="207"/>
      <c r="UD129" s="207"/>
      <c r="UE129" s="207"/>
      <c r="UF129" s="207"/>
      <c r="UG129" s="207"/>
      <c r="UH129" s="272"/>
      <c r="UI129" s="272"/>
      <c r="UJ129" s="205">
        <f t="shared" si="1494"/>
        <v>0</v>
      </c>
      <c r="UK129" s="207"/>
      <c r="UL129" s="207"/>
      <c r="UM129" s="207"/>
      <c r="UN129" s="207"/>
      <c r="UO129" s="207"/>
      <c r="UP129" s="272"/>
      <c r="UQ129" s="272"/>
      <c r="UR129" s="205">
        <f t="shared" si="1495"/>
        <v>0</v>
      </c>
      <c r="US129" s="207"/>
      <c r="UT129" s="207"/>
      <c r="UU129" s="207"/>
      <c r="UV129" s="207"/>
      <c r="UW129" s="272"/>
      <c r="UX129" s="272"/>
      <c r="UY129" s="272"/>
      <c r="UZ129" s="205">
        <f t="shared" si="1496"/>
        <v>0</v>
      </c>
      <c r="VA129" s="205">
        <f t="shared" si="1497"/>
        <v>0</v>
      </c>
      <c r="VB129" s="207"/>
      <c r="VC129" s="207"/>
      <c r="VD129" s="207"/>
      <c r="VE129" s="207"/>
      <c r="VF129" s="207"/>
      <c r="VG129" s="272"/>
      <c r="VH129" s="272"/>
      <c r="VI129" s="205">
        <f t="shared" si="1498"/>
        <v>0</v>
      </c>
      <c r="VJ129" s="207"/>
      <c r="VK129" s="207"/>
      <c r="VL129" s="207"/>
      <c r="VM129" s="207"/>
      <c r="VN129" s="207"/>
      <c r="VO129" s="272"/>
      <c r="VP129" s="272"/>
      <c r="VQ129" s="205">
        <f t="shared" si="1499"/>
        <v>0</v>
      </c>
      <c r="VR129" s="207"/>
      <c r="VS129" s="207"/>
      <c r="VT129" s="207"/>
      <c r="VU129" s="207"/>
      <c r="VV129" s="207"/>
      <c r="VW129" s="272"/>
      <c r="VX129" s="272"/>
      <c r="VY129" s="205">
        <f t="shared" si="1500"/>
        <v>0</v>
      </c>
      <c r="VZ129" s="207"/>
      <c r="WA129" s="207"/>
      <c r="WB129" s="207"/>
      <c r="WC129" s="207"/>
      <c r="WD129" s="207"/>
      <c r="WE129" s="272"/>
      <c r="WF129" s="272"/>
      <c r="WG129" s="205">
        <f t="shared" si="1501"/>
        <v>0</v>
      </c>
      <c r="WH129" s="205">
        <f t="shared" si="1502"/>
        <v>0</v>
      </c>
      <c r="WI129" s="207"/>
      <c r="WJ129" s="207"/>
      <c r="WK129" s="207"/>
      <c r="WL129" s="207"/>
      <c r="WM129" s="207"/>
      <c r="WN129" s="272"/>
      <c r="WO129" s="272"/>
      <c r="WP129" s="205">
        <f t="shared" si="1503"/>
        <v>0</v>
      </c>
      <c r="WQ129" s="207"/>
      <c r="WR129" s="207"/>
      <c r="WS129" s="207"/>
      <c r="WT129" s="207"/>
      <c r="WU129" s="207"/>
      <c r="WV129" s="272"/>
      <c r="WW129" s="272"/>
      <c r="WX129" s="205">
        <f t="shared" si="1504"/>
        <v>0</v>
      </c>
      <c r="WY129" s="207"/>
      <c r="WZ129" s="207"/>
      <c r="XA129" s="207"/>
      <c r="XB129" s="207"/>
      <c r="XC129" s="272"/>
      <c r="XD129" s="272"/>
      <c r="XE129" s="272"/>
      <c r="XF129" s="205">
        <f t="shared" si="1505"/>
        <v>0</v>
      </c>
      <c r="XG129" s="207"/>
      <c r="XH129" s="207"/>
      <c r="XI129" s="207"/>
      <c r="XJ129" s="207"/>
      <c r="XK129" s="207"/>
      <c r="XL129" s="272"/>
      <c r="XM129" s="272"/>
      <c r="XN129" s="205">
        <f t="shared" si="1506"/>
        <v>0</v>
      </c>
      <c r="XO129" s="207"/>
      <c r="XP129" s="207"/>
      <c r="XQ129" s="207"/>
      <c r="XR129" s="207"/>
      <c r="XS129" s="207"/>
      <c r="XT129" s="272"/>
      <c r="XU129" s="272"/>
      <c r="XV129" s="205">
        <f t="shared" si="1507"/>
        <v>0</v>
      </c>
      <c r="XW129" s="205">
        <f t="shared" si="1508"/>
        <v>0</v>
      </c>
      <c r="XX129" s="207"/>
      <c r="XY129" s="207"/>
      <c r="XZ129" s="207"/>
      <c r="YA129" s="207"/>
      <c r="YB129" s="207"/>
      <c r="YC129" s="272"/>
      <c r="YD129" s="272"/>
      <c r="YE129" s="205">
        <f t="shared" si="1509"/>
        <v>0</v>
      </c>
      <c r="YF129" s="207"/>
      <c r="YG129" s="207"/>
      <c r="YH129" s="207"/>
      <c r="YI129" s="207"/>
      <c r="YJ129" s="207"/>
      <c r="YK129" s="272"/>
      <c r="YL129" s="272"/>
      <c r="YM129" s="205">
        <f t="shared" si="1510"/>
        <v>0</v>
      </c>
      <c r="YN129" s="207"/>
      <c r="YO129" s="207"/>
      <c r="YP129" s="207"/>
      <c r="YQ129" s="207"/>
      <c r="YR129" s="207"/>
      <c r="YS129" s="272"/>
      <c r="YT129" s="272"/>
      <c r="YU129" s="205">
        <f t="shared" si="1511"/>
        <v>0</v>
      </c>
      <c r="YV129" s="207"/>
      <c r="YW129" s="207"/>
      <c r="YX129" s="207"/>
      <c r="YY129" s="207"/>
      <c r="YZ129" s="207"/>
      <c r="ZA129" s="272"/>
      <c r="ZB129" s="272"/>
      <c r="ZC129" s="205">
        <f t="shared" si="1512"/>
        <v>0</v>
      </c>
      <c r="ZD129" s="205">
        <f t="shared" si="1513"/>
        <v>0</v>
      </c>
      <c r="ZE129" s="207"/>
      <c r="ZF129" s="207"/>
      <c r="ZG129" s="207"/>
      <c r="ZH129" s="207"/>
      <c r="ZI129" s="207"/>
      <c r="ZJ129" s="272"/>
      <c r="ZK129" s="272"/>
      <c r="ZL129" s="205">
        <f t="shared" si="1514"/>
        <v>0</v>
      </c>
      <c r="ZM129" s="207"/>
      <c r="ZN129" s="207"/>
      <c r="ZO129" s="207"/>
      <c r="ZP129" s="207"/>
      <c r="ZQ129" s="207"/>
      <c r="ZR129" s="272"/>
      <c r="ZS129" s="272"/>
      <c r="ZT129" s="205">
        <f t="shared" si="1515"/>
        <v>0</v>
      </c>
      <c r="ZU129" s="207"/>
      <c r="ZV129" s="207"/>
      <c r="ZW129" s="207"/>
      <c r="ZX129" s="207"/>
      <c r="ZY129" s="207"/>
      <c r="ZZ129" s="272"/>
      <c r="AAA129" s="272"/>
      <c r="AAB129" s="205">
        <f t="shared" si="1516"/>
        <v>0</v>
      </c>
      <c r="AAC129" s="207"/>
      <c r="AAD129" s="207"/>
      <c r="AAE129" s="207"/>
      <c r="AAF129" s="207"/>
      <c r="AAG129" s="207"/>
      <c r="AAH129" s="272"/>
      <c r="AAI129" s="272"/>
      <c r="AAJ129" s="205">
        <f t="shared" si="1517"/>
        <v>0</v>
      </c>
      <c r="AAK129" s="207"/>
      <c r="AAL129" s="207"/>
      <c r="AAM129" s="207"/>
      <c r="AAN129" s="207"/>
      <c r="AAO129" s="207"/>
      <c r="AAP129" s="272"/>
      <c r="AAQ129" s="272"/>
      <c r="AAR129" s="205">
        <f t="shared" si="1518"/>
        <v>0</v>
      </c>
      <c r="AAS129" s="205">
        <f t="shared" si="1519"/>
        <v>0</v>
      </c>
    </row>
    <row r="130" spans="1:721" s="127" customFormat="1" ht="90" customHeight="1">
      <c r="A130" s="128"/>
      <c r="B130" s="130">
        <v>3621101708</v>
      </c>
      <c r="C130" s="146" t="s">
        <v>236</v>
      </c>
      <c r="D130" s="170" t="s">
        <v>243</v>
      </c>
      <c r="E130" s="130" t="s">
        <v>4</v>
      </c>
      <c r="F130" s="120"/>
      <c r="G130" s="120"/>
      <c r="H130" s="120"/>
      <c r="I130" s="201">
        <v>2340</v>
      </c>
      <c r="J130" s="120"/>
      <c r="K130" s="209"/>
      <c r="L130" s="205"/>
      <c r="M130" s="205">
        <f t="shared" si="1520"/>
        <v>2340</v>
      </c>
      <c r="N130" s="120"/>
      <c r="O130" s="120"/>
      <c r="P130" s="120"/>
      <c r="Q130" s="120"/>
      <c r="R130" s="120"/>
      <c r="S130" s="209"/>
      <c r="T130" s="205"/>
      <c r="U130" s="205">
        <f t="shared" si="1521"/>
        <v>0</v>
      </c>
      <c r="V130" s="120"/>
      <c r="W130" s="120"/>
      <c r="X130" s="120"/>
      <c r="Y130" s="120"/>
      <c r="Z130" s="120"/>
      <c r="AA130" s="209"/>
      <c r="AB130" s="205"/>
      <c r="AC130" s="205">
        <f t="shared" si="1522"/>
        <v>0</v>
      </c>
      <c r="AD130" s="205"/>
      <c r="AE130" s="205"/>
      <c r="AF130" s="205"/>
      <c r="AG130" s="205"/>
      <c r="AH130" s="205"/>
      <c r="AI130" s="209"/>
      <c r="AJ130" s="205"/>
      <c r="AK130" s="205">
        <f t="shared" si="1523"/>
        <v>0</v>
      </c>
      <c r="AL130" s="205" t="e">
        <f>SUM(#REF!,M130,U130,AC130,AD130:AH130)</f>
        <v>#REF!</v>
      </c>
      <c r="AM130" s="120"/>
      <c r="AN130" s="120"/>
      <c r="AO130" s="120"/>
      <c r="AP130" s="120"/>
      <c r="AQ130" s="120"/>
      <c r="AR130" s="209"/>
      <c r="AS130" s="205"/>
      <c r="AT130" s="205">
        <f t="shared" si="1524"/>
        <v>0</v>
      </c>
      <c r="AU130" s="120"/>
      <c r="AV130" s="120"/>
      <c r="AW130" s="120"/>
      <c r="AX130" s="120"/>
      <c r="AY130" s="120"/>
      <c r="AZ130" s="209"/>
      <c r="BA130" s="205"/>
      <c r="BB130" s="205">
        <f t="shared" si="1525"/>
        <v>0</v>
      </c>
      <c r="BC130" s="120"/>
      <c r="BD130" s="120"/>
      <c r="BE130" s="120"/>
      <c r="BF130" s="120"/>
      <c r="BG130" s="217">
        <v>1200</v>
      </c>
      <c r="BH130" s="209"/>
      <c r="BI130" s="205"/>
      <c r="BJ130" s="205">
        <f t="shared" si="1526"/>
        <v>1200</v>
      </c>
      <c r="BK130" s="120"/>
      <c r="BL130" s="120"/>
      <c r="BM130" s="120"/>
      <c r="BN130" s="120"/>
      <c r="BO130" s="205"/>
      <c r="BP130" s="209"/>
      <c r="BQ130" s="205"/>
      <c r="BR130" s="205">
        <f t="shared" si="1527"/>
        <v>0</v>
      </c>
      <c r="BS130" s="205">
        <f t="shared" si="1427"/>
        <v>1200</v>
      </c>
      <c r="BT130" s="120"/>
      <c r="BU130" s="120"/>
      <c r="BV130" s="120"/>
      <c r="BW130" s="120"/>
      <c r="BX130" s="120"/>
      <c r="BY130" s="209"/>
      <c r="BZ130" s="205"/>
      <c r="CA130" s="205">
        <f t="shared" si="1528"/>
        <v>0</v>
      </c>
      <c r="CB130" s="201">
        <v>2000</v>
      </c>
      <c r="CC130" s="120"/>
      <c r="CD130" s="201">
        <v>1700</v>
      </c>
      <c r="CE130" s="120"/>
      <c r="CF130" s="120"/>
      <c r="CG130" s="209"/>
      <c r="CH130" s="205"/>
      <c r="CI130" s="205">
        <f t="shared" si="1529"/>
        <v>3700</v>
      </c>
      <c r="CJ130" s="120"/>
      <c r="CK130" s="120"/>
      <c r="CL130" s="120"/>
      <c r="CM130" s="120"/>
      <c r="CN130" s="120"/>
      <c r="CO130" s="209"/>
      <c r="CP130" s="205"/>
      <c r="CQ130" s="205">
        <f t="shared" si="1530"/>
        <v>0</v>
      </c>
      <c r="CR130" s="120"/>
      <c r="CS130" s="120"/>
      <c r="CT130" s="120"/>
      <c r="CU130" s="120"/>
      <c r="CV130" s="120"/>
      <c r="CW130" s="209"/>
      <c r="CX130" s="205"/>
      <c r="CY130" s="205">
        <f t="shared" si="1531"/>
        <v>0</v>
      </c>
      <c r="CZ130" s="120"/>
      <c r="DA130" s="120"/>
      <c r="DB130" s="120"/>
      <c r="DC130" s="205"/>
      <c r="DD130" s="205"/>
      <c r="DE130" s="209"/>
      <c r="DF130" s="205"/>
      <c r="DG130" s="205">
        <f t="shared" si="1532"/>
        <v>0</v>
      </c>
      <c r="DH130" s="205">
        <f t="shared" si="1428"/>
        <v>3700</v>
      </c>
      <c r="DI130" s="120"/>
      <c r="DJ130" s="120"/>
      <c r="DK130" s="120"/>
      <c r="DL130" s="120"/>
      <c r="DM130" s="120"/>
      <c r="DN130" s="209"/>
      <c r="DO130" s="205"/>
      <c r="DP130" s="205">
        <f t="shared" si="1432"/>
        <v>0</v>
      </c>
      <c r="DQ130" s="120"/>
      <c r="DR130" s="120"/>
      <c r="DS130" s="120"/>
      <c r="DT130" s="120"/>
      <c r="DU130" s="120"/>
      <c r="DV130" s="209"/>
      <c r="DW130" s="205"/>
      <c r="DX130" s="205">
        <f t="shared" si="1433"/>
        <v>0</v>
      </c>
      <c r="DY130" s="120"/>
      <c r="DZ130" s="120"/>
      <c r="EA130" s="120"/>
      <c r="EB130" s="250">
        <v>3800</v>
      </c>
      <c r="EC130" s="120"/>
      <c r="ED130" s="209"/>
      <c r="EE130" s="205"/>
      <c r="EF130" s="205">
        <f t="shared" si="1434"/>
        <v>3800</v>
      </c>
      <c r="EG130" s="120"/>
      <c r="EH130" s="120"/>
      <c r="EI130" s="120"/>
      <c r="EJ130" s="205"/>
      <c r="EK130" s="205"/>
      <c r="EL130" s="209"/>
      <c r="EM130" s="205"/>
      <c r="EN130" s="205">
        <f t="shared" si="1435"/>
        <v>0</v>
      </c>
      <c r="EO130" s="205">
        <f t="shared" si="1429"/>
        <v>3800</v>
      </c>
      <c r="EP130" s="120"/>
      <c r="EQ130" s="120"/>
      <c r="ER130" s="120"/>
      <c r="ES130" s="250">
        <v>1820</v>
      </c>
      <c r="ET130" s="120"/>
      <c r="EU130" s="209"/>
      <c r="EV130" s="205"/>
      <c r="EW130" s="205">
        <f t="shared" si="1436"/>
        <v>1820</v>
      </c>
      <c r="EX130" s="120"/>
      <c r="EY130" s="120"/>
      <c r="EZ130" s="120"/>
      <c r="FA130" s="120"/>
      <c r="FB130" s="120"/>
      <c r="FC130" s="209"/>
      <c r="FD130" s="205"/>
      <c r="FE130" s="205">
        <f t="shared" si="1437"/>
        <v>0</v>
      </c>
      <c r="FF130" s="120"/>
      <c r="FG130" s="120"/>
      <c r="FH130" s="120"/>
      <c r="FI130" s="120"/>
      <c r="FJ130" s="120"/>
      <c r="FK130" s="209"/>
      <c r="FL130" s="205"/>
      <c r="FM130" s="205">
        <f t="shared" si="1438"/>
        <v>0</v>
      </c>
      <c r="FN130" s="120"/>
      <c r="FO130" s="120"/>
      <c r="FP130" s="120"/>
      <c r="FQ130" s="120"/>
      <c r="FR130" s="205"/>
      <c r="FS130" s="209"/>
      <c r="FT130" s="205"/>
      <c r="FU130" s="205">
        <f t="shared" si="1439"/>
        <v>0</v>
      </c>
      <c r="FV130" s="205">
        <f t="shared" si="1430"/>
        <v>1820</v>
      </c>
      <c r="FW130" s="120"/>
      <c r="FX130" s="120"/>
      <c r="FY130" s="120"/>
      <c r="FZ130" s="120"/>
      <c r="GA130" s="120"/>
      <c r="GB130" s="209"/>
      <c r="GC130" s="205"/>
      <c r="GD130" s="205">
        <f t="shared" si="1440"/>
        <v>0</v>
      </c>
      <c r="GE130" s="120"/>
      <c r="GF130" s="120"/>
      <c r="GG130" s="120"/>
      <c r="GH130" s="120"/>
      <c r="GI130" s="120"/>
      <c r="GJ130" s="209"/>
      <c r="GK130" s="205"/>
      <c r="GL130" s="205">
        <f t="shared" si="1441"/>
        <v>0</v>
      </c>
      <c r="GM130" s="120"/>
      <c r="GN130" s="120"/>
      <c r="GO130" s="120"/>
      <c r="GP130" s="120"/>
      <c r="GQ130" s="120"/>
      <c r="GR130" s="209"/>
      <c r="GS130" s="205"/>
      <c r="GT130" s="205">
        <f t="shared" si="1442"/>
        <v>0</v>
      </c>
      <c r="GU130" s="120"/>
      <c r="GV130" s="120"/>
      <c r="GW130" s="120"/>
      <c r="GX130" s="124">
        <v>1650</v>
      </c>
      <c r="GY130" s="120"/>
      <c r="GZ130" s="209"/>
      <c r="HA130" s="205"/>
      <c r="HB130" s="205">
        <f t="shared" si="1443"/>
        <v>1650</v>
      </c>
      <c r="HC130" s="120"/>
      <c r="HD130" s="120"/>
      <c r="HE130" s="120"/>
      <c r="HF130" s="120"/>
      <c r="HG130" s="120"/>
      <c r="HH130" s="209"/>
      <c r="HI130" s="205"/>
      <c r="HJ130" s="205">
        <f t="shared" si="1444"/>
        <v>0</v>
      </c>
      <c r="HK130" s="205">
        <f t="shared" si="1431"/>
        <v>1650</v>
      </c>
      <c r="HL130" s="124"/>
      <c r="HM130" s="120"/>
      <c r="HN130" s="120"/>
      <c r="HO130" s="120"/>
      <c r="HP130" s="120"/>
      <c r="HQ130" s="205"/>
      <c r="HR130" s="205"/>
      <c r="HS130" s="205">
        <f t="shared" si="1445"/>
        <v>0</v>
      </c>
      <c r="HT130" s="120"/>
      <c r="HU130" s="120"/>
      <c r="HV130" s="120"/>
      <c r="HW130" s="120"/>
      <c r="HX130" s="120"/>
      <c r="HY130" s="205"/>
      <c r="HZ130" s="205"/>
      <c r="IA130" s="205">
        <f t="shared" si="1446"/>
        <v>0</v>
      </c>
      <c r="IB130" s="120"/>
      <c r="IC130" s="120"/>
      <c r="ID130" s="120"/>
      <c r="IE130" s="120"/>
      <c r="IF130" s="120"/>
      <c r="IG130" s="205"/>
      <c r="IH130" s="205"/>
      <c r="II130" s="205">
        <f t="shared" si="1447"/>
        <v>0</v>
      </c>
      <c r="IJ130" s="120"/>
      <c r="IK130" s="120"/>
      <c r="IL130" s="120"/>
      <c r="IM130" s="120"/>
      <c r="IN130" s="120"/>
      <c r="IO130" s="205"/>
      <c r="IP130" s="205"/>
      <c r="IQ130" s="205">
        <f t="shared" si="1448"/>
        <v>0</v>
      </c>
      <c r="IR130" s="205">
        <f t="shared" si="1449"/>
        <v>0</v>
      </c>
      <c r="IS130" s="120"/>
      <c r="IT130" s="120"/>
      <c r="IU130" s="120"/>
      <c r="IV130" s="120"/>
      <c r="IW130" s="120"/>
      <c r="IX130" s="205"/>
      <c r="IY130" s="205"/>
      <c r="IZ130" s="205">
        <f t="shared" si="1450"/>
        <v>0</v>
      </c>
      <c r="JA130" s="120"/>
      <c r="JB130" s="120"/>
      <c r="JC130" s="120"/>
      <c r="JD130" s="120"/>
      <c r="JE130" s="120"/>
      <c r="JF130" s="205"/>
      <c r="JG130" s="205"/>
      <c r="JH130" s="205">
        <f t="shared" si="1451"/>
        <v>0</v>
      </c>
      <c r="JI130" s="120"/>
      <c r="JJ130" s="120"/>
      <c r="JK130" s="120"/>
      <c r="JL130" s="120"/>
      <c r="JM130" s="120"/>
      <c r="JN130" s="205"/>
      <c r="JO130" s="205"/>
      <c r="JP130" s="205">
        <f t="shared" si="1452"/>
        <v>0</v>
      </c>
      <c r="JQ130" s="120"/>
      <c r="JR130" s="120"/>
      <c r="JS130" s="120"/>
      <c r="JT130" s="120"/>
      <c r="JU130" s="120"/>
      <c r="JV130" s="205"/>
      <c r="JW130" s="205"/>
      <c r="JX130" s="205">
        <f t="shared" si="1453"/>
        <v>0</v>
      </c>
      <c r="JY130" s="205">
        <f t="shared" si="1454"/>
        <v>0</v>
      </c>
      <c r="JZ130" s="120"/>
      <c r="KA130" s="120"/>
      <c r="KB130" s="120"/>
      <c r="KC130" s="120"/>
      <c r="KD130" s="120"/>
      <c r="KE130" s="205"/>
      <c r="KF130" s="205"/>
      <c r="KG130" s="205">
        <f t="shared" si="1455"/>
        <v>0</v>
      </c>
      <c r="KH130" s="120"/>
      <c r="KI130" s="120"/>
      <c r="KJ130" s="120"/>
      <c r="KK130" s="120"/>
      <c r="KL130" s="120"/>
      <c r="KM130" s="205"/>
      <c r="KN130" s="205"/>
      <c r="KO130" s="205">
        <f t="shared" si="1456"/>
        <v>0</v>
      </c>
      <c r="KP130" s="120"/>
      <c r="KQ130" s="120"/>
      <c r="KR130" s="120"/>
      <c r="KS130" s="120"/>
      <c r="KT130" s="120"/>
      <c r="KU130" s="205"/>
      <c r="KV130" s="205"/>
      <c r="KW130" s="205">
        <f t="shared" si="1457"/>
        <v>0</v>
      </c>
      <c r="KX130" s="120"/>
      <c r="KY130" s="120"/>
      <c r="KZ130" s="120"/>
      <c r="LA130" s="120"/>
      <c r="LB130" s="120"/>
      <c r="LC130" s="205"/>
      <c r="LD130" s="205"/>
      <c r="LE130" s="205">
        <f t="shared" si="1458"/>
        <v>0</v>
      </c>
      <c r="LF130" s="205"/>
      <c r="LG130" s="120"/>
      <c r="LH130" s="120"/>
      <c r="LI130" s="120"/>
      <c r="LJ130" s="120"/>
      <c r="LK130" s="205"/>
      <c r="LL130" s="205"/>
      <c r="LM130" s="205">
        <f t="shared" si="1459"/>
        <v>0</v>
      </c>
      <c r="LN130" s="205">
        <f t="shared" si="1460"/>
        <v>0</v>
      </c>
      <c r="LO130" s="205"/>
      <c r="LP130" s="120"/>
      <c r="LQ130" s="120"/>
      <c r="LR130" s="120"/>
      <c r="LS130" s="205"/>
      <c r="LT130" s="205"/>
      <c r="LU130" s="205"/>
      <c r="LV130" s="205">
        <f t="shared" si="1461"/>
        <v>0</v>
      </c>
      <c r="LW130" s="120"/>
      <c r="LX130" s="120"/>
      <c r="LY130" s="120"/>
      <c r="LZ130" s="120"/>
      <c r="MA130" s="120"/>
      <c r="MB130" s="205"/>
      <c r="MC130" s="205"/>
      <c r="MD130" s="205">
        <f t="shared" si="1462"/>
        <v>0</v>
      </c>
      <c r="ME130" s="120"/>
      <c r="MF130" s="120"/>
      <c r="MG130" s="120"/>
      <c r="MH130" s="120"/>
      <c r="MI130" s="205"/>
      <c r="MJ130" s="205"/>
      <c r="MK130" s="205"/>
      <c r="ML130" s="205">
        <f t="shared" si="1463"/>
        <v>0</v>
      </c>
      <c r="MM130" s="120"/>
      <c r="MN130" s="120"/>
      <c r="MO130" s="120"/>
      <c r="MP130" s="120"/>
      <c r="MQ130" s="120"/>
      <c r="MR130" s="205"/>
      <c r="MS130" s="205"/>
      <c r="MT130" s="205">
        <f t="shared" si="1464"/>
        <v>0</v>
      </c>
      <c r="MU130" s="205">
        <f t="shared" si="1465"/>
        <v>0</v>
      </c>
      <c r="MV130" s="120"/>
      <c r="MW130" s="120"/>
      <c r="MX130" s="120"/>
      <c r="MY130" s="120"/>
      <c r="MZ130" s="120"/>
      <c r="NA130" s="205"/>
      <c r="NB130" s="205"/>
      <c r="NC130" s="205">
        <f t="shared" si="1466"/>
        <v>0</v>
      </c>
      <c r="ND130" s="120"/>
      <c r="NE130" s="120"/>
      <c r="NF130" s="120"/>
      <c r="NG130" s="120"/>
      <c r="NH130" s="120"/>
      <c r="NI130" s="205"/>
      <c r="NJ130" s="205"/>
      <c r="NK130" s="205">
        <f t="shared" si="1467"/>
        <v>0</v>
      </c>
      <c r="NL130" s="120"/>
      <c r="NM130" s="120"/>
      <c r="NN130" s="120"/>
      <c r="NO130" s="120"/>
      <c r="NP130" s="120"/>
      <c r="NQ130" s="205"/>
      <c r="NR130" s="205"/>
      <c r="NS130" s="205">
        <f t="shared" si="1468"/>
        <v>0</v>
      </c>
      <c r="NT130" s="120"/>
      <c r="NU130" s="120"/>
      <c r="NV130" s="120"/>
      <c r="NW130" s="120"/>
      <c r="NX130" s="120"/>
      <c r="NY130" s="205"/>
      <c r="NZ130" s="205"/>
      <c r="OA130" s="205">
        <f t="shared" si="1469"/>
        <v>0</v>
      </c>
      <c r="OB130" s="205">
        <f t="shared" si="1470"/>
        <v>0</v>
      </c>
      <c r="OC130" s="120"/>
      <c r="OD130" s="120"/>
      <c r="OE130" s="120"/>
      <c r="OF130" s="120"/>
      <c r="OG130" s="120"/>
      <c r="OH130" s="205"/>
      <c r="OI130" s="205"/>
      <c r="OJ130" s="205">
        <f t="shared" si="1471"/>
        <v>0</v>
      </c>
      <c r="OK130" s="120"/>
      <c r="OL130" s="120"/>
      <c r="OM130" s="120"/>
      <c r="ON130" s="120"/>
      <c r="OO130" s="120"/>
      <c r="OP130" s="205"/>
      <c r="OQ130" s="205"/>
      <c r="OR130" s="205">
        <f t="shared" si="1472"/>
        <v>0</v>
      </c>
      <c r="OS130" s="120"/>
      <c r="OT130" s="120"/>
      <c r="OU130" s="120"/>
      <c r="OV130" s="120"/>
      <c r="OW130" s="120"/>
      <c r="OX130" s="205"/>
      <c r="OY130" s="205"/>
      <c r="OZ130" s="205">
        <f t="shared" si="1473"/>
        <v>0</v>
      </c>
      <c r="PA130" s="120"/>
      <c r="PB130" s="120"/>
      <c r="PC130" s="120"/>
      <c r="PD130" s="205"/>
      <c r="PE130" s="217"/>
      <c r="PF130" s="205"/>
      <c r="PG130" s="205"/>
      <c r="PH130" s="205">
        <f t="shared" si="1474"/>
        <v>0</v>
      </c>
      <c r="PI130" s="120"/>
      <c r="PJ130" s="120"/>
      <c r="PK130" s="120"/>
      <c r="PL130" s="205"/>
      <c r="PM130" s="217"/>
      <c r="PN130" s="205"/>
      <c r="PO130" s="205"/>
      <c r="PP130" s="205">
        <f t="shared" si="1475"/>
        <v>0</v>
      </c>
      <c r="PQ130" s="205">
        <f t="shared" si="1476"/>
        <v>0</v>
      </c>
      <c r="PR130" s="207"/>
      <c r="PS130" s="207"/>
      <c r="PT130" s="207"/>
      <c r="PU130" s="207"/>
      <c r="PV130" s="207"/>
      <c r="PW130" s="272"/>
      <c r="PX130" s="272"/>
      <c r="PY130" s="205">
        <f t="shared" si="1477"/>
        <v>0</v>
      </c>
      <c r="PZ130" s="207"/>
      <c r="QA130" s="207"/>
      <c r="QB130" s="207"/>
      <c r="QC130" s="207"/>
      <c r="QD130" s="207"/>
      <c r="QE130" s="272"/>
      <c r="QF130" s="272"/>
      <c r="QG130" s="205">
        <f t="shared" si="1478"/>
        <v>0</v>
      </c>
      <c r="QH130" s="207"/>
      <c r="QI130" s="207"/>
      <c r="QJ130" s="294"/>
      <c r="QK130" s="207"/>
      <c r="QL130" s="207"/>
      <c r="QM130" s="272"/>
      <c r="QN130" s="272"/>
      <c r="QO130" s="205">
        <f t="shared" si="1479"/>
        <v>0</v>
      </c>
      <c r="QP130" s="207"/>
      <c r="QQ130" s="207"/>
      <c r="QR130" s="207"/>
      <c r="QS130" s="207"/>
      <c r="QT130" s="207"/>
      <c r="QU130" s="272"/>
      <c r="QV130" s="272"/>
      <c r="QW130" s="205">
        <f t="shared" si="1480"/>
        <v>0</v>
      </c>
      <c r="QX130" s="205">
        <f t="shared" si="1481"/>
        <v>0</v>
      </c>
      <c r="QY130" s="207"/>
      <c r="QZ130" s="207"/>
      <c r="RA130" s="207"/>
      <c r="RB130" s="207"/>
      <c r="RC130" s="207"/>
      <c r="RD130" s="272"/>
      <c r="RE130" s="272"/>
      <c r="RF130" s="205">
        <f t="shared" si="1482"/>
        <v>0</v>
      </c>
      <c r="RG130" s="207"/>
      <c r="RH130" s="207"/>
      <c r="RI130" s="207"/>
      <c r="RJ130" s="207"/>
      <c r="RK130" s="207"/>
      <c r="RL130" s="272"/>
      <c r="RM130" s="272"/>
      <c r="RN130" s="205">
        <f t="shared" si="1483"/>
        <v>0</v>
      </c>
      <c r="RO130" s="272"/>
      <c r="RP130" s="272"/>
      <c r="RQ130" s="272"/>
      <c r="RR130" s="272"/>
      <c r="RS130" s="272"/>
      <c r="RT130" s="272"/>
      <c r="RU130" s="272"/>
      <c r="RV130" s="205">
        <f t="shared" si="1484"/>
        <v>0</v>
      </c>
      <c r="RW130" s="207"/>
      <c r="RX130" s="207"/>
      <c r="RY130" s="207"/>
      <c r="RZ130" s="207"/>
      <c r="SA130" s="272"/>
      <c r="SB130" s="272"/>
      <c r="SC130" s="272"/>
      <c r="SD130" s="205">
        <f t="shared" si="1485"/>
        <v>0</v>
      </c>
      <c r="SE130" s="205">
        <f t="shared" si="1486"/>
        <v>0</v>
      </c>
      <c r="SF130" s="207"/>
      <c r="SG130" s="207"/>
      <c r="SH130" s="207"/>
      <c r="SI130" s="207"/>
      <c r="SJ130" s="207"/>
      <c r="SK130" s="272"/>
      <c r="SL130" s="272"/>
      <c r="SM130" s="205">
        <f t="shared" si="1487"/>
        <v>0</v>
      </c>
      <c r="SN130" s="207"/>
      <c r="SO130" s="207"/>
      <c r="SP130" s="207"/>
      <c r="SQ130" s="207"/>
      <c r="SR130" s="207"/>
      <c r="SS130" s="272"/>
      <c r="ST130" s="272"/>
      <c r="SU130" s="205">
        <f t="shared" si="1488"/>
        <v>0</v>
      </c>
      <c r="SV130" s="207"/>
      <c r="SW130" s="207"/>
      <c r="SX130" s="207"/>
      <c r="SY130" s="207"/>
      <c r="SZ130" s="207"/>
      <c r="TA130" s="272"/>
      <c r="TB130" s="272"/>
      <c r="TC130" s="205">
        <f t="shared" si="1489"/>
        <v>0</v>
      </c>
      <c r="TD130" s="207"/>
      <c r="TE130" s="207"/>
      <c r="TF130" s="207"/>
      <c r="TG130" s="207"/>
      <c r="TH130" s="207"/>
      <c r="TI130" s="272"/>
      <c r="TJ130" s="272"/>
      <c r="TK130" s="205">
        <f t="shared" si="1490"/>
        <v>0</v>
      </c>
      <c r="TL130" s="207"/>
      <c r="TM130" s="207"/>
      <c r="TN130" s="207"/>
      <c r="TO130" s="207"/>
      <c r="TP130" s="272"/>
      <c r="TQ130" s="272"/>
      <c r="TR130" s="272"/>
      <c r="TS130" s="205">
        <f t="shared" si="1491"/>
        <v>0</v>
      </c>
      <c r="TT130" s="205">
        <f t="shared" si="1492"/>
        <v>0</v>
      </c>
      <c r="TU130" s="272"/>
      <c r="TV130" s="207"/>
      <c r="TW130" s="207"/>
      <c r="TX130" s="207"/>
      <c r="TY130" s="207"/>
      <c r="TZ130" s="272"/>
      <c r="UA130" s="272"/>
      <c r="UB130" s="205">
        <f t="shared" si="1493"/>
        <v>0</v>
      </c>
      <c r="UC130" s="207"/>
      <c r="UD130" s="207"/>
      <c r="UE130" s="207"/>
      <c r="UF130" s="207"/>
      <c r="UG130" s="207"/>
      <c r="UH130" s="272"/>
      <c r="UI130" s="272"/>
      <c r="UJ130" s="205">
        <f t="shared" si="1494"/>
        <v>0</v>
      </c>
      <c r="UK130" s="207"/>
      <c r="UL130" s="207"/>
      <c r="UM130" s="207"/>
      <c r="UN130" s="207"/>
      <c r="UO130" s="207"/>
      <c r="UP130" s="272"/>
      <c r="UQ130" s="272"/>
      <c r="UR130" s="205">
        <f t="shared" si="1495"/>
        <v>0</v>
      </c>
      <c r="US130" s="207"/>
      <c r="UT130" s="207"/>
      <c r="UU130" s="207"/>
      <c r="UV130" s="207"/>
      <c r="UW130" s="272"/>
      <c r="UX130" s="272"/>
      <c r="UY130" s="272"/>
      <c r="UZ130" s="205">
        <f t="shared" si="1496"/>
        <v>0</v>
      </c>
      <c r="VA130" s="205">
        <f t="shared" si="1497"/>
        <v>0</v>
      </c>
      <c r="VB130" s="207"/>
      <c r="VC130" s="207"/>
      <c r="VD130" s="207"/>
      <c r="VE130" s="207"/>
      <c r="VF130" s="207"/>
      <c r="VG130" s="272"/>
      <c r="VH130" s="272"/>
      <c r="VI130" s="205">
        <f t="shared" si="1498"/>
        <v>0</v>
      </c>
      <c r="VJ130" s="207"/>
      <c r="VK130" s="207"/>
      <c r="VL130" s="207"/>
      <c r="VM130" s="207"/>
      <c r="VN130" s="207"/>
      <c r="VO130" s="272"/>
      <c r="VP130" s="272"/>
      <c r="VQ130" s="205">
        <f t="shared" si="1499"/>
        <v>0</v>
      </c>
      <c r="VR130" s="207"/>
      <c r="VS130" s="207"/>
      <c r="VT130" s="207"/>
      <c r="VU130" s="207"/>
      <c r="VV130" s="207"/>
      <c r="VW130" s="272"/>
      <c r="VX130" s="272"/>
      <c r="VY130" s="205">
        <f t="shared" si="1500"/>
        <v>0</v>
      </c>
      <c r="VZ130" s="207"/>
      <c r="WA130" s="207"/>
      <c r="WB130" s="207"/>
      <c r="WC130" s="207"/>
      <c r="WD130" s="207"/>
      <c r="WE130" s="272"/>
      <c r="WF130" s="272"/>
      <c r="WG130" s="205">
        <f t="shared" si="1501"/>
        <v>0</v>
      </c>
      <c r="WH130" s="205">
        <f t="shared" si="1502"/>
        <v>0</v>
      </c>
      <c r="WI130" s="207"/>
      <c r="WJ130" s="207"/>
      <c r="WK130" s="207"/>
      <c r="WL130" s="207"/>
      <c r="WM130" s="207"/>
      <c r="WN130" s="272"/>
      <c r="WO130" s="272"/>
      <c r="WP130" s="205">
        <f t="shared" si="1503"/>
        <v>0</v>
      </c>
      <c r="WQ130" s="207"/>
      <c r="WR130" s="207"/>
      <c r="WS130" s="207"/>
      <c r="WT130" s="207"/>
      <c r="WU130" s="207"/>
      <c r="WV130" s="272"/>
      <c r="WW130" s="272"/>
      <c r="WX130" s="205">
        <f t="shared" si="1504"/>
        <v>0</v>
      </c>
      <c r="WY130" s="207"/>
      <c r="WZ130" s="207"/>
      <c r="XA130" s="207"/>
      <c r="XB130" s="207"/>
      <c r="XC130" s="272"/>
      <c r="XD130" s="272"/>
      <c r="XE130" s="272"/>
      <c r="XF130" s="205">
        <f t="shared" si="1505"/>
        <v>0</v>
      </c>
      <c r="XG130" s="207"/>
      <c r="XH130" s="207"/>
      <c r="XI130" s="207"/>
      <c r="XJ130" s="207"/>
      <c r="XK130" s="207"/>
      <c r="XL130" s="272"/>
      <c r="XM130" s="272"/>
      <c r="XN130" s="205">
        <f t="shared" si="1506"/>
        <v>0</v>
      </c>
      <c r="XO130" s="207"/>
      <c r="XP130" s="207"/>
      <c r="XQ130" s="207"/>
      <c r="XR130" s="207"/>
      <c r="XS130" s="207"/>
      <c r="XT130" s="272"/>
      <c r="XU130" s="272"/>
      <c r="XV130" s="205">
        <f t="shared" si="1507"/>
        <v>0</v>
      </c>
      <c r="XW130" s="205">
        <f t="shared" si="1508"/>
        <v>0</v>
      </c>
      <c r="XX130" s="207"/>
      <c r="XY130" s="207"/>
      <c r="XZ130" s="207"/>
      <c r="YA130" s="207"/>
      <c r="YB130" s="207"/>
      <c r="YC130" s="272"/>
      <c r="YD130" s="272"/>
      <c r="YE130" s="205">
        <f t="shared" si="1509"/>
        <v>0</v>
      </c>
      <c r="YF130" s="207"/>
      <c r="YG130" s="207"/>
      <c r="YH130" s="207"/>
      <c r="YI130" s="207"/>
      <c r="YJ130" s="207"/>
      <c r="YK130" s="272"/>
      <c r="YL130" s="272"/>
      <c r="YM130" s="205">
        <f t="shared" si="1510"/>
        <v>0</v>
      </c>
      <c r="YN130" s="207"/>
      <c r="YO130" s="207"/>
      <c r="YP130" s="207"/>
      <c r="YQ130" s="207"/>
      <c r="YR130" s="207"/>
      <c r="YS130" s="272"/>
      <c r="YT130" s="272"/>
      <c r="YU130" s="205">
        <f t="shared" si="1511"/>
        <v>0</v>
      </c>
      <c r="YV130" s="207"/>
      <c r="YW130" s="207"/>
      <c r="YX130" s="207"/>
      <c r="YY130" s="207"/>
      <c r="YZ130" s="207"/>
      <c r="ZA130" s="272"/>
      <c r="ZB130" s="272"/>
      <c r="ZC130" s="205">
        <f t="shared" si="1512"/>
        <v>0</v>
      </c>
      <c r="ZD130" s="205">
        <f t="shared" si="1513"/>
        <v>0</v>
      </c>
      <c r="ZE130" s="207"/>
      <c r="ZF130" s="207"/>
      <c r="ZG130" s="207"/>
      <c r="ZH130" s="207"/>
      <c r="ZI130" s="207"/>
      <c r="ZJ130" s="272"/>
      <c r="ZK130" s="272"/>
      <c r="ZL130" s="205">
        <f t="shared" si="1514"/>
        <v>0</v>
      </c>
      <c r="ZM130" s="207"/>
      <c r="ZN130" s="207"/>
      <c r="ZO130" s="207"/>
      <c r="ZP130" s="207"/>
      <c r="ZQ130" s="207"/>
      <c r="ZR130" s="272"/>
      <c r="ZS130" s="272"/>
      <c r="ZT130" s="205">
        <f t="shared" si="1515"/>
        <v>0</v>
      </c>
      <c r="ZU130" s="207"/>
      <c r="ZV130" s="207"/>
      <c r="ZW130" s="207"/>
      <c r="ZX130" s="207"/>
      <c r="ZY130" s="207"/>
      <c r="ZZ130" s="272"/>
      <c r="AAA130" s="272"/>
      <c r="AAB130" s="205">
        <f t="shared" si="1516"/>
        <v>0</v>
      </c>
      <c r="AAC130" s="207"/>
      <c r="AAD130" s="207"/>
      <c r="AAE130" s="207"/>
      <c r="AAF130" s="207"/>
      <c r="AAG130" s="207"/>
      <c r="AAH130" s="272"/>
      <c r="AAI130" s="272"/>
      <c r="AAJ130" s="205">
        <f t="shared" si="1517"/>
        <v>0</v>
      </c>
      <c r="AAK130" s="207"/>
      <c r="AAL130" s="207"/>
      <c r="AAM130" s="207"/>
      <c r="AAN130" s="207"/>
      <c r="AAO130" s="207"/>
      <c r="AAP130" s="272"/>
      <c r="AAQ130" s="272"/>
      <c r="AAR130" s="205">
        <f t="shared" si="1518"/>
        <v>0</v>
      </c>
      <c r="AAS130" s="205">
        <f t="shared" si="1519"/>
        <v>0</v>
      </c>
    </row>
    <row r="131" spans="1:721" s="127" customFormat="1" ht="78" customHeight="1">
      <c r="A131" s="128"/>
      <c r="B131" s="130">
        <v>5714600141</v>
      </c>
      <c r="C131" s="324" t="s">
        <v>519</v>
      </c>
      <c r="D131" s="171" t="s">
        <v>424</v>
      </c>
      <c r="E131" s="130" t="s">
        <v>4</v>
      </c>
      <c r="F131" s="201">
        <v>3000</v>
      </c>
      <c r="G131" s="120"/>
      <c r="H131" s="120"/>
      <c r="I131" s="120"/>
      <c r="J131" s="120"/>
      <c r="K131" s="209"/>
      <c r="L131" s="205"/>
      <c r="M131" s="205">
        <f t="shared" si="1520"/>
        <v>3000</v>
      </c>
      <c r="N131" s="120"/>
      <c r="O131" s="120"/>
      <c r="P131" s="120"/>
      <c r="Q131" s="120"/>
      <c r="R131" s="120"/>
      <c r="S131" s="209"/>
      <c r="T131" s="205"/>
      <c r="U131" s="205">
        <f t="shared" si="1521"/>
        <v>0</v>
      </c>
      <c r="V131" s="120"/>
      <c r="W131" s="120"/>
      <c r="X131" s="120"/>
      <c r="Y131" s="120"/>
      <c r="Z131" s="120"/>
      <c r="AA131" s="209"/>
      <c r="AB131" s="205"/>
      <c r="AC131" s="205">
        <f t="shared" si="1522"/>
        <v>0</v>
      </c>
      <c r="AD131" s="205"/>
      <c r="AE131" s="205"/>
      <c r="AF131" s="205"/>
      <c r="AG131" s="205"/>
      <c r="AH131" s="205"/>
      <c r="AI131" s="209"/>
      <c r="AJ131" s="205"/>
      <c r="AK131" s="205">
        <f t="shared" si="1523"/>
        <v>0</v>
      </c>
      <c r="AL131" s="205" t="e">
        <f>SUM(#REF!,M131,U131,AC131,AD131:AH131)</f>
        <v>#REF!</v>
      </c>
      <c r="AM131" s="120"/>
      <c r="AN131" s="120"/>
      <c r="AO131" s="120"/>
      <c r="AP131" s="120"/>
      <c r="AQ131" s="120"/>
      <c r="AR131" s="209"/>
      <c r="AS131" s="205"/>
      <c r="AT131" s="205">
        <f t="shared" si="1524"/>
        <v>0</v>
      </c>
      <c r="AU131" s="120"/>
      <c r="AV131" s="120"/>
      <c r="AW131" s="120"/>
      <c r="AX131" s="120"/>
      <c r="AY131" s="120"/>
      <c r="AZ131" s="209"/>
      <c r="BA131" s="205"/>
      <c r="BB131" s="205">
        <f t="shared" si="1525"/>
        <v>0</v>
      </c>
      <c r="BC131" s="124">
        <v>2000</v>
      </c>
      <c r="BD131" s="120"/>
      <c r="BE131" s="120"/>
      <c r="BF131" s="120"/>
      <c r="BG131" s="120"/>
      <c r="BH131" s="209"/>
      <c r="BI131" s="205"/>
      <c r="BJ131" s="205">
        <f t="shared" si="1526"/>
        <v>2000</v>
      </c>
      <c r="BK131" s="120"/>
      <c r="BL131" s="120"/>
      <c r="BM131" s="120"/>
      <c r="BN131" s="120"/>
      <c r="BO131" s="205"/>
      <c r="BP131" s="209"/>
      <c r="BQ131" s="205"/>
      <c r="BR131" s="205">
        <f t="shared" si="1527"/>
        <v>0</v>
      </c>
      <c r="BS131" s="205">
        <f t="shared" si="1427"/>
        <v>2000</v>
      </c>
      <c r="BT131" s="120"/>
      <c r="BU131" s="217">
        <v>3000</v>
      </c>
      <c r="BV131" s="120"/>
      <c r="BW131" s="120"/>
      <c r="BX131" s="120"/>
      <c r="BY131" s="209"/>
      <c r="BZ131" s="205"/>
      <c r="CA131" s="205">
        <f t="shared" si="1528"/>
        <v>3000</v>
      </c>
      <c r="CB131" s="120"/>
      <c r="CC131" s="120"/>
      <c r="CD131" s="120"/>
      <c r="CE131" s="120"/>
      <c r="CF131" s="120"/>
      <c r="CG131" s="209"/>
      <c r="CH131" s="205"/>
      <c r="CI131" s="205">
        <f t="shared" si="1529"/>
        <v>0</v>
      </c>
      <c r="CJ131" s="120"/>
      <c r="CK131" s="120"/>
      <c r="CL131" s="120"/>
      <c r="CM131" s="120"/>
      <c r="CN131" s="120"/>
      <c r="CO131" s="209"/>
      <c r="CP131" s="205"/>
      <c r="CQ131" s="205">
        <f t="shared" si="1530"/>
        <v>0</v>
      </c>
      <c r="CR131" s="120"/>
      <c r="CS131" s="120"/>
      <c r="CT131" s="120"/>
      <c r="CU131" s="120"/>
      <c r="CV131" s="120"/>
      <c r="CW131" s="209"/>
      <c r="CX131" s="205"/>
      <c r="CY131" s="205">
        <f t="shared" si="1531"/>
        <v>0</v>
      </c>
      <c r="CZ131" s="120"/>
      <c r="DA131" s="120"/>
      <c r="DB131" s="120"/>
      <c r="DC131" s="205"/>
      <c r="DD131" s="205"/>
      <c r="DE131" s="209"/>
      <c r="DF131" s="205"/>
      <c r="DG131" s="205">
        <f t="shared" si="1532"/>
        <v>0</v>
      </c>
      <c r="DH131" s="205">
        <f t="shared" si="1428"/>
        <v>3000</v>
      </c>
      <c r="DI131" s="120"/>
      <c r="DJ131" s="120"/>
      <c r="DK131" s="120"/>
      <c r="DL131" s="120"/>
      <c r="DM131" s="120"/>
      <c r="DN131" s="209"/>
      <c r="DO131" s="205"/>
      <c r="DP131" s="205">
        <f t="shared" si="1432"/>
        <v>0</v>
      </c>
      <c r="DQ131" s="120"/>
      <c r="DR131" s="120"/>
      <c r="DS131" s="120"/>
      <c r="DT131" s="120"/>
      <c r="DU131" s="120"/>
      <c r="DV131" s="209"/>
      <c r="DW131" s="205"/>
      <c r="DX131" s="205">
        <f t="shared" si="1433"/>
        <v>0</v>
      </c>
      <c r="DY131" s="120"/>
      <c r="DZ131" s="120"/>
      <c r="EA131" s="250">
        <v>1000</v>
      </c>
      <c r="EB131" s="120"/>
      <c r="EC131" s="120"/>
      <c r="ED131" s="209"/>
      <c r="EE131" s="205"/>
      <c r="EF131" s="205">
        <f t="shared" si="1434"/>
        <v>1000</v>
      </c>
      <c r="EG131" s="120"/>
      <c r="EH131" s="120"/>
      <c r="EI131" s="120"/>
      <c r="EJ131" s="205"/>
      <c r="EK131" s="205"/>
      <c r="EL131" s="209"/>
      <c r="EM131" s="205"/>
      <c r="EN131" s="205">
        <f t="shared" si="1435"/>
        <v>0</v>
      </c>
      <c r="EO131" s="205">
        <f t="shared" si="1429"/>
        <v>1000</v>
      </c>
      <c r="EP131" s="120"/>
      <c r="EQ131" s="120"/>
      <c r="ER131" s="120"/>
      <c r="ES131" s="120"/>
      <c r="ET131" s="120"/>
      <c r="EU131" s="209"/>
      <c r="EV131" s="205"/>
      <c r="EW131" s="205">
        <f t="shared" si="1436"/>
        <v>0</v>
      </c>
      <c r="EX131" s="120"/>
      <c r="EY131" s="120"/>
      <c r="EZ131" s="250">
        <v>3000</v>
      </c>
      <c r="FA131" s="120"/>
      <c r="FB131" s="120"/>
      <c r="FC131" s="209"/>
      <c r="FD131" s="205"/>
      <c r="FE131" s="205">
        <f t="shared" si="1437"/>
        <v>3000</v>
      </c>
      <c r="FF131" s="120"/>
      <c r="FG131" s="120"/>
      <c r="FH131" s="120"/>
      <c r="FI131" s="120"/>
      <c r="FJ131" s="120"/>
      <c r="FK131" s="209"/>
      <c r="FL131" s="205"/>
      <c r="FM131" s="205">
        <f t="shared" si="1438"/>
        <v>0</v>
      </c>
      <c r="FN131" s="120"/>
      <c r="FO131" s="120"/>
      <c r="FP131" s="120"/>
      <c r="FQ131" s="120"/>
      <c r="FR131" s="205"/>
      <c r="FS131" s="209"/>
      <c r="FT131" s="205"/>
      <c r="FU131" s="205">
        <f t="shared" si="1439"/>
        <v>0</v>
      </c>
      <c r="FV131" s="205">
        <f t="shared" si="1430"/>
        <v>3000</v>
      </c>
      <c r="FW131" s="120"/>
      <c r="FX131" s="120"/>
      <c r="FY131" s="120"/>
      <c r="FZ131" s="120"/>
      <c r="GA131" s="120"/>
      <c r="GB131" s="209"/>
      <c r="GC131" s="205"/>
      <c r="GD131" s="205">
        <f t="shared" si="1440"/>
        <v>0</v>
      </c>
      <c r="GE131" s="120"/>
      <c r="GF131" s="120"/>
      <c r="GG131" s="120"/>
      <c r="GH131" s="120"/>
      <c r="GI131" s="120"/>
      <c r="GJ131" s="209"/>
      <c r="GK131" s="205"/>
      <c r="GL131" s="205">
        <f t="shared" si="1441"/>
        <v>0</v>
      </c>
      <c r="GM131" s="217">
        <v>2000</v>
      </c>
      <c r="GN131" s="120"/>
      <c r="GO131" s="120"/>
      <c r="GP131" s="120"/>
      <c r="GQ131" s="120"/>
      <c r="GR131" s="209"/>
      <c r="GS131" s="205"/>
      <c r="GT131" s="205">
        <f t="shared" si="1442"/>
        <v>2000</v>
      </c>
      <c r="GU131" s="120"/>
      <c r="GV131" s="120"/>
      <c r="GW131" s="120"/>
      <c r="GX131" s="120"/>
      <c r="GY131" s="120"/>
      <c r="GZ131" s="209"/>
      <c r="HA131" s="205"/>
      <c r="HB131" s="205">
        <f t="shared" si="1443"/>
        <v>0</v>
      </c>
      <c r="HC131" s="250">
        <v>1830</v>
      </c>
      <c r="HD131" s="120"/>
      <c r="HE131" s="120"/>
      <c r="HF131" s="120"/>
      <c r="HG131" s="120"/>
      <c r="HH131" s="209"/>
      <c r="HI131" s="205"/>
      <c r="HJ131" s="205">
        <f t="shared" si="1444"/>
        <v>1830</v>
      </c>
      <c r="HK131" s="205">
        <f t="shared" si="1431"/>
        <v>3830</v>
      </c>
      <c r="HL131" s="124"/>
      <c r="HM131" s="120"/>
      <c r="HN131" s="120"/>
      <c r="HO131" s="120"/>
      <c r="HP131" s="120"/>
      <c r="HQ131" s="205"/>
      <c r="HR131" s="205"/>
      <c r="HS131" s="205">
        <f t="shared" si="1445"/>
        <v>0</v>
      </c>
      <c r="HT131" s="120"/>
      <c r="HU131" s="120"/>
      <c r="HV131" s="120"/>
      <c r="HW131" s="120"/>
      <c r="HX131" s="120"/>
      <c r="HY131" s="205"/>
      <c r="HZ131" s="205"/>
      <c r="IA131" s="205">
        <f t="shared" si="1446"/>
        <v>0</v>
      </c>
      <c r="IB131" s="120"/>
      <c r="IC131" s="120"/>
      <c r="ID131" s="250">
        <v>3000</v>
      </c>
      <c r="IE131" s="120"/>
      <c r="IF131" s="120"/>
      <c r="IG131" s="205"/>
      <c r="IH131" s="205"/>
      <c r="II131" s="205">
        <f t="shared" si="1447"/>
        <v>3000</v>
      </c>
      <c r="IJ131" s="120"/>
      <c r="IK131" s="120"/>
      <c r="IL131" s="120"/>
      <c r="IM131" s="120"/>
      <c r="IN131" s="120"/>
      <c r="IO131" s="205"/>
      <c r="IP131" s="205"/>
      <c r="IQ131" s="205">
        <f t="shared" si="1448"/>
        <v>0</v>
      </c>
      <c r="IR131" s="205">
        <f t="shared" si="1449"/>
        <v>3000</v>
      </c>
      <c r="IS131" s="120"/>
      <c r="IT131" s="120"/>
      <c r="IU131" s="120"/>
      <c r="IV131" s="120"/>
      <c r="IW131" s="120"/>
      <c r="IX131" s="205"/>
      <c r="IY131" s="205"/>
      <c r="IZ131" s="205">
        <f t="shared" si="1450"/>
        <v>0</v>
      </c>
      <c r="JA131" s="120"/>
      <c r="JB131" s="120"/>
      <c r="JC131" s="120"/>
      <c r="JD131" s="120"/>
      <c r="JE131" s="120"/>
      <c r="JF131" s="205"/>
      <c r="JG131" s="205"/>
      <c r="JH131" s="205">
        <f t="shared" si="1451"/>
        <v>0</v>
      </c>
      <c r="JI131" s="120"/>
      <c r="JJ131" s="120"/>
      <c r="JK131" s="120"/>
      <c r="JL131" s="120"/>
      <c r="JM131" s="120"/>
      <c r="JN131" s="205"/>
      <c r="JO131" s="205"/>
      <c r="JP131" s="205">
        <f t="shared" si="1452"/>
        <v>0</v>
      </c>
      <c r="JQ131" s="201">
        <v>3000</v>
      </c>
      <c r="JR131" s="120"/>
      <c r="JS131" s="120"/>
      <c r="JT131" s="120"/>
      <c r="JU131" s="120"/>
      <c r="JV131" s="205"/>
      <c r="JW131" s="205"/>
      <c r="JX131" s="205">
        <f t="shared" si="1453"/>
        <v>3000</v>
      </c>
      <c r="JY131" s="205">
        <f t="shared" si="1454"/>
        <v>3000</v>
      </c>
      <c r="JZ131" s="120"/>
      <c r="KA131" s="120"/>
      <c r="KB131" s="120"/>
      <c r="KC131" s="120"/>
      <c r="KD131" s="120"/>
      <c r="KE131" s="205"/>
      <c r="KF131" s="205"/>
      <c r="KG131" s="205">
        <f t="shared" si="1455"/>
        <v>0</v>
      </c>
      <c r="KH131" s="120"/>
      <c r="KI131" s="120"/>
      <c r="KJ131" s="120"/>
      <c r="KK131" s="120"/>
      <c r="KL131" s="120"/>
      <c r="KM131" s="205"/>
      <c r="KN131" s="205"/>
      <c r="KO131" s="205">
        <f t="shared" si="1456"/>
        <v>0</v>
      </c>
      <c r="KP131" s="120"/>
      <c r="KQ131" s="124">
        <v>3000</v>
      </c>
      <c r="KR131" s="120"/>
      <c r="KS131" s="120"/>
      <c r="KT131" s="120"/>
      <c r="KU131" s="205"/>
      <c r="KV131" s="205"/>
      <c r="KW131" s="205">
        <f t="shared" si="1457"/>
        <v>3000</v>
      </c>
      <c r="KX131" s="120"/>
      <c r="KY131" s="120"/>
      <c r="KZ131" s="120"/>
      <c r="LA131" s="120"/>
      <c r="LB131" s="120"/>
      <c r="LC131" s="205"/>
      <c r="LD131" s="205"/>
      <c r="LE131" s="205">
        <f t="shared" si="1458"/>
        <v>0</v>
      </c>
      <c r="LF131" s="205"/>
      <c r="LG131" s="120"/>
      <c r="LH131" s="120"/>
      <c r="LI131" s="120"/>
      <c r="LJ131" s="120"/>
      <c r="LK131" s="205"/>
      <c r="LL131" s="205"/>
      <c r="LM131" s="205">
        <f t="shared" si="1459"/>
        <v>0</v>
      </c>
      <c r="LN131" s="205">
        <f t="shared" si="1460"/>
        <v>3000</v>
      </c>
      <c r="LO131" s="205"/>
      <c r="LP131" s="120"/>
      <c r="LQ131" s="120"/>
      <c r="LR131" s="120"/>
      <c r="LS131" s="205"/>
      <c r="LT131" s="205"/>
      <c r="LU131" s="205"/>
      <c r="LV131" s="205">
        <f t="shared" si="1461"/>
        <v>0</v>
      </c>
      <c r="LW131" s="120"/>
      <c r="LX131" s="120"/>
      <c r="LY131" s="120"/>
      <c r="LZ131" s="120"/>
      <c r="MA131" s="120"/>
      <c r="MB131" s="205"/>
      <c r="MC131" s="205"/>
      <c r="MD131" s="205">
        <f t="shared" si="1462"/>
        <v>0</v>
      </c>
      <c r="ME131" s="201">
        <v>4000</v>
      </c>
      <c r="MF131" s="120"/>
      <c r="MG131" s="120"/>
      <c r="MH131" s="120"/>
      <c r="MI131" s="205"/>
      <c r="MJ131" s="205"/>
      <c r="MK131" s="205"/>
      <c r="ML131" s="205">
        <f t="shared" si="1463"/>
        <v>4000</v>
      </c>
      <c r="MM131" s="120"/>
      <c r="MN131" s="120"/>
      <c r="MO131" s="120"/>
      <c r="MP131" s="120"/>
      <c r="MQ131" s="120"/>
      <c r="MR131" s="205"/>
      <c r="MS131" s="205"/>
      <c r="MT131" s="205">
        <f t="shared" si="1464"/>
        <v>0</v>
      </c>
      <c r="MU131" s="205">
        <f t="shared" si="1465"/>
        <v>4000</v>
      </c>
      <c r="MV131" s="120"/>
      <c r="MW131" s="120"/>
      <c r="MX131" s="120"/>
      <c r="MY131" s="120"/>
      <c r="MZ131" s="120"/>
      <c r="NA131" s="205"/>
      <c r="NB131" s="205"/>
      <c r="NC131" s="205">
        <f t="shared" si="1466"/>
        <v>0</v>
      </c>
      <c r="ND131" s="120"/>
      <c r="NE131" s="120"/>
      <c r="NF131" s="120"/>
      <c r="NG131" s="120"/>
      <c r="NH131" s="120"/>
      <c r="NI131" s="205"/>
      <c r="NJ131" s="205"/>
      <c r="NK131" s="205">
        <f t="shared" si="1467"/>
        <v>0</v>
      </c>
      <c r="NL131" s="120"/>
      <c r="NM131" s="120"/>
      <c r="NN131" s="120"/>
      <c r="NO131" s="120"/>
      <c r="NP131" s="120"/>
      <c r="NQ131" s="205"/>
      <c r="NR131" s="205"/>
      <c r="NS131" s="205">
        <f t="shared" si="1468"/>
        <v>0</v>
      </c>
      <c r="NT131" s="217">
        <v>3000</v>
      </c>
      <c r="NU131" s="120"/>
      <c r="NV131" s="120"/>
      <c r="NW131" s="120"/>
      <c r="NX131" s="120"/>
      <c r="NY131" s="205"/>
      <c r="NZ131" s="205"/>
      <c r="OA131" s="205">
        <f t="shared" si="1469"/>
        <v>3000</v>
      </c>
      <c r="OB131" s="205">
        <f t="shared" si="1470"/>
        <v>3000</v>
      </c>
      <c r="OC131" s="120"/>
      <c r="OD131" s="120"/>
      <c r="OE131" s="120"/>
      <c r="OF131" s="120"/>
      <c r="OG131" s="120"/>
      <c r="OH131" s="205"/>
      <c r="OI131" s="205"/>
      <c r="OJ131" s="205">
        <f t="shared" si="1471"/>
        <v>0</v>
      </c>
      <c r="OK131" s="120"/>
      <c r="OL131" s="120"/>
      <c r="OM131" s="120"/>
      <c r="ON131" s="120"/>
      <c r="OO131" s="120"/>
      <c r="OP131" s="205"/>
      <c r="OQ131" s="205"/>
      <c r="OR131" s="205">
        <f t="shared" si="1472"/>
        <v>0</v>
      </c>
      <c r="OS131" s="120"/>
      <c r="OT131" s="120"/>
      <c r="OU131" s="120"/>
      <c r="OV131" s="120"/>
      <c r="OW131" s="120"/>
      <c r="OX131" s="205"/>
      <c r="OY131" s="205"/>
      <c r="OZ131" s="205">
        <f t="shared" si="1473"/>
        <v>0</v>
      </c>
      <c r="PA131" s="120"/>
      <c r="PB131" s="120"/>
      <c r="PC131" s="120"/>
      <c r="PD131" s="205"/>
      <c r="PE131" s="217"/>
      <c r="PF131" s="205"/>
      <c r="PG131" s="205"/>
      <c r="PH131" s="205">
        <f t="shared" si="1474"/>
        <v>0</v>
      </c>
      <c r="PI131" s="120"/>
      <c r="PJ131" s="120"/>
      <c r="PK131" s="120"/>
      <c r="PL131" s="205"/>
      <c r="PM131" s="217"/>
      <c r="PN131" s="205"/>
      <c r="PO131" s="205"/>
      <c r="PP131" s="205">
        <f t="shared" si="1475"/>
        <v>0</v>
      </c>
      <c r="PQ131" s="205">
        <f t="shared" si="1476"/>
        <v>0</v>
      </c>
      <c r="PR131" s="207"/>
      <c r="PS131" s="207"/>
      <c r="PT131" s="207"/>
      <c r="PU131" s="207"/>
      <c r="PV131" s="207"/>
      <c r="PW131" s="272"/>
      <c r="PX131" s="272"/>
      <c r="PY131" s="205">
        <f>SUM(PR131:PX131)</f>
        <v>0</v>
      </c>
      <c r="PZ131" s="195">
        <v>4000</v>
      </c>
      <c r="QA131" s="207"/>
      <c r="QB131" s="120"/>
      <c r="QC131" s="120"/>
      <c r="QD131" s="207"/>
      <c r="QE131" s="272"/>
      <c r="QF131" s="272"/>
      <c r="QG131" s="205">
        <f t="shared" si="1478"/>
        <v>4000</v>
      </c>
      <c r="QH131" s="207"/>
      <c r="QI131" s="207"/>
      <c r="QJ131" s="294"/>
      <c r="QK131" s="207"/>
      <c r="QL131" s="207"/>
      <c r="QM131" s="272"/>
      <c r="QN131" s="272"/>
      <c r="QO131" s="205">
        <f t="shared" si="1479"/>
        <v>0</v>
      </c>
      <c r="QP131" s="207"/>
      <c r="QQ131" s="207"/>
      <c r="QR131" s="207"/>
      <c r="QS131" s="207"/>
      <c r="QT131" s="207"/>
      <c r="QU131" s="272"/>
      <c r="QV131" s="272"/>
      <c r="QW131" s="205">
        <f t="shared" si="1480"/>
        <v>0</v>
      </c>
      <c r="QX131" s="205">
        <f t="shared" si="1481"/>
        <v>4000</v>
      </c>
      <c r="QY131" s="207"/>
      <c r="QZ131" s="207"/>
      <c r="RA131" s="207"/>
      <c r="RB131" s="207"/>
      <c r="RC131" s="207"/>
      <c r="RD131" s="272"/>
      <c r="RE131" s="272"/>
      <c r="RF131" s="205">
        <f t="shared" si="1482"/>
        <v>0</v>
      </c>
      <c r="RG131" s="195">
        <v>3000</v>
      </c>
      <c r="RH131" s="207"/>
      <c r="RI131" s="207"/>
      <c r="RJ131" s="207"/>
      <c r="RK131" s="207"/>
      <c r="RL131" s="272"/>
      <c r="RM131" s="272"/>
      <c r="RN131" s="205">
        <f t="shared" si="1483"/>
        <v>3000</v>
      </c>
      <c r="RO131" s="272"/>
      <c r="RP131" s="272"/>
      <c r="RQ131" s="272"/>
      <c r="RR131" s="272"/>
      <c r="RS131" s="272"/>
      <c r="RT131" s="272"/>
      <c r="RU131" s="272"/>
      <c r="RV131" s="205">
        <f t="shared" si="1484"/>
        <v>0</v>
      </c>
      <c r="RW131" s="207"/>
      <c r="RX131" s="207"/>
      <c r="RY131" s="207"/>
      <c r="RZ131" s="207"/>
      <c r="SA131" s="272"/>
      <c r="SB131" s="272"/>
      <c r="SC131" s="272"/>
      <c r="SD131" s="205">
        <f t="shared" si="1485"/>
        <v>0</v>
      </c>
      <c r="SE131" s="205">
        <f t="shared" si="1486"/>
        <v>3000</v>
      </c>
      <c r="SF131" s="195">
        <v>3000</v>
      </c>
      <c r="SG131" s="207"/>
      <c r="SH131" s="207"/>
      <c r="SI131" s="207"/>
      <c r="SJ131" s="207"/>
      <c r="SK131" s="272"/>
      <c r="SL131" s="272"/>
      <c r="SM131" s="205">
        <f t="shared" si="1487"/>
        <v>3000</v>
      </c>
      <c r="SN131" s="120"/>
      <c r="SO131" s="207"/>
      <c r="SP131" s="207"/>
      <c r="SQ131" s="207"/>
      <c r="SR131" s="207"/>
      <c r="SS131" s="272"/>
      <c r="ST131" s="272"/>
      <c r="SU131" s="205">
        <f t="shared" si="1488"/>
        <v>0</v>
      </c>
      <c r="SV131" s="207"/>
      <c r="SW131" s="207"/>
      <c r="SX131" s="207"/>
      <c r="SY131" s="207"/>
      <c r="SZ131" s="207"/>
      <c r="TA131" s="272"/>
      <c r="TB131" s="272"/>
      <c r="TC131" s="205">
        <f t="shared" si="1489"/>
        <v>0</v>
      </c>
      <c r="TD131" s="207"/>
      <c r="TE131" s="207"/>
      <c r="TF131" s="207"/>
      <c r="TG131" s="207"/>
      <c r="TH131" s="207"/>
      <c r="TI131" s="272"/>
      <c r="TJ131" s="272"/>
      <c r="TK131" s="205">
        <f t="shared" si="1490"/>
        <v>0</v>
      </c>
      <c r="TL131" s="207"/>
      <c r="TM131" s="207"/>
      <c r="TN131" s="207"/>
      <c r="TO131" s="207"/>
      <c r="TP131" s="272"/>
      <c r="TQ131" s="272"/>
      <c r="TR131" s="272"/>
      <c r="TS131" s="205">
        <f t="shared" si="1491"/>
        <v>0</v>
      </c>
      <c r="TT131" s="205">
        <f t="shared" si="1492"/>
        <v>3000</v>
      </c>
      <c r="TU131" s="272"/>
      <c r="TV131" s="207"/>
      <c r="TW131" s="207"/>
      <c r="TX131" s="207"/>
      <c r="TY131" s="207"/>
      <c r="TZ131" s="272"/>
      <c r="UA131" s="272"/>
      <c r="UB131" s="205">
        <f t="shared" si="1493"/>
        <v>0</v>
      </c>
      <c r="UC131" s="207"/>
      <c r="UD131" s="207"/>
      <c r="UE131" s="207"/>
      <c r="UF131" s="207"/>
      <c r="UG131" s="207"/>
      <c r="UH131" s="272"/>
      <c r="UI131" s="272"/>
      <c r="UJ131" s="205">
        <f>SUM(UD131:UI131)</f>
        <v>0</v>
      </c>
      <c r="UK131" s="201">
        <v>3000</v>
      </c>
      <c r="UL131" s="207"/>
      <c r="UM131" s="207"/>
      <c r="UN131" s="207"/>
      <c r="UO131" s="207"/>
      <c r="UP131" s="272"/>
      <c r="UQ131" s="272"/>
      <c r="UR131" s="205">
        <f>SUM(UK131:UQ131)</f>
        <v>3000</v>
      </c>
      <c r="US131" s="207"/>
      <c r="UT131" s="207"/>
      <c r="UU131" s="207"/>
      <c r="UV131" s="207"/>
      <c r="UW131" s="272"/>
      <c r="UX131" s="272"/>
      <c r="UY131" s="272"/>
      <c r="UZ131" s="205">
        <f t="shared" si="1496"/>
        <v>0</v>
      </c>
      <c r="VA131" s="205">
        <f t="shared" si="1497"/>
        <v>3000</v>
      </c>
      <c r="VB131" s="207"/>
      <c r="VC131" s="207"/>
      <c r="VD131" s="207"/>
      <c r="VE131" s="207"/>
      <c r="VF131" s="207"/>
      <c r="VG131" s="272"/>
      <c r="VH131" s="272"/>
      <c r="VI131" s="205">
        <f t="shared" si="1498"/>
        <v>0</v>
      </c>
      <c r="VJ131" s="207"/>
      <c r="VK131" s="207"/>
      <c r="VL131" s="207"/>
      <c r="VM131" s="207"/>
      <c r="VN131" s="207"/>
      <c r="VO131" s="272"/>
      <c r="VP131" s="272"/>
      <c r="VQ131" s="205">
        <f t="shared" si="1499"/>
        <v>0</v>
      </c>
      <c r="VR131" s="195">
        <v>5000</v>
      </c>
      <c r="VS131" s="207"/>
      <c r="VT131" s="207"/>
      <c r="VU131" s="207"/>
      <c r="VV131" s="207"/>
      <c r="VW131" s="272"/>
      <c r="VX131" s="272"/>
      <c r="VY131" s="205">
        <f t="shared" si="1500"/>
        <v>5000</v>
      </c>
      <c r="VZ131" s="207"/>
      <c r="WA131" s="207"/>
      <c r="WB131" s="207"/>
      <c r="WC131" s="207"/>
      <c r="WD131" s="207"/>
      <c r="WE131" s="272"/>
      <c r="WF131" s="272"/>
      <c r="WG131" s="205">
        <f t="shared" si="1501"/>
        <v>0</v>
      </c>
      <c r="WH131" s="205">
        <f t="shared" si="1502"/>
        <v>5000</v>
      </c>
      <c r="WI131" s="207"/>
      <c r="WJ131" s="207"/>
      <c r="WK131" s="207"/>
      <c r="WL131" s="207"/>
      <c r="WM131" s="207"/>
      <c r="WN131" s="272"/>
      <c r="WO131" s="272"/>
      <c r="WP131" s="205">
        <f t="shared" si="1503"/>
        <v>0</v>
      </c>
      <c r="WQ131" s="120">
        <v>4000</v>
      </c>
      <c r="WR131" s="207"/>
      <c r="WS131" s="207"/>
      <c r="WT131" s="207"/>
      <c r="WU131" s="207"/>
      <c r="WV131" s="272"/>
      <c r="WW131" s="272"/>
      <c r="WX131" s="205">
        <f t="shared" si="1504"/>
        <v>4000</v>
      </c>
      <c r="WY131" s="207"/>
      <c r="WZ131" s="207"/>
      <c r="XA131" s="207"/>
      <c r="XB131" s="207"/>
      <c r="XC131" s="272"/>
      <c r="XD131" s="272"/>
      <c r="XE131" s="272"/>
      <c r="XF131" s="205">
        <f t="shared" si="1505"/>
        <v>0</v>
      </c>
      <c r="XG131" s="207"/>
      <c r="XH131" s="207"/>
      <c r="XI131" s="207"/>
      <c r="XJ131" s="207"/>
      <c r="XK131" s="207"/>
      <c r="XL131" s="272"/>
      <c r="XM131" s="272"/>
      <c r="XN131" s="205">
        <f t="shared" si="1506"/>
        <v>0</v>
      </c>
      <c r="XO131" s="207"/>
      <c r="XP131" s="207"/>
      <c r="XQ131" s="207"/>
      <c r="XR131" s="207"/>
      <c r="XS131" s="207"/>
      <c r="XT131" s="272"/>
      <c r="XU131" s="272"/>
      <c r="XV131" s="205">
        <f t="shared" si="1507"/>
        <v>0</v>
      </c>
      <c r="XW131" s="205">
        <f t="shared" si="1508"/>
        <v>4000</v>
      </c>
      <c r="XX131" s="207"/>
      <c r="XY131" s="207"/>
      <c r="XZ131" s="207"/>
      <c r="YA131" s="207"/>
      <c r="YB131" s="207"/>
      <c r="YC131" s="272"/>
      <c r="YD131" s="272"/>
      <c r="YE131" s="205">
        <f t="shared" si="1509"/>
        <v>0</v>
      </c>
      <c r="YF131" s="207"/>
      <c r="YG131" s="207"/>
      <c r="YH131" s="207"/>
      <c r="YI131" s="207"/>
      <c r="YJ131" s="207"/>
      <c r="YK131" s="272"/>
      <c r="YL131" s="272"/>
      <c r="YM131" s="205">
        <f t="shared" si="1510"/>
        <v>0</v>
      </c>
      <c r="YN131" s="207"/>
      <c r="YO131" s="207"/>
      <c r="YP131" s="207"/>
      <c r="YQ131" s="207"/>
      <c r="YR131" s="207"/>
      <c r="YS131" s="272"/>
      <c r="YT131" s="272"/>
      <c r="YU131" s="205">
        <f t="shared" si="1511"/>
        <v>0</v>
      </c>
      <c r="YV131" s="207"/>
      <c r="YW131" s="207"/>
      <c r="YX131" s="207"/>
      <c r="YY131" s="207"/>
      <c r="YZ131" s="207"/>
      <c r="ZA131" s="272"/>
      <c r="ZB131" s="272"/>
      <c r="ZC131" s="205">
        <f t="shared" si="1512"/>
        <v>0</v>
      </c>
      <c r="ZD131" s="205">
        <f t="shared" si="1513"/>
        <v>4000</v>
      </c>
      <c r="ZE131" s="207"/>
      <c r="ZF131" s="207"/>
      <c r="ZG131" s="207"/>
      <c r="ZH131" s="207"/>
      <c r="ZI131" s="207"/>
      <c r="ZJ131" s="272"/>
      <c r="ZK131" s="272"/>
      <c r="ZL131" s="205">
        <f t="shared" si="1514"/>
        <v>0</v>
      </c>
      <c r="ZM131" s="207"/>
      <c r="ZN131" s="207"/>
      <c r="ZO131" s="207"/>
      <c r="ZP131" s="207"/>
      <c r="ZQ131" s="207"/>
      <c r="ZR131" s="272"/>
      <c r="ZS131" s="272"/>
      <c r="ZT131" s="205">
        <f t="shared" si="1515"/>
        <v>0</v>
      </c>
      <c r="ZU131" s="207"/>
      <c r="ZV131" s="207"/>
      <c r="ZW131" s="207"/>
      <c r="ZX131" s="207"/>
      <c r="ZY131" s="207"/>
      <c r="ZZ131" s="272"/>
      <c r="AAA131" s="272"/>
      <c r="AAB131" s="205">
        <f t="shared" si="1516"/>
        <v>0</v>
      </c>
      <c r="AAC131" s="207"/>
      <c r="AAD131" s="207"/>
      <c r="AAE131" s="207"/>
      <c r="AAF131" s="207"/>
      <c r="AAG131" s="207"/>
      <c r="AAH131" s="272"/>
      <c r="AAI131" s="272"/>
      <c r="AAJ131" s="205">
        <f t="shared" si="1517"/>
        <v>0</v>
      </c>
      <c r="AAK131" s="207"/>
      <c r="AAL131" s="207"/>
      <c r="AAM131" s="207"/>
      <c r="AAN131" s="207"/>
      <c r="AAO131" s="207"/>
      <c r="AAP131" s="272"/>
      <c r="AAQ131" s="272"/>
      <c r="AAR131" s="205">
        <f t="shared" si="1518"/>
        <v>0</v>
      </c>
      <c r="AAS131" s="205">
        <f t="shared" si="1519"/>
        <v>0</v>
      </c>
    </row>
    <row r="132" spans="1:721" ht="68.099999999999994" customHeight="1">
      <c r="B132" s="130">
        <v>3631101401</v>
      </c>
      <c r="C132" s="146" t="s">
        <v>515</v>
      </c>
      <c r="D132" s="171" t="s">
        <v>32</v>
      </c>
      <c r="E132" s="130" t="s">
        <v>4</v>
      </c>
      <c r="F132" s="120"/>
      <c r="G132" s="120"/>
      <c r="H132" s="201">
        <v>2000</v>
      </c>
      <c r="I132" s="120"/>
      <c r="J132" s="120"/>
      <c r="K132" s="209"/>
      <c r="L132" s="205"/>
      <c r="M132" s="205">
        <f t="shared" si="1520"/>
        <v>2000</v>
      </c>
      <c r="N132" s="120"/>
      <c r="O132" s="120"/>
      <c r="P132" s="120"/>
      <c r="Q132" s="120"/>
      <c r="R132" s="120"/>
      <c r="S132" s="209"/>
      <c r="T132" s="205"/>
      <c r="U132" s="205">
        <f t="shared" si="1521"/>
        <v>0</v>
      </c>
      <c r="V132" s="120"/>
      <c r="W132" s="120"/>
      <c r="X132" s="120"/>
      <c r="Y132" s="120"/>
      <c r="Z132" s="120"/>
      <c r="AA132" s="209"/>
      <c r="AB132" s="205"/>
      <c r="AC132" s="205">
        <f t="shared" si="1522"/>
        <v>0</v>
      </c>
      <c r="AD132" s="205"/>
      <c r="AE132" s="205"/>
      <c r="AF132" s="205"/>
      <c r="AG132" s="205"/>
      <c r="AH132" s="205"/>
      <c r="AI132" s="209"/>
      <c r="AJ132" s="205"/>
      <c r="AK132" s="205">
        <f t="shared" si="1523"/>
        <v>0</v>
      </c>
      <c r="AL132" s="205" t="e">
        <f>SUM(#REF!,M132,U132,AC132,AD132:AH132)</f>
        <v>#REF!</v>
      </c>
      <c r="AM132" s="120"/>
      <c r="AN132" s="120"/>
      <c r="AO132" s="120"/>
      <c r="AP132" s="120"/>
      <c r="AQ132" s="120"/>
      <c r="AR132" s="209"/>
      <c r="AS132" s="205"/>
      <c r="AT132" s="205">
        <f t="shared" si="1524"/>
        <v>0</v>
      </c>
      <c r="AU132" s="120"/>
      <c r="AV132" s="120"/>
      <c r="AW132" s="120"/>
      <c r="AX132" s="120"/>
      <c r="AY132" s="120"/>
      <c r="AZ132" s="209"/>
      <c r="BA132" s="205"/>
      <c r="BB132" s="205">
        <f t="shared" si="1525"/>
        <v>0</v>
      </c>
      <c r="BC132" s="120"/>
      <c r="BD132" s="120"/>
      <c r="BE132" s="124">
        <v>1400</v>
      </c>
      <c r="BF132" s="120"/>
      <c r="BG132" s="120"/>
      <c r="BH132" s="209"/>
      <c r="BI132" s="205"/>
      <c r="BJ132" s="205">
        <f t="shared" si="1526"/>
        <v>1400</v>
      </c>
      <c r="BK132" s="120"/>
      <c r="BL132" s="120"/>
      <c r="BM132" s="120"/>
      <c r="BN132" s="120"/>
      <c r="BO132" s="205"/>
      <c r="BP132" s="209"/>
      <c r="BQ132" s="205"/>
      <c r="BR132" s="205">
        <f t="shared" si="1527"/>
        <v>0</v>
      </c>
      <c r="BS132" s="205">
        <f t="shared" si="1427"/>
        <v>1400</v>
      </c>
      <c r="BT132" s="120"/>
      <c r="BU132" s="120"/>
      <c r="BV132" s="120"/>
      <c r="BW132" s="217">
        <v>1500</v>
      </c>
      <c r="BX132" s="120"/>
      <c r="BY132" s="209"/>
      <c r="BZ132" s="205"/>
      <c r="CA132" s="205">
        <f t="shared" si="1528"/>
        <v>1500</v>
      </c>
      <c r="CB132" s="120"/>
      <c r="CC132" s="120"/>
      <c r="CD132" s="120"/>
      <c r="CE132" s="120"/>
      <c r="CF132" s="120"/>
      <c r="CG132" s="209"/>
      <c r="CH132" s="205"/>
      <c r="CI132" s="205">
        <f t="shared" si="1529"/>
        <v>0</v>
      </c>
      <c r="CJ132" s="120"/>
      <c r="CK132" s="120"/>
      <c r="CL132" s="120"/>
      <c r="CM132" s="120"/>
      <c r="CN132" s="120"/>
      <c r="CO132" s="209"/>
      <c r="CP132" s="205"/>
      <c r="CQ132" s="205">
        <f t="shared" si="1530"/>
        <v>0</v>
      </c>
      <c r="CR132" s="120"/>
      <c r="CS132" s="120"/>
      <c r="CT132" s="120"/>
      <c r="CU132" s="120"/>
      <c r="CV132" s="120"/>
      <c r="CW132" s="209"/>
      <c r="CX132" s="205"/>
      <c r="CY132" s="205">
        <f t="shared" si="1531"/>
        <v>0</v>
      </c>
      <c r="CZ132" s="120"/>
      <c r="DA132" s="120"/>
      <c r="DB132" s="120"/>
      <c r="DC132" s="205"/>
      <c r="DD132" s="205"/>
      <c r="DE132" s="209"/>
      <c r="DF132" s="205"/>
      <c r="DG132" s="205">
        <f t="shared" si="1532"/>
        <v>0</v>
      </c>
      <c r="DH132" s="205">
        <f t="shared" si="1428"/>
        <v>1500</v>
      </c>
      <c r="DI132" s="120"/>
      <c r="DJ132" s="120"/>
      <c r="DK132" s="120"/>
      <c r="DL132" s="120"/>
      <c r="DM132" s="120"/>
      <c r="DN132" s="209"/>
      <c r="DO132" s="205"/>
      <c r="DP132" s="205">
        <f t="shared" si="1432"/>
        <v>0</v>
      </c>
      <c r="DQ132" s="120"/>
      <c r="DR132" s="120"/>
      <c r="DS132" s="120"/>
      <c r="DT132" s="120"/>
      <c r="DU132" s="120"/>
      <c r="DV132" s="209"/>
      <c r="DW132" s="205"/>
      <c r="DX132" s="205">
        <f t="shared" si="1433"/>
        <v>0</v>
      </c>
      <c r="DY132" s="120"/>
      <c r="DZ132" s="120"/>
      <c r="EA132" s="120"/>
      <c r="EB132" s="120"/>
      <c r="EC132" s="250">
        <v>700</v>
      </c>
      <c r="ED132" s="209"/>
      <c r="EE132" s="205"/>
      <c r="EF132" s="205">
        <f t="shared" si="1434"/>
        <v>700</v>
      </c>
      <c r="EG132" s="120"/>
      <c r="EH132" s="120"/>
      <c r="EI132" s="120"/>
      <c r="EJ132" s="205"/>
      <c r="EK132" s="205"/>
      <c r="EL132" s="209"/>
      <c r="EM132" s="205"/>
      <c r="EN132" s="205">
        <f t="shared" si="1435"/>
        <v>0</v>
      </c>
      <c r="EO132" s="205">
        <f t="shared" si="1429"/>
        <v>700</v>
      </c>
      <c r="EP132" s="120"/>
      <c r="EQ132" s="120"/>
      <c r="ER132" s="120"/>
      <c r="ES132" s="120"/>
      <c r="ET132" s="120"/>
      <c r="EU132" s="209"/>
      <c r="EV132" s="205"/>
      <c r="EW132" s="205">
        <f t="shared" si="1436"/>
        <v>0</v>
      </c>
      <c r="EX132" s="120"/>
      <c r="EY132" s="120"/>
      <c r="EZ132" s="120"/>
      <c r="FA132" s="120"/>
      <c r="FB132" s="250">
        <v>2200</v>
      </c>
      <c r="FC132" s="209"/>
      <c r="FD132" s="205"/>
      <c r="FE132" s="205">
        <f t="shared" si="1437"/>
        <v>2200</v>
      </c>
      <c r="FF132" s="120"/>
      <c r="FG132" s="120"/>
      <c r="FH132" s="120"/>
      <c r="FI132" s="120"/>
      <c r="FJ132" s="120"/>
      <c r="FK132" s="209"/>
      <c r="FL132" s="205"/>
      <c r="FM132" s="205">
        <f t="shared" si="1438"/>
        <v>0</v>
      </c>
      <c r="FN132" s="120"/>
      <c r="FO132" s="120"/>
      <c r="FP132" s="120"/>
      <c r="FQ132" s="120"/>
      <c r="FR132" s="205"/>
      <c r="FS132" s="209"/>
      <c r="FT132" s="205"/>
      <c r="FU132" s="205">
        <f t="shared" si="1439"/>
        <v>0</v>
      </c>
      <c r="FV132" s="205">
        <f t="shared" si="1430"/>
        <v>2200</v>
      </c>
      <c r="FW132" s="120"/>
      <c r="FX132" s="120"/>
      <c r="FY132" s="120"/>
      <c r="FZ132" s="120"/>
      <c r="GA132" s="120"/>
      <c r="GB132" s="209"/>
      <c r="GC132" s="205"/>
      <c r="GD132" s="205">
        <f t="shared" si="1440"/>
        <v>0</v>
      </c>
      <c r="GE132" s="120"/>
      <c r="GF132" s="120"/>
      <c r="GG132" s="120"/>
      <c r="GH132" s="120"/>
      <c r="GI132" s="120"/>
      <c r="GJ132" s="209"/>
      <c r="GK132" s="205"/>
      <c r="GL132" s="205">
        <f t="shared" si="1441"/>
        <v>0</v>
      </c>
      <c r="GM132" s="120"/>
      <c r="GN132" s="120"/>
      <c r="GO132" s="217">
        <v>600</v>
      </c>
      <c r="GP132" s="120"/>
      <c r="GQ132" s="120"/>
      <c r="GR132" s="209"/>
      <c r="GS132" s="205"/>
      <c r="GT132" s="205">
        <f t="shared" si="1442"/>
        <v>600</v>
      </c>
      <c r="GU132" s="120"/>
      <c r="GV132" s="120"/>
      <c r="GW132" s="120"/>
      <c r="GX132" s="120"/>
      <c r="GY132" s="120"/>
      <c r="GZ132" s="209"/>
      <c r="HA132" s="205"/>
      <c r="HB132" s="205">
        <f t="shared" si="1443"/>
        <v>0</v>
      </c>
      <c r="HC132" s="120"/>
      <c r="HD132" s="120"/>
      <c r="HE132" s="250">
        <v>1830</v>
      </c>
      <c r="HF132" s="120"/>
      <c r="HG132" s="120"/>
      <c r="HH132" s="209"/>
      <c r="HI132" s="205"/>
      <c r="HJ132" s="205">
        <f t="shared" si="1444"/>
        <v>1830</v>
      </c>
      <c r="HK132" s="205">
        <f t="shared" si="1431"/>
        <v>600</v>
      </c>
      <c r="HL132" s="124"/>
      <c r="HM132" s="120"/>
      <c r="HN132" s="120"/>
      <c r="HO132" s="120"/>
      <c r="HP132" s="120"/>
      <c r="HQ132" s="205"/>
      <c r="HR132" s="205"/>
      <c r="HS132" s="205">
        <f t="shared" si="1445"/>
        <v>0</v>
      </c>
      <c r="HT132" s="120"/>
      <c r="HU132" s="120"/>
      <c r="HV132" s="120"/>
      <c r="HW132" s="120"/>
      <c r="HX132" s="120"/>
      <c r="HY132" s="205"/>
      <c r="HZ132" s="205"/>
      <c r="IA132" s="205">
        <f t="shared" si="1446"/>
        <v>0</v>
      </c>
      <c r="IB132" s="120"/>
      <c r="IC132" s="120"/>
      <c r="ID132" s="120"/>
      <c r="IE132" s="120"/>
      <c r="IF132" s="120"/>
      <c r="IG132" s="205"/>
      <c r="IH132" s="205"/>
      <c r="II132" s="205">
        <f t="shared" si="1447"/>
        <v>0</v>
      </c>
      <c r="IJ132" s="250">
        <v>1500</v>
      </c>
      <c r="IK132" s="120"/>
      <c r="IL132" s="120"/>
      <c r="IM132" s="120"/>
      <c r="IN132" s="120"/>
      <c r="IO132" s="205"/>
      <c r="IP132" s="205"/>
      <c r="IQ132" s="205">
        <f t="shared" si="1448"/>
        <v>1500</v>
      </c>
      <c r="IR132" s="205">
        <f t="shared" si="1449"/>
        <v>3330</v>
      </c>
      <c r="IS132" s="120"/>
      <c r="IT132" s="120"/>
      <c r="IU132" s="120"/>
      <c r="IV132" s="120"/>
      <c r="IW132" s="120"/>
      <c r="IX132" s="205"/>
      <c r="IY132" s="205"/>
      <c r="IZ132" s="205">
        <f t="shared" si="1450"/>
        <v>0</v>
      </c>
      <c r="JA132" s="120"/>
      <c r="JB132" s="120"/>
      <c r="JC132" s="120"/>
      <c r="JD132" s="120"/>
      <c r="JE132" s="120"/>
      <c r="JF132" s="205"/>
      <c r="JG132" s="205"/>
      <c r="JH132" s="205">
        <f t="shared" si="1451"/>
        <v>0</v>
      </c>
      <c r="JI132" s="120"/>
      <c r="JJ132" s="120"/>
      <c r="JK132" s="120"/>
      <c r="JL132" s="120"/>
      <c r="JM132" s="120"/>
      <c r="JN132" s="205"/>
      <c r="JO132" s="205"/>
      <c r="JP132" s="205">
        <f t="shared" si="1452"/>
        <v>0</v>
      </c>
      <c r="JQ132" s="120"/>
      <c r="JR132" s="120"/>
      <c r="JS132" s="201">
        <v>1900</v>
      </c>
      <c r="JT132" s="120"/>
      <c r="JU132" s="120"/>
      <c r="JV132" s="205"/>
      <c r="JW132" s="205"/>
      <c r="JX132" s="205">
        <f t="shared" si="1453"/>
        <v>1900</v>
      </c>
      <c r="JY132" s="205">
        <f t="shared" si="1454"/>
        <v>1900</v>
      </c>
      <c r="JZ132" s="120"/>
      <c r="KA132" s="120"/>
      <c r="KB132" s="120"/>
      <c r="KC132" s="120"/>
      <c r="KD132" s="120"/>
      <c r="KE132" s="205"/>
      <c r="KF132" s="205"/>
      <c r="KG132" s="205">
        <f t="shared" si="1455"/>
        <v>0</v>
      </c>
      <c r="KH132" s="120"/>
      <c r="KI132" s="120"/>
      <c r="KJ132" s="120"/>
      <c r="KK132" s="120"/>
      <c r="KL132" s="120"/>
      <c r="KM132" s="205"/>
      <c r="KN132" s="205"/>
      <c r="KO132" s="205">
        <f t="shared" si="1456"/>
        <v>0</v>
      </c>
      <c r="KP132" s="120"/>
      <c r="KQ132" s="120"/>
      <c r="KR132" s="120"/>
      <c r="KS132" s="124">
        <v>2000</v>
      </c>
      <c r="KT132" s="120"/>
      <c r="KU132" s="205"/>
      <c r="KV132" s="205"/>
      <c r="KW132" s="205">
        <f t="shared" si="1457"/>
        <v>2000</v>
      </c>
      <c r="KX132" s="120"/>
      <c r="KY132" s="120"/>
      <c r="KZ132" s="120"/>
      <c r="LA132" s="120"/>
      <c r="LB132" s="120"/>
      <c r="LC132" s="205"/>
      <c r="LD132" s="205"/>
      <c r="LE132" s="205">
        <f t="shared" si="1458"/>
        <v>0</v>
      </c>
      <c r="LF132" s="205"/>
      <c r="LG132" s="120"/>
      <c r="LH132" s="120"/>
      <c r="LI132" s="120"/>
      <c r="LJ132" s="120"/>
      <c r="LK132" s="205"/>
      <c r="LL132" s="205"/>
      <c r="LM132" s="205">
        <f t="shared" si="1459"/>
        <v>0</v>
      </c>
      <c r="LN132" s="205">
        <f t="shared" si="1460"/>
        <v>2000</v>
      </c>
      <c r="LO132" s="205"/>
      <c r="LP132" s="120"/>
      <c r="LQ132" s="120"/>
      <c r="LR132" s="120"/>
      <c r="LS132" s="205"/>
      <c r="LT132" s="205"/>
      <c r="LU132" s="205"/>
      <c r="LV132" s="205">
        <f t="shared" si="1461"/>
        <v>0</v>
      </c>
      <c r="LW132" s="120"/>
      <c r="LX132" s="120"/>
      <c r="LY132" s="120"/>
      <c r="LZ132" s="120"/>
      <c r="MA132" s="120"/>
      <c r="MB132" s="205"/>
      <c r="MC132" s="205"/>
      <c r="MD132" s="205">
        <f t="shared" si="1462"/>
        <v>0</v>
      </c>
      <c r="ME132" s="120"/>
      <c r="MF132" s="120"/>
      <c r="MG132" s="201">
        <v>2500</v>
      </c>
      <c r="MH132" s="120"/>
      <c r="MI132" s="205"/>
      <c r="MJ132" s="205"/>
      <c r="MK132" s="205"/>
      <c r="ML132" s="205">
        <f t="shared" si="1463"/>
        <v>2500</v>
      </c>
      <c r="MM132" s="120"/>
      <c r="MN132" s="120"/>
      <c r="MO132" s="120"/>
      <c r="MP132" s="120"/>
      <c r="MQ132" s="120"/>
      <c r="MR132" s="205"/>
      <c r="MS132" s="205"/>
      <c r="MT132" s="205">
        <f t="shared" si="1464"/>
        <v>0</v>
      </c>
      <c r="MU132" s="205">
        <f t="shared" si="1465"/>
        <v>2500</v>
      </c>
      <c r="MV132" s="120"/>
      <c r="MW132" s="120"/>
      <c r="MX132" s="120"/>
      <c r="MY132" s="120"/>
      <c r="MZ132" s="120"/>
      <c r="NA132" s="205"/>
      <c r="NB132" s="205"/>
      <c r="NC132" s="205">
        <f t="shared" si="1466"/>
        <v>0</v>
      </c>
      <c r="ND132" s="120"/>
      <c r="NE132" s="120"/>
      <c r="NF132" s="120"/>
      <c r="NG132" s="120"/>
      <c r="NH132" s="120"/>
      <c r="NI132" s="205"/>
      <c r="NJ132" s="205"/>
      <c r="NK132" s="205">
        <f t="shared" si="1467"/>
        <v>0</v>
      </c>
      <c r="NL132" s="120"/>
      <c r="NM132" s="120"/>
      <c r="NN132" s="120"/>
      <c r="NO132" s="120"/>
      <c r="NP132" s="120"/>
      <c r="NQ132" s="205"/>
      <c r="NR132" s="205"/>
      <c r="NS132" s="205">
        <f t="shared" si="1468"/>
        <v>0</v>
      </c>
      <c r="NT132" s="120"/>
      <c r="NU132" s="120"/>
      <c r="NV132" s="217">
        <v>2100</v>
      </c>
      <c r="NW132" s="120"/>
      <c r="NX132" s="120"/>
      <c r="NY132" s="205"/>
      <c r="NZ132" s="205"/>
      <c r="OA132" s="205">
        <f t="shared" si="1469"/>
        <v>2100</v>
      </c>
      <c r="OB132" s="205">
        <f t="shared" si="1470"/>
        <v>2100</v>
      </c>
      <c r="OC132" s="120"/>
      <c r="OD132" s="120"/>
      <c r="OE132" s="120"/>
      <c r="OF132" s="120"/>
      <c r="OG132" s="120"/>
      <c r="OH132" s="205"/>
      <c r="OI132" s="205"/>
      <c r="OJ132" s="205">
        <f t="shared" si="1471"/>
        <v>0</v>
      </c>
      <c r="OK132" s="120"/>
      <c r="OL132" s="120"/>
      <c r="OM132" s="120"/>
      <c r="ON132" s="120"/>
      <c r="OO132" s="120"/>
      <c r="OP132" s="205"/>
      <c r="OQ132" s="205"/>
      <c r="OR132" s="205">
        <f t="shared" si="1472"/>
        <v>0</v>
      </c>
      <c r="OS132" s="120"/>
      <c r="OT132" s="120"/>
      <c r="OU132" s="120"/>
      <c r="OV132" s="120"/>
      <c r="OW132" s="120"/>
      <c r="OX132" s="205"/>
      <c r="OY132" s="205"/>
      <c r="OZ132" s="205">
        <f t="shared" si="1473"/>
        <v>0</v>
      </c>
      <c r="PA132" s="120"/>
      <c r="PB132" s="120"/>
      <c r="PC132" s="120"/>
      <c r="PD132" s="205"/>
      <c r="PE132" s="217"/>
      <c r="PF132" s="205"/>
      <c r="PG132" s="205"/>
      <c r="PH132" s="205">
        <f t="shared" si="1474"/>
        <v>0</v>
      </c>
      <c r="PI132" s="120"/>
      <c r="PJ132" s="120"/>
      <c r="PK132" s="120"/>
      <c r="PL132" s="205"/>
      <c r="PM132" s="217"/>
      <c r="PN132" s="205"/>
      <c r="PO132" s="205"/>
      <c r="PP132" s="205">
        <f t="shared" si="1475"/>
        <v>0</v>
      </c>
      <c r="PQ132" s="205">
        <f t="shared" si="1476"/>
        <v>0</v>
      </c>
      <c r="PR132" s="207"/>
      <c r="PS132" s="207"/>
      <c r="PT132" s="207"/>
      <c r="PU132" s="207"/>
      <c r="PV132" s="207"/>
      <c r="PW132" s="272"/>
      <c r="PX132" s="272"/>
      <c r="PY132" s="205">
        <f t="shared" si="1477"/>
        <v>0</v>
      </c>
      <c r="PZ132" s="207"/>
      <c r="QA132" s="207"/>
      <c r="QB132" s="195">
        <v>3100</v>
      </c>
      <c r="QC132" s="120"/>
      <c r="QD132" s="207"/>
      <c r="QE132" s="272"/>
      <c r="QF132" s="272"/>
      <c r="QG132" s="205">
        <f t="shared" si="1478"/>
        <v>3100</v>
      </c>
      <c r="QH132" s="207"/>
      <c r="QI132" s="207"/>
      <c r="QJ132" s="294"/>
      <c r="QK132" s="207"/>
      <c r="QL132" s="207"/>
      <c r="QM132" s="272"/>
      <c r="QN132" s="272"/>
      <c r="QO132" s="205">
        <f t="shared" si="1479"/>
        <v>0</v>
      </c>
      <c r="QP132" s="207"/>
      <c r="QQ132" s="207"/>
      <c r="QR132" s="207"/>
      <c r="QS132" s="207"/>
      <c r="QT132" s="207"/>
      <c r="QU132" s="272"/>
      <c r="QV132" s="272"/>
      <c r="QW132" s="205">
        <f t="shared" si="1480"/>
        <v>0</v>
      </c>
      <c r="QX132" s="205">
        <f t="shared" si="1481"/>
        <v>3100</v>
      </c>
      <c r="QY132" s="207"/>
      <c r="QZ132" s="207"/>
      <c r="RA132" s="207"/>
      <c r="RB132" s="207"/>
      <c r="RC132" s="207"/>
      <c r="RD132" s="272"/>
      <c r="RE132" s="272"/>
      <c r="RF132" s="205">
        <f t="shared" si="1482"/>
        <v>0</v>
      </c>
      <c r="RG132" s="207"/>
      <c r="RH132" s="207"/>
      <c r="RI132" s="195">
        <v>1300</v>
      </c>
      <c r="RJ132" s="207"/>
      <c r="RK132" s="207"/>
      <c r="RL132" s="272"/>
      <c r="RM132" s="272"/>
      <c r="RN132" s="205">
        <f t="shared" si="1483"/>
        <v>1300</v>
      </c>
      <c r="RO132" s="272"/>
      <c r="RP132" s="272"/>
      <c r="RQ132" s="272"/>
      <c r="RR132" s="272"/>
      <c r="RS132" s="272"/>
      <c r="RT132" s="272"/>
      <c r="RU132" s="272"/>
      <c r="RV132" s="205">
        <f t="shared" si="1484"/>
        <v>0</v>
      </c>
      <c r="RW132" s="207"/>
      <c r="RX132" s="207"/>
      <c r="RY132" s="207"/>
      <c r="RZ132" s="207"/>
      <c r="SA132" s="272"/>
      <c r="SB132" s="272"/>
      <c r="SC132" s="272"/>
      <c r="SD132" s="205">
        <f t="shared" si="1485"/>
        <v>0</v>
      </c>
      <c r="SE132" s="205">
        <f t="shared" si="1486"/>
        <v>1300</v>
      </c>
      <c r="SF132" s="207"/>
      <c r="SG132" s="207"/>
      <c r="SH132" s="195">
        <v>3000</v>
      </c>
      <c r="SI132" s="207"/>
      <c r="SJ132" s="207"/>
      <c r="SK132" s="272"/>
      <c r="SL132" s="272"/>
      <c r="SM132" s="205">
        <f t="shared" si="1487"/>
        <v>3000</v>
      </c>
      <c r="SN132" s="207"/>
      <c r="SO132" s="207"/>
      <c r="SP132" s="120"/>
      <c r="SQ132" s="207"/>
      <c r="SR132" s="207"/>
      <c r="SS132" s="272"/>
      <c r="ST132" s="272"/>
      <c r="SU132" s="205">
        <f t="shared" si="1488"/>
        <v>0</v>
      </c>
      <c r="SV132" s="207"/>
      <c r="SW132" s="207"/>
      <c r="SX132" s="207"/>
      <c r="SY132" s="207"/>
      <c r="SZ132" s="207"/>
      <c r="TA132" s="272"/>
      <c r="TB132" s="272"/>
      <c r="TC132" s="205">
        <f t="shared" si="1489"/>
        <v>0</v>
      </c>
      <c r="TD132" s="207"/>
      <c r="TE132" s="207"/>
      <c r="TF132" s="207"/>
      <c r="TG132" s="207"/>
      <c r="TH132" s="207"/>
      <c r="TI132" s="272"/>
      <c r="TJ132" s="272"/>
      <c r="TK132" s="205">
        <f t="shared" si="1490"/>
        <v>0</v>
      </c>
      <c r="TL132" s="207"/>
      <c r="TM132" s="207"/>
      <c r="TN132" s="207"/>
      <c r="TO132" s="207"/>
      <c r="TP132" s="272"/>
      <c r="TQ132" s="272"/>
      <c r="TR132" s="272"/>
      <c r="TS132" s="205">
        <f t="shared" si="1491"/>
        <v>0</v>
      </c>
      <c r="TT132" s="205">
        <f t="shared" si="1492"/>
        <v>3000</v>
      </c>
      <c r="TU132" s="272"/>
      <c r="TV132" s="207"/>
      <c r="TW132" s="207"/>
      <c r="TX132" s="207"/>
      <c r="TY132" s="207"/>
      <c r="TZ132" s="272"/>
      <c r="UA132" s="272"/>
      <c r="UB132" s="205">
        <f t="shared" si="1493"/>
        <v>0</v>
      </c>
      <c r="UC132" s="207"/>
      <c r="UD132" s="207"/>
      <c r="UE132" s="207"/>
      <c r="UF132" s="207"/>
      <c r="UG132" s="207"/>
      <c r="UH132" s="272"/>
      <c r="UI132" s="272"/>
      <c r="UJ132" s="205">
        <f>SUM(UD132:UI132)</f>
        <v>0</v>
      </c>
      <c r="UK132" s="207"/>
      <c r="UL132" s="207"/>
      <c r="UM132" s="201">
        <v>2100</v>
      </c>
      <c r="UN132" s="207"/>
      <c r="UO132" s="207"/>
      <c r="UP132" s="272"/>
      <c r="UQ132" s="272"/>
      <c r="UR132" s="205">
        <f>SUM(UK132:UQ132)</f>
        <v>2100</v>
      </c>
      <c r="US132" s="207"/>
      <c r="UT132" s="207"/>
      <c r="UU132" s="207"/>
      <c r="UV132" s="207"/>
      <c r="UW132" s="272"/>
      <c r="UX132" s="272"/>
      <c r="UY132" s="272"/>
      <c r="UZ132" s="205">
        <f t="shared" si="1496"/>
        <v>0</v>
      </c>
      <c r="VA132" s="205">
        <f t="shared" si="1497"/>
        <v>2100</v>
      </c>
      <c r="VB132" s="207"/>
      <c r="VC132" s="207"/>
      <c r="VD132" s="207"/>
      <c r="VE132" s="207"/>
      <c r="VF132" s="207"/>
      <c r="VG132" s="272"/>
      <c r="VH132" s="272"/>
      <c r="VI132" s="205">
        <f t="shared" si="1498"/>
        <v>0</v>
      </c>
      <c r="VJ132" s="207"/>
      <c r="VK132" s="207"/>
      <c r="VL132" s="207"/>
      <c r="VM132" s="207"/>
      <c r="VN132" s="207"/>
      <c r="VO132" s="272"/>
      <c r="VP132" s="272"/>
      <c r="VQ132" s="205">
        <f t="shared" si="1499"/>
        <v>0</v>
      </c>
      <c r="VR132" s="207"/>
      <c r="VS132" s="207"/>
      <c r="VT132" s="195">
        <v>3400</v>
      </c>
      <c r="VU132" s="207"/>
      <c r="VV132" s="207"/>
      <c r="VW132" s="272"/>
      <c r="VX132" s="272"/>
      <c r="VY132" s="205">
        <f t="shared" si="1500"/>
        <v>3400</v>
      </c>
      <c r="VZ132" s="207"/>
      <c r="WA132" s="207"/>
      <c r="WB132" s="207"/>
      <c r="WC132" s="207"/>
      <c r="WD132" s="207"/>
      <c r="WE132" s="272"/>
      <c r="WF132" s="272"/>
      <c r="WG132" s="205">
        <f t="shared" si="1501"/>
        <v>0</v>
      </c>
      <c r="WH132" s="205">
        <f t="shared" si="1502"/>
        <v>3400</v>
      </c>
      <c r="WI132" s="207"/>
      <c r="WJ132" s="207"/>
      <c r="WK132" s="207"/>
      <c r="WL132" s="207"/>
      <c r="WM132" s="207"/>
      <c r="WN132" s="272"/>
      <c r="WO132" s="272"/>
      <c r="WP132" s="205">
        <f t="shared" si="1503"/>
        <v>0</v>
      </c>
      <c r="WQ132" s="207"/>
      <c r="WR132" s="207"/>
      <c r="WS132" s="120">
        <v>3100</v>
      </c>
      <c r="WT132" s="207"/>
      <c r="WU132" s="207"/>
      <c r="WV132" s="272"/>
      <c r="WW132" s="272"/>
      <c r="WX132" s="205">
        <f t="shared" si="1504"/>
        <v>3100</v>
      </c>
      <c r="WY132" s="207"/>
      <c r="WZ132" s="207"/>
      <c r="XA132" s="207"/>
      <c r="XB132" s="207"/>
      <c r="XC132" s="272"/>
      <c r="XD132" s="272"/>
      <c r="XE132" s="272"/>
      <c r="XF132" s="205">
        <f t="shared" si="1505"/>
        <v>0</v>
      </c>
      <c r="XG132" s="207"/>
      <c r="XH132" s="207"/>
      <c r="XI132" s="207"/>
      <c r="XJ132" s="207"/>
      <c r="XK132" s="207"/>
      <c r="XL132" s="272"/>
      <c r="XM132" s="272"/>
      <c r="XN132" s="205">
        <f t="shared" si="1506"/>
        <v>0</v>
      </c>
      <c r="XO132" s="207"/>
      <c r="XP132" s="207"/>
      <c r="XQ132" s="207"/>
      <c r="XR132" s="207"/>
      <c r="XS132" s="207"/>
      <c r="XT132" s="272"/>
      <c r="XU132" s="272"/>
      <c r="XV132" s="205">
        <f t="shared" si="1507"/>
        <v>0</v>
      </c>
      <c r="XW132" s="205">
        <f t="shared" si="1508"/>
        <v>3100</v>
      </c>
      <c r="XX132" s="207"/>
      <c r="XY132" s="207"/>
      <c r="XZ132" s="207"/>
      <c r="YA132" s="207"/>
      <c r="YB132" s="207"/>
      <c r="YC132" s="272"/>
      <c r="YD132" s="272"/>
      <c r="YE132" s="205">
        <f t="shared" si="1509"/>
        <v>0</v>
      </c>
      <c r="YF132" s="207"/>
      <c r="YG132" s="207"/>
      <c r="YH132" s="207"/>
      <c r="YI132" s="207"/>
      <c r="YJ132" s="207"/>
      <c r="YK132" s="272"/>
      <c r="YL132" s="272"/>
      <c r="YM132" s="205">
        <f t="shared" si="1510"/>
        <v>0</v>
      </c>
      <c r="YN132" s="207"/>
      <c r="YO132" s="207"/>
      <c r="YP132" s="207"/>
      <c r="YQ132" s="207"/>
      <c r="YR132" s="207"/>
      <c r="YS132" s="272"/>
      <c r="YT132" s="272"/>
      <c r="YU132" s="205">
        <f t="shared" si="1511"/>
        <v>0</v>
      </c>
      <c r="YV132" s="207"/>
      <c r="YW132" s="207"/>
      <c r="YX132" s="207"/>
      <c r="YY132" s="207"/>
      <c r="YZ132" s="207"/>
      <c r="ZA132" s="272"/>
      <c r="ZB132" s="272"/>
      <c r="ZC132" s="205">
        <f t="shared" si="1512"/>
        <v>0</v>
      </c>
      <c r="ZD132" s="205">
        <f t="shared" si="1513"/>
        <v>3100</v>
      </c>
      <c r="ZE132" s="207"/>
      <c r="ZF132" s="207"/>
      <c r="ZG132" s="207"/>
      <c r="ZH132" s="207"/>
      <c r="ZI132" s="207"/>
      <c r="ZJ132" s="272"/>
      <c r="ZK132" s="272"/>
      <c r="ZL132" s="205">
        <f t="shared" si="1514"/>
        <v>0</v>
      </c>
      <c r="ZM132" s="207"/>
      <c r="ZN132" s="207"/>
      <c r="ZO132" s="207"/>
      <c r="ZP132" s="207"/>
      <c r="ZQ132" s="207"/>
      <c r="ZR132" s="272"/>
      <c r="ZS132" s="272"/>
      <c r="ZT132" s="205">
        <f t="shared" si="1515"/>
        <v>0</v>
      </c>
      <c r="ZU132" s="207"/>
      <c r="ZV132" s="207"/>
      <c r="ZW132" s="207"/>
      <c r="ZX132" s="207"/>
      <c r="ZY132" s="207"/>
      <c r="ZZ132" s="272"/>
      <c r="AAA132" s="272"/>
      <c r="AAB132" s="205">
        <f t="shared" si="1516"/>
        <v>0</v>
      </c>
      <c r="AAC132" s="207"/>
      <c r="AAD132" s="207"/>
      <c r="AAE132" s="207"/>
      <c r="AAF132" s="207"/>
      <c r="AAG132" s="207"/>
      <c r="AAH132" s="272"/>
      <c r="AAI132" s="272"/>
      <c r="AAJ132" s="205">
        <f t="shared" si="1517"/>
        <v>0</v>
      </c>
      <c r="AAK132" s="207"/>
      <c r="AAL132" s="207"/>
      <c r="AAM132" s="207"/>
      <c r="AAN132" s="207"/>
      <c r="AAO132" s="207"/>
      <c r="AAP132" s="272"/>
      <c r="AAQ132" s="272"/>
      <c r="AAR132" s="205">
        <f t="shared" si="1518"/>
        <v>0</v>
      </c>
      <c r="AAS132" s="205">
        <f t="shared" si="1519"/>
        <v>0</v>
      </c>
    </row>
    <row r="133" spans="1:721" ht="68.099999999999994" customHeight="1">
      <c r="B133" s="130">
        <v>3631101411</v>
      </c>
      <c r="C133" s="335" t="s">
        <v>516</v>
      </c>
      <c r="D133" s="196" t="s">
        <v>309</v>
      </c>
      <c r="E133" s="130" t="s">
        <v>4</v>
      </c>
      <c r="F133" s="120"/>
      <c r="G133" s="120"/>
      <c r="H133" s="201">
        <v>1000</v>
      </c>
      <c r="I133" s="120"/>
      <c r="J133" s="120"/>
      <c r="K133" s="209"/>
      <c r="L133" s="205"/>
      <c r="M133" s="205">
        <f t="shared" si="1520"/>
        <v>1000</v>
      </c>
      <c r="N133" s="120"/>
      <c r="O133" s="120"/>
      <c r="P133" s="120"/>
      <c r="Q133" s="120"/>
      <c r="R133" s="120"/>
      <c r="S133" s="209"/>
      <c r="T133" s="205"/>
      <c r="U133" s="205">
        <f t="shared" si="1521"/>
        <v>0</v>
      </c>
      <c r="V133" s="120"/>
      <c r="W133" s="120"/>
      <c r="X133" s="120"/>
      <c r="Y133" s="120"/>
      <c r="Z133" s="120"/>
      <c r="AA133" s="209"/>
      <c r="AB133" s="205"/>
      <c r="AC133" s="205">
        <f t="shared" si="1522"/>
        <v>0</v>
      </c>
      <c r="AD133" s="205"/>
      <c r="AE133" s="205"/>
      <c r="AF133" s="205"/>
      <c r="AG133" s="205"/>
      <c r="AH133" s="205"/>
      <c r="AI133" s="209"/>
      <c r="AJ133" s="205"/>
      <c r="AK133" s="205">
        <f t="shared" si="1523"/>
        <v>0</v>
      </c>
      <c r="AL133" s="205" t="e">
        <f>SUM(#REF!,M133,U133,AC133,AD133:AH133)</f>
        <v>#REF!</v>
      </c>
      <c r="AM133" s="120"/>
      <c r="AN133" s="120"/>
      <c r="AO133" s="120"/>
      <c r="AP133" s="120"/>
      <c r="AQ133" s="120"/>
      <c r="AR133" s="209"/>
      <c r="AS133" s="205"/>
      <c r="AT133" s="205">
        <f t="shared" si="1524"/>
        <v>0</v>
      </c>
      <c r="AU133" s="120"/>
      <c r="AV133" s="120"/>
      <c r="AW133" s="120"/>
      <c r="AX133" s="120"/>
      <c r="AY133" s="120"/>
      <c r="AZ133" s="209"/>
      <c r="BA133" s="205"/>
      <c r="BB133" s="205">
        <f t="shared" si="1525"/>
        <v>0</v>
      </c>
      <c r="BC133" s="120"/>
      <c r="BD133" s="120"/>
      <c r="BE133" s="124">
        <v>600</v>
      </c>
      <c r="BF133" s="120"/>
      <c r="BG133" s="120"/>
      <c r="BH133" s="209"/>
      <c r="BI133" s="205"/>
      <c r="BJ133" s="205">
        <f t="shared" si="1526"/>
        <v>600</v>
      </c>
      <c r="BK133" s="120"/>
      <c r="BL133" s="120"/>
      <c r="BM133" s="120"/>
      <c r="BN133" s="120"/>
      <c r="BO133" s="205"/>
      <c r="BP133" s="209"/>
      <c r="BQ133" s="205"/>
      <c r="BR133" s="205">
        <f t="shared" si="1527"/>
        <v>0</v>
      </c>
      <c r="BS133" s="205">
        <f t="shared" si="1427"/>
        <v>600</v>
      </c>
      <c r="BT133" s="120"/>
      <c r="BU133" s="120"/>
      <c r="BV133" s="120"/>
      <c r="BW133" s="217">
        <v>1500</v>
      </c>
      <c r="BX133" s="120"/>
      <c r="BY133" s="209"/>
      <c r="BZ133" s="205"/>
      <c r="CA133" s="205">
        <f t="shared" si="1528"/>
        <v>1500</v>
      </c>
      <c r="CB133" s="120"/>
      <c r="CC133" s="120"/>
      <c r="CD133" s="120"/>
      <c r="CE133" s="120"/>
      <c r="CF133" s="120"/>
      <c r="CG133" s="209"/>
      <c r="CH133" s="205"/>
      <c r="CI133" s="205">
        <f t="shared" si="1529"/>
        <v>0</v>
      </c>
      <c r="CJ133" s="120"/>
      <c r="CK133" s="120"/>
      <c r="CL133" s="120"/>
      <c r="CM133" s="120"/>
      <c r="CN133" s="120"/>
      <c r="CO133" s="209"/>
      <c r="CP133" s="205"/>
      <c r="CQ133" s="205">
        <f t="shared" si="1530"/>
        <v>0</v>
      </c>
      <c r="CR133" s="120"/>
      <c r="CS133" s="120"/>
      <c r="CT133" s="120"/>
      <c r="CU133" s="120"/>
      <c r="CV133" s="120"/>
      <c r="CW133" s="209"/>
      <c r="CX133" s="205"/>
      <c r="CY133" s="205">
        <f t="shared" si="1531"/>
        <v>0</v>
      </c>
      <c r="CZ133" s="120"/>
      <c r="DA133" s="120"/>
      <c r="DB133" s="120"/>
      <c r="DC133" s="205"/>
      <c r="DD133" s="205"/>
      <c r="DE133" s="209"/>
      <c r="DF133" s="205"/>
      <c r="DG133" s="205">
        <f t="shared" si="1532"/>
        <v>0</v>
      </c>
      <c r="DH133" s="205">
        <f t="shared" si="1428"/>
        <v>1500</v>
      </c>
      <c r="DI133" s="120"/>
      <c r="DJ133" s="120"/>
      <c r="DK133" s="120"/>
      <c r="DL133" s="120"/>
      <c r="DM133" s="120"/>
      <c r="DN133" s="209"/>
      <c r="DO133" s="205"/>
      <c r="DP133" s="205">
        <f t="shared" si="1432"/>
        <v>0</v>
      </c>
      <c r="DQ133" s="120"/>
      <c r="DR133" s="120"/>
      <c r="DS133" s="120"/>
      <c r="DT133" s="120"/>
      <c r="DU133" s="120"/>
      <c r="DV133" s="209"/>
      <c r="DW133" s="205"/>
      <c r="DX133" s="205">
        <f t="shared" si="1433"/>
        <v>0</v>
      </c>
      <c r="DY133" s="120"/>
      <c r="DZ133" s="120"/>
      <c r="EA133" s="120"/>
      <c r="EB133" s="120"/>
      <c r="EC133" s="250">
        <v>300</v>
      </c>
      <c r="ED133" s="209"/>
      <c r="EE133" s="205"/>
      <c r="EF133" s="205">
        <f t="shared" si="1434"/>
        <v>300</v>
      </c>
      <c r="EG133" s="120"/>
      <c r="EH133" s="120"/>
      <c r="EI133" s="120"/>
      <c r="EJ133" s="205"/>
      <c r="EK133" s="205"/>
      <c r="EL133" s="209"/>
      <c r="EM133" s="205"/>
      <c r="EN133" s="205">
        <f t="shared" si="1435"/>
        <v>0</v>
      </c>
      <c r="EO133" s="205">
        <f t="shared" si="1429"/>
        <v>300</v>
      </c>
      <c r="EP133" s="120"/>
      <c r="EQ133" s="120"/>
      <c r="ER133" s="120"/>
      <c r="ES133" s="120"/>
      <c r="ET133" s="120"/>
      <c r="EU133" s="209"/>
      <c r="EV133" s="205"/>
      <c r="EW133" s="205">
        <f t="shared" si="1436"/>
        <v>0</v>
      </c>
      <c r="EX133" s="120"/>
      <c r="EY133" s="120"/>
      <c r="EZ133" s="120"/>
      <c r="FA133" s="120"/>
      <c r="FB133" s="250">
        <v>800</v>
      </c>
      <c r="FC133" s="209"/>
      <c r="FD133" s="205"/>
      <c r="FE133" s="205">
        <f t="shared" si="1437"/>
        <v>800</v>
      </c>
      <c r="FF133" s="120"/>
      <c r="FG133" s="120"/>
      <c r="FH133" s="120"/>
      <c r="FI133" s="258" t="s">
        <v>737</v>
      </c>
      <c r="FJ133" s="120"/>
      <c r="FK133" s="209"/>
      <c r="FL133" s="205"/>
      <c r="FM133" s="205">
        <f t="shared" si="1438"/>
        <v>0</v>
      </c>
      <c r="FN133" s="120"/>
      <c r="FO133" s="120"/>
      <c r="FP133" s="120"/>
      <c r="FQ133" s="120"/>
      <c r="FR133" s="205"/>
      <c r="FS133" s="209"/>
      <c r="FT133" s="205"/>
      <c r="FU133" s="205">
        <f t="shared" si="1439"/>
        <v>0</v>
      </c>
      <c r="FV133" s="205">
        <f t="shared" si="1430"/>
        <v>800</v>
      </c>
      <c r="FW133" s="120"/>
      <c r="FX133" s="120"/>
      <c r="FY133" s="120"/>
      <c r="FZ133" s="120"/>
      <c r="GA133" s="120"/>
      <c r="GB133" s="209"/>
      <c r="GC133" s="205"/>
      <c r="GD133" s="205">
        <f t="shared" si="1440"/>
        <v>0</v>
      </c>
      <c r="GE133" s="120"/>
      <c r="GF133" s="120"/>
      <c r="GG133" s="120"/>
      <c r="GH133" s="120"/>
      <c r="GI133" s="120"/>
      <c r="GJ133" s="209"/>
      <c r="GK133" s="205"/>
      <c r="GL133" s="205">
        <f t="shared" si="1441"/>
        <v>0</v>
      </c>
      <c r="GM133" s="120"/>
      <c r="GN133" s="120"/>
      <c r="GO133" s="217">
        <v>1400</v>
      </c>
      <c r="GP133" s="120"/>
      <c r="GQ133" s="120"/>
      <c r="GR133" s="209"/>
      <c r="GS133" s="205"/>
      <c r="GT133" s="205">
        <f t="shared" si="1442"/>
        <v>1400</v>
      </c>
      <c r="GU133" s="120"/>
      <c r="GV133" s="120"/>
      <c r="GW133" s="120"/>
      <c r="GX133" s="120"/>
      <c r="GY133" s="120"/>
      <c r="GZ133" s="209"/>
      <c r="HA133" s="205"/>
      <c r="HB133" s="205">
        <f t="shared" si="1443"/>
        <v>0</v>
      </c>
      <c r="HC133" s="120"/>
      <c r="HD133" s="120"/>
      <c r="HE133" s="120"/>
      <c r="HF133" s="120"/>
      <c r="HG133" s="120"/>
      <c r="HH133" s="209"/>
      <c r="HI133" s="205"/>
      <c r="HJ133" s="205">
        <f t="shared" si="1444"/>
        <v>0</v>
      </c>
      <c r="HK133" s="205">
        <f t="shared" si="1431"/>
        <v>1400</v>
      </c>
      <c r="HL133" s="124"/>
      <c r="HM133" s="120"/>
      <c r="HN133" s="120"/>
      <c r="HO133" s="120"/>
      <c r="HP133" s="120"/>
      <c r="HQ133" s="205"/>
      <c r="HR133" s="205"/>
      <c r="HS133" s="205">
        <f t="shared" si="1445"/>
        <v>0</v>
      </c>
      <c r="HT133" s="120"/>
      <c r="HU133" s="120"/>
      <c r="HV133" s="120"/>
      <c r="HW133" s="120"/>
      <c r="HX133" s="120"/>
      <c r="HY133" s="205"/>
      <c r="HZ133" s="205"/>
      <c r="IA133" s="205">
        <f t="shared" si="1446"/>
        <v>0</v>
      </c>
      <c r="IB133" s="120"/>
      <c r="IC133" s="120"/>
      <c r="ID133" s="120"/>
      <c r="IE133" s="120"/>
      <c r="IF133" s="120"/>
      <c r="IG133" s="205"/>
      <c r="IH133" s="205"/>
      <c r="II133" s="205">
        <f t="shared" si="1447"/>
        <v>0</v>
      </c>
      <c r="IJ133" s="250">
        <v>1500</v>
      </c>
      <c r="IK133" s="120"/>
      <c r="IL133" s="120"/>
      <c r="IM133" s="120"/>
      <c r="IN133" s="120"/>
      <c r="IO133" s="205"/>
      <c r="IP133" s="205"/>
      <c r="IQ133" s="205">
        <f t="shared" si="1448"/>
        <v>1500</v>
      </c>
      <c r="IR133" s="205">
        <f t="shared" si="1449"/>
        <v>1500</v>
      </c>
      <c r="IS133" s="120"/>
      <c r="IT133" s="120"/>
      <c r="IU133" s="120"/>
      <c r="IV133" s="120"/>
      <c r="IW133" s="120"/>
      <c r="IX133" s="205"/>
      <c r="IY133" s="205"/>
      <c r="IZ133" s="205">
        <f t="shared" si="1450"/>
        <v>0</v>
      </c>
      <c r="JA133" s="120"/>
      <c r="JB133" s="120"/>
      <c r="JC133" s="120"/>
      <c r="JD133" s="120"/>
      <c r="JE133" s="120"/>
      <c r="JF133" s="205"/>
      <c r="JG133" s="205"/>
      <c r="JH133" s="205">
        <f t="shared" si="1451"/>
        <v>0</v>
      </c>
      <c r="JI133" s="120"/>
      <c r="JJ133" s="120"/>
      <c r="JK133" s="120"/>
      <c r="JL133" s="120"/>
      <c r="JM133" s="120"/>
      <c r="JN133" s="205"/>
      <c r="JO133" s="205"/>
      <c r="JP133" s="205">
        <f t="shared" si="1452"/>
        <v>0</v>
      </c>
      <c r="JQ133" s="120"/>
      <c r="JR133" s="120"/>
      <c r="JS133" s="201">
        <v>1100</v>
      </c>
      <c r="JT133" s="120"/>
      <c r="JU133" s="120"/>
      <c r="JV133" s="205"/>
      <c r="JW133" s="205"/>
      <c r="JX133" s="205">
        <f t="shared" si="1453"/>
        <v>1100</v>
      </c>
      <c r="JY133" s="205">
        <f t="shared" si="1454"/>
        <v>1100</v>
      </c>
      <c r="JZ133" s="120"/>
      <c r="KA133" s="120"/>
      <c r="KB133" s="120"/>
      <c r="KC133" s="120"/>
      <c r="KD133" s="120"/>
      <c r="KE133" s="205"/>
      <c r="KF133" s="205"/>
      <c r="KG133" s="205">
        <f t="shared" si="1455"/>
        <v>0</v>
      </c>
      <c r="KH133" s="120"/>
      <c r="KI133" s="120"/>
      <c r="KJ133" s="120"/>
      <c r="KK133" s="120"/>
      <c r="KL133" s="120"/>
      <c r="KM133" s="205"/>
      <c r="KN133" s="205"/>
      <c r="KO133" s="205">
        <f t="shared" si="1456"/>
        <v>0</v>
      </c>
      <c r="KP133" s="120"/>
      <c r="KQ133" s="120"/>
      <c r="KR133" s="120"/>
      <c r="KS133" s="124">
        <v>1000</v>
      </c>
      <c r="KT133" s="120"/>
      <c r="KU133" s="205"/>
      <c r="KV133" s="205"/>
      <c r="KW133" s="205">
        <f t="shared" si="1457"/>
        <v>1000</v>
      </c>
      <c r="KX133" s="120"/>
      <c r="KY133" s="120"/>
      <c r="KZ133" s="120"/>
      <c r="LA133" s="120"/>
      <c r="LB133" s="120"/>
      <c r="LC133" s="205"/>
      <c r="LD133" s="205"/>
      <c r="LE133" s="205">
        <f t="shared" si="1458"/>
        <v>0</v>
      </c>
      <c r="LF133" s="205"/>
      <c r="LG133" s="120"/>
      <c r="LH133" s="120"/>
      <c r="LI133" s="120"/>
      <c r="LJ133" s="120"/>
      <c r="LK133" s="205"/>
      <c r="LL133" s="205"/>
      <c r="LM133" s="205">
        <f t="shared" si="1459"/>
        <v>0</v>
      </c>
      <c r="LN133" s="205">
        <f t="shared" si="1460"/>
        <v>1000</v>
      </c>
      <c r="LO133" s="205"/>
      <c r="LP133" s="120"/>
      <c r="LQ133" s="120"/>
      <c r="LR133" s="120"/>
      <c r="LS133" s="205"/>
      <c r="LT133" s="205"/>
      <c r="LU133" s="205"/>
      <c r="LV133" s="205">
        <f t="shared" si="1461"/>
        <v>0</v>
      </c>
      <c r="LW133" s="120"/>
      <c r="LX133" s="120"/>
      <c r="LY133" s="120"/>
      <c r="LZ133" s="120"/>
      <c r="MA133" s="120"/>
      <c r="MB133" s="205"/>
      <c r="MC133" s="205"/>
      <c r="MD133" s="205">
        <f t="shared" si="1462"/>
        <v>0</v>
      </c>
      <c r="ME133" s="120"/>
      <c r="MF133" s="120"/>
      <c r="MG133" s="201">
        <v>1500</v>
      </c>
      <c r="MH133" s="120"/>
      <c r="MI133" s="205"/>
      <c r="MJ133" s="205"/>
      <c r="MK133" s="205"/>
      <c r="ML133" s="205">
        <f t="shared" si="1463"/>
        <v>1500</v>
      </c>
      <c r="MM133" s="120"/>
      <c r="MN133" s="120"/>
      <c r="MO133" s="120"/>
      <c r="MP133" s="120"/>
      <c r="MQ133" s="120"/>
      <c r="MR133" s="205"/>
      <c r="MS133" s="205"/>
      <c r="MT133" s="205">
        <f t="shared" si="1464"/>
        <v>0</v>
      </c>
      <c r="MU133" s="205">
        <f t="shared" si="1465"/>
        <v>1500</v>
      </c>
      <c r="MV133" s="120"/>
      <c r="MW133" s="120"/>
      <c r="MX133" s="120"/>
      <c r="MY133" s="120"/>
      <c r="MZ133" s="120"/>
      <c r="NA133" s="205"/>
      <c r="NB133" s="205"/>
      <c r="NC133" s="205">
        <f t="shared" si="1466"/>
        <v>0</v>
      </c>
      <c r="ND133" s="120"/>
      <c r="NE133" s="120"/>
      <c r="NF133" s="120"/>
      <c r="NG133" s="120"/>
      <c r="NH133" s="120"/>
      <c r="NI133" s="205"/>
      <c r="NJ133" s="205"/>
      <c r="NK133" s="205">
        <f t="shared" si="1467"/>
        <v>0</v>
      </c>
      <c r="NL133" s="120"/>
      <c r="NM133" s="120"/>
      <c r="NN133" s="120"/>
      <c r="NO133" s="120"/>
      <c r="NP133" s="120"/>
      <c r="NQ133" s="205"/>
      <c r="NR133" s="205"/>
      <c r="NS133" s="205">
        <f t="shared" si="1468"/>
        <v>0</v>
      </c>
      <c r="NT133" s="120"/>
      <c r="NU133" s="120"/>
      <c r="NV133" s="217">
        <v>900</v>
      </c>
      <c r="NW133" s="120"/>
      <c r="NX133" s="120"/>
      <c r="NY133" s="205"/>
      <c r="NZ133" s="205"/>
      <c r="OA133" s="205">
        <f t="shared" si="1469"/>
        <v>900</v>
      </c>
      <c r="OB133" s="205">
        <f t="shared" si="1470"/>
        <v>900</v>
      </c>
      <c r="OC133" s="120"/>
      <c r="OD133" s="120"/>
      <c r="OE133" s="120"/>
      <c r="OF133" s="120"/>
      <c r="OG133" s="120"/>
      <c r="OH133" s="205"/>
      <c r="OI133" s="205"/>
      <c r="OJ133" s="205">
        <f t="shared" si="1471"/>
        <v>0</v>
      </c>
      <c r="OK133" s="120"/>
      <c r="OL133" s="120"/>
      <c r="OM133" s="120"/>
      <c r="ON133" s="120"/>
      <c r="OO133" s="120"/>
      <c r="OP133" s="205"/>
      <c r="OQ133" s="205"/>
      <c r="OR133" s="205">
        <f t="shared" si="1472"/>
        <v>0</v>
      </c>
      <c r="OS133" s="120"/>
      <c r="OT133" s="120"/>
      <c r="OU133" s="120"/>
      <c r="OV133" s="120"/>
      <c r="OW133" s="120"/>
      <c r="OX133" s="205"/>
      <c r="OY133" s="205"/>
      <c r="OZ133" s="205">
        <f t="shared" si="1473"/>
        <v>0</v>
      </c>
      <c r="PA133" s="120"/>
      <c r="PB133" s="120"/>
      <c r="PC133" s="120"/>
      <c r="PD133" s="205"/>
      <c r="PE133" s="217"/>
      <c r="PF133" s="205"/>
      <c r="PG133" s="205"/>
      <c r="PH133" s="205">
        <f t="shared" si="1474"/>
        <v>0</v>
      </c>
      <c r="PI133" s="120"/>
      <c r="PJ133" s="120"/>
      <c r="PK133" s="120"/>
      <c r="PL133" s="205"/>
      <c r="PM133" s="217"/>
      <c r="PN133" s="205"/>
      <c r="PO133" s="205"/>
      <c r="PP133" s="205">
        <f t="shared" si="1475"/>
        <v>0</v>
      </c>
      <c r="PQ133" s="205">
        <f t="shared" si="1476"/>
        <v>0</v>
      </c>
      <c r="PR133" s="207"/>
      <c r="PS133" s="207"/>
      <c r="PT133" s="207"/>
      <c r="PU133" s="207"/>
      <c r="PV133" s="207"/>
      <c r="PW133" s="272"/>
      <c r="PX133" s="272"/>
      <c r="PY133" s="205">
        <f t="shared" si="1477"/>
        <v>0</v>
      </c>
      <c r="PZ133" s="207"/>
      <c r="QA133" s="207"/>
      <c r="QB133" s="195">
        <v>900</v>
      </c>
      <c r="QC133" s="120"/>
      <c r="QD133" s="207"/>
      <c r="QE133" s="272"/>
      <c r="QF133" s="272"/>
      <c r="QG133" s="205">
        <f t="shared" si="1478"/>
        <v>900</v>
      </c>
      <c r="QH133" s="207"/>
      <c r="QI133" s="207"/>
      <c r="QJ133" s="294"/>
      <c r="QK133" s="207"/>
      <c r="QL133" s="207"/>
      <c r="QM133" s="272"/>
      <c r="QN133" s="272"/>
      <c r="QO133" s="205">
        <f t="shared" si="1479"/>
        <v>0</v>
      </c>
      <c r="QP133" s="207"/>
      <c r="QQ133" s="207"/>
      <c r="QR133" s="207"/>
      <c r="QS133" s="207"/>
      <c r="QT133" s="207"/>
      <c r="QU133" s="272"/>
      <c r="QV133" s="272"/>
      <c r="QW133" s="205">
        <f t="shared" si="1480"/>
        <v>0</v>
      </c>
      <c r="QX133" s="205">
        <f t="shared" si="1481"/>
        <v>900</v>
      </c>
      <c r="QY133" s="207"/>
      <c r="QZ133" s="207"/>
      <c r="RA133" s="207"/>
      <c r="RB133" s="207"/>
      <c r="RC133" s="207"/>
      <c r="RD133" s="272"/>
      <c r="RE133" s="272"/>
      <c r="RF133" s="205">
        <f t="shared" si="1482"/>
        <v>0</v>
      </c>
      <c r="RG133" s="207"/>
      <c r="RH133" s="207"/>
      <c r="RI133" s="195">
        <v>1700</v>
      </c>
      <c r="RJ133" s="207"/>
      <c r="RK133" s="207"/>
      <c r="RL133" s="272"/>
      <c r="RM133" s="272"/>
      <c r="RN133" s="205">
        <f t="shared" si="1483"/>
        <v>1700</v>
      </c>
      <c r="RO133" s="272"/>
      <c r="RP133" s="272"/>
      <c r="RQ133" s="272"/>
      <c r="RR133" s="272"/>
      <c r="RS133" s="272"/>
      <c r="RT133" s="272"/>
      <c r="RU133" s="272"/>
      <c r="RV133" s="205">
        <f t="shared" si="1484"/>
        <v>0</v>
      </c>
      <c r="RW133" s="207"/>
      <c r="RX133" s="207"/>
      <c r="RY133" s="207"/>
      <c r="RZ133" s="207"/>
      <c r="SA133" s="272"/>
      <c r="SB133" s="272"/>
      <c r="SC133" s="272"/>
      <c r="SD133" s="205">
        <f t="shared" si="1485"/>
        <v>0</v>
      </c>
      <c r="SE133" s="205">
        <f t="shared" si="1486"/>
        <v>1700</v>
      </c>
      <c r="SF133" s="207"/>
      <c r="SG133" s="207"/>
      <c r="SH133" s="207"/>
      <c r="SI133" s="207"/>
      <c r="SJ133" s="207"/>
      <c r="SK133" s="272"/>
      <c r="SL133" s="272"/>
      <c r="SM133" s="205">
        <f t="shared" si="1487"/>
        <v>0</v>
      </c>
      <c r="SN133" s="207"/>
      <c r="SO133" s="207"/>
      <c r="SP133" s="207"/>
      <c r="SQ133" s="207"/>
      <c r="SR133" s="207"/>
      <c r="SS133" s="272"/>
      <c r="ST133" s="272"/>
      <c r="SU133" s="205">
        <f t="shared" si="1488"/>
        <v>0</v>
      </c>
      <c r="SV133" s="207"/>
      <c r="SW133" s="207"/>
      <c r="SX133" s="207"/>
      <c r="SY133" s="207"/>
      <c r="SZ133" s="207"/>
      <c r="TA133" s="272"/>
      <c r="TB133" s="272"/>
      <c r="TC133" s="205">
        <f t="shared" si="1489"/>
        <v>0</v>
      </c>
      <c r="TD133" s="207"/>
      <c r="TE133" s="207"/>
      <c r="TF133" s="207"/>
      <c r="TG133" s="207"/>
      <c r="TH133" s="207"/>
      <c r="TI133" s="272"/>
      <c r="TJ133" s="272"/>
      <c r="TK133" s="205">
        <f t="shared" si="1490"/>
        <v>0</v>
      </c>
      <c r="TL133" s="207"/>
      <c r="TM133" s="207"/>
      <c r="TN133" s="207"/>
      <c r="TO133" s="207"/>
      <c r="TP133" s="272"/>
      <c r="TQ133" s="272"/>
      <c r="TR133" s="272"/>
      <c r="TS133" s="205">
        <f t="shared" si="1491"/>
        <v>0</v>
      </c>
      <c r="TT133" s="205">
        <f t="shared" si="1492"/>
        <v>0</v>
      </c>
      <c r="TU133" s="272"/>
      <c r="TV133" s="207"/>
      <c r="TW133" s="207"/>
      <c r="TX133" s="207"/>
      <c r="TY133" s="207"/>
      <c r="TZ133" s="272"/>
      <c r="UA133" s="272"/>
      <c r="UB133" s="205">
        <f t="shared" si="1493"/>
        <v>0</v>
      </c>
      <c r="UC133" s="207"/>
      <c r="UD133" s="207"/>
      <c r="UE133" s="207"/>
      <c r="UF133" s="207"/>
      <c r="UG133" s="207"/>
      <c r="UH133" s="272"/>
      <c r="UI133" s="272"/>
      <c r="UJ133" s="205">
        <f>SUM(UD133:UI133)</f>
        <v>0</v>
      </c>
      <c r="UK133" s="207"/>
      <c r="UL133" s="207"/>
      <c r="UM133" s="201">
        <v>900</v>
      </c>
      <c r="UN133" s="207"/>
      <c r="UO133" s="207"/>
      <c r="UP133" s="272"/>
      <c r="UQ133" s="272"/>
      <c r="UR133" s="205">
        <f>SUM(UK133:UQ133)</f>
        <v>900</v>
      </c>
      <c r="US133" s="207"/>
      <c r="UT133" s="207"/>
      <c r="UU133" s="207"/>
      <c r="UV133" s="207"/>
      <c r="UW133" s="272"/>
      <c r="UX133" s="272"/>
      <c r="UY133" s="272"/>
      <c r="UZ133" s="205">
        <f t="shared" si="1496"/>
        <v>0</v>
      </c>
      <c r="VA133" s="205">
        <f t="shared" si="1497"/>
        <v>900</v>
      </c>
      <c r="VB133" s="120"/>
      <c r="VC133" s="207"/>
      <c r="VD133" s="207"/>
      <c r="VE133" s="207"/>
      <c r="VF133" s="207"/>
      <c r="VG133" s="272"/>
      <c r="VH133" s="272"/>
      <c r="VI133" s="205">
        <f t="shared" si="1498"/>
        <v>0</v>
      </c>
      <c r="VJ133" s="207"/>
      <c r="VK133" s="207"/>
      <c r="VL133" s="207"/>
      <c r="VM133" s="207"/>
      <c r="VN133" s="207"/>
      <c r="VO133" s="272"/>
      <c r="VP133" s="272"/>
      <c r="VQ133" s="205">
        <f t="shared" si="1499"/>
        <v>0</v>
      </c>
      <c r="VR133" s="207"/>
      <c r="VS133" s="207"/>
      <c r="VT133" s="195">
        <v>1600</v>
      </c>
      <c r="VU133" s="207"/>
      <c r="VV133" s="207"/>
      <c r="VW133" s="272"/>
      <c r="VX133" s="272"/>
      <c r="VY133" s="205">
        <f t="shared" si="1500"/>
        <v>1600</v>
      </c>
      <c r="VZ133" s="207"/>
      <c r="WA133" s="207"/>
      <c r="WB133" s="207"/>
      <c r="WC133" s="207"/>
      <c r="WD133" s="207"/>
      <c r="WE133" s="272"/>
      <c r="WF133" s="272"/>
      <c r="WG133" s="205">
        <f t="shared" si="1501"/>
        <v>0</v>
      </c>
      <c r="WH133" s="205">
        <f t="shared" si="1502"/>
        <v>1600</v>
      </c>
      <c r="WI133" s="207"/>
      <c r="WJ133" s="207"/>
      <c r="WK133" s="207"/>
      <c r="WL133" s="207"/>
      <c r="WM133" s="207"/>
      <c r="WN133" s="272"/>
      <c r="WO133" s="272"/>
      <c r="WP133" s="205">
        <f t="shared" si="1503"/>
        <v>0</v>
      </c>
      <c r="WQ133" s="207"/>
      <c r="WR133" s="207"/>
      <c r="WS133" s="120">
        <v>900</v>
      </c>
      <c r="WT133" s="207"/>
      <c r="WU133" s="207"/>
      <c r="WV133" s="272"/>
      <c r="WW133" s="272"/>
      <c r="WX133" s="205">
        <f t="shared" si="1504"/>
        <v>900</v>
      </c>
      <c r="WY133" s="207"/>
      <c r="WZ133" s="207"/>
      <c r="XA133" s="207"/>
      <c r="XB133" s="207"/>
      <c r="XC133" s="272"/>
      <c r="XD133" s="272"/>
      <c r="XE133" s="272"/>
      <c r="XF133" s="205">
        <f t="shared" si="1505"/>
        <v>0</v>
      </c>
      <c r="XG133" s="207"/>
      <c r="XH133" s="207"/>
      <c r="XI133" s="207"/>
      <c r="XJ133" s="207"/>
      <c r="XK133" s="207"/>
      <c r="XL133" s="272"/>
      <c r="XM133" s="272"/>
      <c r="XN133" s="205">
        <f t="shared" si="1506"/>
        <v>0</v>
      </c>
      <c r="XO133" s="207"/>
      <c r="XP133" s="207"/>
      <c r="XQ133" s="207"/>
      <c r="XR133" s="207"/>
      <c r="XS133" s="207"/>
      <c r="XT133" s="272"/>
      <c r="XU133" s="272"/>
      <c r="XV133" s="205">
        <f t="shared" si="1507"/>
        <v>0</v>
      </c>
      <c r="XW133" s="205">
        <f t="shared" si="1508"/>
        <v>900</v>
      </c>
      <c r="XX133" s="207"/>
      <c r="XY133" s="207"/>
      <c r="XZ133" s="207"/>
      <c r="YA133" s="207"/>
      <c r="YB133" s="207"/>
      <c r="YC133" s="272"/>
      <c r="YD133" s="272"/>
      <c r="YE133" s="205">
        <f t="shared" si="1509"/>
        <v>0</v>
      </c>
      <c r="YF133" s="207"/>
      <c r="YG133" s="207"/>
      <c r="YH133" s="207"/>
      <c r="YI133" s="207"/>
      <c r="YJ133" s="207"/>
      <c r="YK133" s="272"/>
      <c r="YL133" s="272"/>
      <c r="YM133" s="205">
        <f t="shared" si="1510"/>
        <v>0</v>
      </c>
      <c r="YN133" s="207"/>
      <c r="YO133" s="207"/>
      <c r="YP133" s="207"/>
      <c r="YQ133" s="207"/>
      <c r="YR133" s="207"/>
      <c r="YS133" s="272"/>
      <c r="YT133" s="272"/>
      <c r="YU133" s="205">
        <f t="shared" si="1511"/>
        <v>0</v>
      </c>
      <c r="YV133" s="207"/>
      <c r="YW133" s="207"/>
      <c r="YX133" s="207"/>
      <c r="YY133" s="207"/>
      <c r="YZ133" s="207"/>
      <c r="ZA133" s="272"/>
      <c r="ZB133" s="272"/>
      <c r="ZC133" s="205">
        <f t="shared" si="1512"/>
        <v>0</v>
      </c>
      <c r="ZD133" s="205">
        <f t="shared" si="1513"/>
        <v>900</v>
      </c>
      <c r="ZE133" s="207"/>
      <c r="ZF133" s="207"/>
      <c r="ZG133" s="207"/>
      <c r="ZH133" s="207"/>
      <c r="ZI133" s="207"/>
      <c r="ZJ133" s="272"/>
      <c r="ZK133" s="272"/>
      <c r="ZL133" s="205">
        <f t="shared" si="1514"/>
        <v>0</v>
      </c>
      <c r="ZM133" s="207"/>
      <c r="ZN133" s="207"/>
      <c r="ZO133" s="207"/>
      <c r="ZP133" s="207"/>
      <c r="ZQ133" s="207"/>
      <c r="ZR133" s="272"/>
      <c r="ZS133" s="272"/>
      <c r="ZT133" s="205">
        <f t="shared" si="1515"/>
        <v>0</v>
      </c>
      <c r="ZU133" s="207"/>
      <c r="ZV133" s="207"/>
      <c r="ZW133" s="207"/>
      <c r="ZX133" s="207"/>
      <c r="ZY133" s="207"/>
      <c r="ZZ133" s="272"/>
      <c r="AAA133" s="272"/>
      <c r="AAB133" s="205">
        <f t="shared" si="1516"/>
        <v>0</v>
      </c>
      <c r="AAC133" s="207"/>
      <c r="AAD133" s="207"/>
      <c r="AAE133" s="207"/>
      <c r="AAF133" s="207"/>
      <c r="AAG133" s="207"/>
      <c r="AAH133" s="272"/>
      <c r="AAI133" s="272"/>
      <c r="AAJ133" s="205">
        <f t="shared" si="1517"/>
        <v>0</v>
      </c>
      <c r="AAK133" s="207"/>
      <c r="AAL133" s="207"/>
      <c r="AAM133" s="207"/>
      <c r="AAN133" s="207"/>
      <c r="AAO133" s="207"/>
      <c r="AAP133" s="272"/>
      <c r="AAQ133" s="272"/>
      <c r="AAR133" s="205">
        <f t="shared" si="1518"/>
        <v>0</v>
      </c>
      <c r="AAS133" s="205">
        <f t="shared" si="1519"/>
        <v>0</v>
      </c>
    </row>
    <row r="134" spans="1:721" s="127" customFormat="1" ht="69.95" customHeight="1">
      <c r="A134" s="128"/>
      <c r="B134" s="130">
        <v>5714600142</v>
      </c>
      <c r="C134" s="324" t="s">
        <v>520</v>
      </c>
      <c r="D134" s="172" t="s">
        <v>534</v>
      </c>
      <c r="E134" s="130" t="s">
        <v>4</v>
      </c>
      <c r="F134" s="120"/>
      <c r="G134" s="120"/>
      <c r="H134" s="120"/>
      <c r="I134" s="120"/>
      <c r="J134" s="124">
        <v>940</v>
      </c>
      <c r="K134" s="209"/>
      <c r="L134" s="205"/>
      <c r="M134" s="205">
        <f t="shared" si="1520"/>
        <v>940</v>
      </c>
      <c r="N134" s="120"/>
      <c r="O134" s="120"/>
      <c r="P134" s="120"/>
      <c r="R134" s="120"/>
      <c r="S134" s="209"/>
      <c r="T134" s="205"/>
      <c r="U134" s="205">
        <f t="shared" si="1521"/>
        <v>0</v>
      </c>
      <c r="V134" s="120"/>
      <c r="W134" s="120"/>
      <c r="X134" s="120"/>
      <c r="Y134" s="120"/>
      <c r="Z134" s="120"/>
      <c r="AA134" s="209"/>
      <c r="AB134" s="205"/>
      <c r="AC134" s="205">
        <f t="shared" si="1522"/>
        <v>0</v>
      </c>
      <c r="AD134" s="205"/>
      <c r="AE134" s="205"/>
      <c r="AF134" s="205"/>
      <c r="AG134" s="205"/>
      <c r="AH134" s="205"/>
      <c r="AI134" s="209"/>
      <c r="AJ134" s="205"/>
      <c r="AK134" s="205">
        <f t="shared" si="1523"/>
        <v>0</v>
      </c>
      <c r="AL134" s="205" t="e">
        <f>SUM(#REF!,M134,U134,AC134,AD134:AH134)</f>
        <v>#REF!</v>
      </c>
      <c r="AM134" s="120"/>
      <c r="AN134" s="120"/>
      <c r="AO134" s="120"/>
      <c r="AP134" s="120"/>
      <c r="AQ134" s="120"/>
      <c r="AR134" s="209"/>
      <c r="AS134" s="205"/>
      <c r="AT134" s="205">
        <f t="shared" si="1524"/>
        <v>0</v>
      </c>
      <c r="AU134" s="120"/>
      <c r="AV134" s="120"/>
      <c r="AW134" s="120"/>
      <c r="AX134" s="120"/>
      <c r="AY134" s="206">
        <v>940</v>
      </c>
      <c r="AZ134" s="209"/>
      <c r="BA134" s="205"/>
      <c r="BB134" s="205">
        <f t="shared" si="1525"/>
        <v>940</v>
      </c>
      <c r="BC134" s="120"/>
      <c r="BD134" s="120"/>
      <c r="BE134" s="120"/>
      <c r="BF134" s="120"/>
      <c r="BG134" s="120"/>
      <c r="BH134" s="209"/>
      <c r="BI134" s="205"/>
      <c r="BJ134" s="205">
        <f t="shared" si="1526"/>
        <v>0</v>
      </c>
      <c r="BK134" s="120"/>
      <c r="BL134" s="120"/>
      <c r="BM134" s="120"/>
      <c r="BN134" s="120"/>
      <c r="BO134" s="205"/>
      <c r="BP134" s="209"/>
      <c r="BQ134" s="205"/>
      <c r="BR134" s="205">
        <f t="shared" si="1527"/>
        <v>0</v>
      </c>
      <c r="BS134" s="205">
        <f t="shared" si="1427"/>
        <v>940</v>
      </c>
      <c r="BT134" s="120"/>
      <c r="BU134" s="120"/>
      <c r="BV134" s="120"/>
      <c r="BW134" s="120"/>
      <c r="BX134" s="120"/>
      <c r="BY134" s="209"/>
      <c r="BZ134" s="205"/>
      <c r="CA134" s="205">
        <f t="shared" si="1528"/>
        <v>0</v>
      </c>
      <c r="CB134" s="120"/>
      <c r="CC134" s="120"/>
      <c r="CD134" s="250">
        <v>1175</v>
      </c>
      <c r="CE134" s="120"/>
      <c r="CF134" s="120"/>
      <c r="CG134" s="209"/>
      <c r="CH134" s="205"/>
      <c r="CI134" s="205">
        <f t="shared" si="1529"/>
        <v>1175</v>
      </c>
      <c r="CJ134" s="120"/>
      <c r="CK134" s="120"/>
      <c r="CL134" s="120"/>
      <c r="CM134" s="120"/>
      <c r="CN134" s="120"/>
      <c r="CO134" s="209"/>
      <c r="CP134" s="205"/>
      <c r="CQ134" s="205">
        <f t="shared" si="1530"/>
        <v>0</v>
      </c>
      <c r="CR134" s="120"/>
      <c r="CS134" s="120"/>
      <c r="CT134" s="120"/>
      <c r="CU134" s="120"/>
      <c r="CV134" s="120"/>
      <c r="CW134" s="209"/>
      <c r="CX134" s="205"/>
      <c r="CY134" s="205">
        <f t="shared" si="1531"/>
        <v>0</v>
      </c>
      <c r="CZ134" s="120"/>
      <c r="DA134" s="120"/>
      <c r="DB134" s="120"/>
      <c r="DC134" s="205"/>
      <c r="DD134" s="205"/>
      <c r="DE134" s="209"/>
      <c r="DF134" s="205"/>
      <c r="DG134" s="205">
        <f t="shared" si="1532"/>
        <v>0</v>
      </c>
      <c r="DH134" s="205">
        <f t="shared" si="1428"/>
        <v>1175</v>
      </c>
      <c r="DI134" s="120"/>
      <c r="DJ134" s="120"/>
      <c r="DK134" s="120"/>
      <c r="DL134" s="120"/>
      <c r="DM134" s="120"/>
      <c r="DN134" s="209"/>
      <c r="DO134" s="205"/>
      <c r="DP134" s="205">
        <f t="shared" si="1432"/>
        <v>0</v>
      </c>
      <c r="DQ134" s="120"/>
      <c r="DR134" s="120"/>
      <c r="DS134" s="250">
        <v>1410</v>
      </c>
      <c r="DT134" s="120"/>
      <c r="DU134" s="120"/>
      <c r="DV134" s="209"/>
      <c r="DW134" s="205"/>
      <c r="DX134" s="205">
        <f t="shared" si="1433"/>
        <v>1410</v>
      </c>
      <c r="DY134" s="120"/>
      <c r="DZ134" s="120"/>
      <c r="EA134" s="120"/>
      <c r="EB134" s="120"/>
      <c r="EC134" s="120"/>
      <c r="ED134" s="209"/>
      <c r="EE134" s="205"/>
      <c r="EF134" s="205">
        <f t="shared" si="1434"/>
        <v>0</v>
      </c>
      <c r="EG134" s="120"/>
      <c r="EH134" s="120"/>
      <c r="EI134" s="120"/>
      <c r="EJ134" s="205"/>
      <c r="EK134" s="205"/>
      <c r="EL134" s="209"/>
      <c r="EM134" s="205"/>
      <c r="EN134" s="205">
        <f t="shared" si="1435"/>
        <v>0</v>
      </c>
      <c r="EO134" s="205">
        <f t="shared" si="1429"/>
        <v>1410</v>
      </c>
      <c r="EP134" s="120"/>
      <c r="EQ134" s="250">
        <v>1410</v>
      </c>
      <c r="ER134" s="120"/>
      <c r="ES134" s="120"/>
      <c r="ET134" s="120"/>
      <c r="EU134" s="209"/>
      <c r="EV134" s="205"/>
      <c r="EW134" s="205">
        <f t="shared" si="1436"/>
        <v>1410</v>
      </c>
      <c r="EX134" s="120"/>
      <c r="EY134" s="120"/>
      <c r="EZ134" s="120"/>
      <c r="FA134" s="120"/>
      <c r="FB134" s="120"/>
      <c r="FC134" s="209"/>
      <c r="FD134" s="205"/>
      <c r="FE134" s="205">
        <f t="shared" si="1437"/>
        <v>0</v>
      </c>
      <c r="FF134" s="120"/>
      <c r="FG134" s="217">
        <v>940</v>
      </c>
      <c r="FH134" s="120"/>
      <c r="FI134" s="120"/>
      <c r="FJ134" s="120"/>
      <c r="FK134" s="209"/>
      <c r="FL134" s="205"/>
      <c r="FM134" s="205">
        <f t="shared" si="1438"/>
        <v>940</v>
      </c>
      <c r="FN134" s="120"/>
      <c r="FO134" s="120"/>
      <c r="FP134" s="120"/>
      <c r="FQ134" s="120"/>
      <c r="FR134" s="205"/>
      <c r="FS134" s="209"/>
      <c r="FT134" s="205"/>
      <c r="FU134" s="205">
        <f t="shared" si="1439"/>
        <v>0</v>
      </c>
      <c r="FV134" s="205">
        <f t="shared" si="1430"/>
        <v>2350</v>
      </c>
      <c r="FW134" s="120"/>
      <c r="FX134" s="120"/>
      <c r="FY134" s="120"/>
      <c r="FZ134" s="120"/>
      <c r="GA134" s="120"/>
      <c r="GB134" s="209"/>
      <c r="GC134" s="205"/>
      <c r="GD134" s="205">
        <f t="shared" si="1440"/>
        <v>0</v>
      </c>
      <c r="GE134" s="120"/>
      <c r="GF134" s="120"/>
      <c r="GG134" s="250">
        <v>1880</v>
      </c>
      <c r="GH134" s="120"/>
      <c r="GI134" s="120"/>
      <c r="GJ134" s="209"/>
      <c r="GK134" s="205"/>
      <c r="GL134" s="205">
        <f t="shared" si="1441"/>
        <v>1880</v>
      </c>
      <c r="GM134" s="120"/>
      <c r="GN134" s="120"/>
      <c r="GO134" s="120"/>
      <c r="GP134" s="120"/>
      <c r="GQ134" s="120"/>
      <c r="GR134" s="209"/>
      <c r="GS134" s="205"/>
      <c r="GT134" s="205">
        <f t="shared" si="1442"/>
        <v>0</v>
      </c>
      <c r="GU134" s="120"/>
      <c r="GV134" s="120"/>
      <c r="GW134" s="120"/>
      <c r="GX134" s="120"/>
      <c r="GY134" s="120"/>
      <c r="GZ134" s="209"/>
      <c r="HA134" s="205"/>
      <c r="HB134" s="205">
        <f t="shared" si="1443"/>
        <v>0</v>
      </c>
      <c r="HC134" s="120"/>
      <c r="HD134" s="120"/>
      <c r="HE134" s="120"/>
      <c r="HF134" s="120"/>
      <c r="HG134" s="120"/>
      <c r="HH134" s="209"/>
      <c r="HI134" s="205"/>
      <c r="HJ134" s="205">
        <f t="shared" si="1444"/>
        <v>0</v>
      </c>
      <c r="HK134" s="205">
        <f t="shared" si="1431"/>
        <v>1880</v>
      </c>
      <c r="HL134" s="124"/>
      <c r="HM134" s="120"/>
      <c r="HN134" s="201">
        <v>1880</v>
      </c>
      <c r="HO134" s="120"/>
      <c r="HP134" s="120"/>
      <c r="HQ134" s="205"/>
      <c r="HR134" s="205"/>
      <c r="HS134" s="205">
        <f t="shared" si="1445"/>
        <v>1880</v>
      </c>
      <c r="HT134" s="120"/>
      <c r="HU134" s="120"/>
      <c r="HV134" s="120"/>
      <c r="HW134" s="120"/>
      <c r="HX134" s="120"/>
      <c r="HY134" s="205"/>
      <c r="HZ134" s="205"/>
      <c r="IA134" s="205">
        <f t="shared" si="1446"/>
        <v>0</v>
      </c>
      <c r="IB134" s="120"/>
      <c r="IC134" s="120"/>
      <c r="ID134" s="120"/>
      <c r="IE134" s="120"/>
      <c r="IF134" s="120"/>
      <c r="IG134" s="205"/>
      <c r="IH134" s="205"/>
      <c r="II134" s="205">
        <f t="shared" si="1447"/>
        <v>0</v>
      </c>
      <c r="IJ134" s="120"/>
      <c r="IK134" s="120"/>
      <c r="IL134" s="120"/>
      <c r="IM134" s="120"/>
      <c r="IN134" s="120"/>
      <c r="IO134" s="205"/>
      <c r="IP134" s="205"/>
      <c r="IQ134" s="205">
        <f t="shared" si="1448"/>
        <v>0</v>
      </c>
      <c r="IR134" s="205">
        <f t="shared" si="1449"/>
        <v>1880</v>
      </c>
      <c r="IS134" s="120"/>
      <c r="IT134" s="120"/>
      <c r="IU134" s="217">
        <v>1410</v>
      </c>
      <c r="IV134" s="120"/>
      <c r="IW134" s="120"/>
      <c r="IX134" s="205"/>
      <c r="IY134" s="205"/>
      <c r="IZ134" s="205">
        <f t="shared" si="1450"/>
        <v>1410</v>
      </c>
      <c r="JA134" s="120"/>
      <c r="JB134" s="120"/>
      <c r="JC134" s="120"/>
      <c r="JD134" s="120"/>
      <c r="JE134" s="120"/>
      <c r="JF134" s="205"/>
      <c r="JG134" s="205"/>
      <c r="JH134" s="205">
        <f t="shared" si="1451"/>
        <v>0</v>
      </c>
      <c r="JI134" s="120"/>
      <c r="JJ134" s="120"/>
      <c r="JK134" s="120"/>
      <c r="JL134" s="120"/>
      <c r="JM134" s="120"/>
      <c r="JN134" s="205"/>
      <c r="JO134" s="205"/>
      <c r="JP134" s="205">
        <f t="shared" si="1452"/>
        <v>0</v>
      </c>
      <c r="JQ134" s="120"/>
      <c r="JR134" s="120"/>
      <c r="JS134" s="124">
        <v>705</v>
      </c>
      <c r="JT134" s="120"/>
      <c r="JU134" s="120"/>
      <c r="JV134" s="205"/>
      <c r="JW134" s="205"/>
      <c r="JX134" s="205">
        <f t="shared" si="1453"/>
        <v>705</v>
      </c>
      <c r="JY134" s="205">
        <f t="shared" si="1454"/>
        <v>2115</v>
      </c>
      <c r="JZ134" s="120"/>
      <c r="KA134" s="120"/>
      <c r="KB134" s="120"/>
      <c r="KC134" s="120"/>
      <c r="KD134" s="120"/>
      <c r="KE134" s="205"/>
      <c r="KF134" s="205"/>
      <c r="KG134" s="205">
        <f t="shared" si="1455"/>
        <v>0</v>
      </c>
      <c r="KH134" s="120"/>
      <c r="KI134" s="120"/>
      <c r="KJ134" s="206">
        <v>1880</v>
      </c>
      <c r="KK134" s="120"/>
      <c r="KL134" s="120"/>
      <c r="KM134" s="205"/>
      <c r="KN134" s="205"/>
      <c r="KO134" s="205">
        <f t="shared" si="1456"/>
        <v>1880</v>
      </c>
      <c r="KP134" s="120"/>
      <c r="KQ134" s="120"/>
      <c r="KR134" s="120"/>
      <c r="KS134" s="120"/>
      <c r="KT134" s="120"/>
      <c r="KU134" s="205"/>
      <c r="KV134" s="205"/>
      <c r="KW134" s="205">
        <f t="shared" si="1457"/>
        <v>0</v>
      </c>
      <c r="KX134" s="120"/>
      <c r="KY134" s="120"/>
      <c r="KZ134" s="120"/>
      <c r="LA134" s="120"/>
      <c r="LB134" s="120"/>
      <c r="LC134" s="205"/>
      <c r="LD134" s="205"/>
      <c r="LE134" s="205">
        <f t="shared" si="1458"/>
        <v>0</v>
      </c>
      <c r="LF134" s="205"/>
      <c r="LG134" s="120"/>
      <c r="LH134" s="120"/>
      <c r="LI134" s="120"/>
      <c r="LJ134" s="120"/>
      <c r="LK134" s="205"/>
      <c r="LL134" s="205"/>
      <c r="LM134" s="205">
        <f t="shared" si="1459"/>
        <v>0</v>
      </c>
      <c r="LN134" s="205">
        <f t="shared" si="1460"/>
        <v>1880</v>
      </c>
      <c r="LO134" s="205"/>
      <c r="LP134" s="120"/>
      <c r="LQ134" s="120"/>
      <c r="LR134" s="120"/>
      <c r="LS134" s="205"/>
      <c r="LT134" s="205"/>
      <c r="LU134" s="205"/>
      <c r="LV134" s="205">
        <f t="shared" si="1461"/>
        <v>0</v>
      </c>
      <c r="LW134" s="120"/>
      <c r="LX134" s="120"/>
      <c r="LY134" s="120"/>
      <c r="LZ134" s="217">
        <v>1410</v>
      </c>
      <c r="MA134" s="120"/>
      <c r="MB134" s="205"/>
      <c r="MC134" s="205"/>
      <c r="MD134" s="205">
        <f t="shared" si="1462"/>
        <v>1410</v>
      </c>
      <c r="ME134" s="120"/>
      <c r="MF134" s="120"/>
      <c r="MG134" s="120"/>
      <c r="MH134" s="120"/>
      <c r="MI134" s="205"/>
      <c r="MJ134" s="205"/>
      <c r="MK134" s="205"/>
      <c r="ML134" s="205">
        <f t="shared" si="1463"/>
        <v>0</v>
      </c>
      <c r="MM134" s="120"/>
      <c r="MN134" s="120"/>
      <c r="MO134" s="120"/>
      <c r="MP134" s="120"/>
      <c r="MQ134" s="120"/>
      <c r="MR134" s="205"/>
      <c r="MS134" s="205"/>
      <c r="MT134" s="205">
        <f t="shared" si="1464"/>
        <v>0</v>
      </c>
      <c r="MU134" s="205">
        <f t="shared" si="1465"/>
        <v>1410</v>
      </c>
      <c r="MV134" s="120"/>
      <c r="MW134" s="120"/>
      <c r="MX134" s="120"/>
      <c r="MY134" s="120"/>
      <c r="MZ134" s="120"/>
      <c r="NA134" s="205"/>
      <c r="NB134" s="205"/>
      <c r="NC134" s="205">
        <f t="shared" si="1466"/>
        <v>0</v>
      </c>
      <c r="ND134" s="120"/>
      <c r="NE134" s="120"/>
      <c r="NF134" s="120"/>
      <c r="NG134" s="120"/>
      <c r="NH134" s="120"/>
      <c r="NI134" s="205"/>
      <c r="NJ134" s="205"/>
      <c r="NK134" s="205">
        <f t="shared" si="1467"/>
        <v>0</v>
      </c>
      <c r="NL134" s="124">
        <v>1880</v>
      </c>
      <c r="NM134" s="120"/>
      <c r="NN134" s="120"/>
      <c r="NO134" s="120"/>
      <c r="NP134" s="120"/>
      <c r="NQ134" s="205"/>
      <c r="NR134" s="205"/>
      <c r="NS134" s="205">
        <f t="shared" si="1468"/>
        <v>1880</v>
      </c>
      <c r="NT134" s="120"/>
      <c r="NU134" s="120"/>
      <c r="NV134" s="120"/>
      <c r="NW134" s="120"/>
      <c r="NX134" s="120"/>
      <c r="NY134" s="205"/>
      <c r="NZ134" s="205"/>
      <c r="OA134" s="205">
        <f t="shared" si="1469"/>
        <v>0</v>
      </c>
      <c r="OB134" s="205">
        <f t="shared" si="1470"/>
        <v>1880</v>
      </c>
      <c r="OC134" s="120"/>
      <c r="OD134" s="120"/>
      <c r="OE134" s="120"/>
      <c r="OF134" s="120"/>
      <c r="OG134" s="120"/>
      <c r="OH134" s="205"/>
      <c r="OI134" s="205"/>
      <c r="OJ134" s="205">
        <f t="shared" si="1471"/>
        <v>0</v>
      </c>
      <c r="OK134" s="120"/>
      <c r="OL134" s="124">
        <v>1880</v>
      </c>
      <c r="OM134" s="120"/>
      <c r="ON134" s="120"/>
      <c r="OO134" s="120"/>
      <c r="OP134" s="205"/>
      <c r="OQ134" s="205"/>
      <c r="OR134" s="205">
        <f t="shared" si="1472"/>
        <v>1880</v>
      </c>
      <c r="OS134" s="120"/>
      <c r="OT134" s="120"/>
      <c r="OU134" s="120"/>
      <c r="OV134" s="120"/>
      <c r="OW134" s="120"/>
      <c r="OX134" s="205"/>
      <c r="OY134" s="205"/>
      <c r="OZ134" s="205">
        <f t="shared" si="1473"/>
        <v>0</v>
      </c>
      <c r="PA134" s="120"/>
      <c r="PB134" s="120"/>
      <c r="PC134" s="120"/>
      <c r="PD134" s="205"/>
      <c r="PE134" s="217"/>
      <c r="PF134" s="205"/>
      <c r="PG134" s="205"/>
      <c r="PH134" s="205">
        <f t="shared" si="1474"/>
        <v>0</v>
      </c>
      <c r="PI134" s="195">
        <v>1880</v>
      </c>
      <c r="PJ134" s="120"/>
      <c r="PK134" s="120"/>
      <c r="PL134" s="205"/>
      <c r="PM134" s="217"/>
      <c r="PN134" s="205"/>
      <c r="PO134" s="205"/>
      <c r="PP134" s="205">
        <f t="shared" si="1475"/>
        <v>1880</v>
      </c>
      <c r="PQ134" s="205">
        <f t="shared" si="1476"/>
        <v>3760</v>
      </c>
      <c r="PR134" s="207"/>
      <c r="PS134" s="207"/>
      <c r="PT134" s="207"/>
      <c r="PU134" s="207"/>
      <c r="PV134" s="207"/>
      <c r="PW134" s="272"/>
      <c r="PX134" s="272"/>
      <c r="PY134" s="205">
        <f t="shared" si="1477"/>
        <v>0</v>
      </c>
      <c r="PZ134" s="207"/>
      <c r="QA134" s="207"/>
      <c r="QB134" s="207"/>
      <c r="QC134" s="120"/>
      <c r="QD134" s="207"/>
      <c r="QE134" s="272"/>
      <c r="QF134" s="272"/>
      <c r="QG134" s="205">
        <f t="shared" si="1478"/>
        <v>0</v>
      </c>
      <c r="QH134" s="207"/>
      <c r="QI134" s="207"/>
      <c r="QJ134" s="294"/>
      <c r="QK134" s="207"/>
      <c r="QL134" s="207"/>
      <c r="QM134" s="272"/>
      <c r="QN134" s="272"/>
      <c r="QO134" s="205">
        <f t="shared" si="1479"/>
        <v>0</v>
      </c>
      <c r="QP134" s="207"/>
      <c r="QQ134" s="207"/>
      <c r="QR134" s="207"/>
      <c r="QS134" s="207"/>
      <c r="QT134" s="207"/>
      <c r="QU134" s="272"/>
      <c r="QV134" s="272"/>
      <c r="QW134" s="205">
        <f t="shared" si="1480"/>
        <v>0</v>
      </c>
      <c r="QX134" s="205">
        <f t="shared" si="1481"/>
        <v>0</v>
      </c>
      <c r="QY134" s="207"/>
      <c r="QZ134" s="124">
        <v>1880</v>
      </c>
      <c r="RA134" s="120"/>
      <c r="RB134" s="120"/>
      <c r="RC134" s="207"/>
      <c r="RD134" s="272"/>
      <c r="RE134" s="272"/>
      <c r="RF134" s="205">
        <f t="shared" si="1482"/>
        <v>1880</v>
      </c>
      <c r="RG134" s="207"/>
      <c r="RH134" s="120"/>
      <c r="RI134" s="207"/>
      <c r="RJ134" s="207"/>
      <c r="RK134" s="207"/>
      <c r="RL134" s="272"/>
      <c r="RM134" s="272"/>
      <c r="RN134" s="205">
        <f t="shared" si="1483"/>
        <v>0</v>
      </c>
      <c r="RO134" s="272"/>
      <c r="RP134" s="272"/>
      <c r="RQ134" s="272"/>
      <c r="RR134" s="272"/>
      <c r="RS134" s="272"/>
      <c r="RT134" s="272"/>
      <c r="RU134" s="272"/>
      <c r="RV134" s="205">
        <f t="shared" si="1484"/>
        <v>0</v>
      </c>
      <c r="RW134" s="207"/>
      <c r="RX134" s="207"/>
      <c r="RY134" s="207"/>
      <c r="RZ134" s="207"/>
      <c r="SA134" s="272"/>
      <c r="SB134" s="272"/>
      <c r="SC134" s="272"/>
      <c r="SD134" s="205">
        <f t="shared" si="1485"/>
        <v>0</v>
      </c>
      <c r="SE134" s="205">
        <f t="shared" si="1486"/>
        <v>1880</v>
      </c>
      <c r="SF134" s="207"/>
      <c r="SG134" s="207"/>
      <c r="SH134" s="207"/>
      <c r="SI134" s="207"/>
      <c r="SJ134" s="207"/>
      <c r="SK134" s="272"/>
      <c r="SL134" s="272"/>
      <c r="SM134" s="205">
        <f t="shared" si="1487"/>
        <v>0</v>
      </c>
      <c r="SN134" s="217">
        <v>1880</v>
      </c>
      <c r="SO134" s="120"/>
      <c r="SP134" s="120"/>
      <c r="SQ134" s="120"/>
      <c r="SR134" s="207"/>
      <c r="SS134" s="272"/>
      <c r="ST134" s="272"/>
      <c r="SU134" s="205">
        <f t="shared" si="1488"/>
        <v>1880</v>
      </c>
      <c r="SV134" s="207"/>
      <c r="SW134" s="207"/>
      <c r="SX134" s="207"/>
      <c r="SY134" s="207"/>
      <c r="SZ134" s="207"/>
      <c r="TA134" s="272"/>
      <c r="TB134" s="272"/>
      <c r="TC134" s="205">
        <f t="shared" si="1489"/>
        <v>0</v>
      </c>
      <c r="TD134" s="207"/>
      <c r="TE134" s="207"/>
      <c r="TF134" s="207"/>
      <c r="TG134" s="207"/>
      <c r="TH134" s="207"/>
      <c r="TI134" s="272"/>
      <c r="TJ134" s="272"/>
      <c r="TK134" s="205">
        <f t="shared" si="1490"/>
        <v>0</v>
      </c>
      <c r="TL134" s="195">
        <v>1880</v>
      </c>
      <c r="TM134" s="120"/>
      <c r="TN134" s="207"/>
      <c r="TO134" s="207"/>
      <c r="TP134" s="272"/>
      <c r="TQ134" s="272"/>
      <c r="TR134" s="272"/>
      <c r="TS134" s="205">
        <f t="shared" si="1491"/>
        <v>1880</v>
      </c>
      <c r="TT134" s="205">
        <f t="shared" si="1492"/>
        <v>3760</v>
      </c>
      <c r="TU134" s="272"/>
      <c r="TV134" s="207"/>
      <c r="TW134" s="207"/>
      <c r="TX134" s="207"/>
      <c r="TY134" s="207"/>
      <c r="TZ134" s="272"/>
      <c r="UA134" s="272"/>
      <c r="UB134" s="205">
        <f t="shared" si="1493"/>
        <v>0</v>
      </c>
      <c r="UC134" s="207"/>
      <c r="UD134" s="207"/>
      <c r="UE134" s="207"/>
      <c r="UF134" s="207"/>
      <c r="UG134" s="207"/>
      <c r="UH134" s="272"/>
      <c r="UI134" s="272"/>
      <c r="UJ134" s="205">
        <f t="shared" si="1494"/>
        <v>0</v>
      </c>
      <c r="UK134" s="207"/>
      <c r="UL134" s="207"/>
      <c r="UM134" s="207"/>
      <c r="UN134" s="207"/>
      <c r="UO134" s="207"/>
      <c r="UP134" s="272"/>
      <c r="UQ134" s="272"/>
      <c r="UR134" s="205">
        <f t="shared" si="1495"/>
        <v>0</v>
      </c>
      <c r="US134" s="207"/>
      <c r="UT134" s="207"/>
      <c r="UU134" s="207"/>
      <c r="UV134" s="207"/>
      <c r="UW134" s="272"/>
      <c r="UX134" s="272"/>
      <c r="UY134" s="272"/>
      <c r="UZ134" s="205">
        <f t="shared" si="1496"/>
        <v>0</v>
      </c>
      <c r="VA134" s="205">
        <f t="shared" si="1497"/>
        <v>0</v>
      </c>
      <c r="VB134" s="120"/>
      <c r="VC134" s="120"/>
      <c r="VD134" s="207"/>
      <c r="VE134" s="207"/>
      <c r="VF134" s="207"/>
      <c r="VG134" s="272"/>
      <c r="VH134" s="272"/>
      <c r="VI134" s="205">
        <f t="shared" si="1498"/>
        <v>0</v>
      </c>
      <c r="VJ134" s="195">
        <v>2350</v>
      </c>
      <c r="VK134" s="120"/>
      <c r="VL134" s="207"/>
      <c r="VM134" s="120"/>
      <c r="VN134" s="207"/>
      <c r="VO134" s="272"/>
      <c r="VP134" s="272"/>
      <c r="VQ134" s="205">
        <f t="shared" si="1499"/>
        <v>2350</v>
      </c>
      <c r="VR134" s="207"/>
      <c r="VS134" s="207"/>
      <c r="VT134" s="207"/>
      <c r="VU134" s="207"/>
      <c r="VV134" s="207"/>
      <c r="VW134" s="272"/>
      <c r="VX134" s="272"/>
      <c r="VY134" s="205">
        <f t="shared" si="1500"/>
        <v>0</v>
      </c>
      <c r="VZ134" s="120"/>
      <c r="WA134" s="120"/>
      <c r="WB134" s="207"/>
      <c r="WC134" s="207"/>
      <c r="WD134" s="207"/>
      <c r="WE134" s="272"/>
      <c r="WF134" s="272"/>
      <c r="WG134" s="205">
        <f t="shared" si="1501"/>
        <v>0</v>
      </c>
      <c r="WH134" s="205">
        <f t="shared" si="1502"/>
        <v>2350</v>
      </c>
      <c r="WI134" s="207"/>
      <c r="WJ134" s="207"/>
      <c r="WK134" s="207"/>
      <c r="WL134" s="207"/>
      <c r="WM134" s="207"/>
      <c r="WN134" s="272"/>
      <c r="WO134" s="272"/>
      <c r="WP134" s="205">
        <f t="shared" si="1503"/>
        <v>0</v>
      </c>
      <c r="WQ134" s="207"/>
      <c r="WR134" s="120">
        <v>1880</v>
      </c>
      <c r="WS134" s="120"/>
      <c r="WT134" s="207"/>
      <c r="WU134" s="207"/>
      <c r="WV134" s="272"/>
      <c r="WW134" s="272"/>
      <c r="WX134" s="205">
        <f t="shared" si="1504"/>
        <v>1880</v>
      </c>
      <c r="WY134" s="207"/>
      <c r="WZ134" s="207"/>
      <c r="XA134" s="207"/>
      <c r="XB134" s="207"/>
      <c r="XC134" s="272"/>
      <c r="XD134" s="272"/>
      <c r="XE134" s="272"/>
      <c r="XF134" s="205">
        <f t="shared" si="1505"/>
        <v>0</v>
      </c>
      <c r="XG134" s="207"/>
      <c r="XH134" s="207"/>
      <c r="XI134" s="207"/>
      <c r="XJ134" s="207"/>
      <c r="XK134" s="207"/>
      <c r="XL134" s="272"/>
      <c r="XM134" s="272"/>
      <c r="XN134" s="205">
        <f t="shared" si="1506"/>
        <v>0</v>
      </c>
      <c r="XO134" s="207"/>
      <c r="XP134" s="207"/>
      <c r="XQ134" s="207"/>
      <c r="XR134" s="207"/>
      <c r="XS134" s="207"/>
      <c r="XT134" s="272"/>
      <c r="XU134" s="272"/>
      <c r="XV134" s="205">
        <f t="shared" si="1507"/>
        <v>0</v>
      </c>
      <c r="XW134" s="205">
        <f t="shared" si="1508"/>
        <v>1880</v>
      </c>
      <c r="XX134" s="207"/>
      <c r="XY134" s="207"/>
      <c r="XZ134" s="207"/>
      <c r="YA134" s="207"/>
      <c r="YB134" s="207"/>
      <c r="YC134" s="272"/>
      <c r="YD134" s="272"/>
      <c r="YE134" s="205">
        <f t="shared" si="1509"/>
        <v>0</v>
      </c>
      <c r="YF134" s="207"/>
      <c r="YG134" s="207"/>
      <c r="YH134" s="207"/>
      <c r="YI134" s="207"/>
      <c r="YJ134" s="207"/>
      <c r="YK134" s="272"/>
      <c r="YL134" s="272"/>
      <c r="YM134" s="205">
        <f t="shared" si="1510"/>
        <v>0</v>
      </c>
      <c r="YN134" s="207"/>
      <c r="YO134" s="207"/>
      <c r="YP134" s="207"/>
      <c r="YQ134" s="207"/>
      <c r="YR134" s="207"/>
      <c r="YS134" s="272"/>
      <c r="YT134" s="272"/>
      <c r="YU134" s="205">
        <f t="shared" si="1511"/>
        <v>0</v>
      </c>
      <c r="YV134" s="207"/>
      <c r="YW134" s="207"/>
      <c r="YX134" s="207"/>
      <c r="YY134" s="207"/>
      <c r="YZ134" s="207"/>
      <c r="ZA134" s="272"/>
      <c r="ZB134" s="272"/>
      <c r="ZC134" s="205">
        <f t="shared" si="1512"/>
        <v>0</v>
      </c>
      <c r="ZD134" s="205">
        <f t="shared" si="1513"/>
        <v>1880</v>
      </c>
      <c r="ZE134" s="207"/>
      <c r="ZF134" s="207"/>
      <c r="ZG134" s="207"/>
      <c r="ZH134" s="207"/>
      <c r="ZI134" s="207"/>
      <c r="ZJ134" s="272"/>
      <c r="ZK134" s="272"/>
      <c r="ZL134" s="205">
        <f t="shared" si="1514"/>
        <v>0</v>
      </c>
      <c r="ZM134" s="207"/>
      <c r="ZN134" s="207"/>
      <c r="ZO134" s="207"/>
      <c r="ZP134" s="207"/>
      <c r="ZQ134" s="207"/>
      <c r="ZR134" s="272"/>
      <c r="ZS134" s="272"/>
      <c r="ZT134" s="205">
        <f t="shared" si="1515"/>
        <v>0</v>
      </c>
      <c r="ZU134" s="207"/>
      <c r="ZV134" s="207"/>
      <c r="ZW134" s="207"/>
      <c r="ZX134" s="207"/>
      <c r="ZY134" s="207"/>
      <c r="ZZ134" s="272"/>
      <c r="AAA134" s="272"/>
      <c r="AAB134" s="205">
        <f t="shared" si="1516"/>
        <v>0</v>
      </c>
      <c r="AAC134" s="207"/>
      <c r="AAD134" s="207"/>
      <c r="AAE134" s="207"/>
      <c r="AAF134" s="207"/>
      <c r="AAG134" s="207"/>
      <c r="AAH134" s="272"/>
      <c r="AAI134" s="272"/>
      <c r="AAJ134" s="205">
        <f t="shared" si="1517"/>
        <v>0</v>
      </c>
      <c r="AAK134" s="207"/>
      <c r="AAL134" s="207"/>
      <c r="AAM134" s="207"/>
      <c r="AAN134" s="207"/>
      <c r="AAO134" s="207"/>
      <c r="AAP134" s="272"/>
      <c r="AAQ134" s="272"/>
      <c r="AAR134" s="205">
        <f t="shared" si="1518"/>
        <v>0</v>
      </c>
      <c r="AAS134" s="205">
        <f t="shared" si="1519"/>
        <v>0</v>
      </c>
    </row>
    <row r="135" spans="1:721" ht="69.95" customHeight="1">
      <c r="B135" s="130">
        <v>3631101402</v>
      </c>
      <c r="C135" s="146" t="s">
        <v>515</v>
      </c>
      <c r="D135" s="173" t="s">
        <v>535</v>
      </c>
      <c r="E135" s="130" t="s">
        <v>4</v>
      </c>
      <c r="F135" s="120"/>
      <c r="G135" s="120"/>
      <c r="H135" s="120"/>
      <c r="I135" s="120"/>
      <c r="J135" s="120"/>
      <c r="K135" s="209"/>
      <c r="L135" s="205"/>
      <c r="M135" s="205">
        <f t="shared" si="1520"/>
        <v>0</v>
      </c>
      <c r="N135" s="120"/>
      <c r="O135" s="124">
        <v>940</v>
      </c>
      <c r="P135" s="120"/>
      <c r="Q135" s="120"/>
      <c r="R135" s="120"/>
      <c r="S135" s="209"/>
      <c r="T135" s="205"/>
      <c r="U135" s="205">
        <f t="shared" si="1521"/>
        <v>940</v>
      </c>
      <c r="V135" s="120"/>
      <c r="W135" s="120"/>
      <c r="X135" s="120"/>
      <c r="Y135" s="120"/>
      <c r="Z135" s="120"/>
      <c r="AA135" s="209"/>
      <c r="AB135" s="205"/>
      <c r="AC135" s="205">
        <f t="shared" si="1522"/>
        <v>0</v>
      </c>
      <c r="AD135" s="205"/>
      <c r="AE135" s="205"/>
      <c r="AF135" s="205"/>
      <c r="AG135" s="205"/>
      <c r="AH135" s="205"/>
      <c r="AI135" s="209"/>
      <c r="AJ135" s="205"/>
      <c r="AK135" s="205">
        <f t="shared" si="1523"/>
        <v>0</v>
      </c>
      <c r="AL135" s="205" t="e">
        <f>SUM(#REF!,M135,U135,AC135,AD135:AH135)</f>
        <v>#REF!</v>
      </c>
      <c r="AM135" s="120"/>
      <c r="AN135" s="120"/>
      <c r="AO135" s="120"/>
      <c r="AP135" s="120"/>
      <c r="AQ135" s="120"/>
      <c r="AR135" s="209"/>
      <c r="AS135" s="205"/>
      <c r="AT135" s="205">
        <f t="shared" si="1524"/>
        <v>0</v>
      </c>
      <c r="AU135" s="120"/>
      <c r="AV135" s="120"/>
      <c r="AW135" s="120"/>
      <c r="AX135" s="120"/>
      <c r="AY135" s="120"/>
      <c r="AZ135" s="209"/>
      <c r="BA135" s="205"/>
      <c r="BB135" s="205">
        <f t="shared" si="1525"/>
        <v>0</v>
      </c>
      <c r="BC135" s="120"/>
      <c r="BD135" s="124">
        <v>940</v>
      </c>
      <c r="BE135" s="120"/>
      <c r="BF135" s="120"/>
      <c r="BG135" s="120"/>
      <c r="BH135" s="209"/>
      <c r="BI135" s="205"/>
      <c r="BJ135" s="205">
        <f t="shared" si="1526"/>
        <v>940</v>
      </c>
      <c r="BK135" s="120"/>
      <c r="BL135" s="120"/>
      <c r="BM135" s="120"/>
      <c r="BN135" s="120"/>
      <c r="BO135" s="205"/>
      <c r="BP135" s="209"/>
      <c r="BQ135" s="205"/>
      <c r="BR135" s="205">
        <f t="shared" si="1527"/>
        <v>0</v>
      </c>
      <c r="BS135" s="205">
        <f t="shared" si="1427"/>
        <v>940</v>
      </c>
      <c r="BT135" s="120"/>
      <c r="BU135" s="120"/>
      <c r="BV135" s="120"/>
      <c r="BW135" s="120"/>
      <c r="BX135" s="120"/>
      <c r="BY135" s="209"/>
      <c r="BZ135" s="205"/>
      <c r="CA135" s="205">
        <f t="shared" si="1528"/>
        <v>0</v>
      </c>
      <c r="CB135" s="120"/>
      <c r="CC135" s="120"/>
      <c r="CD135" s="120"/>
      <c r="CE135" s="120"/>
      <c r="CF135" s="250">
        <v>875</v>
      </c>
      <c r="CG135" s="209"/>
      <c r="CH135" s="205"/>
      <c r="CI135" s="205">
        <f t="shared" si="1529"/>
        <v>875</v>
      </c>
      <c r="CJ135" s="120"/>
      <c r="CK135" s="120"/>
      <c r="CL135" s="120"/>
      <c r="CM135" s="120"/>
      <c r="CN135" s="120"/>
      <c r="CO135" s="209"/>
      <c r="CP135" s="205"/>
      <c r="CQ135" s="205">
        <f t="shared" si="1530"/>
        <v>0</v>
      </c>
      <c r="CR135" s="120"/>
      <c r="CS135" s="120"/>
      <c r="CT135" s="120"/>
      <c r="CU135" s="120"/>
      <c r="CV135" s="120"/>
      <c r="CW135" s="209"/>
      <c r="CX135" s="205"/>
      <c r="CY135" s="205">
        <f t="shared" si="1531"/>
        <v>0</v>
      </c>
      <c r="CZ135" s="120"/>
      <c r="DA135" s="120"/>
      <c r="DB135" s="120"/>
      <c r="DC135" s="205"/>
      <c r="DD135" s="205"/>
      <c r="DE135" s="209"/>
      <c r="DF135" s="205"/>
      <c r="DG135" s="205">
        <f t="shared" si="1532"/>
        <v>0</v>
      </c>
      <c r="DH135" s="205">
        <f t="shared" si="1428"/>
        <v>875</v>
      </c>
      <c r="DI135" s="120"/>
      <c r="DJ135" s="120"/>
      <c r="DK135" s="120"/>
      <c r="DL135" s="120"/>
      <c r="DM135" s="120"/>
      <c r="DN135" s="209"/>
      <c r="DO135" s="205"/>
      <c r="DP135" s="205">
        <f t="shared" si="1432"/>
        <v>0</v>
      </c>
      <c r="DQ135" s="120"/>
      <c r="DR135" s="120"/>
      <c r="DS135" s="120"/>
      <c r="DT135" s="120"/>
      <c r="DU135" s="250">
        <v>810</v>
      </c>
      <c r="DV135" s="209"/>
      <c r="DW135" s="205"/>
      <c r="DX135" s="205">
        <f t="shared" si="1433"/>
        <v>810</v>
      </c>
      <c r="DY135" s="120"/>
      <c r="DZ135" s="120"/>
      <c r="EA135" s="120"/>
      <c r="EB135" s="120"/>
      <c r="EC135" s="120"/>
      <c r="ED135" s="209"/>
      <c r="EE135" s="205"/>
      <c r="EF135" s="205">
        <f t="shared" si="1434"/>
        <v>0</v>
      </c>
      <c r="EG135" s="120"/>
      <c r="EH135" s="120"/>
      <c r="EI135" s="120"/>
      <c r="EJ135" s="205"/>
      <c r="EK135" s="205"/>
      <c r="EL135" s="209"/>
      <c r="EM135" s="205"/>
      <c r="EN135" s="205">
        <f t="shared" si="1435"/>
        <v>0</v>
      </c>
      <c r="EO135" s="205">
        <f t="shared" si="1429"/>
        <v>810</v>
      </c>
      <c r="EP135" s="120"/>
      <c r="EQ135" s="120"/>
      <c r="ER135" s="120"/>
      <c r="ES135" s="120"/>
      <c r="ET135" s="250">
        <v>910</v>
      </c>
      <c r="EU135" s="209"/>
      <c r="EV135" s="205"/>
      <c r="EW135" s="205">
        <f t="shared" si="1436"/>
        <v>910</v>
      </c>
      <c r="EX135" s="120"/>
      <c r="EY135" s="120"/>
      <c r="EZ135" s="120"/>
      <c r="FA135" s="120"/>
      <c r="FB135" s="120"/>
      <c r="FC135" s="209"/>
      <c r="FD135" s="205"/>
      <c r="FE135" s="205">
        <f t="shared" si="1437"/>
        <v>0</v>
      </c>
      <c r="FF135" s="120"/>
      <c r="FG135" s="120"/>
      <c r="FH135" s="120"/>
      <c r="FI135" s="123">
        <v>740</v>
      </c>
      <c r="FJ135" s="120"/>
      <c r="FK135" s="209"/>
      <c r="FL135" s="205"/>
      <c r="FM135" s="205">
        <f t="shared" si="1438"/>
        <v>740</v>
      </c>
      <c r="FN135" s="120"/>
      <c r="FO135" s="120"/>
      <c r="FP135" s="120"/>
      <c r="FQ135" s="120"/>
      <c r="FR135" s="205"/>
      <c r="FS135" s="209"/>
      <c r="FT135" s="205"/>
      <c r="FU135" s="205">
        <f t="shared" si="1439"/>
        <v>0</v>
      </c>
      <c r="FV135" s="205">
        <f t="shared" si="1430"/>
        <v>1650</v>
      </c>
      <c r="FW135" s="120"/>
      <c r="FX135" s="120"/>
      <c r="FY135" s="120"/>
      <c r="FZ135" s="120"/>
      <c r="GA135" s="120"/>
      <c r="GB135" s="209"/>
      <c r="GC135" s="205"/>
      <c r="GD135" s="205">
        <f t="shared" si="1440"/>
        <v>0</v>
      </c>
      <c r="GE135" s="120"/>
      <c r="GF135" s="120"/>
      <c r="GG135" s="120"/>
      <c r="GH135" s="120"/>
      <c r="GI135" s="250">
        <v>1180</v>
      </c>
      <c r="GJ135" s="209"/>
      <c r="GK135" s="205"/>
      <c r="GL135" s="205">
        <f t="shared" si="1441"/>
        <v>1180</v>
      </c>
      <c r="GM135" s="120"/>
      <c r="GN135" s="120"/>
      <c r="GO135" s="120"/>
      <c r="GP135" s="120"/>
      <c r="GQ135" s="120"/>
      <c r="GR135" s="209"/>
      <c r="GS135" s="205"/>
      <c r="GT135" s="205">
        <f t="shared" si="1442"/>
        <v>0</v>
      </c>
      <c r="GU135" s="120"/>
      <c r="GV135" s="120"/>
      <c r="GW135" s="120"/>
      <c r="GX135" s="120"/>
      <c r="GY135" s="120"/>
      <c r="GZ135" s="209"/>
      <c r="HA135" s="205"/>
      <c r="HB135" s="205">
        <f t="shared" si="1443"/>
        <v>0</v>
      </c>
      <c r="HC135" s="120"/>
      <c r="HD135" s="120"/>
      <c r="HE135" s="120"/>
      <c r="HF135" s="120"/>
      <c r="HG135" s="120"/>
      <c r="HH135" s="209"/>
      <c r="HI135" s="205"/>
      <c r="HJ135" s="205">
        <f t="shared" si="1444"/>
        <v>0</v>
      </c>
      <c r="HK135" s="205">
        <f t="shared" si="1431"/>
        <v>1180</v>
      </c>
      <c r="HL135" s="124"/>
      <c r="HM135" s="120"/>
      <c r="HN135" s="120"/>
      <c r="HO135" s="201">
        <v>1280</v>
      </c>
      <c r="HP135" s="120"/>
      <c r="HQ135" s="205"/>
      <c r="HR135" s="205"/>
      <c r="HS135" s="205">
        <f t="shared" si="1445"/>
        <v>1280</v>
      </c>
      <c r="HT135" s="120"/>
      <c r="HU135" s="120"/>
      <c r="HV135" s="120"/>
      <c r="HW135" s="120"/>
      <c r="HX135" s="120"/>
      <c r="HY135" s="205"/>
      <c r="HZ135" s="205"/>
      <c r="IA135" s="205">
        <f t="shared" si="1446"/>
        <v>0</v>
      </c>
      <c r="IB135" s="120"/>
      <c r="IC135" s="120"/>
      <c r="ID135" s="120"/>
      <c r="IE135" s="120"/>
      <c r="IF135" s="120"/>
      <c r="IG135" s="205"/>
      <c r="IH135" s="205"/>
      <c r="II135" s="205">
        <f t="shared" si="1447"/>
        <v>0</v>
      </c>
      <c r="IJ135" s="120"/>
      <c r="IK135" s="120"/>
      <c r="IL135" s="120"/>
      <c r="IM135" s="120"/>
      <c r="IN135" s="120"/>
      <c r="IO135" s="205"/>
      <c r="IP135" s="205"/>
      <c r="IQ135" s="205">
        <f t="shared" si="1448"/>
        <v>0</v>
      </c>
      <c r="IR135" s="205">
        <f t="shared" si="1449"/>
        <v>1280</v>
      </c>
      <c r="IS135" s="120"/>
      <c r="IT135" s="120"/>
      <c r="IU135" s="120"/>
      <c r="IV135" s="120"/>
      <c r="IW135" s="217">
        <v>910</v>
      </c>
      <c r="IX135" s="205"/>
      <c r="IY135" s="205"/>
      <c r="IZ135" s="205">
        <f t="shared" si="1450"/>
        <v>910</v>
      </c>
      <c r="JA135" s="120"/>
      <c r="JB135" s="120"/>
      <c r="JC135" s="120"/>
      <c r="JD135" s="120"/>
      <c r="JE135" s="120"/>
      <c r="JF135" s="205"/>
      <c r="JG135" s="205"/>
      <c r="JH135" s="205">
        <f t="shared" si="1451"/>
        <v>0</v>
      </c>
      <c r="JI135" s="120"/>
      <c r="JJ135" s="120"/>
      <c r="JK135" s="120"/>
      <c r="JL135" s="120"/>
      <c r="JM135" s="120"/>
      <c r="JN135" s="205"/>
      <c r="JO135" s="205"/>
      <c r="JP135" s="205">
        <f t="shared" si="1452"/>
        <v>0</v>
      </c>
      <c r="JQ135" s="120"/>
      <c r="JR135" s="120"/>
      <c r="JS135" s="120"/>
      <c r="JT135" s="120"/>
      <c r="JU135" s="124">
        <v>705</v>
      </c>
      <c r="JV135" s="205"/>
      <c r="JW135" s="205"/>
      <c r="JX135" s="205">
        <f t="shared" si="1453"/>
        <v>705</v>
      </c>
      <c r="JY135" s="205">
        <f t="shared" si="1454"/>
        <v>1615</v>
      </c>
      <c r="JZ135" s="120"/>
      <c r="KA135" s="120"/>
      <c r="KB135" s="120"/>
      <c r="KC135" s="120"/>
      <c r="KD135" s="120"/>
      <c r="KE135" s="205"/>
      <c r="KF135" s="205"/>
      <c r="KG135" s="205">
        <f t="shared" si="1455"/>
        <v>0</v>
      </c>
      <c r="KH135" s="120"/>
      <c r="KI135" s="120"/>
      <c r="KJ135" s="120"/>
      <c r="KK135" s="120"/>
      <c r="KL135" s="206">
        <v>1480</v>
      </c>
      <c r="KM135" s="205"/>
      <c r="KN135" s="205"/>
      <c r="KO135" s="205">
        <f t="shared" si="1456"/>
        <v>1480</v>
      </c>
      <c r="KP135" s="120"/>
      <c r="KQ135" s="120"/>
      <c r="KR135" s="120"/>
      <c r="KS135" s="120"/>
      <c r="KT135" s="120"/>
      <c r="KU135" s="205"/>
      <c r="KV135" s="205"/>
      <c r="KW135" s="205">
        <f t="shared" si="1457"/>
        <v>0</v>
      </c>
      <c r="KX135" s="120"/>
      <c r="KY135" s="120"/>
      <c r="KZ135" s="120"/>
      <c r="LA135" s="120"/>
      <c r="LB135" s="120"/>
      <c r="LC135" s="205"/>
      <c r="LD135" s="205"/>
      <c r="LE135" s="205">
        <f t="shared" si="1458"/>
        <v>0</v>
      </c>
      <c r="LF135" s="205"/>
      <c r="LG135" s="120"/>
      <c r="LH135" s="120"/>
      <c r="LI135" s="120"/>
      <c r="LJ135" s="120"/>
      <c r="LK135" s="205"/>
      <c r="LL135" s="205"/>
      <c r="LM135" s="205">
        <f t="shared" si="1459"/>
        <v>0</v>
      </c>
      <c r="LN135" s="205">
        <f t="shared" si="1460"/>
        <v>1480</v>
      </c>
      <c r="LO135" s="205"/>
      <c r="LP135" s="120"/>
      <c r="LQ135" s="120"/>
      <c r="LR135" s="120"/>
      <c r="LS135" s="205"/>
      <c r="LT135" s="205"/>
      <c r="LU135" s="205"/>
      <c r="LV135" s="205">
        <f t="shared" si="1461"/>
        <v>0</v>
      </c>
      <c r="LW135" s="120"/>
      <c r="LX135" s="120"/>
      <c r="LY135" s="120"/>
      <c r="LZ135" s="120"/>
      <c r="MA135" s="120"/>
      <c r="MB135" s="205"/>
      <c r="MC135" s="205"/>
      <c r="MD135" s="205">
        <f t="shared" si="1462"/>
        <v>0</v>
      </c>
      <c r="ME135" s="201">
        <v>1110</v>
      </c>
      <c r="MF135" s="120"/>
      <c r="MG135" s="120"/>
      <c r="MH135" s="120"/>
      <c r="MI135" s="205"/>
      <c r="MJ135" s="205"/>
      <c r="MK135" s="205"/>
      <c r="ML135" s="205">
        <f t="shared" si="1463"/>
        <v>1110</v>
      </c>
      <c r="MM135" s="120"/>
      <c r="MN135" s="120"/>
      <c r="MO135" s="120"/>
      <c r="MP135" s="120"/>
      <c r="MQ135" s="120"/>
      <c r="MR135" s="205"/>
      <c r="MS135" s="205"/>
      <c r="MT135" s="205">
        <f t="shared" si="1464"/>
        <v>0</v>
      </c>
      <c r="MU135" s="205">
        <f t="shared" si="1465"/>
        <v>1110</v>
      </c>
      <c r="MV135" s="120"/>
      <c r="MW135" s="120"/>
      <c r="MX135" s="120"/>
      <c r="MY135" s="120"/>
      <c r="MZ135" s="120"/>
      <c r="NA135" s="205"/>
      <c r="NB135" s="205"/>
      <c r="NC135" s="205">
        <f t="shared" si="1466"/>
        <v>0</v>
      </c>
      <c r="ND135" s="120"/>
      <c r="NE135" s="120"/>
      <c r="NF135" s="120"/>
      <c r="NG135" s="120"/>
      <c r="NH135" s="120"/>
      <c r="NI135" s="205"/>
      <c r="NJ135" s="205"/>
      <c r="NK135" s="205">
        <f t="shared" si="1467"/>
        <v>0</v>
      </c>
      <c r="NL135" s="120"/>
      <c r="NM135" s="120"/>
      <c r="NN135" s="124">
        <v>1380</v>
      </c>
      <c r="NO135" s="120"/>
      <c r="NP135" s="120"/>
      <c r="NQ135" s="205"/>
      <c r="NR135" s="205"/>
      <c r="NS135" s="205">
        <f t="shared" si="1468"/>
        <v>1380</v>
      </c>
      <c r="NT135" s="120"/>
      <c r="NU135" s="120"/>
      <c r="NV135" s="120"/>
      <c r="NW135" s="120"/>
      <c r="NX135" s="120"/>
      <c r="NY135" s="205"/>
      <c r="NZ135" s="205"/>
      <c r="OA135" s="205">
        <f t="shared" si="1469"/>
        <v>0</v>
      </c>
      <c r="OB135" s="205">
        <f t="shared" si="1470"/>
        <v>1380</v>
      </c>
      <c r="OC135" s="120"/>
      <c r="OD135" s="120"/>
      <c r="OE135" s="120"/>
      <c r="OF135" s="120"/>
      <c r="OG135" s="120"/>
      <c r="OH135" s="205"/>
      <c r="OI135" s="205"/>
      <c r="OJ135" s="205">
        <f t="shared" si="1471"/>
        <v>0</v>
      </c>
      <c r="OK135" s="120"/>
      <c r="OL135" s="120"/>
      <c r="OM135" s="120"/>
      <c r="ON135" s="124">
        <v>1480</v>
      </c>
      <c r="OO135" s="120"/>
      <c r="OP135" s="205"/>
      <c r="OQ135" s="205"/>
      <c r="OR135" s="205">
        <f t="shared" si="1472"/>
        <v>1480</v>
      </c>
      <c r="OS135" s="120"/>
      <c r="OT135" s="120"/>
      <c r="OU135" s="120"/>
      <c r="OV135" s="120"/>
      <c r="OW135" s="120"/>
      <c r="OX135" s="205"/>
      <c r="OY135" s="205"/>
      <c r="OZ135" s="205">
        <f t="shared" si="1473"/>
        <v>0</v>
      </c>
      <c r="PA135" s="120"/>
      <c r="PB135" s="120"/>
      <c r="PC135" s="120"/>
      <c r="PD135" s="205"/>
      <c r="PE135" s="217"/>
      <c r="PF135" s="205"/>
      <c r="PG135" s="205"/>
      <c r="PH135" s="205">
        <f t="shared" si="1474"/>
        <v>0</v>
      </c>
      <c r="PI135" s="120"/>
      <c r="PJ135" s="120"/>
      <c r="PK135" s="195">
        <v>1480</v>
      </c>
      <c r="PL135" s="205"/>
      <c r="PM135" s="217"/>
      <c r="PN135" s="205"/>
      <c r="PO135" s="205"/>
      <c r="PP135" s="205">
        <f t="shared" si="1475"/>
        <v>1480</v>
      </c>
      <c r="PQ135" s="205">
        <f t="shared" si="1476"/>
        <v>2960</v>
      </c>
      <c r="PR135" s="207"/>
      <c r="PS135" s="207"/>
      <c r="PT135" s="207"/>
      <c r="PU135" s="207"/>
      <c r="PV135" s="207"/>
      <c r="PW135" s="272"/>
      <c r="PX135" s="272"/>
      <c r="PY135" s="205">
        <f t="shared" si="1477"/>
        <v>0</v>
      </c>
      <c r="PZ135" s="207"/>
      <c r="QA135" s="207"/>
      <c r="QB135" s="207"/>
      <c r="QC135" s="207"/>
      <c r="QD135" s="207"/>
      <c r="QE135" s="272"/>
      <c r="QF135" s="272"/>
      <c r="QG135" s="205">
        <f t="shared" si="1478"/>
        <v>0</v>
      </c>
      <c r="QH135" s="207"/>
      <c r="QI135" s="207"/>
      <c r="QJ135" s="294"/>
      <c r="QK135" s="207"/>
      <c r="QL135" s="207"/>
      <c r="QM135" s="272"/>
      <c r="QN135" s="272"/>
      <c r="QO135" s="205">
        <f t="shared" si="1479"/>
        <v>0</v>
      </c>
      <c r="QP135" s="207"/>
      <c r="QQ135" s="207"/>
      <c r="QR135" s="207"/>
      <c r="QS135" s="207"/>
      <c r="QT135" s="207"/>
      <c r="QU135" s="272"/>
      <c r="QV135" s="272"/>
      <c r="QW135" s="205">
        <f t="shared" si="1480"/>
        <v>0</v>
      </c>
      <c r="QX135" s="205">
        <f t="shared" si="1481"/>
        <v>0</v>
      </c>
      <c r="QY135" s="207"/>
      <c r="QZ135" s="120"/>
      <c r="RA135" s="120"/>
      <c r="RB135" s="124">
        <v>880</v>
      </c>
      <c r="RC135" s="207"/>
      <c r="RD135" s="272"/>
      <c r="RE135" s="272"/>
      <c r="RF135" s="205">
        <f t="shared" si="1482"/>
        <v>880</v>
      </c>
      <c r="RG135" s="207"/>
      <c r="RH135" s="120"/>
      <c r="RI135" s="207"/>
      <c r="RJ135" s="207"/>
      <c r="RK135" s="207"/>
      <c r="RL135" s="272"/>
      <c r="RM135" s="272"/>
      <c r="RN135" s="205">
        <f t="shared" si="1483"/>
        <v>0</v>
      </c>
      <c r="RO135" s="272"/>
      <c r="RP135" s="272"/>
      <c r="RQ135" s="272"/>
      <c r="RR135" s="272"/>
      <c r="RS135" s="272"/>
      <c r="RT135" s="272"/>
      <c r="RU135" s="272"/>
      <c r="RV135" s="205">
        <f t="shared" si="1484"/>
        <v>0</v>
      </c>
      <c r="RW135" s="207"/>
      <c r="RX135" s="207"/>
      <c r="RY135" s="207"/>
      <c r="RZ135" s="207"/>
      <c r="SA135" s="272"/>
      <c r="SB135" s="272"/>
      <c r="SC135" s="272"/>
      <c r="SD135" s="205">
        <f t="shared" si="1485"/>
        <v>0</v>
      </c>
      <c r="SE135" s="205">
        <f t="shared" si="1486"/>
        <v>880</v>
      </c>
      <c r="SF135" s="207"/>
      <c r="SG135" s="207"/>
      <c r="SH135" s="207"/>
      <c r="SI135" s="207"/>
      <c r="SJ135" s="207"/>
      <c r="SK135" s="272"/>
      <c r="SL135" s="272"/>
      <c r="SM135" s="205">
        <f t="shared" si="1487"/>
        <v>0</v>
      </c>
      <c r="SN135" s="120"/>
      <c r="SO135" s="120"/>
      <c r="SP135" s="217">
        <v>1680</v>
      </c>
      <c r="SQ135" s="120"/>
      <c r="SR135" s="207"/>
      <c r="SS135" s="272"/>
      <c r="ST135" s="272"/>
      <c r="SU135" s="205">
        <f t="shared" si="1488"/>
        <v>1680</v>
      </c>
      <c r="SV135" s="207"/>
      <c r="SW135" s="207"/>
      <c r="SX135" s="207"/>
      <c r="SY135" s="207"/>
      <c r="SZ135" s="207"/>
      <c r="TA135" s="272"/>
      <c r="TB135" s="272"/>
      <c r="TC135" s="205">
        <f t="shared" si="1489"/>
        <v>0</v>
      </c>
      <c r="TD135" s="207"/>
      <c r="TE135" s="207"/>
      <c r="TF135" s="207"/>
      <c r="TG135" s="123">
        <v>460</v>
      </c>
      <c r="TH135" s="207"/>
      <c r="TI135" s="272"/>
      <c r="TJ135" s="272"/>
      <c r="TK135" s="205">
        <f t="shared" si="1490"/>
        <v>460</v>
      </c>
      <c r="TL135" s="120"/>
      <c r="TM135" s="120"/>
      <c r="TN135" s="195">
        <v>1480</v>
      </c>
      <c r="TO135" s="207"/>
      <c r="TP135" s="272"/>
      <c r="TQ135" s="272"/>
      <c r="TR135" s="272"/>
      <c r="TS135" s="205">
        <f t="shared" si="1491"/>
        <v>1480</v>
      </c>
      <c r="TT135" s="205">
        <f t="shared" si="1492"/>
        <v>2140</v>
      </c>
      <c r="TU135" s="272"/>
      <c r="TV135" s="207"/>
      <c r="TW135" s="207"/>
      <c r="TX135" s="207"/>
      <c r="TY135" s="207"/>
      <c r="TZ135" s="272"/>
      <c r="UA135" s="272"/>
      <c r="UB135" s="205">
        <f t="shared" si="1493"/>
        <v>0</v>
      </c>
      <c r="UC135" s="120"/>
      <c r="UD135" s="207"/>
      <c r="UE135" s="207"/>
      <c r="UF135" s="207"/>
      <c r="UG135" s="207"/>
      <c r="UH135" s="272"/>
      <c r="UI135" s="272"/>
      <c r="UJ135" s="205">
        <f t="shared" ref="UJ135:UJ142" si="1533">SUM(UC135:UI135)</f>
        <v>0</v>
      </c>
      <c r="UK135" s="207"/>
      <c r="UL135" s="207"/>
      <c r="UM135" s="207"/>
      <c r="UN135" s="207"/>
      <c r="UO135" s="207"/>
      <c r="UP135" s="272"/>
      <c r="UQ135" s="272"/>
      <c r="UR135" s="205">
        <f t="shared" si="1495"/>
        <v>0</v>
      </c>
      <c r="US135" s="207"/>
      <c r="UT135" s="207"/>
      <c r="UU135" s="207"/>
      <c r="UV135" s="207"/>
      <c r="UW135" s="272"/>
      <c r="UX135" s="272"/>
      <c r="UY135" s="272"/>
      <c r="UZ135" s="205">
        <f t="shared" si="1496"/>
        <v>0</v>
      </c>
      <c r="VA135" s="205">
        <f t="shared" si="1497"/>
        <v>1480</v>
      </c>
      <c r="VB135" s="120"/>
      <c r="VC135" s="120"/>
      <c r="VD135" s="207"/>
      <c r="VE135" s="207"/>
      <c r="VF135" s="207"/>
      <c r="VG135" s="272"/>
      <c r="VH135" s="272"/>
      <c r="VI135" s="205">
        <f t="shared" si="1498"/>
        <v>0</v>
      </c>
      <c r="VJ135" s="120"/>
      <c r="VK135" s="120"/>
      <c r="VL135" s="195">
        <v>1750</v>
      </c>
      <c r="VM135" s="120"/>
      <c r="VN135" s="207"/>
      <c r="VO135" s="272"/>
      <c r="VP135" s="272"/>
      <c r="VQ135" s="205">
        <f t="shared" si="1499"/>
        <v>1750</v>
      </c>
      <c r="VR135" s="207"/>
      <c r="VS135" s="207"/>
      <c r="VT135" s="207"/>
      <c r="VU135" s="207"/>
      <c r="VV135" s="207"/>
      <c r="VW135" s="272"/>
      <c r="VX135" s="272"/>
      <c r="VY135" s="205">
        <f t="shared" si="1500"/>
        <v>0</v>
      </c>
      <c r="VZ135" s="120"/>
      <c r="WA135" s="120"/>
      <c r="WB135" s="120"/>
      <c r="WC135" s="207"/>
      <c r="WD135" s="207"/>
      <c r="WE135" s="272"/>
      <c r="WF135" s="272"/>
      <c r="WG135" s="205">
        <f t="shared" si="1501"/>
        <v>0</v>
      </c>
      <c r="WH135" s="205">
        <f t="shared" si="1502"/>
        <v>1750</v>
      </c>
      <c r="WI135" s="207"/>
      <c r="WJ135" s="207"/>
      <c r="WK135" s="207"/>
      <c r="WL135" s="207"/>
      <c r="WM135" s="207"/>
      <c r="WN135" s="272"/>
      <c r="WO135" s="272"/>
      <c r="WP135" s="205">
        <f t="shared" si="1503"/>
        <v>0</v>
      </c>
      <c r="WQ135" s="207"/>
      <c r="WR135" s="120"/>
      <c r="WS135" s="120"/>
      <c r="WT135" s="120">
        <v>1880</v>
      </c>
      <c r="WU135" s="207"/>
      <c r="WV135" s="272"/>
      <c r="WW135" s="272"/>
      <c r="WX135" s="205">
        <f t="shared" si="1504"/>
        <v>1880</v>
      </c>
      <c r="WY135" s="207"/>
      <c r="WZ135" s="207"/>
      <c r="XA135" s="207"/>
      <c r="XB135" s="207"/>
      <c r="XC135" s="272"/>
      <c r="XD135" s="272"/>
      <c r="XE135" s="272"/>
      <c r="XF135" s="205">
        <f t="shared" si="1505"/>
        <v>0</v>
      </c>
      <c r="XG135" s="207"/>
      <c r="XH135" s="207"/>
      <c r="XI135" s="207"/>
      <c r="XJ135" s="207"/>
      <c r="XK135" s="207"/>
      <c r="XL135" s="272"/>
      <c r="XM135" s="272"/>
      <c r="XN135" s="205">
        <f t="shared" si="1506"/>
        <v>0</v>
      </c>
      <c r="XO135" s="207"/>
      <c r="XP135" s="207"/>
      <c r="XQ135" s="207"/>
      <c r="XR135" s="207"/>
      <c r="XS135" s="207"/>
      <c r="XT135" s="272"/>
      <c r="XU135" s="272"/>
      <c r="XV135" s="205">
        <f t="shared" si="1507"/>
        <v>0</v>
      </c>
      <c r="XW135" s="205">
        <f t="shared" si="1508"/>
        <v>1880</v>
      </c>
      <c r="XX135" s="207"/>
      <c r="XY135" s="207"/>
      <c r="XZ135" s="207"/>
      <c r="YA135" s="207"/>
      <c r="YB135" s="207"/>
      <c r="YC135" s="272"/>
      <c r="YD135" s="272"/>
      <c r="YE135" s="205">
        <f t="shared" si="1509"/>
        <v>0</v>
      </c>
      <c r="YF135" s="207"/>
      <c r="YG135" s="207"/>
      <c r="YH135" s="207"/>
      <c r="YI135" s="207"/>
      <c r="YJ135" s="207"/>
      <c r="YK135" s="272"/>
      <c r="YL135" s="272"/>
      <c r="YM135" s="205">
        <f t="shared" si="1510"/>
        <v>0</v>
      </c>
      <c r="YN135" s="207"/>
      <c r="YO135" s="207"/>
      <c r="YP135" s="207"/>
      <c r="YQ135" s="207"/>
      <c r="YR135" s="207"/>
      <c r="YS135" s="272"/>
      <c r="YT135" s="272"/>
      <c r="YU135" s="205">
        <f t="shared" si="1511"/>
        <v>0</v>
      </c>
      <c r="YV135" s="207"/>
      <c r="YW135" s="207"/>
      <c r="YX135" s="207"/>
      <c r="YY135" s="207"/>
      <c r="YZ135" s="207"/>
      <c r="ZA135" s="272"/>
      <c r="ZB135" s="272"/>
      <c r="ZC135" s="205">
        <f t="shared" si="1512"/>
        <v>0</v>
      </c>
      <c r="ZD135" s="205">
        <f t="shared" si="1513"/>
        <v>1880</v>
      </c>
      <c r="ZE135" s="207"/>
      <c r="ZF135" s="207"/>
      <c r="ZG135" s="207"/>
      <c r="ZH135" s="207"/>
      <c r="ZI135" s="207"/>
      <c r="ZJ135" s="272"/>
      <c r="ZK135" s="272"/>
      <c r="ZL135" s="205">
        <f t="shared" si="1514"/>
        <v>0</v>
      </c>
      <c r="ZM135" s="207"/>
      <c r="ZN135" s="207"/>
      <c r="ZO135" s="207"/>
      <c r="ZP135" s="207"/>
      <c r="ZQ135" s="207"/>
      <c r="ZR135" s="272"/>
      <c r="ZS135" s="272"/>
      <c r="ZT135" s="205">
        <f t="shared" si="1515"/>
        <v>0</v>
      </c>
      <c r="ZU135" s="207"/>
      <c r="ZV135" s="207"/>
      <c r="ZW135" s="207"/>
      <c r="ZX135" s="207"/>
      <c r="ZY135" s="207"/>
      <c r="ZZ135" s="272"/>
      <c r="AAA135" s="272"/>
      <c r="AAB135" s="205">
        <f t="shared" si="1516"/>
        <v>0</v>
      </c>
      <c r="AAC135" s="207"/>
      <c r="AAD135" s="207"/>
      <c r="AAE135" s="207"/>
      <c r="AAF135" s="207"/>
      <c r="AAG135" s="207"/>
      <c r="AAH135" s="272"/>
      <c r="AAI135" s="272"/>
      <c r="AAJ135" s="205">
        <f t="shared" si="1517"/>
        <v>0</v>
      </c>
      <c r="AAK135" s="207"/>
      <c r="AAL135" s="207"/>
      <c r="AAM135" s="207"/>
      <c r="AAN135" s="207"/>
      <c r="AAO135" s="207"/>
      <c r="AAP135" s="272"/>
      <c r="AAQ135" s="272"/>
      <c r="AAR135" s="205">
        <f t="shared" si="1518"/>
        <v>0</v>
      </c>
      <c r="AAS135" s="205">
        <f t="shared" si="1519"/>
        <v>0</v>
      </c>
    </row>
    <row r="136" spans="1:721" ht="69.95" customHeight="1">
      <c r="B136" s="130">
        <v>3631101412</v>
      </c>
      <c r="C136" s="334" t="s">
        <v>516</v>
      </c>
      <c r="D136" s="197" t="s">
        <v>305</v>
      </c>
      <c r="E136" s="130" t="s">
        <v>4</v>
      </c>
      <c r="F136" s="120"/>
      <c r="G136" s="120"/>
      <c r="H136" s="120"/>
      <c r="I136" s="120"/>
      <c r="J136" s="120"/>
      <c r="K136" s="209"/>
      <c r="L136" s="205"/>
      <c r="M136" s="205">
        <f t="shared" si="1520"/>
        <v>0</v>
      </c>
      <c r="N136" s="120"/>
      <c r="O136" s="120"/>
      <c r="P136" s="120"/>
      <c r="Q136" s="120"/>
      <c r="R136" s="120"/>
      <c r="S136" s="209"/>
      <c r="T136" s="205"/>
      <c r="U136" s="205">
        <f t="shared" si="1521"/>
        <v>0</v>
      </c>
      <c r="V136" s="120"/>
      <c r="W136" s="120"/>
      <c r="X136" s="120"/>
      <c r="Y136" s="120"/>
      <c r="Z136" s="120"/>
      <c r="AA136" s="209"/>
      <c r="AB136" s="205"/>
      <c r="AC136" s="205">
        <f t="shared" si="1522"/>
        <v>0</v>
      </c>
      <c r="AD136" s="205"/>
      <c r="AE136" s="205"/>
      <c r="AF136" s="205"/>
      <c r="AG136" s="205"/>
      <c r="AH136" s="205"/>
      <c r="AI136" s="209"/>
      <c r="AJ136" s="205"/>
      <c r="AK136" s="205">
        <f t="shared" si="1523"/>
        <v>0</v>
      </c>
      <c r="AL136" s="205" t="e">
        <f>SUM(#REF!,M136,U136,AC136,AD136:AH136)</f>
        <v>#REF!</v>
      </c>
      <c r="AM136" s="120"/>
      <c r="AN136" s="120"/>
      <c r="AO136" s="120"/>
      <c r="AP136" s="120"/>
      <c r="AQ136" s="120"/>
      <c r="AR136" s="209"/>
      <c r="AS136" s="205"/>
      <c r="AT136" s="205">
        <f t="shared" si="1524"/>
        <v>0</v>
      </c>
      <c r="AU136" s="120"/>
      <c r="AV136" s="120"/>
      <c r="AW136" s="120"/>
      <c r="AX136" s="120"/>
      <c r="AY136" s="120"/>
      <c r="AZ136" s="209"/>
      <c r="BA136" s="205"/>
      <c r="BB136" s="205">
        <f t="shared" si="1525"/>
        <v>0</v>
      </c>
      <c r="BC136" s="120"/>
      <c r="BD136" s="120"/>
      <c r="BE136" s="120"/>
      <c r="BF136" s="120"/>
      <c r="BG136" s="120"/>
      <c r="BH136" s="209"/>
      <c r="BI136" s="205"/>
      <c r="BJ136" s="205">
        <f t="shared" si="1526"/>
        <v>0</v>
      </c>
      <c r="BK136" s="120"/>
      <c r="BL136" s="120"/>
      <c r="BM136" s="120"/>
      <c r="BN136" s="120"/>
      <c r="BO136" s="205"/>
      <c r="BP136" s="209"/>
      <c r="BQ136" s="205"/>
      <c r="BR136" s="205">
        <f t="shared" si="1527"/>
        <v>0</v>
      </c>
      <c r="BS136" s="205">
        <f t="shared" si="1427"/>
        <v>0</v>
      </c>
      <c r="BT136" s="120"/>
      <c r="BU136" s="120"/>
      <c r="BV136" s="120"/>
      <c r="BW136" s="120"/>
      <c r="BX136" s="120"/>
      <c r="BY136" s="209"/>
      <c r="BZ136" s="205"/>
      <c r="CA136" s="205">
        <f t="shared" si="1528"/>
        <v>0</v>
      </c>
      <c r="CB136" s="120"/>
      <c r="CC136" s="120"/>
      <c r="CD136" s="120"/>
      <c r="CE136" s="120"/>
      <c r="CF136" s="250">
        <v>300</v>
      </c>
      <c r="CG136" s="209"/>
      <c r="CH136" s="205"/>
      <c r="CI136" s="205">
        <f t="shared" si="1529"/>
        <v>300</v>
      </c>
      <c r="CJ136" s="120"/>
      <c r="CK136" s="120"/>
      <c r="CL136" s="120"/>
      <c r="CM136" s="120"/>
      <c r="CN136" s="120"/>
      <c r="CO136" s="209"/>
      <c r="CP136" s="205"/>
      <c r="CQ136" s="205">
        <f t="shared" si="1530"/>
        <v>0</v>
      </c>
      <c r="CR136" s="120"/>
      <c r="CS136" s="120"/>
      <c r="CT136" s="120"/>
      <c r="CU136" s="120"/>
      <c r="CV136" s="120"/>
      <c r="CW136" s="209"/>
      <c r="CX136" s="205"/>
      <c r="CY136" s="205">
        <f t="shared" si="1531"/>
        <v>0</v>
      </c>
      <c r="CZ136" s="120"/>
      <c r="DA136" s="120"/>
      <c r="DB136" s="120"/>
      <c r="DC136" s="205"/>
      <c r="DD136" s="205"/>
      <c r="DE136" s="209"/>
      <c r="DF136" s="205"/>
      <c r="DG136" s="205">
        <f t="shared" si="1532"/>
        <v>0</v>
      </c>
      <c r="DH136" s="205">
        <f t="shared" si="1428"/>
        <v>300</v>
      </c>
      <c r="DI136" s="120"/>
      <c r="DJ136" s="120"/>
      <c r="DK136" s="120"/>
      <c r="DL136" s="120"/>
      <c r="DM136" s="120"/>
      <c r="DN136" s="209"/>
      <c r="DO136" s="205"/>
      <c r="DP136" s="205">
        <f t="shared" si="1432"/>
        <v>0</v>
      </c>
      <c r="DQ136" s="120"/>
      <c r="DR136" s="120"/>
      <c r="DS136" s="120"/>
      <c r="DT136" s="120"/>
      <c r="DU136" s="250">
        <v>600</v>
      </c>
      <c r="DV136" s="209"/>
      <c r="DW136" s="205"/>
      <c r="DX136" s="205">
        <f t="shared" si="1433"/>
        <v>600</v>
      </c>
      <c r="DY136" s="120"/>
      <c r="DZ136" s="120"/>
      <c r="EA136" s="120"/>
      <c r="EB136" s="120"/>
      <c r="EC136" s="120"/>
      <c r="ED136" s="209"/>
      <c r="EE136" s="205"/>
      <c r="EF136" s="205">
        <f t="shared" si="1434"/>
        <v>0</v>
      </c>
      <c r="EG136" s="120"/>
      <c r="EH136" s="120"/>
      <c r="EI136" s="120"/>
      <c r="EJ136" s="205"/>
      <c r="EK136" s="205"/>
      <c r="EL136" s="209"/>
      <c r="EM136" s="205"/>
      <c r="EN136" s="205">
        <f t="shared" si="1435"/>
        <v>0</v>
      </c>
      <c r="EO136" s="205">
        <f t="shared" si="1429"/>
        <v>600</v>
      </c>
      <c r="EP136" s="120"/>
      <c r="EQ136" s="120"/>
      <c r="ER136" s="120"/>
      <c r="ES136" s="120"/>
      <c r="ET136" s="250">
        <v>500</v>
      </c>
      <c r="EU136" s="209"/>
      <c r="EV136" s="205"/>
      <c r="EW136" s="205">
        <f t="shared" si="1436"/>
        <v>500</v>
      </c>
      <c r="EX136" s="120"/>
      <c r="EY136" s="120"/>
      <c r="EZ136" s="120"/>
      <c r="FA136" s="120"/>
      <c r="FB136" s="120"/>
      <c r="FC136" s="209"/>
      <c r="FD136" s="205"/>
      <c r="FE136" s="205">
        <f t="shared" si="1437"/>
        <v>0</v>
      </c>
      <c r="FF136" s="120"/>
      <c r="FG136" s="120"/>
      <c r="FH136" s="120"/>
      <c r="FI136" s="123">
        <v>200</v>
      </c>
      <c r="FJ136" s="120"/>
      <c r="FK136" s="209"/>
      <c r="FL136" s="205"/>
      <c r="FM136" s="205">
        <f t="shared" si="1438"/>
        <v>200</v>
      </c>
      <c r="FN136" s="120"/>
      <c r="FO136" s="120"/>
      <c r="FP136" s="120"/>
      <c r="FQ136" s="120"/>
      <c r="FR136" s="205"/>
      <c r="FS136" s="209"/>
      <c r="FT136" s="205"/>
      <c r="FU136" s="205">
        <f t="shared" si="1439"/>
        <v>0</v>
      </c>
      <c r="FV136" s="205">
        <f t="shared" si="1430"/>
        <v>700</v>
      </c>
      <c r="FW136" s="120"/>
      <c r="FX136" s="120"/>
      <c r="FY136" s="120"/>
      <c r="FZ136" s="120"/>
      <c r="GA136" s="120"/>
      <c r="GB136" s="209"/>
      <c r="GC136" s="205"/>
      <c r="GD136" s="205">
        <f t="shared" si="1440"/>
        <v>0</v>
      </c>
      <c r="GE136" s="120"/>
      <c r="GF136" s="120"/>
      <c r="GG136" s="120"/>
      <c r="GH136" s="120"/>
      <c r="GI136" s="250">
        <v>700</v>
      </c>
      <c r="GJ136" s="209"/>
      <c r="GK136" s="205"/>
      <c r="GL136" s="205">
        <f t="shared" si="1441"/>
        <v>700</v>
      </c>
      <c r="GM136" s="120"/>
      <c r="GN136" s="120"/>
      <c r="GO136" s="120"/>
      <c r="GP136" s="120"/>
      <c r="GQ136" s="120"/>
      <c r="GR136" s="209"/>
      <c r="GS136" s="205"/>
      <c r="GT136" s="205">
        <f t="shared" si="1442"/>
        <v>0</v>
      </c>
      <c r="GU136" s="120"/>
      <c r="GV136" s="120"/>
      <c r="GW136" s="120"/>
      <c r="GX136" s="120"/>
      <c r="GY136" s="120"/>
      <c r="GZ136" s="209"/>
      <c r="HA136" s="205"/>
      <c r="HB136" s="205">
        <f t="shared" si="1443"/>
        <v>0</v>
      </c>
      <c r="HC136" s="120"/>
      <c r="HD136" s="120"/>
      <c r="HE136" s="120"/>
      <c r="HF136" s="120"/>
      <c r="HG136" s="120"/>
      <c r="HH136" s="209"/>
      <c r="HI136" s="205"/>
      <c r="HJ136" s="205">
        <f t="shared" si="1444"/>
        <v>0</v>
      </c>
      <c r="HK136" s="205">
        <f t="shared" si="1431"/>
        <v>700</v>
      </c>
      <c r="HL136" s="124"/>
      <c r="HM136" s="120"/>
      <c r="HN136" s="120"/>
      <c r="HO136" s="201">
        <v>600</v>
      </c>
      <c r="HP136" s="120"/>
      <c r="HQ136" s="205"/>
      <c r="HR136" s="205"/>
      <c r="HS136" s="205">
        <f t="shared" si="1445"/>
        <v>600</v>
      </c>
      <c r="HT136" s="120"/>
      <c r="HU136" s="120"/>
      <c r="HV136" s="120"/>
      <c r="HW136" s="120"/>
      <c r="HX136" s="120"/>
      <c r="HY136" s="205"/>
      <c r="HZ136" s="205"/>
      <c r="IA136" s="205">
        <f t="shared" si="1446"/>
        <v>0</v>
      </c>
      <c r="IB136" s="120"/>
      <c r="IC136" s="120"/>
      <c r="ID136" s="120"/>
      <c r="IE136" s="120"/>
      <c r="IF136" s="120"/>
      <c r="IG136" s="205"/>
      <c r="IH136" s="205"/>
      <c r="II136" s="205">
        <f t="shared" si="1447"/>
        <v>0</v>
      </c>
      <c r="IJ136" s="120"/>
      <c r="IK136" s="120"/>
      <c r="IL136" s="120"/>
      <c r="IM136" s="120"/>
      <c r="IN136" s="120"/>
      <c r="IO136" s="205"/>
      <c r="IP136" s="205"/>
      <c r="IQ136" s="205">
        <f t="shared" si="1448"/>
        <v>0</v>
      </c>
      <c r="IR136" s="205">
        <f t="shared" si="1449"/>
        <v>600</v>
      </c>
      <c r="IS136" s="120"/>
      <c r="IT136" s="120"/>
      <c r="IU136" s="120"/>
      <c r="IV136" s="120"/>
      <c r="IW136" s="217">
        <v>500</v>
      </c>
      <c r="IX136" s="205"/>
      <c r="IY136" s="205"/>
      <c r="IZ136" s="205">
        <f t="shared" si="1450"/>
        <v>500</v>
      </c>
      <c r="JA136" s="120"/>
      <c r="JB136" s="120"/>
      <c r="JC136" s="120"/>
      <c r="JD136" s="120"/>
      <c r="JE136" s="120"/>
      <c r="JF136" s="205"/>
      <c r="JG136" s="205"/>
      <c r="JH136" s="205">
        <f t="shared" si="1451"/>
        <v>0</v>
      </c>
      <c r="JI136" s="120"/>
      <c r="JJ136" s="120"/>
      <c r="JK136" s="120"/>
      <c r="JL136" s="120"/>
      <c r="JM136" s="120"/>
      <c r="JN136" s="205"/>
      <c r="JO136" s="205"/>
      <c r="JP136" s="205">
        <f t="shared" si="1452"/>
        <v>0</v>
      </c>
      <c r="JQ136" s="120"/>
      <c r="JR136" s="120"/>
      <c r="JS136" s="120"/>
      <c r="JT136" s="120"/>
      <c r="JU136" s="120"/>
      <c r="JV136" s="205"/>
      <c r="JW136" s="205"/>
      <c r="JX136" s="205">
        <f t="shared" si="1453"/>
        <v>0</v>
      </c>
      <c r="JY136" s="205">
        <f t="shared" si="1454"/>
        <v>500</v>
      </c>
      <c r="JZ136" s="120"/>
      <c r="KA136" s="120"/>
      <c r="KB136" s="120"/>
      <c r="KC136" s="120"/>
      <c r="KD136" s="120"/>
      <c r="KE136" s="205"/>
      <c r="KF136" s="205"/>
      <c r="KG136" s="205">
        <f t="shared" si="1455"/>
        <v>0</v>
      </c>
      <c r="KH136" s="120"/>
      <c r="KI136" s="120"/>
      <c r="KJ136" s="120"/>
      <c r="KK136" s="120"/>
      <c r="KL136" s="206">
        <v>400</v>
      </c>
      <c r="KM136" s="205"/>
      <c r="KN136" s="205"/>
      <c r="KO136" s="205">
        <f t="shared" si="1456"/>
        <v>400</v>
      </c>
      <c r="KP136" s="120"/>
      <c r="KQ136" s="120"/>
      <c r="KR136" s="120"/>
      <c r="KS136" s="120"/>
      <c r="KT136" s="120"/>
      <c r="KU136" s="205"/>
      <c r="KV136" s="205"/>
      <c r="KW136" s="205">
        <f t="shared" si="1457"/>
        <v>0</v>
      </c>
      <c r="KX136" s="120"/>
      <c r="KY136" s="120"/>
      <c r="KZ136" s="120"/>
      <c r="LA136" s="120"/>
      <c r="LB136" s="120"/>
      <c r="LC136" s="205"/>
      <c r="LD136" s="205"/>
      <c r="LE136" s="205">
        <f t="shared" si="1458"/>
        <v>0</v>
      </c>
      <c r="LF136" s="205"/>
      <c r="LG136" s="120"/>
      <c r="LH136" s="120"/>
      <c r="LI136" s="120"/>
      <c r="LJ136" s="120"/>
      <c r="LK136" s="205"/>
      <c r="LL136" s="205"/>
      <c r="LM136" s="205">
        <f t="shared" si="1459"/>
        <v>0</v>
      </c>
      <c r="LN136" s="205">
        <f t="shared" si="1460"/>
        <v>400</v>
      </c>
      <c r="LO136" s="205"/>
      <c r="LP136" s="120"/>
      <c r="LQ136" s="120"/>
      <c r="LR136" s="120"/>
      <c r="LS136" s="205"/>
      <c r="LT136" s="205"/>
      <c r="LU136" s="205"/>
      <c r="LV136" s="205">
        <f t="shared" si="1461"/>
        <v>0</v>
      </c>
      <c r="LW136" s="120"/>
      <c r="LX136" s="120"/>
      <c r="LY136" s="120"/>
      <c r="LZ136" s="120"/>
      <c r="MA136" s="120"/>
      <c r="MB136" s="205"/>
      <c r="MC136" s="205"/>
      <c r="MD136" s="205">
        <f t="shared" si="1462"/>
        <v>0</v>
      </c>
      <c r="ME136" s="201">
        <v>300</v>
      </c>
      <c r="MF136" s="120"/>
      <c r="MG136" s="120"/>
      <c r="MH136" s="120"/>
      <c r="MI136" s="205"/>
      <c r="MJ136" s="205"/>
      <c r="MK136" s="205"/>
      <c r="ML136" s="205">
        <f t="shared" si="1463"/>
        <v>300</v>
      </c>
      <c r="MM136" s="120"/>
      <c r="MN136" s="120"/>
      <c r="MO136" s="120"/>
      <c r="MP136" s="120"/>
      <c r="MQ136" s="120"/>
      <c r="MR136" s="205"/>
      <c r="MS136" s="205"/>
      <c r="MT136" s="205">
        <f t="shared" si="1464"/>
        <v>0</v>
      </c>
      <c r="MU136" s="205">
        <f t="shared" si="1465"/>
        <v>300</v>
      </c>
      <c r="MV136" s="120"/>
      <c r="MW136" s="120"/>
      <c r="MX136" s="120"/>
      <c r="MY136" s="120"/>
      <c r="MZ136" s="120"/>
      <c r="NA136" s="205"/>
      <c r="NB136" s="205"/>
      <c r="NC136" s="205">
        <f t="shared" si="1466"/>
        <v>0</v>
      </c>
      <c r="ND136" s="120"/>
      <c r="NE136" s="120"/>
      <c r="NF136" s="120"/>
      <c r="NG136" s="120"/>
      <c r="NH136" s="120"/>
      <c r="NI136" s="205"/>
      <c r="NJ136" s="205"/>
      <c r="NK136" s="205">
        <f t="shared" si="1467"/>
        <v>0</v>
      </c>
      <c r="NL136" s="120"/>
      <c r="NM136" s="120"/>
      <c r="NN136" s="124">
        <v>500</v>
      </c>
      <c r="NO136" s="120"/>
      <c r="NP136" s="120"/>
      <c r="NQ136" s="205"/>
      <c r="NR136" s="205"/>
      <c r="NS136" s="205">
        <f t="shared" si="1468"/>
        <v>500</v>
      </c>
      <c r="NT136" s="120"/>
      <c r="NU136" s="120"/>
      <c r="NV136" s="120"/>
      <c r="NW136" s="120"/>
      <c r="NX136" s="120"/>
      <c r="NY136" s="205"/>
      <c r="NZ136" s="205"/>
      <c r="OA136" s="205">
        <f t="shared" si="1469"/>
        <v>0</v>
      </c>
      <c r="OB136" s="205">
        <f t="shared" si="1470"/>
        <v>500</v>
      </c>
      <c r="OC136" s="120"/>
      <c r="OD136" s="120"/>
      <c r="OE136" s="120"/>
      <c r="OF136" s="120"/>
      <c r="OG136" s="120"/>
      <c r="OH136" s="205"/>
      <c r="OI136" s="205"/>
      <c r="OJ136" s="205">
        <f t="shared" si="1471"/>
        <v>0</v>
      </c>
      <c r="OK136" s="120"/>
      <c r="OL136" s="120"/>
      <c r="OM136" s="120"/>
      <c r="ON136" s="124">
        <v>400</v>
      </c>
      <c r="OO136" s="120"/>
      <c r="OP136" s="205"/>
      <c r="OQ136" s="205"/>
      <c r="OR136" s="205">
        <f t="shared" si="1472"/>
        <v>400</v>
      </c>
      <c r="OS136" s="120"/>
      <c r="OT136" s="120"/>
      <c r="OU136" s="120"/>
      <c r="OV136" s="120"/>
      <c r="OW136" s="120"/>
      <c r="OX136" s="205"/>
      <c r="OY136" s="205"/>
      <c r="OZ136" s="205">
        <f t="shared" si="1473"/>
        <v>0</v>
      </c>
      <c r="PA136" s="120"/>
      <c r="PB136" s="120"/>
      <c r="PC136" s="120"/>
      <c r="PD136" s="205"/>
      <c r="PE136" s="217"/>
      <c r="PF136" s="205"/>
      <c r="PG136" s="205"/>
      <c r="PH136" s="205">
        <f t="shared" si="1474"/>
        <v>0</v>
      </c>
      <c r="PI136" s="120"/>
      <c r="PJ136" s="120"/>
      <c r="PK136" s="195">
        <v>400</v>
      </c>
      <c r="PL136" s="205"/>
      <c r="PM136" s="217"/>
      <c r="PN136" s="205"/>
      <c r="PO136" s="205"/>
      <c r="PP136" s="205">
        <f t="shared" si="1475"/>
        <v>400</v>
      </c>
      <c r="PQ136" s="205">
        <f t="shared" si="1476"/>
        <v>800</v>
      </c>
      <c r="PR136" s="207"/>
      <c r="PS136" s="207"/>
      <c r="PT136" s="207"/>
      <c r="PU136" s="207"/>
      <c r="PV136" s="207"/>
      <c r="PW136" s="272"/>
      <c r="PX136" s="272"/>
      <c r="PY136" s="205">
        <f t="shared" si="1477"/>
        <v>0</v>
      </c>
      <c r="PZ136" s="207"/>
      <c r="QA136" s="207"/>
      <c r="QB136" s="207"/>
      <c r="QC136" s="207"/>
      <c r="QD136" s="207"/>
      <c r="QE136" s="272"/>
      <c r="QF136" s="272"/>
      <c r="QG136" s="205">
        <f t="shared" si="1478"/>
        <v>0</v>
      </c>
      <c r="QH136" s="207"/>
      <c r="QI136" s="207"/>
      <c r="QJ136" s="294"/>
      <c r="QK136" s="207"/>
      <c r="QL136" s="207"/>
      <c r="QM136" s="272"/>
      <c r="QN136" s="272"/>
      <c r="QO136" s="205">
        <f t="shared" si="1479"/>
        <v>0</v>
      </c>
      <c r="QP136" s="207"/>
      <c r="QQ136" s="207"/>
      <c r="QR136" s="207"/>
      <c r="QS136" s="207"/>
      <c r="QT136" s="207"/>
      <c r="QU136" s="272"/>
      <c r="QV136" s="272"/>
      <c r="QW136" s="205">
        <f t="shared" si="1480"/>
        <v>0</v>
      </c>
      <c r="QX136" s="205">
        <f t="shared" si="1481"/>
        <v>0</v>
      </c>
      <c r="QY136" s="207"/>
      <c r="QZ136" s="120"/>
      <c r="RA136" s="120"/>
      <c r="RB136" s="124">
        <v>1000</v>
      </c>
      <c r="RC136" s="207"/>
      <c r="RD136" s="272"/>
      <c r="RE136" s="272"/>
      <c r="RF136" s="205">
        <f t="shared" si="1482"/>
        <v>1000</v>
      </c>
      <c r="RG136" s="120"/>
      <c r="RH136" s="120"/>
      <c r="RI136" s="207"/>
      <c r="RJ136" s="207"/>
      <c r="RK136" s="207"/>
      <c r="RL136" s="272"/>
      <c r="RM136" s="272"/>
      <c r="RN136" s="205">
        <f t="shared" si="1483"/>
        <v>0</v>
      </c>
      <c r="RO136" s="272"/>
      <c r="RP136" s="272"/>
      <c r="RQ136" s="272"/>
      <c r="RR136" s="272"/>
      <c r="RS136" s="272"/>
      <c r="RT136" s="272"/>
      <c r="RU136" s="272"/>
      <c r="RV136" s="205">
        <f t="shared" si="1484"/>
        <v>0</v>
      </c>
      <c r="RW136" s="207"/>
      <c r="RX136" s="207"/>
      <c r="RY136" s="207"/>
      <c r="RZ136" s="207"/>
      <c r="SA136" s="272"/>
      <c r="SB136" s="272"/>
      <c r="SC136" s="272"/>
      <c r="SD136" s="205">
        <f t="shared" si="1485"/>
        <v>0</v>
      </c>
      <c r="SE136" s="205">
        <f t="shared" si="1486"/>
        <v>1000</v>
      </c>
      <c r="SF136" s="207"/>
      <c r="SG136" s="207"/>
      <c r="SH136" s="207"/>
      <c r="SI136" s="207"/>
      <c r="SJ136" s="207"/>
      <c r="SK136" s="272"/>
      <c r="SL136" s="272"/>
      <c r="SM136" s="205">
        <f t="shared" si="1487"/>
        <v>0</v>
      </c>
      <c r="SN136" s="207"/>
      <c r="SO136" s="120"/>
      <c r="SP136" s="217">
        <v>200</v>
      </c>
      <c r="SQ136" s="120"/>
      <c r="SR136" s="207"/>
      <c r="SS136" s="272"/>
      <c r="ST136" s="272"/>
      <c r="SU136" s="205">
        <f t="shared" si="1488"/>
        <v>200</v>
      </c>
      <c r="SV136" s="207"/>
      <c r="SW136" s="207"/>
      <c r="SX136" s="207"/>
      <c r="SY136" s="207"/>
      <c r="SZ136" s="207"/>
      <c r="TA136" s="272"/>
      <c r="TB136" s="272"/>
      <c r="TC136" s="205">
        <f t="shared" si="1489"/>
        <v>0</v>
      </c>
      <c r="TD136" s="207"/>
      <c r="TE136" s="123">
        <v>600</v>
      </c>
      <c r="TF136" s="207"/>
      <c r="TG136" s="123">
        <v>100</v>
      </c>
      <c r="TH136" s="207"/>
      <c r="TI136" s="272"/>
      <c r="TJ136" s="272"/>
      <c r="TK136" s="205">
        <f t="shared" si="1490"/>
        <v>700</v>
      </c>
      <c r="TL136" s="120"/>
      <c r="TM136" s="120"/>
      <c r="TN136" s="195">
        <v>400</v>
      </c>
      <c r="TO136" s="207"/>
      <c r="TP136" s="272"/>
      <c r="TQ136" s="272"/>
      <c r="TR136" s="272"/>
      <c r="TS136" s="205">
        <f t="shared" si="1491"/>
        <v>400</v>
      </c>
      <c r="TT136" s="205">
        <f t="shared" si="1492"/>
        <v>900</v>
      </c>
      <c r="TU136" s="272"/>
      <c r="TV136" s="207"/>
      <c r="TW136" s="207"/>
      <c r="TX136" s="207"/>
      <c r="TY136" s="207"/>
      <c r="TZ136" s="272"/>
      <c r="UA136" s="272"/>
      <c r="UB136" s="205">
        <f t="shared" si="1493"/>
        <v>0</v>
      </c>
      <c r="UC136" s="120"/>
      <c r="UD136" s="207"/>
      <c r="UE136" s="207"/>
      <c r="UF136" s="207"/>
      <c r="UG136" s="120"/>
      <c r="UH136" s="272"/>
      <c r="UI136" s="272"/>
      <c r="UJ136" s="205">
        <f t="shared" si="1533"/>
        <v>0</v>
      </c>
      <c r="UK136" s="207"/>
      <c r="UL136" s="207"/>
      <c r="UM136" s="207"/>
      <c r="UN136" s="207"/>
      <c r="UO136" s="207"/>
      <c r="UP136" s="272"/>
      <c r="UQ136" s="272"/>
      <c r="UR136" s="205">
        <f t="shared" si="1495"/>
        <v>0</v>
      </c>
      <c r="US136" s="207"/>
      <c r="UT136" s="207"/>
      <c r="UU136" s="207"/>
      <c r="UV136" s="207"/>
      <c r="UW136" s="272"/>
      <c r="UX136" s="272"/>
      <c r="UY136" s="272"/>
      <c r="UZ136" s="205">
        <f t="shared" si="1496"/>
        <v>0</v>
      </c>
      <c r="VA136" s="205">
        <f t="shared" si="1497"/>
        <v>400</v>
      </c>
      <c r="VB136" s="120"/>
      <c r="VC136" s="120"/>
      <c r="VD136" s="207"/>
      <c r="VE136" s="207"/>
      <c r="VF136" s="207"/>
      <c r="VG136" s="272"/>
      <c r="VH136" s="272"/>
      <c r="VI136" s="205">
        <f t="shared" si="1498"/>
        <v>0</v>
      </c>
      <c r="VJ136" s="120"/>
      <c r="VK136" s="120"/>
      <c r="VL136" s="195">
        <v>600</v>
      </c>
      <c r="VM136" s="120"/>
      <c r="VN136" s="207"/>
      <c r="VO136" s="272"/>
      <c r="VP136" s="272"/>
      <c r="VQ136" s="205">
        <f t="shared" si="1499"/>
        <v>600</v>
      </c>
      <c r="VR136" s="207"/>
      <c r="VS136" s="207"/>
      <c r="VT136" s="207"/>
      <c r="VU136" s="207"/>
      <c r="VV136" s="207"/>
      <c r="VW136" s="272"/>
      <c r="VX136" s="272"/>
      <c r="VY136" s="205">
        <f t="shared" si="1500"/>
        <v>0</v>
      </c>
      <c r="VZ136" s="120"/>
      <c r="WA136" s="120"/>
      <c r="WB136" s="120"/>
      <c r="WC136" s="207"/>
      <c r="WD136" s="207"/>
      <c r="WE136" s="272"/>
      <c r="WF136" s="272"/>
      <c r="WG136" s="205">
        <f t="shared" si="1501"/>
        <v>0</v>
      </c>
      <c r="WH136" s="205">
        <f t="shared" si="1502"/>
        <v>600</v>
      </c>
      <c r="WI136" s="207"/>
      <c r="WJ136" s="207"/>
      <c r="WK136" s="207"/>
      <c r="WL136" s="207"/>
      <c r="WM136" s="207"/>
      <c r="WN136" s="272"/>
      <c r="WO136" s="272"/>
      <c r="WP136" s="205">
        <f t="shared" si="1503"/>
        <v>0</v>
      </c>
      <c r="WQ136" s="207"/>
      <c r="WR136" s="207"/>
      <c r="WS136" s="207"/>
      <c r="WT136" s="207"/>
      <c r="WU136" s="207"/>
      <c r="WV136" s="272"/>
      <c r="WW136" s="272"/>
      <c r="WX136" s="205">
        <f t="shared" si="1504"/>
        <v>0</v>
      </c>
      <c r="WY136" s="207"/>
      <c r="WZ136" s="207"/>
      <c r="XA136" s="207"/>
      <c r="XB136" s="207"/>
      <c r="XC136" s="272"/>
      <c r="XD136" s="272"/>
      <c r="XE136" s="272"/>
      <c r="XF136" s="205">
        <f t="shared" si="1505"/>
        <v>0</v>
      </c>
      <c r="XG136" s="207"/>
      <c r="XH136" s="207"/>
      <c r="XI136" s="207"/>
      <c r="XJ136" s="207"/>
      <c r="XK136" s="207"/>
      <c r="XL136" s="272"/>
      <c r="XM136" s="272"/>
      <c r="XN136" s="205">
        <f t="shared" si="1506"/>
        <v>0</v>
      </c>
      <c r="XO136" s="207"/>
      <c r="XP136" s="207"/>
      <c r="XQ136" s="207"/>
      <c r="XR136" s="207"/>
      <c r="XS136" s="207"/>
      <c r="XT136" s="272"/>
      <c r="XU136" s="272"/>
      <c r="XV136" s="205">
        <f t="shared" si="1507"/>
        <v>0</v>
      </c>
      <c r="XW136" s="205">
        <f t="shared" si="1508"/>
        <v>0</v>
      </c>
      <c r="XX136" s="207"/>
      <c r="XY136" s="207"/>
      <c r="XZ136" s="207"/>
      <c r="YA136" s="207"/>
      <c r="YB136" s="207"/>
      <c r="YC136" s="272"/>
      <c r="YD136" s="272"/>
      <c r="YE136" s="205">
        <f t="shared" si="1509"/>
        <v>0</v>
      </c>
      <c r="YF136" s="207"/>
      <c r="YG136" s="207"/>
      <c r="YH136" s="207"/>
      <c r="YI136" s="207"/>
      <c r="YJ136" s="207"/>
      <c r="YK136" s="272"/>
      <c r="YL136" s="272"/>
      <c r="YM136" s="205">
        <f t="shared" si="1510"/>
        <v>0</v>
      </c>
      <c r="YN136" s="207"/>
      <c r="YO136" s="207"/>
      <c r="YP136" s="207"/>
      <c r="YQ136" s="207"/>
      <c r="YR136" s="207"/>
      <c r="YS136" s="272"/>
      <c r="YT136" s="272"/>
      <c r="YU136" s="205">
        <f t="shared" si="1511"/>
        <v>0</v>
      </c>
      <c r="YV136" s="207"/>
      <c r="YW136" s="207"/>
      <c r="YX136" s="207"/>
      <c r="YY136" s="207"/>
      <c r="YZ136" s="207"/>
      <c r="ZA136" s="272"/>
      <c r="ZB136" s="272"/>
      <c r="ZC136" s="205">
        <f t="shared" si="1512"/>
        <v>0</v>
      </c>
      <c r="ZD136" s="205">
        <f t="shared" si="1513"/>
        <v>0</v>
      </c>
      <c r="ZE136" s="207"/>
      <c r="ZF136" s="207"/>
      <c r="ZG136" s="207"/>
      <c r="ZH136" s="207"/>
      <c r="ZI136" s="207"/>
      <c r="ZJ136" s="272"/>
      <c r="ZK136" s="272"/>
      <c r="ZL136" s="205">
        <f t="shared" si="1514"/>
        <v>0</v>
      </c>
      <c r="ZM136" s="207"/>
      <c r="ZN136" s="207"/>
      <c r="ZO136" s="207"/>
      <c r="ZP136" s="207"/>
      <c r="ZQ136" s="207"/>
      <c r="ZR136" s="272"/>
      <c r="ZS136" s="272"/>
      <c r="ZT136" s="205">
        <f t="shared" si="1515"/>
        <v>0</v>
      </c>
      <c r="ZU136" s="207"/>
      <c r="ZV136" s="207"/>
      <c r="ZW136" s="207"/>
      <c r="ZX136" s="207"/>
      <c r="ZY136" s="207"/>
      <c r="ZZ136" s="272"/>
      <c r="AAA136" s="272"/>
      <c r="AAB136" s="205">
        <f t="shared" si="1516"/>
        <v>0</v>
      </c>
      <c r="AAC136" s="207"/>
      <c r="AAD136" s="207"/>
      <c r="AAE136" s="207"/>
      <c r="AAF136" s="207"/>
      <c r="AAG136" s="207"/>
      <c r="AAH136" s="272"/>
      <c r="AAI136" s="272"/>
      <c r="AAJ136" s="205">
        <f t="shared" si="1517"/>
        <v>0</v>
      </c>
      <c r="AAK136" s="207"/>
      <c r="AAL136" s="207"/>
      <c r="AAM136" s="207"/>
      <c r="AAN136" s="207"/>
      <c r="AAO136" s="207"/>
      <c r="AAP136" s="272"/>
      <c r="AAQ136" s="272"/>
      <c r="AAR136" s="205">
        <f t="shared" si="1518"/>
        <v>0</v>
      </c>
      <c r="AAS136" s="205">
        <f t="shared" si="1519"/>
        <v>0</v>
      </c>
    </row>
    <row r="137" spans="1:721" s="127" customFormat="1" ht="68.099999999999994" customHeight="1">
      <c r="A137" s="128"/>
      <c r="B137" s="130">
        <v>5714600143</v>
      </c>
      <c r="C137" s="324" t="s">
        <v>571</v>
      </c>
      <c r="D137" s="173" t="s">
        <v>422</v>
      </c>
      <c r="E137" s="130" t="s">
        <v>4</v>
      </c>
      <c r="F137" s="120"/>
      <c r="G137" s="120"/>
      <c r="H137" s="120"/>
      <c r="I137" s="120"/>
      <c r="J137" s="120"/>
      <c r="K137" s="209"/>
      <c r="L137" s="205"/>
      <c r="M137" s="205">
        <f t="shared" si="1520"/>
        <v>0</v>
      </c>
      <c r="N137" s="120"/>
      <c r="O137" s="120"/>
      <c r="P137" s="120"/>
      <c r="Q137" s="120"/>
      <c r="R137" s="120"/>
      <c r="S137" s="209"/>
      <c r="T137" s="205"/>
      <c r="U137" s="205">
        <f t="shared" si="1521"/>
        <v>0</v>
      </c>
      <c r="V137" s="120"/>
      <c r="W137" s="120"/>
      <c r="X137" s="120"/>
      <c r="Y137" s="120"/>
      <c r="Z137" s="120"/>
      <c r="AA137" s="209"/>
      <c r="AB137" s="205"/>
      <c r="AC137" s="205">
        <f t="shared" si="1522"/>
        <v>0</v>
      </c>
      <c r="AD137" s="205"/>
      <c r="AE137" s="205"/>
      <c r="AF137" s="205"/>
      <c r="AG137" s="205"/>
      <c r="AH137" s="205"/>
      <c r="AI137" s="209"/>
      <c r="AJ137" s="205"/>
      <c r="AK137" s="205">
        <f t="shared" si="1523"/>
        <v>0</v>
      </c>
      <c r="AL137" s="205" t="e">
        <f>SUM(#REF!,M137,U137,AC137,AD137:AH137)</f>
        <v>#REF!</v>
      </c>
      <c r="AM137" s="124">
        <v>444</v>
      </c>
      <c r="AN137" s="120"/>
      <c r="AO137" s="120"/>
      <c r="AP137" s="120"/>
      <c r="AQ137" s="120"/>
      <c r="AR137" s="209"/>
      <c r="AS137" s="205"/>
      <c r="AT137" s="205">
        <f t="shared" si="1524"/>
        <v>444</v>
      </c>
      <c r="AU137" s="120"/>
      <c r="AV137" s="120"/>
      <c r="AW137" s="120"/>
      <c r="AX137" s="120"/>
      <c r="AY137" s="120"/>
      <c r="AZ137" s="209"/>
      <c r="BA137" s="205"/>
      <c r="BB137" s="205">
        <f t="shared" si="1525"/>
        <v>0</v>
      </c>
      <c r="BC137" s="120"/>
      <c r="BD137" s="120"/>
      <c r="BE137" s="120"/>
      <c r="BF137" s="120"/>
      <c r="BG137" s="120"/>
      <c r="BH137" s="209"/>
      <c r="BI137" s="205"/>
      <c r="BJ137" s="205">
        <f t="shared" si="1526"/>
        <v>0</v>
      </c>
      <c r="BK137" s="120"/>
      <c r="BL137" s="120"/>
      <c r="BM137" s="120"/>
      <c r="BN137" s="120"/>
      <c r="BO137" s="205"/>
      <c r="BP137" s="209"/>
      <c r="BQ137" s="205"/>
      <c r="BR137" s="205">
        <f t="shared" si="1527"/>
        <v>0</v>
      </c>
      <c r="BS137" s="205">
        <f t="shared" si="1427"/>
        <v>444</v>
      </c>
      <c r="BT137" s="120"/>
      <c r="BU137" s="120"/>
      <c r="BV137" s="120"/>
      <c r="BW137" s="120"/>
      <c r="BX137" s="201">
        <v>333</v>
      </c>
      <c r="BY137" s="209"/>
      <c r="BZ137" s="205"/>
      <c r="CA137" s="205">
        <f t="shared" si="1528"/>
        <v>333</v>
      </c>
      <c r="CB137" s="120"/>
      <c r="CC137" s="120"/>
      <c r="CD137" s="120"/>
      <c r="CE137" s="120"/>
      <c r="CF137" s="120"/>
      <c r="CG137" s="209"/>
      <c r="CH137" s="205"/>
      <c r="CI137" s="205">
        <f t="shared" si="1529"/>
        <v>0</v>
      </c>
      <c r="CJ137" s="120"/>
      <c r="CK137" s="120"/>
      <c r="CL137" s="120"/>
      <c r="CM137" s="120"/>
      <c r="CN137" s="120"/>
      <c r="CO137" s="209"/>
      <c r="CP137" s="205"/>
      <c r="CQ137" s="205">
        <f t="shared" si="1530"/>
        <v>0</v>
      </c>
      <c r="CR137" s="120"/>
      <c r="CS137" s="120"/>
      <c r="CT137" s="120"/>
      <c r="CU137" s="120"/>
      <c r="CV137" s="120"/>
      <c r="CW137" s="209"/>
      <c r="CX137" s="205"/>
      <c r="CY137" s="205">
        <f t="shared" si="1531"/>
        <v>0</v>
      </c>
      <c r="CZ137" s="120"/>
      <c r="DA137" s="120"/>
      <c r="DB137" s="120"/>
      <c r="DC137" s="205"/>
      <c r="DD137" s="205"/>
      <c r="DE137" s="209"/>
      <c r="DF137" s="205"/>
      <c r="DG137" s="205">
        <f t="shared" si="1532"/>
        <v>0</v>
      </c>
      <c r="DH137" s="205">
        <f t="shared" si="1428"/>
        <v>333</v>
      </c>
      <c r="DI137" s="120"/>
      <c r="DJ137" s="120"/>
      <c r="DK137" s="120"/>
      <c r="DL137" s="120"/>
      <c r="DM137" s="120"/>
      <c r="DN137" s="209"/>
      <c r="DO137" s="205"/>
      <c r="DP137" s="205">
        <f t="shared" si="1432"/>
        <v>0</v>
      </c>
      <c r="DQ137" s="120"/>
      <c r="DR137" s="120"/>
      <c r="DS137" s="120"/>
      <c r="DT137" s="120"/>
      <c r="DU137" s="120"/>
      <c r="DV137" s="209"/>
      <c r="DW137" s="205"/>
      <c r="DX137" s="205">
        <f t="shared" si="1433"/>
        <v>0</v>
      </c>
      <c r="DY137" s="250">
        <v>333</v>
      </c>
      <c r="DZ137" s="120"/>
      <c r="EA137" s="120"/>
      <c r="EB137" s="120"/>
      <c r="EC137" s="120"/>
      <c r="ED137" s="209"/>
      <c r="EE137" s="205"/>
      <c r="EF137" s="205">
        <f t="shared" si="1434"/>
        <v>333</v>
      </c>
      <c r="EG137" s="120"/>
      <c r="EH137" s="120"/>
      <c r="EI137" s="120"/>
      <c r="EJ137" s="205"/>
      <c r="EK137" s="205"/>
      <c r="EL137" s="209"/>
      <c r="EM137" s="205"/>
      <c r="EN137" s="205">
        <f t="shared" si="1435"/>
        <v>0</v>
      </c>
      <c r="EO137" s="205">
        <f t="shared" si="1429"/>
        <v>333</v>
      </c>
      <c r="EP137" s="120"/>
      <c r="EQ137" s="120"/>
      <c r="ER137" s="120"/>
      <c r="ES137" s="120"/>
      <c r="ET137" s="120"/>
      <c r="EU137" s="209"/>
      <c r="EV137" s="205"/>
      <c r="EW137" s="205">
        <f t="shared" si="1436"/>
        <v>0</v>
      </c>
      <c r="EX137" s="120"/>
      <c r="EY137" s="120"/>
      <c r="EZ137" s="120"/>
      <c r="FA137" s="120"/>
      <c r="FB137" s="120"/>
      <c r="FC137" s="209"/>
      <c r="FD137" s="205"/>
      <c r="FE137" s="205">
        <f t="shared" si="1437"/>
        <v>0</v>
      </c>
      <c r="FF137" s="120"/>
      <c r="FG137" s="120"/>
      <c r="FH137" s="120"/>
      <c r="FI137" s="250">
        <v>222</v>
      </c>
      <c r="FJ137" s="120"/>
      <c r="FK137" s="209"/>
      <c r="FL137" s="205"/>
      <c r="FM137" s="205">
        <f t="shared" si="1438"/>
        <v>222</v>
      </c>
      <c r="FN137" s="120"/>
      <c r="FO137" s="120"/>
      <c r="FP137" s="120"/>
      <c r="FQ137" s="120"/>
      <c r="FR137" s="205"/>
      <c r="FS137" s="209"/>
      <c r="FT137" s="205"/>
      <c r="FU137" s="205">
        <f t="shared" si="1439"/>
        <v>0</v>
      </c>
      <c r="FV137" s="205">
        <f t="shared" si="1430"/>
        <v>222</v>
      </c>
      <c r="FW137" s="120"/>
      <c r="FX137" s="120"/>
      <c r="FY137" s="120"/>
      <c r="FZ137" s="120"/>
      <c r="GA137" s="120"/>
      <c r="GB137" s="209"/>
      <c r="GC137" s="205"/>
      <c r="GD137" s="205">
        <f t="shared" si="1440"/>
        <v>0</v>
      </c>
      <c r="GE137" s="250">
        <v>222</v>
      </c>
      <c r="GF137" s="120"/>
      <c r="GG137" s="120"/>
      <c r="GH137" s="120"/>
      <c r="GI137" s="120"/>
      <c r="GJ137" s="209"/>
      <c r="GK137" s="205"/>
      <c r="GL137" s="205">
        <f t="shared" si="1441"/>
        <v>222</v>
      </c>
      <c r="GM137" s="120"/>
      <c r="GN137" s="120"/>
      <c r="GO137" s="120"/>
      <c r="GP137" s="120"/>
      <c r="GQ137" s="120"/>
      <c r="GR137" s="209"/>
      <c r="GS137" s="205"/>
      <c r="GT137" s="205">
        <f t="shared" si="1442"/>
        <v>0</v>
      </c>
      <c r="GU137" s="120"/>
      <c r="GV137" s="120"/>
      <c r="GW137" s="120"/>
      <c r="GX137" s="120"/>
      <c r="GY137" s="120"/>
      <c r="GZ137" s="209"/>
      <c r="HA137" s="205"/>
      <c r="HB137" s="205">
        <f t="shared" si="1443"/>
        <v>0</v>
      </c>
      <c r="HC137" s="120"/>
      <c r="HD137" s="217">
        <v>777</v>
      </c>
      <c r="HE137" s="120"/>
      <c r="HF137" s="120"/>
      <c r="HG137" s="120"/>
      <c r="HH137" s="209"/>
      <c r="HI137" s="205"/>
      <c r="HJ137" s="205">
        <f t="shared" si="1444"/>
        <v>777</v>
      </c>
      <c r="HK137" s="205">
        <f t="shared" si="1431"/>
        <v>222</v>
      </c>
      <c r="HL137" s="124"/>
      <c r="HM137" s="120"/>
      <c r="HN137" s="120"/>
      <c r="HO137" s="120"/>
      <c r="HP137" s="120"/>
      <c r="HQ137" s="205"/>
      <c r="HR137" s="205"/>
      <c r="HS137" s="205">
        <f t="shared" si="1445"/>
        <v>0</v>
      </c>
      <c r="HT137" s="120"/>
      <c r="HU137" s="120"/>
      <c r="HV137" s="120"/>
      <c r="HW137" s="120"/>
      <c r="HX137" s="120"/>
      <c r="HY137" s="205"/>
      <c r="HZ137" s="205"/>
      <c r="IA137" s="205">
        <f t="shared" si="1446"/>
        <v>0</v>
      </c>
      <c r="IB137" s="120"/>
      <c r="IC137" s="120"/>
      <c r="ID137" s="120"/>
      <c r="IE137" s="120"/>
      <c r="IF137" s="120"/>
      <c r="IG137" s="205"/>
      <c r="IH137" s="205"/>
      <c r="II137" s="205">
        <f t="shared" si="1447"/>
        <v>0</v>
      </c>
      <c r="IJ137" s="120"/>
      <c r="IK137" s="120"/>
      <c r="IL137" s="120"/>
      <c r="IM137" s="120"/>
      <c r="IN137" s="120"/>
      <c r="IO137" s="205"/>
      <c r="IP137" s="205"/>
      <c r="IQ137" s="205">
        <f t="shared" si="1448"/>
        <v>0</v>
      </c>
      <c r="IR137" s="205">
        <f t="shared" si="1449"/>
        <v>777</v>
      </c>
      <c r="IS137" s="120"/>
      <c r="IT137" s="120"/>
      <c r="IU137" s="120"/>
      <c r="IV137" s="120"/>
      <c r="IW137" s="120"/>
      <c r="IX137" s="205"/>
      <c r="IY137" s="205"/>
      <c r="IZ137" s="205">
        <f t="shared" si="1450"/>
        <v>0</v>
      </c>
      <c r="JA137" s="120"/>
      <c r="JB137" s="120"/>
      <c r="JC137" s="120"/>
      <c r="JD137" s="120"/>
      <c r="JE137" s="120"/>
      <c r="JF137" s="205"/>
      <c r="JG137" s="205"/>
      <c r="JH137" s="205">
        <f t="shared" si="1451"/>
        <v>0</v>
      </c>
      <c r="JI137" s="120"/>
      <c r="JJ137" s="120"/>
      <c r="JK137" s="120"/>
      <c r="JL137" s="120"/>
      <c r="JM137" s="120"/>
      <c r="JN137" s="205"/>
      <c r="JO137" s="205"/>
      <c r="JP137" s="205">
        <f t="shared" si="1452"/>
        <v>0</v>
      </c>
      <c r="JQ137" s="120"/>
      <c r="JR137" s="120"/>
      <c r="JS137" s="120"/>
      <c r="JT137" s="120"/>
      <c r="JU137" s="120"/>
      <c r="JV137" s="205"/>
      <c r="JW137" s="205"/>
      <c r="JX137" s="205">
        <f t="shared" si="1453"/>
        <v>0</v>
      </c>
      <c r="JY137" s="205">
        <f t="shared" si="1454"/>
        <v>0</v>
      </c>
      <c r="JZ137" s="120"/>
      <c r="KA137" s="217">
        <v>555</v>
      </c>
      <c r="KB137" s="120"/>
      <c r="KC137" s="120"/>
      <c r="KD137" s="120"/>
      <c r="KE137" s="205"/>
      <c r="KF137" s="205"/>
      <c r="KG137" s="205">
        <f t="shared" si="1455"/>
        <v>555</v>
      </c>
      <c r="KH137" s="120"/>
      <c r="KI137" s="120"/>
      <c r="KJ137" s="120"/>
      <c r="KK137" s="120"/>
      <c r="KL137" s="120"/>
      <c r="KM137" s="205"/>
      <c r="KN137" s="205"/>
      <c r="KO137" s="205">
        <f t="shared" si="1456"/>
        <v>0</v>
      </c>
      <c r="KP137" s="120"/>
      <c r="KQ137" s="120"/>
      <c r="KR137" s="120"/>
      <c r="KS137" s="120"/>
      <c r="KT137" s="120"/>
      <c r="KU137" s="205"/>
      <c r="KV137" s="205"/>
      <c r="KW137" s="205">
        <f t="shared" si="1457"/>
        <v>0</v>
      </c>
      <c r="KX137" s="120"/>
      <c r="KY137" s="120"/>
      <c r="KZ137" s="120"/>
      <c r="LA137" s="120"/>
      <c r="LB137" s="120"/>
      <c r="LC137" s="205"/>
      <c r="LD137" s="205"/>
      <c r="LE137" s="205">
        <f t="shared" si="1458"/>
        <v>0</v>
      </c>
      <c r="LF137" s="205"/>
      <c r="LG137" s="120"/>
      <c r="LH137" s="120"/>
      <c r="LI137" s="120"/>
      <c r="LJ137" s="120"/>
      <c r="LK137" s="205"/>
      <c r="LL137" s="205"/>
      <c r="LM137" s="205">
        <f t="shared" si="1459"/>
        <v>0</v>
      </c>
      <c r="LN137" s="205">
        <f t="shared" si="1460"/>
        <v>555</v>
      </c>
      <c r="LO137" s="205"/>
      <c r="LP137" s="120"/>
      <c r="LQ137" s="120"/>
      <c r="LR137" s="120"/>
      <c r="LS137" s="205"/>
      <c r="LT137" s="205"/>
      <c r="LU137" s="205"/>
      <c r="LV137" s="205">
        <f t="shared" si="1461"/>
        <v>0</v>
      </c>
      <c r="LW137" s="195">
        <v>333</v>
      </c>
      <c r="LX137" s="120"/>
      <c r="LY137" s="120"/>
      <c r="LZ137" s="120"/>
      <c r="MA137" s="120"/>
      <c r="MB137" s="205"/>
      <c r="MC137" s="205"/>
      <c r="MD137" s="205">
        <f t="shared" si="1462"/>
        <v>333</v>
      </c>
      <c r="ME137" s="120"/>
      <c r="MF137" s="120"/>
      <c r="MG137" s="120"/>
      <c r="MH137" s="120"/>
      <c r="MI137" s="205"/>
      <c r="MJ137" s="205"/>
      <c r="MK137" s="205"/>
      <c r="ML137" s="205">
        <f t="shared" si="1463"/>
        <v>0</v>
      </c>
      <c r="MM137" s="120"/>
      <c r="MN137" s="120"/>
      <c r="MO137" s="120"/>
      <c r="MP137" s="120"/>
      <c r="MQ137" s="120"/>
      <c r="MR137" s="205"/>
      <c r="MS137" s="205"/>
      <c r="MT137" s="205">
        <f t="shared" si="1464"/>
        <v>0</v>
      </c>
      <c r="MU137" s="205">
        <f t="shared" si="1465"/>
        <v>333</v>
      </c>
      <c r="MV137" s="120"/>
      <c r="MW137" s="120"/>
      <c r="MX137" s="120"/>
      <c r="MY137" s="120"/>
      <c r="MZ137" s="120"/>
      <c r="NA137" s="205"/>
      <c r="NB137" s="205"/>
      <c r="NC137" s="205">
        <f t="shared" si="1466"/>
        <v>0</v>
      </c>
      <c r="ND137" s="124">
        <v>333</v>
      </c>
      <c r="NE137" s="120"/>
      <c r="NF137" s="120"/>
      <c r="NG137" s="120"/>
      <c r="NH137" s="120"/>
      <c r="NI137" s="205"/>
      <c r="NJ137" s="205"/>
      <c r="NK137" s="205">
        <f t="shared" si="1467"/>
        <v>333</v>
      </c>
      <c r="NL137" s="120"/>
      <c r="NM137" s="120"/>
      <c r="NN137" s="120"/>
      <c r="NO137" s="120"/>
      <c r="NP137" s="120"/>
      <c r="NQ137" s="205"/>
      <c r="NR137" s="205"/>
      <c r="NS137" s="205">
        <f t="shared" si="1468"/>
        <v>0</v>
      </c>
      <c r="NT137" s="120"/>
      <c r="NU137" s="120"/>
      <c r="NV137" s="120"/>
      <c r="NW137" s="120"/>
      <c r="NX137" s="120"/>
      <c r="NY137" s="205"/>
      <c r="NZ137" s="205"/>
      <c r="OA137" s="205">
        <f t="shared" si="1469"/>
        <v>0</v>
      </c>
      <c r="OB137" s="205">
        <f t="shared" si="1470"/>
        <v>333</v>
      </c>
      <c r="OC137" s="120"/>
      <c r="OD137" s="120"/>
      <c r="OE137" s="120"/>
      <c r="OF137" s="120"/>
      <c r="OG137" s="120"/>
      <c r="OH137" s="205"/>
      <c r="OI137" s="205"/>
      <c r="OJ137" s="205">
        <f t="shared" si="1471"/>
        <v>0</v>
      </c>
      <c r="OK137" s="120"/>
      <c r="OL137" s="124">
        <v>333</v>
      </c>
      <c r="OM137" s="120"/>
      <c r="ON137" s="120"/>
      <c r="OO137" s="120"/>
      <c r="OP137" s="205"/>
      <c r="OQ137" s="205"/>
      <c r="OR137" s="205">
        <f t="shared" si="1472"/>
        <v>333</v>
      </c>
      <c r="OS137" s="120"/>
      <c r="OT137" s="120"/>
      <c r="OU137" s="120"/>
      <c r="OV137" s="120"/>
      <c r="OW137" s="120"/>
      <c r="OX137" s="205"/>
      <c r="OY137" s="205"/>
      <c r="OZ137" s="205">
        <f t="shared" si="1473"/>
        <v>0</v>
      </c>
      <c r="PA137" s="120"/>
      <c r="PB137" s="120"/>
      <c r="PC137" s="120"/>
      <c r="PD137" s="205"/>
      <c r="PE137" s="217"/>
      <c r="PF137" s="205"/>
      <c r="PG137" s="205"/>
      <c r="PH137" s="205">
        <f t="shared" si="1474"/>
        <v>0</v>
      </c>
      <c r="PI137" s="120"/>
      <c r="PJ137" s="120"/>
      <c r="PK137" s="120"/>
      <c r="PL137" s="205"/>
      <c r="PM137" s="217"/>
      <c r="PN137" s="205"/>
      <c r="PO137" s="205"/>
      <c r="PP137" s="205">
        <f t="shared" si="1475"/>
        <v>0</v>
      </c>
      <c r="PQ137" s="205">
        <f t="shared" si="1476"/>
        <v>333</v>
      </c>
      <c r="PR137" s="207"/>
      <c r="PS137" s="207"/>
      <c r="PT137" s="207"/>
      <c r="PU137" s="207"/>
      <c r="PV137" s="207"/>
      <c r="PW137" s="272"/>
      <c r="PX137" s="272"/>
      <c r="PY137" s="205">
        <f t="shared" si="1477"/>
        <v>0</v>
      </c>
      <c r="PZ137" s="207"/>
      <c r="QA137" s="207"/>
      <c r="QB137" s="207"/>
      <c r="QC137" s="207"/>
      <c r="QD137" s="207"/>
      <c r="QE137" s="272"/>
      <c r="QF137" s="272"/>
      <c r="QG137" s="205">
        <f t="shared" si="1478"/>
        <v>0</v>
      </c>
      <c r="QH137" s="207"/>
      <c r="QI137" s="207"/>
      <c r="QJ137" s="294"/>
      <c r="QK137" s="207"/>
      <c r="QL137" s="207"/>
      <c r="QM137" s="272"/>
      <c r="QN137" s="272"/>
      <c r="QO137" s="205">
        <f t="shared" si="1479"/>
        <v>0</v>
      </c>
      <c r="QP137" s="207"/>
      <c r="QQ137" s="207"/>
      <c r="QR137" s="207"/>
      <c r="QS137" s="207"/>
      <c r="QT137" s="207"/>
      <c r="QU137" s="272"/>
      <c r="QV137" s="272"/>
      <c r="QW137" s="205">
        <f t="shared" si="1480"/>
        <v>0</v>
      </c>
      <c r="QX137" s="205">
        <f t="shared" si="1481"/>
        <v>0</v>
      </c>
      <c r="QY137" s="124">
        <v>333</v>
      </c>
      <c r="QZ137" s="120"/>
      <c r="RA137" s="120"/>
      <c r="RB137" s="207"/>
      <c r="RC137" s="227"/>
      <c r="RD137" s="272"/>
      <c r="RE137" s="272"/>
      <c r="RF137" s="205">
        <f t="shared" si="1482"/>
        <v>333</v>
      </c>
      <c r="RG137" s="207"/>
      <c r="RH137" s="207"/>
      <c r="RI137" s="207"/>
      <c r="RJ137" s="207"/>
      <c r="RK137" s="207"/>
      <c r="RL137" s="272"/>
      <c r="RM137" s="272"/>
      <c r="RN137" s="205">
        <f t="shared" si="1483"/>
        <v>0</v>
      </c>
      <c r="RO137" s="272"/>
      <c r="RP137" s="272"/>
      <c r="RQ137" s="272"/>
      <c r="RR137" s="272"/>
      <c r="RS137" s="272"/>
      <c r="RT137" s="272"/>
      <c r="RU137" s="272"/>
      <c r="RV137" s="205">
        <f t="shared" si="1484"/>
        <v>0</v>
      </c>
      <c r="RW137" s="207"/>
      <c r="RX137" s="207"/>
      <c r="RY137" s="207"/>
      <c r="RZ137" s="207"/>
      <c r="SA137" s="272"/>
      <c r="SB137" s="272"/>
      <c r="SC137" s="272"/>
      <c r="SD137" s="205">
        <f t="shared" si="1485"/>
        <v>0</v>
      </c>
      <c r="SE137" s="205">
        <f t="shared" si="1486"/>
        <v>333</v>
      </c>
      <c r="SF137" s="207"/>
      <c r="SG137" s="207"/>
      <c r="SH137" s="207"/>
      <c r="SI137" s="207"/>
      <c r="SJ137" s="207"/>
      <c r="SK137" s="272"/>
      <c r="SL137" s="272"/>
      <c r="SM137" s="205">
        <f t="shared" si="1487"/>
        <v>0</v>
      </c>
      <c r="SN137" s="120"/>
      <c r="SO137" s="195">
        <v>444</v>
      </c>
      <c r="SP137" s="120"/>
      <c r="SQ137" s="120"/>
      <c r="SR137" s="207"/>
      <c r="SS137" s="272"/>
      <c r="ST137" s="272"/>
      <c r="SU137" s="205">
        <f t="shared" si="1488"/>
        <v>444</v>
      </c>
      <c r="SV137" s="207"/>
      <c r="SW137" s="207"/>
      <c r="SX137" s="207"/>
      <c r="SY137" s="207"/>
      <c r="SZ137" s="207"/>
      <c r="TA137" s="272"/>
      <c r="TB137" s="272"/>
      <c r="TC137" s="205">
        <f t="shared" si="1489"/>
        <v>0</v>
      </c>
      <c r="TD137" s="207"/>
      <c r="TE137" s="206">
        <v>333</v>
      </c>
      <c r="TF137" s="120"/>
      <c r="TG137" s="120"/>
      <c r="TH137" s="207"/>
      <c r="TI137" s="272"/>
      <c r="TJ137" s="272"/>
      <c r="TK137" s="205">
        <f t="shared" si="1490"/>
        <v>333</v>
      </c>
      <c r="TL137" s="207"/>
      <c r="TM137" s="207"/>
      <c r="TN137" s="207"/>
      <c r="TO137" s="207"/>
      <c r="TP137" s="272"/>
      <c r="TQ137" s="272"/>
      <c r="TR137" s="272"/>
      <c r="TS137" s="205">
        <f t="shared" si="1491"/>
        <v>0</v>
      </c>
      <c r="TT137" s="205">
        <f t="shared" si="1492"/>
        <v>777</v>
      </c>
      <c r="TU137" s="272"/>
      <c r="TV137" s="207"/>
      <c r="TW137" s="207"/>
      <c r="TX137" s="207"/>
      <c r="TY137" s="207"/>
      <c r="TZ137" s="272"/>
      <c r="UA137" s="272"/>
      <c r="UB137" s="205">
        <f t="shared" si="1493"/>
        <v>0</v>
      </c>
      <c r="UC137" s="124">
        <v>444</v>
      </c>
      <c r="UD137" s="120"/>
      <c r="UE137" s="120"/>
      <c r="UF137" s="207"/>
      <c r="UG137" s="207"/>
      <c r="UH137" s="272"/>
      <c r="UI137" s="272"/>
      <c r="UJ137" s="205">
        <f t="shared" si="1533"/>
        <v>444</v>
      </c>
      <c r="UK137" s="207"/>
      <c r="UL137" s="201">
        <v>666</v>
      </c>
      <c r="UM137" s="120"/>
      <c r="UN137" s="120"/>
      <c r="UO137" s="207"/>
      <c r="UP137" s="272"/>
      <c r="UQ137" s="272"/>
      <c r="UR137" s="205">
        <f t="shared" si="1495"/>
        <v>666</v>
      </c>
      <c r="US137" s="120"/>
      <c r="UT137" s="120"/>
      <c r="UU137" s="120"/>
      <c r="UV137" s="207"/>
      <c r="UW137" s="272"/>
      <c r="UX137" s="272"/>
      <c r="UY137" s="272"/>
      <c r="UZ137" s="205">
        <f t="shared" si="1496"/>
        <v>0</v>
      </c>
      <c r="VA137" s="205">
        <f t="shared" si="1497"/>
        <v>1110</v>
      </c>
      <c r="VB137" s="207"/>
      <c r="VC137" s="207"/>
      <c r="VD137" s="207"/>
      <c r="VE137" s="207"/>
      <c r="VF137" s="207"/>
      <c r="VG137" s="272"/>
      <c r="VH137" s="272"/>
      <c r="VI137" s="205">
        <f>SUM(VC137:VH137)</f>
        <v>0</v>
      </c>
      <c r="VJ137" s="207"/>
      <c r="VK137" s="207"/>
      <c r="VL137" s="207"/>
      <c r="VM137" s="207"/>
      <c r="VN137" s="207"/>
      <c r="VO137" s="272"/>
      <c r="VP137" s="272"/>
      <c r="VQ137" s="205">
        <f t="shared" si="1499"/>
        <v>0</v>
      </c>
      <c r="VR137" s="207"/>
      <c r="VS137" s="120"/>
      <c r="VT137" s="120"/>
      <c r="VU137" s="120"/>
      <c r="VV137" s="207"/>
      <c r="VW137" s="272"/>
      <c r="VX137" s="272"/>
      <c r="VY137" s="205">
        <f t="shared" si="1500"/>
        <v>0</v>
      </c>
      <c r="VZ137" s="120"/>
      <c r="WA137" s="120"/>
      <c r="WB137" s="195">
        <v>333</v>
      </c>
      <c r="WC137" s="120"/>
      <c r="WD137" s="120"/>
      <c r="WE137" s="272"/>
      <c r="WF137" s="272"/>
      <c r="WG137" s="205">
        <f t="shared" si="1501"/>
        <v>333</v>
      </c>
      <c r="WH137" s="205">
        <f t="shared" si="1502"/>
        <v>333</v>
      </c>
      <c r="WI137" s="207"/>
      <c r="WJ137" s="207"/>
      <c r="WK137" s="207"/>
      <c r="WL137" s="207"/>
      <c r="WM137" s="207"/>
      <c r="WN137" s="272"/>
      <c r="WO137" s="272"/>
      <c r="WP137" s="205">
        <f t="shared" si="1503"/>
        <v>0</v>
      </c>
      <c r="WQ137" s="207"/>
      <c r="WR137" s="207"/>
      <c r="WS137" s="207"/>
      <c r="WT137" s="207"/>
      <c r="WU137" s="207"/>
      <c r="WV137" s="272"/>
      <c r="WW137" s="272"/>
      <c r="WX137" s="205">
        <f t="shared" si="1504"/>
        <v>0</v>
      </c>
      <c r="WY137" s="207"/>
      <c r="WZ137" s="207"/>
      <c r="XA137" s="207"/>
      <c r="XB137" s="207"/>
      <c r="XC137" s="272"/>
      <c r="XD137" s="272"/>
      <c r="XE137" s="272"/>
      <c r="XF137" s="205">
        <f t="shared" si="1505"/>
        <v>0</v>
      </c>
      <c r="XG137" s="207"/>
      <c r="XH137" s="207"/>
      <c r="XI137" s="207"/>
      <c r="XJ137" s="207"/>
      <c r="XK137" s="207"/>
      <c r="XL137" s="272"/>
      <c r="XM137" s="272"/>
      <c r="XN137" s="205">
        <f t="shared" si="1506"/>
        <v>0</v>
      </c>
      <c r="XO137" s="207"/>
      <c r="XP137" s="207"/>
      <c r="XQ137" s="207"/>
      <c r="XR137" s="207"/>
      <c r="XS137" s="207"/>
      <c r="XT137" s="272"/>
      <c r="XU137" s="272"/>
      <c r="XV137" s="205">
        <f t="shared" si="1507"/>
        <v>0</v>
      </c>
      <c r="XW137" s="205">
        <f t="shared" si="1508"/>
        <v>0</v>
      </c>
      <c r="XX137" s="207"/>
      <c r="XY137" s="207"/>
      <c r="XZ137" s="207"/>
      <c r="YA137" s="207"/>
      <c r="YB137" s="207"/>
      <c r="YC137" s="272"/>
      <c r="YD137" s="272"/>
      <c r="YE137" s="205">
        <f t="shared" si="1509"/>
        <v>0</v>
      </c>
      <c r="YF137" s="207"/>
      <c r="YG137" s="207"/>
      <c r="YH137" s="207"/>
      <c r="YI137" s="207"/>
      <c r="YJ137" s="207"/>
      <c r="YK137" s="272"/>
      <c r="YL137" s="272"/>
      <c r="YM137" s="205">
        <f t="shared" si="1510"/>
        <v>0</v>
      </c>
      <c r="YN137" s="207"/>
      <c r="YO137" s="207"/>
      <c r="YP137" s="207"/>
      <c r="YQ137" s="207"/>
      <c r="YR137" s="207"/>
      <c r="YS137" s="272"/>
      <c r="YT137" s="272"/>
      <c r="YU137" s="205">
        <f t="shared" si="1511"/>
        <v>0</v>
      </c>
      <c r="YV137" s="207"/>
      <c r="YW137" s="207"/>
      <c r="YX137" s="207"/>
      <c r="YY137" s="207"/>
      <c r="YZ137" s="207"/>
      <c r="ZA137" s="272"/>
      <c r="ZB137" s="272"/>
      <c r="ZC137" s="205">
        <f t="shared" si="1512"/>
        <v>0</v>
      </c>
      <c r="ZD137" s="205">
        <f t="shared" si="1513"/>
        <v>0</v>
      </c>
      <c r="ZE137" s="207"/>
      <c r="ZF137" s="207"/>
      <c r="ZG137" s="207"/>
      <c r="ZH137" s="207"/>
      <c r="ZI137" s="207"/>
      <c r="ZJ137" s="272"/>
      <c r="ZK137" s="272"/>
      <c r="ZL137" s="205">
        <f t="shared" si="1514"/>
        <v>0</v>
      </c>
      <c r="ZM137" s="207"/>
      <c r="ZN137" s="207"/>
      <c r="ZO137" s="207"/>
      <c r="ZP137" s="207"/>
      <c r="ZQ137" s="207"/>
      <c r="ZR137" s="272"/>
      <c r="ZS137" s="272"/>
      <c r="ZT137" s="205">
        <f t="shared" si="1515"/>
        <v>0</v>
      </c>
      <c r="ZU137" s="207"/>
      <c r="ZV137" s="207"/>
      <c r="ZW137" s="207"/>
      <c r="ZX137" s="207"/>
      <c r="ZY137" s="207"/>
      <c r="ZZ137" s="272"/>
      <c r="AAA137" s="272"/>
      <c r="AAB137" s="205">
        <f t="shared" si="1516"/>
        <v>0</v>
      </c>
      <c r="AAC137" s="207"/>
      <c r="AAD137" s="207"/>
      <c r="AAE137" s="207"/>
      <c r="AAF137" s="207"/>
      <c r="AAG137" s="207"/>
      <c r="AAH137" s="272"/>
      <c r="AAI137" s="272"/>
      <c r="AAJ137" s="205">
        <f t="shared" si="1517"/>
        <v>0</v>
      </c>
      <c r="AAK137" s="207"/>
      <c r="AAL137" s="207"/>
      <c r="AAM137" s="207"/>
      <c r="AAN137" s="207"/>
      <c r="AAO137" s="207"/>
      <c r="AAP137" s="272"/>
      <c r="AAQ137" s="272"/>
      <c r="AAR137" s="205">
        <f t="shared" si="1518"/>
        <v>0</v>
      </c>
      <c r="AAS137" s="205">
        <f t="shared" si="1519"/>
        <v>0</v>
      </c>
    </row>
    <row r="138" spans="1:721" ht="69.95" customHeight="1">
      <c r="B138" s="130">
        <v>3631101403</v>
      </c>
      <c r="C138" s="146"/>
      <c r="D138" s="173" t="s">
        <v>34</v>
      </c>
      <c r="E138" s="130" t="s">
        <v>4</v>
      </c>
      <c r="F138" s="120"/>
      <c r="G138" s="120"/>
      <c r="H138" s="120"/>
      <c r="I138" s="120"/>
      <c r="J138" s="120"/>
      <c r="K138" s="209"/>
      <c r="L138" s="205"/>
      <c r="M138" s="205">
        <f t="shared" si="1520"/>
        <v>0</v>
      </c>
      <c r="N138" s="120"/>
      <c r="O138" s="120"/>
      <c r="P138" s="120"/>
      <c r="Q138" s="120"/>
      <c r="R138" s="120"/>
      <c r="S138" s="209"/>
      <c r="T138" s="205"/>
      <c r="U138" s="205">
        <f t="shared" si="1521"/>
        <v>0</v>
      </c>
      <c r="V138" s="120"/>
      <c r="W138" s="120"/>
      <c r="X138" s="120"/>
      <c r="Y138" s="120"/>
      <c r="Z138" s="120"/>
      <c r="AA138" s="209"/>
      <c r="AB138" s="205"/>
      <c r="AC138" s="205">
        <f t="shared" si="1522"/>
        <v>0</v>
      </c>
      <c r="AD138" s="205"/>
      <c r="AE138" s="205"/>
      <c r="AF138" s="205"/>
      <c r="AG138" s="205"/>
      <c r="AH138" s="205"/>
      <c r="AI138" s="209"/>
      <c r="AJ138" s="205"/>
      <c r="AK138" s="205">
        <f t="shared" si="1523"/>
        <v>0</v>
      </c>
      <c r="AL138" s="205" t="e">
        <f>SUM(#REF!,M138,U138,AC138,AD138:AH138)</f>
        <v>#REF!</v>
      </c>
      <c r="AM138" s="120"/>
      <c r="AN138" s="120"/>
      <c r="AO138" s="124">
        <v>444</v>
      </c>
      <c r="AP138" s="120"/>
      <c r="AQ138" s="120"/>
      <c r="AR138" s="209"/>
      <c r="AS138" s="205"/>
      <c r="AT138" s="205">
        <f t="shared" si="1524"/>
        <v>444</v>
      </c>
      <c r="AU138" s="120"/>
      <c r="AV138" s="120"/>
      <c r="AW138" s="120"/>
      <c r="AX138" s="120"/>
      <c r="AY138" s="120"/>
      <c r="AZ138" s="209"/>
      <c r="BA138" s="205"/>
      <c r="BB138" s="205">
        <f t="shared" si="1525"/>
        <v>0</v>
      </c>
      <c r="BC138" s="120"/>
      <c r="BD138" s="120"/>
      <c r="BE138" s="120"/>
      <c r="BF138" s="120"/>
      <c r="BG138" s="120"/>
      <c r="BH138" s="209"/>
      <c r="BI138" s="205"/>
      <c r="BJ138" s="205">
        <f t="shared" si="1526"/>
        <v>0</v>
      </c>
      <c r="BK138" s="120"/>
      <c r="BL138" s="120"/>
      <c r="BM138" s="120"/>
      <c r="BN138" s="120"/>
      <c r="BO138" s="205"/>
      <c r="BP138" s="209"/>
      <c r="BQ138" s="205"/>
      <c r="BR138" s="205">
        <f t="shared" si="1527"/>
        <v>0</v>
      </c>
      <c r="BS138" s="205">
        <f t="shared" si="1427"/>
        <v>444</v>
      </c>
      <c r="BT138" s="120"/>
      <c r="BU138" s="120"/>
      <c r="BV138" s="120"/>
      <c r="BW138" s="120"/>
      <c r="BX138" s="120"/>
      <c r="BY138" s="209"/>
      <c r="BZ138" s="205"/>
      <c r="CA138" s="205">
        <f t="shared" si="1528"/>
        <v>0</v>
      </c>
      <c r="CB138" s="120"/>
      <c r="CC138" s="201">
        <v>333</v>
      </c>
      <c r="CD138" s="120"/>
      <c r="CE138" s="120"/>
      <c r="CF138" s="120"/>
      <c r="CG138" s="209"/>
      <c r="CH138" s="205"/>
      <c r="CI138" s="205">
        <f t="shared" si="1529"/>
        <v>333</v>
      </c>
      <c r="CJ138" s="120"/>
      <c r="CK138" s="120"/>
      <c r="CL138" s="120"/>
      <c r="CM138" s="120"/>
      <c r="CN138" s="120"/>
      <c r="CO138" s="209"/>
      <c r="CP138" s="205"/>
      <c r="CQ138" s="205">
        <f t="shared" si="1530"/>
        <v>0</v>
      </c>
      <c r="CR138" s="120"/>
      <c r="CS138" s="120"/>
      <c r="CT138" s="120"/>
      <c r="CU138" s="120"/>
      <c r="CV138" s="120"/>
      <c r="CW138" s="209"/>
      <c r="CX138" s="205"/>
      <c r="CY138" s="205">
        <f t="shared" si="1531"/>
        <v>0</v>
      </c>
      <c r="CZ138" s="120"/>
      <c r="DA138" s="120"/>
      <c r="DB138" s="120"/>
      <c r="DC138" s="205"/>
      <c r="DD138" s="205"/>
      <c r="DE138" s="209"/>
      <c r="DF138" s="205"/>
      <c r="DG138" s="205">
        <f t="shared" si="1532"/>
        <v>0</v>
      </c>
      <c r="DH138" s="205">
        <f t="shared" si="1428"/>
        <v>333</v>
      </c>
      <c r="DI138" s="120"/>
      <c r="DJ138" s="120"/>
      <c r="DK138" s="120"/>
      <c r="DL138" s="120"/>
      <c r="DM138" s="120"/>
      <c r="DN138" s="209"/>
      <c r="DO138" s="205"/>
      <c r="DP138" s="205">
        <f t="shared" si="1432"/>
        <v>0</v>
      </c>
      <c r="DQ138" s="120"/>
      <c r="DR138" s="120"/>
      <c r="DS138" s="120"/>
      <c r="DT138" s="120"/>
      <c r="DU138" s="120"/>
      <c r="DV138" s="209"/>
      <c r="DW138" s="205"/>
      <c r="DX138" s="205">
        <f t="shared" si="1433"/>
        <v>0</v>
      </c>
      <c r="DY138" s="120"/>
      <c r="DZ138" s="120"/>
      <c r="EA138" s="250">
        <v>333</v>
      </c>
      <c r="EB138" s="120"/>
      <c r="EC138" s="120"/>
      <c r="ED138" s="209"/>
      <c r="EE138" s="205"/>
      <c r="EF138" s="205">
        <f t="shared" si="1434"/>
        <v>333</v>
      </c>
      <c r="EG138" s="120"/>
      <c r="EH138" s="120"/>
      <c r="EI138" s="120"/>
      <c r="EJ138" s="205"/>
      <c r="EK138" s="205"/>
      <c r="EL138" s="209"/>
      <c r="EM138" s="205"/>
      <c r="EN138" s="205">
        <f t="shared" si="1435"/>
        <v>0</v>
      </c>
      <c r="EO138" s="205">
        <f t="shared" si="1429"/>
        <v>333</v>
      </c>
      <c r="EP138" s="120"/>
      <c r="EQ138" s="120"/>
      <c r="ER138" s="120"/>
      <c r="ES138" s="120"/>
      <c r="ET138" s="120"/>
      <c r="EU138" s="209"/>
      <c r="EV138" s="205"/>
      <c r="EW138" s="205">
        <f t="shared" si="1436"/>
        <v>0</v>
      </c>
      <c r="EX138" s="120"/>
      <c r="EY138" s="120"/>
      <c r="EZ138" s="120"/>
      <c r="FA138" s="120"/>
      <c r="FB138" s="120"/>
      <c r="FC138" s="209"/>
      <c r="FD138" s="205"/>
      <c r="FE138" s="205">
        <f t="shared" si="1437"/>
        <v>0</v>
      </c>
      <c r="FF138" s="120"/>
      <c r="FG138" s="120"/>
      <c r="FH138" s="120"/>
      <c r="FI138" s="120"/>
      <c r="FJ138" s="120"/>
      <c r="FK138" s="209"/>
      <c r="FL138" s="205"/>
      <c r="FM138" s="205">
        <f t="shared" si="1438"/>
        <v>0</v>
      </c>
      <c r="FN138" s="124">
        <v>222</v>
      </c>
      <c r="FO138" s="120"/>
      <c r="FP138" s="120"/>
      <c r="FQ138" s="120"/>
      <c r="FR138" s="205"/>
      <c r="FS138" s="209"/>
      <c r="FT138" s="205"/>
      <c r="FU138" s="205">
        <f t="shared" si="1439"/>
        <v>222</v>
      </c>
      <c r="FV138" s="205">
        <f t="shared" si="1430"/>
        <v>222</v>
      </c>
      <c r="FW138" s="120"/>
      <c r="FX138" s="120"/>
      <c r="FY138" s="120"/>
      <c r="FZ138" s="120"/>
      <c r="GA138" s="120"/>
      <c r="GB138" s="209"/>
      <c r="GC138" s="205"/>
      <c r="GD138" s="205">
        <f t="shared" si="1440"/>
        <v>0</v>
      </c>
      <c r="GE138" s="120"/>
      <c r="GF138" s="120"/>
      <c r="GG138" s="250">
        <v>222</v>
      </c>
      <c r="GH138" s="120"/>
      <c r="GI138" s="120"/>
      <c r="GJ138" s="209"/>
      <c r="GK138" s="205"/>
      <c r="GL138" s="205">
        <f t="shared" si="1441"/>
        <v>222</v>
      </c>
      <c r="GM138" s="120"/>
      <c r="GN138" s="120"/>
      <c r="GO138" s="120"/>
      <c r="GP138" s="120"/>
      <c r="GQ138" s="120"/>
      <c r="GR138" s="209"/>
      <c r="GS138" s="205"/>
      <c r="GT138" s="205">
        <f t="shared" si="1442"/>
        <v>0</v>
      </c>
      <c r="GU138" s="120"/>
      <c r="GV138" s="120"/>
      <c r="GW138" s="120"/>
      <c r="GX138" s="120"/>
      <c r="GY138" s="120"/>
      <c r="GZ138" s="209"/>
      <c r="HA138" s="205"/>
      <c r="HB138" s="205">
        <f t="shared" si="1443"/>
        <v>0</v>
      </c>
      <c r="HC138" s="120"/>
      <c r="HD138" s="120"/>
      <c r="HE138" s="120"/>
      <c r="HF138" s="217">
        <v>777</v>
      </c>
      <c r="HG138" s="120"/>
      <c r="HH138" s="209"/>
      <c r="HI138" s="205"/>
      <c r="HJ138" s="205">
        <f t="shared" si="1444"/>
        <v>777</v>
      </c>
      <c r="HK138" s="205">
        <f t="shared" si="1431"/>
        <v>222</v>
      </c>
      <c r="HL138" s="124"/>
      <c r="HM138" s="120"/>
      <c r="HN138" s="120"/>
      <c r="HO138" s="120"/>
      <c r="HP138" s="120"/>
      <c r="HQ138" s="205"/>
      <c r="HR138" s="205"/>
      <c r="HS138" s="205">
        <f t="shared" si="1445"/>
        <v>0</v>
      </c>
      <c r="HT138" s="120"/>
      <c r="HU138" s="120"/>
      <c r="HV138" s="120"/>
      <c r="HW138" s="120"/>
      <c r="HX138" s="120"/>
      <c r="HY138" s="205"/>
      <c r="HZ138" s="205"/>
      <c r="IA138" s="205">
        <f t="shared" si="1446"/>
        <v>0</v>
      </c>
      <c r="IB138" s="120"/>
      <c r="IC138" s="120"/>
      <c r="ID138" s="120"/>
      <c r="IE138" s="120"/>
      <c r="IF138" s="120"/>
      <c r="IG138" s="205"/>
      <c r="IH138" s="205"/>
      <c r="II138" s="205">
        <f t="shared" si="1447"/>
        <v>0</v>
      </c>
      <c r="IJ138" s="120"/>
      <c r="IK138" s="120"/>
      <c r="IL138" s="120"/>
      <c r="IM138" s="120"/>
      <c r="IN138" s="120"/>
      <c r="IO138" s="205"/>
      <c r="IP138" s="205"/>
      <c r="IQ138" s="205">
        <f t="shared" si="1448"/>
        <v>0</v>
      </c>
      <c r="IR138" s="205">
        <f t="shared" si="1449"/>
        <v>777</v>
      </c>
      <c r="IS138" s="120"/>
      <c r="IT138" s="120"/>
      <c r="IU138" s="120"/>
      <c r="IV138" s="120"/>
      <c r="IW138" s="120"/>
      <c r="IX138" s="205"/>
      <c r="IY138" s="205"/>
      <c r="IZ138" s="205">
        <f t="shared" si="1450"/>
        <v>0</v>
      </c>
      <c r="JA138" s="120"/>
      <c r="JB138" s="120"/>
      <c r="JC138" s="120"/>
      <c r="JD138" s="120"/>
      <c r="JE138" s="120"/>
      <c r="JF138" s="205"/>
      <c r="JG138" s="205"/>
      <c r="JH138" s="205">
        <f t="shared" si="1451"/>
        <v>0</v>
      </c>
      <c r="JI138" s="120"/>
      <c r="JJ138" s="120"/>
      <c r="JK138" s="120"/>
      <c r="JL138" s="120"/>
      <c r="JM138" s="120"/>
      <c r="JN138" s="205"/>
      <c r="JO138" s="205"/>
      <c r="JP138" s="205">
        <f t="shared" si="1452"/>
        <v>0</v>
      </c>
      <c r="JQ138" s="120"/>
      <c r="JR138" s="120"/>
      <c r="JS138" s="120"/>
      <c r="JT138" s="120"/>
      <c r="JU138" s="120"/>
      <c r="JV138" s="205"/>
      <c r="JW138" s="205"/>
      <c r="JX138" s="205">
        <f t="shared" si="1453"/>
        <v>0</v>
      </c>
      <c r="JY138" s="205">
        <f t="shared" si="1454"/>
        <v>0</v>
      </c>
      <c r="JZ138" s="120"/>
      <c r="KA138" s="120"/>
      <c r="KB138" s="120"/>
      <c r="KC138" s="217">
        <v>555</v>
      </c>
      <c r="KD138" s="120"/>
      <c r="KE138" s="205"/>
      <c r="KF138" s="205"/>
      <c r="KG138" s="205">
        <f t="shared" si="1455"/>
        <v>555</v>
      </c>
      <c r="KH138" s="120"/>
      <c r="KI138" s="120"/>
      <c r="KJ138" s="120"/>
      <c r="KK138" s="120"/>
      <c r="KL138" s="120"/>
      <c r="KM138" s="205"/>
      <c r="KN138" s="205"/>
      <c r="KO138" s="205">
        <f t="shared" si="1456"/>
        <v>0</v>
      </c>
      <c r="KP138" s="120"/>
      <c r="KQ138" s="120"/>
      <c r="KR138" s="120"/>
      <c r="KS138" s="120"/>
      <c r="KT138" s="120"/>
      <c r="KU138" s="205"/>
      <c r="KV138" s="205"/>
      <c r="KW138" s="205">
        <f t="shared" si="1457"/>
        <v>0</v>
      </c>
      <c r="KX138" s="120"/>
      <c r="KY138" s="120"/>
      <c r="KZ138" s="120"/>
      <c r="LA138" s="120"/>
      <c r="LB138" s="120"/>
      <c r="LC138" s="205"/>
      <c r="LD138" s="205"/>
      <c r="LE138" s="205">
        <f t="shared" si="1458"/>
        <v>0</v>
      </c>
      <c r="LF138" s="205"/>
      <c r="LG138" s="120"/>
      <c r="LH138" s="120"/>
      <c r="LI138" s="120"/>
      <c r="LJ138" s="120"/>
      <c r="LK138" s="205"/>
      <c r="LL138" s="205"/>
      <c r="LM138" s="205">
        <f t="shared" si="1459"/>
        <v>0</v>
      </c>
      <c r="LN138" s="205">
        <f t="shared" si="1460"/>
        <v>555</v>
      </c>
      <c r="LO138" s="205"/>
      <c r="LP138" s="120"/>
      <c r="LQ138" s="120"/>
      <c r="LR138" s="120"/>
      <c r="LS138" s="205"/>
      <c r="LT138" s="205"/>
      <c r="LU138" s="205"/>
      <c r="LV138" s="205">
        <f t="shared" si="1461"/>
        <v>0</v>
      </c>
      <c r="LW138" s="120"/>
      <c r="LX138" s="120"/>
      <c r="LY138" s="195">
        <v>333</v>
      </c>
      <c r="LZ138" s="120"/>
      <c r="MA138" s="120"/>
      <c r="MB138" s="205"/>
      <c r="MC138" s="205"/>
      <c r="MD138" s="205">
        <f t="shared" si="1462"/>
        <v>333</v>
      </c>
      <c r="ME138" s="120"/>
      <c r="MF138" s="120"/>
      <c r="MG138" s="120"/>
      <c r="MH138" s="120"/>
      <c r="MI138" s="205"/>
      <c r="MJ138" s="205"/>
      <c r="MK138" s="205"/>
      <c r="ML138" s="205">
        <f t="shared" si="1463"/>
        <v>0</v>
      </c>
      <c r="MM138" s="120"/>
      <c r="MN138" s="120"/>
      <c r="MO138" s="120"/>
      <c r="MP138" s="120"/>
      <c r="MQ138" s="120"/>
      <c r="MR138" s="205"/>
      <c r="MS138" s="205"/>
      <c r="MT138" s="205">
        <f t="shared" si="1464"/>
        <v>0</v>
      </c>
      <c r="MU138" s="205">
        <f t="shared" si="1465"/>
        <v>333</v>
      </c>
      <c r="MV138" s="120"/>
      <c r="MW138" s="120"/>
      <c r="MX138" s="120"/>
      <c r="MY138" s="120"/>
      <c r="MZ138" s="120"/>
      <c r="NA138" s="205"/>
      <c r="NB138" s="205"/>
      <c r="NC138" s="205">
        <f t="shared" si="1466"/>
        <v>0</v>
      </c>
      <c r="ND138" s="120"/>
      <c r="NE138" s="120"/>
      <c r="NF138" s="124">
        <v>333</v>
      </c>
      <c r="NG138" s="120"/>
      <c r="NH138" s="120"/>
      <c r="NI138" s="205"/>
      <c r="NJ138" s="205"/>
      <c r="NK138" s="205">
        <f t="shared" si="1467"/>
        <v>333</v>
      </c>
      <c r="NL138" s="120"/>
      <c r="NM138" s="120"/>
      <c r="NN138" s="120"/>
      <c r="NO138" s="120"/>
      <c r="NP138" s="120"/>
      <c r="NQ138" s="205"/>
      <c r="NR138" s="205"/>
      <c r="NS138" s="205">
        <f t="shared" si="1468"/>
        <v>0</v>
      </c>
      <c r="NT138" s="120"/>
      <c r="NU138" s="120"/>
      <c r="NV138" s="120"/>
      <c r="NW138" s="120"/>
      <c r="NX138" s="120"/>
      <c r="NY138" s="205"/>
      <c r="NZ138" s="205"/>
      <c r="OA138" s="205">
        <f t="shared" si="1469"/>
        <v>0</v>
      </c>
      <c r="OB138" s="205">
        <f t="shared" si="1470"/>
        <v>333</v>
      </c>
      <c r="OC138" s="120"/>
      <c r="OD138" s="120"/>
      <c r="OE138" s="120"/>
      <c r="OF138" s="120"/>
      <c r="OG138" s="120"/>
      <c r="OH138" s="205"/>
      <c r="OI138" s="205"/>
      <c r="OJ138" s="205">
        <f t="shared" si="1471"/>
        <v>0</v>
      </c>
      <c r="OK138" s="120"/>
      <c r="OL138" s="120"/>
      <c r="OM138" s="120"/>
      <c r="ON138" s="124">
        <v>333</v>
      </c>
      <c r="OO138" s="120"/>
      <c r="OP138" s="205"/>
      <c r="OQ138" s="205"/>
      <c r="OR138" s="205">
        <f t="shared" si="1472"/>
        <v>333</v>
      </c>
      <c r="OS138" s="120"/>
      <c r="OT138" s="120"/>
      <c r="OU138" s="120"/>
      <c r="OV138" s="120"/>
      <c r="OW138" s="120"/>
      <c r="OX138" s="205"/>
      <c r="OY138" s="205"/>
      <c r="OZ138" s="205">
        <f t="shared" si="1473"/>
        <v>0</v>
      </c>
      <c r="PA138" s="120"/>
      <c r="PB138" s="120"/>
      <c r="PC138" s="120"/>
      <c r="PD138" s="205"/>
      <c r="PE138" s="217"/>
      <c r="PF138" s="205"/>
      <c r="PG138" s="205"/>
      <c r="PH138" s="205">
        <f t="shared" si="1474"/>
        <v>0</v>
      </c>
      <c r="PI138" s="120"/>
      <c r="PJ138" s="120"/>
      <c r="PK138" s="120"/>
      <c r="PL138" s="205"/>
      <c r="PM138" s="217"/>
      <c r="PN138" s="205"/>
      <c r="PO138" s="205"/>
      <c r="PP138" s="205">
        <f t="shared" si="1475"/>
        <v>0</v>
      </c>
      <c r="PQ138" s="205">
        <f t="shared" si="1476"/>
        <v>333</v>
      </c>
      <c r="PR138" s="207"/>
      <c r="PS138" s="207"/>
      <c r="PT138" s="207"/>
      <c r="PU138" s="207"/>
      <c r="PV138" s="207"/>
      <c r="PW138" s="272"/>
      <c r="PX138" s="272"/>
      <c r="PY138" s="205">
        <f t="shared" si="1477"/>
        <v>0</v>
      </c>
      <c r="PZ138" s="207"/>
      <c r="QA138" s="207"/>
      <c r="QB138" s="207"/>
      <c r="QC138" s="207"/>
      <c r="QD138" s="207"/>
      <c r="QE138" s="272"/>
      <c r="QF138" s="272"/>
      <c r="QG138" s="205">
        <f t="shared" si="1478"/>
        <v>0</v>
      </c>
      <c r="QH138" s="207"/>
      <c r="QI138" s="207"/>
      <c r="QJ138" s="294"/>
      <c r="QK138" s="207"/>
      <c r="QL138" s="207"/>
      <c r="QM138" s="272"/>
      <c r="QN138" s="272"/>
      <c r="QO138" s="205">
        <f t="shared" si="1479"/>
        <v>0</v>
      </c>
      <c r="QP138" s="207"/>
      <c r="QQ138" s="207"/>
      <c r="QR138" s="207"/>
      <c r="QS138" s="207"/>
      <c r="QT138" s="207"/>
      <c r="QU138" s="272"/>
      <c r="QV138" s="272"/>
      <c r="QW138" s="205">
        <f t="shared" si="1480"/>
        <v>0</v>
      </c>
      <c r="QX138" s="205">
        <f t="shared" si="1481"/>
        <v>0</v>
      </c>
      <c r="QY138" s="120"/>
      <c r="QZ138" s="120"/>
      <c r="RA138" s="124">
        <v>333</v>
      </c>
      <c r="RB138" s="207"/>
      <c r="RC138" s="207"/>
      <c r="RD138" s="272"/>
      <c r="RE138" s="272"/>
      <c r="RF138" s="205">
        <f t="shared" si="1482"/>
        <v>333</v>
      </c>
      <c r="RG138" s="207"/>
      <c r="RH138" s="207"/>
      <c r="RI138" s="207"/>
      <c r="RJ138" s="207"/>
      <c r="RK138" s="207"/>
      <c r="RL138" s="272"/>
      <c r="RM138" s="272"/>
      <c r="RN138" s="205">
        <f t="shared" si="1483"/>
        <v>0</v>
      </c>
      <c r="RO138" s="272"/>
      <c r="RP138" s="272"/>
      <c r="RQ138" s="272"/>
      <c r="RR138" s="272"/>
      <c r="RS138" s="272"/>
      <c r="RT138" s="272"/>
      <c r="RU138" s="272"/>
      <c r="RV138" s="205">
        <f t="shared" si="1484"/>
        <v>0</v>
      </c>
      <c r="RW138" s="207"/>
      <c r="RX138" s="207"/>
      <c r="RY138" s="207"/>
      <c r="RZ138" s="207"/>
      <c r="SA138" s="272"/>
      <c r="SB138" s="272"/>
      <c r="SC138" s="272"/>
      <c r="SD138" s="205">
        <f t="shared" si="1485"/>
        <v>0</v>
      </c>
      <c r="SE138" s="205">
        <f t="shared" si="1486"/>
        <v>333</v>
      </c>
      <c r="SF138" s="207"/>
      <c r="SG138" s="207"/>
      <c r="SH138" s="207"/>
      <c r="SI138" s="207"/>
      <c r="SJ138" s="207"/>
      <c r="SK138" s="272"/>
      <c r="SL138" s="272"/>
      <c r="SM138" s="205">
        <f t="shared" si="1487"/>
        <v>0</v>
      </c>
      <c r="SN138" s="120"/>
      <c r="SO138" s="120"/>
      <c r="SP138" s="120"/>
      <c r="SQ138" s="195">
        <v>444</v>
      </c>
      <c r="SR138" s="207"/>
      <c r="SS138" s="272"/>
      <c r="ST138" s="272"/>
      <c r="SU138" s="205">
        <f t="shared" si="1488"/>
        <v>444</v>
      </c>
      <c r="SV138" s="207"/>
      <c r="SW138" s="207"/>
      <c r="SX138" s="207"/>
      <c r="SY138" s="207"/>
      <c r="SZ138" s="207"/>
      <c r="TA138" s="272"/>
      <c r="TB138" s="272"/>
      <c r="TC138" s="205">
        <f t="shared" si="1489"/>
        <v>0</v>
      </c>
      <c r="TD138" s="207"/>
      <c r="TE138" s="120"/>
      <c r="TF138" s="120"/>
      <c r="TG138" s="206">
        <v>333</v>
      </c>
      <c r="TH138" s="207"/>
      <c r="TI138" s="272"/>
      <c r="TJ138" s="272"/>
      <c r="TK138" s="205">
        <f t="shared" si="1490"/>
        <v>333</v>
      </c>
      <c r="TL138" s="207"/>
      <c r="TM138" s="207"/>
      <c r="TN138" s="207"/>
      <c r="TO138" s="207"/>
      <c r="TP138" s="272"/>
      <c r="TQ138" s="272"/>
      <c r="TR138" s="272"/>
      <c r="TS138" s="205">
        <f t="shared" si="1491"/>
        <v>0</v>
      </c>
      <c r="TT138" s="205">
        <f t="shared" si="1492"/>
        <v>777</v>
      </c>
      <c r="TU138" s="272"/>
      <c r="TV138" s="207"/>
      <c r="TW138" s="207"/>
      <c r="TX138" s="207"/>
      <c r="TY138" s="207"/>
      <c r="TZ138" s="272"/>
      <c r="UA138" s="272"/>
      <c r="UB138" s="205">
        <f t="shared" si="1493"/>
        <v>0</v>
      </c>
      <c r="UC138" s="120"/>
      <c r="UD138" s="120"/>
      <c r="UE138" s="124">
        <v>444</v>
      </c>
      <c r="UF138" s="207"/>
      <c r="UG138" s="207"/>
      <c r="UH138" s="272"/>
      <c r="UI138" s="272"/>
      <c r="UJ138" s="205">
        <f t="shared" si="1533"/>
        <v>444</v>
      </c>
      <c r="UK138" s="207"/>
      <c r="UL138" s="120"/>
      <c r="UM138" s="120"/>
      <c r="UN138" s="201">
        <v>666</v>
      </c>
      <c r="UO138" s="207"/>
      <c r="UP138" s="272"/>
      <c r="UQ138" s="272"/>
      <c r="UR138" s="205">
        <f t="shared" si="1495"/>
        <v>666</v>
      </c>
      <c r="US138" s="120"/>
      <c r="UT138" s="120"/>
      <c r="UU138" s="120"/>
      <c r="UV138" s="207"/>
      <c r="UW138" s="272"/>
      <c r="UX138" s="272"/>
      <c r="UY138" s="272"/>
      <c r="UZ138" s="205">
        <f t="shared" si="1496"/>
        <v>0</v>
      </c>
      <c r="VA138" s="205">
        <f t="shared" si="1497"/>
        <v>1110</v>
      </c>
      <c r="VB138" s="207"/>
      <c r="VC138" s="207"/>
      <c r="VD138" s="207"/>
      <c r="VE138" s="207"/>
      <c r="VF138" s="207"/>
      <c r="VG138" s="272"/>
      <c r="VH138" s="272"/>
      <c r="VI138" s="205">
        <f>SUM(VC138:VH138)</f>
        <v>0</v>
      </c>
      <c r="VJ138" s="207"/>
      <c r="VK138" s="207"/>
      <c r="VL138" s="207"/>
      <c r="VM138" s="207"/>
      <c r="VN138" s="207"/>
      <c r="VO138" s="272"/>
      <c r="VP138" s="272"/>
      <c r="VQ138" s="205">
        <f t="shared" si="1499"/>
        <v>0</v>
      </c>
      <c r="VR138" s="207"/>
      <c r="VS138" s="120"/>
      <c r="VT138" s="120"/>
      <c r="VU138" s="120"/>
      <c r="VV138" s="207"/>
      <c r="VW138" s="272"/>
      <c r="VX138" s="272"/>
      <c r="VY138" s="205">
        <f t="shared" si="1500"/>
        <v>0</v>
      </c>
      <c r="VZ138" s="120"/>
      <c r="WA138" s="120"/>
      <c r="WB138" s="120"/>
      <c r="WC138" s="120"/>
      <c r="WD138" s="195">
        <v>333</v>
      </c>
      <c r="WE138" s="272"/>
      <c r="WF138" s="272"/>
      <c r="WG138" s="205">
        <f t="shared" si="1501"/>
        <v>333</v>
      </c>
      <c r="WH138" s="205">
        <f t="shared" si="1502"/>
        <v>333</v>
      </c>
      <c r="WI138" s="207"/>
      <c r="WJ138" s="207"/>
      <c r="WK138" s="207"/>
      <c r="WL138" s="207"/>
      <c r="WM138" s="207"/>
      <c r="WN138" s="272"/>
      <c r="WO138" s="272"/>
      <c r="WP138" s="205">
        <f t="shared" si="1503"/>
        <v>0</v>
      </c>
      <c r="WQ138" s="207"/>
      <c r="WR138" s="207"/>
      <c r="WS138" s="207"/>
      <c r="WT138" s="207"/>
      <c r="WU138" s="207"/>
      <c r="WV138" s="272"/>
      <c r="WW138" s="272"/>
      <c r="WX138" s="205">
        <f t="shared" si="1504"/>
        <v>0</v>
      </c>
      <c r="WY138" s="207"/>
      <c r="WZ138" s="207"/>
      <c r="XA138" s="207"/>
      <c r="XB138" s="207"/>
      <c r="XC138" s="272"/>
      <c r="XD138" s="272"/>
      <c r="XE138" s="272"/>
      <c r="XF138" s="205">
        <f t="shared" si="1505"/>
        <v>0</v>
      </c>
      <c r="XG138" s="207"/>
      <c r="XH138" s="207"/>
      <c r="XI138" s="207"/>
      <c r="XJ138" s="207"/>
      <c r="XK138" s="207"/>
      <c r="XL138" s="272"/>
      <c r="XM138" s="272"/>
      <c r="XN138" s="205">
        <f t="shared" si="1506"/>
        <v>0</v>
      </c>
      <c r="XO138" s="207"/>
      <c r="XP138" s="207"/>
      <c r="XQ138" s="207"/>
      <c r="XR138" s="207"/>
      <c r="XS138" s="207"/>
      <c r="XT138" s="272"/>
      <c r="XU138" s="272"/>
      <c r="XV138" s="205">
        <f t="shared" si="1507"/>
        <v>0</v>
      </c>
      <c r="XW138" s="205">
        <f t="shared" si="1508"/>
        <v>0</v>
      </c>
      <c r="XX138" s="207"/>
      <c r="XY138" s="207"/>
      <c r="XZ138" s="207"/>
      <c r="YA138" s="207"/>
      <c r="YB138" s="207"/>
      <c r="YC138" s="272"/>
      <c r="YD138" s="272"/>
      <c r="YE138" s="205">
        <f t="shared" si="1509"/>
        <v>0</v>
      </c>
      <c r="YF138" s="207"/>
      <c r="YG138" s="207"/>
      <c r="YH138" s="207"/>
      <c r="YI138" s="207"/>
      <c r="YJ138" s="207"/>
      <c r="YK138" s="272"/>
      <c r="YL138" s="272"/>
      <c r="YM138" s="205">
        <f t="shared" si="1510"/>
        <v>0</v>
      </c>
      <c r="YN138" s="207"/>
      <c r="YO138" s="207"/>
      <c r="YP138" s="207"/>
      <c r="YQ138" s="207"/>
      <c r="YR138" s="207"/>
      <c r="YS138" s="272"/>
      <c r="YT138" s="272"/>
      <c r="YU138" s="205">
        <f t="shared" si="1511"/>
        <v>0</v>
      </c>
      <c r="YV138" s="207"/>
      <c r="YW138" s="207"/>
      <c r="YX138" s="207"/>
      <c r="YY138" s="207"/>
      <c r="YZ138" s="207"/>
      <c r="ZA138" s="272"/>
      <c r="ZB138" s="272"/>
      <c r="ZC138" s="205">
        <f t="shared" si="1512"/>
        <v>0</v>
      </c>
      <c r="ZD138" s="205">
        <f t="shared" si="1513"/>
        <v>0</v>
      </c>
      <c r="ZE138" s="207"/>
      <c r="ZF138" s="207"/>
      <c r="ZG138" s="207"/>
      <c r="ZH138" s="207"/>
      <c r="ZI138" s="207"/>
      <c r="ZJ138" s="272"/>
      <c r="ZK138" s="272"/>
      <c r="ZL138" s="205">
        <f t="shared" si="1514"/>
        <v>0</v>
      </c>
      <c r="ZM138" s="207"/>
      <c r="ZN138" s="207"/>
      <c r="ZO138" s="207"/>
      <c r="ZP138" s="207"/>
      <c r="ZQ138" s="207"/>
      <c r="ZR138" s="272"/>
      <c r="ZS138" s="272"/>
      <c r="ZT138" s="205">
        <f t="shared" si="1515"/>
        <v>0</v>
      </c>
      <c r="ZU138" s="207"/>
      <c r="ZV138" s="207"/>
      <c r="ZW138" s="207"/>
      <c r="ZX138" s="207"/>
      <c r="ZY138" s="207"/>
      <c r="ZZ138" s="272"/>
      <c r="AAA138" s="272"/>
      <c r="AAB138" s="205">
        <f t="shared" si="1516"/>
        <v>0</v>
      </c>
      <c r="AAC138" s="207"/>
      <c r="AAD138" s="207"/>
      <c r="AAE138" s="207"/>
      <c r="AAF138" s="207"/>
      <c r="AAG138" s="207"/>
      <c r="AAH138" s="272"/>
      <c r="AAI138" s="272"/>
      <c r="AAJ138" s="205">
        <f t="shared" si="1517"/>
        <v>0</v>
      </c>
      <c r="AAK138" s="207"/>
      <c r="AAL138" s="207"/>
      <c r="AAM138" s="207"/>
      <c r="AAN138" s="207"/>
      <c r="AAO138" s="207"/>
      <c r="AAP138" s="272"/>
      <c r="AAQ138" s="272"/>
      <c r="AAR138" s="205">
        <f t="shared" si="1518"/>
        <v>0</v>
      </c>
      <c r="AAS138" s="205">
        <f t="shared" si="1519"/>
        <v>0</v>
      </c>
    </row>
    <row r="139" spans="1:721" ht="69.95" customHeight="1">
      <c r="B139" s="130">
        <v>3631101413</v>
      </c>
      <c r="C139" s="336" t="s">
        <v>485</v>
      </c>
      <c r="D139" s="197" t="s">
        <v>308</v>
      </c>
      <c r="E139" s="130" t="s">
        <v>4</v>
      </c>
      <c r="F139" s="120"/>
      <c r="G139" s="120"/>
      <c r="H139" s="120"/>
      <c r="I139" s="120"/>
      <c r="J139" s="120"/>
      <c r="K139" s="209"/>
      <c r="L139" s="205"/>
      <c r="M139" s="205">
        <f t="shared" si="1520"/>
        <v>0</v>
      </c>
      <c r="N139" s="120"/>
      <c r="O139" s="120"/>
      <c r="P139" s="120"/>
      <c r="Q139" s="120"/>
      <c r="R139" s="120"/>
      <c r="S139" s="209"/>
      <c r="T139" s="205"/>
      <c r="U139" s="205">
        <f t="shared" si="1521"/>
        <v>0</v>
      </c>
      <c r="V139" s="120"/>
      <c r="W139" s="120"/>
      <c r="X139" s="120"/>
      <c r="Y139" s="120"/>
      <c r="Z139" s="120"/>
      <c r="AA139" s="209"/>
      <c r="AB139" s="205"/>
      <c r="AC139" s="205">
        <f t="shared" si="1522"/>
        <v>0</v>
      </c>
      <c r="AD139" s="205"/>
      <c r="AE139" s="205"/>
      <c r="AF139" s="205"/>
      <c r="AG139" s="205"/>
      <c r="AH139" s="205"/>
      <c r="AI139" s="209"/>
      <c r="AJ139" s="205"/>
      <c r="AK139" s="205">
        <f t="shared" si="1523"/>
        <v>0</v>
      </c>
      <c r="AL139" s="205" t="e">
        <f>SUM(#REF!,M139,U139,AC139,AD139:AH139)</f>
        <v>#REF!</v>
      </c>
      <c r="AM139" s="120"/>
      <c r="AN139" s="120"/>
      <c r="AO139" s="120"/>
      <c r="AP139" s="120"/>
      <c r="AQ139" s="120"/>
      <c r="AR139" s="209"/>
      <c r="AS139" s="205"/>
      <c r="AT139" s="205">
        <f t="shared" si="1524"/>
        <v>0</v>
      </c>
      <c r="AU139" s="120"/>
      <c r="AV139" s="120"/>
      <c r="AW139" s="120"/>
      <c r="AX139" s="120"/>
      <c r="AY139" s="120"/>
      <c r="AZ139" s="209"/>
      <c r="BA139" s="205"/>
      <c r="BB139" s="205">
        <f t="shared" si="1525"/>
        <v>0</v>
      </c>
      <c r="BC139" s="120"/>
      <c r="BD139" s="120"/>
      <c r="BE139" s="120"/>
      <c r="BF139" s="120"/>
      <c r="BG139" s="120"/>
      <c r="BH139" s="209"/>
      <c r="BI139" s="205"/>
      <c r="BJ139" s="205">
        <f t="shared" si="1526"/>
        <v>0</v>
      </c>
      <c r="BK139" s="120"/>
      <c r="BL139" s="120"/>
      <c r="BM139" s="120"/>
      <c r="BN139" s="120"/>
      <c r="BO139" s="205"/>
      <c r="BP139" s="209"/>
      <c r="BQ139" s="205"/>
      <c r="BR139" s="205">
        <f t="shared" si="1527"/>
        <v>0</v>
      </c>
      <c r="BS139" s="205">
        <f t="shared" si="1427"/>
        <v>0</v>
      </c>
      <c r="BT139" s="120"/>
      <c r="BU139" s="120"/>
      <c r="BV139" s="120"/>
      <c r="BW139" s="120"/>
      <c r="BX139" s="120"/>
      <c r="BY139" s="209"/>
      <c r="BZ139" s="205"/>
      <c r="CA139" s="205">
        <f t="shared" si="1528"/>
        <v>0</v>
      </c>
      <c r="CB139" s="120"/>
      <c r="CC139" s="120"/>
      <c r="CD139" s="120"/>
      <c r="CE139" s="120"/>
      <c r="CF139" s="120"/>
      <c r="CG139" s="209"/>
      <c r="CH139" s="205"/>
      <c r="CI139" s="205">
        <f t="shared" si="1529"/>
        <v>0</v>
      </c>
      <c r="CJ139" s="120"/>
      <c r="CK139" s="120"/>
      <c r="CL139" s="120"/>
      <c r="CM139" s="120"/>
      <c r="CN139" s="120"/>
      <c r="CO139" s="209"/>
      <c r="CP139" s="205"/>
      <c r="CQ139" s="205">
        <f t="shared" si="1530"/>
        <v>0</v>
      </c>
      <c r="CR139" s="120"/>
      <c r="CS139" s="120"/>
      <c r="CT139" s="120"/>
      <c r="CU139" s="120"/>
      <c r="CV139" s="120"/>
      <c r="CW139" s="209"/>
      <c r="CX139" s="205"/>
      <c r="CY139" s="205">
        <f t="shared" si="1531"/>
        <v>0</v>
      </c>
      <c r="CZ139" s="120"/>
      <c r="DA139" s="120"/>
      <c r="DB139" s="120"/>
      <c r="DC139" s="205"/>
      <c r="DD139" s="205"/>
      <c r="DE139" s="209"/>
      <c r="DF139" s="205"/>
      <c r="DG139" s="205">
        <f t="shared" si="1532"/>
        <v>0</v>
      </c>
      <c r="DH139" s="205">
        <f t="shared" si="1428"/>
        <v>0</v>
      </c>
      <c r="DI139" s="120"/>
      <c r="DJ139" s="120"/>
      <c r="DK139" s="120"/>
      <c r="DL139" s="120"/>
      <c r="DM139" s="120"/>
      <c r="DN139" s="209"/>
      <c r="DO139" s="205"/>
      <c r="DP139" s="205">
        <f t="shared" si="1432"/>
        <v>0</v>
      </c>
      <c r="DQ139" s="120"/>
      <c r="DR139" s="120"/>
      <c r="DS139" s="120"/>
      <c r="DT139" s="120"/>
      <c r="DU139" s="120"/>
      <c r="DV139" s="209"/>
      <c r="DW139" s="205"/>
      <c r="DX139" s="205">
        <f t="shared" si="1433"/>
        <v>0</v>
      </c>
      <c r="DY139" s="120"/>
      <c r="DZ139" s="120"/>
      <c r="EA139" s="120"/>
      <c r="EB139" s="120"/>
      <c r="EC139" s="120"/>
      <c r="ED139" s="209"/>
      <c r="EE139" s="205"/>
      <c r="EF139" s="205">
        <f t="shared" si="1434"/>
        <v>0</v>
      </c>
      <c r="EG139" s="120"/>
      <c r="EH139" s="120"/>
      <c r="EI139" s="120"/>
      <c r="EJ139" s="205"/>
      <c r="EK139" s="205"/>
      <c r="EL139" s="209"/>
      <c r="EM139" s="205"/>
      <c r="EN139" s="205">
        <f t="shared" si="1435"/>
        <v>0</v>
      </c>
      <c r="EO139" s="205">
        <f t="shared" si="1429"/>
        <v>0</v>
      </c>
      <c r="EP139" s="120"/>
      <c r="EQ139" s="120"/>
      <c r="ER139" s="120"/>
      <c r="ES139" s="120"/>
      <c r="ET139" s="120"/>
      <c r="EU139" s="209"/>
      <c r="EV139" s="205"/>
      <c r="EW139" s="205">
        <f t="shared" si="1436"/>
        <v>0</v>
      </c>
      <c r="EX139" s="120"/>
      <c r="EY139" s="120"/>
      <c r="EZ139" s="120"/>
      <c r="FA139" s="120"/>
      <c r="FB139" s="120"/>
      <c r="FC139" s="209"/>
      <c r="FD139" s="205"/>
      <c r="FE139" s="205">
        <f t="shared" si="1437"/>
        <v>0</v>
      </c>
      <c r="FF139" s="120"/>
      <c r="FG139" s="120"/>
      <c r="FH139" s="120"/>
      <c r="FI139" s="120"/>
      <c r="FJ139" s="120"/>
      <c r="FK139" s="209"/>
      <c r="FL139" s="205"/>
      <c r="FM139" s="205">
        <f t="shared" si="1438"/>
        <v>0</v>
      </c>
      <c r="FN139" s="120"/>
      <c r="FO139" s="120"/>
      <c r="FP139" s="120"/>
      <c r="FQ139" s="120"/>
      <c r="FR139" s="205"/>
      <c r="FS139" s="209"/>
      <c r="FT139" s="205"/>
      <c r="FU139" s="205">
        <f t="shared" si="1439"/>
        <v>0</v>
      </c>
      <c r="FV139" s="205">
        <f t="shared" si="1430"/>
        <v>0</v>
      </c>
      <c r="FW139" s="120"/>
      <c r="FX139" s="120"/>
      <c r="FY139" s="120"/>
      <c r="FZ139" s="120"/>
      <c r="GA139" s="120"/>
      <c r="GB139" s="209"/>
      <c r="GC139" s="205"/>
      <c r="GD139" s="205">
        <f t="shared" si="1440"/>
        <v>0</v>
      </c>
      <c r="GE139" s="120"/>
      <c r="GF139" s="120"/>
      <c r="GG139" s="120"/>
      <c r="GH139" s="120"/>
      <c r="GI139" s="120"/>
      <c r="GJ139" s="209"/>
      <c r="GK139" s="205"/>
      <c r="GL139" s="205">
        <f t="shared" si="1441"/>
        <v>0</v>
      </c>
      <c r="GM139" s="120"/>
      <c r="GN139" s="120"/>
      <c r="GO139" s="120"/>
      <c r="GP139" s="120"/>
      <c r="GQ139" s="120"/>
      <c r="GR139" s="209"/>
      <c r="GS139" s="205"/>
      <c r="GT139" s="205">
        <f t="shared" si="1442"/>
        <v>0</v>
      </c>
      <c r="GU139" s="120"/>
      <c r="GV139" s="120"/>
      <c r="GW139" s="120"/>
      <c r="GX139" s="120"/>
      <c r="GY139" s="120"/>
      <c r="GZ139" s="209"/>
      <c r="HA139" s="205"/>
      <c r="HB139" s="205">
        <f t="shared" si="1443"/>
        <v>0</v>
      </c>
      <c r="HC139" s="120"/>
      <c r="HD139" s="120"/>
      <c r="HE139" s="120"/>
      <c r="HF139" s="120"/>
      <c r="HG139" s="120"/>
      <c r="HH139" s="209"/>
      <c r="HI139" s="205"/>
      <c r="HJ139" s="205">
        <f t="shared" si="1444"/>
        <v>0</v>
      </c>
      <c r="HK139" s="205">
        <f t="shared" si="1431"/>
        <v>0</v>
      </c>
      <c r="HL139" s="124"/>
      <c r="HM139" s="120"/>
      <c r="HN139" s="120"/>
      <c r="HO139" s="120"/>
      <c r="HP139" s="120"/>
      <c r="HQ139" s="205"/>
      <c r="HR139" s="205"/>
      <c r="HS139" s="205">
        <f t="shared" si="1445"/>
        <v>0</v>
      </c>
      <c r="HT139" s="120"/>
      <c r="HU139" s="120"/>
      <c r="HV139" s="120"/>
      <c r="HW139" s="120"/>
      <c r="HX139" s="120"/>
      <c r="HY139" s="205"/>
      <c r="HZ139" s="205"/>
      <c r="IA139" s="205">
        <f t="shared" si="1446"/>
        <v>0</v>
      </c>
      <c r="IB139" s="120"/>
      <c r="IC139" s="120"/>
      <c r="ID139" s="120"/>
      <c r="IE139" s="120"/>
      <c r="IF139" s="120"/>
      <c r="IG139" s="205"/>
      <c r="IH139" s="205"/>
      <c r="II139" s="205">
        <f t="shared" si="1447"/>
        <v>0</v>
      </c>
      <c r="IJ139" s="120"/>
      <c r="IK139" s="120"/>
      <c r="IL139" s="120"/>
      <c r="IM139" s="120"/>
      <c r="IN139" s="120"/>
      <c r="IO139" s="205"/>
      <c r="IP139" s="205"/>
      <c r="IQ139" s="205">
        <f t="shared" si="1448"/>
        <v>0</v>
      </c>
      <c r="IR139" s="205">
        <f t="shared" si="1449"/>
        <v>0</v>
      </c>
      <c r="IS139" s="120"/>
      <c r="IT139" s="120"/>
      <c r="IU139" s="120"/>
      <c r="IV139" s="120"/>
      <c r="IW139" s="120"/>
      <c r="IX139" s="205"/>
      <c r="IY139" s="205"/>
      <c r="IZ139" s="205">
        <f t="shared" si="1450"/>
        <v>0</v>
      </c>
      <c r="JA139" s="120"/>
      <c r="JB139" s="120"/>
      <c r="JC139" s="120"/>
      <c r="JD139" s="120"/>
      <c r="JE139" s="120"/>
      <c r="JF139" s="205"/>
      <c r="JG139" s="205"/>
      <c r="JH139" s="205">
        <f t="shared" si="1451"/>
        <v>0</v>
      </c>
      <c r="JI139" s="120"/>
      <c r="JJ139" s="120"/>
      <c r="JK139" s="120"/>
      <c r="JL139" s="120"/>
      <c r="JM139" s="120"/>
      <c r="JN139" s="205"/>
      <c r="JO139" s="205"/>
      <c r="JP139" s="205">
        <f t="shared" si="1452"/>
        <v>0</v>
      </c>
      <c r="JQ139" s="120"/>
      <c r="JR139" s="120"/>
      <c r="JS139" s="120"/>
      <c r="JT139" s="120"/>
      <c r="JU139" s="120"/>
      <c r="JV139" s="205"/>
      <c r="JW139" s="205"/>
      <c r="JX139" s="205">
        <f t="shared" si="1453"/>
        <v>0</v>
      </c>
      <c r="JY139" s="205">
        <f t="shared" si="1454"/>
        <v>0</v>
      </c>
      <c r="JZ139" s="120"/>
      <c r="KA139" s="120"/>
      <c r="KB139" s="120"/>
      <c r="KC139" s="120"/>
      <c r="KD139" s="120"/>
      <c r="KE139" s="205"/>
      <c r="KF139" s="205"/>
      <c r="KG139" s="205">
        <f t="shared" si="1455"/>
        <v>0</v>
      </c>
      <c r="KH139" s="120"/>
      <c r="KI139" s="120"/>
      <c r="KJ139" s="120"/>
      <c r="KK139" s="120"/>
      <c r="KL139" s="120"/>
      <c r="KM139" s="205"/>
      <c r="KN139" s="205"/>
      <c r="KO139" s="205">
        <f t="shared" si="1456"/>
        <v>0</v>
      </c>
      <c r="KP139" s="120"/>
      <c r="KQ139" s="120"/>
      <c r="KR139" s="120"/>
      <c r="KS139" s="120"/>
      <c r="KT139" s="120"/>
      <c r="KU139" s="205"/>
      <c r="KV139" s="205"/>
      <c r="KW139" s="205">
        <f t="shared" si="1457"/>
        <v>0</v>
      </c>
      <c r="KX139" s="120"/>
      <c r="KY139" s="120"/>
      <c r="KZ139" s="120"/>
      <c r="LA139" s="120"/>
      <c r="LB139" s="120"/>
      <c r="LC139" s="205"/>
      <c r="LD139" s="205"/>
      <c r="LE139" s="205">
        <f t="shared" si="1458"/>
        <v>0</v>
      </c>
      <c r="LF139" s="205"/>
      <c r="LG139" s="120"/>
      <c r="LH139" s="120"/>
      <c r="LI139" s="120"/>
      <c r="LJ139" s="120"/>
      <c r="LK139" s="205"/>
      <c r="LL139" s="205"/>
      <c r="LM139" s="205">
        <f t="shared" si="1459"/>
        <v>0</v>
      </c>
      <c r="LN139" s="205">
        <f t="shared" si="1460"/>
        <v>0</v>
      </c>
      <c r="LO139" s="205"/>
      <c r="LP139" s="120"/>
      <c r="LQ139" s="120"/>
      <c r="LR139" s="120"/>
      <c r="LS139" s="205"/>
      <c r="LT139" s="205"/>
      <c r="LU139" s="205"/>
      <c r="LV139" s="205">
        <f t="shared" si="1461"/>
        <v>0</v>
      </c>
      <c r="LW139" s="120"/>
      <c r="LX139" s="120"/>
      <c r="LY139" s="120"/>
      <c r="LZ139" s="120"/>
      <c r="MA139" s="120"/>
      <c r="MB139" s="205"/>
      <c r="MC139" s="205"/>
      <c r="MD139" s="205">
        <f t="shared" si="1462"/>
        <v>0</v>
      </c>
      <c r="ME139" s="120"/>
      <c r="MF139" s="120"/>
      <c r="MG139" s="120"/>
      <c r="MH139" s="120"/>
      <c r="MI139" s="205"/>
      <c r="MJ139" s="205"/>
      <c r="MK139" s="205"/>
      <c r="ML139" s="205">
        <f t="shared" si="1463"/>
        <v>0</v>
      </c>
      <c r="MM139" s="120"/>
      <c r="MN139" s="120"/>
      <c r="MO139" s="120"/>
      <c r="MP139" s="120"/>
      <c r="MQ139" s="120"/>
      <c r="MR139" s="205"/>
      <c r="MS139" s="205"/>
      <c r="MT139" s="205">
        <f t="shared" si="1464"/>
        <v>0</v>
      </c>
      <c r="MU139" s="205">
        <f t="shared" si="1465"/>
        <v>0</v>
      </c>
      <c r="MV139" s="120"/>
      <c r="MW139" s="120"/>
      <c r="MX139" s="120"/>
      <c r="MY139" s="120"/>
      <c r="MZ139" s="120"/>
      <c r="NA139" s="205"/>
      <c r="NB139" s="205"/>
      <c r="NC139" s="205">
        <f t="shared" si="1466"/>
        <v>0</v>
      </c>
      <c r="ND139" s="120"/>
      <c r="NE139" s="120"/>
      <c r="NF139" s="120"/>
      <c r="NG139" s="120"/>
      <c r="NH139" s="120"/>
      <c r="NI139" s="205"/>
      <c r="NJ139" s="205"/>
      <c r="NK139" s="205">
        <f t="shared" si="1467"/>
        <v>0</v>
      </c>
      <c r="NL139" s="120"/>
      <c r="NM139" s="120"/>
      <c r="NN139" s="120"/>
      <c r="NO139" s="120"/>
      <c r="NP139" s="120"/>
      <c r="NQ139" s="205"/>
      <c r="NR139" s="205"/>
      <c r="NS139" s="205">
        <f t="shared" si="1468"/>
        <v>0</v>
      </c>
      <c r="NT139" s="120"/>
      <c r="NU139" s="120"/>
      <c r="NV139" s="120"/>
      <c r="NW139" s="120"/>
      <c r="NX139" s="120"/>
      <c r="NY139" s="205"/>
      <c r="NZ139" s="205"/>
      <c r="OA139" s="205">
        <f t="shared" si="1469"/>
        <v>0</v>
      </c>
      <c r="OB139" s="205">
        <f t="shared" si="1470"/>
        <v>0</v>
      </c>
      <c r="OC139" s="120"/>
      <c r="OD139" s="120"/>
      <c r="OE139" s="120"/>
      <c r="OF139" s="120"/>
      <c r="OG139" s="120"/>
      <c r="OH139" s="205"/>
      <c r="OI139" s="205"/>
      <c r="OJ139" s="205">
        <f t="shared" si="1471"/>
        <v>0</v>
      </c>
      <c r="OK139" s="120"/>
      <c r="OL139" s="120"/>
      <c r="OM139" s="120"/>
      <c r="ON139" s="120"/>
      <c r="OO139" s="120"/>
      <c r="OP139" s="205"/>
      <c r="OQ139" s="205"/>
      <c r="OR139" s="205">
        <f t="shared" si="1472"/>
        <v>0</v>
      </c>
      <c r="OS139" s="120"/>
      <c r="OT139" s="120"/>
      <c r="OU139" s="120"/>
      <c r="OV139" s="120"/>
      <c r="OW139" s="120"/>
      <c r="OX139" s="205"/>
      <c r="OY139" s="205"/>
      <c r="OZ139" s="205">
        <f t="shared" si="1473"/>
        <v>0</v>
      </c>
      <c r="PA139" s="120"/>
      <c r="PB139" s="120"/>
      <c r="PC139" s="120"/>
      <c r="PD139" s="205"/>
      <c r="PE139" s="217"/>
      <c r="PF139" s="205"/>
      <c r="PG139" s="205"/>
      <c r="PH139" s="205">
        <f t="shared" si="1474"/>
        <v>0</v>
      </c>
      <c r="PI139" s="120"/>
      <c r="PJ139" s="120"/>
      <c r="PK139" s="120"/>
      <c r="PL139" s="205"/>
      <c r="PM139" s="217"/>
      <c r="PN139" s="205"/>
      <c r="PO139" s="205"/>
      <c r="PP139" s="205">
        <f t="shared" si="1475"/>
        <v>0</v>
      </c>
      <c r="PQ139" s="205">
        <f t="shared" si="1476"/>
        <v>0</v>
      </c>
      <c r="PR139" s="207"/>
      <c r="PS139" s="207"/>
      <c r="PT139" s="207"/>
      <c r="PU139" s="207"/>
      <c r="PV139" s="207"/>
      <c r="PW139" s="272"/>
      <c r="PX139" s="272"/>
      <c r="PY139" s="205">
        <f t="shared" si="1477"/>
        <v>0</v>
      </c>
      <c r="PZ139" s="207"/>
      <c r="QA139" s="207"/>
      <c r="QB139" s="207"/>
      <c r="QC139" s="207"/>
      <c r="QD139" s="207"/>
      <c r="QE139" s="272"/>
      <c r="QF139" s="272"/>
      <c r="QG139" s="205">
        <f t="shared" si="1478"/>
        <v>0</v>
      </c>
      <c r="QH139" s="207"/>
      <c r="QI139" s="207"/>
      <c r="QJ139" s="294"/>
      <c r="QK139" s="207"/>
      <c r="QL139" s="207"/>
      <c r="QM139" s="272"/>
      <c r="QN139" s="272"/>
      <c r="QO139" s="205">
        <f t="shared" si="1479"/>
        <v>0</v>
      </c>
      <c r="QP139" s="207"/>
      <c r="QQ139" s="207"/>
      <c r="QR139" s="207"/>
      <c r="QS139" s="207"/>
      <c r="QT139" s="207"/>
      <c r="QU139" s="272"/>
      <c r="QV139" s="272"/>
      <c r="QW139" s="205">
        <f t="shared" si="1480"/>
        <v>0</v>
      </c>
      <c r="QX139" s="205">
        <f t="shared" si="1481"/>
        <v>0</v>
      </c>
      <c r="QY139" s="207"/>
      <c r="QZ139" s="120"/>
      <c r="RA139" s="120"/>
      <c r="RB139" s="207"/>
      <c r="RC139" s="207"/>
      <c r="RD139" s="272"/>
      <c r="RE139" s="272"/>
      <c r="RF139" s="205">
        <f t="shared" si="1482"/>
        <v>0</v>
      </c>
      <c r="RG139" s="207"/>
      <c r="RH139" s="207"/>
      <c r="RI139" s="207"/>
      <c r="RJ139" s="207"/>
      <c r="RK139" s="207"/>
      <c r="RL139" s="272"/>
      <c r="RM139" s="272"/>
      <c r="RN139" s="205">
        <f t="shared" si="1483"/>
        <v>0</v>
      </c>
      <c r="RO139" s="272"/>
      <c r="RP139" s="272"/>
      <c r="RQ139" s="272"/>
      <c r="RR139" s="272"/>
      <c r="RS139" s="272"/>
      <c r="RT139" s="272"/>
      <c r="RU139" s="272"/>
      <c r="RV139" s="205">
        <f t="shared" si="1484"/>
        <v>0</v>
      </c>
      <c r="RW139" s="207"/>
      <c r="RX139" s="207"/>
      <c r="RY139" s="207"/>
      <c r="RZ139" s="207"/>
      <c r="SA139" s="272"/>
      <c r="SB139" s="272"/>
      <c r="SC139" s="272"/>
      <c r="SD139" s="205">
        <f t="shared" si="1485"/>
        <v>0</v>
      </c>
      <c r="SE139" s="205">
        <f t="shared" si="1486"/>
        <v>0</v>
      </c>
      <c r="SF139" s="207"/>
      <c r="SG139" s="207"/>
      <c r="SH139" s="207"/>
      <c r="SI139" s="207"/>
      <c r="SJ139" s="207"/>
      <c r="SK139" s="272"/>
      <c r="SL139" s="272"/>
      <c r="SM139" s="205">
        <f t="shared" si="1487"/>
        <v>0</v>
      </c>
      <c r="SN139" s="120"/>
      <c r="SO139" s="120"/>
      <c r="SP139" s="120"/>
      <c r="SQ139" s="207"/>
      <c r="SR139" s="207"/>
      <c r="SS139" s="272"/>
      <c r="ST139" s="272"/>
      <c r="SU139" s="205">
        <f t="shared" si="1488"/>
        <v>0</v>
      </c>
      <c r="SV139" s="207"/>
      <c r="SW139" s="207"/>
      <c r="SX139" s="207"/>
      <c r="SY139" s="207"/>
      <c r="SZ139" s="207"/>
      <c r="TA139" s="272"/>
      <c r="TB139" s="272"/>
      <c r="TC139" s="205">
        <f t="shared" si="1489"/>
        <v>0</v>
      </c>
      <c r="TD139" s="207"/>
      <c r="TE139" s="207"/>
      <c r="TF139" s="207"/>
      <c r="TG139" s="207"/>
      <c r="TH139" s="207"/>
      <c r="TI139" s="272"/>
      <c r="TJ139" s="272"/>
      <c r="TK139" s="205">
        <f t="shared" si="1490"/>
        <v>0</v>
      </c>
      <c r="TL139" s="207"/>
      <c r="TM139" s="207"/>
      <c r="TN139" s="207"/>
      <c r="TO139" s="207"/>
      <c r="TP139" s="272"/>
      <c r="TQ139" s="272"/>
      <c r="TR139" s="272"/>
      <c r="TS139" s="205">
        <f t="shared" si="1491"/>
        <v>0</v>
      </c>
      <c r="TT139" s="205">
        <f t="shared" si="1492"/>
        <v>0</v>
      </c>
      <c r="TU139" s="272"/>
      <c r="TV139" s="207"/>
      <c r="TW139" s="207"/>
      <c r="TX139" s="207"/>
      <c r="TY139" s="207"/>
      <c r="TZ139" s="272"/>
      <c r="UA139" s="272"/>
      <c r="UB139" s="205">
        <f t="shared" si="1493"/>
        <v>0</v>
      </c>
      <c r="UC139" s="120"/>
      <c r="UD139" s="207"/>
      <c r="UE139" s="207"/>
      <c r="UF139" s="207"/>
      <c r="UG139" s="207"/>
      <c r="UH139" s="272"/>
      <c r="UI139" s="272"/>
      <c r="UJ139" s="205">
        <f t="shared" si="1533"/>
        <v>0</v>
      </c>
      <c r="UK139" s="207"/>
      <c r="UL139" s="207"/>
      <c r="UM139" s="207"/>
      <c r="UN139" s="207"/>
      <c r="UO139" s="207"/>
      <c r="UP139" s="272"/>
      <c r="UQ139" s="272"/>
      <c r="UR139" s="205">
        <f t="shared" si="1495"/>
        <v>0</v>
      </c>
      <c r="US139" s="207"/>
      <c r="UT139" s="207"/>
      <c r="UU139" s="207"/>
      <c r="UV139" s="207"/>
      <c r="UW139" s="272"/>
      <c r="UX139" s="272"/>
      <c r="UY139" s="272"/>
      <c r="UZ139" s="205">
        <f t="shared" si="1496"/>
        <v>0</v>
      </c>
      <c r="VA139" s="205">
        <f t="shared" si="1497"/>
        <v>0</v>
      </c>
      <c r="VB139" s="207"/>
      <c r="VC139" s="207"/>
      <c r="VD139" s="207"/>
      <c r="VE139" s="207"/>
      <c r="VF139" s="207"/>
      <c r="VG139" s="272"/>
      <c r="VH139" s="272"/>
      <c r="VI139" s="205">
        <f t="shared" si="1498"/>
        <v>0</v>
      </c>
      <c r="VJ139" s="207"/>
      <c r="VK139" s="207"/>
      <c r="VL139" s="207"/>
      <c r="VM139" s="207"/>
      <c r="VN139" s="207"/>
      <c r="VO139" s="272"/>
      <c r="VP139" s="272"/>
      <c r="VQ139" s="205">
        <f t="shared" si="1499"/>
        <v>0</v>
      </c>
      <c r="VR139" s="207"/>
      <c r="VS139" s="207"/>
      <c r="VT139" s="207"/>
      <c r="VU139" s="207"/>
      <c r="VV139" s="207"/>
      <c r="VW139" s="272"/>
      <c r="VX139" s="272"/>
      <c r="VY139" s="205">
        <f t="shared" si="1500"/>
        <v>0</v>
      </c>
      <c r="VZ139" s="207"/>
      <c r="WA139" s="120"/>
      <c r="WB139" s="207"/>
      <c r="WC139" s="207"/>
      <c r="WD139" s="207"/>
      <c r="WE139" s="272"/>
      <c r="WF139" s="272"/>
      <c r="WG139" s="205">
        <f t="shared" si="1501"/>
        <v>0</v>
      </c>
      <c r="WH139" s="205">
        <f t="shared" si="1502"/>
        <v>0</v>
      </c>
      <c r="WI139" s="207"/>
      <c r="WJ139" s="207"/>
      <c r="WK139" s="207"/>
      <c r="WL139" s="207"/>
      <c r="WM139" s="207"/>
      <c r="WN139" s="272"/>
      <c r="WO139" s="272"/>
      <c r="WP139" s="205">
        <f t="shared" si="1503"/>
        <v>0</v>
      </c>
      <c r="WQ139" s="207"/>
      <c r="WR139" s="207"/>
      <c r="WS139" s="207"/>
      <c r="WT139" s="207"/>
      <c r="WU139" s="207"/>
      <c r="WV139" s="272"/>
      <c r="WW139" s="272"/>
      <c r="WX139" s="205">
        <f t="shared" si="1504"/>
        <v>0</v>
      </c>
      <c r="WY139" s="207"/>
      <c r="WZ139" s="207"/>
      <c r="XA139" s="207"/>
      <c r="XB139" s="207"/>
      <c r="XC139" s="272"/>
      <c r="XD139" s="272"/>
      <c r="XE139" s="272"/>
      <c r="XF139" s="205">
        <f t="shared" si="1505"/>
        <v>0</v>
      </c>
      <c r="XG139" s="207"/>
      <c r="XH139" s="207"/>
      <c r="XI139" s="207"/>
      <c r="XJ139" s="207"/>
      <c r="XK139" s="207"/>
      <c r="XL139" s="272"/>
      <c r="XM139" s="272"/>
      <c r="XN139" s="205">
        <f t="shared" si="1506"/>
        <v>0</v>
      </c>
      <c r="XO139" s="207"/>
      <c r="XP139" s="207"/>
      <c r="XQ139" s="207"/>
      <c r="XR139" s="207"/>
      <c r="XS139" s="207"/>
      <c r="XT139" s="272"/>
      <c r="XU139" s="272"/>
      <c r="XV139" s="205">
        <f t="shared" si="1507"/>
        <v>0</v>
      </c>
      <c r="XW139" s="205">
        <f t="shared" si="1508"/>
        <v>0</v>
      </c>
      <c r="XX139" s="207"/>
      <c r="XY139" s="207"/>
      <c r="XZ139" s="207"/>
      <c r="YA139" s="207"/>
      <c r="YB139" s="207"/>
      <c r="YC139" s="272"/>
      <c r="YD139" s="272"/>
      <c r="YE139" s="205">
        <f t="shared" si="1509"/>
        <v>0</v>
      </c>
      <c r="YF139" s="207"/>
      <c r="YG139" s="207"/>
      <c r="YH139" s="207"/>
      <c r="YI139" s="207"/>
      <c r="YJ139" s="207"/>
      <c r="YK139" s="272"/>
      <c r="YL139" s="272"/>
      <c r="YM139" s="205">
        <f t="shared" si="1510"/>
        <v>0</v>
      </c>
      <c r="YN139" s="207"/>
      <c r="YO139" s="207"/>
      <c r="YP139" s="207"/>
      <c r="YQ139" s="207"/>
      <c r="YR139" s="207"/>
      <c r="YS139" s="272"/>
      <c r="YT139" s="272"/>
      <c r="YU139" s="205">
        <f t="shared" si="1511"/>
        <v>0</v>
      </c>
      <c r="YV139" s="207"/>
      <c r="YW139" s="207"/>
      <c r="YX139" s="207"/>
      <c r="YY139" s="207"/>
      <c r="YZ139" s="207"/>
      <c r="ZA139" s="272"/>
      <c r="ZB139" s="272"/>
      <c r="ZC139" s="205">
        <f t="shared" si="1512"/>
        <v>0</v>
      </c>
      <c r="ZD139" s="205">
        <f t="shared" si="1513"/>
        <v>0</v>
      </c>
      <c r="ZE139" s="207"/>
      <c r="ZF139" s="207"/>
      <c r="ZG139" s="207"/>
      <c r="ZH139" s="207"/>
      <c r="ZI139" s="207"/>
      <c r="ZJ139" s="272"/>
      <c r="ZK139" s="272"/>
      <c r="ZL139" s="205">
        <f t="shared" si="1514"/>
        <v>0</v>
      </c>
      <c r="ZM139" s="207"/>
      <c r="ZN139" s="207"/>
      <c r="ZO139" s="207"/>
      <c r="ZP139" s="207"/>
      <c r="ZQ139" s="207"/>
      <c r="ZR139" s="272"/>
      <c r="ZS139" s="272"/>
      <c r="ZT139" s="205">
        <f t="shared" si="1515"/>
        <v>0</v>
      </c>
      <c r="ZU139" s="207"/>
      <c r="ZV139" s="207"/>
      <c r="ZW139" s="207"/>
      <c r="ZX139" s="207"/>
      <c r="ZY139" s="207"/>
      <c r="ZZ139" s="272"/>
      <c r="AAA139" s="272"/>
      <c r="AAB139" s="205">
        <f t="shared" si="1516"/>
        <v>0</v>
      </c>
      <c r="AAC139" s="207"/>
      <c r="AAD139" s="207"/>
      <c r="AAE139" s="207"/>
      <c r="AAF139" s="207"/>
      <c r="AAG139" s="207"/>
      <c r="AAH139" s="272"/>
      <c r="AAI139" s="272"/>
      <c r="AAJ139" s="205">
        <f t="shared" si="1517"/>
        <v>0</v>
      </c>
      <c r="AAK139" s="207"/>
      <c r="AAL139" s="207"/>
      <c r="AAM139" s="207"/>
      <c r="AAN139" s="207"/>
      <c r="AAO139" s="207"/>
      <c r="AAP139" s="272"/>
      <c r="AAQ139" s="272"/>
      <c r="AAR139" s="205">
        <f t="shared" si="1518"/>
        <v>0</v>
      </c>
      <c r="AAS139" s="205">
        <f t="shared" si="1519"/>
        <v>0</v>
      </c>
    </row>
    <row r="140" spans="1:721" ht="69.95" customHeight="1">
      <c r="B140" s="130">
        <v>5714600144</v>
      </c>
      <c r="C140" s="146"/>
      <c r="D140" s="173" t="s">
        <v>420</v>
      </c>
      <c r="E140" s="130" t="s">
        <v>4</v>
      </c>
      <c r="F140" s="120"/>
      <c r="G140" s="120"/>
      <c r="H140" s="120"/>
      <c r="I140" s="120"/>
      <c r="J140" s="120"/>
      <c r="K140" s="209"/>
      <c r="L140" s="205"/>
      <c r="M140" s="205">
        <f t="shared" si="1520"/>
        <v>0</v>
      </c>
      <c r="N140" s="120"/>
      <c r="O140" s="120"/>
      <c r="P140" s="120"/>
      <c r="Q140" s="120"/>
      <c r="R140" s="120"/>
      <c r="S140" s="209"/>
      <c r="T140" s="205"/>
      <c r="U140" s="205">
        <f t="shared" si="1521"/>
        <v>0</v>
      </c>
      <c r="V140" s="120"/>
      <c r="W140" s="120"/>
      <c r="X140" s="120"/>
      <c r="Y140" s="120"/>
      <c r="Z140" s="120"/>
      <c r="AA140" s="209"/>
      <c r="AB140" s="205"/>
      <c r="AC140" s="205">
        <f t="shared" si="1522"/>
        <v>0</v>
      </c>
      <c r="AD140" s="205"/>
      <c r="AE140" s="205"/>
      <c r="AF140" s="205"/>
      <c r="AG140" s="205"/>
      <c r="AH140" s="205"/>
      <c r="AI140" s="209"/>
      <c r="AJ140" s="205"/>
      <c r="AK140" s="205">
        <f t="shared" si="1523"/>
        <v>0</v>
      </c>
      <c r="AL140" s="205" t="e">
        <f>SUM(#REF!,M140,U140,AC140,AD140:AH140)</f>
        <v>#REF!</v>
      </c>
      <c r="AM140" s="120"/>
      <c r="AN140" s="120"/>
      <c r="AO140" s="120"/>
      <c r="AP140" s="120"/>
      <c r="AQ140" s="120"/>
      <c r="AR140" s="209"/>
      <c r="AS140" s="205"/>
      <c r="AT140" s="205">
        <f t="shared" si="1524"/>
        <v>0</v>
      </c>
      <c r="AU140" s="120"/>
      <c r="AV140" s="120"/>
      <c r="AW140" s="120"/>
      <c r="AX140" s="120"/>
      <c r="AY140" s="120"/>
      <c r="AZ140" s="209"/>
      <c r="BA140" s="205"/>
      <c r="BB140" s="205">
        <f t="shared" si="1525"/>
        <v>0</v>
      </c>
      <c r="BC140" s="120"/>
      <c r="BD140" s="120"/>
      <c r="BE140" s="120"/>
      <c r="BF140" s="120"/>
      <c r="BG140" s="120"/>
      <c r="BH140" s="209"/>
      <c r="BI140" s="205"/>
      <c r="BJ140" s="205">
        <f t="shared" si="1526"/>
        <v>0</v>
      </c>
      <c r="BK140" s="120"/>
      <c r="BL140" s="120"/>
      <c r="BM140" s="120"/>
      <c r="BN140" s="120"/>
      <c r="BO140" s="205"/>
      <c r="BP140" s="209"/>
      <c r="BQ140" s="205"/>
      <c r="BR140" s="205">
        <f t="shared" si="1527"/>
        <v>0</v>
      </c>
      <c r="BS140" s="205">
        <f t="shared" si="1427"/>
        <v>0</v>
      </c>
      <c r="BT140" s="120"/>
      <c r="BU140" s="120"/>
      <c r="BV140" s="120"/>
      <c r="BW140" s="120"/>
      <c r="BX140" s="120"/>
      <c r="BY140" s="209"/>
      <c r="BZ140" s="205"/>
      <c r="CA140" s="205">
        <f t="shared" si="1528"/>
        <v>0</v>
      </c>
      <c r="CB140" s="120"/>
      <c r="CC140" s="120"/>
      <c r="CD140" s="120"/>
      <c r="CE140" s="120"/>
      <c r="CF140" s="120"/>
      <c r="CG140" s="209"/>
      <c r="CH140" s="205"/>
      <c r="CI140" s="205">
        <f t="shared" si="1529"/>
        <v>0</v>
      </c>
      <c r="CJ140" s="120"/>
      <c r="CK140" s="120"/>
      <c r="CL140" s="120"/>
      <c r="CM140" s="120"/>
      <c r="CN140" s="120"/>
      <c r="CO140" s="209"/>
      <c r="CP140" s="205"/>
      <c r="CQ140" s="205">
        <f t="shared" si="1530"/>
        <v>0</v>
      </c>
      <c r="CR140" s="120"/>
      <c r="CS140" s="120"/>
      <c r="CT140" s="120"/>
      <c r="CU140" s="120"/>
      <c r="CV140" s="120"/>
      <c r="CW140" s="209"/>
      <c r="CX140" s="205"/>
      <c r="CY140" s="205">
        <f t="shared" si="1531"/>
        <v>0</v>
      </c>
      <c r="CZ140" s="120"/>
      <c r="DA140" s="120"/>
      <c r="DB140" s="120"/>
      <c r="DC140" s="205"/>
      <c r="DD140" s="205"/>
      <c r="DE140" s="209"/>
      <c r="DF140" s="205"/>
      <c r="DG140" s="205">
        <f t="shared" si="1532"/>
        <v>0</v>
      </c>
      <c r="DH140" s="205">
        <f t="shared" si="1428"/>
        <v>0</v>
      </c>
      <c r="DI140" s="120"/>
      <c r="DJ140" s="120"/>
      <c r="DK140" s="120"/>
      <c r="DL140" s="120"/>
      <c r="DM140" s="120"/>
      <c r="DN140" s="209"/>
      <c r="DO140" s="205"/>
      <c r="DP140" s="205">
        <f t="shared" si="1432"/>
        <v>0</v>
      </c>
      <c r="DQ140" s="120"/>
      <c r="DR140" s="120"/>
      <c r="DS140" s="120"/>
      <c r="DT140" s="120"/>
      <c r="DU140" s="120"/>
      <c r="DV140" s="209"/>
      <c r="DW140" s="205"/>
      <c r="DX140" s="205">
        <f t="shared" si="1433"/>
        <v>0</v>
      </c>
      <c r="DY140" s="120"/>
      <c r="DZ140" s="120"/>
      <c r="EA140" s="120"/>
      <c r="EB140" s="120"/>
      <c r="EC140" s="120"/>
      <c r="ED140" s="209"/>
      <c r="EE140" s="205"/>
      <c r="EF140" s="205">
        <f t="shared" si="1434"/>
        <v>0</v>
      </c>
      <c r="EG140" s="120"/>
      <c r="EH140" s="120"/>
      <c r="EI140" s="120"/>
      <c r="EJ140" s="205"/>
      <c r="EK140" s="205"/>
      <c r="EL140" s="209"/>
      <c r="EM140" s="205"/>
      <c r="EN140" s="205">
        <f t="shared" si="1435"/>
        <v>0</v>
      </c>
      <c r="EO140" s="205">
        <f t="shared" si="1429"/>
        <v>0</v>
      </c>
      <c r="EP140" s="120"/>
      <c r="EQ140" s="120"/>
      <c r="ER140" s="120"/>
      <c r="ES140" s="120"/>
      <c r="ET140" s="120"/>
      <c r="EU140" s="209"/>
      <c r="EV140" s="205"/>
      <c r="EW140" s="205">
        <f t="shared" si="1436"/>
        <v>0</v>
      </c>
      <c r="EX140" s="120"/>
      <c r="EY140" s="120"/>
      <c r="EZ140" s="120"/>
      <c r="FA140" s="120"/>
      <c r="FB140" s="120"/>
      <c r="FC140" s="209"/>
      <c r="FD140" s="205"/>
      <c r="FE140" s="205">
        <f t="shared" si="1437"/>
        <v>0</v>
      </c>
      <c r="FF140" s="120"/>
      <c r="FG140" s="120"/>
      <c r="FH140" s="120"/>
      <c r="FI140" s="120"/>
      <c r="FJ140" s="120"/>
      <c r="FK140" s="209"/>
      <c r="FL140" s="205"/>
      <c r="FM140" s="205">
        <f t="shared" si="1438"/>
        <v>0</v>
      </c>
      <c r="FN140" s="120"/>
      <c r="FO140" s="120"/>
      <c r="FP140" s="120"/>
      <c r="FQ140" s="120"/>
      <c r="FR140" s="205"/>
      <c r="FS140" s="209"/>
      <c r="FT140" s="205"/>
      <c r="FU140" s="205">
        <f t="shared" si="1439"/>
        <v>0</v>
      </c>
      <c r="FV140" s="205">
        <f t="shared" si="1430"/>
        <v>0</v>
      </c>
      <c r="FW140" s="120"/>
      <c r="FX140" s="120"/>
      <c r="FY140" s="120"/>
      <c r="FZ140" s="120"/>
      <c r="GA140" s="120"/>
      <c r="GB140" s="209"/>
      <c r="GC140" s="205"/>
      <c r="GD140" s="205">
        <f t="shared" si="1440"/>
        <v>0</v>
      </c>
      <c r="GE140" s="120"/>
      <c r="GF140" s="120"/>
      <c r="GG140" s="120"/>
      <c r="GH140" s="120"/>
      <c r="GI140" s="120"/>
      <c r="GJ140" s="209"/>
      <c r="GK140" s="205"/>
      <c r="GL140" s="205">
        <f t="shared" si="1441"/>
        <v>0</v>
      </c>
      <c r="GM140" s="120"/>
      <c r="GN140" s="120"/>
      <c r="GO140" s="120"/>
      <c r="GP140" s="120"/>
      <c r="GQ140" s="120"/>
      <c r="GR140" s="209"/>
      <c r="GS140" s="205"/>
      <c r="GT140" s="205">
        <f t="shared" si="1442"/>
        <v>0</v>
      </c>
      <c r="GU140" s="120"/>
      <c r="GV140" s="120"/>
      <c r="GW140" s="120"/>
      <c r="GX140" s="120"/>
      <c r="GY140" s="120"/>
      <c r="GZ140" s="209"/>
      <c r="HA140" s="205"/>
      <c r="HB140" s="205">
        <f t="shared" si="1443"/>
        <v>0</v>
      </c>
      <c r="HC140" s="120"/>
      <c r="HD140" s="120"/>
      <c r="HE140" s="120"/>
      <c r="HF140" s="120"/>
      <c r="HG140" s="120"/>
      <c r="HH140" s="209"/>
      <c r="HI140" s="205"/>
      <c r="HJ140" s="205">
        <f t="shared" si="1444"/>
        <v>0</v>
      </c>
      <c r="HK140" s="205">
        <f t="shared" si="1431"/>
        <v>0</v>
      </c>
      <c r="HL140" s="124"/>
      <c r="HM140" s="120"/>
      <c r="HN140" s="120"/>
      <c r="HO140" s="120"/>
      <c r="HP140" s="120"/>
      <c r="HQ140" s="205"/>
      <c r="HR140" s="205"/>
      <c r="HS140" s="205">
        <f t="shared" si="1445"/>
        <v>0</v>
      </c>
      <c r="HT140" s="120"/>
      <c r="HU140" s="120"/>
      <c r="HV140" s="120"/>
      <c r="HW140" s="120"/>
      <c r="HX140" s="120"/>
      <c r="HY140" s="205"/>
      <c r="HZ140" s="205"/>
      <c r="IA140" s="205">
        <f t="shared" si="1446"/>
        <v>0</v>
      </c>
      <c r="IB140" s="120"/>
      <c r="IC140" s="120"/>
      <c r="ID140" s="120"/>
      <c r="IE140" s="120"/>
      <c r="IF140" s="120"/>
      <c r="IG140" s="205"/>
      <c r="IH140" s="205"/>
      <c r="II140" s="205">
        <f t="shared" si="1447"/>
        <v>0</v>
      </c>
      <c r="IJ140" s="120"/>
      <c r="IK140" s="120"/>
      <c r="IL140" s="120"/>
      <c r="IM140" s="120"/>
      <c r="IN140" s="120"/>
      <c r="IO140" s="205"/>
      <c r="IP140" s="205"/>
      <c r="IQ140" s="205">
        <f t="shared" si="1448"/>
        <v>0</v>
      </c>
      <c r="IR140" s="205">
        <f t="shared" si="1449"/>
        <v>0</v>
      </c>
      <c r="IS140" s="120"/>
      <c r="IT140" s="120"/>
      <c r="IU140" s="120"/>
      <c r="IV140" s="120"/>
      <c r="IW140" s="120"/>
      <c r="IX140" s="205"/>
      <c r="IY140" s="205"/>
      <c r="IZ140" s="205">
        <f t="shared" si="1450"/>
        <v>0</v>
      </c>
      <c r="JA140" s="120"/>
      <c r="JB140" s="120"/>
      <c r="JC140" s="120"/>
      <c r="JD140" s="120"/>
      <c r="JE140" s="120"/>
      <c r="JF140" s="205"/>
      <c r="JG140" s="205"/>
      <c r="JH140" s="205">
        <f t="shared" si="1451"/>
        <v>0</v>
      </c>
      <c r="JI140" s="120"/>
      <c r="JJ140" s="120"/>
      <c r="JK140" s="120"/>
      <c r="JL140" s="120"/>
      <c r="JM140" s="120"/>
      <c r="JN140" s="205"/>
      <c r="JO140" s="205"/>
      <c r="JP140" s="205">
        <f t="shared" si="1452"/>
        <v>0</v>
      </c>
      <c r="JQ140" s="120"/>
      <c r="JR140" s="120"/>
      <c r="JS140" s="120"/>
      <c r="JT140" s="120"/>
      <c r="JU140" s="120"/>
      <c r="JV140" s="205"/>
      <c r="JW140" s="205"/>
      <c r="JX140" s="205">
        <f t="shared" si="1453"/>
        <v>0</v>
      </c>
      <c r="JY140" s="205">
        <f t="shared" si="1454"/>
        <v>0</v>
      </c>
      <c r="JZ140" s="120"/>
      <c r="KA140" s="120"/>
      <c r="KB140" s="120"/>
      <c r="KC140" s="120"/>
      <c r="KD140" s="120"/>
      <c r="KE140" s="205"/>
      <c r="KF140" s="205"/>
      <c r="KG140" s="205">
        <f t="shared" si="1455"/>
        <v>0</v>
      </c>
      <c r="KH140" s="120"/>
      <c r="KI140" s="120"/>
      <c r="KJ140" s="120"/>
      <c r="KK140" s="120"/>
      <c r="KL140" s="120"/>
      <c r="KM140" s="205"/>
      <c r="KN140" s="205"/>
      <c r="KO140" s="205">
        <f t="shared" si="1456"/>
        <v>0</v>
      </c>
      <c r="KP140" s="120"/>
      <c r="KQ140" s="120"/>
      <c r="KR140" s="120"/>
      <c r="KS140" s="120"/>
      <c r="KT140" s="120"/>
      <c r="KU140" s="205"/>
      <c r="KV140" s="205"/>
      <c r="KW140" s="205">
        <f t="shared" si="1457"/>
        <v>0</v>
      </c>
      <c r="KX140" s="120"/>
      <c r="KY140" s="120"/>
      <c r="KZ140" s="120"/>
      <c r="LA140" s="120"/>
      <c r="LB140" s="120"/>
      <c r="LC140" s="205"/>
      <c r="LD140" s="205"/>
      <c r="LE140" s="205">
        <f t="shared" si="1458"/>
        <v>0</v>
      </c>
      <c r="LF140" s="205"/>
      <c r="LG140" s="120"/>
      <c r="LH140" s="120"/>
      <c r="LI140" s="120"/>
      <c r="LJ140" s="120"/>
      <c r="LK140" s="205"/>
      <c r="LL140" s="205"/>
      <c r="LM140" s="205">
        <f t="shared" si="1459"/>
        <v>0</v>
      </c>
      <c r="LN140" s="205">
        <f t="shared" si="1460"/>
        <v>0</v>
      </c>
      <c r="LO140" s="205"/>
      <c r="LP140" s="120"/>
      <c r="LQ140" s="120"/>
      <c r="LR140" s="120"/>
      <c r="LS140" s="205"/>
      <c r="LT140" s="205"/>
      <c r="LU140" s="205"/>
      <c r="LV140" s="205">
        <f t="shared" si="1461"/>
        <v>0</v>
      </c>
      <c r="LW140" s="120"/>
      <c r="LX140" s="120"/>
      <c r="LY140" s="120"/>
      <c r="LZ140" s="120"/>
      <c r="MA140" s="120"/>
      <c r="MB140" s="205"/>
      <c r="MC140" s="205"/>
      <c r="MD140" s="205">
        <f t="shared" si="1462"/>
        <v>0</v>
      </c>
      <c r="ME140" s="120"/>
      <c r="MF140" s="120"/>
      <c r="MG140" s="120"/>
      <c r="MH140" s="120"/>
      <c r="MI140" s="205"/>
      <c r="MJ140" s="205"/>
      <c r="MK140" s="205"/>
      <c r="ML140" s="205">
        <f t="shared" si="1463"/>
        <v>0</v>
      </c>
      <c r="MM140" s="120"/>
      <c r="MN140" s="120"/>
      <c r="MO140" s="120"/>
      <c r="MP140" s="120"/>
      <c r="MQ140" s="120"/>
      <c r="MR140" s="205"/>
      <c r="MS140" s="205"/>
      <c r="MT140" s="205">
        <f t="shared" si="1464"/>
        <v>0</v>
      </c>
      <c r="MU140" s="205">
        <f t="shared" si="1465"/>
        <v>0</v>
      </c>
      <c r="MV140" s="120"/>
      <c r="MW140" s="120"/>
      <c r="MX140" s="120"/>
      <c r="MY140" s="120"/>
      <c r="MZ140" s="120"/>
      <c r="NA140" s="205"/>
      <c r="NB140" s="205"/>
      <c r="NC140" s="205">
        <f t="shared" si="1466"/>
        <v>0</v>
      </c>
      <c r="ND140" s="120"/>
      <c r="NE140" s="120"/>
      <c r="NF140" s="120"/>
      <c r="NG140" s="120"/>
      <c r="NH140" s="120"/>
      <c r="NI140" s="205"/>
      <c r="NJ140" s="205"/>
      <c r="NK140" s="205">
        <f t="shared" si="1467"/>
        <v>0</v>
      </c>
      <c r="NL140" s="120"/>
      <c r="NM140" s="120"/>
      <c r="NN140" s="120"/>
      <c r="NO140" s="120"/>
      <c r="NP140" s="120"/>
      <c r="NQ140" s="205"/>
      <c r="NR140" s="205"/>
      <c r="NS140" s="205">
        <f t="shared" si="1468"/>
        <v>0</v>
      </c>
      <c r="NT140" s="120"/>
      <c r="NU140" s="120"/>
      <c r="NV140" s="120"/>
      <c r="NW140" s="120"/>
      <c r="NX140" s="120"/>
      <c r="NY140" s="205"/>
      <c r="NZ140" s="205"/>
      <c r="OA140" s="205">
        <f t="shared" si="1469"/>
        <v>0</v>
      </c>
      <c r="OB140" s="205">
        <f t="shared" si="1470"/>
        <v>0</v>
      </c>
      <c r="OC140" s="120"/>
      <c r="OD140" s="120"/>
      <c r="OE140" s="120"/>
      <c r="OF140" s="120"/>
      <c r="OG140" s="120"/>
      <c r="OH140" s="205"/>
      <c r="OI140" s="205"/>
      <c r="OJ140" s="205">
        <f t="shared" si="1471"/>
        <v>0</v>
      </c>
      <c r="OK140" s="120"/>
      <c r="OL140" s="120"/>
      <c r="OM140" s="120"/>
      <c r="ON140" s="120"/>
      <c r="OO140" s="120"/>
      <c r="OP140" s="205"/>
      <c r="OQ140" s="205"/>
      <c r="OR140" s="205">
        <f t="shared" si="1472"/>
        <v>0</v>
      </c>
      <c r="OS140" s="120"/>
      <c r="OT140" s="120"/>
      <c r="OU140" s="120"/>
      <c r="OV140" s="120"/>
      <c r="OW140" s="120"/>
      <c r="OX140" s="205"/>
      <c r="OY140" s="205"/>
      <c r="OZ140" s="205">
        <f t="shared" si="1473"/>
        <v>0</v>
      </c>
      <c r="PA140" s="120"/>
      <c r="PB140" s="120"/>
      <c r="PC140" s="120"/>
      <c r="PD140" s="205"/>
      <c r="PE140" s="217"/>
      <c r="PF140" s="205"/>
      <c r="PG140" s="205"/>
      <c r="PH140" s="205">
        <f t="shared" si="1474"/>
        <v>0</v>
      </c>
      <c r="PI140" s="120"/>
      <c r="PJ140" s="120"/>
      <c r="PK140" s="120"/>
      <c r="PL140" s="205"/>
      <c r="PM140" s="217"/>
      <c r="PN140" s="205"/>
      <c r="PO140" s="205"/>
      <c r="PP140" s="205">
        <f t="shared" si="1475"/>
        <v>0</v>
      </c>
      <c r="PQ140" s="205">
        <f t="shared" si="1476"/>
        <v>0</v>
      </c>
      <c r="PR140" s="207"/>
      <c r="PS140" s="207"/>
      <c r="PT140" s="207"/>
      <c r="PU140" s="207"/>
      <c r="PV140" s="207"/>
      <c r="PW140" s="272"/>
      <c r="PX140" s="272"/>
      <c r="PY140" s="205">
        <f t="shared" si="1477"/>
        <v>0</v>
      </c>
      <c r="PZ140" s="207"/>
      <c r="QA140" s="207"/>
      <c r="QB140" s="207"/>
      <c r="QC140" s="207"/>
      <c r="QD140" s="207"/>
      <c r="QE140" s="272"/>
      <c r="QF140" s="272"/>
      <c r="QG140" s="205">
        <f t="shared" si="1478"/>
        <v>0</v>
      </c>
      <c r="QH140" s="207"/>
      <c r="QI140" s="207"/>
      <c r="QJ140" s="294"/>
      <c r="QK140" s="207"/>
      <c r="QL140" s="207"/>
      <c r="QM140" s="272"/>
      <c r="QN140" s="272"/>
      <c r="QO140" s="205">
        <f t="shared" si="1479"/>
        <v>0</v>
      </c>
      <c r="QP140" s="207"/>
      <c r="QQ140" s="207"/>
      <c r="QR140" s="207"/>
      <c r="QS140" s="207"/>
      <c r="QT140" s="207"/>
      <c r="QU140" s="272"/>
      <c r="QV140" s="272"/>
      <c r="QW140" s="205">
        <f t="shared" si="1480"/>
        <v>0</v>
      </c>
      <c r="QX140" s="205">
        <f t="shared" si="1481"/>
        <v>0</v>
      </c>
      <c r="QY140" s="207"/>
      <c r="QZ140" s="120"/>
      <c r="RA140" s="120"/>
      <c r="RB140" s="207"/>
      <c r="RC140" s="207"/>
      <c r="RD140" s="272"/>
      <c r="RE140" s="272"/>
      <c r="RF140" s="205">
        <f t="shared" si="1482"/>
        <v>0</v>
      </c>
      <c r="RG140" s="207"/>
      <c r="RH140" s="207"/>
      <c r="RI140" s="207"/>
      <c r="RJ140" s="207"/>
      <c r="RK140" s="207"/>
      <c r="RL140" s="272"/>
      <c r="RM140" s="272"/>
      <c r="RN140" s="205">
        <f t="shared" si="1483"/>
        <v>0</v>
      </c>
      <c r="RO140" s="272"/>
      <c r="RP140" s="272"/>
      <c r="RQ140" s="272"/>
      <c r="RR140" s="272"/>
      <c r="RS140" s="272"/>
      <c r="RT140" s="272"/>
      <c r="RU140" s="272"/>
      <c r="RV140" s="205">
        <f t="shared" si="1484"/>
        <v>0</v>
      </c>
      <c r="RW140" s="207"/>
      <c r="RX140" s="207"/>
      <c r="RY140" s="207"/>
      <c r="RZ140" s="207"/>
      <c r="SA140" s="272"/>
      <c r="SB140" s="272"/>
      <c r="SC140" s="272"/>
      <c r="SD140" s="205">
        <f t="shared" si="1485"/>
        <v>0</v>
      </c>
      <c r="SE140" s="205">
        <f t="shared" si="1486"/>
        <v>0</v>
      </c>
      <c r="SF140" s="207"/>
      <c r="SG140" s="207"/>
      <c r="SH140" s="207"/>
      <c r="SI140" s="207"/>
      <c r="SJ140" s="207"/>
      <c r="SK140" s="272"/>
      <c r="SL140" s="272"/>
      <c r="SM140" s="205">
        <f t="shared" si="1487"/>
        <v>0</v>
      </c>
      <c r="SN140" s="207"/>
      <c r="SO140" s="207"/>
      <c r="SP140" s="207"/>
      <c r="SQ140" s="207"/>
      <c r="SR140" s="207"/>
      <c r="SS140" s="272"/>
      <c r="ST140" s="272"/>
      <c r="SU140" s="205">
        <f t="shared" si="1488"/>
        <v>0</v>
      </c>
      <c r="SV140" s="207"/>
      <c r="SW140" s="207"/>
      <c r="SX140" s="207"/>
      <c r="SY140" s="207"/>
      <c r="SZ140" s="207"/>
      <c r="TA140" s="272"/>
      <c r="TB140" s="272"/>
      <c r="TC140" s="205">
        <f t="shared" si="1489"/>
        <v>0</v>
      </c>
      <c r="TD140" s="207"/>
      <c r="TE140" s="207"/>
      <c r="TF140" s="207"/>
      <c r="TG140" s="207"/>
      <c r="TH140" s="207"/>
      <c r="TI140" s="272"/>
      <c r="TJ140" s="272"/>
      <c r="TK140" s="205">
        <f t="shared" si="1490"/>
        <v>0</v>
      </c>
      <c r="TL140" s="207"/>
      <c r="TM140" s="207"/>
      <c r="TN140" s="207"/>
      <c r="TO140" s="207"/>
      <c r="TP140" s="272"/>
      <c r="TQ140" s="272"/>
      <c r="TR140" s="272"/>
      <c r="TS140" s="205">
        <f t="shared" si="1491"/>
        <v>0</v>
      </c>
      <c r="TT140" s="205">
        <f t="shared" si="1492"/>
        <v>0</v>
      </c>
      <c r="TU140" s="272"/>
      <c r="TV140" s="207"/>
      <c r="TW140" s="207"/>
      <c r="TX140" s="207"/>
      <c r="TY140" s="207"/>
      <c r="TZ140" s="272"/>
      <c r="UA140" s="272"/>
      <c r="UB140" s="205">
        <f t="shared" si="1493"/>
        <v>0</v>
      </c>
      <c r="UC140" s="120"/>
      <c r="UD140" s="207"/>
      <c r="UE140" s="207"/>
      <c r="UF140" s="207"/>
      <c r="UG140" s="207"/>
      <c r="UH140" s="272"/>
      <c r="UI140" s="272"/>
      <c r="UJ140" s="205">
        <f t="shared" si="1533"/>
        <v>0</v>
      </c>
      <c r="UK140" s="207"/>
      <c r="UL140" s="207"/>
      <c r="UM140" s="207"/>
      <c r="UN140" s="207"/>
      <c r="UO140" s="207"/>
      <c r="UP140" s="272"/>
      <c r="UQ140" s="272"/>
      <c r="UR140" s="205">
        <f t="shared" si="1495"/>
        <v>0</v>
      </c>
      <c r="US140" s="207"/>
      <c r="UT140" s="207"/>
      <c r="UU140" s="207"/>
      <c r="UV140" s="207"/>
      <c r="UW140" s="272"/>
      <c r="UX140" s="272"/>
      <c r="UY140" s="272"/>
      <c r="UZ140" s="205">
        <f t="shared" si="1496"/>
        <v>0</v>
      </c>
      <c r="VA140" s="205">
        <f t="shared" si="1497"/>
        <v>0</v>
      </c>
      <c r="VB140" s="207"/>
      <c r="VC140" s="207"/>
      <c r="VD140" s="207"/>
      <c r="VE140" s="207"/>
      <c r="VF140" s="207"/>
      <c r="VG140" s="272"/>
      <c r="VH140" s="272"/>
      <c r="VI140" s="205">
        <f t="shared" si="1498"/>
        <v>0</v>
      </c>
      <c r="VJ140" s="207"/>
      <c r="VK140" s="207"/>
      <c r="VL140" s="207"/>
      <c r="VM140" s="207"/>
      <c r="VN140" s="207"/>
      <c r="VO140" s="272"/>
      <c r="VP140" s="272"/>
      <c r="VQ140" s="205">
        <f t="shared" si="1499"/>
        <v>0</v>
      </c>
      <c r="VR140" s="207"/>
      <c r="VS140" s="207"/>
      <c r="VT140" s="207"/>
      <c r="VU140" s="207"/>
      <c r="VV140" s="207"/>
      <c r="VW140" s="272"/>
      <c r="VX140" s="272"/>
      <c r="VY140" s="205">
        <f t="shared" si="1500"/>
        <v>0</v>
      </c>
      <c r="VZ140" s="207"/>
      <c r="WA140" s="120"/>
      <c r="WB140" s="207"/>
      <c r="WC140" s="207"/>
      <c r="WD140" s="207"/>
      <c r="WE140" s="272"/>
      <c r="WF140" s="272"/>
      <c r="WG140" s="205">
        <f t="shared" si="1501"/>
        <v>0</v>
      </c>
      <c r="WH140" s="205">
        <f t="shared" si="1502"/>
        <v>0</v>
      </c>
      <c r="WI140" s="207"/>
      <c r="WJ140" s="207"/>
      <c r="WK140" s="207"/>
      <c r="WL140" s="207"/>
      <c r="WM140" s="207"/>
      <c r="WN140" s="272"/>
      <c r="WO140" s="272"/>
      <c r="WP140" s="205">
        <f t="shared" si="1503"/>
        <v>0</v>
      </c>
      <c r="WQ140" s="207"/>
      <c r="WR140" s="207"/>
      <c r="WS140" s="207"/>
      <c r="WT140" s="207"/>
      <c r="WU140" s="207"/>
      <c r="WV140" s="272"/>
      <c r="WW140" s="272"/>
      <c r="WX140" s="205">
        <f t="shared" si="1504"/>
        <v>0</v>
      </c>
      <c r="WY140" s="207"/>
      <c r="WZ140" s="207"/>
      <c r="XA140" s="207"/>
      <c r="XB140" s="207"/>
      <c r="XC140" s="272"/>
      <c r="XD140" s="272"/>
      <c r="XE140" s="272"/>
      <c r="XF140" s="205">
        <f t="shared" si="1505"/>
        <v>0</v>
      </c>
      <c r="XG140" s="207"/>
      <c r="XH140" s="207"/>
      <c r="XI140" s="207"/>
      <c r="XJ140" s="207"/>
      <c r="XK140" s="207"/>
      <c r="XL140" s="272"/>
      <c r="XM140" s="272"/>
      <c r="XN140" s="205">
        <f t="shared" si="1506"/>
        <v>0</v>
      </c>
      <c r="XO140" s="207"/>
      <c r="XP140" s="207"/>
      <c r="XQ140" s="207"/>
      <c r="XR140" s="207"/>
      <c r="XS140" s="207"/>
      <c r="XT140" s="272"/>
      <c r="XU140" s="272"/>
      <c r="XV140" s="205">
        <f t="shared" si="1507"/>
        <v>0</v>
      </c>
      <c r="XW140" s="205">
        <f t="shared" si="1508"/>
        <v>0</v>
      </c>
      <c r="XX140" s="207"/>
      <c r="XY140" s="207"/>
      <c r="XZ140" s="207"/>
      <c r="YA140" s="207"/>
      <c r="YB140" s="207"/>
      <c r="YC140" s="272"/>
      <c r="YD140" s="272"/>
      <c r="YE140" s="205">
        <f t="shared" si="1509"/>
        <v>0</v>
      </c>
      <c r="YF140" s="207"/>
      <c r="YG140" s="207"/>
      <c r="YH140" s="207"/>
      <c r="YI140" s="207"/>
      <c r="YJ140" s="207"/>
      <c r="YK140" s="272"/>
      <c r="YL140" s="272"/>
      <c r="YM140" s="205">
        <f t="shared" si="1510"/>
        <v>0</v>
      </c>
      <c r="YN140" s="207"/>
      <c r="YO140" s="207"/>
      <c r="YP140" s="207"/>
      <c r="YQ140" s="207"/>
      <c r="YR140" s="207"/>
      <c r="YS140" s="272"/>
      <c r="YT140" s="272"/>
      <c r="YU140" s="205">
        <f t="shared" si="1511"/>
        <v>0</v>
      </c>
      <c r="YV140" s="207"/>
      <c r="YW140" s="207"/>
      <c r="YX140" s="207"/>
      <c r="YY140" s="207"/>
      <c r="YZ140" s="207"/>
      <c r="ZA140" s="272"/>
      <c r="ZB140" s="272"/>
      <c r="ZC140" s="205">
        <f t="shared" si="1512"/>
        <v>0</v>
      </c>
      <c r="ZD140" s="205">
        <f t="shared" si="1513"/>
        <v>0</v>
      </c>
      <c r="ZE140" s="207"/>
      <c r="ZF140" s="207"/>
      <c r="ZG140" s="207"/>
      <c r="ZH140" s="207"/>
      <c r="ZI140" s="207"/>
      <c r="ZJ140" s="272"/>
      <c r="ZK140" s="272"/>
      <c r="ZL140" s="205">
        <f t="shared" si="1514"/>
        <v>0</v>
      </c>
      <c r="ZM140" s="207"/>
      <c r="ZN140" s="207"/>
      <c r="ZO140" s="207"/>
      <c r="ZP140" s="207"/>
      <c r="ZQ140" s="207"/>
      <c r="ZR140" s="272"/>
      <c r="ZS140" s="272"/>
      <c r="ZT140" s="205">
        <f t="shared" si="1515"/>
        <v>0</v>
      </c>
      <c r="ZU140" s="207"/>
      <c r="ZV140" s="207"/>
      <c r="ZW140" s="207"/>
      <c r="ZX140" s="207"/>
      <c r="ZY140" s="207"/>
      <c r="ZZ140" s="272"/>
      <c r="AAA140" s="272"/>
      <c r="AAB140" s="205">
        <f t="shared" si="1516"/>
        <v>0</v>
      </c>
      <c r="AAC140" s="207"/>
      <c r="AAD140" s="207"/>
      <c r="AAE140" s="207"/>
      <c r="AAF140" s="207"/>
      <c r="AAG140" s="207"/>
      <c r="AAH140" s="272"/>
      <c r="AAI140" s="272"/>
      <c r="AAJ140" s="205">
        <f t="shared" si="1517"/>
        <v>0</v>
      </c>
      <c r="AAK140" s="207"/>
      <c r="AAL140" s="207"/>
      <c r="AAM140" s="207"/>
      <c r="AAN140" s="207"/>
      <c r="AAO140" s="207"/>
      <c r="AAP140" s="272"/>
      <c r="AAQ140" s="272"/>
      <c r="AAR140" s="205">
        <f t="shared" si="1518"/>
        <v>0</v>
      </c>
      <c r="AAS140" s="205">
        <f t="shared" si="1519"/>
        <v>0</v>
      </c>
    </row>
    <row r="141" spans="1:721" ht="69.95" customHeight="1">
      <c r="B141" s="130" t="s">
        <v>405</v>
      </c>
      <c r="C141" s="146"/>
      <c r="D141" s="173" t="s">
        <v>404</v>
      </c>
      <c r="E141" s="130" t="s">
        <v>4</v>
      </c>
      <c r="F141" s="120"/>
      <c r="G141" s="120"/>
      <c r="H141" s="120"/>
      <c r="I141" s="201">
        <v>300</v>
      </c>
      <c r="J141" s="120"/>
      <c r="K141" s="209"/>
      <c r="L141" s="205"/>
      <c r="M141" s="205">
        <f t="shared" si="1520"/>
        <v>300</v>
      </c>
      <c r="N141" s="120"/>
      <c r="O141" s="120"/>
      <c r="P141" s="120"/>
      <c r="Q141" s="120"/>
      <c r="R141" s="120"/>
      <c r="S141" s="209"/>
      <c r="T141" s="205"/>
      <c r="U141" s="205">
        <f t="shared" si="1521"/>
        <v>0</v>
      </c>
      <c r="V141" s="120"/>
      <c r="W141" s="120"/>
      <c r="X141" s="120"/>
      <c r="Y141" s="120"/>
      <c r="Z141" s="120"/>
      <c r="AA141" s="209"/>
      <c r="AB141" s="205"/>
      <c r="AC141" s="205">
        <f t="shared" si="1522"/>
        <v>0</v>
      </c>
      <c r="AD141" s="205"/>
      <c r="AE141" s="205"/>
      <c r="AF141" s="205"/>
      <c r="AG141" s="205"/>
      <c r="AH141" s="205"/>
      <c r="AI141" s="209"/>
      <c r="AJ141" s="205"/>
      <c r="AK141" s="205">
        <f t="shared" si="1523"/>
        <v>0</v>
      </c>
      <c r="AL141" s="205" t="e">
        <f>SUM(#REF!,M141,U141,AC141,AD141:AH141)</f>
        <v>#REF!</v>
      </c>
      <c r="AM141" s="120"/>
      <c r="AN141" s="120"/>
      <c r="AO141" s="120"/>
      <c r="AP141" s="120"/>
      <c r="AQ141" s="120"/>
      <c r="AR141" s="209"/>
      <c r="AS141" s="205"/>
      <c r="AT141" s="205">
        <f t="shared" si="1524"/>
        <v>0</v>
      </c>
      <c r="AU141" s="120"/>
      <c r="AV141" s="120"/>
      <c r="AW141" s="120"/>
      <c r="AX141" s="120"/>
      <c r="AY141" s="120"/>
      <c r="AZ141" s="209"/>
      <c r="BA141" s="205"/>
      <c r="BB141" s="205">
        <f t="shared" si="1525"/>
        <v>0</v>
      </c>
      <c r="BC141" s="120"/>
      <c r="BD141" s="120"/>
      <c r="BE141" s="120"/>
      <c r="BF141" s="120"/>
      <c r="BG141" s="120"/>
      <c r="BH141" s="209"/>
      <c r="BI141" s="205"/>
      <c r="BJ141" s="205">
        <f t="shared" si="1526"/>
        <v>0</v>
      </c>
      <c r="BK141" s="120"/>
      <c r="BL141" s="120"/>
      <c r="BM141" s="120"/>
      <c r="BN141" s="120"/>
      <c r="BO141" s="205"/>
      <c r="BP141" s="209"/>
      <c r="BQ141" s="205"/>
      <c r="BR141" s="205">
        <f t="shared" si="1527"/>
        <v>0</v>
      </c>
      <c r="BS141" s="205">
        <f t="shared" si="1427"/>
        <v>0</v>
      </c>
      <c r="BT141" s="120"/>
      <c r="BU141" s="120"/>
      <c r="BV141" s="120"/>
      <c r="BW141" s="120"/>
      <c r="BX141" s="120"/>
      <c r="BY141" s="209"/>
      <c r="BZ141" s="205"/>
      <c r="CA141" s="205">
        <f t="shared" si="1528"/>
        <v>0</v>
      </c>
      <c r="CB141" s="120"/>
      <c r="CC141" s="120"/>
      <c r="CD141" s="201">
        <v>100</v>
      </c>
      <c r="CE141" s="120"/>
      <c r="CF141" s="120"/>
      <c r="CG141" s="209"/>
      <c r="CH141" s="205"/>
      <c r="CI141" s="205">
        <f t="shared" si="1529"/>
        <v>100</v>
      </c>
      <c r="CJ141" s="120"/>
      <c r="CK141" s="120"/>
      <c r="CL141" s="120"/>
      <c r="CM141" s="120"/>
      <c r="CN141" s="120"/>
      <c r="CO141" s="209"/>
      <c r="CP141" s="205"/>
      <c r="CQ141" s="205">
        <f t="shared" si="1530"/>
        <v>0</v>
      </c>
      <c r="CR141" s="120"/>
      <c r="CS141" s="120"/>
      <c r="CT141" s="120"/>
      <c r="CU141" s="120"/>
      <c r="CV141" s="120"/>
      <c r="CW141" s="209"/>
      <c r="CX141" s="205"/>
      <c r="CY141" s="205">
        <f t="shared" si="1531"/>
        <v>0</v>
      </c>
      <c r="CZ141" s="120"/>
      <c r="DA141" s="120"/>
      <c r="DB141" s="120"/>
      <c r="DC141" s="205"/>
      <c r="DD141" s="205"/>
      <c r="DE141" s="209"/>
      <c r="DF141" s="205"/>
      <c r="DG141" s="205">
        <f t="shared" si="1532"/>
        <v>0</v>
      </c>
      <c r="DH141" s="205">
        <f t="shared" si="1428"/>
        <v>100</v>
      </c>
      <c r="DI141" s="120"/>
      <c r="DJ141" s="120"/>
      <c r="DK141" s="120"/>
      <c r="DL141" s="120"/>
      <c r="DM141" s="120"/>
      <c r="DN141" s="209"/>
      <c r="DO141" s="205"/>
      <c r="DP141" s="205">
        <f t="shared" si="1432"/>
        <v>0</v>
      </c>
      <c r="DQ141" s="120"/>
      <c r="DR141" s="120"/>
      <c r="DS141" s="120"/>
      <c r="DT141" s="120"/>
      <c r="DU141" s="120"/>
      <c r="DV141" s="209"/>
      <c r="DW141" s="205"/>
      <c r="DX141" s="205">
        <f t="shared" si="1433"/>
        <v>0</v>
      </c>
      <c r="DY141" s="120"/>
      <c r="DZ141" s="120"/>
      <c r="EA141" s="120"/>
      <c r="EB141" s="250">
        <v>200</v>
      </c>
      <c r="EC141" s="120"/>
      <c r="ED141" s="209"/>
      <c r="EE141" s="205"/>
      <c r="EF141" s="205">
        <f t="shared" si="1434"/>
        <v>200</v>
      </c>
      <c r="EG141" s="120"/>
      <c r="EH141" s="120"/>
      <c r="EI141" s="120"/>
      <c r="EJ141" s="205"/>
      <c r="EK141" s="205"/>
      <c r="EL141" s="209"/>
      <c r="EM141" s="205"/>
      <c r="EN141" s="205">
        <f t="shared" si="1435"/>
        <v>0</v>
      </c>
      <c r="EO141" s="205">
        <f t="shared" si="1429"/>
        <v>200</v>
      </c>
      <c r="EP141" s="120"/>
      <c r="EQ141" s="120"/>
      <c r="ER141" s="120"/>
      <c r="ES141" s="120"/>
      <c r="ET141" s="120"/>
      <c r="EU141" s="209"/>
      <c r="EV141" s="205"/>
      <c r="EW141" s="205">
        <f t="shared" si="1436"/>
        <v>0</v>
      </c>
      <c r="EX141" s="120"/>
      <c r="EY141" s="120"/>
      <c r="EZ141" s="120"/>
      <c r="FA141" s="120"/>
      <c r="FB141" s="120"/>
      <c r="FC141" s="209"/>
      <c r="FD141" s="205"/>
      <c r="FE141" s="205">
        <f t="shared" si="1437"/>
        <v>0</v>
      </c>
      <c r="FF141" s="120"/>
      <c r="FG141" s="120"/>
      <c r="FH141" s="120"/>
      <c r="FI141" s="120"/>
      <c r="FJ141" s="120"/>
      <c r="FK141" s="209"/>
      <c r="FL141" s="205"/>
      <c r="FM141" s="205">
        <f t="shared" si="1438"/>
        <v>0</v>
      </c>
      <c r="FN141" s="120"/>
      <c r="FO141" s="120"/>
      <c r="FP141" s="120"/>
      <c r="FQ141" s="120"/>
      <c r="FR141" s="205"/>
      <c r="FS141" s="209"/>
      <c r="FT141" s="205"/>
      <c r="FU141" s="205">
        <f t="shared" si="1439"/>
        <v>0</v>
      </c>
      <c r="FV141" s="205">
        <f t="shared" si="1430"/>
        <v>0</v>
      </c>
      <c r="FW141" s="120"/>
      <c r="FX141" s="120"/>
      <c r="FY141" s="120"/>
      <c r="FZ141" s="120"/>
      <c r="GA141" s="120"/>
      <c r="GB141" s="209"/>
      <c r="GC141" s="205"/>
      <c r="GD141" s="205">
        <f t="shared" si="1440"/>
        <v>0</v>
      </c>
      <c r="GE141" s="120"/>
      <c r="GF141" s="120"/>
      <c r="GG141" s="120"/>
      <c r="GH141" s="120"/>
      <c r="GI141" s="120"/>
      <c r="GJ141" s="209"/>
      <c r="GK141" s="205"/>
      <c r="GL141" s="205">
        <f t="shared" si="1441"/>
        <v>0</v>
      </c>
      <c r="GM141" s="120"/>
      <c r="GN141" s="120"/>
      <c r="GO141" s="120"/>
      <c r="GP141" s="120"/>
      <c r="GQ141" s="120"/>
      <c r="GR141" s="209"/>
      <c r="GS141" s="205"/>
      <c r="GT141" s="205">
        <f t="shared" si="1442"/>
        <v>0</v>
      </c>
      <c r="GU141" s="120"/>
      <c r="GV141" s="120"/>
      <c r="GW141" s="120"/>
      <c r="GX141" s="124">
        <v>100</v>
      </c>
      <c r="GY141" s="120"/>
      <c r="GZ141" s="209"/>
      <c r="HA141" s="205"/>
      <c r="HB141" s="205">
        <f t="shared" si="1443"/>
        <v>100</v>
      </c>
      <c r="HC141" s="120"/>
      <c r="HD141" s="120"/>
      <c r="HE141" s="120"/>
      <c r="HF141" s="120"/>
      <c r="HG141" s="120"/>
      <c r="HH141" s="209"/>
      <c r="HI141" s="205"/>
      <c r="HJ141" s="205">
        <f t="shared" si="1444"/>
        <v>0</v>
      </c>
      <c r="HK141" s="205">
        <f t="shared" si="1431"/>
        <v>100</v>
      </c>
      <c r="HL141" s="124"/>
      <c r="HM141" s="120"/>
      <c r="HN141" s="120"/>
      <c r="HO141" s="120"/>
      <c r="HP141" s="120"/>
      <c r="HQ141" s="205"/>
      <c r="HR141" s="205"/>
      <c r="HS141" s="205">
        <f t="shared" si="1445"/>
        <v>0</v>
      </c>
      <c r="HT141" s="120"/>
      <c r="HU141" s="120"/>
      <c r="HV141" s="120"/>
      <c r="HW141" s="120"/>
      <c r="HX141" s="120"/>
      <c r="HY141" s="205"/>
      <c r="HZ141" s="205"/>
      <c r="IA141" s="205">
        <f t="shared" si="1446"/>
        <v>0</v>
      </c>
      <c r="IB141" s="120"/>
      <c r="IC141" s="120"/>
      <c r="ID141" s="120"/>
      <c r="IE141" s="120"/>
      <c r="IF141" s="120"/>
      <c r="IG141" s="205"/>
      <c r="IH141" s="205"/>
      <c r="II141" s="205">
        <f t="shared" si="1447"/>
        <v>0</v>
      </c>
      <c r="IJ141" s="123">
        <v>300</v>
      </c>
      <c r="IK141" s="120"/>
      <c r="IL141" s="120"/>
      <c r="IM141" s="120"/>
      <c r="IN141" s="120"/>
      <c r="IO141" s="205"/>
      <c r="IP141" s="205"/>
      <c r="IQ141" s="205">
        <f t="shared" si="1448"/>
        <v>300</v>
      </c>
      <c r="IR141" s="205">
        <f t="shared" si="1449"/>
        <v>300</v>
      </c>
      <c r="IS141" s="120"/>
      <c r="IT141" s="120"/>
      <c r="IU141" s="120"/>
      <c r="IV141" s="120"/>
      <c r="IW141" s="120"/>
      <c r="IX141" s="205"/>
      <c r="IY141" s="205"/>
      <c r="IZ141" s="205">
        <f t="shared" si="1450"/>
        <v>0</v>
      </c>
      <c r="JA141" s="120"/>
      <c r="JB141" s="120"/>
      <c r="JC141" s="120"/>
      <c r="JD141" s="120"/>
      <c r="JE141" s="120"/>
      <c r="JF141" s="205"/>
      <c r="JG141" s="205"/>
      <c r="JH141" s="205">
        <f t="shared" si="1451"/>
        <v>0</v>
      </c>
      <c r="JI141" s="120"/>
      <c r="JJ141" s="120"/>
      <c r="JK141" s="120"/>
      <c r="JL141" s="120"/>
      <c r="JM141" s="120"/>
      <c r="JN141" s="205"/>
      <c r="JO141" s="205"/>
      <c r="JP141" s="205">
        <f t="shared" si="1452"/>
        <v>0</v>
      </c>
      <c r="JQ141" s="120"/>
      <c r="JR141" s="120"/>
      <c r="JS141" s="120"/>
      <c r="JT141" s="120"/>
      <c r="JU141" s="120"/>
      <c r="JV141" s="205"/>
      <c r="JW141" s="205"/>
      <c r="JX141" s="205">
        <f t="shared" si="1453"/>
        <v>0</v>
      </c>
      <c r="JY141" s="205">
        <f t="shared" si="1454"/>
        <v>0</v>
      </c>
      <c r="JZ141" s="120"/>
      <c r="KA141" s="120"/>
      <c r="KB141" s="120"/>
      <c r="KC141" s="120"/>
      <c r="KD141" s="120"/>
      <c r="KE141" s="205"/>
      <c r="KF141" s="205"/>
      <c r="KG141" s="205">
        <f t="shared" si="1455"/>
        <v>0</v>
      </c>
      <c r="KH141" s="120"/>
      <c r="KI141" s="120"/>
      <c r="KJ141" s="120"/>
      <c r="KK141" s="120"/>
      <c r="KL141" s="120"/>
      <c r="KM141" s="205"/>
      <c r="KN141" s="205"/>
      <c r="KO141" s="205">
        <f t="shared" si="1456"/>
        <v>0</v>
      </c>
      <c r="KP141" s="120"/>
      <c r="KQ141" s="120"/>
      <c r="KR141" s="120"/>
      <c r="KS141" s="120"/>
      <c r="KT141" s="120"/>
      <c r="KU141" s="205"/>
      <c r="KV141" s="205"/>
      <c r="KW141" s="205">
        <f t="shared" si="1457"/>
        <v>0</v>
      </c>
      <c r="KX141" s="120"/>
      <c r="KY141" s="120"/>
      <c r="KZ141" s="120"/>
      <c r="LA141" s="120"/>
      <c r="LB141" s="120"/>
      <c r="LC141" s="205"/>
      <c r="LD141" s="205"/>
      <c r="LE141" s="205">
        <f t="shared" si="1458"/>
        <v>0</v>
      </c>
      <c r="LF141" s="205"/>
      <c r="LG141" s="120"/>
      <c r="LH141" s="120"/>
      <c r="LI141" s="120"/>
      <c r="LJ141" s="120"/>
      <c r="LK141" s="205"/>
      <c r="LL141" s="205"/>
      <c r="LM141" s="205">
        <f t="shared" si="1459"/>
        <v>0</v>
      </c>
      <c r="LN141" s="205">
        <f t="shared" si="1460"/>
        <v>0</v>
      </c>
      <c r="LO141" s="205"/>
      <c r="LP141" s="120"/>
      <c r="LQ141" s="120"/>
      <c r="LR141" s="120"/>
      <c r="LS141" s="205"/>
      <c r="LT141" s="205"/>
      <c r="LU141" s="205"/>
      <c r="LV141" s="205">
        <f t="shared" si="1461"/>
        <v>0</v>
      </c>
      <c r="LW141" s="120"/>
      <c r="LX141" s="120"/>
      <c r="LY141" s="120"/>
      <c r="LZ141" s="120"/>
      <c r="MA141" s="120"/>
      <c r="MB141" s="205"/>
      <c r="MC141" s="205"/>
      <c r="MD141" s="205">
        <f t="shared" si="1462"/>
        <v>0</v>
      </c>
      <c r="ME141" s="120"/>
      <c r="MF141" s="120"/>
      <c r="MG141" s="120"/>
      <c r="MH141" s="120"/>
      <c r="MI141" s="205"/>
      <c r="MJ141" s="205"/>
      <c r="MK141" s="205"/>
      <c r="ML141" s="205">
        <f t="shared" si="1463"/>
        <v>0</v>
      </c>
      <c r="MM141" s="120"/>
      <c r="MN141" s="120"/>
      <c r="MO141" s="120"/>
      <c r="MP141" s="120"/>
      <c r="MQ141" s="120"/>
      <c r="MR141" s="205"/>
      <c r="MS141" s="205"/>
      <c r="MT141" s="205">
        <f t="shared" si="1464"/>
        <v>0</v>
      </c>
      <c r="MU141" s="205">
        <f t="shared" si="1465"/>
        <v>0</v>
      </c>
      <c r="MV141" s="120"/>
      <c r="MW141" s="120"/>
      <c r="MX141" s="120"/>
      <c r="MY141" s="120"/>
      <c r="MZ141" s="120"/>
      <c r="NA141" s="205"/>
      <c r="NB141" s="205"/>
      <c r="NC141" s="205">
        <f t="shared" si="1466"/>
        <v>0</v>
      </c>
      <c r="ND141" s="120"/>
      <c r="NE141" s="120"/>
      <c r="NF141" s="120"/>
      <c r="NG141" s="120"/>
      <c r="NH141" s="120"/>
      <c r="NI141" s="205"/>
      <c r="NJ141" s="205"/>
      <c r="NK141" s="205">
        <f t="shared" si="1467"/>
        <v>0</v>
      </c>
      <c r="NL141" s="120"/>
      <c r="NM141" s="120"/>
      <c r="NN141" s="120"/>
      <c r="NO141" s="120"/>
      <c r="NP141" s="120"/>
      <c r="NQ141" s="205"/>
      <c r="NR141" s="205"/>
      <c r="NS141" s="205">
        <f t="shared" si="1468"/>
        <v>0</v>
      </c>
      <c r="NT141" s="120"/>
      <c r="NU141" s="120"/>
      <c r="NV141" s="120"/>
      <c r="NW141" s="120"/>
      <c r="NX141" s="120"/>
      <c r="NY141" s="205"/>
      <c r="NZ141" s="205"/>
      <c r="OA141" s="205">
        <f t="shared" si="1469"/>
        <v>0</v>
      </c>
      <c r="OB141" s="205">
        <f t="shared" si="1470"/>
        <v>0</v>
      </c>
      <c r="OC141" s="120"/>
      <c r="OD141" s="120"/>
      <c r="OE141" s="120"/>
      <c r="OF141" s="120"/>
      <c r="OG141" s="120"/>
      <c r="OH141" s="205"/>
      <c r="OI141" s="205"/>
      <c r="OJ141" s="205">
        <f t="shared" si="1471"/>
        <v>0</v>
      </c>
      <c r="OK141" s="120"/>
      <c r="OL141" s="120"/>
      <c r="OM141" s="120"/>
      <c r="ON141" s="120"/>
      <c r="OO141" s="120"/>
      <c r="OP141" s="205"/>
      <c r="OQ141" s="205"/>
      <c r="OR141" s="205">
        <f t="shared" si="1472"/>
        <v>0</v>
      </c>
      <c r="OS141" s="120"/>
      <c r="OT141" s="120"/>
      <c r="OU141" s="120"/>
      <c r="OV141" s="120"/>
      <c r="OW141" s="120"/>
      <c r="OX141" s="205"/>
      <c r="OY141" s="205"/>
      <c r="OZ141" s="205">
        <f t="shared" si="1473"/>
        <v>0</v>
      </c>
      <c r="PA141" s="120"/>
      <c r="PB141" s="120"/>
      <c r="PC141" s="120"/>
      <c r="PD141" s="205"/>
      <c r="PE141" s="217"/>
      <c r="PF141" s="205"/>
      <c r="PG141" s="205"/>
      <c r="PH141" s="205">
        <f t="shared" si="1474"/>
        <v>0</v>
      </c>
      <c r="PI141" s="120"/>
      <c r="PJ141" s="120"/>
      <c r="PK141" s="120"/>
      <c r="PL141" s="205"/>
      <c r="PM141" s="217"/>
      <c r="PN141" s="205"/>
      <c r="PO141" s="205"/>
      <c r="PP141" s="205">
        <f t="shared" si="1475"/>
        <v>0</v>
      </c>
      <c r="PQ141" s="205">
        <f t="shared" si="1476"/>
        <v>0</v>
      </c>
      <c r="PR141" s="207"/>
      <c r="PS141" s="206">
        <v>1000</v>
      </c>
      <c r="PT141" s="207"/>
      <c r="PU141" s="207"/>
      <c r="PV141" s="207"/>
      <c r="PW141" s="272"/>
      <c r="PX141" s="272"/>
      <c r="PY141" s="205">
        <f t="shared" si="1477"/>
        <v>1000</v>
      </c>
      <c r="PZ141" s="207"/>
      <c r="QA141" s="207"/>
      <c r="QB141" s="207"/>
      <c r="QC141" s="207"/>
      <c r="QD141" s="207"/>
      <c r="QE141" s="272"/>
      <c r="QF141" s="272"/>
      <c r="QG141" s="205">
        <f t="shared" si="1478"/>
        <v>0</v>
      </c>
      <c r="QH141" s="207"/>
      <c r="QI141" s="207"/>
      <c r="QJ141" s="294"/>
      <c r="QK141" s="207"/>
      <c r="QL141" s="207"/>
      <c r="QM141" s="272"/>
      <c r="QN141" s="272"/>
      <c r="QO141" s="205">
        <f t="shared" si="1479"/>
        <v>0</v>
      </c>
      <c r="QP141" s="207"/>
      <c r="QQ141" s="207"/>
      <c r="QR141" s="207"/>
      <c r="QS141" s="207"/>
      <c r="QT141" s="207"/>
      <c r="QU141" s="272"/>
      <c r="QV141" s="272"/>
      <c r="QW141" s="205">
        <f t="shared" si="1480"/>
        <v>0</v>
      </c>
      <c r="QX141" s="205">
        <f t="shared" si="1481"/>
        <v>1000</v>
      </c>
      <c r="QY141" s="207"/>
      <c r="QZ141" s="207"/>
      <c r="RA141" s="207"/>
      <c r="RB141" s="207"/>
      <c r="RC141" s="207"/>
      <c r="RD141" s="272"/>
      <c r="RE141" s="272"/>
      <c r="RF141" s="205">
        <f t="shared" si="1482"/>
        <v>0</v>
      </c>
      <c r="RG141" s="207"/>
      <c r="RH141" s="207"/>
      <c r="RI141" s="207"/>
      <c r="RJ141" s="207"/>
      <c r="RK141" s="207"/>
      <c r="RL141" s="272"/>
      <c r="RM141" s="272"/>
      <c r="RN141" s="205">
        <f t="shared" si="1483"/>
        <v>0</v>
      </c>
      <c r="RO141" s="272"/>
      <c r="RP141" s="272"/>
      <c r="RQ141" s="272"/>
      <c r="RR141" s="272"/>
      <c r="RS141" s="272"/>
      <c r="RT141" s="272"/>
      <c r="RU141" s="272"/>
      <c r="RV141" s="205">
        <f t="shared" si="1484"/>
        <v>0</v>
      </c>
      <c r="RW141" s="207"/>
      <c r="RX141" s="207"/>
      <c r="RY141" s="207"/>
      <c r="RZ141" s="207"/>
      <c r="SA141" s="272"/>
      <c r="SB141" s="272"/>
      <c r="SC141" s="272"/>
      <c r="SD141" s="205">
        <f t="shared" si="1485"/>
        <v>0</v>
      </c>
      <c r="SE141" s="205">
        <f t="shared" si="1486"/>
        <v>0</v>
      </c>
      <c r="SF141" s="207"/>
      <c r="SG141" s="207"/>
      <c r="SH141" s="207"/>
      <c r="SI141" s="207"/>
      <c r="SJ141" s="207"/>
      <c r="SK141" s="272"/>
      <c r="SL141" s="272"/>
      <c r="SM141" s="205">
        <f t="shared" si="1487"/>
        <v>0</v>
      </c>
      <c r="SN141" s="207"/>
      <c r="SO141" s="207"/>
      <c r="SP141" s="207"/>
      <c r="SQ141" s="207"/>
      <c r="SR141" s="207"/>
      <c r="SS141" s="272"/>
      <c r="ST141" s="272"/>
      <c r="SU141" s="205">
        <f t="shared" si="1488"/>
        <v>0</v>
      </c>
      <c r="SV141" s="207"/>
      <c r="SW141" s="207"/>
      <c r="SX141" s="207"/>
      <c r="SY141" s="207"/>
      <c r="SZ141" s="207"/>
      <c r="TA141" s="272"/>
      <c r="TB141" s="272"/>
      <c r="TC141" s="205">
        <f t="shared" si="1489"/>
        <v>0</v>
      </c>
      <c r="TD141" s="207"/>
      <c r="TE141" s="207"/>
      <c r="TF141" s="207"/>
      <c r="TG141" s="207"/>
      <c r="TH141" s="207"/>
      <c r="TI141" s="272"/>
      <c r="TJ141" s="272"/>
      <c r="TK141" s="205">
        <f t="shared" si="1490"/>
        <v>0</v>
      </c>
      <c r="TL141" s="207"/>
      <c r="TM141" s="207"/>
      <c r="TN141" s="207"/>
      <c r="TO141" s="207"/>
      <c r="TP141" s="272"/>
      <c r="TQ141" s="272"/>
      <c r="TR141" s="272"/>
      <c r="TS141" s="205">
        <f t="shared" si="1491"/>
        <v>0</v>
      </c>
      <c r="TT141" s="205">
        <f t="shared" si="1492"/>
        <v>0</v>
      </c>
      <c r="TU141" s="272"/>
      <c r="TV141" s="207"/>
      <c r="TW141" s="207"/>
      <c r="TX141" s="207"/>
      <c r="TY141" s="207"/>
      <c r="TZ141" s="272"/>
      <c r="UA141" s="272"/>
      <c r="UB141" s="205">
        <f t="shared" si="1493"/>
        <v>0</v>
      </c>
      <c r="UC141" s="120"/>
      <c r="UD141" s="207"/>
      <c r="UE141" s="207"/>
      <c r="UF141" s="207"/>
      <c r="UG141" s="207"/>
      <c r="UH141" s="272"/>
      <c r="UI141" s="272"/>
      <c r="UJ141" s="205">
        <f t="shared" si="1533"/>
        <v>0</v>
      </c>
      <c r="UK141" s="207"/>
      <c r="UL141" s="207"/>
      <c r="UM141" s="207"/>
      <c r="UN141" s="207"/>
      <c r="UO141" s="207"/>
      <c r="UP141" s="272"/>
      <c r="UQ141" s="272"/>
      <c r="UR141" s="205">
        <f t="shared" si="1495"/>
        <v>0</v>
      </c>
      <c r="US141" s="207"/>
      <c r="UT141" s="207"/>
      <c r="UU141" s="207"/>
      <c r="UV141" s="207"/>
      <c r="UW141" s="272"/>
      <c r="UX141" s="272"/>
      <c r="UY141" s="272"/>
      <c r="UZ141" s="205">
        <f t="shared" si="1496"/>
        <v>0</v>
      </c>
      <c r="VA141" s="205">
        <f t="shared" si="1497"/>
        <v>0</v>
      </c>
      <c r="VB141" s="207"/>
      <c r="VC141" s="207"/>
      <c r="VD141" s="207"/>
      <c r="VE141" s="207"/>
      <c r="VF141" s="207"/>
      <c r="VG141" s="272"/>
      <c r="VH141" s="272"/>
      <c r="VI141" s="205">
        <f t="shared" si="1498"/>
        <v>0</v>
      </c>
      <c r="VJ141" s="207"/>
      <c r="VK141" s="207"/>
      <c r="VL141" s="207"/>
      <c r="VM141" s="207"/>
      <c r="VN141" s="207"/>
      <c r="VO141" s="272"/>
      <c r="VP141" s="272"/>
      <c r="VQ141" s="205">
        <f t="shared" si="1499"/>
        <v>0</v>
      </c>
      <c r="VR141" s="207"/>
      <c r="VS141" s="207"/>
      <c r="VT141" s="207"/>
      <c r="VU141" s="207"/>
      <c r="VV141" s="207"/>
      <c r="VW141" s="272"/>
      <c r="VX141" s="272"/>
      <c r="VY141" s="205">
        <f t="shared" si="1500"/>
        <v>0</v>
      </c>
      <c r="VZ141" s="207"/>
      <c r="WA141" s="207"/>
      <c r="WB141" s="207"/>
      <c r="WC141" s="207"/>
      <c r="WD141" s="207"/>
      <c r="WE141" s="272"/>
      <c r="WF141" s="272"/>
      <c r="WG141" s="205">
        <f t="shared" si="1501"/>
        <v>0</v>
      </c>
      <c r="WH141" s="205">
        <f t="shared" si="1502"/>
        <v>0</v>
      </c>
      <c r="WI141" s="207"/>
      <c r="WJ141" s="207"/>
      <c r="WK141" s="207"/>
      <c r="WL141" s="207"/>
      <c r="WM141" s="207"/>
      <c r="WN141" s="272"/>
      <c r="WO141" s="272"/>
      <c r="WP141" s="205">
        <f t="shared" si="1503"/>
        <v>0</v>
      </c>
      <c r="WQ141" s="207"/>
      <c r="WR141" s="207"/>
      <c r="WS141" s="207"/>
      <c r="WT141" s="207"/>
      <c r="WU141" s="207"/>
      <c r="WV141" s="272"/>
      <c r="WW141" s="272"/>
      <c r="WX141" s="205">
        <f t="shared" si="1504"/>
        <v>0</v>
      </c>
      <c r="WY141" s="207"/>
      <c r="WZ141" s="207"/>
      <c r="XA141" s="207"/>
      <c r="XB141" s="207"/>
      <c r="XC141" s="272"/>
      <c r="XD141" s="272"/>
      <c r="XE141" s="272"/>
      <c r="XF141" s="205">
        <f t="shared" si="1505"/>
        <v>0</v>
      </c>
      <c r="XG141" s="207"/>
      <c r="XH141" s="207"/>
      <c r="XI141" s="207"/>
      <c r="XJ141" s="207"/>
      <c r="XK141" s="207"/>
      <c r="XL141" s="272"/>
      <c r="XM141" s="272"/>
      <c r="XN141" s="205">
        <f t="shared" si="1506"/>
        <v>0</v>
      </c>
      <c r="XO141" s="207"/>
      <c r="XP141" s="207"/>
      <c r="XQ141" s="207"/>
      <c r="XR141" s="207"/>
      <c r="XS141" s="207"/>
      <c r="XT141" s="272"/>
      <c r="XU141" s="272"/>
      <c r="XV141" s="205">
        <f t="shared" si="1507"/>
        <v>0</v>
      </c>
      <c r="XW141" s="205">
        <f t="shared" si="1508"/>
        <v>0</v>
      </c>
      <c r="XX141" s="207"/>
      <c r="XY141" s="207"/>
      <c r="XZ141" s="207"/>
      <c r="YA141" s="207"/>
      <c r="YB141" s="207"/>
      <c r="YC141" s="272"/>
      <c r="YD141" s="272"/>
      <c r="YE141" s="205">
        <f t="shared" si="1509"/>
        <v>0</v>
      </c>
      <c r="YF141" s="207"/>
      <c r="YG141" s="207"/>
      <c r="YH141" s="207"/>
      <c r="YI141" s="207"/>
      <c r="YJ141" s="207"/>
      <c r="YK141" s="272"/>
      <c r="YL141" s="272"/>
      <c r="YM141" s="205">
        <f t="shared" si="1510"/>
        <v>0</v>
      </c>
      <c r="YN141" s="207"/>
      <c r="YO141" s="207"/>
      <c r="YP141" s="207"/>
      <c r="YQ141" s="207"/>
      <c r="YR141" s="207"/>
      <c r="YS141" s="272"/>
      <c r="YT141" s="272"/>
      <c r="YU141" s="205">
        <f t="shared" si="1511"/>
        <v>0</v>
      </c>
      <c r="YV141" s="207"/>
      <c r="YW141" s="207"/>
      <c r="YX141" s="207"/>
      <c r="YY141" s="207"/>
      <c r="YZ141" s="207"/>
      <c r="ZA141" s="272"/>
      <c r="ZB141" s="272"/>
      <c r="ZC141" s="205">
        <f t="shared" si="1512"/>
        <v>0</v>
      </c>
      <c r="ZD141" s="205">
        <f t="shared" si="1513"/>
        <v>0</v>
      </c>
      <c r="ZE141" s="207"/>
      <c r="ZF141" s="207"/>
      <c r="ZG141" s="207"/>
      <c r="ZH141" s="207"/>
      <c r="ZI141" s="207"/>
      <c r="ZJ141" s="272"/>
      <c r="ZK141" s="272"/>
      <c r="ZL141" s="205">
        <f t="shared" si="1514"/>
        <v>0</v>
      </c>
      <c r="ZM141" s="207"/>
      <c r="ZN141" s="207"/>
      <c r="ZO141" s="207"/>
      <c r="ZP141" s="207"/>
      <c r="ZQ141" s="207"/>
      <c r="ZR141" s="272"/>
      <c r="ZS141" s="272"/>
      <c r="ZT141" s="205">
        <f t="shared" si="1515"/>
        <v>0</v>
      </c>
      <c r="ZU141" s="207"/>
      <c r="ZV141" s="207"/>
      <c r="ZW141" s="207"/>
      <c r="ZX141" s="207"/>
      <c r="ZY141" s="207"/>
      <c r="ZZ141" s="272"/>
      <c r="AAA141" s="272"/>
      <c r="AAB141" s="205">
        <f t="shared" si="1516"/>
        <v>0</v>
      </c>
      <c r="AAC141" s="207"/>
      <c r="AAD141" s="207"/>
      <c r="AAE141" s="207"/>
      <c r="AAF141" s="207"/>
      <c r="AAG141" s="207"/>
      <c r="AAH141" s="272"/>
      <c r="AAI141" s="272"/>
      <c r="AAJ141" s="205">
        <f t="shared" si="1517"/>
        <v>0</v>
      </c>
      <c r="AAK141" s="207"/>
      <c r="AAL141" s="207"/>
      <c r="AAM141" s="207"/>
      <c r="AAN141" s="207"/>
      <c r="AAO141" s="207"/>
      <c r="AAP141" s="272"/>
      <c r="AAQ141" s="272"/>
      <c r="AAR141" s="205">
        <f t="shared" si="1518"/>
        <v>0</v>
      </c>
      <c r="AAS141" s="205">
        <f t="shared" si="1519"/>
        <v>0</v>
      </c>
    </row>
    <row r="142" spans="1:721" ht="69.95" customHeight="1">
      <c r="B142" s="130" t="s">
        <v>412</v>
      </c>
      <c r="C142" s="146"/>
      <c r="D142" s="173" t="s">
        <v>406</v>
      </c>
      <c r="E142" s="130" t="s">
        <v>4</v>
      </c>
      <c r="F142" s="120"/>
      <c r="G142" s="120"/>
      <c r="H142" s="120"/>
      <c r="I142" s="120"/>
      <c r="J142" s="120"/>
      <c r="K142" s="209"/>
      <c r="L142" s="205"/>
      <c r="M142" s="205">
        <f t="shared" si="1520"/>
        <v>0</v>
      </c>
      <c r="N142" s="120"/>
      <c r="O142" s="120"/>
      <c r="P142" s="120"/>
      <c r="Q142" s="120"/>
      <c r="R142" s="120"/>
      <c r="S142" s="209"/>
      <c r="T142" s="205"/>
      <c r="U142" s="205">
        <f t="shared" si="1521"/>
        <v>0</v>
      </c>
      <c r="V142" s="120"/>
      <c r="W142" s="120"/>
      <c r="X142" s="120"/>
      <c r="Y142" s="120"/>
      <c r="Z142" s="120"/>
      <c r="AA142" s="209"/>
      <c r="AB142" s="205"/>
      <c r="AC142" s="205">
        <f t="shared" si="1522"/>
        <v>0</v>
      </c>
      <c r="AD142" s="205"/>
      <c r="AE142" s="205"/>
      <c r="AF142" s="205"/>
      <c r="AG142" s="205"/>
      <c r="AH142" s="205"/>
      <c r="AI142" s="209"/>
      <c r="AJ142" s="205"/>
      <c r="AK142" s="205">
        <f t="shared" si="1523"/>
        <v>0</v>
      </c>
      <c r="AL142" s="205" t="e">
        <f>SUM(#REF!,M142,U142,AC142,AD142:AH142)</f>
        <v>#REF!</v>
      </c>
      <c r="AM142" s="120"/>
      <c r="AN142" s="120"/>
      <c r="AO142" s="120"/>
      <c r="AP142" s="120"/>
      <c r="AQ142" s="120"/>
      <c r="AR142" s="209"/>
      <c r="AS142" s="205"/>
      <c r="AT142" s="205">
        <f t="shared" si="1524"/>
        <v>0</v>
      </c>
      <c r="AU142" s="120"/>
      <c r="AV142" s="120"/>
      <c r="AW142" s="120"/>
      <c r="AX142" s="120"/>
      <c r="AY142" s="120"/>
      <c r="AZ142" s="209"/>
      <c r="BA142" s="205"/>
      <c r="BB142" s="205">
        <f t="shared" si="1525"/>
        <v>0</v>
      </c>
      <c r="BC142" s="120"/>
      <c r="BD142" s="120"/>
      <c r="BE142" s="120"/>
      <c r="BF142" s="120"/>
      <c r="BG142" s="120"/>
      <c r="BH142" s="209"/>
      <c r="BI142" s="205"/>
      <c r="BJ142" s="205">
        <f t="shared" si="1526"/>
        <v>0</v>
      </c>
      <c r="BK142" s="120"/>
      <c r="BL142" s="120"/>
      <c r="BM142" s="120"/>
      <c r="BN142" s="120"/>
      <c r="BO142" s="205"/>
      <c r="BP142" s="209"/>
      <c r="BQ142" s="205"/>
      <c r="BR142" s="205">
        <f t="shared" si="1527"/>
        <v>0</v>
      </c>
      <c r="BS142" s="205">
        <f t="shared" si="1427"/>
        <v>0</v>
      </c>
      <c r="BT142" s="120"/>
      <c r="BU142" s="120"/>
      <c r="BV142" s="120"/>
      <c r="BW142" s="120"/>
      <c r="BX142" s="120"/>
      <c r="BY142" s="209"/>
      <c r="BZ142" s="205"/>
      <c r="CA142" s="205">
        <f t="shared" si="1528"/>
        <v>0</v>
      </c>
      <c r="CB142" s="120"/>
      <c r="CC142" s="120"/>
      <c r="CD142" s="120"/>
      <c r="CE142" s="120"/>
      <c r="CF142" s="120"/>
      <c r="CG142" s="209"/>
      <c r="CH142" s="205"/>
      <c r="CI142" s="205">
        <f t="shared" si="1529"/>
        <v>0</v>
      </c>
      <c r="CJ142" s="120"/>
      <c r="CK142" s="120"/>
      <c r="CL142" s="120"/>
      <c r="CM142" s="120"/>
      <c r="CN142" s="120"/>
      <c r="CO142" s="209"/>
      <c r="CP142" s="205"/>
      <c r="CQ142" s="205">
        <f t="shared" si="1530"/>
        <v>0</v>
      </c>
      <c r="CR142" s="120"/>
      <c r="CS142" s="120"/>
      <c r="CT142" s="120"/>
      <c r="CU142" s="120"/>
      <c r="CV142" s="120"/>
      <c r="CW142" s="209"/>
      <c r="CX142" s="205"/>
      <c r="CY142" s="205">
        <f t="shared" si="1531"/>
        <v>0</v>
      </c>
      <c r="CZ142" s="120"/>
      <c r="DA142" s="120"/>
      <c r="DB142" s="120"/>
      <c r="DC142" s="205"/>
      <c r="DD142" s="205"/>
      <c r="DE142" s="209"/>
      <c r="DF142" s="205"/>
      <c r="DG142" s="205">
        <f t="shared" si="1532"/>
        <v>0</v>
      </c>
      <c r="DH142" s="205">
        <f t="shared" si="1428"/>
        <v>0</v>
      </c>
      <c r="DI142" s="120"/>
      <c r="DJ142" s="120"/>
      <c r="DK142" s="120"/>
      <c r="DL142" s="120"/>
      <c r="DM142" s="120"/>
      <c r="DN142" s="209"/>
      <c r="DO142" s="205"/>
      <c r="DP142" s="205">
        <f t="shared" si="1432"/>
        <v>0</v>
      </c>
      <c r="DQ142" s="120"/>
      <c r="DR142" s="120"/>
      <c r="DS142" s="120"/>
      <c r="DT142" s="120"/>
      <c r="DU142" s="120"/>
      <c r="DV142" s="209"/>
      <c r="DW142" s="205"/>
      <c r="DX142" s="205">
        <f t="shared" si="1433"/>
        <v>0</v>
      </c>
      <c r="DY142" s="120"/>
      <c r="DZ142" s="120"/>
      <c r="EA142" s="120"/>
      <c r="EB142" s="120"/>
      <c r="EC142" s="120"/>
      <c r="ED142" s="209"/>
      <c r="EE142" s="205"/>
      <c r="EF142" s="205">
        <f t="shared" si="1434"/>
        <v>0</v>
      </c>
      <c r="EG142" s="120"/>
      <c r="EH142" s="120"/>
      <c r="EI142" s="120"/>
      <c r="EJ142" s="205"/>
      <c r="EK142" s="205"/>
      <c r="EL142" s="209"/>
      <c r="EM142" s="205"/>
      <c r="EN142" s="205">
        <f t="shared" si="1435"/>
        <v>0</v>
      </c>
      <c r="EO142" s="205">
        <f t="shared" si="1429"/>
        <v>0</v>
      </c>
      <c r="EP142" s="120"/>
      <c r="EQ142" s="120"/>
      <c r="ER142" s="120"/>
      <c r="ES142" s="120"/>
      <c r="ET142" s="120"/>
      <c r="EU142" s="209"/>
      <c r="EV142" s="205"/>
      <c r="EW142" s="205">
        <f t="shared" si="1436"/>
        <v>0</v>
      </c>
      <c r="EX142" s="120"/>
      <c r="EY142" s="120"/>
      <c r="EZ142" s="120"/>
      <c r="FA142" s="120"/>
      <c r="FB142" s="120"/>
      <c r="FC142" s="209"/>
      <c r="FD142" s="205"/>
      <c r="FE142" s="205">
        <f t="shared" si="1437"/>
        <v>0</v>
      </c>
      <c r="FF142" s="120"/>
      <c r="FG142" s="120"/>
      <c r="FH142" s="120"/>
      <c r="FI142" s="120"/>
      <c r="FJ142" s="120"/>
      <c r="FK142" s="209"/>
      <c r="FL142" s="205"/>
      <c r="FM142" s="205">
        <f t="shared" si="1438"/>
        <v>0</v>
      </c>
      <c r="FN142" s="120"/>
      <c r="FO142" s="120"/>
      <c r="FP142" s="120"/>
      <c r="FQ142" s="120"/>
      <c r="FR142" s="205"/>
      <c r="FS142" s="209"/>
      <c r="FT142" s="205"/>
      <c r="FU142" s="205">
        <f t="shared" si="1439"/>
        <v>0</v>
      </c>
      <c r="FV142" s="205">
        <f t="shared" si="1430"/>
        <v>0</v>
      </c>
      <c r="FW142" s="120"/>
      <c r="FX142" s="120"/>
      <c r="FY142" s="120"/>
      <c r="FZ142" s="120"/>
      <c r="GA142" s="120"/>
      <c r="GB142" s="209"/>
      <c r="GC142" s="205"/>
      <c r="GD142" s="205">
        <f t="shared" si="1440"/>
        <v>0</v>
      </c>
      <c r="GE142" s="120"/>
      <c r="GF142" s="120"/>
      <c r="GG142" s="120"/>
      <c r="GH142" s="120"/>
      <c r="GI142" s="120"/>
      <c r="GJ142" s="209"/>
      <c r="GK142" s="205"/>
      <c r="GL142" s="205">
        <f t="shared" si="1441"/>
        <v>0</v>
      </c>
      <c r="GM142" s="120"/>
      <c r="GN142" s="120"/>
      <c r="GO142" s="120"/>
      <c r="GP142" s="120"/>
      <c r="GQ142" s="120"/>
      <c r="GR142" s="209"/>
      <c r="GS142" s="205"/>
      <c r="GT142" s="205">
        <f t="shared" si="1442"/>
        <v>0</v>
      </c>
      <c r="GU142" s="120"/>
      <c r="GV142" s="120"/>
      <c r="GW142" s="120"/>
      <c r="GX142" s="120"/>
      <c r="GY142" s="120"/>
      <c r="GZ142" s="209"/>
      <c r="HA142" s="205"/>
      <c r="HB142" s="205">
        <f t="shared" si="1443"/>
        <v>0</v>
      </c>
      <c r="HC142" s="120"/>
      <c r="HD142" s="120"/>
      <c r="HE142" s="120"/>
      <c r="HF142" s="120"/>
      <c r="HG142" s="120"/>
      <c r="HH142" s="209"/>
      <c r="HI142" s="205"/>
      <c r="HJ142" s="205">
        <f t="shared" si="1444"/>
        <v>0</v>
      </c>
      <c r="HK142" s="205">
        <f t="shared" si="1431"/>
        <v>0</v>
      </c>
      <c r="HL142" s="124"/>
      <c r="HM142" s="120"/>
      <c r="HN142" s="120"/>
      <c r="HO142" s="120"/>
      <c r="HP142" s="120"/>
      <c r="HQ142" s="205"/>
      <c r="HR142" s="205"/>
      <c r="HS142" s="205">
        <f t="shared" si="1445"/>
        <v>0</v>
      </c>
      <c r="HT142" s="120"/>
      <c r="HU142" s="120"/>
      <c r="HV142" s="120"/>
      <c r="HW142" s="120"/>
      <c r="HX142" s="120"/>
      <c r="HY142" s="205"/>
      <c r="HZ142" s="205"/>
      <c r="IA142" s="205">
        <f t="shared" si="1446"/>
        <v>0</v>
      </c>
      <c r="IB142" s="120"/>
      <c r="IC142" s="120"/>
      <c r="ID142" s="120"/>
      <c r="IE142" s="120"/>
      <c r="IF142" s="120"/>
      <c r="IG142" s="205"/>
      <c r="IH142" s="205"/>
      <c r="II142" s="205">
        <f t="shared" si="1447"/>
        <v>0</v>
      </c>
      <c r="IJ142" s="120"/>
      <c r="IK142" s="120"/>
      <c r="IL142" s="120"/>
      <c r="IM142" s="120"/>
      <c r="IN142" s="120"/>
      <c r="IO142" s="205"/>
      <c r="IP142" s="205"/>
      <c r="IQ142" s="205">
        <f t="shared" si="1448"/>
        <v>0</v>
      </c>
      <c r="IR142" s="205">
        <f t="shared" si="1449"/>
        <v>0</v>
      </c>
      <c r="IS142" s="120"/>
      <c r="IT142" s="120"/>
      <c r="IU142" s="120"/>
      <c r="IV142" s="120"/>
      <c r="IW142" s="120"/>
      <c r="IX142" s="205"/>
      <c r="IY142" s="205"/>
      <c r="IZ142" s="205">
        <f t="shared" si="1450"/>
        <v>0</v>
      </c>
      <c r="JA142" s="120"/>
      <c r="JB142" s="120"/>
      <c r="JC142" s="120"/>
      <c r="JD142" s="120"/>
      <c r="JE142" s="120"/>
      <c r="JF142" s="205"/>
      <c r="JG142" s="205"/>
      <c r="JH142" s="205">
        <f t="shared" si="1451"/>
        <v>0</v>
      </c>
      <c r="JI142" s="120"/>
      <c r="JJ142" s="120"/>
      <c r="JK142" s="120"/>
      <c r="JL142" s="120"/>
      <c r="JM142" s="120"/>
      <c r="JN142" s="205"/>
      <c r="JO142" s="205"/>
      <c r="JP142" s="205">
        <f t="shared" si="1452"/>
        <v>0</v>
      </c>
      <c r="JQ142" s="120"/>
      <c r="JR142" s="120"/>
      <c r="JS142" s="120"/>
      <c r="JT142" s="120"/>
      <c r="JU142" s="120"/>
      <c r="JV142" s="205"/>
      <c r="JW142" s="205"/>
      <c r="JX142" s="205">
        <f t="shared" si="1453"/>
        <v>0</v>
      </c>
      <c r="JY142" s="205">
        <f t="shared" si="1454"/>
        <v>0</v>
      </c>
      <c r="JZ142" s="120"/>
      <c r="KA142" s="120"/>
      <c r="KB142" s="120"/>
      <c r="KC142" s="120"/>
      <c r="KD142" s="120"/>
      <c r="KE142" s="205"/>
      <c r="KF142" s="205"/>
      <c r="KG142" s="205">
        <f t="shared" si="1455"/>
        <v>0</v>
      </c>
      <c r="KH142" s="120"/>
      <c r="KI142" s="120"/>
      <c r="KJ142" s="120"/>
      <c r="KK142" s="120"/>
      <c r="KL142" s="120"/>
      <c r="KM142" s="205"/>
      <c r="KN142" s="205"/>
      <c r="KO142" s="205">
        <f t="shared" si="1456"/>
        <v>0</v>
      </c>
      <c r="KP142" s="120"/>
      <c r="KQ142" s="120"/>
      <c r="KR142" s="120"/>
      <c r="KS142" s="120"/>
      <c r="KT142" s="120"/>
      <c r="KU142" s="205"/>
      <c r="KV142" s="205"/>
      <c r="KW142" s="205">
        <f t="shared" si="1457"/>
        <v>0</v>
      </c>
      <c r="KX142" s="120"/>
      <c r="KY142" s="120"/>
      <c r="KZ142" s="120"/>
      <c r="LA142" s="120"/>
      <c r="LB142" s="120"/>
      <c r="LC142" s="205"/>
      <c r="LD142" s="205"/>
      <c r="LE142" s="205">
        <f t="shared" si="1458"/>
        <v>0</v>
      </c>
      <c r="LF142" s="205"/>
      <c r="LG142" s="120"/>
      <c r="LH142" s="120"/>
      <c r="LI142" s="120"/>
      <c r="LJ142" s="120"/>
      <c r="LK142" s="205"/>
      <c r="LL142" s="205"/>
      <c r="LM142" s="205">
        <f t="shared" si="1459"/>
        <v>0</v>
      </c>
      <c r="LN142" s="205">
        <f t="shared" si="1460"/>
        <v>0</v>
      </c>
      <c r="LO142" s="205"/>
      <c r="LP142" s="120"/>
      <c r="LQ142" s="120"/>
      <c r="LR142" s="120"/>
      <c r="LS142" s="205"/>
      <c r="LT142" s="205"/>
      <c r="LU142" s="205"/>
      <c r="LV142" s="205">
        <f t="shared" si="1461"/>
        <v>0</v>
      </c>
      <c r="LW142" s="120"/>
      <c r="LX142" s="120"/>
      <c r="LY142" s="120"/>
      <c r="LZ142" s="120"/>
      <c r="MA142" s="120"/>
      <c r="MB142" s="205"/>
      <c r="MC142" s="205"/>
      <c r="MD142" s="205">
        <f t="shared" si="1462"/>
        <v>0</v>
      </c>
      <c r="ME142" s="120"/>
      <c r="MF142" s="120"/>
      <c r="MG142" s="120"/>
      <c r="MH142" s="120"/>
      <c r="MI142" s="205"/>
      <c r="MJ142" s="205"/>
      <c r="MK142" s="205"/>
      <c r="ML142" s="205">
        <f t="shared" si="1463"/>
        <v>0</v>
      </c>
      <c r="MM142" s="120"/>
      <c r="MN142" s="120"/>
      <c r="MO142" s="120"/>
      <c r="MP142" s="120"/>
      <c r="MQ142" s="120"/>
      <c r="MR142" s="205"/>
      <c r="MS142" s="205"/>
      <c r="MT142" s="205">
        <f t="shared" si="1464"/>
        <v>0</v>
      </c>
      <c r="MU142" s="205">
        <f t="shared" si="1465"/>
        <v>0</v>
      </c>
      <c r="MV142" s="120"/>
      <c r="MW142" s="120"/>
      <c r="MX142" s="120"/>
      <c r="MY142" s="120"/>
      <c r="MZ142" s="120"/>
      <c r="NA142" s="205"/>
      <c r="NB142" s="205"/>
      <c r="NC142" s="205">
        <f t="shared" si="1466"/>
        <v>0</v>
      </c>
      <c r="ND142" s="120"/>
      <c r="NE142" s="120"/>
      <c r="NF142" s="120"/>
      <c r="NG142" s="120"/>
      <c r="NH142" s="120"/>
      <c r="NI142" s="205"/>
      <c r="NJ142" s="205"/>
      <c r="NK142" s="205">
        <f t="shared" si="1467"/>
        <v>0</v>
      </c>
      <c r="NL142" s="120"/>
      <c r="NM142" s="120"/>
      <c r="NN142" s="120"/>
      <c r="NO142" s="120"/>
      <c r="NP142" s="120"/>
      <c r="NQ142" s="205"/>
      <c r="NR142" s="205"/>
      <c r="NS142" s="205">
        <f t="shared" si="1468"/>
        <v>0</v>
      </c>
      <c r="NT142" s="120"/>
      <c r="NU142" s="120"/>
      <c r="NV142" s="120"/>
      <c r="NW142" s="120"/>
      <c r="NX142" s="120"/>
      <c r="NY142" s="205"/>
      <c r="NZ142" s="205"/>
      <c r="OA142" s="205">
        <f t="shared" si="1469"/>
        <v>0</v>
      </c>
      <c r="OB142" s="205">
        <f t="shared" si="1470"/>
        <v>0</v>
      </c>
      <c r="OC142" s="120"/>
      <c r="OD142" s="120"/>
      <c r="OE142" s="120"/>
      <c r="OF142" s="120"/>
      <c r="OG142" s="120"/>
      <c r="OH142" s="205"/>
      <c r="OI142" s="205"/>
      <c r="OJ142" s="205">
        <f t="shared" si="1471"/>
        <v>0</v>
      </c>
      <c r="OK142" s="120"/>
      <c r="OL142" s="120"/>
      <c r="OM142" s="120"/>
      <c r="ON142" s="120"/>
      <c r="OO142" s="120"/>
      <c r="OP142" s="205"/>
      <c r="OQ142" s="205"/>
      <c r="OR142" s="205">
        <f t="shared" si="1472"/>
        <v>0</v>
      </c>
      <c r="OS142" s="120"/>
      <c r="OT142" s="120"/>
      <c r="OU142" s="120"/>
      <c r="OV142" s="120"/>
      <c r="OW142" s="120"/>
      <c r="OX142" s="205"/>
      <c r="OY142" s="205"/>
      <c r="OZ142" s="205">
        <f t="shared" si="1473"/>
        <v>0</v>
      </c>
      <c r="PA142" s="120"/>
      <c r="PB142" s="120"/>
      <c r="PC142" s="120"/>
      <c r="PD142" s="205"/>
      <c r="PE142" s="217"/>
      <c r="PF142" s="205"/>
      <c r="PG142" s="205"/>
      <c r="PH142" s="205">
        <f t="shared" si="1474"/>
        <v>0</v>
      </c>
      <c r="PI142" s="120"/>
      <c r="PJ142" s="120"/>
      <c r="PK142" s="120"/>
      <c r="PL142" s="205"/>
      <c r="PM142" s="217"/>
      <c r="PN142" s="205"/>
      <c r="PO142" s="205"/>
      <c r="PP142" s="205">
        <f t="shared" si="1475"/>
        <v>0</v>
      </c>
      <c r="PQ142" s="205">
        <f t="shared" si="1476"/>
        <v>0</v>
      </c>
      <c r="PR142" s="207"/>
      <c r="PS142" s="207"/>
      <c r="PT142" s="207"/>
      <c r="PU142" s="207"/>
      <c r="PV142" s="207"/>
      <c r="PW142" s="272"/>
      <c r="PX142" s="272"/>
      <c r="PY142" s="205">
        <f t="shared" si="1477"/>
        <v>0</v>
      </c>
      <c r="PZ142" s="207"/>
      <c r="QA142" s="207"/>
      <c r="QB142" s="207"/>
      <c r="QC142" s="207"/>
      <c r="QD142" s="207"/>
      <c r="QE142" s="272"/>
      <c r="QF142" s="272"/>
      <c r="QG142" s="205">
        <f t="shared" si="1478"/>
        <v>0</v>
      </c>
      <c r="QH142" s="207"/>
      <c r="QI142" s="207"/>
      <c r="QJ142" s="294"/>
      <c r="QK142" s="207"/>
      <c r="QL142" s="207"/>
      <c r="QM142" s="272"/>
      <c r="QN142" s="272"/>
      <c r="QO142" s="205">
        <f t="shared" si="1479"/>
        <v>0</v>
      </c>
      <c r="QP142" s="207"/>
      <c r="QQ142" s="207"/>
      <c r="QR142" s="207"/>
      <c r="QS142" s="207"/>
      <c r="QT142" s="207"/>
      <c r="QU142" s="272"/>
      <c r="QV142" s="272"/>
      <c r="QW142" s="205">
        <f t="shared" si="1480"/>
        <v>0</v>
      </c>
      <c r="QX142" s="205">
        <f t="shared" si="1481"/>
        <v>0</v>
      </c>
      <c r="QY142" s="207"/>
      <c r="QZ142" s="207"/>
      <c r="RA142" s="207"/>
      <c r="RB142" s="207"/>
      <c r="RC142" s="207"/>
      <c r="RD142" s="272"/>
      <c r="RE142" s="272"/>
      <c r="RF142" s="205">
        <f t="shared" si="1482"/>
        <v>0</v>
      </c>
      <c r="RG142" s="207"/>
      <c r="RH142" s="207"/>
      <c r="RI142" s="207"/>
      <c r="RJ142" s="207"/>
      <c r="RK142" s="207"/>
      <c r="RL142" s="272"/>
      <c r="RM142" s="272"/>
      <c r="RN142" s="205">
        <f t="shared" si="1483"/>
        <v>0</v>
      </c>
      <c r="RO142" s="272"/>
      <c r="RP142" s="272"/>
      <c r="RQ142" s="272"/>
      <c r="RR142" s="272"/>
      <c r="RS142" s="272"/>
      <c r="RT142" s="272"/>
      <c r="RU142" s="272"/>
      <c r="RV142" s="205">
        <f t="shared" si="1484"/>
        <v>0</v>
      </c>
      <c r="RW142" s="207"/>
      <c r="RX142" s="207"/>
      <c r="RY142" s="207"/>
      <c r="RZ142" s="207"/>
      <c r="SA142" s="272"/>
      <c r="SB142" s="272"/>
      <c r="SC142" s="272"/>
      <c r="SD142" s="205">
        <f t="shared" si="1485"/>
        <v>0</v>
      </c>
      <c r="SE142" s="205">
        <f t="shared" si="1486"/>
        <v>0</v>
      </c>
      <c r="SF142" s="207"/>
      <c r="SG142" s="207"/>
      <c r="SH142" s="207"/>
      <c r="SI142" s="207"/>
      <c r="SJ142" s="207"/>
      <c r="SK142" s="272"/>
      <c r="SL142" s="272"/>
      <c r="SM142" s="205">
        <f t="shared" si="1487"/>
        <v>0</v>
      </c>
      <c r="SN142" s="207"/>
      <c r="SO142" s="207"/>
      <c r="SP142" s="207"/>
      <c r="SQ142" s="207"/>
      <c r="SR142" s="207"/>
      <c r="SS142" s="272"/>
      <c r="ST142" s="272"/>
      <c r="SU142" s="205">
        <f t="shared" si="1488"/>
        <v>0</v>
      </c>
      <c r="SV142" s="207"/>
      <c r="SW142" s="207"/>
      <c r="SX142" s="207"/>
      <c r="SY142" s="207"/>
      <c r="SZ142" s="207"/>
      <c r="TA142" s="272"/>
      <c r="TB142" s="272"/>
      <c r="TC142" s="205">
        <f t="shared" si="1489"/>
        <v>0</v>
      </c>
      <c r="TD142" s="207"/>
      <c r="TE142" s="207"/>
      <c r="TF142" s="207"/>
      <c r="TG142" s="207"/>
      <c r="TH142" s="207"/>
      <c r="TI142" s="272"/>
      <c r="TJ142" s="272"/>
      <c r="TK142" s="205">
        <f t="shared" si="1490"/>
        <v>0</v>
      </c>
      <c r="TL142" s="207"/>
      <c r="TM142" s="207"/>
      <c r="TN142" s="207"/>
      <c r="TO142" s="207"/>
      <c r="TP142" s="272"/>
      <c r="TQ142" s="272"/>
      <c r="TR142" s="272"/>
      <c r="TS142" s="205">
        <f t="shared" si="1491"/>
        <v>0</v>
      </c>
      <c r="TT142" s="205">
        <f t="shared" si="1492"/>
        <v>0</v>
      </c>
      <c r="TU142" s="272"/>
      <c r="TV142" s="207"/>
      <c r="TW142" s="207"/>
      <c r="TX142" s="207"/>
      <c r="TY142" s="207"/>
      <c r="TZ142" s="272"/>
      <c r="UA142" s="272"/>
      <c r="UB142" s="205">
        <f t="shared" si="1493"/>
        <v>0</v>
      </c>
      <c r="UC142" s="120"/>
      <c r="UD142" s="207"/>
      <c r="UE142" s="207"/>
      <c r="UF142" s="207"/>
      <c r="UG142" s="207"/>
      <c r="UH142" s="272"/>
      <c r="UI142" s="272"/>
      <c r="UJ142" s="205">
        <f t="shared" si="1533"/>
        <v>0</v>
      </c>
      <c r="UK142" s="207"/>
      <c r="UL142" s="207"/>
      <c r="UM142" s="207"/>
      <c r="UN142" s="207"/>
      <c r="UO142" s="207"/>
      <c r="UP142" s="272"/>
      <c r="UQ142" s="272"/>
      <c r="UR142" s="205">
        <f t="shared" si="1495"/>
        <v>0</v>
      </c>
      <c r="US142" s="207"/>
      <c r="UT142" s="207"/>
      <c r="UU142" s="207"/>
      <c r="UV142" s="207"/>
      <c r="UW142" s="272"/>
      <c r="UX142" s="272"/>
      <c r="UY142" s="272"/>
      <c r="UZ142" s="205">
        <f t="shared" si="1496"/>
        <v>0</v>
      </c>
      <c r="VA142" s="205">
        <f t="shared" si="1497"/>
        <v>0</v>
      </c>
      <c r="VB142" s="207"/>
      <c r="VC142" s="207"/>
      <c r="VD142" s="207"/>
      <c r="VE142" s="207"/>
      <c r="VF142" s="207"/>
      <c r="VG142" s="272"/>
      <c r="VH142" s="272"/>
      <c r="VI142" s="205">
        <f t="shared" si="1498"/>
        <v>0</v>
      </c>
      <c r="VJ142" s="207"/>
      <c r="VK142" s="207"/>
      <c r="VL142" s="207"/>
      <c r="VM142" s="207"/>
      <c r="VN142" s="207"/>
      <c r="VO142" s="272"/>
      <c r="VP142" s="272"/>
      <c r="VQ142" s="205">
        <f t="shared" si="1499"/>
        <v>0</v>
      </c>
      <c r="VR142" s="207"/>
      <c r="VS142" s="207"/>
      <c r="VT142" s="207"/>
      <c r="VU142" s="207"/>
      <c r="VV142" s="207"/>
      <c r="VW142" s="272"/>
      <c r="VX142" s="272"/>
      <c r="VY142" s="205">
        <f t="shared" si="1500"/>
        <v>0</v>
      </c>
      <c r="VZ142" s="207"/>
      <c r="WA142" s="207"/>
      <c r="WB142" s="207"/>
      <c r="WC142" s="207"/>
      <c r="WD142" s="207"/>
      <c r="WE142" s="272"/>
      <c r="WF142" s="272"/>
      <c r="WG142" s="205">
        <f t="shared" si="1501"/>
        <v>0</v>
      </c>
      <c r="WH142" s="205">
        <f t="shared" si="1502"/>
        <v>0</v>
      </c>
      <c r="WI142" s="207"/>
      <c r="WJ142" s="207"/>
      <c r="WK142" s="207"/>
      <c r="WL142" s="207"/>
      <c r="WM142" s="207"/>
      <c r="WN142" s="272"/>
      <c r="WO142" s="272"/>
      <c r="WP142" s="205">
        <f t="shared" si="1503"/>
        <v>0</v>
      </c>
      <c r="WQ142" s="207"/>
      <c r="WR142" s="207"/>
      <c r="WS142" s="207"/>
      <c r="WT142" s="207"/>
      <c r="WU142" s="207"/>
      <c r="WV142" s="272"/>
      <c r="WW142" s="272"/>
      <c r="WX142" s="205">
        <f t="shared" si="1504"/>
        <v>0</v>
      </c>
      <c r="WY142" s="207"/>
      <c r="WZ142" s="207"/>
      <c r="XA142" s="207"/>
      <c r="XB142" s="207"/>
      <c r="XC142" s="272"/>
      <c r="XD142" s="272"/>
      <c r="XE142" s="272"/>
      <c r="XF142" s="205">
        <f t="shared" si="1505"/>
        <v>0</v>
      </c>
      <c r="XG142" s="207"/>
      <c r="XH142" s="207"/>
      <c r="XI142" s="207"/>
      <c r="XJ142" s="207"/>
      <c r="XK142" s="207"/>
      <c r="XL142" s="272"/>
      <c r="XM142" s="272"/>
      <c r="XN142" s="205">
        <f t="shared" si="1506"/>
        <v>0</v>
      </c>
      <c r="XO142" s="207"/>
      <c r="XP142" s="207"/>
      <c r="XQ142" s="207"/>
      <c r="XR142" s="207"/>
      <c r="XS142" s="207"/>
      <c r="XT142" s="272"/>
      <c r="XU142" s="272"/>
      <c r="XV142" s="205">
        <f t="shared" si="1507"/>
        <v>0</v>
      </c>
      <c r="XW142" s="205">
        <f t="shared" si="1508"/>
        <v>0</v>
      </c>
      <c r="XX142" s="207"/>
      <c r="XY142" s="207"/>
      <c r="XZ142" s="207"/>
      <c r="YA142" s="207"/>
      <c r="YB142" s="207"/>
      <c r="YC142" s="272"/>
      <c r="YD142" s="272"/>
      <c r="YE142" s="205">
        <f t="shared" si="1509"/>
        <v>0</v>
      </c>
      <c r="YF142" s="207"/>
      <c r="YG142" s="207"/>
      <c r="YH142" s="207"/>
      <c r="YI142" s="207"/>
      <c r="YJ142" s="207"/>
      <c r="YK142" s="272"/>
      <c r="YL142" s="272"/>
      <c r="YM142" s="205">
        <f t="shared" si="1510"/>
        <v>0</v>
      </c>
      <c r="YN142" s="207"/>
      <c r="YO142" s="207"/>
      <c r="YP142" s="207"/>
      <c r="YQ142" s="207"/>
      <c r="YR142" s="207"/>
      <c r="YS142" s="272"/>
      <c r="YT142" s="272"/>
      <c r="YU142" s="205">
        <f t="shared" si="1511"/>
        <v>0</v>
      </c>
      <c r="YV142" s="207"/>
      <c r="YW142" s="207"/>
      <c r="YX142" s="207"/>
      <c r="YY142" s="207"/>
      <c r="YZ142" s="207"/>
      <c r="ZA142" s="272"/>
      <c r="ZB142" s="272"/>
      <c r="ZC142" s="205">
        <f t="shared" si="1512"/>
        <v>0</v>
      </c>
      <c r="ZD142" s="205">
        <f t="shared" si="1513"/>
        <v>0</v>
      </c>
      <c r="ZE142" s="207"/>
      <c r="ZF142" s="207"/>
      <c r="ZG142" s="207"/>
      <c r="ZH142" s="207"/>
      <c r="ZI142" s="207"/>
      <c r="ZJ142" s="272"/>
      <c r="ZK142" s="272"/>
      <c r="ZL142" s="205">
        <f t="shared" si="1514"/>
        <v>0</v>
      </c>
      <c r="ZM142" s="207"/>
      <c r="ZN142" s="207"/>
      <c r="ZO142" s="207"/>
      <c r="ZP142" s="207"/>
      <c r="ZQ142" s="207"/>
      <c r="ZR142" s="272"/>
      <c r="ZS142" s="272"/>
      <c r="ZT142" s="205">
        <f t="shared" si="1515"/>
        <v>0</v>
      </c>
      <c r="ZU142" s="207"/>
      <c r="ZV142" s="207"/>
      <c r="ZW142" s="207"/>
      <c r="ZX142" s="207"/>
      <c r="ZY142" s="207"/>
      <c r="ZZ142" s="272"/>
      <c r="AAA142" s="272"/>
      <c r="AAB142" s="205">
        <f t="shared" si="1516"/>
        <v>0</v>
      </c>
      <c r="AAC142" s="207"/>
      <c r="AAD142" s="207"/>
      <c r="AAE142" s="207"/>
      <c r="AAF142" s="207"/>
      <c r="AAG142" s="207"/>
      <c r="AAH142" s="272"/>
      <c r="AAI142" s="272"/>
      <c r="AAJ142" s="205">
        <f t="shared" si="1517"/>
        <v>0</v>
      </c>
      <c r="AAK142" s="207"/>
      <c r="AAL142" s="207"/>
      <c r="AAM142" s="207"/>
      <c r="AAN142" s="207"/>
      <c r="AAO142" s="207"/>
      <c r="AAP142" s="272"/>
      <c r="AAQ142" s="272"/>
      <c r="AAR142" s="205">
        <f t="shared" si="1518"/>
        <v>0</v>
      </c>
      <c r="AAS142" s="205">
        <f t="shared" si="1519"/>
        <v>0</v>
      </c>
    </row>
    <row r="143" spans="1:721" ht="69.95" customHeight="1">
      <c r="B143" s="130">
        <v>5714600146</v>
      </c>
      <c r="C143" s="324" t="s">
        <v>738</v>
      </c>
      <c r="D143" s="173" t="s">
        <v>419</v>
      </c>
      <c r="E143" s="130" t="s">
        <v>4</v>
      </c>
      <c r="F143" s="120"/>
      <c r="G143" s="201">
        <v>2036</v>
      </c>
      <c r="H143" s="120"/>
      <c r="I143" s="120"/>
      <c r="J143" s="120"/>
      <c r="K143" s="209"/>
      <c r="L143" s="205"/>
      <c r="M143" s="205">
        <f t="shared" si="1520"/>
        <v>2036</v>
      </c>
      <c r="N143" s="120"/>
      <c r="O143" s="120"/>
      <c r="P143" s="120"/>
      <c r="Q143" s="120"/>
      <c r="R143" s="120"/>
      <c r="S143" s="209"/>
      <c r="T143" s="205"/>
      <c r="U143" s="205">
        <f t="shared" si="1521"/>
        <v>0</v>
      </c>
      <c r="V143" s="120"/>
      <c r="W143" s="218">
        <v>509</v>
      </c>
      <c r="X143" s="120"/>
      <c r="Y143" s="120"/>
      <c r="Z143" s="120"/>
      <c r="AA143" s="209"/>
      <c r="AB143" s="205"/>
      <c r="AC143" s="205">
        <f t="shared" si="1522"/>
        <v>509</v>
      </c>
      <c r="AD143" s="205"/>
      <c r="AE143" s="205"/>
      <c r="AF143" s="205"/>
      <c r="AG143" s="205"/>
      <c r="AH143" s="205"/>
      <c r="AI143" s="209"/>
      <c r="AJ143" s="205"/>
      <c r="AK143" s="205">
        <f t="shared" si="1523"/>
        <v>0</v>
      </c>
      <c r="AL143" s="205" t="e">
        <f>SUM(#REF!,M143,U143,AC143,AD143:AH143)</f>
        <v>#REF!</v>
      </c>
      <c r="AM143" s="120"/>
      <c r="AN143" s="120"/>
      <c r="AO143" s="120"/>
      <c r="AP143" s="120"/>
      <c r="AQ143" s="120"/>
      <c r="AR143" s="209"/>
      <c r="AS143" s="205"/>
      <c r="AT143" s="205">
        <f t="shared" si="1524"/>
        <v>0</v>
      </c>
      <c r="AU143" s="120"/>
      <c r="AV143" s="120"/>
      <c r="AW143" s="120"/>
      <c r="AX143" s="120"/>
      <c r="AY143" s="120"/>
      <c r="AZ143" s="209"/>
      <c r="BA143" s="205"/>
      <c r="BB143" s="205">
        <f t="shared" si="1525"/>
        <v>0</v>
      </c>
      <c r="BC143" s="120"/>
      <c r="BD143" s="120"/>
      <c r="BE143" s="120"/>
      <c r="BF143" s="120"/>
      <c r="BG143" s="120"/>
      <c r="BH143" s="209"/>
      <c r="BI143" s="205"/>
      <c r="BJ143" s="205">
        <f t="shared" si="1526"/>
        <v>0</v>
      </c>
      <c r="BK143" s="120"/>
      <c r="BL143" s="217">
        <v>1527</v>
      </c>
      <c r="BM143" s="120"/>
      <c r="BN143" s="120"/>
      <c r="BO143" s="205"/>
      <c r="BP143" s="209"/>
      <c r="BQ143" s="205"/>
      <c r="BR143" s="205">
        <f t="shared" si="1527"/>
        <v>1527</v>
      </c>
      <c r="BS143" s="205">
        <f t="shared" si="1427"/>
        <v>1527</v>
      </c>
      <c r="BT143" s="120"/>
      <c r="BU143" s="120"/>
      <c r="BV143" s="120"/>
      <c r="BW143" s="120"/>
      <c r="BX143" s="120"/>
      <c r="BY143" s="209"/>
      <c r="BZ143" s="205"/>
      <c r="CA143" s="205">
        <f t="shared" si="1528"/>
        <v>0</v>
      </c>
      <c r="CB143" s="120"/>
      <c r="CC143" s="120"/>
      <c r="CD143" s="120"/>
      <c r="CE143" s="120"/>
      <c r="CF143" s="120"/>
      <c r="CG143" s="209"/>
      <c r="CH143" s="205"/>
      <c r="CI143" s="205">
        <f t="shared" si="1529"/>
        <v>0</v>
      </c>
      <c r="CJ143" s="120"/>
      <c r="CK143" s="120"/>
      <c r="CL143" s="120"/>
      <c r="CM143" s="120"/>
      <c r="CN143" s="120"/>
      <c r="CO143" s="209"/>
      <c r="CP143" s="205"/>
      <c r="CQ143" s="205">
        <f t="shared" si="1530"/>
        <v>0</v>
      </c>
      <c r="CR143" s="250">
        <v>1018</v>
      </c>
      <c r="CS143" s="120"/>
      <c r="CT143" s="120"/>
      <c r="CU143" s="120"/>
      <c r="CV143" s="120"/>
      <c r="CW143" s="209"/>
      <c r="CX143" s="205"/>
      <c r="CY143" s="205">
        <f t="shared" si="1531"/>
        <v>1018</v>
      </c>
      <c r="CZ143" s="120"/>
      <c r="DA143" s="120"/>
      <c r="DB143" s="120"/>
      <c r="DC143" s="205"/>
      <c r="DD143" s="205"/>
      <c r="DE143" s="209"/>
      <c r="DF143" s="205"/>
      <c r="DG143" s="205">
        <f t="shared" si="1532"/>
        <v>0</v>
      </c>
      <c r="DH143" s="205">
        <f t="shared" si="1428"/>
        <v>1018</v>
      </c>
      <c r="DI143" s="120"/>
      <c r="DJ143" s="120"/>
      <c r="DK143" s="120"/>
      <c r="DL143" s="120"/>
      <c r="DM143" s="120"/>
      <c r="DN143" s="209"/>
      <c r="DO143" s="205"/>
      <c r="DP143" s="205">
        <f t="shared" si="1432"/>
        <v>0</v>
      </c>
      <c r="DQ143" s="120"/>
      <c r="DR143" s="120"/>
      <c r="DS143" s="120"/>
      <c r="DT143" s="120"/>
      <c r="DU143" s="120"/>
      <c r="DV143" s="209"/>
      <c r="DW143" s="205"/>
      <c r="DX143" s="205">
        <f t="shared" si="1433"/>
        <v>0</v>
      </c>
      <c r="DY143" s="120"/>
      <c r="DZ143" s="120"/>
      <c r="EA143" s="120"/>
      <c r="EB143" s="120"/>
      <c r="EC143" s="120"/>
      <c r="ED143" s="209"/>
      <c r="EE143" s="205"/>
      <c r="EF143" s="205">
        <f t="shared" si="1434"/>
        <v>0</v>
      </c>
      <c r="EG143" s="120"/>
      <c r="EH143" s="120"/>
      <c r="EI143" s="120"/>
      <c r="EJ143" s="205"/>
      <c r="EK143" s="205"/>
      <c r="EL143" s="209"/>
      <c r="EM143" s="205"/>
      <c r="EN143" s="205">
        <f t="shared" si="1435"/>
        <v>0</v>
      </c>
      <c r="EO143" s="205">
        <f t="shared" si="1429"/>
        <v>0</v>
      </c>
      <c r="EP143" s="250">
        <v>2036</v>
      </c>
      <c r="EQ143" s="120"/>
      <c r="ER143" s="120"/>
      <c r="ES143" s="120"/>
      <c r="ET143" s="120"/>
      <c r="EU143" s="209"/>
      <c r="EV143" s="205"/>
      <c r="EW143" s="205">
        <f t="shared" si="1436"/>
        <v>2036</v>
      </c>
      <c r="EX143" s="120"/>
      <c r="EY143" s="120"/>
      <c r="EZ143" s="120"/>
      <c r="FA143" s="120"/>
      <c r="FB143" s="120"/>
      <c r="FC143" s="209"/>
      <c r="FD143" s="205"/>
      <c r="FE143" s="205">
        <f t="shared" si="1437"/>
        <v>0</v>
      </c>
      <c r="FF143" s="120"/>
      <c r="FG143" s="120"/>
      <c r="FH143" s="120"/>
      <c r="FI143" s="120"/>
      <c r="FJ143" s="120"/>
      <c r="FK143" s="209"/>
      <c r="FL143" s="205"/>
      <c r="FM143" s="205">
        <f t="shared" si="1438"/>
        <v>0</v>
      </c>
      <c r="FN143" s="120"/>
      <c r="FO143" s="120"/>
      <c r="FP143" s="120"/>
      <c r="FQ143" s="120"/>
      <c r="FR143" s="205"/>
      <c r="FS143" s="209"/>
      <c r="FT143" s="205"/>
      <c r="FU143" s="205">
        <f t="shared" si="1439"/>
        <v>0</v>
      </c>
      <c r="FV143" s="205">
        <f t="shared" si="1430"/>
        <v>2036</v>
      </c>
      <c r="FW143" s="120"/>
      <c r="FX143" s="120"/>
      <c r="FY143" s="120"/>
      <c r="FZ143" s="250">
        <v>1636</v>
      </c>
      <c r="GA143" s="120"/>
      <c r="GB143" s="209"/>
      <c r="GC143" s="205"/>
      <c r="GD143" s="205">
        <f t="shared" si="1440"/>
        <v>1636</v>
      </c>
      <c r="GE143" s="120"/>
      <c r="GF143" s="120"/>
      <c r="GG143" s="120"/>
      <c r="GH143" s="120"/>
      <c r="GI143" s="120"/>
      <c r="GJ143" s="209"/>
      <c r="GK143" s="205"/>
      <c r="GL143" s="205">
        <f t="shared" si="1441"/>
        <v>0</v>
      </c>
      <c r="GM143" s="120"/>
      <c r="GN143" s="120"/>
      <c r="GO143" s="120"/>
      <c r="GP143" s="120"/>
      <c r="GQ143" s="120"/>
      <c r="GR143" s="209"/>
      <c r="GS143" s="205"/>
      <c r="GT143" s="205">
        <f t="shared" si="1442"/>
        <v>0</v>
      </c>
      <c r="GU143" s="120"/>
      <c r="GV143" s="120"/>
      <c r="GW143" s="120"/>
      <c r="GX143" s="120"/>
      <c r="GY143" s="120"/>
      <c r="GZ143" s="209"/>
      <c r="HA143" s="205"/>
      <c r="HB143" s="205">
        <f t="shared" si="1443"/>
        <v>0</v>
      </c>
      <c r="HC143" s="120"/>
      <c r="HD143" s="120"/>
      <c r="HE143" s="120"/>
      <c r="HF143" s="120"/>
      <c r="HG143" s="120"/>
      <c r="HH143" s="209"/>
      <c r="HI143" s="205"/>
      <c r="HJ143" s="205">
        <f t="shared" si="1444"/>
        <v>0</v>
      </c>
      <c r="HK143" s="205">
        <f t="shared" si="1431"/>
        <v>1636</v>
      </c>
      <c r="HL143" s="124"/>
      <c r="HM143" s="250">
        <v>1527</v>
      </c>
      <c r="HN143" s="120"/>
      <c r="HO143" s="120"/>
      <c r="HP143" s="120"/>
      <c r="HQ143" s="205"/>
      <c r="HR143" s="205"/>
      <c r="HS143" s="205">
        <f t="shared" si="1445"/>
        <v>1527</v>
      </c>
      <c r="HT143" s="120"/>
      <c r="HU143" s="120"/>
      <c r="HV143" s="120"/>
      <c r="HW143" s="120"/>
      <c r="HX143" s="120"/>
      <c r="HY143" s="205"/>
      <c r="HZ143" s="205"/>
      <c r="IA143" s="205">
        <f t="shared" si="1446"/>
        <v>0</v>
      </c>
      <c r="IB143" s="120"/>
      <c r="IC143" s="120"/>
      <c r="ID143" s="120"/>
      <c r="IE143" s="120"/>
      <c r="IF143" s="120"/>
      <c r="IG143" s="205"/>
      <c r="IH143" s="205"/>
      <c r="II143" s="205">
        <f t="shared" si="1447"/>
        <v>0</v>
      </c>
      <c r="IJ143" s="120"/>
      <c r="IK143" s="120"/>
      <c r="IL143" s="120"/>
      <c r="IM143" s="120"/>
      <c r="IN143" s="120"/>
      <c r="IO143" s="205"/>
      <c r="IP143" s="205"/>
      <c r="IQ143" s="205">
        <f t="shared" si="1448"/>
        <v>0</v>
      </c>
      <c r="IR143" s="205">
        <f t="shared" si="1449"/>
        <v>1527</v>
      </c>
      <c r="IS143" s="120"/>
      <c r="IT143" s="124">
        <v>1527</v>
      </c>
      <c r="IU143" s="120"/>
      <c r="IV143" s="120"/>
      <c r="IW143" s="120"/>
      <c r="IX143" s="205"/>
      <c r="IY143" s="205"/>
      <c r="IZ143" s="205">
        <f t="shared" si="1450"/>
        <v>1527</v>
      </c>
      <c r="JA143" s="120"/>
      <c r="JB143" s="120"/>
      <c r="JC143" s="120"/>
      <c r="JD143" s="120"/>
      <c r="JE143" s="120"/>
      <c r="JF143" s="205"/>
      <c r="JG143" s="205"/>
      <c r="JH143" s="205">
        <f t="shared" si="1451"/>
        <v>0</v>
      </c>
      <c r="JI143" s="120"/>
      <c r="JJ143" s="120"/>
      <c r="JK143" s="120"/>
      <c r="JL143" s="120"/>
      <c r="JM143" s="120"/>
      <c r="JN143" s="205"/>
      <c r="JO143" s="205"/>
      <c r="JP143" s="205">
        <f t="shared" si="1452"/>
        <v>0</v>
      </c>
      <c r="JQ143" s="120"/>
      <c r="JR143" s="124">
        <v>2036</v>
      </c>
      <c r="JS143" s="120"/>
      <c r="JT143" s="120"/>
      <c r="JU143" s="120"/>
      <c r="JV143" s="205"/>
      <c r="JW143" s="205"/>
      <c r="JX143" s="205">
        <f t="shared" si="1453"/>
        <v>2036</v>
      </c>
      <c r="JY143" s="205">
        <f t="shared" si="1454"/>
        <v>3563</v>
      </c>
      <c r="JZ143" s="120"/>
      <c r="KA143" s="120"/>
      <c r="KB143" s="120"/>
      <c r="KC143" s="120"/>
      <c r="KD143" s="120"/>
      <c r="KE143" s="205"/>
      <c r="KF143" s="205"/>
      <c r="KG143" s="205">
        <f t="shared" si="1455"/>
        <v>0</v>
      </c>
      <c r="KH143" s="206">
        <v>2036</v>
      </c>
      <c r="KI143" s="120"/>
      <c r="KJ143" s="120"/>
      <c r="KK143" s="120"/>
      <c r="KL143" s="120"/>
      <c r="KM143" s="205"/>
      <c r="KN143" s="205"/>
      <c r="KO143" s="205">
        <f t="shared" si="1456"/>
        <v>2036</v>
      </c>
      <c r="KP143" s="120"/>
      <c r="KQ143" s="120"/>
      <c r="KR143" s="120"/>
      <c r="KS143" s="120"/>
      <c r="KT143" s="120"/>
      <c r="KU143" s="205"/>
      <c r="KV143" s="205"/>
      <c r="KW143" s="205">
        <f t="shared" si="1457"/>
        <v>0</v>
      </c>
      <c r="KX143" s="120"/>
      <c r="KY143" s="120"/>
      <c r="KZ143" s="120"/>
      <c r="LA143" s="120"/>
      <c r="LB143" s="120"/>
      <c r="LC143" s="205"/>
      <c r="LD143" s="205"/>
      <c r="LE143" s="205">
        <f t="shared" si="1458"/>
        <v>0</v>
      </c>
      <c r="LF143" s="205"/>
      <c r="LG143" s="120"/>
      <c r="LH143" s="120"/>
      <c r="LI143" s="120"/>
      <c r="LJ143" s="120"/>
      <c r="LK143" s="205"/>
      <c r="LL143" s="205"/>
      <c r="LM143" s="205">
        <f t="shared" si="1459"/>
        <v>0</v>
      </c>
      <c r="LN143" s="205">
        <f t="shared" si="1460"/>
        <v>2036</v>
      </c>
      <c r="LO143" s="205"/>
      <c r="LP143" s="120"/>
      <c r="LQ143" s="120"/>
      <c r="LR143" s="120"/>
      <c r="LS143" s="205"/>
      <c r="LT143" s="205"/>
      <c r="LU143" s="205"/>
      <c r="LV143" s="205">
        <f t="shared" si="1461"/>
        <v>0</v>
      </c>
      <c r="LW143" s="120"/>
      <c r="LX143" s="120"/>
      <c r="LY143" s="120"/>
      <c r="LZ143" s="120"/>
      <c r="MA143" s="217">
        <v>1018</v>
      </c>
      <c r="MB143" s="205"/>
      <c r="MC143" s="205"/>
      <c r="MD143" s="205">
        <f t="shared" si="1462"/>
        <v>1018</v>
      </c>
      <c r="ME143" s="120"/>
      <c r="MF143" s="120"/>
      <c r="MG143" s="120"/>
      <c r="MH143" s="120"/>
      <c r="MI143" s="205"/>
      <c r="MJ143" s="205"/>
      <c r="MK143" s="205"/>
      <c r="ML143" s="205">
        <f t="shared" si="1463"/>
        <v>0</v>
      </c>
      <c r="MM143" s="120"/>
      <c r="MN143" s="120"/>
      <c r="MO143" s="120"/>
      <c r="MP143" s="120"/>
      <c r="MQ143" s="120"/>
      <c r="MR143" s="205"/>
      <c r="MS143" s="205"/>
      <c r="MT143" s="205">
        <f t="shared" si="1464"/>
        <v>0</v>
      </c>
      <c r="MU143" s="205">
        <f t="shared" si="1465"/>
        <v>1018</v>
      </c>
      <c r="MV143" s="120"/>
      <c r="MW143" s="120"/>
      <c r="MX143" s="120"/>
      <c r="MY143" s="120"/>
      <c r="MZ143" s="120"/>
      <c r="NA143" s="205"/>
      <c r="NB143" s="205"/>
      <c r="NC143" s="205">
        <f t="shared" si="1466"/>
        <v>0</v>
      </c>
      <c r="ND143" s="120"/>
      <c r="NE143" s="120"/>
      <c r="NF143" s="120"/>
      <c r="NG143" s="120"/>
      <c r="NH143" s="120"/>
      <c r="NI143" s="205"/>
      <c r="NJ143" s="205"/>
      <c r="NK143" s="205">
        <f t="shared" si="1467"/>
        <v>0</v>
      </c>
      <c r="NL143" s="124">
        <v>2036</v>
      </c>
      <c r="NM143" s="120"/>
      <c r="NN143" s="120"/>
      <c r="NO143" s="120"/>
      <c r="NP143" s="217">
        <v>2036</v>
      </c>
      <c r="NQ143" s="205"/>
      <c r="NR143" s="205"/>
      <c r="NS143" s="205">
        <f t="shared" si="1468"/>
        <v>4072</v>
      </c>
      <c r="NT143" s="120"/>
      <c r="NU143" s="123">
        <v>2036</v>
      </c>
      <c r="NV143" s="120"/>
      <c r="NW143" s="120"/>
      <c r="NX143" s="120"/>
      <c r="NY143" s="205"/>
      <c r="NZ143" s="205"/>
      <c r="OA143" s="205">
        <f t="shared" si="1469"/>
        <v>2036</v>
      </c>
      <c r="OB143" s="205">
        <f t="shared" si="1470"/>
        <v>6108</v>
      </c>
      <c r="OC143" s="120"/>
      <c r="OD143" s="120"/>
      <c r="OE143" s="120"/>
      <c r="OF143" s="120"/>
      <c r="OG143" s="120"/>
      <c r="OH143" s="205"/>
      <c r="OI143" s="205"/>
      <c r="OJ143" s="205">
        <f t="shared" si="1471"/>
        <v>0</v>
      </c>
      <c r="OK143" s="120"/>
      <c r="OL143" s="120"/>
      <c r="OM143" s="120"/>
      <c r="ON143" s="120"/>
      <c r="OO143" s="120"/>
      <c r="OP143" s="205"/>
      <c r="OQ143" s="205"/>
      <c r="OR143" s="205">
        <f t="shared" si="1472"/>
        <v>0</v>
      </c>
      <c r="OS143" s="120"/>
      <c r="OT143" s="120"/>
      <c r="OU143" s="120"/>
      <c r="OV143" s="120"/>
      <c r="OW143" s="120"/>
      <c r="OX143" s="205"/>
      <c r="OY143" s="205"/>
      <c r="OZ143" s="205">
        <f t="shared" si="1473"/>
        <v>0</v>
      </c>
      <c r="PA143" s="120"/>
      <c r="PB143" s="120"/>
      <c r="PC143" s="120"/>
      <c r="PD143" s="205"/>
      <c r="PE143" s="217"/>
      <c r="PF143" s="205"/>
      <c r="PG143" s="205"/>
      <c r="PH143" s="205">
        <f t="shared" si="1474"/>
        <v>0</v>
      </c>
      <c r="PI143" s="120"/>
      <c r="PJ143" s="120"/>
      <c r="PK143" s="120"/>
      <c r="PL143" s="205"/>
      <c r="PM143" s="217"/>
      <c r="PN143" s="205"/>
      <c r="PO143" s="205"/>
      <c r="PP143" s="205">
        <f t="shared" si="1475"/>
        <v>0</v>
      </c>
      <c r="PQ143" s="205">
        <f t="shared" si="1476"/>
        <v>0</v>
      </c>
      <c r="PR143" s="206">
        <v>2036</v>
      </c>
      <c r="PS143" s="120"/>
      <c r="PT143" s="120"/>
      <c r="PU143" s="120"/>
      <c r="PV143" s="207"/>
      <c r="PW143" s="272"/>
      <c r="PX143" s="272"/>
      <c r="PY143" s="205">
        <f t="shared" si="1477"/>
        <v>2036</v>
      </c>
      <c r="PZ143" s="207"/>
      <c r="QA143" s="207" t="s">
        <v>216</v>
      </c>
      <c r="QB143" s="207"/>
      <c r="QC143" s="207"/>
      <c r="QD143" s="207"/>
      <c r="QE143" s="272"/>
      <c r="QF143" s="272"/>
      <c r="QG143" s="205">
        <f t="shared" si="1478"/>
        <v>0</v>
      </c>
      <c r="QH143" s="207"/>
      <c r="QI143" s="207"/>
      <c r="QJ143" s="294"/>
      <c r="QK143" s="207"/>
      <c r="QL143" s="207"/>
      <c r="QM143" s="272"/>
      <c r="QN143" s="272"/>
      <c r="QO143" s="205">
        <f t="shared" si="1479"/>
        <v>0</v>
      </c>
      <c r="QP143" s="207"/>
      <c r="QQ143" s="207"/>
      <c r="QR143" s="207"/>
      <c r="QS143" s="207"/>
      <c r="QT143" s="207"/>
      <c r="QU143" s="272"/>
      <c r="QV143" s="272"/>
      <c r="QW143" s="205">
        <f t="shared" si="1480"/>
        <v>0</v>
      </c>
      <c r="QX143" s="205">
        <f t="shared" si="1481"/>
        <v>2036</v>
      </c>
      <c r="QY143" s="207"/>
      <c r="QZ143" s="207"/>
      <c r="RA143" s="123">
        <v>2036</v>
      </c>
      <c r="RB143" s="120"/>
      <c r="RC143" s="120"/>
      <c r="RD143" s="272"/>
      <c r="RE143" s="272"/>
      <c r="RF143" s="205">
        <f t="shared" si="1482"/>
        <v>2036</v>
      </c>
      <c r="RG143" s="207"/>
      <c r="RH143" s="207"/>
      <c r="RI143" s="207"/>
      <c r="RJ143" s="207"/>
      <c r="RK143" s="207"/>
      <c r="RL143" s="272"/>
      <c r="RM143" s="272"/>
      <c r="RN143" s="205">
        <f t="shared" si="1483"/>
        <v>0</v>
      </c>
      <c r="RO143" s="272"/>
      <c r="RP143" s="272"/>
      <c r="RQ143" s="272"/>
      <c r="RR143" s="272"/>
      <c r="RS143" s="272"/>
      <c r="RT143" s="272"/>
      <c r="RU143" s="272"/>
      <c r="RV143" s="205">
        <f t="shared" si="1484"/>
        <v>0</v>
      </c>
      <c r="RW143" s="207"/>
      <c r="RX143" s="207"/>
      <c r="RY143" s="207"/>
      <c r="RZ143" s="207"/>
      <c r="SA143" s="272"/>
      <c r="SB143" s="272"/>
      <c r="SC143" s="272"/>
      <c r="SD143" s="205">
        <f t="shared" si="1485"/>
        <v>0</v>
      </c>
      <c r="SE143" s="205">
        <f t="shared" si="1486"/>
        <v>2036</v>
      </c>
      <c r="SF143" s="207"/>
      <c r="SG143" s="207"/>
      <c r="SH143" s="207"/>
      <c r="SI143" s="207"/>
      <c r="SJ143" s="207"/>
      <c r="SK143" s="272"/>
      <c r="SL143" s="272"/>
      <c r="SM143" s="205">
        <f t="shared" si="1487"/>
        <v>0</v>
      </c>
      <c r="SN143" s="207"/>
      <c r="SO143" s="207"/>
      <c r="SP143" s="207"/>
      <c r="SQ143" s="207"/>
      <c r="SR143" s="207"/>
      <c r="SS143" s="272"/>
      <c r="ST143" s="272"/>
      <c r="SU143" s="205">
        <f t="shared" si="1488"/>
        <v>0</v>
      </c>
      <c r="SV143" s="207"/>
      <c r="SW143" s="120"/>
      <c r="SX143" s="120"/>
      <c r="SY143" s="120"/>
      <c r="SZ143" s="207"/>
      <c r="TA143" s="272"/>
      <c r="TB143" s="272"/>
      <c r="TC143" s="205">
        <f t="shared" si="1489"/>
        <v>0</v>
      </c>
      <c r="TD143" s="195">
        <v>2545</v>
      </c>
      <c r="TE143" s="120"/>
      <c r="TF143" s="120"/>
      <c r="TG143" s="207"/>
      <c r="TH143" s="207"/>
      <c r="TI143" s="272"/>
      <c r="TJ143" s="272"/>
      <c r="TK143" s="205">
        <f t="shared" si="1490"/>
        <v>2545</v>
      </c>
      <c r="TL143" s="207"/>
      <c r="TM143" s="123">
        <v>1018</v>
      </c>
      <c r="TN143" s="207"/>
      <c r="TO143" s="207"/>
      <c r="TP143" s="272"/>
      <c r="TQ143" s="272"/>
      <c r="TR143" s="272"/>
      <c r="TS143" s="205">
        <f t="shared" si="1491"/>
        <v>1018</v>
      </c>
      <c r="TT143" s="205">
        <f t="shared" si="1492"/>
        <v>3563</v>
      </c>
      <c r="TU143" s="272"/>
      <c r="TV143" s="207"/>
      <c r="TW143" s="207"/>
      <c r="TX143" s="207"/>
      <c r="TY143" s="207"/>
      <c r="TZ143" s="272"/>
      <c r="UA143" s="272"/>
      <c r="UB143" s="205">
        <f t="shared" si="1493"/>
        <v>0</v>
      </c>
      <c r="UC143" s="207"/>
      <c r="UD143" s="120"/>
      <c r="UE143" s="120"/>
      <c r="UF143" s="120"/>
      <c r="UG143" s="207"/>
      <c r="UH143" s="272"/>
      <c r="UI143" s="272"/>
      <c r="UJ143" s="205">
        <f t="shared" si="1494"/>
        <v>0</v>
      </c>
      <c r="UK143" s="207"/>
      <c r="UL143" s="207"/>
      <c r="UM143" s="207"/>
      <c r="UN143" s="201">
        <v>2036</v>
      </c>
      <c r="UO143" s="207"/>
      <c r="UP143" s="272"/>
      <c r="UQ143" s="272"/>
      <c r="UR143" s="205">
        <f t="shared" si="1495"/>
        <v>2036</v>
      </c>
      <c r="US143" s="207"/>
      <c r="UT143" s="207"/>
      <c r="UU143" s="207"/>
      <c r="UV143" s="207"/>
      <c r="UW143" s="272"/>
      <c r="UX143" s="272"/>
      <c r="UY143" s="272"/>
      <c r="UZ143" s="205">
        <f t="shared" si="1496"/>
        <v>0</v>
      </c>
      <c r="VA143" s="205">
        <f t="shared" si="1497"/>
        <v>2036</v>
      </c>
      <c r="VB143" s="207"/>
      <c r="VC143" s="207"/>
      <c r="VD143" s="120"/>
      <c r="VE143" s="120"/>
      <c r="VF143" s="120"/>
      <c r="VG143" s="272"/>
      <c r="VH143" s="272"/>
      <c r="VI143" s="205">
        <f t="shared" si="1498"/>
        <v>0</v>
      </c>
      <c r="VJ143" s="207"/>
      <c r="VK143" s="207"/>
      <c r="VL143" s="207"/>
      <c r="VM143" s="207"/>
      <c r="VN143" s="207"/>
      <c r="VO143" s="272"/>
      <c r="VP143" s="272"/>
      <c r="VQ143" s="205">
        <f t="shared" si="1499"/>
        <v>0</v>
      </c>
      <c r="VR143" s="120"/>
      <c r="VS143" s="120"/>
      <c r="VT143" s="120"/>
      <c r="VU143" s="207"/>
      <c r="VV143" s="207"/>
      <c r="VW143" s="272"/>
      <c r="VX143" s="272"/>
      <c r="VY143" s="205">
        <f t="shared" si="1500"/>
        <v>0</v>
      </c>
      <c r="VZ143" s="207"/>
      <c r="WA143" s="195">
        <v>2036</v>
      </c>
      <c r="WB143" s="120"/>
      <c r="WC143" s="120"/>
      <c r="WD143" s="207"/>
      <c r="WE143" s="272"/>
      <c r="WF143" s="272"/>
      <c r="WG143" s="205">
        <f>SUM(WA143:WF143)</f>
        <v>2036</v>
      </c>
      <c r="WH143" s="205">
        <f t="shared" si="1502"/>
        <v>2036</v>
      </c>
      <c r="WI143" s="207"/>
      <c r="WJ143" s="207"/>
      <c r="WK143" s="207"/>
      <c r="WL143" s="207"/>
      <c r="WM143" s="207"/>
      <c r="WN143" s="272"/>
      <c r="WO143" s="272"/>
      <c r="WP143" s="205">
        <f t="shared" si="1503"/>
        <v>0</v>
      </c>
      <c r="WQ143" s="207"/>
      <c r="WR143" s="207"/>
      <c r="WS143" s="207"/>
      <c r="WT143" s="207"/>
      <c r="WU143" s="207"/>
      <c r="WV143" s="272"/>
      <c r="WW143" s="272"/>
      <c r="WX143" s="205">
        <f t="shared" si="1504"/>
        <v>0</v>
      </c>
      <c r="WY143" s="207"/>
      <c r="WZ143" s="207"/>
      <c r="XA143" s="207"/>
      <c r="XB143" s="207"/>
      <c r="XC143" s="272"/>
      <c r="XD143" s="272"/>
      <c r="XE143" s="272"/>
      <c r="XF143" s="205">
        <f t="shared" si="1505"/>
        <v>0</v>
      </c>
      <c r="XG143" s="207"/>
      <c r="XH143" s="207"/>
      <c r="XI143" s="207"/>
      <c r="XJ143" s="207"/>
      <c r="XK143" s="207"/>
      <c r="XL143" s="272"/>
      <c r="XM143" s="272"/>
      <c r="XN143" s="205">
        <f t="shared" si="1506"/>
        <v>0</v>
      </c>
      <c r="XO143" s="120">
        <v>2036</v>
      </c>
      <c r="XP143" s="120"/>
      <c r="XQ143" s="120"/>
      <c r="XR143" s="207"/>
      <c r="XS143" s="207"/>
      <c r="XT143" s="272"/>
      <c r="XU143" s="272"/>
      <c r="XV143" s="205">
        <f t="shared" si="1507"/>
        <v>2036</v>
      </c>
      <c r="XW143" s="205">
        <f t="shared" si="1508"/>
        <v>2036</v>
      </c>
      <c r="XX143" s="207"/>
      <c r="XY143" s="207"/>
      <c r="XZ143" s="207"/>
      <c r="YA143" s="207"/>
      <c r="YB143" s="207"/>
      <c r="YC143" s="272"/>
      <c r="YD143" s="272"/>
      <c r="YE143" s="205">
        <f t="shared" si="1509"/>
        <v>0</v>
      </c>
      <c r="YF143" s="207"/>
      <c r="YG143" s="207"/>
      <c r="YH143" s="207"/>
      <c r="YI143" s="207"/>
      <c r="YJ143" s="207"/>
      <c r="YK143" s="272"/>
      <c r="YL143" s="272"/>
      <c r="YM143" s="205">
        <f t="shared" si="1510"/>
        <v>0</v>
      </c>
      <c r="YN143" s="207"/>
      <c r="YO143" s="207"/>
      <c r="YP143" s="207"/>
      <c r="YQ143" s="207"/>
      <c r="YR143" s="207"/>
      <c r="YS143" s="272"/>
      <c r="YT143" s="272"/>
      <c r="YU143" s="205">
        <f t="shared" si="1511"/>
        <v>0</v>
      </c>
      <c r="YV143" s="207"/>
      <c r="YW143" s="207"/>
      <c r="YX143" s="207"/>
      <c r="YY143" s="207"/>
      <c r="YZ143" s="207"/>
      <c r="ZA143" s="272"/>
      <c r="ZB143" s="272"/>
      <c r="ZC143" s="205">
        <f t="shared" si="1512"/>
        <v>0</v>
      </c>
      <c r="ZD143" s="205">
        <f t="shared" si="1513"/>
        <v>2036</v>
      </c>
      <c r="ZE143" s="207"/>
      <c r="ZF143" s="207"/>
      <c r="ZG143" s="207"/>
      <c r="ZH143" s="207"/>
      <c r="ZI143" s="207"/>
      <c r="ZJ143" s="272"/>
      <c r="ZK143" s="272"/>
      <c r="ZL143" s="205">
        <f t="shared" si="1514"/>
        <v>0</v>
      </c>
      <c r="ZM143" s="207"/>
      <c r="ZN143" s="207"/>
      <c r="ZO143" s="207"/>
      <c r="ZP143" s="207"/>
      <c r="ZQ143" s="207"/>
      <c r="ZR143" s="272"/>
      <c r="ZS143" s="272"/>
      <c r="ZT143" s="205">
        <f t="shared" si="1515"/>
        <v>0</v>
      </c>
      <c r="ZU143" s="207"/>
      <c r="ZV143" s="207"/>
      <c r="ZW143" s="207"/>
      <c r="ZX143" s="207"/>
      <c r="ZY143" s="207"/>
      <c r="ZZ143" s="272"/>
      <c r="AAA143" s="272"/>
      <c r="AAB143" s="205">
        <f t="shared" si="1516"/>
        <v>0</v>
      </c>
      <c r="AAC143" s="207"/>
      <c r="AAD143" s="207"/>
      <c r="AAE143" s="207"/>
      <c r="AAF143" s="207"/>
      <c r="AAG143" s="207"/>
      <c r="AAH143" s="272"/>
      <c r="AAI143" s="272"/>
      <c r="AAJ143" s="205">
        <f t="shared" si="1517"/>
        <v>0</v>
      </c>
      <c r="AAK143" s="207"/>
      <c r="AAL143" s="207"/>
      <c r="AAM143" s="207"/>
      <c r="AAN143" s="207"/>
      <c r="AAO143" s="207"/>
      <c r="AAP143" s="272"/>
      <c r="AAQ143" s="272"/>
      <c r="AAR143" s="205">
        <f t="shared" si="1518"/>
        <v>0</v>
      </c>
      <c r="AAS143" s="205">
        <f t="shared" si="1519"/>
        <v>0</v>
      </c>
    </row>
    <row r="144" spans="1:721" ht="69.95" customHeight="1">
      <c r="B144" s="130" t="s">
        <v>493</v>
      </c>
      <c r="C144" s="337"/>
      <c r="D144" s="173" t="s">
        <v>303</v>
      </c>
      <c r="E144" s="130" t="s">
        <v>4</v>
      </c>
      <c r="F144" s="120"/>
      <c r="G144" s="120"/>
      <c r="H144" s="120"/>
      <c r="I144" s="120"/>
      <c r="J144" s="201">
        <v>2036</v>
      </c>
      <c r="K144" s="209"/>
      <c r="L144" s="205"/>
      <c r="M144" s="205">
        <f t="shared" si="1520"/>
        <v>2036</v>
      </c>
      <c r="N144" s="120"/>
      <c r="O144" s="120"/>
      <c r="P144" s="120"/>
      <c r="Q144" s="120"/>
      <c r="R144" s="120"/>
      <c r="S144" s="209"/>
      <c r="T144" s="205"/>
      <c r="U144" s="205">
        <f t="shared" si="1521"/>
        <v>0</v>
      </c>
      <c r="V144" s="120"/>
      <c r="W144" s="120"/>
      <c r="X144" s="120"/>
      <c r="Y144" s="218">
        <v>509</v>
      </c>
      <c r="Z144" s="120"/>
      <c r="AA144" s="209"/>
      <c r="AB144" s="205"/>
      <c r="AC144" s="205">
        <f t="shared" si="1522"/>
        <v>509</v>
      </c>
      <c r="AD144" s="205"/>
      <c r="AE144" s="205"/>
      <c r="AF144" s="205"/>
      <c r="AG144" s="205"/>
      <c r="AH144" s="205"/>
      <c r="AI144" s="209"/>
      <c r="AJ144" s="205"/>
      <c r="AK144" s="205">
        <f t="shared" si="1523"/>
        <v>0</v>
      </c>
      <c r="AL144" s="205" t="e">
        <f>SUM(#REF!,M144,U144,AC144,AD144:AH144)</f>
        <v>#REF!</v>
      </c>
      <c r="AM144" s="120"/>
      <c r="AN144" s="120"/>
      <c r="AO144" s="120"/>
      <c r="AP144" s="120"/>
      <c r="AQ144" s="120"/>
      <c r="AR144" s="209"/>
      <c r="AS144" s="205"/>
      <c r="AT144" s="205">
        <f t="shared" si="1524"/>
        <v>0</v>
      </c>
      <c r="AU144" s="120"/>
      <c r="AV144" s="120"/>
      <c r="AW144" s="120"/>
      <c r="AX144" s="120"/>
      <c r="AY144" s="120"/>
      <c r="AZ144" s="209"/>
      <c r="BA144" s="205"/>
      <c r="BB144" s="205">
        <f t="shared" si="1525"/>
        <v>0</v>
      </c>
      <c r="BC144" s="120"/>
      <c r="BD144" s="120"/>
      <c r="BE144" s="120"/>
      <c r="BF144" s="120"/>
      <c r="BG144" s="120"/>
      <c r="BH144" s="209"/>
      <c r="BI144" s="205"/>
      <c r="BJ144" s="205">
        <f t="shared" si="1526"/>
        <v>0</v>
      </c>
      <c r="BK144" s="120"/>
      <c r="BL144" s="120"/>
      <c r="BM144" s="120"/>
      <c r="BN144" s="217">
        <v>1527</v>
      </c>
      <c r="BO144" s="205"/>
      <c r="BP144" s="209"/>
      <c r="BQ144" s="205"/>
      <c r="BR144" s="205">
        <f t="shared" si="1527"/>
        <v>1527</v>
      </c>
      <c r="BS144" s="205">
        <f t="shared" si="1427"/>
        <v>1527</v>
      </c>
      <c r="BT144" s="120"/>
      <c r="BU144" s="120"/>
      <c r="BV144" s="120"/>
      <c r="BW144" s="120"/>
      <c r="BX144" s="120"/>
      <c r="BY144" s="209"/>
      <c r="BZ144" s="205"/>
      <c r="CA144" s="205">
        <f t="shared" si="1528"/>
        <v>0</v>
      </c>
      <c r="CB144" s="120"/>
      <c r="CC144" s="120"/>
      <c r="CD144" s="120"/>
      <c r="CE144" s="120"/>
      <c r="CF144" s="120"/>
      <c r="CG144" s="209"/>
      <c r="CH144" s="205"/>
      <c r="CI144" s="205">
        <f t="shared" si="1529"/>
        <v>0</v>
      </c>
      <c r="CJ144" s="120"/>
      <c r="CK144" s="120"/>
      <c r="CL144" s="120"/>
      <c r="CM144" s="120"/>
      <c r="CN144" s="120"/>
      <c r="CO144" s="209"/>
      <c r="CP144" s="205"/>
      <c r="CQ144" s="205">
        <f t="shared" si="1530"/>
        <v>0</v>
      </c>
      <c r="CR144" s="120"/>
      <c r="CS144" s="120"/>
      <c r="CT144" s="250">
        <v>1018</v>
      </c>
      <c r="CU144" s="120"/>
      <c r="CV144" s="120"/>
      <c r="CW144" s="209"/>
      <c r="CX144" s="205"/>
      <c r="CY144" s="205">
        <f t="shared" si="1531"/>
        <v>1018</v>
      </c>
      <c r="CZ144" s="120"/>
      <c r="DA144" s="120"/>
      <c r="DB144" s="120"/>
      <c r="DC144" s="205"/>
      <c r="DD144" s="205"/>
      <c r="DE144" s="209"/>
      <c r="DF144" s="205"/>
      <c r="DG144" s="205">
        <f t="shared" si="1532"/>
        <v>0</v>
      </c>
      <c r="DH144" s="205">
        <f t="shared" si="1428"/>
        <v>1018</v>
      </c>
      <c r="DI144" s="120"/>
      <c r="DJ144" s="120"/>
      <c r="DK144" s="120"/>
      <c r="DL144" s="120"/>
      <c r="DM144" s="120"/>
      <c r="DN144" s="209"/>
      <c r="DO144" s="205"/>
      <c r="DP144" s="205">
        <f t="shared" si="1432"/>
        <v>0</v>
      </c>
      <c r="DQ144" s="120"/>
      <c r="DR144" s="120"/>
      <c r="DS144" s="120"/>
      <c r="DT144" s="120"/>
      <c r="DU144" s="120"/>
      <c r="DV144" s="209"/>
      <c r="DW144" s="205"/>
      <c r="DX144" s="205">
        <f t="shared" si="1433"/>
        <v>0</v>
      </c>
      <c r="DY144" s="207"/>
      <c r="DZ144" s="207"/>
      <c r="EA144" s="207"/>
      <c r="EB144" s="120"/>
      <c r="EC144" s="120"/>
      <c r="ED144" s="209"/>
      <c r="EE144" s="205"/>
      <c r="EF144" s="205">
        <f>SUM(DZ144:EE144)</f>
        <v>0</v>
      </c>
      <c r="EG144" s="120"/>
      <c r="EH144" s="120"/>
      <c r="EI144" s="120"/>
      <c r="EJ144" s="205"/>
      <c r="EK144" s="205"/>
      <c r="EL144" s="209"/>
      <c r="EM144" s="205"/>
      <c r="EN144" s="205">
        <f t="shared" si="1435"/>
        <v>0</v>
      </c>
      <c r="EO144" s="205">
        <f t="shared" si="1429"/>
        <v>0</v>
      </c>
      <c r="EP144" s="120"/>
      <c r="EQ144" s="120"/>
      <c r="ER144" s="250">
        <v>2036</v>
      </c>
      <c r="ES144" s="120"/>
      <c r="ET144" s="120"/>
      <c r="EU144" s="209"/>
      <c r="EV144" s="205"/>
      <c r="EW144" s="205">
        <f t="shared" si="1436"/>
        <v>2036</v>
      </c>
      <c r="EX144" s="120"/>
      <c r="EY144" s="120"/>
      <c r="EZ144" s="120"/>
      <c r="FA144" s="120"/>
      <c r="FB144" s="120"/>
      <c r="FC144" s="209"/>
      <c r="FD144" s="205"/>
      <c r="FE144" s="205">
        <f t="shared" si="1437"/>
        <v>0</v>
      </c>
      <c r="FF144" s="120"/>
      <c r="FG144" s="120"/>
      <c r="FH144" s="120"/>
      <c r="FI144" s="120"/>
      <c r="FJ144" s="120"/>
      <c r="FK144" s="209"/>
      <c r="FL144" s="205"/>
      <c r="FM144" s="205">
        <f t="shared" si="1438"/>
        <v>0</v>
      </c>
      <c r="FN144" s="120"/>
      <c r="FO144" s="120"/>
      <c r="FP144" s="120"/>
      <c r="FQ144" s="120"/>
      <c r="FR144" s="205"/>
      <c r="FS144" s="209"/>
      <c r="FT144" s="205"/>
      <c r="FU144" s="205">
        <f t="shared" si="1439"/>
        <v>0</v>
      </c>
      <c r="FV144" s="205">
        <f t="shared" si="1430"/>
        <v>2036</v>
      </c>
      <c r="FW144" s="120"/>
      <c r="FX144" s="120"/>
      <c r="FY144" s="120"/>
      <c r="FZ144" s="120"/>
      <c r="GA144" s="120"/>
      <c r="GB144" s="209"/>
      <c r="GC144" s="205"/>
      <c r="GD144" s="205">
        <f t="shared" si="1440"/>
        <v>0</v>
      </c>
      <c r="GE144" s="250">
        <v>1636</v>
      </c>
      <c r="GF144" s="120"/>
      <c r="GG144" s="120"/>
      <c r="GH144" s="120"/>
      <c r="GI144" s="120"/>
      <c r="GJ144" s="209"/>
      <c r="GK144" s="205"/>
      <c r="GL144" s="205">
        <f t="shared" si="1441"/>
        <v>1636</v>
      </c>
      <c r="GM144" s="120"/>
      <c r="GN144" s="120"/>
      <c r="GO144" s="120"/>
      <c r="GP144" s="120"/>
      <c r="GQ144" s="120"/>
      <c r="GR144" s="209"/>
      <c r="GS144" s="205"/>
      <c r="GT144" s="205">
        <f t="shared" si="1442"/>
        <v>0</v>
      </c>
      <c r="GU144" s="120"/>
      <c r="GV144" s="120"/>
      <c r="GW144" s="120"/>
      <c r="GX144" s="120"/>
      <c r="GY144" s="120"/>
      <c r="GZ144" s="209"/>
      <c r="HA144" s="205"/>
      <c r="HB144" s="205">
        <f t="shared" si="1443"/>
        <v>0</v>
      </c>
      <c r="HC144" s="120"/>
      <c r="HD144" s="120"/>
      <c r="HE144" s="120"/>
      <c r="HF144" s="120"/>
      <c r="HG144" s="120"/>
      <c r="HH144" s="209"/>
      <c r="HI144" s="205"/>
      <c r="HJ144" s="205">
        <f t="shared" si="1444"/>
        <v>0</v>
      </c>
      <c r="HK144" s="205">
        <f t="shared" si="1431"/>
        <v>1636</v>
      </c>
      <c r="HL144" s="124"/>
      <c r="HM144" s="120"/>
      <c r="HN144" s="120"/>
      <c r="HO144" s="120"/>
      <c r="HP144" s="250">
        <v>1527</v>
      </c>
      <c r="HQ144" s="205"/>
      <c r="HR144" s="205"/>
      <c r="HS144" s="205">
        <f t="shared" si="1445"/>
        <v>1527</v>
      </c>
      <c r="HT144" s="120"/>
      <c r="HU144" s="120"/>
      <c r="HV144" s="120"/>
      <c r="HW144" s="120"/>
      <c r="HX144" s="120"/>
      <c r="HY144" s="205"/>
      <c r="HZ144" s="205"/>
      <c r="IA144" s="205">
        <f t="shared" si="1446"/>
        <v>0</v>
      </c>
      <c r="IB144" s="120"/>
      <c r="IC144" s="120"/>
      <c r="ID144" s="120"/>
      <c r="IE144" s="120"/>
      <c r="IF144" s="120"/>
      <c r="IG144" s="205"/>
      <c r="IH144" s="205"/>
      <c r="II144" s="205">
        <f t="shared" si="1447"/>
        <v>0</v>
      </c>
      <c r="IJ144" s="120"/>
      <c r="IK144" s="120"/>
      <c r="IL144" s="120"/>
      <c r="IM144" s="120"/>
      <c r="IN144" s="120"/>
      <c r="IO144" s="205"/>
      <c r="IP144" s="205"/>
      <c r="IQ144" s="205">
        <f t="shared" si="1448"/>
        <v>0</v>
      </c>
      <c r="IR144" s="205">
        <f t="shared" si="1449"/>
        <v>1527</v>
      </c>
      <c r="IS144" s="120"/>
      <c r="IT144" s="120"/>
      <c r="IU144" s="120"/>
      <c r="IV144" s="124">
        <v>927</v>
      </c>
      <c r="IW144" s="120"/>
      <c r="IX144" s="205"/>
      <c r="IY144" s="205"/>
      <c r="IZ144" s="205">
        <f t="shared" si="1450"/>
        <v>927</v>
      </c>
      <c r="JA144" s="120"/>
      <c r="JB144" s="120"/>
      <c r="JC144" s="120"/>
      <c r="JD144" s="120"/>
      <c r="JE144" s="120"/>
      <c r="JF144" s="205"/>
      <c r="JG144" s="205"/>
      <c r="JH144" s="205">
        <f t="shared" si="1451"/>
        <v>0</v>
      </c>
      <c r="JI144" s="120"/>
      <c r="JJ144" s="120"/>
      <c r="JK144" s="120"/>
      <c r="JL144" s="120"/>
      <c r="JM144" s="120"/>
      <c r="JN144" s="205"/>
      <c r="JO144" s="205"/>
      <c r="JP144" s="205">
        <f t="shared" si="1452"/>
        <v>0</v>
      </c>
      <c r="JQ144" s="120"/>
      <c r="JR144" s="120"/>
      <c r="JS144" s="120"/>
      <c r="JT144" s="124">
        <v>1836</v>
      </c>
      <c r="JU144" s="120"/>
      <c r="JV144" s="205"/>
      <c r="JW144" s="205"/>
      <c r="JX144" s="205">
        <f t="shared" si="1453"/>
        <v>1836</v>
      </c>
      <c r="JY144" s="205">
        <f t="shared" si="1454"/>
        <v>2763</v>
      </c>
      <c r="JZ144" s="120"/>
      <c r="KA144" s="120"/>
      <c r="KB144" s="120"/>
      <c r="KC144" s="120"/>
      <c r="KD144" s="120"/>
      <c r="KE144" s="205"/>
      <c r="KF144" s="205"/>
      <c r="KG144" s="205">
        <f t="shared" si="1455"/>
        <v>0</v>
      </c>
      <c r="KH144" s="120"/>
      <c r="KI144" s="120"/>
      <c r="KJ144" s="206">
        <v>1536</v>
      </c>
      <c r="KK144" s="120"/>
      <c r="KL144" s="120"/>
      <c r="KM144" s="205"/>
      <c r="KN144" s="205"/>
      <c r="KO144" s="205">
        <f t="shared" si="1456"/>
        <v>1536</v>
      </c>
      <c r="KP144" s="120"/>
      <c r="KQ144" s="120"/>
      <c r="KR144" s="120"/>
      <c r="KS144" s="120"/>
      <c r="KT144" s="120"/>
      <c r="KU144" s="205"/>
      <c r="KV144" s="205"/>
      <c r="KW144" s="205">
        <f t="shared" si="1457"/>
        <v>0</v>
      </c>
      <c r="KX144" s="120"/>
      <c r="KY144" s="120"/>
      <c r="KZ144" s="120"/>
      <c r="LA144" s="120"/>
      <c r="LB144" s="120"/>
      <c r="LC144" s="205"/>
      <c r="LD144" s="205"/>
      <c r="LE144" s="205">
        <f t="shared" si="1458"/>
        <v>0</v>
      </c>
      <c r="LF144" s="205"/>
      <c r="LG144" s="120"/>
      <c r="LH144" s="120"/>
      <c r="LI144" s="120"/>
      <c r="LJ144" s="120"/>
      <c r="LK144" s="205"/>
      <c r="LL144" s="205"/>
      <c r="LM144" s="205">
        <f t="shared" si="1459"/>
        <v>0</v>
      </c>
      <c r="LN144" s="205">
        <f t="shared" si="1460"/>
        <v>1536</v>
      </c>
      <c r="LO144" s="205"/>
      <c r="LP144" s="120"/>
      <c r="LQ144" s="120"/>
      <c r="LR144" s="120"/>
      <c r="LS144" s="205"/>
      <c r="LT144" s="205"/>
      <c r="LU144" s="205"/>
      <c r="LV144" s="205">
        <f t="shared" si="1461"/>
        <v>0</v>
      </c>
      <c r="LW144" s="120"/>
      <c r="LX144" s="120"/>
      <c r="LY144" s="120"/>
      <c r="LZ144" s="120"/>
      <c r="MA144" s="120"/>
      <c r="MB144" s="205"/>
      <c r="MC144" s="205"/>
      <c r="MD144" s="205">
        <f t="shared" si="1462"/>
        <v>0</v>
      </c>
      <c r="ME144" s="120"/>
      <c r="MF144" s="201">
        <v>898</v>
      </c>
      <c r="MG144" s="120"/>
      <c r="MH144" s="120"/>
      <c r="MI144" s="205"/>
      <c r="MJ144" s="205"/>
      <c r="MK144" s="205"/>
      <c r="ML144" s="205">
        <f t="shared" si="1463"/>
        <v>898</v>
      </c>
      <c r="MM144" s="120"/>
      <c r="MN144" s="120"/>
      <c r="MO144" s="120"/>
      <c r="MP144" s="120"/>
      <c r="MQ144" s="120"/>
      <c r="MR144" s="205"/>
      <c r="MS144" s="205"/>
      <c r="MT144" s="205">
        <f t="shared" si="1464"/>
        <v>0</v>
      </c>
      <c r="MU144" s="205">
        <f t="shared" si="1465"/>
        <v>898</v>
      </c>
      <c r="MV144" s="120"/>
      <c r="MW144" s="120"/>
      <c r="MX144" s="120"/>
      <c r="MY144" s="120"/>
      <c r="MZ144" s="120"/>
      <c r="NA144" s="205"/>
      <c r="NB144" s="205"/>
      <c r="NC144" s="205">
        <f t="shared" si="1466"/>
        <v>0</v>
      </c>
      <c r="ND144" s="120"/>
      <c r="NE144" s="120"/>
      <c r="NF144" s="120"/>
      <c r="NG144" s="120"/>
      <c r="NH144" s="120"/>
      <c r="NI144" s="205"/>
      <c r="NJ144" s="205"/>
      <c r="NK144" s="205">
        <f t="shared" si="1467"/>
        <v>0</v>
      </c>
      <c r="NL144" s="120"/>
      <c r="NM144" s="120"/>
      <c r="NN144" s="124">
        <v>1436</v>
      </c>
      <c r="NO144" s="120"/>
      <c r="NP144" s="120"/>
      <c r="NQ144" s="205"/>
      <c r="NR144" s="205"/>
      <c r="NS144" s="205">
        <f t="shared" si="1468"/>
        <v>1436</v>
      </c>
      <c r="NT144" s="120"/>
      <c r="NU144" s="217">
        <v>1386</v>
      </c>
      <c r="NV144" s="120"/>
      <c r="NW144" s="123">
        <v>1336</v>
      </c>
      <c r="NX144" s="120"/>
      <c r="NY144" s="205"/>
      <c r="NZ144" s="205"/>
      <c r="OA144" s="205">
        <f t="shared" si="1469"/>
        <v>2722</v>
      </c>
      <c r="OB144" s="205">
        <f t="shared" si="1470"/>
        <v>4158</v>
      </c>
      <c r="OC144" s="120"/>
      <c r="OD144" s="120"/>
      <c r="OE144" s="120"/>
      <c r="OF144" s="120"/>
      <c r="OG144" s="120"/>
      <c r="OH144" s="205"/>
      <c r="OI144" s="205"/>
      <c r="OJ144" s="205">
        <f t="shared" si="1471"/>
        <v>0</v>
      </c>
      <c r="OK144" s="120"/>
      <c r="OL144" s="120"/>
      <c r="OM144" s="120"/>
      <c r="ON144" s="120"/>
      <c r="OO144" s="120"/>
      <c r="OP144" s="205"/>
      <c r="OQ144" s="205"/>
      <c r="OR144" s="205">
        <f t="shared" si="1472"/>
        <v>0</v>
      </c>
      <c r="OS144" s="120"/>
      <c r="OT144" s="120"/>
      <c r="OU144" s="120"/>
      <c r="OV144" s="120"/>
      <c r="OW144" s="120"/>
      <c r="OX144" s="205"/>
      <c r="OY144" s="205"/>
      <c r="OZ144" s="205">
        <f t="shared" si="1473"/>
        <v>0</v>
      </c>
      <c r="PA144" s="120"/>
      <c r="PB144" s="120"/>
      <c r="PC144" s="120"/>
      <c r="PD144" s="205"/>
      <c r="PE144" s="217"/>
      <c r="PF144" s="205"/>
      <c r="PG144" s="205"/>
      <c r="PH144" s="205">
        <f t="shared" si="1474"/>
        <v>0</v>
      </c>
      <c r="PI144" s="120"/>
      <c r="PJ144" s="120"/>
      <c r="PK144" s="120"/>
      <c r="PL144" s="205"/>
      <c r="PM144" s="217"/>
      <c r="PN144" s="205"/>
      <c r="PO144" s="205"/>
      <c r="PP144" s="205">
        <f t="shared" si="1475"/>
        <v>0</v>
      </c>
      <c r="PQ144" s="205">
        <f t="shared" si="1476"/>
        <v>0</v>
      </c>
      <c r="PR144" s="120"/>
      <c r="PS144" s="120"/>
      <c r="PT144" s="206">
        <v>1436</v>
      </c>
      <c r="PU144" s="120"/>
      <c r="PV144" s="207"/>
      <c r="PW144" s="272"/>
      <c r="PX144" s="272"/>
      <c r="PY144" s="205">
        <f t="shared" si="1477"/>
        <v>1436</v>
      </c>
      <c r="PZ144" s="207"/>
      <c r="QA144" s="207"/>
      <c r="QB144" s="207"/>
      <c r="QC144" s="207"/>
      <c r="QD144" s="207"/>
      <c r="QE144" s="272"/>
      <c r="QF144" s="272"/>
      <c r="QG144" s="205">
        <f t="shared" si="1478"/>
        <v>0</v>
      </c>
      <c r="QH144" s="207"/>
      <c r="QI144" s="207"/>
      <c r="QJ144" s="294"/>
      <c r="QK144" s="207"/>
      <c r="QL144" s="207"/>
      <c r="QM144" s="272"/>
      <c r="QN144" s="272"/>
      <c r="QO144" s="205">
        <f t="shared" si="1479"/>
        <v>0</v>
      </c>
      <c r="QP144" s="207"/>
      <c r="QQ144" s="207"/>
      <c r="QR144" s="207"/>
      <c r="QS144" s="207"/>
      <c r="QT144" s="207"/>
      <c r="QU144" s="272"/>
      <c r="QV144" s="272"/>
      <c r="QW144" s="205">
        <f t="shared" si="1480"/>
        <v>0</v>
      </c>
      <c r="QX144" s="205">
        <f t="shared" si="1481"/>
        <v>1436</v>
      </c>
      <c r="QY144" s="207"/>
      <c r="QZ144" s="207"/>
      <c r="RA144" s="120"/>
      <c r="RB144" s="120"/>
      <c r="RC144" s="123">
        <v>1136</v>
      </c>
      <c r="RD144" s="272"/>
      <c r="RE144" s="272"/>
      <c r="RF144" s="205">
        <f t="shared" si="1482"/>
        <v>1136</v>
      </c>
      <c r="RG144" s="207"/>
      <c r="RH144" s="207"/>
      <c r="RI144" s="207"/>
      <c r="RJ144" s="207"/>
      <c r="RK144" s="207"/>
      <c r="RL144" s="272"/>
      <c r="RM144" s="272"/>
      <c r="RN144" s="205">
        <f t="shared" si="1483"/>
        <v>0</v>
      </c>
      <c r="RO144" s="272"/>
      <c r="RP144" s="272"/>
      <c r="RQ144" s="272"/>
      <c r="RR144" s="272"/>
      <c r="RS144" s="272"/>
      <c r="RT144" s="272"/>
      <c r="RU144" s="272"/>
      <c r="RV144" s="205">
        <f t="shared" si="1484"/>
        <v>0</v>
      </c>
      <c r="RW144" s="207"/>
      <c r="RX144" s="207"/>
      <c r="RY144" s="207"/>
      <c r="RZ144" s="207"/>
      <c r="SA144" s="272"/>
      <c r="SB144" s="272"/>
      <c r="SC144" s="272"/>
      <c r="SD144" s="205">
        <f t="shared" si="1485"/>
        <v>0</v>
      </c>
      <c r="SE144" s="205">
        <f t="shared" si="1486"/>
        <v>1136</v>
      </c>
      <c r="SF144" s="207"/>
      <c r="SG144" s="207"/>
      <c r="SH144" s="207"/>
      <c r="SI144" s="207"/>
      <c r="SJ144" s="207"/>
      <c r="SK144" s="272"/>
      <c r="SL144" s="272"/>
      <c r="SM144" s="205">
        <f t="shared" si="1487"/>
        <v>0</v>
      </c>
      <c r="SN144" s="207"/>
      <c r="SO144" s="207"/>
      <c r="SP144" s="207"/>
      <c r="SQ144" s="207"/>
      <c r="SR144" s="207"/>
      <c r="SS144" s="272"/>
      <c r="ST144" s="272"/>
      <c r="SU144" s="205">
        <f t="shared" si="1488"/>
        <v>0</v>
      </c>
      <c r="SV144" s="207"/>
      <c r="SW144" s="120"/>
      <c r="SX144" s="120"/>
      <c r="SY144" s="120"/>
      <c r="SZ144" s="207"/>
      <c r="TA144" s="272"/>
      <c r="TB144" s="272"/>
      <c r="TC144" s="205">
        <f t="shared" si="1489"/>
        <v>0</v>
      </c>
      <c r="TD144" s="120"/>
      <c r="TE144" s="120"/>
      <c r="TF144" s="195">
        <v>1375</v>
      </c>
      <c r="TG144" s="207"/>
      <c r="TH144" s="207"/>
      <c r="TI144" s="272"/>
      <c r="TJ144" s="272"/>
      <c r="TK144" s="205">
        <f t="shared" si="1490"/>
        <v>1375</v>
      </c>
      <c r="TL144" s="207"/>
      <c r="TM144" s="207"/>
      <c r="TN144" s="195">
        <v>1375</v>
      </c>
      <c r="TO144" s="207"/>
      <c r="TP144" s="272"/>
      <c r="TQ144" s="272"/>
      <c r="TR144" s="272"/>
      <c r="TS144" s="205">
        <f t="shared" si="1491"/>
        <v>1375</v>
      </c>
      <c r="TT144" s="205">
        <f t="shared" si="1492"/>
        <v>1375</v>
      </c>
      <c r="TU144" s="272"/>
      <c r="TV144" s="207"/>
      <c r="TW144" s="195">
        <v>1745</v>
      </c>
      <c r="TX144" s="207"/>
      <c r="TY144" s="207"/>
      <c r="TZ144" s="272"/>
      <c r="UA144" s="272"/>
      <c r="UB144" s="205">
        <f t="shared" si="1493"/>
        <v>1745</v>
      </c>
      <c r="UC144" s="207"/>
      <c r="UD144" s="120"/>
      <c r="UE144" s="120"/>
      <c r="UF144" s="120"/>
      <c r="UG144" s="207"/>
      <c r="UH144" s="272"/>
      <c r="UI144" s="272"/>
      <c r="UJ144" s="205">
        <f t="shared" si="1494"/>
        <v>0</v>
      </c>
      <c r="UK144" s="207"/>
      <c r="UL144" s="207"/>
      <c r="UM144" s="207"/>
      <c r="UN144" s="207"/>
      <c r="UO144" s="207"/>
      <c r="UP144" s="272"/>
      <c r="UQ144" s="272"/>
      <c r="UR144" s="205">
        <f t="shared" si="1495"/>
        <v>0</v>
      </c>
      <c r="US144" s="195">
        <v>1436</v>
      </c>
      <c r="UT144" s="207"/>
      <c r="UU144" s="207"/>
      <c r="UV144" s="207"/>
      <c r="UW144" s="272"/>
      <c r="UX144" s="272"/>
      <c r="UY144" s="272"/>
      <c r="UZ144" s="205">
        <f>SUM(US144:UY144)</f>
        <v>1436</v>
      </c>
      <c r="VA144" s="205">
        <f>SUM(TN144:TR144,UB144,UJ144,UR144,US144:UV144)</f>
        <v>4556</v>
      </c>
      <c r="VB144" s="207"/>
      <c r="VC144" s="124">
        <v>1436</v>
      </c>
      <c r="VD144" s="120"/>
      <c r="VE144" s="120"/>
      <c r="VF144" s="120"/>
      <c r="VG144" s="272"/>
      <c r="VH144" s="272"/>
      <c r="VI144" s="205">
        <f t="shared" si="1498"/>
        <v>1436</v>
      </c>
      <c r="VJ144" s="207"/>
      <c r="VK144" s="207"/>
      <c r="VL144" s="207"/>
      <c r="VM144" s="207"/>
      <c r="VN144" s="207"/>
      <c r="VO144" s="272"/>
      <c r="VP144" s="272"/>
      <c r="VQ144" s="205">
        <f t="shared" si="1499"/>
        <v>0</v>
      </c>
      <c r="VR144" s="120"/>
      <c r="VS144" s="120"/>
      <c r="VT144" s="120"/>
      <c r="VU144" s="207"/>
      <c r="VV144" s="207"/>
      <c r="VW144" s="272"/>
      <c r="VX144" s="272"/>
      <c r="VY144" s="205">
        <f t="shared" si="1500"/>
        <v>0</v>
      </c>
      <c r="VZ144" s="207"/>
      <c r="WA144" s="120"/>
      <c r="WB144" s="120"/>
      <c r="WC144" s="195">
        <v>1836</v>
      </c>
      <c r="WD144" s="207"/>
      <c r="WE144" s="272"/>
      <c r="WF144" s="272"/>
      <c r="WG144" s="205">
        <f>SUM(WA144:WF144)</f>
        <v>1836</v>
      </c>
      <c r="WH144" s="205">
        <f t="shared" si="1502"/>
        <v>3272</v>
      </c>
      <c r="WI144" s="207"/>
      <c r="WJ144" s="207"/>
      <c r="WK144" s="207"/>
      <c r="WL144" s="207"/>
      <c r="WM144" s="207"/>
      <c r="WN144" s="272"/>
      <c r="WO144" s="272"/>
      <c r="WP144" s="205">
        <f t="shared" si="1503"/>
        <v>0</v>
      </c>
      <c r="WQ144" s="207"/>
      <c r="WR144" s="207"/>
      <c r="WS144" s="207"/>
      <c r="WT144" s="207"/>
      <c r="WU144" s="207"/>
      <c r="WV144" s="272"/>
      <c r="WW144" s="272"/>
      <c r="WX144" s="205">
        <f t="shared" si="1504"/>
        <v>0</v>
      </c>
      <c r="WY144" s="207"/>
      <c r="WZ144" s="207"/>
      <c r="XA144" s="207"/>
      <c r="XB144" s="207"/>
      <c r="XC144" s="272"/>
      <c r="XD144" s="272"/>
      <c r="XE144" s="272"/>
      <c r="XF144" s="205">
        <f t="shared" si="1505"/>
        <v>0</v>
      </c>
      <c r="XG144" s="207"/>
      <c r="XH144" s="207"/>
      <c r="XI144" s="207"/>
      <c r="XJ144" s="207"/>
      <c r="XK144" s="207"/>
      <c r="XL144" s="272"/>
      <c r="XM144" s="272"/>
      <c r="XN144" s="205">
        <f t="shared" si="1506"/>
        <v>0</v>
      </c>
      <c r="XO144" s="120"/>
      <c r="XP144" s="120"/>
      <c r="XQ144" s="120">
        <v>1836</v>
      </c>
      <c r="XR144" s="207"/>
      <c r="XS144" s="207"/>
      <c r="XT144" s="272"/>
      <c r="XU144" s="272"/>
      <c r="XV144" s="205">
        <f t="shared" si="1507"/>
        <v>1836</v>
      </c>
      <c r="XW144" s="205">
        <f t="shared" si="1508"/>
        <v>0</v>
      </c>
      <c r="XX144" s="207"/>
      <c r="XY144" s="207"/>
      <c r="XZ144" s="207"/>
      <c r="YA144" s="207"/>
      <c r="YB144" s="207"/>
      <c r="YC144" s="272"/>
      <c r="YD144" s="272"/>
      <c r="YE144" s="205">
        <f t="shared" si="1509"/>
        <v>0</v>
      </c>
      <c r="YF144" s="207"/>
      <c r="YG144" s="207"/>
      <c r="YH144" s="207"/>
      <c r="YI144" s="207"/>
      <c r="YJ144" s="207"/>
      <c r="YK144" s="272"/>
      <c r="YL144" s="272"/>
      <c r="YM144" s="205">
        <f t="shared" si="1510"/>
        <v>0</v>
      </c>
      <c r="YN144" s="207"/>
      <c r="YO144" s="207"/>
      <c r="YP144" s="207"/>
      <c r="YQ144" s="207"/>
      <c r="YR144" s="207"/>
      <c r="YS144" s="272"/>
      <c r="YT144" s="272"/>
      <c r="YU144" s="205">
        <f t="shared" si="1511"/>
        <v>0</v>
      </c>
      <c r="YV144" s="207"/>
      <c r="YW144" s="207"/>
      <c r="YX144" s="207"/>
      <c r="YY144" s="207"/>
      <c r="YZ144" s="207"/>
      <c r="ZA144" s="272"/>
      <c r="ZB144" s="272"/>
      <c r="ZC144" s="205">
        <f t="shared" si="1512"/>
        <v>0</v>
      </c>
      <c r="ZD144" s="205">
        <f t="shared" si="1513"/>
        <v>0</v>
      </c>
      <c r="ZE144" s="207"/>
      <c r="ZF144" s="207"/>
      <c r="ZG144" s="207"/>
      <c r="ZH144" s="207"/>
      <c r="ZI144" s="207"/>
      <c r="ZJ144" s="272"/>
      <c r="ZK144" s="272"/>
      <c r="ZL144" s="205">
        <f t="shared" si="1514"/>
        <v>0</v>
      </c>
      <c r="ZM144" s="207"/>
      <c r="ZN144" s="207"/>
      <c r="ZO144" s="207"/>
      <c r="ZP144" s="207"/>
      <c r="ZQ144" s="207"/>
      <c r="ZR144" s="272"/>
      <c r="ZS144" s="272"/>
      <c r="ZT144" s="205">
        <f t="shared" si="1515"/>
        <v>0</v>
      </c>
      <c r="ZU144" s="207"/>
      <c r="ZV144" s="207"/>
      <c r="ZW144" s="207"/>
      <c r="ZX144" s="207"/>
      <c r="ZY144" s="207"/>
      <c r="ZZ144" s="272"/>
      <c r="AAA144" s="272"/>
      <c r="AAB144" s="205">
        <f t="shared" si="1516"/>
        <v>0</v>
      </c>
      <c r="AAC144" s="207"/>
      <c r="AAD144" s="207"/>
      <c r="AAE144" s="207"/>
      <c r="AAF144" s="207"/>
      <c r="AAG144" s="207"/>
      <c r="AAH144" s="272"/>
      <c r="AAI144" s="272"/>
      <c r="AAJ144" s="205">
        <f t="shared" si="1517"/>
        <v>0</v>
      </c>
      <c r="AAK144" s="207"/>
      <c r="AAL144" s="207"/>
      <c r="AAM144" s="207"/>
      <c r="AAN144" s="207"/>
      <c r="AAO144" s="207"/>
      <c r="AAP144" s="272"/>
      <c r="AAQ144" s="272"/>
      <c r="AAR144" s="205">
        <f t="shared" si="1518"/>
        <v>0</v>
      </c>
      <c r="AAS144" s="205">
        <f t="shared" si="1519"/>
        <v>0</v>
      </c>
    </row>
    <row r="145" spans="1:721" ht="69.95" customHeight="1">
      <c r="B145" s="130" t="s">
        <v>806</v>
      </c>
      <c r="C145" s="337" t="s">
        <v>808</v>
      </c>
      <c r="D145" s="173" t="s">
        <v>809</v>
      </c>
      <c r="E145" s="130" t="s">
        <v>4</v>
      </c>
      <c r="F145" s="120"/>
      <c r="G145" s="120"/>
      <c r="H145" s="120"/>
      <c r="I145" s="120"/>
      <c r="J145" s="201"/>
      <c r="K145" s="209"/>
      <c r="L145" s="205"/>
      <c r="M145" s="205"/>
      <c r="N145" s="120"/>
      <c r="O145" s="120"/>
      <c r="P145" s="120"/>
      <c r="Q145" s="120"/>
      <c r="R145" s="120"/>
      <c r="S145" s="209"/>
      <c r="T145" s="205"/>
      <c r="U145" s="205"/>
      <c r="V145" s="120"/>
      <c r="W145" s="120"/>
      <c r="X145" s="120"/>
      <c r="Y145" s="218"/>
      <c r="Z145" s="120"/>
      <c r="AA145" s="209"/>
      <c r="AB145" s="205"/>
      <c r="AC145" s="205"/>
      <c r="AD145" s="205"/>
      <c r="AE145" s="205"/>
      <c r="AF145" s="205"/>
      <c r="AG145" s="205"/>
      <c r="AH145" s="205"/>
      <c r="AI145" s="209"/>
      <c r="AJ145" s="205"/>
      <c r="AK145" s="205"/>
      <c r="AL145" s="205"/>
      <c r="AM145" s="120"/>
      <c r="AN145" s="120"/>
      <c r="AO145" s="120"/>
      <c r="AP145" s="120"/>
      <c r="AQ145" s="120"/>
      <c r="AR145" s="209"/>
      <c r="AS145" s="205"/>
      <c r="AT145" s="205"/>
      <c r="AU145" s="120"/>
      <c r="AV145" s="120"/>
      <c r="AW145" s="120"/>
      <c r="AX145" s="120"/>
      <c r="AY145" s="120"/>
      <c r="AZ145" s="209"/>
      <c r="BA145" s="205"/>
      <c r="BB145" s="205"/>
      <c r="BC145" s="120"/>
      <c r="BD145" s="120"/>
      <c r="BE145" s="120"/>
      <c r="BF145" s="120"/>
      <c r="BG145" s="120"/>
      <c r="BH145" s="209"/>
      <c r="BI145" s="205"/>
      <c r="BJ145" s="205"/>
      <c r="BK145" s="120"/>
      <c r="BL145" s="120"/>
      <c r="BM145" s="120"/>
      <c r="BN145" s="217"/>
      <c r="BO145" s="205"/>
      <c r="BP145" s="209"/>
      <c r="BQ145" s="205"/>
      <c r="BR145" s="205"/>
      <c r="BS145" s="205"/>
      <c r="BT145" s="120"/>
      <c r="BU145" s="120"/>
      <c r="BV145" s="120"/>
      <c r="BW145" s="120"/>
      <c r="BX145" s="120"/>
      <c r="BY145" s="209"/>
      <c r="BZ145" s="205"/>
      <c r="CA145" s="205"/>
      <c r="CB145" s="120"/>
      <c r="CC145" s="120"/>
      <c r="CD145" s="120"/>
      <c r="CE145" s="120"/>
      <c r="CF145" s="120"/>
      <c r="CG145" s="209"/>
      <c r="CH145" s="205"/>
      <c r="CI145" s="205"/>
      <c r="CJ145" s="120"/>
      <c r="CK145" s="120"/>
      <c r="CL145" s="120"/>
      <c r="CM145" s="120"/>
      <c r="CN145" s="120"/>
      <c r="CO145" s="209"/>
      <c r="CP145" s="205"/>
      <c r="CQ145" s="205"/>
      <c r="CR145" s="120"/>
      <c r="CS145" s="120"/>
      <c r="CT145" s="250"/>
      <c r="CU145" s="120"/>
      <c r="CV145" s="120"/>
      <c r="CW145" s="209"/>
      <c r="CX145" s="205"/>
      <c r="CY145" s="205"/>
      <c r="CZ145" s="120"/>
      <c r="DA145" s="120"/>
      <c r="DB145" s="120"/>
      <c r="DC145" s="205"/>
      <c r="DD145" s="205"/>
      <c r="DE145" s="209"/>
      <c r="DF145" s="205"/>
      <c r="DG145" s="205"/>
      <c r="DH145" s="205"/>
      <c r="DI145" s="120"/>
      <c r="DJ145" s="120"/>
      <c r="DK145" s="120"/>
      <c r="DL145" s="120"/>
      <c r="DM145" s="120"/>
      <c r="DN145" s="209"/>
      <c r="DO145" s="205"/>
      <c r="DP145" s="205"/>
      <c r="DQ145" s="120"/>
      <c r="DR145" s="120"/>
      <c r="DS145" s="120"/>
      <c r="DT145" s="120"/>
      <c r="DU145" s="120"/>
      <c r="DV145" s="209"/>
      <c r="DW145" s="205"/>
      <c r="DX145" s="205"/>
      <c r="DY145" s="207"/>
      <c r="DZ145" s="207"/>
      <c r="EA145" s="207"/>
      <c r="EB145" s="120"/>
      <c r="EC145" s="120"/>
      <c r="ED145" s="209"/>
      <c r="EE145" s="205"/>
      <c r="EF145" s="205"/>
      <c r="EG145" s="120"/>
      <c r="EH145" s="120"/>
      <c r="EI145" s="120"/>
      <c r="EJ145" s="205"/>
      <c r="EK145" s="205"/>
      <c r="EL145" s="209"/>
      <c r="EM145" s="205"/>
      <c r="EN145" s="205"/>
      <c r="EO145" s="205"/>
      <c r="EP145" s="120"/>
      <c r="EQ145" s="120"/>
      <c r="ER145" s="250"/>
      <c r="ES145" s="120"/>
      <c r="ET145" s="120"/>
      <c r="EU145" s="209"/>
      <c r="EV145" s="205"/>
      <c r="EW145" s="205"/>
      <c r="EX145" s="120"/>
      <c r="EY145" s="120"/>
      <c r="EZ145" s="120"/>
      <c r="FA145" s="120"/>
      <c r="FB145" s="120"/>
      <c r="FC145" s="209"/>
      <c r="FD145" s="205"/>
      <c r="FE145" s="205"/>
      <c r="FF145" s="120"/>
      <c r="FG145" s="120"/>
      <c r="FH145" s="120"/>
      <c r="FI145" s="120"/>
      <c r="FJ145" s="120"/>
      <c r="FK145" s="209"/>
      <c r="FL145" s="205"/>
      <c r="FM145" s="205"/>
      <c r="FN145" s="120"/>
      <c r="FO145" s="120"/>
      <c r="FP145" s="120"/>
      <c r="FQ145" s="120"/>
      <c r="FR145" s="205"/>
      <c r="FS145" s="209"/>
      <c r="FT145" s="205"/>
      <c r="FU145" s="205"/>
      <c r="FV145" s="205"/>
      <c r="FW145" s="120"/>
      <c r="FX145" s="120"/>
      <c r="FY145" s="120"/>
      <c r="FZ145" s="120"/>
      <c r="GA145" s="120"/>
      <c r="GB145" s="209"/>
      <c r="GC145" s="205"/>
      <c r="GD145" s="205"/>
      <c r="GE145" s="250"/>
      <c r="GF145" s="120"/>
      <c r="GG145" s="120"/>
      <c r="GH145" s="120"/>
      <c r="GI145" s="120"/>
      <c r="GJ145" s="209"/>
      <c r="GK145" s="205"/>
      <c r="GL145" s="205"/>
      <c r="GM145" s="120"/>
      <c r="GN145" s="120"/>
      <c r="GO145" s="120"/>
      <c r="GP145" s="120"/>
      <c r="GQ145" s="120"/>
      <c r="GR145" s="209"/>
      <c r="GS145" s="205"/>
      <c r="GT145" s="205"/>
      <c r="GU145" s="120"/>
      <c r="GV145" s="120"/>
      <c r="GW145" s="120"/>
      <c r="GX145" s="120"/>
      <c r="GY145" s="120"/>
      <c r="GZ145" s="209"/>
      <c r="HA145" s="205"/>
      <c r="HB145" s="205"/>
      <c r="HC145" s="120"/>
      <c r="HD145" s="120"/>
      <c r="HE145" s="120"/>
      <c r="HF145" s="120"/>
      <c r="HG145" s="120"/>
      <c r="HH145" s="209"/>
      <c r="HI145" s="205"/>
      <c r="HJ145" s="205"/>
      <c r="HK145" s="205"/>
      <c r="HL145" s="124"/>
      <c r="HM145" s="120"/>
      <c r="HN145" s="120"/>
      <c r="HO145" s="120"/>
      <c r="HP145" s="250"/>
      <c r="HQ145" s="205"/>
      <c r="HR145" s="205"/>
      <c r="HS145" s="205"/>
      <c r="HT145" s="120"/>
      <c r="HU145" s="120"/>
      <c r="HV145" s="120"/>
      <c r="HW145" s="120"/>
      <c r="HX145" s="120"/>
      <c r="HY145" s="205"/>
      <c r="HZ145" s="205"/>
      <c r="IA145" s="205"/>
      <c r="IB145" s="120"/>
      <c r="IC145" s="120"/>
      <c r="ID145" s="120"/>
      <c r="IE145" s="120"/>
      <c r="IF145" s="120"/>
      <c r="IG145" s="205"/>
      <c r="IH145" s="205"/>
      <c r="II145" s="205"/>
      <c r="IJ145" s="120"/>
      <c r="IK145" s="120"/>
      <c r="IL145" s="120"/>
      <c r="IM145" s="120"/>
      <c r="IN145" s="120"/>
      <c r="IO145" s="205"/>
      <c r="IP145" s="205"/>
      <c r="IQ145" s="205"/>
      <c r="IR145" s="205"/>
      <c r="IS145" s="120"/>
      <c r="IT145" s="120"/>
      <c r="IU145" s="120"/>
      <c r="IV145" s="124">
        <v>600</v>
      </c>
      <c r="IW145" s="120"/>
      <c r="IX145" s="205"/>
      <c r="IY145" s="205"/>
      <c r="IZ145" s="205">
        <f t="shared" ref="IZ145" si="1534">SUM(IS145:IY145)</f>
        <v>600</v>
      </c>
      <c r="JA145" s="120"/>
      <c r="JB145" s="120"/>
      <c r="JC145" s="120"/>
      <c r="JD145" s="120"/>
      <c r="JE145" s="120"/>
      <c r="JF145" s="205"/>
      <c r="JG145" s="205"/>
      <c r="JH145" s="205">
        <f t="shared" ref="JH145" si="1535">SUM(JA145:JG145)</f>
        <v>0</v>
      </c>
      <c r="JI145" s="120"/>
      <c r="JJ145" s="120"/>
      <c r="JK145" s="120"/>
      <c r="JL145" s="120"/>
      <c r="JM145" s="120"/>
      <c r="JN145" s="205"/>
      <c r="JO145" s="205"/>
      <c r="JP145" s="205">
        <f t="shared" ref="JP145" si="1536">SUM(JI145:JO145)</f>
        <v>0</v>
      </c>
      <c r="JQ145" s="120"/>
      <c r="JR145" s="120"/>
      <c r="JS145" s="120"/>
      <c r="JT145" s="124">
        <v>200</v>
      </c>
      <c r="JU145" s="120"/>
      <c r="JV145" s="205"/>
      <c r="JW145" s="205"/>
      <c r="JX145" s="205">
        <f t="shared" ref="JX145" si="1537">SUM(JQ145:JW145)</f>
        <v>200</v>
      </c>
      <c r="JY145" s="205">
        <f t="shared" ref="JY145" si="1538">SUM(JX145,JP145,JH145,IZ145,IN145:IP145)</f>
        <v>800</v>
      </c>
      <c r="JZ145" s="120"/>
      <c r="KA145" s="120"/>
      <c r="KB145" s="120"/>
      <c r="KC145" s="120"/>
      <c r="KD145" s="120"/>
      <c r="KE145" s="205"/>
      <c r="KF145" s="205"/>
      <c r="KG145" s="205">
        <f t="shared" ref="KG145" si="1539">SUM(JZ145:KF145)</f>
        <v>0</v>
      </c>
      <c r="KH145" s="120"/>
      <c r="KI145" s="120"/>
      <c r="KJ145" s="206">
        <v>500</v>
      </c>
      <c r="KK145" s="120"/>
      <c r="KL145" s="120"/>
      <c r="KM145" s="205"/>
      <c r="KN145" s="205"/>
      <c r="KO145" s="205">
        <f t="shared" ref="KO145" si="1540">SUM(KH145:KN145)</f>
        <v>500</v>
      </c>
      <c r="KP145" s="120"/>
      <c r="KQ145" s="120"/>
      <c r="KR145" s="120"/>
      <c r="KS145" s="120"/>
      <c r="KT145" s="120"/>
      <c r="KU145" s="205"/>
      <c r="KV145" s="205"/>
      <c r="KW145" s="205">
        <f t="shared" ref="KW145" si="1541">SUM(KP145:KV145)</f>
        <v>0</v>
      </c>
      <c r="KX145" s="120"/>
      <c r="KY145" s="120"/>
      <c r="KZ145" s="120"/>
      <c r="LA145" s="120"/>
      <c r="LB145" s="120"/>
      <c r="LC145" s="205"/>
      <c r="LD145" s="205"/>
      <c r="LE145" s="205">
        <f t="shared" ref="LE145" si="1542">SUM(KX145:LD145)</f>
        <v>0</v>
      </c>
      <c r="LF145" s="205"/>
      <c r="LG145" s="120"/>
      <c r="LH145" s="120"/>
      <c r="LI145" s="120"/>
      <c r="LJ145" s="120"/>
      <c r="LK145" s="205"/>
      <c r="LL145" s="205"/>
      <c r="LM145" s="205">
        <f t="shared" ref="LM145" si="1543">SUM(LF145:LL145)</f>
        <v>0</v>
      </c>
      <c r="LN145" s="205">
        <f t="shared" ref="LN145" si="1544">SUM(LF145:LG145,LE145,KW145,KO145,KG145)</f>
        <v>500</v>
      </c>
      <c r="LO145" s="205"/>
      <c r="LP145" s="120"/>
      <c r="LQ145" s="120"/>
      <c r="LR145" s="120"/>
      <c r="LS145" s="205"/>
      <c r="LT145" s="205"/>
      <c r="LU145" s="205"/>
      <c r="LV145" s="205">
        <f t="shared" ref="LV145" si="1545">SUM(LO145:LU145)</f>
        <v>0</v>
      </c>
      <c r="LW145" s="120"/>
      <c r="LX145" s="120"/>
      <c r="LY145" s="120"/>
      <c r="LZ145" s="120"/>
      <c r="MA145" s="120"/>
      <c r="MB145" s="205"/>
      <c r="MC145" s="205"/>
      <c r="MD145" s="205">
        <f t="shared" ref="MD145" si="1546">SUM(LW145:MC145)</f>
        <v>0</v>
      </c>
      <c r="ME145" s="120"/>
      <c r="MF145" s="201">
        <v>120</v>
      </c>
      <c r="MG145" s="120"/>
      <c r="MH145" s="120"/>
      <c r="MI145" s="205"/>
      <c r="MJ145" s="205"/>
      <c r="MK145" s="205"/>
      <c r="ML145" s="205">
        <f t="shared" ref="ML145" si="1547">SUM(ME145:MK145)</f>
        <v>120</v>
      </c>
      <c r="MM145" s="120"/>
      <c r="MN145" s="120"/>
      <c r="MO145" s="120"/>
      <c r="MP145" s="120"/>
      <c r="MQ145" s="120"/>
      <c r="MR145" s="205"/>
      <c r="MS145" s="205"/>
      <c r="MT145" s="205">
        <f t="shared" ref="MT145" si="1548">SUM(MM145:MS145)</f>
        <v>0</v>
      </c>
      <c r="MU145" s="205">
        <f t="shared" ref="MU145" si="1549">SUM(LH145:LL145,LV145,MD145,ML145,MM145:MQ145)</f>
        <v>120</v>
      </c>
      <c r="MV145" s="120"/>
      <c r="MW145" s="120"/>
      <c r="MX145" s="120"/>
      <c r="MY145" s="120"/>
      <c r="MZ145" s="120"/>
      <c r="NA145" s="205"/>
      <c r="NB145" s="205"/>
      <c r="NC145" s="205">
        <f t="shared" ref="NC145" si="1550">SUM(MV145:NB145)</f>
        <v>0</v>
      </c>
      <c r="ND145" s="120"/>
      <c r="NE145" s="120"/>
      <c r="NF145" s="120"/>
      <c r="NG145" s="120"/>
      <c r="NH145" s="120"/>
      <c r="NI145" s="205"/>
      <c r="NJ145" s="205"/>
      <c r="NK145" s="205">
        <f t="shared" ref="NK145" si="1551">SUM(ND145:NJ145)</f>
        <v>0</v>
      </c>
      <c r="NL145" s="120"/>
      <c r="NM145" s="120"/>
      <c r="NN145" s="124">
        <v>600</v>
      </c>
      <c r="NO145" s="120"/>
      <c r="NP145" s="120"/>
      <c r="NQ145" s="205"/>
      <c r="NR145" s="205"/>
      <c r="NS145" s="205">
        <f t="shared" ref="NS145" si="1552">SUM(NL145:NR145)</f>
        <v>600</v>
      </c>
      <c r="NT145" s="120"/>
      <c r="NU145" s="217">
        <v>650</v>
      </c>
      <c r="NV145" s="120"/>
      <c r="NW145" s="123">
        <v>700</v>
      </c>
      <c r="NX145" s="120"/>
      <c r="NY145" s="205"/>
      <c r="NZ145" s="205"/>
      <c r="OA145" s="205">
        <f t="shared" ref="OA145" si="1553">SUM(NT145:NZ145)</f>
        <v>1350</v>
      </c>
      <c r="OB145" s="205">
        <f t="shared" ref="OB145" si="1554">SUM(MR145:MS145,NC145,NK145,NS145,OA145)</f>
        <v>1950</v>
      </c>
      <c r="OC145" s="120"/>
      <c r="OD145" s="120"/>
      <c r="OE145" s="120"/>
      <c r="OF145" s="120"/>
      <c r="OG145" s="120"/>
      <c r="OH145" s="205"/>
      <c r="OI145" s="205"/>
      <c r="OJ145" s="205">
        <f t="shared" ref="OJ145" si="1555">SUM(OC145:OI145)</f>
        <v>0</v>
      </c>
      <c r="OK145" s="120"/>
      <c r="OL145" s="120"/>
      <c r="OM145" s="120"/>
      <c r="ON145" s="120"/>
      <c r="OO145" s="120"/>
      <c r="OP145" s="205"/>
      <c r="OQ145" s="205"/>
      <c r="OR145" s="205">
        <f t="shared" ref="OR145" si="1556">SUM(OK145:OQ145)</f>
        <v>0</v>
      </c>
      <c r="OS145" s="120"/>
      <c r="OT145" s="120"/>
      <c r="OU145" s="120"/>
      <c r="OV145" s="120"/>
      <c r="OW145" s="120"/>
      <c r="OX145" s="205"/>
      <c r="OY145" s="205"/>
      <c r="OZ145" s="205">
        <f t="shared" ref="OZ145" si="1557">SUM(OS145:OY145)</f>
        <v>0</v>
      </c>
      <c r="PA145" s="120"/>
      <c r="PB145" s="120"/>
      <c r="PC145" s="120"/>
      <c r="PD145" s="205"/>
      <c r="PE145" s="217"/>
      <c r="PF145" s="205"/>
      <c r="PG145" s="205"/>
      <c r="PH145" s="205">
        <f t="shared" ref="PH145" si="1558">SUM(PA145:PG145)</f>
        <v>0</v>
      </c>
      <c r="PI145" s="120"/>
      <c r="PJ145" s="120"/>
      <c r="PK145" s="120"/>
      <c r="PL145" s="205"/>
      <c r="PM145" s="217"/>
      <c r="PN145" s="205"/>
      <c r="PO145" s="205"/>
      <c r="PP145" s="205">
        <f t="shared" ref="PP145" si="1559">SUM(PI145:PO145)</f>
        <v>0</v>
      </c>
      <c r="PQ145" s="205">
        <f t="shared" ref="PQ145" si="1560">SUM(OJ145,OR145,OZ145,PH145,PI145:PK145)</f>
        <v>0</v>
      </c>
      <c r="PR145" s="120"/>
      <c r="PS145" s="120"/>
      <c r="PT145" s="206">
        <v>600</v>
      </c>
      <c r="PU145" s="120"/>
      <c r="PV145" s="207"/>
      <c r="PW145" s="272"/>
      <c r="PX145" s="272"/>
      <c r="PY145" s="205">
        <f t="shared" si="1477"/>
        <v>600</v>
      </c>
      <c r="PZ145" s="207"/>
      <c r="QA145" s="207"/>
      <c r="QB145" s="207"/>
      <c r="QC145" s="207"/>
      <c r="QD145" s="207"/>
      <c r="QE145" s="272"/>
      <c r="QF145" s="272"/>
      <c r="QG145" s="205">
        <f t="shared" si="1478"/>
        <v>0</v>
      </c>
      <c r="QH145" s="207"/>
      <c r="QI145" s="207"/>
      <c r="QJ145" s="294"/>
      <c r="QK145" s="207"/>
      <c r="QL145" s="207"/>
      <c r="QM145" s="272"/>
      <c r="QN145" s="272"/>
      <c r="QO145" s="205">
        <f t="shared" si="1479"/>
        <v>0</v>
      </c>
      <c r="QP145" s="207"/>
      <c r="QQ145" s="207"/>
      <c r="QR145" s="207"/>
      <c r="QS145" s="207"/>
      <c r="QT145" s="207"/>
      <c r="QU145" s="272"/>
      <c r="QV145" s="272"/>
      <c r="QW145" s="205">
        <f t="shared" si="1480"/>
        <v>0</v>
      </c>
      <c r="QX145" s="205">
        <f t="shared" si="1481"/>
        <v>600</v>
      </c>
      <c r="QY145" s="207"/>
      <c r="QZ145" s="207"/>
      <c r="RA145" s="120"/>
      <c r="RB145" s="120"/>
      <c r="RC145" s="123">
        <v>900</v>
      </c>
      <c r="RD145" s="272"/>
      <c r="RE145" s="272"/>
      <c r="RF145" s="205">
        <f t="shared" si="1482"/>
        <v>900</v>
      </c>
      <c r="RG145" s="207"/>
      <c r="RH145" s="207"/>
      <c r="RI145" s="207"/>
      <c r="RJ145" s="207"/>
      <c r="RK145" s="207"/>
      <c r="RL145" s="272"/>
      <c r="RM145" s="272"/>
      <c r="RN145" s="205">
        <f t="shared" si="1483"/>
        <v>0</v>
      </c>
      <c r="RO145" s="272"/>
      <c r="RP145" s="272"/>
      <c r="RQ145" s="272"/>
      <c r="RR145" s="272"/>
      <c r="RS145" s="272"/>
      <c r="RT145" s="272"/>
      <c r="RU145" s="272"/>
      <c r="RV145" s="205">
        <f t="shared" si="1484"/>
        <v>0</v>
      </c>
      <c r="RW145" s="207"/>
      <c r="RX145" s="207"/>
      <c r="RY145" s="207"/>
      <c r="RZ145" s="207"/>
      <c r="SA145" s="272"/>
      <c r="SB145" s="272"/>
      <c r="SC145" s="272"/>
      <c r="SD145" s="205">
        <f t="shared" si="1485"/>
        <v>0</v>
      </c>
      <c r="SE145" s="205">
        <f t="shared" si="1486"/>
        <v>900</v>
      </c>
      <c r="SF145" s="207"/>
      <c r="SG145" s="207"/>
      <c r="SH145" s="207"/>
      <c r="SI145" s="207"/>
      <c r="SJ145" s="207"/>
      <c r="SK145" s="272"/>
      <c r="SL145" s="272"/>
      <c r="SM145" s="205">
        <f t="shared" si="1487"/>
        <v>0</v>
      </c>
      <c r="SN145" s="207"/>
      <c r="SO145" s="207"/>
      <c r="SP145" s="207"/>
      <c r="SQ145" s="207"/>
      <c r="SR145" s="207"/>
      <c r="SS145" s="272"/>
      <c r="ST145" s="272"/>
      <c r="SU145" s="205">
        <f t="shared" si="1488"/>
        <v>0</v>
      </c>
      <c r="SV145" s="207"/>
      <c r="SW145" s="120"/>
      <c r="SX145" s="120"/>
      <c r="SY145" s="120"/>
      <c r="SZ145" s="207"/>
      <c r="TA145" s="272"/>
      <c r="TB145" s="272"/>
      <c r="TC145" s="205">
        <f t="shared" si="1489"/>
        <v>0</v>
      </c>
      <c r="TD145" s="120"/>
      <c r="TE145" s="120"/>
      <c r="TF145" s="195">
        <v>600</v>
      </c>
      <c r="TG145" s="207"/>
      <c r="TH145" s="207"/>
      <c r="TI145" s="272"/>
      <c r="TJ145" s="272"/>
      <c r="TK145" s="205">
        <f t="shared" si="1490"/>
        <v>600</v>
      </c>
      <c r="TL145" s="207"/>
      <c r="TM145" s="207"/>
      <c r="TN145" s="195">
        <v>600</v>
      </c>
      <c r="TO145" s="123">
        <v>448</v>
      </c>
      <c r="TP145" s="272"/>
      <c r="TQ145" s="272"/>
      <c r="TR145" s="272"/>
      <c r="TS145" s="205">
        <f t="shared" si="1491"/>
        <v>1048</v>
      </c>
      <c r="TT145" s="205">
        <f t="shared" si="1492"/>
        <v>600</v>
      </c>
      <c r="TU145" s="272"/>
      <c r="TV145" s="207"/>
      <c r="TW145" s="195">
        <v>800</v>
      </c>
      <c r="TX145" s="207"/>
      <c r="TY145" s="207"/>
      <c r="TZ145" s="272"/>
      <c r="UA145" s="272"/>
      <c r="UB145" s="205">
        <f t="shared" si="1493"/>
        <v>800</v>
      </c>
      <c r="UC145" s="207"/>
      <c r="UD145" s="120"/>
      <c r="UE145" s="120"/>
      <c r="UF145" s="120"/>
      <c r="UG145" s="207"/>
      <c r="UH145" s="272"/>
      <c r="UI145" s="272"/>
      <c r="UJ145" s="205">
        <f t="shared" si="1494"/>
        <v>0</v>
      </c>
      <c r="UK145" s="207"/>
      <c r="UL145" s="207"/>
      <c r="UM145" s="207"/>
      <c r="UN145" s="207"/>
      <c r="UO145" s="207"/>
      <c r="UP145" s="272"/>
      <c r="UQ145" s="272"/>
      <c r="UR145" s="205">
        <f t="shared" si="1495"/>
        <v>0</v>
      </c>
      <c r="US145" s="195">
        <v>600</v>
      </c>
      <c r="UT145" s="207"/>
      <c r="UU145" s="207"/>
      <c r="UV145" s="207"/>
      <c r="UW145" s="272"/>
      <c r="UX145" s="272"/>
      <c r="UY145" s="272"/>
      <c r="UZ145" s="205">
        <f>SUM(US145:UY145)</f>
        <v>600</v>
      </c>
      <c r="VA145" s="205">
        <f>SUM(TN145:TR145,UB145,UJ145,UR145,US145:UV145)</f>
        <v>2448</v>
      </c>
      <c r="VB145" s="207"/>
      <c r="VC145" s="124">
        <v>600</v>
      </c>
      <c r="VD145" s="120"/>
      <c r="VE145" s="120"/>
      <c r="VF145" s="120"/>
      <c r="VG145" s="272"/>
      <c r="VH145" s="272"/>
      <c r="VI145" s="205">
        <f t="shared" si="1498"/>
        <v>600</v>
      </c>
      <c r="VJ145" s="207"/>
      <c r="VK145" s="207"/>
      <c r="VL145" s="207"/>
      <c r="VM145" s="207"/>
      <c r="VN145" s="207"/>
      <c r="VO145" s="272"/>
      <c r="VP145" s="272"/>
      <c r="VQ145" s="205">
        <f t="shared" si="1499"/>
        <v>0</v>
      </c>
      <c r="VR145" s="120"/>
      <c r="VS145" s="120"/>
      <c r="VT145" s="120"/>
      <c r="VU145" s="207"/>
      <c r="VV145" s="207"/>
      <c r="VW145" s="272"/>
      <c r="VX145" s="272"/>
      <c r="VY145" s="205">
        <f t="shared" si="1500"/>
        <v>0</v>
      </c>
      <c r="VZ145" s="207"/>
      <c r="WA145" s="120"/>
      <c r="WB145" s="120"/>
      <c r="WC145" s="195">
        <v>200</v>
      </c>
      <c r="WD145" s="207"/>
      <c r="WE145" s="272"/>
      <c r="WF145" s="272"/>
      <c r="WG145" s="205">
        <f>SUM(WA145:WF145)</f>
        <v>200</v>
      </c>
      <c r="WH145" s="205">
        <f t="shared" si="1502"/>
        <v>800</v>
      </c>
      <c r="WI145" s="207"/>
      <c r="WJ145" s="207"/>
      <c r="WK145" s="207"/>
      <c r="WL145" s="207"/>
      <c r="WM145" s="207"/>
      <c r="WN145" s="272"/>
      <c r="WO145" s="272"/>
      <c r="WP145" s="205">
        <f t="shared" si="1503"/>
        <v>0</v>
      </c>
      <c r="WQ145" s="207"/>
      <c r="WR145" s="207"/>
      <c r="WS145" s="207"/>
      <c r="WT145" s="207"/>
      <c r="WU145" s="207"/>
      <c r="WV145" s="272"/>
      <c r="WW145" s="272"/>
      <c r="WX145" s="205">
        <f t="shared" si="1504"/>
        <v>0</v>
      </c>
      <c r="WY145" s="207"/>
      <c r="WZ145" s="207"/>
      <c r="XA145" s="207"/>
      <c r="XB145" s="207"/>
      <c r="XC145" s="272"/>
      <c r="XD145" s="272"/>
      <c r="XE145" s="272"/>
      <c r="XF145" s="205">
        <f t="shared" si="1505"/>
        <v>0</v>
      </c>
      <c r="XG145" s="207"/>
      <c r="XH145" s="207"/>
      <c r="XI145" s="207"/>
      <c r="XJ145" s="207"/>
      <c r="XK145" s="207"/>
      <c r="XL145" s="272"/>
      <c r="XM145" s="272"/>
      <c r="XN145" s="205">
        <f t="shared" si="1506"/>
        <v>0</v>
      </c>
      <c r="XO145" s="120"/>
      <c r="XP145" s="120"/>
      <c r="XQ145" s="120">
        <v>200</v>
      </c>
      <c r="XR145" s="207"/>
      <c r="XS145" s="207"/>
      <c r="XT145" s="272"/>
      <c r="XU145" s="272"/>
      <c r="XV145" s="205">
        <f t="shared" si="1507"/>
        <v>200</v>
      </c>
      <c r="XW145" s="205">
        <f t="shared" si="1508"/>
        <v>0</v>
      </c>
      <c r="XX145" s="207"/>
      <c r="XY145" s="207"/>
      <c r="XZ145" s="207"/>
      <c r="YA145" s="207"/>
      <c r="YB145" s="207"/>
      <c r="YC145" s="272"/>
      <c r="YD145" s="272"/>
      <c r="YE145" s="205">
        <f t="shared" si="1509"/>
        <v>0</v>
      </c>
      <c r="YF145" s="207"/>
      <c r="YG145" s="207"/>
      <c r="YH145" s="207"/>
      <c r="YI145" s="207"/>
      <c r="YJ145" s="207"/>
      <c r="YK145" s="272"/>
      <c r="YL145" s="272"/>
      <c r="YM145" s="205">
        <f t="shared" si="1510"/>
        <v>0</v>
      </c>
      <c r="YN145" s="207"/>
      <c r="YO145" s="207"/>
      <c r="YP145" s="207"/>
      <c r="YQ145" s="207"/>
      <c r="YR145" s="207"/>
      <c r="YS145" s="272"/>
      <c r="YT145" s="272"/>
      <c r="YU145" s="205">
        <f t="shared" si="1511"/>
        <v>0</v>
      </c>
      <c r="YV145" s="207"/>
      <c r="YW145" s="207"/>
      <c r="YX145" s="207"/>
      <c r="YY145" s="207"/>
      <c r="YZ145" s="207"/>
      <c r="ZA145" s="272"/>
      <c r="ZB145" s="272"/>
      <c r="ZC145" s="205">
        <f t="shared" si="1512"/>
        <v>0</v>
      </c>
      <c r="ZD145" s="205">
        <f t="shared" si="1513"/>
        <v>0</v>
      </c>
      <c r="ZE145" s="207"/>
      <c r="ZF145" s="207"/>
      <c r="ZG145" s="207"/>
      <c r="ZH145" s="207"/>
      <c r="ZI145" s="207"/>
      <c r="ZJ145" s="272"/>
      <c r="ZK145" s="272"/>
      <c r="ZL145" s="205">
        <f t="shared" si="1514"/>
        <v>0</v>
      </c>
      <c r="ZM145" s="207"/>
      <c r="ZN145" s="207"/>
      <c r="ZO145" s="207"/>
      <c r="ZP145" s="207"/>
      <c r="ZQ145" s="207"/>
      <c r="ZR145" s="272"/>
      <c r="ZS145" s="272"/>
      <c r="ZT145" s="205">
        <f t="shared" si="1515"/>
        <v>0</v>
      </c>
      <c r="ZU145" s="207"/>
      <c r="ZV145" s="207"/>
      <c r="ZW145" s="207"/>
      <c r="ZX145" s="207"/>
      <c r="ZY145" s="207"/>
      <c r="ZZ145" s="272"/>
      <c r="AAA145" s="272"/>
      <c r="AAB145" s="205">
        <f t="shared" si="1516"/>
        <v>0</v>
      </c>
      <c r="AAC145" s="207"/>
      <c r="AAD145" s="207"/>
      <c r="AAE145" s="207"/>
      <c r="AAF145" s="207"/>
      <c r="AAG145" s="207"/>
      <c r="AAH145" s="272"/>
      <c r="AAI145" s="272"/>
      <c r="AAJ145" s="205">
        <f t="shared" si="1517"/>
        <v>0</v>
      </c>
      <c r="AAK145" s="207"/>
      <c r="AAL145" s="207"/>
      <c r="AAM145" s="207"/>
      <c r="AAN145" s="207"/>
      <c r="AAO145" s="207"/>
      <c r="AAP145" s="272"/>
      <c r="AAQ145" s="272"/>
      <c r="AAR145" s="205">
        <f t="shared" si="1518"/>
        <v>0</v>
      </c>
      <c r="AAS145" s="205">
        <f t="shared" si="1519"/>
        <v>0</v>
      </c>
    </row>
    <row r="146" spans="1:721" ht="87" customHeight="1">
      <c r="B146" s="130" t="s">
        <v>905</v>
      </c>
      <c r="C146" s="337"/>
      <c r="D146" s="173" t="s">
        <v>947</v>
      </c>
      <c r="E146" s="130" t="s">
        <v>4</v>
      </c>
      <c r="F146" s="120"/>
      <c r="G146" s="120"/>
      <c r="H146" s="120"/>
      <c r="I146" s="120"/>
      <c r="J146" s="201"/>
      <c r="K146" s="209"/>
      <c r="L146" s="205"/>
      <c r="M146" s="205"/>
      <c r="N146" s="120"/>
      <c r="O146" s="120"/>
      <c r="P146" s="120"/>
      <c r="Q146" s="120"/>
      <c r="R146" s="120"/>
      <c r="S146" s="209"/>
      <c r="T146" s="205"/>
      <c r="U146" s="205"/>
      <c r="V146" s="120"/>
      <c r="W146" s="120"/>
      <c r="X146" s="120"/>
      <c r="Y146" s="218"/>
      <c r="Z146" s="120"/>
      <c r="AA146" s="209"/>
      <c r="AB146" s="205"/>
      <c r="AC146" s="205"/>
      <c r="AD146" s="205"/>
      <c r="AE146" s="205"/>
      <c r="AF146" s="205"/>
      <c r="AG146" s="205"/>
      <c r="AH146" s="205"/>
      <c r="AI146" s="209"/>
      <c r="AJ146" s="205"/>
      <c r="AK146" s="205"/>
      <c r="AL146" s="205"/>
      <c r="AM146" s="120"/>
      <c r="AN146" s="120"/>
      <c r="AO146" s="120"/>
      <c r="AP146" s="120"/>
      <c r="AQ146" s="120"/>
      <c r="AR146" s="209"/>
      <c r="AS146" s="205"/>
      <c r="AT146" s="205"/>
      <c r="AU146" s="120"/>
      <c r="AV146" s="120"/>
      <c r="AW146" s="120"/>
      <c r="AX146" s="120"/>
      <c r="AY146" s="120"/>
      <c r="AZ146" s="209"/>
      <c r="BA146" s="205"/>
      <c r="BB146" s="205"/>
      <c r="BC146" s="120"/>
      <c r="BD146" s="120"/>
      <c r="BE146" s="120"/>
      <c r="BF146" s="120"/>
      <c r="BG146" s="120"/>
      <c r="BH146" s="209"/>
      <c r="BI146" s="205"/>
      <c r="BJ146" s="205"/>
      <c r="BK146" s="120"/>
      <c r="BL146" s="120"/>
      <c r="BM146" s="120"/>
      <c r="BN146" s="217"/>
      <c r="BO146" s="205"/>
      <c r="BP146" s="209"/>
      <c r="BQ146" s="205"/>
      <c r="BR146" s="205"/>
      <c r="BS146" s="205"/>
      <c r="BT146" s="120"/>
      <c r="BU146" s="120"/>
      <c r="BV146" s="120"/>
      <c r="BW146" s="120"/>
      <c r="BX146" s="120"/>
      <c r="BY146" s="209"/>
      <c r="BZ146" s="205"/>
      <c r="CA146" s="205"/>
      <c r="CB146" s="120"/>
      <c r="CC146" s="120"/>
      <c r="CD146" s="120"/>
      <c r="CE146" s="120"/>
      <c r="CF146" s="120"/>
      <c r="CG146" s="209"/>
      <c r="CH146" s="205"/>
      <c r="CI146" s="205"/>
      <c r="CJ146" s="120"/>
      <c r="CK146" s="120"/>
      <c r="CL146" s="120"/>
      <c r="CM146" s="120"/>
      <c r="CN146" s="120"/>
      <c r="CO146" s="209"/>
      <c r="CP146" s="205"/>
      <c r="CQ146" s="205"/>
      <c r="CR146" s="120"/>
      <c r="CS146" s="120"/>
      <c r="CT146" s="250"/>
      <c r="CU146" s="120"/>
      <c r="CV146" s="120"/>
      <c r="CW146" s="209"/>
      <c r="CX146" s="205"/>
      <c r="CY146" s="205"/>
      <c r="CZ146" s="120"/>
      <c r="DA146" s="120"/>
      <c r="DB146" s="120"/>
      <c r="DC146" s="205"/>
      <c r="DD146" s="205"/>
      <c r="DE146" s="209"/>
      <c r="DF146" s="205"/>
      <c r="DG146" s="205"/>
      <c r="DH146" s="205"/>
      <c r="DI146" s="120"/>
      <c r="DJ146" s="120"/>
      <c r="DK146" s="120"/>
      <c r="DL146" s="120"/>
      <c r="DM146" s="120"/>
      <c r="DN146" s="209"/>
      <c r="DO146" s="205"/>
      <c r="DP146" s="205"/>
      <c r="DQ146" s="120"/>
      <c r="DR146" s="120"/>
      <c r="DS146" s="120"/>
      <c r="DT146" s="120"/>
      <c r="DU146" s="120"/>
      <c r="DV146" s="209"/>
      <c r="DW146" s="205"/>
      <c r="DX146" s="205"/>
      <c r="DY146" s="207"/>
      <c r="DZ146" s="207"/>
      <c r="EA146" s="207"/>
      <c r="EB146" s="120"/>
      <c r="EC146" s="120"/>
      <c r="ED146" s="209"/>
      <c r="EE146" s="205"/>
      <c r="EF146" s="205"/>
      <c r="EG146" s="120"/>
      <c r="EH146" s="120"/>
      <c r="EI146" s="120"/>
      <c r="EJ146" s="205"/>
      <c r="EK146" s="205"/>
      <c r="EL146" s="209"/>
      <c r="EM146" s="205"/>
      <c r="EN146" s="205"/>
      <c r="EO146" s="205"/>
      <c r="EP146" s="120"/>
      <c r="EQ146" s="120"/>
      <c r="ER146" s="250"/>
      <c r="ES146" s="120"/>
      <c r="ET146" s="120"/>
      <c r="EU146" s="209"/>
      <c r="EV146" s="205"/>
      <c r="EW146" s="205"/>
      <c r="EX146" s="120"/>
      <c r="EY146" s="120"/>
      <c r="EZ146" s="120"/>
      <c r="FA146" s="120"/>
      <c r="FB146" s="120"/>
      <c r="FC146" s="209"/>
      <c r="FD146" s="205"/>
      <c r="FE146" s="205"/>
      <c r="FF146" s="120"/>
      <c r="FG146" s="120"/>
      <c r="FH146" s="120"/>
      <c r="FI146" s="120"/>
      <c r="FJ146" s="120"/>
      <c r="FK146" s="209"/>
      <c r="FL146" s="205"/>
      <c r="FM146" s="205"/>
      <c r="FN146" s="120"/>
      <c r="FO146" s="120"/>
      <c r="FP146" s="120"/>
      <c r="FQ146" s="120"/>
      <c r="FR146" s="205"/>
      <c r="FS146" s="209"/>
      <c r="FT146" s="205"/>
      <c r="FU146" s="205"/>
      <c r="FV146" s="205"/>
      <c r="FW146" s="120"/>
      <c r="FX146" s="120"/>
      <c r="FY146" s="120"/>
      <c r="FZ146" s="120"/>
      <c r="GA146" s="120"/>
      <c r="GB146" s="209"/>
      <c r="GC146" s="205"/>
      <c r="GD146" s="205"/>
      <c r="GE146" s="250"/>
      <c r="GF146" s="120"/>
      <c r="GG146" s="120"/>
      <c r="GH146" s="120"/>
      <c r="GI146" s="120"/>
      <c r="GJ146" s="209"/>
      <c r="GK146" s="205"/>
      <c r="GL146" s="205"/>
      <c r="GM146" s="120"/>
      <c r="GN146" s="120"/>
      <c r="GO146" s="120"/>
      <c r="GP146" s="120"/>
      <c r="GQ146" s="120"/>
      <c r="GR146" s="209"/>
      <c r="GS146" s="205"/>
      <c r="GT146" s="205"/>
      <c r="GU146" s="120"/>
      <c r="GV146" s="120"/>
      <c r="GW146" s="120"/>
      <c r="GX146" s="120"/>
      <c r="GY146" s="120"/>
      <c r="GZ146" s="209"/>
      <c r="HA146" s="205"/>
      <c r="HB146" s="205"/>
      <c r="HC146" s="120"/>
      <c r="HD146" s="120"/>
      <c r="HE146" s="120"/>
      <c r="HF146" s="120"/>
      <c r="HG146" s="120"/>
      <c r="HH146" s="209"/>
      <c r="HI146" s="205"/>
      <c r="HJ146" s="205"/>
      <c r="HK146" s="205"/>
      <c r="HL146" s="124"/>
      <c r="HM146" s="120"/>
      <c r="HN146" s="120"/>
      <c r="HO146" s="120"/>
      <c r="HP146" s="250"/>
      <c r="HQ146" s="205"/>
      <c r="HR146" s="205"/>
      <c r="HS146" s="205"/>
      <c r="HT146" s="120"/>
      <c r="HU146" s="120"/>
      <c r="HV146" s="120"/>
      <c r="HW146" s="120"/>
      <c r="HX146" s="120"/>
      <c r="HY146" s="205"/>
      <c r="HZ146" s="205"/>
      <c r="IA146" s="205"/>
      <c r="IB146" s="120"/>
      <c r="IC146" s="120"/>
      <c r="ID146" s="120"/>
      <c r="IE146" s="120"/>
      <c r="IF146" s="120"/>
      <c r="IG146" s="205"/>
      <c r="IH146" s="205"/>
      <c r="II146" s="205"/>
      <c r="IJ146" s="120"/>
      <c r="IK146" s="120"/>
      <c r="IL146" s="120"/>
      <c r="IM146" s="120"/>
      <c r="IN146" s="120"/>
      <c r="IO146" s="205"/>
      <c r="IP146" s="205"/>
      <c r="IQ146" s="205"/>
      <c r="IR146" s="205"/>
      <c r="IS146" s="120"/>
      <c r="IT146" s="120"/>
      <c r="IU146" s="120"/>
      <c r="IV146" s="124"/>
      <c r="IW146" s="120"/>
      <c r="IX146" s="205"/>
      <c r="IY146" s="205"/>
      <c r="IZ146" s="205"/>
      <c r="JA146" s="120"/>
      <c r="JB146" s="120"/>
      <c r="JC146" s="120"/>
      <c r="JD146" s="120"/>
      <c r="JE146" s="120"/>
      <c r="JF146" s="205"/>
      <c r="JG146" s="205"/>
      <c r="JH146" s="205"/>
      <c r="JI146" s="120"/>
      <c r="JJ146" s="120"/>
      <c r="JK146" s="120"/>
      <c r="JL146" s="120"/>
      <c r="JM146" s="120"/>
      <c r="JN146" s="205"/>
      <c r="JO146" s="205"/>
      <c r="JP146" s="205"/>
      <c r="JQ146" s="120"/>
      <c r="JR146" s="120"/>
      <c r="JS146" s="120"/>
      <c r="JT146" s="124"/>
      <c r="JU146" s="120"/>
      <c r="JV146" s="205"/>
      <c r="JW146" s="205"/>
      <c r="JX146" s="205"/>
      <c r="JY146" s="205"/>
      <c r="JZ146" s="120"/>
      <c r="KA146" s="120"/>
      <c r="KB146" s="120"/>
      <c r="KC146" s="120"/>
      <c r="KD146" s="120"/>
      <c r="KE146" s="205"/>
      <c r="KF146" s="205"/>
      <c r="KG146" s="205"/>
      <c r="KH146" s="120"/>
      <c r="KI146" s="120"/>
      <c r="KJ146" s="206"/>
      <c r="KK146" s="120"/>
      <c r="KL146" s="120"/>
      <c r="KM146" s="205"/>
      <c r="KN146" s="205"/>
      <c r="KO146" s="205"/>
      <c r="KP146" s="120"/>
      <c r="KQ146" s="120"/>
      <c r="KR146" s="120"/>
      <c r="KS146" s="120"/>
      <c r="KT146" s="120"/>
      <c r="KU146" s="205"/>
      <c r="KV146" s="205"/>
      <c r="KW146" s="205"/>
      <c r="KX146" s="120"/>
      <c r="KY146" s="120"/>
      <c r="KZ146" s="120"/>
      <c r="LA146" s="120"/>
      <c r="LB146" s="120"/>
      <c r="LC146" s="205"/>
      <c r="LD146" s="205"/>
      <c r="LE146" s="205"/>
      <c r="LF146" s="205"/>
      <c r="LG146" s="120"/>
      <c r="LH146" s="120"/>
      <c r="LI146" s="120"/>
      <c r="LJ146" s="120"/>
      <c r="LK146" s="205"/>
      <c r="LL146" s="205"/>
      <c r="LM146" s="205"/>
      <c r="LN146" s="205"/>
      <c r="LO146" s="205"/>
      <c r="LP146" s="120"/>
      <c r="LQ146" s="120"/>
      <c r="LR146" s="120"/>
      <c r="LS146" s="205"/>
      <c r="LT146" s="205"/>
      <c r="LU146" s="205"/>
      <c r="LV146" s="205"/>
      <c r="LW146" s="120"/>
      <c r="LX146" s="120"/>
      <c r="LY146" s="120"/>
      <c r="LZ146" s="120"/>
      <c r="MA146" s="120"/>
      <c r="MB146" s="205"/>
      <c r="MC146" s="205"/>
      <c r="MD146" s="205"/>
      <c r="ME146" s="120"/>
      <c r="MF146" s="201"/>
      <c r="MG146" s="120"/>
      <c r="MH146" s="120"/>
      <c r="MI146" s="205"/>
      <c r="MJ146" s="205"/>
      <c r="MK146" s="205"/>
      <c r="ML146" s="205"/>
      <c r="MM146" s="120"/>
      <c r="MN146" s="120"/>
      <c r="MO146" s="120"/>
      <c r="MP146" s="120"/>
      <c r="MQ146" s="120"/>
      <c r="MR146" s="205"/>
      <c r="MS146" s="205"/>
      <c r="MT146" s="205"/>
      <c r="MU146" s="205"/>
      <c r="MV146" s="120"/>
      <c r="MW146" s="120"/>
      <c r="MX146" s="120"/>
      <c r="MY146" s="120"/>
      <c r="MZ146" s="120"/>
      <c r="NA146" s="205"/>
      <c r="NB146" s="205"/>
      <c r="NC146" s="205"/>
      <c r="ND146" s="120"/>
      <c r="NE146" s="120"/>
      <c r="NF146" s="120"/>
      <c r="NG146" s="120"/>
      <c r="NH146" s="120"/>
      <c r="NI146" s="205"/>
      <c r="NJ146" s="205"/>
      <c r="NK146" s="205"/>
      <c r="NL146" s="120"/>
      <c r="NM146" s="120"/>
      <c r="NN146" s="124"/>
      <c r="NO146" s="120"/>
      <c r="NP146" s="120"/>
      <c r="NQ146" s="205"/>
      <c r="NR146" s="205"/>
      <c r="NS146" s="205"/>
      <c r="NT146" s="120"/>
      <c r="NU146" s="217"/>
      <c r="NV146" s="120"/>
      <c r="NW146" s="123"/>
      <c r="NX146" s="120"/>
      <c r="NY146" s="205"/>
      <c r="NZ146" s="205"/>
      <c r="OA146" s="205"/>
      <c r="OB146" s="205"/>
      <c r="OC146" s="120"/>
      <c r="OD146" s="120"/>
      <c r="OE146" s="120"/>
      <c r="OF146" s="120"/>
      <c r="OG146" s="120"/>
      <c r="OH146" s="205"/>
      <c r="OI146" s="205"/>
      <c r="OJ146" s="205"/>
      <c r="OK146" s="120"/>
      <c r="OL146" s="120"/>
      <c r="OM146" s="120"/>
      <c r="ON146" s="120"/>
      <c r="OO146" s="120"/>
      <c r="OP146" s="205"/>
      <c r="OQ146" s="205"/>
      <c r="OR146" s="205"/>
      <c r="OS146" s="120"/>
      <c r="OT146" s="120"/>
      <c r="OU146" s="120"/>
      <c r="OV146" s="120"/>
      <c r="OW146" s="120"/>
      <c r="OX146" s="205"/>
      <c r="OY146" s="205"/>
      <c r="OZ146" s="205"/>
      <c r="PA146" s="120"/>
      <c r="PB146" s="120"/>
      <c r="PC146" s="120"/>
      <c r="PD146" s="205"/>
      <c r="PE146" s="217"/>
      <c r="PF146" s="205"/>
      <c r="PG146" s="205"/>
      <c r="PH146" s="205"/>
      <c r="PI146" s="120"/>
      <c r="PJ146" s="120"/>
      <c r="PK146" s="120"/>
      <c r="PL146" s="205"/>
      <c r="PM146" s="217"/>
      <c r="PN146" s="205"/>
      <c r="PO146" s="205"/>
      <c r="PP146" s="205"/>
      <c r="PQ146" s="205"/>
      <c r="PR146" s="120"/>
      <c r="PS146" s="120"/>
      <c r="PT146" s="206"/>
      <c r="PU146" s="120"/>
      <c r="PV146" s="207"/>
      <c r="PW146" s="272"/>
      <c r="PX146" s="272"/>
      <c r="PY146" s="205"/>
      <c r="PZ146" s="207"/>
      <c r="QA146" s="207"/>
      <c r="QB146" s="207"/>
      <c r="QC146" s="207"/>
      <c r="QD146" s="207"/>
      <c r="QE146" s="272"/>
      <c r="QF146" s="272"/>
      <c r="QG146" s="205"/>
      <c r="QH146" s="207"/>
      <c r="QI146" s="207"/>
      <c r="QJ146" s="294"/>
      <c r="QK146" s="207"/>
      <c r="QL146" s="207"/>
      <c r="QM146" s="272"/>
      <c r="QN146" s="272"/>
      <c r="QO146" s="205"/>
      <c r="QP146" s="207"/>
      <c r="QQ146" s="207"/>
      <c r="QR146" s="207"/>
      <c r="QS146" s="207"/>
      <c r="QT146" s="207"/>
      <c r="QU146" s="272"/>
      <c r="QV146" s="272"/>
      <c r="QW146" s="205"/>
      <c r="QX146" s="205"/>
      <c r="QY146" s="207"/>
      <c r="QZ146" s="207"/>
      <c r="RA146" s="120"/>
      <c r="RB146" s="120"/>
      <c r="RC146" s="123"/>
      <c r="RD146" s="272"/>
      <c r="RE146" s="272"/>
      <c r="RF146" s="205"/>
      <c r="RG146" s="207"/>
      <c r="RH146" s="207"/>
      <c r="RI146" s="207"/>
      <c r="RJ146" s="207"/>
      <c r="RK146" s="207"/>
      <c r="RL146" s="272"/>
      <c r="RM146" s="272"/>
      <c r="RN146" s="205"/>
      <c r="RO146" s="272"/>
      <c r="RP146" s="272"/>
      <c r="RQ146" s="272"/>
      <c r="RR146" s="272"/>
      <c r="RS146" s="272"/>
      <c r="RT146" s="272"/>
      <c r="RU146" s="272"/>
      <c r="RV146" s="205"/>
      <c r="RW146" s="207"/>
      <c r="RX146" s="207"/>
      <c r="RY146" s="207"/>
      <c r="RZ146" s="207"/>
      <c r="SA146" s="272"/>
      <c r="SB146" s="272"/>
      <c r="SC146" s="272"/>
      <c r="SD146" s="205"/>
      <c r="SE146" s="205"/>
      <c r="SF146" s="207"/>
      <c r="SG146" s="207"/>
      <c r="SH146" s="207"/>
      <c r="SI146" s="207"/>
      <c r="SJ146" s="207"/>
      <c r="SK146" s="272"/>
      <c r="SL146" s="272"/>
      <c r="SM146" s="205"/>
      <c r="SN146" s="207"/>
      <c r="SO146" s="207"/>
      <c r="SP146" s="207"/>
      <c r="SQ146" s="207"/>
      <c r="SR146" s="207"/>
      <c r="SS146" s="272"/>
      <c r="ST146" s="272"/>
      <c r="SU146" s="205"/>
      <c r="SV146" s="207"/>
      <c r="SW146" s="120"/>
      <c r="SX146" s="120"/>
      <c r="SY146" s="120"/>
      <c r="SZ146" s="207"/>
      <c r="TA146" s="272"/>
      <c r="TB146" s="272"/>
      <c r="TC146" s="205"/>
      <c r="TD146" s="120"/>
      <c r="TE146" s="120"/>
      <c r="TF146" s="195">
        <v>570</v>
      </c>
      <c r="TG146" s="207"/>
      <c r="TH146" s="207"/>
      <c r="TI146" s="272"/>
      <c r="TJ146" s="272"/>
      <c r="TK146" s="205"/>
      <c r="TL146" s="207"/>
      <c r="TM146" s="207"/>
      <c r="TN146" s="195">
        <v>570</v>
      </c>
      <c r="TO146" s="123">
        <v>570</v>
      </c>
      <c r="TP146" s="272"/>
      <c r="TQ146" s="272"/>
      <c r="TR146" s="272"/>
      <c r="TS146" s="205">
        <f t="shared" ref="TS146" si="1561">SUM(TL146:TR146)</f>
        <v>1140</v>
      </c>
      <c r="TT146" s="205">
        <f t="shared" ref="TT146" si="1562">SUM(TL146:TM146,TK146,TC146,SU146,SM146,SC146)</f>
        <v>0</v>
      </c>
      <c r="TU146" s="272"/>
      <c r="TV146" s="207"/>
      <c r="TW146" s="207"/>
      <c r="TX146" s="207"/>
      <c r="TY146" s="207"/>
      <c r="TZ146" s="272"/>
      <c r="UA146" s="272"/>
      <c r="UB146" s="205"/>
      <c r="UC146" s="207"/>
      <c r="UD146" s="207"/>
      <c r="UE146" s="207"/>
      <c r="UF146" s="207"/>
      <c r="UG146" s="207"/>
      <c r="UH146" s="272"/>
      <c r="UI146" s="272"/>
      <c r="UJ146" s="205"/>
      <c r="UK146" s="207"/>
      <c r="UL146" s="207"/>
      <c r="UM146" s="207"/>
      <c r="UN146" s="207"/>
      <c r="UO146" s="207"/>
      <c r="UP146" s="272"/>
      <c r="UQ146" s="272"/>
      <c r="UR146" s="205"/>
      <c r="US146" s="207"/>
      <c r="UT146" s="207"/>
      <c r="UU146" s="207"/>
      <c r="UV146" s="207"/>
      <c r="UW146" s="272"/>
      <c r="UX146" s="272"/>
      <c r="UY146" s="272"/>
      <c r="UZ146" s="205">
        <f t="shared" ref="UZ146" si="1563">SUM(US146:UY146)</f>
        <v>0</v>
      </c>
      <c r="VA146" s="205">
        <f t="shared" ref="VA146" si="1564">SUM(TN146:TR146,UB146,UJ146,UR146,US146:UV146)</f>
        <v>1140</v>
      </c>
      <c r="VB146" s="207"/>
      <c r="VC146" s="207"/>
      <c r="VD146" s="120"/>
      <c r="VE146" s="120"/>
      <c r="VF146" s="120"/>
      <c r="VG146" s="272"/>
      <c r="VH146" s="272"/>
      <c r="VI146" s="205">
        <f t="shared" si="1498"/>
        <v>0</v>
      </c>
      <c r="VJ146" s="207"/>
      <c r="VK146" s="207"/>
      <c r="VL146" s="207"/>
      <c r="VM146" s="207"/>
      <c r="VN146" s="207"/>
      <c r="VO146" s="272"/>
      <c r="VP146" s="272"/>
      <c r="VQ146" s="205">
        <f t="shared" si="1499"/>
        <v>0</v>
      </c>
      <c r="VR146" s="207"/>
      <c r="VS146" s="207"/>
      <c r="VT146" s="207"/>
      <c r="VU146" s="207"/>
      <c r="VV146" s="207"/>
      <c r="VW146" s="272"/>
      <c r="VX146" s="272"/>
      <c r="VY146" s="205">
        <f t="shared" si="1500"/>
        <v>0</v>
      </c>
      <c r="VZ146" s="207"/>
      <c r="WA146" s="207"/>
      <c r="WB146" s="207"/>
      <c r="WC146" s="207"/>
      <c r="WD146" s="207"/>
      <c r="WE146" s="272"/>
      <c r="WF146" s="272"/>
      <c r="WG146" s="205">
        <f t="shared" ref="WG146:WG147" si="1565">SUM(WA146:WF146)</f>
        <v>0</v>
      </c>
      <c r="WH146" s="205">
        <f t="shared" ref="WH146:WH147" si="1566">SUM(WG146,VY146,VQ146,VI146,UW146:UY146)</f>
        <v>0</v>
      </c>
      <c r="WI146" s="207"/>
      <c r="WJ146" s="207"/>
      <c r="WK146" s="207"/>
      <c r="WL146" s="207"/>
      <c r="WM146" s="207"/>
      <c r="WN146" s="272"/>
      <c r="WO146" s="272"/>
      <c r="WP146" s="205">
        <f t="shared" si="1503"/>
        <v>0</v>
      </c>
      <c r="WQ146" s="207"/>
      <c r="WR146" s="207"/>
      <c r="WS146" s="207"/>
      <c r="WT146" s="207"/>
      <c r="WU146" s="207"/>
      <c r="WV146" s="272"/>
      <c r="WW146" s="272"/>
      <c r="WX146" s="205">
        <f t="shared" si="1504"/>
        <v>0</v>
      </c>
      <c r="WY146" s="207"/>
      <c r="WZ146" s="207"/>
      <c r="XA146" s="207"/>
      <c r="XB146" s="207"/>
      <c r="XC146" s="272"/>
      <c r="XD146" s="272"/>
      <c r="XE146" s="272"/>
      <c r="XF146" s="205">
        <f t="shared" si="1505"/>
        <v>0</v>
      </c>
      <c r="XG146" s="207"/>
      <c r="XH146" s="207"/>
      <c r="XI146" s="207"/>
      <c r="XJ146" s="207"/>
      <c r="XK146" s="207"/>
      <c r="XL146" s="272"/>
      <c r="XM146" s="272"/>
      <c r="XN146" s="205"/>
      <c r="XO146" s="207"/>
      <c r="XP146" s="207"/>
      <c r="XQ146" s="207"/>
      <c r="XR146" s="207"/>
      <c r="XS146" s="207"/>
      <c r="XT146" s="272"/>
      <c r="XU146" s="272"/>
      <c r="XV146" s="205"/>
      <c r="XW146" s="205"/>
      <c r="XX146" s="207"/>
      <c r="XY146" s="207"/>
      <c r="XZ146" s="207"/>
      <c r="YA146" s="207"/>
      <c r="YB146" s="207"/>
      <c r="YC146" s="272"/>
      <c r="YD146" s="272"/>
      <c r="YE146" s="205">
        <f t="shared" si="1509"/>
        <v>0</v>
      </c>
      <c r="YF146" s="207"/>
      <c r="YG146" s="207"/>
      <c r="YH146" s="207"/>
      <c r="YI146" s="207"/>
      <c r="YJ146" s="207"/>
      <c r="YK146" s="272"/>
      <c r="YL146" s="272"/>
      <c r="YM146" s="205">
        <f t="shared" si="1510"/>
        <v>0</v>
      </c>
      <c r="YN146" s="207"/>
      <c r="YO146" s="207"/>
      <c r="YP146" s="207"/>
      <c r="YQ146" s="207"/>
      <c r="YR146" s="207"/>
      <c r="YS146" s="272"/>
      <c r="YT146" s="272"/>
      <c r="YU146" s="205">
        <f t="shared" si="1511"/>
        <v>0</v>
      </c>
      <c r="YV146" s="207"/>
      <c r="YW146" s="207"/>
      <c r="YX146" s="207"/>
      <c r="YY146" s="207"/>
      <c r="YZ146" s="207"/>
      <c r="ZA146" s="272"/>
      <c r="ZB146" s="272"/>
      <c r="ZC146" s="205">
        <f t="shared" si="1512"/>
        <v>0</v>
      </c>
      <c r="ZD146" s="205">
        <f t="shared" si="1513"/>
        <v>0</v>
      </c>
      <c r="ZE146" s="207"/>
      <c r="ZF146" s="207"/>
      <c r="ZG146" s="207"/>
      <c r="ZH146" s="207"/>
      <c r="ZI146" s="207"/>
      <c r="ZJ146" s="272"/>
      <c r="ZK146" s="272"/>
      <c r="ZL146" s="205">
        <f t="shared" si="1514"/>
        <v>0</v>
      </c>
      <c r="ZM146" s="207"/>
      <c r="ZN146" s="207"/>
      <c r="ZO146" s="207"/>
      <c r="ZP146" s="207"/>
      <c r="ZQ146" s="207"/>
      <c r="ZR146" s="272"/>
      <c r="ZS146" s="272"/>
      <c r="ZT146" s="205">
        <f t="shared" si="1515"/>
        <v>0</v>
      </c>
      <c r="ZU146" s="207"/>
      <c r="ZV146" s="207"/>
      <c r="ZW146" s="207"/>
      <c r="ZX146" s="207"/>
      <c r="ZY146" s="207"/>
      <c r="ZZ146" s="272"/>
      <c r="AAA146" s="272"/>
      <c r="AAB146" s="205">
        <f t="shared" si="1516"/>
        <v>0</v>
      </c>
      <c r="AAC146" s="207"/>
      <c r="AAD146" s="207"/>
      <c r="AAE146" s="207"/>
      <c r="AAF146" s="207"/>
      <c r="AAG146" s="207"/>
      <c r="AAH146" s="272"/>
      <c r="AAI146" s="272"/>
      <c r="AAJ146" s="205">
        <f t="shared" si="1517"/>
        <v>0</v>
      </c>
      <c r="AAK146" s="207"/>
      <c r="AAL146" s="207"/>
      <c r="AAM146" s="207"/>
      <c r="AAN146" s="207"/>
      <c r="AAO146" s="207"/>
      <c r="AAP146" s="272"/>
      <c r="AAQ146" s="272"/>
      <c r="AAR146" s="205">
        <f t="shared" si="1518"/>
        <v>0</v>
      </c>
      <c r="AAS146" s="205">
        <f t="shared" si="1519"/>
        <v>0</v>
      </c>
    </row>
    <row r="147" spans="1:721" ht="86.1" customHeight="1">
      <c r="B147" s="130">
        <v>5714600145</v>
      </c>
      <c r="C147" s="324" t="s">
        <v>519</v>
      </c>
      <c r="D147" s="173" t="s">
        <v>428</v>
      </c>
      <c r="E147" s="130" t="s">
        <v>4</v>
      </c>
      <c r="F147" s="120"/>
      <c r="G147" s="120"/>
      <c r="H147" s="123">
        <v>2000</v>
      </c>
      <c r="I147" s="120"/>
      <c r="J147" s="120"/>
      <c r="K147" s="209"/>
      <c r="L147" s="205"/>
      <c r="M147" s="205">
        <f t="shared" si="1520"/>
        <v>2000</v>
      </c>
      <c r="N147" s="120"/>
      <c r="O147" s="120"/>
      <c r="P147" s="120"/>
      <c r="Q147" s="120"/>
      <c r="R147" s="120"/>
      <c r="S147" s="209"/>
      <c r="T147" s="205"/>
      <c r="U147" s="205">
        <f t="shared" si="1521"/>
        <v>0</v>
      </c>
      <c r="V147" s="120"/>
      <c r="W147" s="120"/>
      <c r="X147" s="120"/>
      <c r="Y147" s="120"/>
      <c r="Z147" s="120"/>
      <c r="AA147" s="209"/>
      <c r="AB147" s="205"/>
      <c r="AC147" s="205">
        <f t="shared" si="1522"/>
        <v>0</v>
      </c>
      <c r="AD147" s="205"/>
      <c r="AE147" s="205"/>
      <c r="AF147" s="205"/>
      <c r="AG147" s="205"/>
      <c r="AH147" s="205"/>
      <c r="AI147" s="209"/>
      <c r="AJ147" s="205"/>
      <c r="AK147" s="205">
        <f t="shared" si="1523"/>
        <v>0</v>
      </c>
      <c r="AL147" s="205" t="e">
        <f>SUM(#REF!,M147,U147,AC147,AD147:AH147)</f>
        <v>#REF!</v>
      </c>
      <c r="AM147" s="120"/>
      <c r="AN147" s="120"/>
      <c r="AO147" s="120"/>
      <c r="AP147" s="120"/>
      <c r="AQ147" s="120"/>
      <c r="AR147" s="209"/>
      <c r="AS147" s="205"/>
      <c r="AT147" s="205">
        <f t="shared" si="1524"/>
        <v>0</v>
      </c>
      <c r="AU147" s="201">
        <v>2000</v>
      </c>
      <c r="AV147" s="120"/>
      <c r="AW147" s="120"/>
      <c r="AX147" s="120"/>
      <c r="AY147" s="120"/>
      <c r="AZ147" s="209"/>
      <c r="BA147" s="205"/>
      <c r="BB147" s="205">
        <f t="shared" si="1525"/>
        <v>2000</v>
      </c>
      <c r="BC147" s="120"/>
      <c r="BD147" s="120"/>
      <c r="BE147" s="120"/>
      <c r="BF147" s="120"/>
      <c r="BG147" s="120"/>
      <c r="BH147" s="209"/>
      <c r="BI147" s="205"/>
      <c r="BJ147" s="205">
        <f t="shared" si="1526"/>
        <v>0</v>
      </c>
      <c r="BK147" s="120"/>
      <c r="BL147" s="120"/>
      <c r="BM147" s="120"/>
      <c r="BN147" s="120"/>
      <c r="BO147" s="205"/>
      <c r="BP147" s="209"/>
      <c r="BQ147" s="205"/>
      <c r="BR147" s="205">
        <f t="shared" si="1527"/>
        <v>0</v>
      </c>
      <c r="BS147" s="205">
        <f t="shared" si="1427"/>
        <v>2000</v>
      </c>
      <c r="BT147" s="120"/>
      <c r="BU147" s="120"/>
      <c r="BV147" s="120"/>
      <c r="BW147" s="120"/>
      <c r="BX147" s="120"/>
      <c r="BY147" s="209"/>
      <c r="BZ147" s="205"/>
      <c r="CA147" s="205">
        <f t="shared" si="1528"/>
        <v>0</v>
      </c>
      <c r="CB147" s="120"/>
      <c r="CC147" s="120"/>
      <c r="CD147" s="120"/>
      <c r="CE147" s="120"/>
      <c r="CF147" s="120"/>
      <c r="CG147" s="209"/>
      <c r="CH147" s="205"/>
      <c r="CI147" s="205">
        <f t="shared" si="1529"/>
        <v>0</v>
      </c>
      <c r="CJ147" s="195">
        <v>2000</v>
      </c>
      <c r="CK147" s="120"/>
      <c r="CL147" s="120"/>
      <c r="CM147" s="120"/>
      <c r="CN147" s="120"/>
      <c r="CO147" s="209"/>
      <c r="CP147" s="205"/>
      <c r="CQ147" s="205">
        <f t="shared" si="1530"/>
        <v>2000</v>
      </c>
      <c r="CR147" s="120"/>
      <c r="CS147" s="120"/>
      <c r="CT147" s="120"/>
      <c r="CU147" s="120"/>
      <c r="CV147" s="120"/>
      <c r="CW147" s="209"/>
      <c r="CX147" s="205"/>
      <c r="CY147" s="205">
        <f t="shared" si="1531"/>
        <v>0</v>
      </c>
      <c r="CZ147" s="120"/>
      <c r="DA147" s="120"/>
      <c r="DB147" s="120"/>
      <c r="DC147" s="205"/>
      <c r="DD147" s="205"/>
      <c r="DE147" s="209"/>
      <c r="DF147" s="205"/>
      <c r="DG147" s="205">
        <f t="shared" si="1532"/>
        <v>0</v>
      </c>
      <c r="DH147" s="205">
        <f t="shared" si="1428"/>
        <v>2000</v>
      </c>
      <c r="DI147" s="120"/>
      <c r="DJ147" s="120"/>
      <c r="DK147" s="120"/>
      <c r="DL147" s="120"/>
      <c r="DM147" s="120"/>
      <c r="DN147" s="209"/>
      <c r="DO147" s="205"/>
      <c r="DP147" s="205">
        <f t="shared" si="1432"/>
        <v>0</v>
      </c>
      <c r="DQ147" s="250">
        <v>4000</v>
      </c>
      <c r="DR147" s="250">
        <v>3000</v>
      </c>
      <c r="DS147" s="120"/>
      <c r="DT147" s="120"/>
      <c r="DU147" s="120"/>
      <c r="DV147" s="209"/>
      <c r="DW147" s="205"/>
      <c r="DX147" s="205">
        <f t="shared" si="1433"/>
        <v>7000</v>
      </c>
      <c r="DY147" s="120"/>
      <c r="DZ147" s="207"/>
      <c r="EA147" s="120"/>
      <c r="EB147" s="120"/>
      <c r="EC147" s="120"/>
      <c r="ED147" s="209"/>
      <c r="EE147" s="205"/>
      <c r="EF147" s="205">
        <f t="shared" si="1434"/>
        <v>0</v>
      </c>
      <c r="EG147" s="217">
        <v>2000</v>
      </c>
      <c r="EH147" s="120"/>
      <c r="EI147" s="120"/>
      <c r="EJ147" s="205"/>
      <c r="EK147" s="205"/>
      <c r="EL147" s="209"/>
      <c r="EM147" s="205"/>
      <c r="EN147" s="205">
        <f t="shared" si="1435"/>
        <v>2000</v>
      </c>
      <c r="EO147" s="205">
        <f t="shared" si="1429"/>
        <v>9000</v>
      </c>
      <c r="EP147" s="120"/>
      <c r="EQ147" s="120"/>
      <c r="ER147" s="120"/>
      <c r="ES147" s="120"/>
      <c r="ET147" s="120"/>
      <c r="EU147" s="209"/>
      <c r="EV147" s="205"/>
      <c r="EW147" s="205">
        <f t="shared" si="1436"/>
        <v>0</v>
      </c>
      <c r="EX147" s="120"/>
      <c r="EY147" s="120"/>
      <c r="EZ147" s="120"/>
      <c r="FA147" s="120"/>
      <c r="FB147" s="120"/>
      <c r="FC147" s="209"/>
      <c r="FD147" s="205"/>
      <c r="FE147" s="205">
        <f t="shared" si="1437"/>
        <v>0</v>
      </c>
      <c r="FF147" s="217">
        <v>2000</v>
      </c>
      <c r="FG147" s="120"/>
      <c r="FH147" s="120"/>
      <c r="FI147" s="120"/>
      <c r="FJ147" s="120"/>
      <c r="FK147" s="209"/>
      <c r="FL147" s="205"/>
      <c r="FM147" s="205">
        <f t="shared" si="1438"/>
        <v>2000</v>
      </c>
      <c r="FN147" s="120"/>
      <c r="FO147" s="120"/>
      <c r="FP147" s="120"/>
      <c r="FQ147" s="124">
        <v>2000</v>
      </c>
      <c r="FR147" s="205"/>
      <c r="FS147" s="209"/>
      <c r="FT147" s="205"/>
      <c r="FU147" s="205">
        <f t="shared" si="1439"/>
        <v>2000</v>
      </c>
      <c r="FV147" s="205">
        <f t="shared" si="1430"/>
        <v>4000</v>
      </c>
      <c r="FW147" s="120"/>
      <c r="FX147" s="120"/>
      <c r="FY147" s="120"/>
      <c r="FZ147" s="120"/>
      <c r="GA147" s="120"/>
      <c r="GB147" s="209"/>
      <c r="GC147" s="205"/>
      <c r="GD147" s="205">
        <f t="shared" si="1440"/>
        <v>0</v>
      </c>
      <c r="GE147" s="120"/>
      <c r="GF147" s="120"/>
      <c r="GG147" s="120"/>
      <c r="GH147" s="120"/>
      <c r="GI147" s="250">
        <v>2500</v>
      </c>
      <c r="GJ147" s="209"/>
      <c r="GK147" s="205"/>
      <c r="GL147" s="205">
        <f t="shared" si="1441"/>
        <v>2500</v>
      </c>
      <c r="GM147" s="120"/>
      <c r="GN147" s="120"/>
      <c r="GO147" s="120"/>
      <c r="GP147" s="120"/>
      <c r="GQ147" s="120"/>
      <c r="GR147" s="209"/>
      <c r="GS147" s="205"/>
      <c r="GT147" s="205">
        <f t="shared" si="1442"/>
        <v>0</v>
      </c>
      <c r="GU147" s="124">
        <v>1500</v>
      </c>
      <c r="GV147" s="120"/>
      <c r="GW147" s="120"/>
      <c r="GX147" s="120"/>
      <c r="GY147" s="120"/>
      <c r="GZ147" s="209"/>
      <c r="HA147" s="205"/>
      <c r="HB147" s="205">
        <f t="shared" si="1443"/>
        <v>1500</v>
      </c>
      <c r="HC147" s="120"/>
      <c r="HD147" s="120"/>
      <c r="HE147" s="120"/>
      <c r="HF147" s="217">
        <v>2000</v>
      </c>
      <c r="HG147" s="120"/>
      <c r="HH147" s="209"/>
      <c r="HI147" s="205"/>
      <c r="HJ147" s="205">
        <f t="shared" si="1444"/>
        <v>2000</v>
      </c>
      <c r="HK147" s="205">
        <f t="shared" si="1431"/>
        <v>4000</v>
      </c>
      <c r="HL147" s="124"/>
      <c r="HM147" s="120"/>
      <c r="HN147" s="120"/>
      <c r="HO147" s="120"/>
      <c r="HP147" s="120"/>
      <c r="HQ147" s="205"/>
      <c r="HR147" s="205"/>
      <c r="HS147" s="205">
        <f t="shared" si="1445"/>
        <v>0</v>
      </c>
      <c r="HT147" s="120"/>
      <c r="HU147" s="120"/>
      <c r="HV147" s="120"/>
      <c r="HW147" s="120"/>
      <c r="HX147" s="120"/>
      <c r="HY147" s="205"/>
      <c r="HZ147" s="205"/>
      <c r="IA147" s="205">
        <f t="shared" si="1446"/>
        <v>0</v>
      </c>
      <c r="IB147" s="120"/>
      <c r="IC147" s="120"/>
      <c r="ID147" s="120"/>
      <c r="IE147" s="120"/>
      <c r="IF147" s="120"/>
      <c r="IG147" s="205"/>
      <c r="IH147" s="205"/>
      <c r="II147" s="205">
        <f t="shared" si="1447"/>
        <v>0</v>
      </c>
      <c r="IJ147" s="120"/>
      <c r="IK147" s="120"/>
      <c r="IL147" s="266">
        <v>3000</v>
      </c>
      <c r="IM147" s="120"/>
      <c r="IN147" s="120"/>
      <c r="IO147" s="205"/>
      <c r="IP147" s="205"/>
      <c r="IQ147" s="205">
        <f t="shared" si="1448"/>
        <v>3000</v>
      </c>
      <c r="IR147" s="205">
        <f t="shared" si="1449"/>
        <v>5000</v>
      </c>
      <c r="IS147" s="120"/>
      <c r="IT147" s="120"/>
      <c r="IU147" s="120"/>
      <c r="IV147" s="120"/>
      <c r="IW147" s="120"/>
      <c r="IX147" s="205"/>
      <c r="IY147" s="205"/>
      <c r="IZ147" s="205">
        <f t="shared" si="1450"/>
        <v>0</v>
      </c>
      <c r="JA147" s="120"/>
      <c r="JB147" s="120"/>
      <c r="JC147" s="123">
        <v>3000</v>
      </c>
      <c r="JD147" s="120"/>
      <c r="JE147" s="120"/>
      <c r="JF147" s="205"/>
      <c r="JG147" s="205"/>
      <c r="JH147" s="205">
        <f t="shared" si="1451"/>
        <v>3000</v>
      </c>
      <c r="JI147" s="120"/>
      <c r="JJ147" s="120"/>
      <c r="JK147" s="120"/>
      <c r="JL147" s="120"/>
      <c r="JM147" s="120"/>
      <c r="JN147" s="205"/>
      <c r="JO147" s="205"/>
      <c r="JP147" s="205">
        <f t="shared" si="1452"/>
        <v>0</v>
      </c>
      <c r="JQ147" s="120"/>
      <c r="JR147" s="120"/>
      <c r="JS147" s="120"/>
      <c r="JT147" s="120"/>
      <c r="JU147" s="120"/>
      <c r="JV147" s="205"/>
      <c r="JW147" s="205"/>
      <c r="JX147" s="205">
        <f t="shared" si="1453"/>
        <v>0</v>
      </c>
      <c r="JY147" s="205">
        <f t="shared" si="1454"/>
        <v>3000</v>
      </c>
      <c r="JZ147" s="217">
        <v>4000</v>
      </c>
      <c r="KA147" s="120"/>
      <c r="KB147" s="120"/>
      <c r="KC147" s="120"/>
      <c r="KD147" s="120"/>
      <c r="KE147" s="205"/>
      <c r="KF147" s="205"/>
      <c r="KG147" s="205">
        <f t="shared" si="1455"/>
        <v>4000</v>
      </c>
      <c r="KH147" s="120"/>
      <c r="KI147" s="120"/>
      <c r="KJ147" s="120"/>
      <c r="KK147" s="120"/>
      <c r="KL147" s="120"/>
      <c r="KM147" s="205"/>
      <c r="KN147" s="205"/>
      <c r="KO147" s="205">
        <f t="shared" si="1456"/>
        <v>0</v>
      </c>
      <c r="KP147" s="120"/>
      <c r="KQ147" s="120"/>
      <c r="KR147" s="120"/>
      <c r="KS147" s="120"/>
      <c r="KT147" s="120"/>
      <c r="KU147" s="205"/>
      <c r="KV147" s="205"/>
      <c r="KW147" s="205">
        <f t="shared" si="1457"/>
        <v>0</v>
      </c>
      <c r="KX147" s="195">
        <v>3000</v>
      </c>
      <c r="KY147" s="120"/>
      <c r="KZ147" s="120"/>
      <c r="LA147" s="120"/>
      <c r="LB147" s="120"/>
      <c r="LC147" s="205"/>
      <c r="LD147" s="205"/>
      <c r="LE147" s="205">
        <f t="shared" si="1458"/>
        <v>3000</v>
      </c>
      <c r="LF147" s="205"/>
      <c r="LG147" s="120"/>
      <c r="LH147" s="120"/>
      <c r="LI147" s="120"/>
      <c r="LJ147" s="120"/>
      <c r="LK147" s="205"/>
      <c r="LL147" s="205"/>
      <c r="LM147" s="205">
        <f t="shared" si="1459"/>
        <v>0</v>
      </c>
      <c r="LN147" s="205">
        <f t="shared" si="1460"/>
        <v>7000</v>
      </c>
      <c r="LO147" s="205"/>
      <c r="LP147" s="120"/>
      <c r="LQ147" s="120"/>
      <c r="LR147" s="120"/>
      <c r="LS147" s="205"/>
      <c r="LT147" s="205"/>
      <c r="LU147" s="205"/>
      <c r="LV147" s="205">
        <f t="shared" si="1461"/>
        <v>0</v>
      </c>
      <c r="LW147" s="120"/>
      <c r="LX147" s="120"/>
      <c r="LY147" s="120"/>
      <c r="LZ147" s="120"/>
      <c r="MA147" s="120"/>
      <c r="MB147" s="205"/>
      <c r="MC147" s="205"/>
      <c r="MD147" s="205">
        <f t="shared" si="1462"/>
        <v>0</v>
      </c>
      <c r="ME147" s="120"/>
      <c r="MF147" s="120"/>
      <c r="MG147" s="120"/>
      <c r="MH147" s="120"/>
      <c r="MI147" s="205"/>
      <c r="MJ147" s="205"/>
      <c r="MK147" s="205"/>
      <c r="ML147" s="205">
        <f t="shared" si="1463"/>
        <v>0</v>
      </c>
      <c r="MM147" s="120"/>
      <c r="MN147" s="120"/>
      <c r="MO147" s="120"/>
      <c r="MP147" s="120"/>
      <c r="MQ147" s="120"/>
      <c r="MR147" s="205"/>
      <c r="MS147" s="205"/>
      <c r="MT147" s="205">
        <f t="shared" si="1464"/>
        <v>0</v>
      </c>
      <c r="MU147" s="205">
        <f t="shared" si="1465"/>
        <v>0</v>
      </c>
      <c r="MV147" s="120"/>
      <c r="MW147" s="120"/>
      <c r="MX147" s="120"/>
      <c r="MY147" s="120"/>
      <c r="MZ147" s="120"/>
      <c r="NA147" s="205"/>
      <c r="NB147" s="205"/>
      <c r="NC147" s="205">
        <f t="shared" si="1466"/>
        <v>0</v>
      </c>
      <c r="ND147" s="120"/>
      <c r="NE147" s="120"/>
      <c r="NF147" s="120"/>
      <c r="NG147" s="201">
        <v>4000</v>
      </c>
      <c r="NH147" s="201">
        <v>4000</v>
      </c>
      <c r="NI147" s="205"/>
      <c r="NJ147" s="205"/>
      <c r="NK147" s="205">
        <f t="shared" si="1467"/>
        <v>8000</v>
      </c>
      <c r="NL147" s="120"/>
      <c r="NM147" s="124">
        <v>3000</v>
      </c>
      <c r="NN147" s="120"/>
      <c r="NO147" s="120"/>
      <c r="NP147" s="120"/>
      <c r="NQ147" s="205"/>
      <c r="NR147" s="205"/>
      <c r="NS147" s="205">
        <f t="shared" si="1468"/>
        <v>3000</v>
      </c>
      <c r="NT147" s="120"/>
      <c r="NU147" s="120"/>
      <c r="NV147" s="120"/>
      <c r="NW147" s="120"/>
      <c r="NX147" s="120"/>
      <c r="NY147" s="205"/>
      <c r="NZ147" s="205"/>
      <c r="OA147" s="205">
        <f t="shared" si="1469"/>
        <v>0</v>
      </c>
      <c r="OB147" s="205">
        <f t="shared" si="1470"/>
        <v>11000</v>
      </c>
      <c r="OC147" s="120"/>
      <c r="OD147" s="120"/>
      <c r="OE147" s="120"/>
      <c r="OF147" s="120"/>
      <c r="OG147" s="120"/>
      <c r="OH147" s="205"/>
      <c r="OI147" s="205"/>
      <c r="OJ147" s="205">
        <f t="shared" si="1471"/>
        <v>0</v>
      </c>
      <c r="OK147" s="120"/>
      <c r="OL147" s="120"/>
      <c r="OM147" s="120"/>
      <c r="ON147" s="120"/>
      <c r="OO147" s="120"/>
      <c r="OP147" s="205"/>
      <c r="OQ147" s="205"/>
      <c r="OR147" s="205">
        <f t="shared" si="1472"/>
        <v>0</v>
      </c>
      <c r="OS147" s="120"/>
      <c r="OT147" s="217">
        <v>3000</v>
      </c>
      <c r="OU147" s="120"/>
      <c r="OV147" s="120"/>
      <c r="OW147" s="120"/>
      <c r="OX147" s="205"/>
      <c r="OY147" s="205"/>
      <c r="OZ147" s="205">
        <f t="shared" si="1473"/>
        <v>3000</v>
      </c>
      <c r="PA147" s="120"/>
      <c r="PB147" s="120"/>
      <c r="PC147" s="120"/>
      <c r="PD147" s="205"/>
      <c r="PE147" s="217"/>
      <c r="PF147" s="205"/>
      <c r="PG147" s="205"/>
      <c r="PH147" s="205">
        <f t="shared" si="1474"/>
        <v>0</v>
      </c>
      <c r="PI147" s="120"/>
      <c r="PJ147" s="120"/>
      <c r="PK147" s="120"/>
      <c r="PL147" s="205"/>
      <c r="PM147" s="217"/>
      <c r="PN147" s="205"/>
      <c r="PO147" s="205"/>
      <c r="PP147" s="205">
        <f t="shared" si="1475"/>
        <v>0</v>
      </c>
      <c r="PQ147" s="205">
        <f t="shared" si="1476"/>
        <v>3000</v>
      </c>
      <c r="PR147" s="207"/>
      <c r="PS147" s="206">
        <v>3000</v>
      </c>
      <c r="PT147" s="207"/>
      <c r="PU147" s="120"/>
      <c r="PV147" s="207"/>
      <c r="PW147" s="272"/>
      <c r="PX147" s="272"/>
      <c r="PY147" s="205">
        <f t="shared" si="1477"/>
        <v>3000</v>
      </c>
      <c r="PZ147" s="207"/>
      <c r="QA147" s="120"/>
      <c r="QB147" s="217">
        <v>3000</v>
      </c>
      <c r="QC147" s="120"/>
      <c r="QD147" s="207"/>
      <c r="QE147" s="272"/>
      <c r="QF147" s="272"/>
      <c r="QG147" s="205">
        <f t="shared" si="1478"/>
        <v>3000</v>
      </c>
      <c r="QH147" s="207"/>
      <c r="QI147" s="207"/>
      <c r="QJ147" s="294"/>
      <c r="QK147" s="207"/>
      <c r="QL147" s="207"/>
      <c r="QM147" s="272"/>
      <c r="QN147" s="272"/>
      <c r="QO147" s="205">
        <f t="shared" si="1479"/>
        <v>0</v>
      </c>
      <c r="QP147" s="207"/>
      <c r="QQ147" s="207"/>
      <c r="QR147" s="207"/>
      <c r="QS147" s="207"/>
      <c r="QT147" s="207"/>
      <c r="QU147" s="272"/>
      <c r="QV147" s="272"/>
      <c r="QW147" s="205">
        <f t="shared" si="1480"/>
        <v>0</v>
      </c>
      <c r="QX147" s="205">
        <f t="shared" si="1481"/>
        <v>6000</v>
      </c>
      <c r="QY147" s="207"/>
      <c r="QZ147" s="207"/>
      <c r="RA147" s="207"/>
      <c r="RB147" s="201">
        <v>3000</v>
      </c>
      <c r="RC147" s="207"/>
      <c r="RD147" s="272"/>
      <c r="RE147" s="272"/>
      <c r="RF147" s="205">
        <f t="shared" si="1482"/>
        <v>3000</v>
      </c>
      <c r="RG147" s="207"/>
      <c r="RH147" s="120"/>
      <c r="RI147" s="120"/>
      <c r="RJ147" s="207"/>
      <c r="RK147" s="207"/>
      <c r="RL147" s="272"/>
      <c r="RM147" s="272"/>
      <c r="RN147" s="205">
        <f t="shared" si="1483"/>
        <v>0</v>
      </c>
      <c r="RO147" s="272"/>
      <c r="RP147" s="272"/>
      <c r="RQ147" s="272"/>
      <c r="RR147" s="272"/>
      <c r="RS147" s="272"/>
      <c r="RT147" s="272"/>
      <c r="RU147" s="272"/>
      <c r="RV147" s="205">
        <f t="shared" si="1484"/>
        <v>0</v>
      </c>
      <c r="RW147" s="207"/>
      <c r="RX147" s="120"/>
      <c r="RY147" s="120"/>
      <c r="RZ147" s="120"/>
      <c r="SA147" s="272"/>
      <c r="SB147" s="272"/>
      <c r="SC147" s="272"/>
      <c r="SD147" s="205">
        <f t="shared" si="1485"/>
        <v>0</v>
      </c>
      <c r="SE147" s="205">
        <f t="shared" si="1486"/>
        <v>3000</v>
      </c>
      <c r="SF147" s="207"/>
      <c r="SG147" s="207"/>
      <c r="SH147" s="207"/>
      <c r="SI147" s="207"/>
      <c r="SJ147" s="207"/>
      <c r="SK147" s="272"/>
      <c r="SL147" s="272"/>
      <c r="SM147" s="205">
        <f t="shared" si="1487"/>
        <v>0</v>
      </c>
      <c r="SN147" s="207"/>
      <c r="SO147" s="207"/>
      <c r="SP147" s="207"/>
      <c r="SQ147" s="207"/>
      <c r="SR147" s="207"/>
      <c r="SS147" s="272"/>
      <c r="ST147" s="272"/>
      <c r="SU147" s="205">
        <f t="shared" si="1488"/>
        <v>0</v>
      </c>
      <c r="SV147" s="195">
        <v>5000</v>
      </c>
      <c r="SW147" s="207"/>
      <c r="SX147" s="207"/>
      <c r="SY147" s="207"/>
      <c r="SZ147" s="207"/>
      <c r="TA147" s="272"/>
      <c r="TB147" s="272"/>
      <c r="TC147" s="205">
        <f t="shared" si="1489"/>
        <v>5000</v>
      </c>
      <c r="TD147" s="207"/>
      <c r="TE147" s="207"/>
      <c r="TF147" s="207"/>
      <c r="TG147" s="207"/>
      <c r="TH147" s="207"/>
      <c r="TI147" s="272"/>
      <c r="TJ147" s="272"/>
      <c r="TK147" s="205">
        <f t="shared" si="1490"/>
        <v>0</v>
      </c>
      <c r="TL147" s="207"/>
      <c r="TM147" s="207"/>
      <c r="TN147" s="207"/>
      <c r="TO147" s="207"/>
      <c r="TP147" s="272"/>
      <c r="TQ147" s="272"/>
      <c r="TR147" s="272"/>
      <c r="TS147" s="205">
        <f t="shared" si="1491"/>
        <v>0</v>
      </c>
      <c r="TT147" s="205">
        <f t="shared" si="1492"/>
        <v>5000</v>
      </c>
      <c r="TU147" s="272"/>
      <c r="TV147" s="195">
        <v>5000</v>
      </c>
      <c r="TW147" s="120"/>
      <c r="TX147" s="120"/>
      <c r="TY147" s="207"/>
      <c r="TZ147" s="272"/>
      <c r="UA147" s="272"/>
      <c r="UB147" s="205">
        <f t="shared" si="1493"/>
        <v>5000</v>
      </c>
      <c r="UC147" s="207"/>
      <c r="UD147" s="207"/>
      <c r="UE147" s="120"/>
      <c r="UF147" s="120"/>
      <c r="UG147" s="120"/>
      <c r="UH147" s="272"/>
      <c r="UI147" s="272"/>
      <c r="UJ147" s="205">
        <f t="shared" si="1494"/>
        <v>0</v>
      </c>
      <c r="UK147" s="207"/>
      <c r="UL147" s="207"/>
      <c r="UM147" s="207"/>
      <c r="UN147" s="120"/>
      <c r="UO147" s="207"/>
      <c r="UP147" s="272"/>
      <c r="UQ147" s="272"/>
      <c r="UR147" s="205">
        <f t="shared" si="1495"/>
        <v>0</v>
      </c>
      <c r="US147" s="207"/>
      <c r="UT147" s="207"/>
      <c r="UU147" s="207"/>
      <c r="UV147" s="207"/>
      <c r="UW147" s="272"/>
      <c r="UX147" s="272"/>
      <c r="UY147" s="272"/>
      <c r="UZ147" s="205">
        <f t="shared" si="1496"/>
        <v>0</v>
      </c>
      <c r="VA147" s="205">
        <f t="shared" si="1497"/>
        <v>5000</v>
      </c>
      <c r="VB147" s="124">
        <v>5000</v>
      </c>
      <c r="VD147" s="120"/>
      <c r="VE147" s="207"/>
      <c r="VF147" s="120"/>
      <c r="VG147" s="272"/>
      <c r="VH147" s="272"/>
      <c r="VI147" s="205">
        <f t="shared" si="1498"/>
        <v>5000</v>
      </c>
      <c r="VJ147" s="207"/>
      <c r="VK147" s="207"/>
      <c r="VL147" s="207"/>
      <c r="VM147" s="207"/>
      <c r="VN147" s="207"/>
      <c r="VO147" s="272"/>
      <c r="VP147" s="272"/>
      <c r="VQ147" s="205">
        <f t="shared" si="1499"/>
        <v>0</v>
      </c>
      <c r="VR147" s="207"/>
      <c r="VS147" s="207"/>
      <c r="VT147" s="207"/>
      <c r="VU147" s="207"/>
      <c r="VV147" s="207"/>
      <c r="VW147" s="272"/>
      <c r="VX147" s="272"/>
      <c r="VY147" s="205">
        <f t="shared" si="1500"/>
        <v>0</v>
      </c>
      <c r="VZ147" s="195">
        <v>4000</v>
      </c>
      <c r="WB147" s="120"/>
      <c r="WC147" s="207"/>
      <c r="WD147" s="207"/>
      <c r="WE147" s="272"/>
      <c r="WF147" s="272"/>
      <c r="WG147" s="205">
        <f t="shared" si="1565"/>
        <v>0</v>
      </c>
      <c r="WH147" s="205">
        <f t="shared" si="1566"/>
        <v>5000</v>
      </c>
      <c r="WI147" s="207"/>
      <c r="WJ147" s="120"/>
      <c r="WK147" s="120"/>
      <c r="WL147" s="207"/>
      <c r="WM147" s="207"/>
      <c r="WN147" s="272"/>
      <c r="WO147" s="272"/>
      <c r="WP147" s="205">
        <f t="shared" si="1503"/>
        <v>0</v>
      </c>
      <c r="WQ147" s="207"/>
      <c r="WR147" s="207"/>
      <c r="WS147" s="207"/>
      <c r="WT147" s="207"/>
      <c r="WU147" s="207"/>
      <c r="WV147" s="272"/>
      <c r="WW147" s="272"/>
      <c r="WX147" s="205">
        <f t="shared" si="1504"/>
        <v>0</v>
      </c>
      <c r="WY147" s="207"/>
      <c r="WZ147" s="207"/>
      <c r="XA147" s="207"/>
      <c r="XB147" s="207"/>
      <c r="XC147" s="272"/>
      <c r="XD147" s="272"/>
      <c r="XE147" s="272"/>
      <c r="XF147" s="205">
        <f t="shared" si="1505"/>
        <v>0</v>
      </c>
      <c r="XG147" s="207"/>
      <c r="XH147" s="207"/>
      <c r="XI147" s="207"/>
      <c r="XJ147" s="207"/>
      <c r="XK147" s="207"/>
      <c r="XL147" s="272"/>
      <c r="XM147" s="272"/>
      <c r="XN147" s="205">
        <f t="shared" si="1506"/>
        <v>0</v>
      </c>
      <c r="XO147" s="207"/>
      <c r="XP147" s="207"/>
      <c r="XQ147" s="207"/>
      <c r="XR147" s="207"/>
      <c r="XS147" s="207"/>
      <c r="XT147" s="272"/>
      <c r="XU147" s="272"/>
      <c r="XV147" s="205">
        <f t="shared" si="1507"/>
        <v>0</v>
      </c>
      <c r="XW147" s="205">
        <f t="shared" si="1508"/>
        <v>0</v>
      </c>
      <c r="XX147" s="207"/>
      <c r="XY147" s="207"/>
      <c r="XZ147" s="207"/>
      <c r="YA147" s="207"/>
      <c r="YB147" s="207"/>
      <c r="YC147" s="272"/>
      <c r="YD147" s="272"/>
      <c r="YE147" s="205">
        <f t="shared" si="1509"/>
        <v>0</v>
      </c>
      <c r="YF147" s="207"/>
      <c r="YG147" s="207"/>
      <c r="YH147" s="207"/>
      <c r="YI147" s="207"/>
      <c r="YJ147" s="207"/>
      <c r="YK147" s="272"/>
      <c r="YL147" s="272"/>
      <c r="YM147" s="205">
        <f t="shared" si="1510"/>
        <v>0</v>
      </c>
      <c r="YN147" s="207"/>
      <c r="YO147" s="207"/>
      <c r="YP147" s="207"/>
      <c r="YQ147" s="207"/>
      <c r="YR147" s="207"/>
      <c r="YS147" s="272"/>
      <c r="YT147" s="272"/>
      <c r="YU147" s="205">
        <f t="shared" si="1511"/>
        <v>0</v>
      </c>
      <c r="YV147" s="207"/>
      <c r="YW147" s="207"/>
      <c r="YX147" s="207"/>
      <c r="YY147" s="207"/>
      <c r="YZ147" s="207"/>
      <c r="ZA147" s="272"/>
      <c r="ZB147" s="272"/>
      <c r="ZC147" s="205">
        <f t="shared" si="1512"/>
        <v>0</v>
      </c>
      <c r="ZD147" s="205">
        <f t="shared" si="1513"/>
        <v>0</v>
      </c>
      <c r="ZE147" s="207"/>
      <c r="ZF147" s="207"/>
      <c r="ZG147" s="207"/>
      <c r="ZH147" s="207"/>
      <c r="ZI147" s="207"/>
      <c r="ZJ147" s="272"/>
      <c r="ZK147" s="272"/>
      <c r="ZL147" s="205">
        <f t="shared" si="1514"/>
        <v>0</v>
      </c>
      <c r="ZM147" s="207"/>
      <c r="ZN147" s="207"/>
      <c r="ZO147" s="207"/>
      <c r="ZP147" s="207"/>
      <c r="ZQ147" s="207"/>
      <c r="ZR147" s="272"/>
      <c r="ZS147" s="272"/>
      <c r="ZT147" s="205">
        <f t="shared" si="1515"/>
        <v>0</v>
      </c>
      <c r="ZU147" s="207"/>
      <c r="ZV147" s="207"/>
      <c r="ZW147" s="207"/>
      <c r="ZX147" s="207"/>
      <c r="ZY147" s="207"/>
      <c r="ZZ147" s="272"/>
      <c r="AAA147" s="272"/>
      <c r="AAB147" s="205">
        <f t="shared" si="1516"/>
        <v>0</v>
      </c>
      <c r="AAC147" s="207"/>
      <c r="AAD147" s="207"/>
      <c r="AAE147" s="207"/>
      <c r="AAF147" s="207"/>
      <c r="AAG147" s="207"/>
      <c r="AAH147" s="272"/>
      <c r="AAI147" s="272"/>
      <c r="AAJ147" s="205">
        <f t="shared" si="1517"/>
        <v>0</v>
      </c>
      <c r="AAK147" s="207"/>
      <c r="AAL147" s="207"/>
      <c r="AAM147" s="207"/>
      <c r="AAN147" s="207"/>
      <c r="AAO147" s="207"/>
      <c r="AAP147" s="272"/>
      <c r="AAQ147" s="272"/>
      <c r="AAR147" s="205">
        <f t="shared" si="1518"/>
        <v>0</v>
      </c>
      <c r="AAS147" s="205">
        <f t="shared" si="1519"/>
        <v>0</v>
      </c>
    </row>
    <row r="148" spans="1:721" ht="69.95" customHeight="1">
      <c r="B148" s="130" t="s">
        <v>426</v>
      </c>
      <c r="C148" s="146"/>
      <c r="D148" s="173" t="s">
        <v>401</v>
      </c>
      <c r="E148" s="130" t="s">
        <v>4</v>
      </c>
      <c r="F148" s="120"/>
      <c r="G148" s="120"/>
      <c r="H148" s="120"/>
      <c r="I148" s="120"/>
      <c r="J148" s="120"/>
      <c r="K148" s="209"/>
      <c r="L148" s="205"/>
      <c r="M148" s="205">
        <f t="shared" si="1520"/>
        <v>0</v>
      </c>
      <c r="N148" s="124">
        <v>2000</v>
      </c>
      <c r="O148" s="120"/>
      <c r="P148" s="120"/>
      <c r="Q148" s="120"/>
      <c r="R148" s="120"/>
      <c r="S148" s="209"/>
      <c r="T148" s="205"/>
      <c r="U148" s="205">
        <f t="shared" si="1521"/>
        <v>2000</v>
      </c>
      <c r="V148" s="120"/>
      <c r="W148" s="120"/>
      <c r="X148" s="120"/>
      <c r="Y148" s="120"/>
      <c r="Z148" s="120"/>
      <c r="AA148" s="209"/>
      <c r="AB148" s="205"/>
      <c r="AC148" s="205">
        <f t="shared" si="1522"/>
        <v>0</v>
      </c>
      <c r="AD148" s="205"/>
      <c r="AE148" s="205"/>
      <c r="AF148" s="205"/>
      <c r="AG148" s="205"/>
      <c r="AH148" s="205"/>
      <c r="AI148" s="209"/>
      <c r="AJ148" s="205"/>
      <c r="AK148" s="205">
        <f t="shared" si="1523"/>
        <v>0</v>
      </c>
      <c r="AL148" s="205" t="e">
        <f>SUM(#REF!,M148,U148,AC148,AD148:AH148)</f>
        <v>#REF!</v>
      </c>
      <c r="AM148" s="120"/>
      <c r="AN148" s="120"/>
      <c r="AO148" s="120"/>
      <c r="AP148" s="120"/>
      <c r="AQ148" s="120"/>
      <c r="AR148" s="209"/>
      <c r="AS148" s="205"/>
      <c r="AT148" s="205">
        <f t="shared" si="1524"/>
        <v>0</v>
      </c>
      <c r="AU148" s="120"/>
      <c r="AV148" s="120"/>
      <c r="AW148" s="201">
        <v>2000</v>
      </c>
      <c r="AX148" s="120"/>
      <c r="AY148" s="120"/>
      <c r="AZ148" s="209"/>
      <c r="BA148" s="205"/>
      <c r="BB148" s="205">
        <f t="shared" si="1525"/>
        <v>2000</v>
      </c>
      <c r="BC148" s="120"/>
      <c r="BD148" s="120"/>
      <c r="BE148" s="120"/>
      <c r="BF148" s="120"/>
      <c r="BG148" s="120"/>
      <c r="BH148" s="209"/>
      <c r="BI148" s="205"/>
      <c r="BJ148" s="205">
        <f t="shared" si="1526"/>
        <v>0</v>
      </c>
      <c r="BK148" s="120"/>
      <c r="BL148" s="120"/>
      <c r="BM148" s="120"/>
      <c r="BN148" s="120"/>
      <c r="BO148" s="205"/>
      <c r="BP148" s="209"/>
      <c r="BQ148" s="205"/>
      <c r="BR148" s="205">
        <f t="shared" si="1527"/>
        <v>0</v>
      </c>
      <c r="BS148" s="205">
        <f t="shared" si="1427"/>
        <v>2000</v>
      </c>
      <c r="BT148" s="120"/>
      <c r="BU148" s="120"/>
      <c r="BV148" s="120"/>
      <c r="BW148" s="120"/>
      <c r="BX148" s="120"/>
      <c r="BY148" s="209"/>
      <c r="BZ148" s="205"/>
      <c r="CA148" s="205">
        <f t="shared" si="1528"/>
        <v>0</v>
      </c>
      <c r="CB148" s="120"/>
      <c r="CC148" s="120"/>
      <c r="CD148" s="120"/>
      <c r="CE148" s="120"/>
      <c r="CF148" s="120"/>
      <c r="CG148" s="209"/>
      <c r="CH148" s="205"/>
      <c r="CI148" s="205">
        <f t="shared" si="1529"/>
        <v>0</v>
      </c>
      <c r="CJ148" s="120"/>
      <c r="CK148" s="120"/>
      <c r="CL148" s="195">
        <v>1500</v>
      </c>
      <c r="CM148" s="120"/>
      <c r="CN148" s="120"/>
      <c r="CO148" s="209"/>
      <c r="CP148" s="205"/>
      <c r="CQ148" s="205">
        <f t="shared" si="1530"/>
        <v>1500</v>
      </c>
      <c r="CR148" s="120"/>
      <c r="CS148" s="120"/>
      <c r="CT148" s="120"/>
      <c r="CU148" s="120"/>
      <c r="CV148" s="120"/>
      <c r="CW148" s="209"/>
      <c r="CX148" s="205"/>
      <c r="CY148" s="205">
        <f t="shared" si="1531"/>
        <v>0</v>
      </c>
      <c r="CZ148" s="120"/>
      <c r="DA148" s="120"/>
      <c r="DB148" s="120"/>
      <c r="DC148" s="205"/>
      <c r="DD148" s="205"/>
      <c r="DE148" s="209"/>
      <c r="DF148" s="205"/>
      <c r="DG148" s="205">
        <f t="shared" si="1532"/>
        <v>0</v>
      </c>
      <c r="DH148" s="205">
        <f t="shared" si="1428"/>
        <v>1500</v>
      </c>
      <c r="DI148" s="120"/>
      <c r="DJ148" s="120"/>
      <c r="DK148" s="120"/>
      <c r="DL148" s="120"/>
      <c r="DM148" s="120"/>
      <c r="DN148" s="209"/>
      <c r="DO148" s="205"/>
      <c r="DP148" s="205">
        <f t="shared" si="1432"/>
        <v>0</v>
      </c>
      <c r="DQ148" s="120"/>
      <c r="DR148" s="120"/>
      <c r="DS148" s="120"/>
      <c r="DT148" s="250">
        <v>2500</v>
      </c>
      <c r="DU148" s="120"/>
      <c r="DV148" s="209"/>
      <c r="DW148" s="205"/>
      <c r="DX148" s="205">
        <f t="shared" si="1433"/>
        <v>2500</v>
      </c>
      <c r="DY148" s="120"/>
      <c r="DZ148" s="207"/>
      <c r="EA148" s="120"/>
      <c r="EB148" s="120"/>
      <c r="EC148" s="120"/>
      <c r="ED148" s="209"/>
      <c r="EE148" s="205"/>
      <c r="EF148" s="205">
        <f t="shared" si="1434"/>
        <v>0</v>
      </c>
      <c r="EG148" s="120"/>
      <c r="EH148" s="120"/>
      <c r="EI148" s="217">
        <v>500</v>
      </c>
      <c r="EJ148" s="205"/>
      <c r="EK148" s="205"/>
      <c r="EL148" s="209"/>
      <c r="EM148" s="205"/>
      <c r="EN148" s="205">
        <f t="shared" si="1435"/>
        <v>500</v>
      </c>
      <c r="EO148" s="205">
        <f t="shared" si="1429"/>
        <v>3000</v>
      </c>
      <c r="EP148" s="120"/>
      <c r="EQ148" s="120"/>
      <c r="ER148" s="120"/>
      <c r="ES148" s="120"/>
      <c r="ET148" s="120"/>
      <c r="EU148" s="209"/>
      <c r="EV148" s="205"/>
      <c r="EW148" s="205">
        <f t="shared" si="1436"/>
        <v>0</v>
      </c>
      <c r="EX148" s="120"/>
      <c r="EY148" s="120"/>
      <c r="EZ148" s="120"/>
      <c r="FA148" s="120"/>
      <c r="FB148" s="120"/>
      <c r="FC148" s="209"/>
      <c r="FD148" s="205"/>
      <c r="FE148" s="205">
        <f t="shared" si="1437"/>
        <v>0</v>
      </c>
      <c r="FF148" s="120"/>
      <c r="FG148" s="120"/>
      <c r="FH148" s="217">
        <v>1000</v>
      </c>
      <c r="FI148" s="120"/>
      <c r="FJ148" s="120"/>
      <c r="FK148" s="209"/>
      <c r="FL148" s="205"/>
      <c r="FM148" s="205">
        <f t="shared" si="1438"/>
        <v>1000</v>
      </c>
      <c r="FN148" s="120"/>
      <c r="FO148" s="120"/>
      <c r="FP148" s="120"/>
      <c r="FQ148" s="120"/>
      <c r="FR148" s="205"/>
      <c r="FS148" s="209"/>
      <c r="FT148" s="205"/>
      <c r="FU148" s="205">
        <f t="shared" si="1439"/>
        <v>0</v>
      </c>
      <c r="FV148" s="205">
        <f t="shared" si="1430"/>
        <v>1000</v>
      </c>
      <c r="FW148" s="120"/>
      <c r="FX148" s="201">
        <v>1000</v>
      </c>
      <c r="FY148" s="120"/>
      <c r="FZ148" s="120"/>
      <c r="GA148" s="120"/>
      <c r="GB148" s="209"/>
      <c r="GC148" s="205"/>
      <c r="GD148" s="205">
        <f t="shared" si="1440"/>
        <v>1000</v>
      </c>
      <c r="GE148" s="120"/>
      <c r="GF148" s="120"/>
      <c r="GG148" s="120"/>
      <c r="GH148" s="120"/>
      <c r="GI148" s="120"/>
      <c r="GJ148" s="209"/>
      <c r="GK148" s="205"/>
      <c r="GL148" s="205">
        <f t="shared" si="1441"/>
        <v>0</v>
      </c>
      <c r="GM148" s="120"/>
      <c r="GN148" s="250">
        <v>600</v>
      </c>
      <c r="GO148" s="120"/>
      <c r="GP148" s="120"/>
      <c r="GQ148" s="120"/>
      <c r="GR148" s="209"/>
      <c r="GS148" s="205"/>
      <c r="GT148" s="205">
        <f t="shared" si="1442"/>
        <v>600</v>
      </c>
      <c r="GU148" s="120"/>
      <c r="GV148" s="120"/>
      <c r="GW148" s="124">
        <v>900</v>
      </c>
      <c r="GX148" s="120"/>
      <c r="GY148" s="120"/>
      <c r="GZ148" s="209"/>
      <c r="HA148" s="205"/>
      <c r="HB148" s="205">
        <f t="shared" si="1443"/>
        <v>900</v>
      </c>
      <c r="HC148" s="120"/>
      <c r="HD148" s="120"/>
      <c r="HE148" s="120"/>
      <c r="HF148" s="120"/>
      <c r="HG148" s="120"/>
      <c r="HH148" s="209"/>
      <c r="HI148" s="205"/>
      <c r="HJ148" s="205">
        <f t="shared" si="1444"/>
        <v>0</v>
      </c>
      <c r="HK148" s="205">
        <f t="shared" si="1431"/>
        <v>2500</v>
      </c>
      <c r="HL148" s="124"/>
      <c r="HM148" s="201">
        <v>2000</v>
      </c>
      <c r="HN148" s="120"/>
      <c r="HO148" s="120"/>
      <c r="HP148" s="120"/>
      <c r="HQ148" s="205"/>
      <c r="HR148" s="205"/>
      <c r="HS148" s="205">
        <f t="shared" si="1445"/>
        <v>2000</v>
      </c>
      <c r="HT148" s="120"/>
      <c r="HU148" s="120"/>
      <c r="HV148" s="120"/>
      <c r="HW148" s="120"/>
      <c r="HX148" s="120"/>
      <c r="HY148" s="205"/>
      <c r="HZ148" s="205"/>
      <c r="IA148" s="205">
        <f t="shared" si="1446"/>
        <v>0</v>
      </c>
      <c r="IB148" s="120"/>
      <c r="IC148" s="120"/>
      <c r="ID148" s="120"/>
      <c r="IE148" s="120"/>
      <c r="IF148" s="120"/>
      <c r="IG148" s="205"/>
      <c r="IH148" s="205"/>
      <c r="II148" s="205">
        <f t="shared" si="1447"/>
        <v>0</v>
      </c>
      <c r="IJ148" s="120"/>
      <c r="IK148" s="120"/>
      <c r="IL148" s="120"/>
      <c r="IM148" s="120"/>
      <c r="IN148" s="266">
        <v>700</v>
      </c>
      <c r="IO148" s="205"/>
      <c r="IP148" s="205"/>
      <c r="IQ148" s="205">
        <f>SUM(IJ148:IP148)</f>
        <v>700</v>
      </c>
      <c r="IR148" s="205">
        <f>SUM(IJ148:IM148,II148,IA148,HS148,HD148:HG148,HH148:HI148)</f>
        <v>2000</v>
      </c>
      <c r="IS148" s="120"/>
      <c r="IT148" s="120"/>
      <c r="IU148" s="120"/>
      <c r="IV148" s="120"/>
      <c r="IW148" s="120"/>
      <c r="IX148" s="205"/>
      <c r="IY148" s="205"/>
      <c r="IZ148" s="205">
        <f t="shared" si="1450"/>
        <v>0</v>
      </c>
      <c r="JA148" s="120"/>
      <c r="JB148" s="120"/>
      <c r="JC148" s="120"/>
      <c r="JD148" s="120"/>
      <c r="JE148" s="123">
        <v>1000</v>
      </c>
      <c r="JF148" s="205"/>
      <c r="JG148" s="205"/>
      <c r="JH148" s="205">
        <f t="shared" si="1451"/>
        <v>1000</v>
      </c>
      <c r="JI148" s="120"/>
      <c r="JJ148" s="120"/>
      <c r="JK148" s="120"/>
      <c r="JL148" s="120"/>
      <c r="JM148" s="120"/>
      <c r="JN148" s="205"/>
      <c r="JO148" s="205"/>
      <c r="JP148" s="205">
        <f t="shared" si="1452"/>
        <v>0</v>
      </c>
      <c r="JQ148" s="120"/>
      <c r="JR148" s="120"/>
      <c r="JS148" s="120"/>
      <c r="JT148" s="120"/>
      <c r="JU148" s="120"/>
      <c r="JV148" s="205"/>
      <c r="JW148" s="205"/>
      <c r="JX148" s="205">
        <f t="shared" si="1453"/>
        <v>0</v>
      </c>
      <c r="JY148" s="205">
        <f t="shared" si="1454"/>
        <v>1700</v>
      </c>
      <c r="JZ148" s="120"/>
      <c r="KA148" s="120"/>
      <c r="KB148" s="217">
        <v>1500</v>
      </c>
      <c r="KC148" s="120"/>
      <c r="KD148" s="120"/>
      <c r="KE148" s="205"/>
      <c r="KF148" s="205"/>
      <c r="KG148" s="205">
        <f t="shared" si="1455"/>
        <v>1500</v>
      </c>
      <c r="KH148" s="120"/>
      <c r="KI148" s="120"/>
      <c r="KJ148" s="120"/>
      <c r="KK148" s="120"/>
      <c r="KL148" s="120"/>
      <c r="KM148" s="205"/>
      <c r="KN148" s="205"/>
      <c r="KO148" s="205">
        <f t="shared" si="1456"/>
        <v>0</v>
      </c>
      <c r="KP148" s="120"/>
      <c r="KQ148" s="120"/>
      <c r="KR148" s="120"/>
      <c r="KS148" s="120"/>
      <c r="KT148" s="120"/>
      <c r="KU148" s="205"/>
      <c r="KV148" s="205"/>
      <c r="KW148" s="205">
        <f t="shared" si="1457"/>
        <v>0</v>
      </c>
      <c r="KX148" s="120"/>
      <c r="KY148" s="120"/>
      <c r="KZ148" s="195">
        <v>1500</v>
      </c>
      <c r="LA148" s="120"/>
      <c r="LB148" s="120"/>
      <c r="LC148" s="205"/>
      <c r="LD148" s="205"/>
      <c r="LE148" s="205">
        <f t="shared" si="1458"/>
        <v>1500</v>
      </c>
      <c r="LF148" s="205"/>
      <c r="LG148" s="120"/>
      <c r="LH148" s="120"/>
      <c r="LI148" s="120"/>
      <c r="LJ148" s="120"/>
      <c r="LK148" s="205"/>
      <c r="LL148" s="205"/>
      <c r="LM148" s="205">
        <f t="shared" si="1459"/>
        <v>0</v>
      </c>
      <c r="LN148" s="205">
        <f t="shared" si="1460"/>
        <v>3000</v>
      </c>
      <c r="LO148" s="205"/>
      <c r="LP148" s="120"/>
      <c r="LQ148" s="120"/>
      <c r="LR148" s="120"/>
      <c r="LS148" s="205"/>
      <c r="LT148" s="205"/>
      <c r="LU148" s="205"/>
      <c r="LV148" s="205">
        <f t="shared" si="1461"/>
        <v>0</v>
      </c>
      <c r="LW148" s="120"/>
      <c r="LX148" s="120"/>
      <c r="LY148" s="120"/>
      <c r="LZ148" s="120"/>
      <c r="MA148" s="120"/>
      <c r="MB148" s="205"/>
      <c r="MC148" s="205"/>
      <c r="MD148" s="205">
        <f t="shared" si="1462"/>
        <v>0</v>
      </c>
      <c r="ME148" s="120"/>
      <c r="MF148" s="120"/>
      <c r="MG148" s="120"/>
      <c r="MH148" s="120"/>
      <c r="MI148" s="205"/>
      <c r="MJ148" s="205"/>
      <c r="MK148" s="205"/>
      <c r="ML148" s="205">
        <f t="shared" si="1463"/>
        <v>0</v>
      </c>
      <c r="MM148" s="120"/>
      <c r="MN148" s="120"/>
      <c r="MO148" s="120"/>
      <c r="MP148" s="120"/>
      <c r="MQ148" s="120"/>
      <c r="MR148" s="205"/>
      <c r="MS148" s="205"/>
      <c r="MT148" s="205">
        <f t="shared" si="1464"/>
        <v>0</v>
      </c>
      <c r="MU148" s="205">
        <f t="shared" si="1465"/>
        <v>0</v>
      </c>
      <c r="MV148" s="120"/>
      <c r="MW148" s="120"/>
      <c r="MX148" s="120"/>
      <c r="MY148" s="120"/>
      <c r="MZ148" s="120"/>
      <c r="NA148" s="205"/>
      <c r="NB148" s="205"/>
      <c r="NC148" s="205">
        <f t="shared" si="1466"/>
        <v>0</v>
      </c>
      <c r="ND148" s="120"/>
      <c r="NE148" s="120"/>
      <c r="NF148" s="120"/>
      <c r="NG148" s="120"/>
      <c r="NH148" s="120"/>
      <c r="NI148" s="205"/>
      <c r="NJ148" s="205"/>
      <c r="NK148" s="205">
        <f t="shared" si="1467"/>
        <v>0</v>
      </c>
      <c r="NL148" s="124">
        <v>3000</v>
      </c>
      <c r="NM148" s="124">
        <v>1000</v>
      </c>
      <c r="NN148" s="120"/>
      <c r="NO148" s="124">
        <v>1700</v>
      </c>
      <c r="NP148" s="120"/>
      <c r="NQ148" s="205"/>
      <c r="NR148" s="205"/>
      <c r="NS148" s="205">
        <f t="shared" si="1468"/>
        <v>5700</v>
      </c>
      <c r="NT148" s="120"/>
      <c r="NU148" s="120"/>
      <c r="NV148" s="120"/>
      <c r="NW148" s="120"/>
      <c r="NX148" s="120"/>
      <c r="NY148" s="205"/>
      <c r="NZ148" s="205"/>
      <c r="OA148" s="205">
        <f t="shared" si="1469"/>
        <v>0</v>
      </c>
      <c r="OB148" s="205">
        <f t="shared" si="1470"/>
        <v>5700</v>
      </c>
      <c r="OC148" s="120"/>
      <c r="OD148" s="120"/>
      <c r="OE148" s="120"/>
      <c r="OF148" s="120"/>
      <c r="OG148" s="120"/>
      <c r="OH148" s="205"/>
      <c r="OI148" s="205"/>
      <c r="OJ148" s="205">
        <f t="shared" si="1471"/>
        <v>0</v>
      </c>
      <c r="OK148" s="120"/>
      <c r="OL148" s="120"/>
      <c r="OM148" s="120"/>
      <c r="ON148" s="120"/>
      <c r="OO148" s="120"/>
      <c r="OP148" s="205"/>
      <c r="OQ148" s="205"/>
      <c r="OR148" s="205">
        <f t="shared" si="1472"/>
        <v>0</v>
      </c>
      <c r="OS148" s="120"/>
      <c r="OT148" s="120"/>
      <c r="OU148" s="120"/>
      <c r="OV148" s="217">
        <v>800</v>
      </c>
      <c r="OW148" s="120"/>
      <c r="OX148" s="205"/>
      <c r="OY148" s="205"/>
      <c r="OZ148" s="205">
        <f t="shared" si="1473"/>
        <v>800</v>
      </c>
      <c r="PA148" s="120"/>
      <c r="PB148" s="120"/>
      <c r="PC148" s="120"/>
      <c r="PD148" s="205"/>
      <c r="PE148" s="217"/>
      <c r="PF148" s="205"/>
      <c r="PG148" s="205"/>
      <c r="PH148" s="205">
        <f t="shared" si="1474"/>
        <v>0</v>
      </c>
      <c r="PI148" s="120"/>
      <c r="PJ148" s="120"/>
      <c r="PK148" s="120"/>
      <c r="PL148" s="205"/>
      <c r="PM148" s="217"/>
      <c r="PN148" s="205"/>
      <c r="PO148" s="205"/>
      <c r="PP148" s="205">
        <f t="shared" si="1475"/>
        <v>0</v>
      </c>
      <c r="PQ148" s="205">
        <f t="shared" si="1476"/>
        <v>800</v>
      </c>
      <c r="PR148" s="207"/>
      <c r="PS148" s="207"/>
      <c r="PT148" s="207"/>
      <c r="PU148" s="120"/>
      <c r="PV148" s="206">
        <v>1500</v>
      </c>
      <c r="PW148" s="272"/>
      <c r="PX148" s="272"/>
      <c r="PY148" s="205">
        <f t="shared" si="1477"/>
        <v>1500</v>
      </c>
      <c r="PZ148" s="207"/>
      <c r="QA148" s="207"/>
      <c r="QB148" s="207"/>
      <c r="QC148" s="120"/>
      <c r="QD148" s="217">
        <v>800</v>
      </c>
      <c r="QE148" s="272"/>
      <c r="QF148" s="272"/>
      <c r="QG148" s="205">
        <f t="shared" si="1478"/>
        <v>800</v>
      </c>
      <c r="QH148" s="207"/>
      <c r="QI148" s="207"/>
      <c r="QJ148" s="294"/>
      <c r="QK148" s="207"/>
      <c r="QL148" s="207"/>
      <c r="QM148" s="272"/>
      <c r="QN148" s="272"/>
      <c r="QO148" s="205">
        <f t="shared" si="1479"/>
        <v>0</v>
      </c>
      <c r="QP148" s="207"/>
      <c r="QQ148" s="207"/>
      <c r="QR148" s="207"/>
      <c r="QS148" s="207"/>
      <c r="QT148" s="207"/>
      <c r="QU148" s="272"/>
      <c r="QV148" s="272"/>
      <c r="QW148" s="205">
        <f t="shared" si="1480"/>
        <v>0</v>
      </c>
      <c r="QX148" s="205">
        <f t="shared" si="1481"/>
        <v>2300</v>
      </c>
      <c r="QY148" s="207"/>
      <c r="QZ148" s="207"/>
      <c r="RA148" s="207"/>
      <c r="RB148" s="207"/>
      <c r="RC148" s="207"/>
      <c r="RD148" s="272"/>
      <c r="RE148" s="272"/>
      <c r="RF148" s="205">
        <f t="shared" si="1482"/>
        <v>0</v>
      </c>
      <c r="RG148" s="201">
        <v>3000</v>
      </c>
      <c r="RH148" s="120"/>
      <c r="RI148" s="120"/>
      <c r="RJ148" s="207"/>
      <c r="RK148" s="207"/>
      <c r="RL148" s="272"/>
      <c r="RM148" s="272"/>
      <c r="RN148" s="205">
        <f t="shared" si="1483"/>
        <v>3000</v>
      </c>
      <c r="RO148" s="272"/>
      <c r="RP148" s="272"/>
      <c r="RQ148" s="272"/>
      <c r="RR148" s="272"/>
      <c r="RS148" s="272"/>
      <c r="RT148" s="272"/>
      <c r="RU148" s="272"/>
      <c r="RV148" s="205">
        <f t="shared" si="1484"/>
        <v>0</v>
      </c>
      <c r="RW148" s="207"/>
      <c r="RX148" s="120"/>
      <c r="RY148" s="120"/>
      <c r="RZ148" s="120"/>
      <c r="SA148" s="272"/>
      <c r="SB148" s="272"/>
      <c r="SC148" s="272"/>
      <c r="SD148" s="205">
        <f t="shared" si="1485"/>
        <v>0</v>
      </c>
      <c r="SE148" s="205">
        <f t="shared" si="1486"/>
        <v>3000</v>
      </c>
      <c r="SF148" s="207"/>
      <c r="SG148" s="207"/>
      <c r="SH148" s="207"/>
      <c r="SI148" s="207"/>
      <c r="SJ148" s="207"/>
      <c r="SK148" s="272"/>
      <c r="SL148" s="272"/>
      <c r="SM148" s="205">
        <f t="shared" si="1487"/>
        <v>0</v>
      </c>
      <c r="SN148" s="207"/>
      <c r="SO148" s="207"/>
      <c r="SP148" s="207"/>
      <c r="SQ148" s="207"/>
      <c r="SR148" s="207"/>
      <c r="SS148" s="272"/>
      <c r="ST148" s="272"/>
      <c r="SU148" s="205">
        <f t="shared" si="1488"/>
        <v>0</v>
      </c>
      <c r="SV148" s="207"/>
      <c r="SW148" s="207"/>
      <c r="SX148" s="195">
        <v>2500</v>
      </c>
      <c r="SY148" s="207"/>
      <c r="SZ148" s="207"/>
      <c r="TA148" s="272"/>
      <c r="TB148" s="272"/>
      <c r="TC148" s="205">
        <f t="shared" si="1489"/>
        <v>2500</v>
      </c>
      <c r="TD148" s="207"/>
      <c r="TE148" s="207"/>
      <c r="TF148" s="207"/>
      <c r="TG148" s="207"/>
      <c r="TH148" s="207"/>
      <c r="TI148" s="272"/>
      <c r="TJ148" s="272"/>
      <c r="TK148" s="205">
        <f t="shared" si="1490"/>
        <v>0</v>
      </c>
      <c r="TL148" s="207"/>
      <c r="TM148" s="207"/>
      <c r="TN148" s="207"/>
      <c r="TO148" s="207"/>
      <c r="TP148" s="272"/>
      <c r="TQ148" s="272"/>
      <c r="TR148" s="272"/>
      <c r="TS148" s="205">
        <f t="shared" si="1491"/>
        <v>0</v>
      </c>
      <c r="TT148" s="205">
        <f t="shared" si="1492"/>
        <v>2500</v>
      </c>
      <c r="TU148" s="272"/>
      <c r="TV148" s="120"/>
      <c r="TW148" s="120"/>
      <c r="TX148" s="195">
        <v>2800</v>
      </c>
      <c r="TY148" s="207"/>
      <c r="TZ148" s="272"/>
      <c r="UA148" s="272"/>
      <c r="UB148" s="205">
        <f t="shared" si="1493"/>
        <v>2800</v>
      </c>
      <c r="UC148" s="207"/>
      <c r="UD148" s="207"/>
      <c r="UE148" s="120"/>
      <c r="UF148" s="120"/>
      <c r="UG148" s="120"/>
      <c r="UH148" s="272"/>
      <c r="UI148" s="272"/>
      <c r="UJ148" s="205">
        <f t="shared" si="1494"/>
        <v>0</v>
      </c>
      <c r="UK148" s="207"/>
      <c r="UL148" s="120"/>
      <c r="UM148" s="120"/>
      <c r="UN148" s="120"/>
      <c r="UO148" s="207"/>
      <c r="UP148" s="272"/>
      <c r="UQ148" s="272"/>
      <c r="UR148" s="205">
        <f t="shared" si="1495"/>
        <v>0</v>
      </c>
      <c r="US148" s="207"/>
      <c r="UT148" s="207"/>
      <c r="UU148" s="207"/>
      <c r="UV148" s="207"/>
      <c r="UW148" s="272"/>
      <c r="UX148" s="272"/>
      <c r="UY148" s="272"/>
      <c r="UZ148" s="205">
        <f t="shared" si="1496"/>
        <v>0</v>
      </c>
      <c r="VA148" s="205">
        <f t="shared" si="1497"/>
        <v>2800</v>
      </c>
      <c r="VB148" s="207"/>
      <c r="VC148" s="120"/>
      <c r="VD148" s="120"/>
      <c r="VE148" s="124">
        <v>1800</v>
      </c>
      <c r="VF148" s="120"/>
      <c r="VG148" s="272"/>
      <c r="VH148" s="272"/>
      <c r="VI148" s="205">
        <f t="shared" si="1498"/>
        <v>1800</v>
      </c>
      <c r="VJ148" s="207"/>
      <c r="VK148" s="207"/>
      <c r="VL148" s="207"/>
      <c r="VM148" s="207"/>
      <c r="VN148" s="207"/>
      <c r="VO148" s="272"/>
      <c r="VP148" s="272"/>
      <c r="VQ148" s="205">
        <f t="shared" si="1499"/>
        <v>0</v>
      </c>
      <c r="VR148" s="207"/>
      <c r="VS148" s="207"/>
      <c r="VT148" s="207"/>
      <c r="VU148" s="207"/>
      <c r="VV148" s="207"/>
      <c r="VW148" s="272"/>
      <c r="VX148" s="272"/>
      <c r="VY148" s="205">
        <f t="shared" si="1500"/>
        <v>0</v>
      </c>
      <c r="VZ148" s="207"/>
      <c r="WA148" s="120"/>
      <c r="WB148" s="195">
        <v>2500</v>
      </c>
      <c r="WC148" s="207"/>
      <c r="WD148" s="207"/>
      <c r="WE148" s="272"/>
      <c r="WF148" s="272"/>
      <c r="WG148" s="205">
        <f t="shared" si="1501"/>
        <v>2500</v>
      </c>
      <c r="WH148" s="205">
        <f t="shared" si="1502"/>
        <v>4300</v>
      </c>
      <c r="WI148" s="120"/>
      <c r="WJ148" s="120"/>
      <c r="WK148" s="120"/>
      <c r="WL148" s="207"/>
      <c r="WM148" s="207"/>
      <c r="WN148" s="272"/>
      <c r="WO148" s="272"/>
      <c r="WP148" s="205">
        <f t="shared" si="1503"/>
        <v>0</v>
      </c>
      <c r="WQ148" s="207"/>
      <c r="WR148" s="207"/>
      <c r="WS148" s="207"/>
      <c r="WT148" s="207"/>
      <c r="WU148" s="207"/>
      <c r="WV148" s="272"/>
      <c r="WW148" s="272"/>
      <c r="WX148" s="205">
        <f t="shared" si="1504"/>
        <v>0</v>
      </c>
      <c r="WY148" s="207"/>
      <c r="WZ148" s="207"/>
      <c r="XA148" s="207"/>
      <c r="XB148" s="207"/>
      <c r="XC148" s="272"/>
      <c r="XD148" s="272"/>
      <c r="XE148" s="272"/>
      <c r="XF148" s="205">
        <f t="shared" si="1505"/>
        <v>0</v>
      </c>
      <c r="XG148" s="207"/>
      <c r="XH148" s="207"/>
      <c r="XI148" s="207"/>
      <c r="XJ148" s="207"/>
      <c r="XK148" s="207"/>
      <c r="XL148" s="272"/>
      <c r="XM148" s="272"/>
      <c r="XN148" s="205">
        <f t="shared" si="1506"/>
        <v>0</v>
      </c>
      <c r="XO148" s="207"/>
      <c r="XP148" s="207"/>
      <c r="XQ148" s="207"/>
      <c r="XR148" s="207"/>
      <c r="XS148" s="207"/>
      <c r="XT148" s="272"/>
      <c r="XU148" s="272"/>
      <c r="XV148" s="205">
        <f t="shared" si="1507"/>
        <v>0</v>
      </c>
      <c r="XW148" s="205">
        <f t="shared" si="1508"/>
        <v>0</v>
      </c>
      <c r="XX148" s="207"/>
      <c r="XY148" s="207"/>
      <c r="XZ148" s="207"/>
      <c r="YA148" s="207"/>
      <c r="YB148" s="207"/>
      <c r="YC148" s="272"/>
      <c r="YD148" s="272"/>
      <c r="YE148" s="205">
        <f t="shared" si="1509"/>
        <v>0</v>
      </c>
      <c r="YF148" s="207"/>
      <c r="YG148" s="207"/>
      <c r="YH148" s="207"/>
      <c r="YI148" s="207"/>
      <c r="YJ148" s="207"/>
      <c r="YK148" s="272"/>
      <c r="YL148" s="272"/>
      <c r="YM148" s="205">
        <f t="shared" si="1510"/>
        <v>0</v>
      </c>
      <c r="YN148" s="207"/>
      <c r="YO148" s="207"/>
      <c r="YP148" s="207"/>
      <c r="YQ148" s="207"/>
      <c r="YR148" s="207"/>
      <c r="YS148" s="272"/>
      <c r="YT148" s="272"/>
      <c r="YU148" s="205">
        <f t="shared" si="1511"/>
        <v>0</v>
      </c>
      <c r="YV148" s="207"/>
      <c r="YW148" s="207"/>
      <c r="YX148" s="207"/>
      <c r="YY148" s="207"/>
      <c r="YZ148" s="207"/>
      <c r="ZA148" s="272"/>
      <c r="ZB148" s="272"/>
      <c r="ZC148" s="205">
        <f t="shared" si="1512"/>
        <v>0</v>
      </c>
      <c r="ZD148" s="205">
        <f t="shared" si="1513"/>
        <v>0</v>
      </c>
      <c r="ZE148" s="207"/>
      <c r="ZF148" s="207"/>
      <c r="ZG148" s="207"/>
      <c r="ZH148" s="207"/>
      <c r="ZI148" s="207"/>
      <c r="ZJ148" s="272"/>
      <c r="ZK148" s="272"/>
      <c r="ZL148" s="205">
        <f t="shared" si="1514"/>
        <v>0</v>
      </c>
      <c r="ZM148" s="207"/>
      <c r="ZN148" s="207"/>
      <c r="ZO148" s="207"/>
      <c r="ZP148" s="207"/>
      <c r="ZQ148" s="207"/>
      <c r="ZR148" s="272"/>
      <c r="ZS148" s="272"/>
      <c r="ZT148" s="205">
        <f t="shared" si="1515"/>
        <v>0</v>
      </c>
      <c r="ZU148" s="207"/>
      <c r="ZV148" s="207"/>
      <c r="ZW148" s="207"/>
      <c r="ZX148" s="207"/>
      <c r="ZY148" s="207"/>
      <c r="ZZ148" s="272"/>
      <c r="AAA148" s="272"/>
      <c r="AAB148" s="205">
        <f t="shared" si="1516"/>
        <v>0</v>
      </c>
      <c r="AAC148" s="207"/>
      <c r="AAD148" s="207"/>
      <c r="AAE148" s="207"/>
      <c r="AAF148" s="207"/>
      <c r="AAG148" s="207"/>
      <c r="AAH148" s="272"/>
      <c r="AAI148" s="272"/>
      <c r="AAJ148" s="205">
        <f t="shared" si="1517"/>
        <v>0</v>
      </c>
      <c r="AAK148" s="207"/>
      <c r="AAL148" s="207"/>
      <c r="AAM148" s="207"/>
      <c r="AAN148" s="207"/>
      <c r="AAO148" s="207"/>
      <c r="AAP148" s="272"/>
      <c r="AAQ148" s="272"/>
      <c r="AAR148" s="205">
        <f t="shared" si="1518"/>
        <v>0</v>
      </c>
      <c r="AAS148" s="205">
        <f t="shared" si="1519"/>
        <v>0</v>
      </c>
    </row>
    <row r="149" spans="1:721" ht="69.95" customHeight="1">
      <c r="B149" s="130" t="s">
        <v>403</v>
      </c>
      <c r="C149" s="146" t="s">
        <v>485</v>
      </c>
      <c r="D149" s="197" t="s">
        <v>427</v>
      </c>
      <c r="E149" s="130" t="s">
        <v>4</v>
      </c>
      <c r="F149" s="120"/>
      <c r="G149" s="120"/>
      <c r="H149" s="120"/>
      <c r="I149" s="120"/>
      <c r="J149" s="120"/>
      <c r="K149" s="209"/>
      <c r="L149" s="205"/>
      <c r="M149" s="205">
        <f t="shared" si="1520"/>
        <v>0</v>
      </c>
      <c r="N149" s="120"/>
      <c r="O149" s="120"/>
      <c r="P149" s="120"/>
      <c r="Q149" s="120"/>
      <c r="R149" s="120"/>
      <c r="S149" s="209"/>
      <c r="T149" s="205"/>
      <c r="U149" s="205">
        <f t="shared" si="1521"/>
        <v>0</v>
      </c>
      <c r="V149" s="120"/>
      <c r="W149" s="120"/>
      <c r="X149" s="120"/>
      <c r="Y149" s="120"/>
      <c r="Z149" s="120"/>
      <c r="AA149" s="209"/>
      <c r="AB149" s="205"/>
      <c r="AC149" s="205">
        <f t="shared" si="1522"/>
        <v>0</v>
      </c>
      <c r="AD149" s="205"/>
      <c r="AE149" s="205"/>
      <c r="AF149" s="205"/>
      <c r="AG149" s="205"/>
      <c r="AH149" s="205"/>
      <c r="AI149" s="209"/>
      <c r="AJ149" s="205"/>
      <c r="AK149" s="205">
        <f t="shared" si="1523"/>
        <v>0</v>
      </c>
      <c r="AL149" s="205" t="e">
        <f>SUM(#REF!,M149,U149,AC149,AD149:AH149)</f>
        <v>#REF!</v>
      </c>
      <c r="AM149" s="120"/>
      <c r="AN149" s="120"/>
      <c r="AO149" s="120"/>
      <c r="AP149" s="120"/>
      <c r="AQ149" s="120"/>
      <c r="AR149" s="209"/>
      <c r="AS149" s="205"/>
      <c r="AT149" s="205">
        <f t="shared" si="1524"/>
        <v>0</v>
      </c>
      <c r="AU149" s="120"/>
      <c r="AV149" s="120"/>
      <c r="AW149" s="120"/>
      <c r="AX149" s="120"/>
      <c r="AY149" s="120"/>
      <c r="AZ149" s="209"/>
      <c r="BA149" s="205"/>
      <c r="BB149" s="205">
        <f t="shared" si="1525"/>
        <v>0</v>
      </c>
      <c r="BC149" s="120"/>
      <c r="BD149" s="120"/>
      <c r="BE149" s="120"/>
      <c r="BF149" s="120"/>
      <c r="BG149" s="120"/>
      <c r="BH149" s="209"/>
      <c r="BI149" s="205"/>
      <c r="BJ149" s="205">
        <f t="shared" si="1526"/>
        <v>0</v>
      </c>
      <c r="BK149" s="120"/>
      <c r="BL149" s="120"/>
      <c r="BM149" s="120"/>
      <c r="BN149" s="120"/>
      <c r="BO149" s="205"/>
      <c r="BP149" s="209"/>
      <c r="BQ149" s="205"/>
      <c r="BR149" s="205">
        <f t="shared" si="1527"/>
        <v>0</v>
      </c>
      <c r="BS149" s="205">
        <f t="shared" si="1427"/>
        <v>0</v>
      </c>
      <c r="BT149" s="120"/>
      <c r="BU149" s="120"/>
      <c r="BV149" s="120"/>
      <c r="BW149" s="120"/>
      <c r="BX149" s="120"/>
      <c r="BY149" s="209"/>
      <c r="BZ149" s="205"/>
      <c r="CA149" s="205">
        <f t="shared" si="1528"/>
        <v>0</v>
      </c>
      <c r="CB149" s="120"/>
      <c r="CC149" s="120"/>
      <c r="CD149" s="120"/>
      <c r="CE149" s="120"/>
      <c r="CF149" s="120"/>
      <c r="CG149" s="209"/>
      <c r="CH149" s="205"/>
      <c r="CI149" s="205">
        <f t="shared" si="1529"/>
        <v>0</v>
      </c>
      <c r="CJ149" s="120"/>
      <c r="CK149" s="120"/>
      <c r="CL149" s="195">
        <v>500</v>
      </c>
      <c r="CM149" s="120"/>
      <c r="CN149" s="120"/>
      <c r="CO149" s="209"/>
      <c r="CP149" s="205"/>
      <c r="CQ149" s="205">
        <f t="shared" si="1530"/>
        <v>500</v>
      </c>
      <c r="CR149" s="120"/>
      <c r="CS149" s="120"/>
      <c r="CT149" s="120"/>
      <c r="CU149" s="120"/>
      <c r="CV149" s="120"/>
      <c r="CW149" s="209"/>
      <c r="CX149" s="205"/>
      <c r="CY149" s="205">
        <f t="shared" si="1531"/>
        <v>0</v>
      </c>
      <c r="CZ149" s="120"/>
      <c r="DA149" s="120"/>
      <c r="DB149" s="120"/>
      <c r="DC149" s="205"/>
      <c r="DD149" s="205"/>
      <c r="DE149" s="209"/>
      <c r="DF149" s="205"/>
      <c r="DG149" s="205">
        <f t="shared" si="1532"/>
        <v>0</v>
      </c>
      <c r="DH149" s="205">
        <f t="shared" si="1428"/>
        <v>500</v>
      </c>
      <c r="DI149" s="120"/>
      <c r="DJ149" s="120"/>
      <c r="DK149" s="120"/>
      <c r="DL149" s="120"/>
      <c r="DM149" s="120"/>
      <c r="DN149" s="209"/>
      <c r="DO149" s="205"/>
      <c r="DP149" s="205">
        <f t="shared" si="1432"/>
        <v>0</v>
      </c>
      <c r="DQ149" s="120"/>
      <c r="DR149" s="120"/>
      <c r="DS149" s="250">
        <v>3000</v>
      </c>
      <c r="DT149" s="250">
        <v>1500</v>
      </c>
      <c r="DU149" s="120"/>
      <c r="DV149" s="209"/>
      <c r="DW149" s="205"/>
      <c r="DX149" s="205">
        <f t="shared" si="1433"/>
        <v>4500</v>
      </c>
      <c r="DY149" s="120"/>
      <c r="DZ149" s="207"/>
      <c r="EA149" s="120"/>
      <c r="EB149" s="120"/>
      <c r="EC149" s="120"/>
      <c r="ED149" s="209"/>
      <c r="EE149" s="205"/>
      <c r="EF149" s="205">
        <f t="shared" si="1434"/>
        <v>0</v>
      </c>
      <c r="EG149" s="120"/>
      <c r="EH149" s="120"/>
      <c r="EI149" s="217">
        <v>1500</v>
      </c>
      <c r="EJ149" s="205"/>
      <c r="EK149" s="205"/>
      <c r="EL149" s="209"/>
      <c r="EM149" s="205"/>
      <c r="EN149" s="205">
        <f t="shared" si="1435"/>
        <v>1500</v>
      </c>
      <c r="EO149" s="205">
        <f t="shared" si="1429"/>
        <v>6000</v>
      </c>
      <c r="EP149" s="120"/>
      <c r="EQ149" s="120"/>
      <c r="ER149" s="120"/>
      <c r="ES149" s="120"/>
      <c r="ET149" s="120"/>
      <c r="EU149" s="209"/>
      <c r="EV149" s="205"/>
      <c r="EW149" s="205">
        <f t="shared" si="1436"/>
        <v>0</v>
      </c>
      <c r="EX149" s="120"/>
      <c r="EY149" s="120"/>
      <c r="EZ149" s="120"/>
      <c r="FA149" s="120"/>
      <c r="FB149" s="120"/>
      <c r="FC149" s="209"/>
      <c r="FD149" s="205"/>
      <c r="FE149" s="205">
        <f t="shared" si="1437"/>
        <v>0</v>
      </c>
      <c r="FF149" s="120"/>
      <c r="FG149" s="120"/>
      <c r="FH149" s="217">
        <v>1000</v>
      </c>
      <c r="FI149" s="120"/>
      <c r="FJ149" s="120"/>
      <c r="FK149" s="209"/>
      <c r="FL149" s="205"/>
      <c r="FM149" s="205">
        <f t="shared" si="1438"/>
        <v>1000</v>
      </c>
      <c r="FN149" s="120"/>
      <c r="FO149" s="120"/>
      <c r="FP149" s="120"/>
      <c r="FQ149" s="120"/>
      <c r="FR149" s="205"/>
      <c r="FS149" s="209"/>
      <c r="FT149" s="205"/>
      <c r="FU149" s="205">
        <f t="shared" si="1439"/>
        <v>0</v>
      </c>
      <c r="FV149" s="205">
        <f t="shared" si="1430"/>
        <v>1000</v>
      </c>
      <c r="FW149" s="120"/>
      <c r="FX149" s="201">
        <v>1000</v>
      </c>
      <c r="FY149" s="120"/>
      <c r="FZ149" s="120"/>
      <c r="GA149" s="120"/>
      <c r="GB149" s="209"/>
      <c r="GC149" s="205"/>
      <c r="GD149" s="205">
        <f t="shared" si="1440"/>
        <v>1000</v>
      </c>
      <c r="GE149" s="120"/>
      <c r="GF149" s="120"/>
      <c r="GG149" s="120"/>
      <c r="GH149" s="120"/>
      <c r="GI149" s="120"/>
      <c r="GJ149" s="209"/>
      <c r="GK149" s="205"/>
      <c r="GL149" s="205">
        <f t="shared" si="1441"/>
        <v>0</v>
      </c>
      <c r="GM149" s="120"/>
      <c r="GN149" s="250">
        <v>1900</v>
      </c>
      <c r="GO149" s="120"/>
      <c r="GP149" s="120"/>
      <c r="GQ149" s="120"/>
      <c r="GR149" s="209"/>
      <c r="GS149" s="205"/>
      <c r="GT149" s="205">
        <f t="shared" si="1442"/>
        <v>1900</v>
      </c>
      <c r="GU149" s="120"/>
      <c r="GV149" s="120"/>
      <c r="GW149" s="124">
        <v>600</v>
      </c>
      <c r="GX149" s="120"/>
      <c r="GY149" s="120"/>
      <c r="GZ149" s="209"/>
      <c r="HA149" s="205"/>
      <c r="HB149" s="205">
        <f t="shared" si="1443"/>
        <v>600</v>
      </c>
      <c r="HC149" s="120"/>
      <c r="HD149" s="120"/>
      <c r="HE149" s="120"/>
      <c r="HF149" s="120"/>
      <c r="HG149" s="120"/>
      <c r="HH149" s="209"/>
      <c r="HI149" s="205"/>
      <c r="HJ149" s="205">
        <f t="shared" si="1444"/>
        <v>0</v>
      </c>
      <c r="HK149" s="205">
        <f t="shared" si="1431"/>
        <v>3500</v>
      </c>
      <c r="HL149" s="124"/>
      <c r="HM149" s="120"/>
      <c r="HN149" s="120"/>
      <c r="HO149" s="120"/>
      <c r="HP149" s="120"/>
      <c r="HQ149" s="205"/>
      <c r="HR149" s="205"/>
      <c r="HS149" s="205">
        <f t="shared" si="1445"/>
        <v>0</v>
      </c>
      <c r="HT149" s="120"/>
      <c r="HU149" s="120"/>
      <c r="HV149" s="120"/>
      <c r="HW149" s="120"/>
      <c r="HX149" s="120"/>
      <c r="HY149" s="205"/>
      <c r="HZ149" s="205"/>
      <c r="IA149" s="205">
        <f t="shared" si="1446"/>
        <v>0</v>
      </c>
      <c r="IB149" s="120"/>
      <c r="IC149" s="120"/>
      <c r="ID149" s="120"/>
      <c r="IE149" s="120"/>
      <c r="IF149" s="120"/>
      <c r="IG149" s="205"/>
      <c r="IH149" s="205"/>
      <c r="II149" s="205">
        <f t="shared" si="1447"/>
        <v>0</v>
      </c>
      <c r="IJ149" s="120"/>
      <c r="IK149" s="120"/>
      <c r="IL149" s="120"/>
      <c r="IM149" s="120"/>
      <c r="IN149" s="266">
        <v>2300</v>
      </c>
      <c r="IO149" s="205"/>
      <c r="IP149" s="205"/>
      <c r="IQ149" s="205">
        <f t="shared" si="1448"/>
        <v>2300</v>
      </c>
      <c r="IR149" s="205">
        <f t="shared" si="1449"/>
        <v>0</v>
      </c>
      <c r="IS149" s="120"/>
      <c r="IT149" s="120"/>
      <c r="IU149" s="120"/>
      <c r="IV149" s="120"/>
      <c r="IW149" s="120"/>
      <c r="IX149" s="205"/>
      <c r="IY149" s="205"/>
      <c r="IZ149" s="205">
        <f t="shared" si="1450"/>
        <v>0</v>
      </c>
      <c r="JA149" s="120"/>
      <c r="JB149" s="120"/>
      <c r="JC149" s="120"/>
      <c r="JD149" s="120"/>
      <c r="JE149" s="123">
        <v>2000</v>
      </c>
      <c r="JF149" s="205"/>
      <c r="JG149" s="205"/>
      <c r="JH149" s="205">
        <f t="shared" si="1451"/>
        <v>2000</v>
      </c>
      <c r="JI149" s="120"/>
      <c r="JJ149" s="120"/>
      <c r="JK149" s="120"/>
      <c r="JL149" s="120"/>
      <c r="JM149" s="120"/>
      <c r="JN149" s="205"/>
      <c r="JO149" s="205"/>
      <c r="JP149" s="205">
        <f t="shared" si="1452"/>
        <v>0</v>
      </c>
      <c r="JQ149" s="120"/>
      <c r="JR149" s="120"/>
      <c r="JS149" s="120"/>
      <c r="JT149" s="120"/>
      <c r="JU149" s="120"/>
      <c r="JV149" s="205"/>
      <c r="JW149" s="205"/>
      <c r="JX149" s="205">
        <f t="shared" si="1453"/>
        <v>0</v>
      </c>
      <c r="JY149" s="205">
        <f t="shared" si="1454"/>
        <v>4300</v>
      </c>
      <c r="JZ149" s="120"/>
      <c r="KA149" s="120"/>
      <c r="KB149" s="217">
        <v>2500</v>
      </c>
      <c r="KC149" s="120"/>
      <c r="KD149" s="120"/>
      <c r="KE149" s="205"/>
      <c r="KF149" s="205"/>
      <c r="KG149" s="205">
        <f t="shared" si="1455"/>
        <v>2500</v>
      </c>
      <c r="KH149" s="120"/>
      <c r="KI149" s="120"/>
      <c r="KJ149" s="120"/>
      <c r="KK149" s="120"/>
      <c r="KL149" s="120"/>
      <c r="KM149" s="205"/>
      <c r="KN149" s="205"/>
      <c r="KO149" s="205">
        <f t="shared" si="1456"/>
        <v>0</v>
      </c>
      <c r="KP149" s="120"/>
      <c r="KQ149" s="120"/>
      <c r="KR149" s="120"/>
      <c r="KS149" s="120"/>
      <c r="KT149" s="120"/>
      <c r="KU149" s="205"/>
      <c r="KV149" s="205"/>
      <c r="KW149" s="205">
        <f t="shared" si="1457"/>
        <v>0</v>
      </c>
      <c r="KX149" s="120"/>
      <c r="KY149" s="120"/>
      <c r="KZ149" s="195">
        <v>1500</v>
      </c>
      <c r="LA149" s="120"/>
      <c r="LB149" s="120"/>
      <c r="LC149" s="205"/>
      <c r="LD149" s="205"/>
      <c r="LE149" s="205">
        <f t="shared" si="1458"/>
        <v>1500</v>
      </c>
      <c r="LF149" s="205"/>
      <c r="LG149" s="120"/>
      <c r="LH149" s="120"/>
      <c r="LI149" s="120"/>
      <c r="LJ149" s="120"/>
      <c r="LK149" s="205"/>
      <c r="LL149" s="205"/>
      <c r="LM149" s="205">
        <f t="shared" si="1459"/>
        <v>0</v>
      </c>
      <c r="LN149" s="205">
        <f t="shared" si="1460"/>
        <v>4000</v>
      </c>
      <c r="LO149" s="205"/>
      <c r="LP149" s="120"/>
      <c r="LQ149" s="120"/>
      <c r="LR149" s="120"/>
      <c r="LS149" s="205"/>
      <c r="LT149" s="205"/>
      <c r="LU149" s="205"/>
      <c r="LV149" s="205">
        <f t="shared" si="1461"/>
        <v>0</v>
      </c>
      <c r="LW149" s="120"/>
      <c r="LX149" s="120"/>
      <c r="LY149" s="120"/>
      <c r="LZ149" s="120"/>
      <c r="MA149" s="120"/>
      <c r="MB149" s="205"/>
      <c r="MC149" s="205"/>
      <c r="MD149" s="205">
        <f t="shared" si="1462"/>
        <v>0</v>
      </c>
      <c r="ME149" s="120"/>
      <c r="MF149" s="120"/>
      <c r="MG149" s="120"/>
      <c r="MH149" s="120"/>
      <c r="MI149" s="205"/>
      <c r="MJ149" s="205"/>
      <c r="MK149" s="205"/>
      <c r="ML149" s="205">
        <f t="shared" si="1463"/>
        <v>0</v>
      </c>
      <c r="MM149" s="120"/>
      <c r="MN149" s="120"/>
      <c r="MO149" s="120"/>
      <c r="MP149" s="120"/>
      <c r="MQ149" s="120"/>
      <c r="MR149" s="205"/>
      <c r="MS149" s="205"/>
      <c r="MT149" s="205">
        <f t="shared" si="1464"/>
        <v>0</v>
      </c>
      <c r="MU149" s="205">
        <f t="shared" si="1465"/>
        <v>0</v>
      </c>
      <c r="MV149" s="120"/>
      <c r="MW149" s="120"/>
      <c r="MX149" s="120"/>
      <c r="MY149" s="120"/>
      <c r="MZ149" s="120"/>
      <c r="NA149" s="205"/>
      <c r="NB149" s="205"/>
      <c r="NC149" s="205">
        <f t="shared" si="1466"/>
        <v>0</v>
      </c>
      <c r="ND149" s="120"/>
      <c r="NE149" s="120"/>
      <c r="NF149" s="120"/>
      <c r="NG149" s="120"/>
      <c r="NH149" s="120"/>
      <c r="NI149" s="205"/>
      <c r="NJ149" s="205"/>
      <c r="NK149" s="205">
        <f t="shared" si="1467"/>
        <v>0</v>
      </c>
      <c r="NL149" s="124">
        <v>1000</v>
      </c>
      <c r="NM149" s="124">
        <v>3000</v>
      </c>
      <c r="NN149" s="120"/>
      <c r="NO149" s="124">
        <v>1300</v>
      </c>
      <c r="NP149" s="120"/>
      <c r="NQ149" s="205"/>
      <c r="NR149" s="205"/>
      <c r="NS149" s="205">
        <f t="shared" si="1468"/>
        <v>5300</v>
      </c>
      <c r="NT149" s="120"/>
      <c r="NU149" s="120"/>
      <c r="NV149" s="120"/>
      <c r="NW149" s="120"/>
      <c r="NX149" s="120"/>
      <c r="NY149" s="205"/>
      <c r="NZ149" s="205"/>
      <c r="OA149" s="205">
        <f t="shared" si="1469"/>
        <v>0</v>
      </c>
      <c r="OB149" s="205">
        <f t="shared" si="1470"/>
        <v>5300</v>
      </c>
      <c r="OC149" s="120"/>
      <c r="OD149" s="120"/>
      <c r="OE149" s="120"/>
      <c r="OF149" s="120"/>
      <c r="OG149" s="120"/>
      <c r="OH149" s="205"/>
      <c r="OI149" s="205"/>
      <c r="OJ149" s="205">
        <f t="shared" si="1471"/>
        <v>0</v>
      </c>
      <c r="OK149" s="120"/>
      <c r="OL149" s="120"/>
      <c r="OM149" s="120"/>
      <c r="ON149" s="120"/>
      <c r="OO149" s="120"/>
      <c r="OP149" s="205"/>
      <c r="OQ149" s="205"/>
      <c r="OR149" s="205">
        <f t="shared" si="1472"/>
        <v>0</v>
      </c>
      <c r="OS149" s="120"/>
      <c r="OT149" s="120"/>
      <c r="OU149" s="120"/>
      <c r="OV149" s="217">
        <v>2200</v>
      </c>
      <c r="OW149" s="120"/>
      <c r="OX149" s="205"/>
      <c r="OY149" s="205"/>
      <c r="OZ149" s="205">
        <f t="shared" si="1473"/>
        <v>2200</v>
      </c>
      <c r="PA149" s="120"/>
      <c r="PB149" s="120"/>
      <c r="PC149" s="120"/>
      <c r="PD149" s="205"/>
      <c r="PE149" s="217"/>
      <c r="PF149" s="205"/>
      <c r="PG149" s="205"/>
      <c r="PH149" s="205">
        <f t="shared" si="1474"/>
        <v>0</v>
      </c>
      <c r="PI149" s="120"/>
      <c r="PJ149" s="120"/>
      <c r="PK149" s="120"/>
      <c r="PL149" s="205"/>
      <c r="PM149" s="217"/>
      <c r="PN149" s="205"/>
      <c r="PO149" s="205"/>
      <c r="PP149" s="205">
        <f t="shared" si="1475"/>
        <v>0</v>
      </c>
      <c r="PQ149" s="205">
        <f t="shared" si="1476"/>
        <v>2200</v>
      </c>
      <c r="PR149" s="207"/>
      <c r="PS149" s="120"/>
      <c r="PT149" s="207"/>
      <c r="PU149" s="207"/>
      <c r="PV149" s="206">
        <v>1500</v>
      </c>
      <c r="PW149" s="272"/>
      <c r="PX149" s="272"/>
      <c r="PY149" s="205">
        <f t="shared" si="1477"/>
        <v>1500</v>
      </c>
      <c r="PZ149" s="207"/>
      <c r="QA149" s="207"/>
      <c r="QB149" s="207"/>
      <c r="QC149" s="207"/>
      <c r="QD149" s="217">
        <v>2200</v>
      </c>
      <c r="QE149" s="272"/>
      <c r="QF149" s="272"/>
      <c r="QG149" s="205">
        <f t="shared" si="1478"/>
        <v>2200</v>
      </c>
      <c r="QH149" s="207"/>
      <c r="QI149" s="207"/>
      <c r="QJ149" s="294"/>
      <c r="QK149" s="207"/>
      <c r="QL149" s="207"/>
      <c r="QM149" s="272"/>
      <c r="QN149" s="272"/>
      <c r="QO149" s="205">
        <f t="shared" si="1479"/>
        <v>0</v>
      </c>
      <c r="QP149" s="207"/>
      <c r="QQ149" s="207"/>
      <c r="QR149" s="207"/>
      <c r="QS149" s="207"/>
      <c r="QT149" s="207"/>
      <c r="QU149" s="272"/>
      <c r="QV149" s="272"/>
      <c r="QW149" s="205">
        <f t="shared" si="1480"/>
        <v>0</v>
      </c>
      <c r="QX149" s="205">
        <f t="shared" si="1481"/>
        <v>3700</v>
      </c>
      <c r="QY149" s="207"/>
      <c r="QZ149" s="207"/>
      <c r="RA149" s="207"/>
      <c r="RB149" s="207"/>
      <c r="RC149" s="207"/>
      <c r="RD149" s="272"/>
      <c r="RE149" s="272"/>
      <c r="RF149" s="205">
        <f t="shared" si="1482"/>
        <v>0</v>
      </c>
      <c r="RG149" s="207"/>
      <c r="RH149" s="207"/>
      <c r="RI149" s="120"/>
      <c r="RJ149" s="207"/>
      <c r="RK149" s="207"/>
      <c r="RL149" s="272"/>
      <c r="RM149" s="272"/>
      <c r="RN149" s="205">
        <f t="shared" si="1483"/>
        <v>0</v>
      </c>
      <c r="RO149" s="272"/>
      <c r="RP149" s="272"/>
      <c r="RQ149" s="272"/>
      <c r="RR149" s="272"/>
      <c r="RS149" s="272"/>
      <c r="RT149" s="272"/>
      <c r="RU149" s="272"/>
      <c r="RV149" s="205">
        <f t="shared" si="1484"/>
        <v>0</v>
      </c>
      <c r="RW149" s="207"/>
      <c r="RX149" s="207"/>
      <c r="RY149" s="207"/>
      <c r="RZ149" s="207"/>
      <c r="SA149" s="272"/>
      <c r="SB149" s="272"/>
      <c r="SC149" s="272"/>
      <c r="SD149" s="205">
        <f t="shared" si="1485"/>
        <v>0</v>
      </c>
      <c r="SE149" s="205">
        <f t="shared" si="1486"/>
        <v>0</v>
      </c>
      <c r="SF149" s="207"/>
      <c r="SG149" s="207"/>
      <c r="SH149" s="207"/>
      <c r="SI149" s="207"/>
      <c r="SJ149" s="207"/>
      <c r="SK149" s="272"/>
      <c r="SL149" s="272"/>
      <c r="SM149" s="205">
        <f t="shared" si="1487"/>
        <v>0</v>
      </c>
      <c r="SN149" s="207"/>
      <c r="SO149" s="207"/>
      <c r="SP149" s="207"/>
      <c r="SQ149" s="207"/>
      <c r="SR149" s="207"/>
      <c r="SS149" s="272"/>
      <c r="ST149" s="272"/>
      <c r="SU149" s="205">
        <f t="shared" si="1488"/>
        <v>0</v>
      </c>
      <c r="SV149" s="207"/>
      <c r="SW149" s="207"/>
      <c r="SX149" s="195">
        <v>2500</v>
      </c>
      <c r="SY149" s="207"/>
      <c r="SZ149" s="207"/>
      <c r="TA149" s="272"/>
      <c r="TB149" s="272"/>
      <c r="TC149" s="205">
        <f t="shared" si="1489"/>
        <v>2500</v>
      </c>
      <c r="TD149" s="207"/>
      <c r="TE149" s="207"/>
      <c r="TF149" s="207"/>
      <c r="TG149" s="207"/>
      <c r="TH149" s="207"/>
      <c r="TI149" s="272"/>
      <c r="TJ149" s="272"/>
      <c r="TK149" s="205">
        <f t="shared" si="1490"/>
        <v>0</v>
      </c>
      <c r="TL149" s="207"/>
      <c r="TM149" s="207"/>
      <c r="TN149" s="207"/>
      <c r="TO149" s="207"/>
      <c r="TP149" s="272"/>
      <c r="TQ149" s="272"/>
      <c r="TR149" s="272"/>
      <c r="TS149" s="205">
        <f t="shared" si="1491"/>
        <v>0</v>
      </c>
      <c r="TT149" s="205">
        <f t="shared" si="1492"/>
        <v>2500</v>
      </c>
      <c r="TU149" s="272"/>
      <c r="TV149" s="207"/>
      <c r="TW149" s="207"/>
      <c r="TX149" s="195">
        <v>2200</v>
      </c>
      <c r="TY149" s="207"/>
      <c r="TZ149" s="272"/>
      <c r="UA149" s="272"/>
      <c r="UB149" s="205">
        <f t="shared" si="1493"/>
        <v>2200</v>
      </c>
      <c r="UC149" s="207"/>
      <c r="UD149" s="207"/>
      <c r="UE149" s="207"/>
      <c r="UF149" s="207"/>
      <c r="UG149" s="207"/>
      <c r="UH149" s="272"/>
      <c r="UI149" s="272"/>
      <c r="UJ149" s="205">
        <f t="shared" si="1494"/>
        <v>0</v>
      </c>
      <c r="UK149" s="207"/>
      <c r="UL149" s="207"/>
      <c r="UM149" s="207"/>
      <c r="UN149" s="120"/>
      <c r="UO149" s="207"/>
      <c r="UP149" s="272"/>
      <c r="UQ149" s="272"/>
      <c r="UR149" s="205">
        <f t="shared" si="1495"/>
        <v>0</v>
      </c>
      <c r="US149" s="207"/>
      <c r="UT149" s="207"/>
      <c r="UU149" s="207"/>
      <c r="UV149" s="207"/>
      <c r="UW149" s="272"/>
      <c r="UX149" s="272"/>
      <c r="UY149" s="272"/>
      <c r="UZ149" s="205">
        <f t="shared" si="1496"/>
        <v>0</v>
      </c>
      <c r="VA149" s="205">
        <f t="shared" si="1497"/>
        <v>2200</v>
      </c>
      <c r="VB149" s="207"/>
      <c r="VC149" s="207"/>
      <c r="VD149" s="207"/>
      <c r="VE149" s="124">
        <v>3200</v>
      </c>
      <c r="VF149" s="120"/>
      <c r="VG149" s="272"/>
      <c r="VH149" s="272"/>
      <c r="VI149" s="205">
        <f>SUM(VD149:VH149)</f>
        <v>3200</v>
      </c>
      <c r="VJ149" s="207"/>
      <c r="VK149" s="207"/>
      <c r="VL149" s="207"/>
      <c r="VM149" s="207"/>
      <c r="VN149" s="207"/>
      <c r="VO149" s="272"/>
      <c r="VP149" s="272"/>
      <c r="VQ149" s="205">
        <f t="shared" si="1499"/>
        <v>0</v>
      </c>
      <c r="VR149" s="207"/>
      <c r="VS149" s="207"/>
      <c r="VT149" s="207"/>
      <c r="VU149" s="207"/>
      <c r="VV149" s="207"/>
      <c r="VW149" s="272"/>
      <c r="VX149" s="272"/>
      <c r="VY149" s="205">
        <f t="shared" si="1500"/>
        <v>0</v>
      </c>
      <c r="VZ149" s="207"/>
      <c r="WA149" s="207"/>
      <c r="WB149" s="195">
        <v>1500</v>
      </c>
      <c r="WC149" s="207"/>
      <c r="WD149" s="207"/>
      <c r="WE149" s="272"/>
      <c r="WF149" s="272"/>
      <c r="WG149" s="205">
        <f t="shared" si="1501"/>
        <v>1500</v>
      </c>
      <c r="WH149" s="205">
        <f t="shared" si="1502"/>
        <v>4700</v>
      </c>
      <c r="WI149" s="207"/>
      <c r="WJ149" s="207"/>
      <c r="WK149" s="207"/>
      <c r="WL149" s="207"/>
      <c r="WM149" s="207"/>
      <c r="WN149" s="272"/>
      <c r="WO149" s="272"/>
      <c r="WP149" s="205">
        <f t="shared" si="1503"/>
        <v>0</v>
      </c>
      <c r="WQ149" s="207"/>
      <c r="WR149" s="207"/>
      <c r="WS149" s="207"/>
      <c r="WT149" s="207"/>
      <c r="WU149" s="207"/>
      <c r="WV149" s="272"/>
      <c r="WW149" s="272"/>
      <c r="WX149" s="205">
        <f t="shared" si="1504"/>
        <v>0</v>
      </c>
      <c r="WY149" s="207"/>
      <c r="WZ149" s="207"/>
      <c r="XA149" s="207"/>
      <c r="XB149" s="207"/>
      <c r="XC149" s="272"/>
      <c r="XD149" s="272"/>
      <c r="XE149" s="272"/>
      <c r="XF149" s="205">
        <f t="shared" si="1505"/>
        <v>0</v>
      </c>
      <c r="XG149" s="207"/>
      <c r="XH149" s="207"/>
      <c r="XI149" s="207"/>
      <c r="XJ149" s="207"/>
      <c r="XK149" s="207"/>
      <c r="XL149" s="272"/>
      <c r="XM149" s="272"/>
      <c r="XN149" s="205">
        <f t="shared" si="1506"/>
        <v>0</v>
      </c>
      <c r="XO149" s="207"/>
      <c r="XP149" s="207"/>
      <c r="XQ149" s="207"/>
      <c r="XR149" s="207"/>
      <c r="XS149" s="207"/>
      <c r="XT149" s="272"/>
      <c r="XU149" s="272"/>
      <c r="XV149" s="205">
        <f t="shared" si="1507"/>
        <v>0</v>
      </c>
      <c r="XW149" s="205">
        <f t="shared" si="1508"/>
        <v>0</v>
      </c>
      <c r="XX149" s="207"/>
      <c r="XY149" s="207"/>
      <c r="XZ149" s="207"/>
      <c r="YA149" s="207"/>
      <c r="YB149" s="207"/>
      <c r="YC149" s="272"/>
      <c r="YD149" s="272"/>
      <c r="YE149" s="205">
        <f t="shared" si="1509"/>
        <v>0</v>
      </c>
      <c r="YF149" s="207"/>
      <c r="YG149" s="207"/>
      <c r="YH149" s="207"/>
      <c r="YI149" s="207"/>
      <c r="YJ149" s="207"/>
      <c r="YK149" s="272"/>
      <c r="YL149" s="272"/>
      <c r="YM149" s="205">
        <f t="shared" si="1510"/>
        <v>0</v>
      </c>
      <c r="YN149" s="207"/>
      <c r="YO149" s="207"/>
      <c r="YP149" s="207"/>
      <c r="YQ149" s="207"/>
      <c r="YR149" s="207"/>
      <c r="YS149" s="272"/>
      <c r="YT149" s="272"/>
      <c r="YU149" s="205">
        <f t="shared" si="1511"/>
        <v>0</v>
      </c>
      <c r="YV149" s="207"/>
      <c r="YW149" s="207"/>
      <c r="YX149" s="207"/>
      <c r="YY149" s="207"/>
      <c r="YZ149" s="207"/>
      <c r="ZA149" s="272"/>
      <c r="ZB149" s="272"/>
      <c r="ZC149" s="205">
        <f t="shared" si="1512"/>
        <v>0</v>
      </c>
      <c r="ZD149" s="205">
        <f t="shared" si="1513"/>
        <v>0</v>
      </c>
      <c r="ZE149" s="207"/>
      <c r="ZF149" s="207"/>
      <c r="ZG149" s="207"/>
      <c r="ZH149" s="207"/>
      <c r="ZI149" s="207"/>
      <c r="ZJ149" s="272"/>
      <c r="ZK149" s="272"/>
      <c r="ZL149" s="205">
        <f t="shared" si="1514"/>
        <v>0</v>
      </c>
      <c r="ZM149" s="207"/>
      <c r="ZN149" s="207"/>
      <c r="ZO149" s="207"/>
      <c r="ZP149" s="207"/>
      <c r="ZQ149" s="207"/>
      <c r="ZR149" s="272"/>
      <c r="ZS149" s="272"/>
      <c r="ZT149" s="205">
        <f t="shared" si="1515"/>
        <v>0</v>
      </c>
      <c r="ZU149" s="207"/>
      <c r="ZV149" s="207"/>
      <c r="ZW149" s="207"/>
      <c r="ZX149" s="207"/>
      <c r="ZY149" s="207"/>
      <c r="ZZ149" s="272"/>
      <c r="AAA149" s="272"/>
      <c r="AAB149" s="205">
        <f t="shared" si="1516"/>
        <v>0</v>
      </c>
      <c r="AAC149" s="207"/>
      <c r="AAD149" s="207"/>
      <c r="AAE149" s="207"/>
      <c r="AAF149" s="207"/>
      <c r="AAG149" s="207"/>
      <c r="AAH149" s="272"/>
      <c r="AAI149" s="272"/>
      <c r="AAJ149" s="205">
        <f t="shared" si="1517"/>
        <v>0</v>
      </c>
      <c r="AAK149" s="207"/>
      <c r="AAL149" s="207"/>
      <c r="AAM149" s="207"/>
      <c r="AAN149" s="207"/>
      <c r="AAO149" s="207"/>
      <c r="AAP149" s="272"/>
      <c r="AAQ149" s="272"/>
      <c r="AAR149" s="205">
        <f t="shared" si="1518"/>
        <v>0</v>
      </c>
      <c r="AAS149" s="205">
        <f t="shared" si="1519"/>
        <v>0</v>
      </c>
    </row>
    <row r="150" spans="1:721" s="127" customFormat="1" ht="69.95" customHeight="1">
      <c r="A150" s="128"/>
      <c r="B150" s="174">
        <v>5714600133</v>
      </c>
      <c r="C150" s="338"/>
      <c r="D150" s="175" t="s">
        <v>486</v>
      </c>
      <c r="E150" s="130" t="s">
        <v>4</v>
      </c>
      <c r="F150" s="120"/>
      <c r="G150" s="120"/>
      <c r="H150" s="120"/>
      <c r="I150" s="120"/>
      <c r="J150" s="120"/>
      <c r="K150" s="209"/>
      <c r="L150" s="205"/>
      <c r="M150" s="205">
        <f t="shared" si="1520"/>
        <v>0</v>
      </c>
      <c r="N150" s="120"/>
      <c r="O150" s="120"/>
      <c r="P150" s="120"/>
      <c r="Q150" s="120"/>
      <c r="R150" s="120"/>
      <c r="S150" s="209"/>
      <c r="T150" s="205"/>
      <c r="U150" s="205">
        <f t="shared" si="1521"/>
        <v>0</v>
      </c>
      <c r="V150" s="120"/>
      <c r="W150" s="120"/>
      <c r="X150" s="120"/>
      <c r="Y150" s="120"/>
      <c r="Z150" s="120"/>
      <c r="AA150" s="209"/>
      <c r="AB150" s="205"/>
      <c r="AC150" s="205">
        <f t="shared" si="1522"/>
        <v>0</v>
      </c>
      <c r="AD150" s="205"/>
      <c r="AE150" s="205"/>
      <c r="AF150" s="205"/>
      <c r="AG150" s="205"/>
      <c r="AH150" s="205"/>
      <c r="AI150" s="209"/>
      <c r="AJ150" s="205"/>
      <c r="AK150" s="205">
        <f t="shared" si="1523"/>
        <v>0</v>
      </c>
      <c r="AL150" s="205" t="e">
        <f>SUM(#REF!,M150,U150,AC150,AD150:AH150)</f>
        <v>#REF!</v>
      </c>
      <c r="AM150" s="120"/>
      <c r="AN150" s="120"/>
      <c r="AO150" s="120"/>
      <c r="AP150" s="120"/>
      <c r="AQ150" s="120"/>
      <c r="AR150" s="209"/>
      <c r="AS150" s="205"/>
      <c r="AT150" s="205">
        <f t="shared" si="1524"/>
        <v>0</v>
      </c>
      <c r="AU150" s="120"/>
      <c r="AV150" s="120"/>
      <c r="AW150" s="120"/>
      <c r="AX150" s="120"/>
      <c r="AY150" s="120"/>
      <c r="AZ150" s="209"/>
      <c r="BA150" s="205"/>
      <c r="BB150" s="205">
        <f t="shared" si="1525"/>
        <v>0</v>
      </c>
      <c r="BC150" s="120"/>
      <c r="BD150" s="120"/>
      <c r="BE150" s="120"/>
      <c r="BF150" s="120"/>
      <c r="BG150" s="120"/>
      <c r="BH150" s="209"/>
      <c r="BI150" s="205"/>
      <c r="BJ150" s="205">
        <f t="shared" si="1526"/>
        <v>0</v>
      </c>
      <c r="BK150" s="120"/>
      <c r="BL150" s="120"/>
      <c r="BM150" s="120"/>
      <c r="BN150" s="120"/>
      <c r="BO150" s="205"/>
      <c r="BP150" s="209"/>
      <c r="BQ150" s="205"/>
      <c r="BR150" s="205">
        <f t="shared" si="1527"/>
        <v>0</v>
      </c>
      <c r="BS150" s="205">
        <f t="shared" si="1427"/>
        <v>0</v>
      </c>
      <c r="BT150" s="120"/>
      <c r="BU150" s="120"/>
      <c r="BV150" s="120"/>
      <c r="BW150" s="120"/>
      <c r="BX150" s="120"/>
      <c r="BY150" s="209"/>
      <c r="BZ150" s="205"/>
      <c r="CA150" s="205">
        <f t="shared" si="1528"/>
        <v>0</v>
      </c>
      <c r="CB150" s="120"/>
      <c r="CC150" s="120"/>
      <c r="CD150" s="120"/>
      <c r="CE150" s="120"/>
      <c r="CF150" s="120"/>
      <c r="CG150" s="209"/>
      <c r="CH150" s="205"/>
      <c r="CI150" s="205">
        <f t="shared" si="1529"/>
        <v>0</v>
      </c>
      <c r="CJ150" s="120"/>
      <c r="CK150" s="120"/>
      <c r="CL150" s="120"/>
      <c r="CM150" s="120"/>
      <c r="CN150" s="120"/>
      <c r="CO150" s="209"/>
      <c r="CP150" s="205"/>
      <c r="CQ150" s="205">
        <f t="shared" si="1530"/>
        <v>0</v>
      </c>
      <c r="CR150" s="120"/>
      <c r="CS150" s="120"/>
      <c r="CT150" s="120"/>
      <c r="CU150" s="120"/>
      <c r="CV150" s="120"/>
      <c r="CW150" s="209"/>
      <c r="CX150" s="205"/>
      <c r="CY150" s="205">
        <f t="shared" si="1531"/>
        <v>0</v>
      </c>
      <c r="CZ150" s="120"/>
      <c r="DA150" s="120"/>
      <c r="DB150" s="120"/>
      <c r="DC150" s="205"/>
      <c r="DD150" s="205"/>
      <c r="DE150" s="209"/>
      <c r="DF150" s="205"/>
      <c r="DG150" s="205">
        <f t="shared" si="1532"/>
        <v>0</v>
      </c>
      <c r="DH150" s="205">
        <f t="shared" si="1428"/>
        <v>0</v>
      </c>
      <c r="DI150" s="120"/>
      <c r="DJ150" s="120"/>
      <c r="DK150" s="120"/>
      <c r="DL150" s="120"/>
      <c r="DM150" s="120"/>
      <c r="DN150" s="209"/>
      <c r="DO150" s="205"/>
      <c r="DP150" s="205">
        <f t="shared" si="1432"/>
        <v>0</v>
      </c>
      <c r="DQ150" s="120"/>
      <c r="DR150" s="120"/>
      <c r="DS150" s="120"/>
      <c r="DT150" s="120"/>
      <c r="DU150" s="120"/>
      <c r="DV150" s="209"/>
      <c r="DW150" s="205"/>
      <c r="DX150" s="205">
        <f t="shared" si="1433"/>
        <v>0</v>
      </c>
      <c r="DY150" s="120"/>
      <c r="DZ150" s="207"/>
      <c r="EA150" s="120"/>
      <c r="EB150" s="120"/>
      <c r="EC150" s="120"/>
      <c r="ED150" s="209"/>
      <c r="EE150" s="205"/>
      <c r="EF150" s="205">
        <f t="shared" si="1434"/>
        <v>0</v>
      </c>
      <c r="EG150" s="120"/>
      <c r="EH150" s="120"/>
      <c r="EI150" s="120"/>
      <c r="EJ150" s="205"/>
      <c r="EK150" s="205"/>
      <c r="EL150" s="209"/>
      <c r="EM150" s="205"/>
      <c r="EN150" s="205">
        <f t="shared" si="1435"/>
        <v>0</v>
      </c>
      <c r="EO150" s="205">
        <f t="shared" si="1429"/>
        <v>0</v>
      </c>
      <c r="EP150" s="120"/>
      <c r="EQ150" s="120"/>
      <c r="ER150" s="120"/>
      <c r="ES150" s="120"/>
      <c r="ET150" s="120"/>
      <c r="EU150" s="209"/>
      <c r="EV150" s="205"/>
      <c r="EW150" s="205">
        <f t="shared" si="1436"/>
        <v>0</v>
      </c>
      <c r="EX150" s="120"/>
      <c r="EY150" s="120"/>
      <c r="EZ150" s="120"/>
      <c r="FA150" s="120"/>
      <c r="FB150" s="120"/>
      <c r="FC150" s="209"/>
      <c r="FD150" s="205"/>
      <c r="FE150" s="205">
        <f t="shared" si="1437"/>
        <v>0</v>
      </c>
      <c r="FF150" s="120"/>
      <c r="FG150" s="120"/>
      <c r="FH150" s="120"/>
      <c r="FI150" s="120"/>
      <c r="FJ150" s="120"/>
      <c r="FK150" s="209"/>
      <c r="FL150" s="205"/>
      <c r="FM150" s="205">
        <f t="shared" si="1438"/>
        <v>0</v>
      </c>
      <c r="FN150" s="120"/>
      <c r="FO150" s="120"/>
      <c r="FP150" s="120"/>
      <c r="FQ150" s="120"/>
      <c r="FR150" s="205"/>
      <c r="FS150" s="209"/>
      <c r="FT150" s="205"/>
      <c r="FU150" s="205">
        <f t="shared" si="1439"/>
        <v>0</v>
      </c>
      <c r="FV150" s="205">
        <f t="shared" si="1430"/>
        <v>0</v>
      </c>
      <c r="FW150" s="120"/>
      <c r="FX150" s="120"/>
      <c r="FY150" s="120"/>
      <c r="FZ150" s="120"/>
      <c r="GA150" s="120"/>
      <c r="GB150" s="209"/>
      <c r="GC150" s="205"/>
      <c r="GD150" s="205">
        <f t="shared" si="1440"/>
        <v>0</v>
      </c>
      <c r="GE150" s="120"/>
      <c r="GG150" s="120"/>
      <c r="GH150" s="120"/>
      <c r="GI150" s="120"/>
      <c r="GJ150" s="209"/>
      <c r="GK150" s="205"/>
      <c r="GL150" s="205">
        <f t="shared" si="1441"/>
        <v>0</v>
      </c>
      <c r="GM150" s="120"/>
      <c r="GN150" s="120"/>
      <c r="GO150" s="120"/>
      <c r="GP150" s="120"/>
      <c r="GQ150" s="120"/>
      <c r="GR150" s="209"/>
      <c r="GS150" s="205"/>
      <c r="GT150" s="205">
        <f t="shared" si="1442"/>
        <v>0</v>
      </c>
      <c r="GU150" s="120"/>
      <c r="GV150" s="120"/>
      <c r="GW150" s="120"/>
      <c r="GX150" s="120"/>
      <c r="GY150" s="120"/>
      <c r="GZ150" s="209"/>
      <c r="HA150" s="205"/>
      <c r="HB150" s="205">
        <f t="shared" si="1443"/>
        <v>0</v>
      </c>
      <c r="HC150" s="120"/>
      <c r="HD150" s="120"/>
      <c r="HE150" s="120"/>
      <c r="HF150" s="120"/>
      <c r="HG150" s="120"/>
      <c r="HH150" s="209"/>
      <c r="HI150" s="205"/>
      <c r="HJ150" s="205">
        <f t="shared" si="1444"/>
        <v>0</v>
      </c>
      <c r="HK150" s="205">
        <f t="shared" si="1431"/>
        <v>0</v>
      </c>
      <c r="HL150" s="124"/>
      <c r="HM150" s="120"/>
      <c r="HN150" s="120"/>
      <c r="HO150" s="120"/>
      <c r="HP150" s="120"/>
      <c r="HQ150" s="205"/>
      <c r="HR150" s="205"/>
      <c r="HS150" s="205">
        <f t="shared" si="1445"/>
        <v>0</v>
      </c>
      <c r="HT150" s="120"/>
      <c r="HU150" s="120"/>
      <c r="HV150" s="120"/>
      <c r="HW150" s="120"/>
      <c r="HX150" s="120"/>
      <c r="HY150" s="205"/>
      <c r="HZ150" s="205"/>
      <c r="IA150" s="205">
        <f t="shared" si="1446"/>
        <v>0</v>
      </c>
      <c r="IB150" s="120"/>
      <c r="IC150" s="120"/>
      <c r="ID150" s="120"/>
      <c r="IE150" s="120"/>
      <c r="IF150" s="120"/>
      <c r="IG150" s="205"/>
      <c r="IH150" s="205"/>
      <c r="II150" s="205">
        <f t="shared" si="1447"/>
        <v>0</v>
      </c>
      <c r="IJ150" s="120"/>
      <c r="IK150" s="120"/>
      <c r="IL150" s="120"/>
      <c r="IM150" s="120"/>
      <c r="IN150" s="120"/>
      <c r="IO150" s="205"/>
      <c r="IP150" s="205"/>
      <c r="IQ150" s="205">
        <f t="shared" si="1448"/>
        <v>0</v>
      </c>
      <c r="IR150" s="205">
        <f t="shared" si="1449"/>
        <v>0</v>
      </c>
      <c r="IS150" s="120"/>
      <c r="IT150" s="120"/>
      <c r="IU150" s="120"/>
      <c r="IV150" s="120"/>
      <c r="IW150" s="120"/>
      <c r="IX150" s="205"/>
      <c r="IY150" s="205"/>
      <c r="IZ150" s="205">
        <f t="shared" si="1450"/>
        <v>0</v>
      </c>
      <c r="JA150" s="120"/>
      <c r="JB150" s="120"/>
      <c r="JC150" s="120"/>
      <c r="JD150" s="120"/>
      <c r="JE150" s="120"/>
      <c r="JF150" s="205"/>
      <c r="JG150" s="205"/>
      <c r="JH150" s="205">
        <f t="shared" si="1451"/>
        <v>0</v>
      </c>
      <c r="JI150" s="120"/>
      <c r="JJ150" s="120"/>
      <c r="JK150" s="120"/>
      <c r="JL150" s="120"/>
      <c r="JM150" s="120"/>
      <c r="JN150" s="205"/>
      <c r="JO150" s="205"/>
      <c r="JP150" s="205">
        <f t="shared" si="1452"/>
        <v>0</v>
      </c>
      <c r="JQ150" s="120"/>
      <c r="JR150" s="120"/>
      <c r="JS150" s="120"/>
      <c r="JT150" s="120"/>
      <c r="JU150" s="120"/>
      <c r="JV150" s="205"/>
      <c r="JW150" s="205"/>
      <c r="JX150" s="205">
        <f t="shared" si="1453"/>
        <v>0</v>
      </c>
      <c r="JY150" s="205">
        <f t="shared" si="1454"/>
        <v>0</v>
      </c>
      <c r="JZ150" s="120"/>
      <c r="KA150" s="120"/>
      <c r="KB150" s="120"/>
      <c r="KC150" s="120"/>
      <c r="KD150" s="120"/>
      <c r="KE150" s="205"/>
      <c r="KF150" s="205"/>
      <c r="KG150" s="205">
        <f t="shared" si="1455"/>
        <v>0</v>
      </c>
      <c r="KH150" s="120"/>
      <c r="KI150" s="120"/>
      <c r="KJ150" s="120"/>
      <c r="KK150" s="120"/>
      <c r="KL150" s="120"/>
      <c r="KM150" s="205"/>
      <c r="KN150" s="205"/>
      <c r="KO150" s="205">
        <f t="shared" si="1456"/>
        <v>0</v>
      </c>
      <c r="KP150" s="120"/>
      <c r="KQ150" s="120"/>
      <c r="KR150" s="120"/>
      <c r="KS150" s="120"/>
      <c r="KT150" s="120"/>
      <c r="KU150" s="205"/>
      <c r="KV150" s="205"/>
      <c r="KW150" s="205">
        <f t="shared" si="1457"/>
        <v>0</v>
      </c>
      <c r="KX150" s="120"/>
      <c r="KY150" s="120"/>
      <c r="KZ150" s="120"/>
      <c r="LA150" s="120"/>
      <c r="LB150" s="120"/>
      <c r="LC150" s="205"/>
      <c r="LD150" s="205"/>
      <c r="LE150" s="205">
        <f t="shared" si="1458"/>
        <v>0</v>
      </c>
      <c r="LF150" s="205"/>
      <c r="LG150" s="120"/>
      <c r="LH150" s="120"/>
      <c r="LI150" s="120"/>
      <c r="LJ150" s="120"/>
      <c r="LK150" s="205"/>
      <c r="LL150" s="205"/>
      <c r="LM150" s="205">
        <f t="shared" si="1459"/>
        <v>0</v>
      </c>
      <c r="LN150" s="205">
        <f t="shared" si="1460"/>
        <v>0</v>
      </c>
      <c r="LO150" s="205"/>
      <c r="LP150" s="120"/>
      <c r="LQ150" s="120"/>
      <c r="LR150" s="120"/>
      <c r="LS150" s="205"/>
      <c r="LT150" s="205"/>
      <c r="LU150" s="205"/>
      <c r="LV150" s="205">
        <f t="shared" si="1461"/>
        <v>0</v>
      </c>
      <c r="LW150" s="120"/>
      <c r="LX150" s="120"/>
      <c r="LY150" s="120"/>
      <c r="LZ150" s="120"/>
      <c r="MA150" s="120"/>
      <c r="MB150" s="205"/>
      <c r="MC150" s="205"/>
      <c r="MD150" s="205">
        <f t="shared" si="1462"/>
        <v>0</v>
      </c>
      <c r="ME150" s="120"/>
      <c r="MF150" s="120"/>
      <c r="MG150" s="120"/>
      <c r="MH150" s="120"/>
      <c r="MI150" s="205"/>
      <c r="MJ150" s="205"/>
      <c r="MK150" s="205"/>
      <c r="ML150" s="205">
        <f t="shared" si="1463"/>
        <v>0</v>
      </c>
      <c r="MM150" s="120"/>
      <c r="MN150" s="120"/>
      <c r="MO150" s="120"/>
      <c r="MP150" s="120"/>
      <c r="MQ150" s="120"/>
      <c r="MR150" s="205"/>
      <c r="MS150" s="205"/>
      <c r="MT150" s="205">
        <f>SUM(MM150:MS150)</f>
        <v>0</v>
      </c>
      <c r="MU150" s="205">
        <f>SUM(LH150:LL150,LV150,MD150,ML150,MM150:MQ150)</f>
        <v>0</v>
      </c>
      <c r="MV150" s="120"/>
      <c r="MW150" s="120"/>
      <c r="MX150" s="120"/>
      <c r="MY150" s="120"/>
      <c r="MZ150" s="120"/>
      <c r="NA150" s="205"/>
      <c r="NB150" s="205"/>
      <c r="NC150" s="205">
        <f t="shared" si="1466"/>
        <v>0</v>
      </c>
      <c r="ND150" s="120"/>
      <c r="NE150" s="120"/>
      <c r="NF150" s="120"/>
      <c r="NG150" s="120"/>
      <c r="NH150" s="120"/>
      <c r="NI150" s="205"/>
      <c r="NJ150" s="205"/>
      <c r="NK150" s="205">
        <f t="shared" si="1467"/>
        <v>0</v>
      </c>
      <c r="NL150" s="120"/>
      <c r="NM150" s="120"/>
      <c r="NN150" s="120"/>
      <c r="NO150" s="120"/>
      <c r="NP150" s="120"/>
      <c r="NQ150" s="205"/>
      <c r="NR150" s="205"/>
      <c r="NS150" s="205">
        <f t="shared" si="1468"/>
        <v>0</v>
      </c>
      <c r="NT150" s="120"/>
      <c r="NU150" s="120"/>
      <c r="NV150" s="120"/>
      <c r="NW150" s="120"/>
      <c r="NX150" s="120"/>
      <c r="NY150" s="205"/>
      <c r="NZ150" s="205"/>
      <c r="OA150" s="205">
        <f t="shared" si="1469"/>
        <v>0</v>
      </c>
      <c r="OB150" s="205">
        <f t="shared" si="1470"/>
        <v>0</v>
      </c>
      <c r="OC150" s="120"/>
      <c r="OD150" s="120"/>
      <c r="OE150" s="120"/>
      <c r="OF150" s="120"/>
      <c r="OG150" s="120"/>
      <c r="OH150" s="205"/>
      <c r="OI150" s="205"/>
      <c r="OJ150" s="205">
        <f t="shared" si="1471"/>
        <v>0</v>
      </c>
      <c r="OK150" s="120"/>
      <c r="OL150" s="120"/>
      <c r="OM150" s="120"/>
      <c r="ON150" s="120"/>
      <c r="OO150" s="120"/>
      <c r="OP150" s="205"/>
      <c r="OQ150" s="205"/>
      <c r="OR150" s="205">
        <f t="shared" si="1472"/>
        <v>0</v>
      </c>
      <c r="OS150" s="120"/>
      <c r="OT150" s="120"/>
      <c r="OU150" s="120"/>
      <c r="OV150" s="120"/>
      <c r="OW150" s="120"/>
      <c r="OX150" s="205"/>
      <c r="OY150" s="205"/>
      <c r="OZ150" s="205">
        <f t="shared" si="1473"/>
        <v>0</v>
      </c>
      <c r="PA150" s="120"/>
      <c r="PB150" s="120"/>
      <c r="PC150" s="120"/>
      <c r="PD150" s="205"/>
      <c r="PE150" s="217"/>
      <c r="PF150" s="205"/>
      <c r="PG150" s="205"/>
      <c r="PH150" s="205">
        <f t="shared" si="1474"/>
        <v>0</v>
      </c>
      <c r="PI150" s="120"/>
      <c r="PJ150" s="120"/>
      <c r="PK150" s="120"/>
      <c r="PL150" s="205"/>
      <c r="PM150" s="217"/>
      <c r="PN150" s="205"/>
      <c r="PO150" s="205"/>
      <c r="PP150" s="205">
        <f t="shared" si="1475"/>
        <v>0</v>
      </c>
      <c r="PQ150" s="205">
        <f t="shared" si="1476"/>
        <v>0</v>
      </c>
      <c r="PR150" s="207"/>
      <c r="PS150" s="207"/>
      <c r="PT150" s="207"/>
      <c r="PU150" s="207"/>
      <c r="PV150" s="207"/>
      <c r="PW150" s="272"/>
      <c r="PX150" s="272"/>
      <c r="PY150" s="205">
        <f t="shared" si="1477"/>
        <v>0</v>
      </c>
      <c r="PZ150" s="207"/>
      <c r="QA150" s="120"/>
      <c r="QB150" s="120"/>
      <c r="QC150" s="207"/>
      <c r="QD150" s="207"/>
      <c r="QE150" s="272"/>
      <c r="QF150" s="272"/>
      <c r="QG150" s="205">
        <f t="shared" si="1478"/>
        <v>0</v>
      </c>
      <c r="QH150" s="207"/>
      <c r="QI150" s="207"/>
      <c r="QJ150" s="294"/>
      <c r="QK150" s="207"/>
      <c r="QL150" s="207"/>
      <c r="QM150" s="272"/>
      <c r="QN150" s="272"/>
      <c r="QO150" s="205">
        <f t="shared" si="1479"/>
        <v>0</v>
      </c>
      <c r="QP150" s="207"/>
      <c r="QQ150" s="207"/>
      <c r="QR150" s="207"/>
      <c r="QS150" s="207"/>
      <c r="QT150" s="207"/>
      <c r="QU150" s="272"/>
      <c r="QV150" s="272"/>
      <c r="QW150" s="205">
        <f t="shared" si="1480"/>
        <v>0</v>
      </c>
      <c r="QX150" s="205">
        <f t="shared" si="1481"/>
        <v>0</v>
      </c>
      <c r="QY150" s="207"/>
      <c r="QZ150" s="207"/>
      <c r="RA150" s="207"/>
      <c r="RB150" s="207"/>
      <c r="RC150" s="207"/>
      <c r="RD150" s="272"/>
      <c r="RE150" s="272"/>
      <c r="RF150" s="205">
        <f t="shared" si="1482"/>
        <v>0</v>
      </c>
      <c r="RG150" s="207"/>
      <c r="RH150" s="207"/>
      <c r="RI150" s="207"/>
      <c r="RJ150" s="207"/>
      <c r="RK150" s="207"/>
      <c r="RL150" s="272"/>
      <c r="RM150" s="272"/>
      <c r="RN150" s="205">
        <f t="shared" si="1483"/>
        <v>0</v>
      </c>
      <c r="RO150" s="272"/>
      <c r="RP150" s="272"/>
      <c r="RQ150" s="272"/>
      <c r="RR150" s="272"/>
      <c r="RS150" s="272"/>
      <c r="RT150" s="272"/>
      <c r="RU150" s="272"/>
      <c r="RV150" s="205">
        <f t="shared" si="1484"/>
        <v>0</v>
      </c>
      <c r="RW150" s="207"/>
      <c r="RX150" s="207"/>
      <c r="RY150" s="207"/>
      <c r="RZ150" s="207"/>
      <c r="SA150" s="272"/>
      <c r="SB150" s="272"/>
      <c r="SC150" s="272"/>
      <c r="SD150" s="205">
        <f t="shared" si="1485"/>
        <v>0</v>
      </c>
      <c r="SE150" s="205">
        <f t="shared" si="1486"/>
        <v>0</v>
      </c>
      <c r="SF150" s="207"/>
      <c r="SG150" s="207"/>
      <c r="SH150" s="207"/>
      <c r="SI150" s="207"/>
      <c r="SJ150" s="207"/>
      <c r="SK150" s="272"/>
      <c r="SL150" s="272"/>
      <c r="SM150" s="205">
        <f t="shared" si="1487"/>
        <v>0</v>
      </c>
      <c r="SN150" s="207"/>
      <c r="SO150" s="207"/>
      <c r="SP150" s="207"/>
      <c r="SQ150" s="207"/>
      <c r="SR150" s="207"/>
      <c r="SS150" s="272"/>
      <c r="ST150" s="272"/>
      <c r="SU150" s="205">
        <f t="shared" si="1488"/>
        <v>0</v>
      </c>
      <c r="SV150" s="207"/>
      <c r="SW150" s="207"/>
      <c r="SX150" s="207"/>
      <c r="SY150" s="207"/>
      <c r="SZ150" s="207"/>
      <c r="TA150" s="272"/>
      <c r="TB150" s="272"/>
      <c r="TC150" s="205">
        <f t="shared" si="1489"/>
        <v>0</v>
      </c>
      <c r="TD150" s="207"/>
      <c r="TE150" s="207"/>
      <c r="TF150" s="207"/>
      <c r="TG150" s="207"/>
      <c r="TH150" s="207"/>
      <c r="TI150" s="272"/>
      <c r="TJ150" s="272"/>
      <c r="TK150" s="205">
        <f t="shared" si="1490"/>
        <v>0</v>
      </c>
      <c r="TL150" s="207"/>
      <c r="TM150" s="207"/>
      <c r="TN150" s="207"/>
      <c r="TO150" s="207"/>
      <c r="TP150" s="272"/>
      <c r="TQ150" s="272"/>
      <c r="TR150" s="272"/>
      <c r="TS150" s="205">
        <f t="shared" si="1491"/>
        <v>0</v>
      </c>
      <c r="TT150" s="205">
        <f t="shared" si="1492"/>
        <v>0</v>
      </c>
      <c r="TU150" s="272"/>
      <c r="TV150" s="207"/>
      <c r="TW150" s="207"/>
      <c r="TX150" s="207"/>
      <c r="TY150" s="207"/>
      <c r="TZ150" s="272"/>
      <c r="UA150" s="272"/>
      <c r="UB150" s="205">
        <f t="shared" si="1493"/>
        <v>0</v>
      </c>
      <c r="UC150" s="207"/>
      <c r="UD150" s="207"/>
      <c r="UE150" s="207"/>
      <c r="UF150" s="207"/>
      <c r="UG150" s="207"/>
      <c r="UH150" s="272"/>
      <c r="UI150" s="272"/>
      <c r="UJ150" s="205">
        <f t="shared" si="1494"/>
        <v>0</v>
      </c>
      <c r="UK150" s="207"/>
      <c r="UL150" s="207"/>
      <c r="UM150" s="207"/>
      <c r="UN150" s="207"/>
      <c r="UO150" s="207"/>
      <c r="UP150" s="272"/>
      <c r="UQ150" s="272"/>
      <c r="UR150" s="205">
        <f t="shared" si="1495"/>
        <v>0</v>
      </c>
      <c r="US150" s="207"/>
      <c r="UT150" s="207"/>
      <c r="UU150" s="207"/>
      <c r="UV150" s="207"/>
      <c r="UW150" s="272"/>
      <c r="UX150" s="272"/>
      <c r="UY150" s="272"/>
      <c r="UZ150" s="205">
        <f t="shared" si="1496"/>
        <v>0</v>
      </c>
      <c r="VA150" s="205">
        <f t="shared" si="1497"/>
        <v>0</v>
      </c>
      <c r="VB150" s="207"/>
      <c r="VC150" s="207"/>
      <c r="VD150" s="120"/>
      <c r="VE150" s="120"/>
      <c r="VF150" s="120"/>
      <c r="VG150" s="272"/>
      <c r="VH150" s="272"/>
      <c r="VI150" s="205">
        <f t="shared" si="1498"/>
        <v>0</v>
      </c>
      <c r="VJ150" s="207"/>
      <c r="VK150" s="207"/>
      <c r="VL150" s="207"/>
      <c r="VM150" s="207"/>
      <c r="VN150" s="207"/>
      <c r="VO150" s="272"/>
      <c r="VP150" s="272"/>
      <c r="VQ150" s="205">
        <f t="shared" si="1499"/>
        <v>0</v>
      </c>
      <c r="VR150" s="207"/>
      <c r="VS150" s="207"/>
      <c r="VT150" s="207"/>
      <c r="VU150" s="207"/>
      <c r="VV150" s="207"/>
      <c r="VW150" s="272"/>
      <c r="VX150" s="272"/>
      <c r="VY150" s="205">
        <f t="shared" si="1500"/>
        <v>0</v>
      </c>
      <c r="VZ150" s="207"/>
      <c r="WA150" s="207"/>
      <c r="WB150" s="207"/>
      <c r="WC150" s="207"/>
      <c r="WD150" s="207"/>
      <c r="WE150" s="272"/>
      <c r="WF150" s="272"/>
      <c r="WG150" s="205">
        <f t="shared" si="1501"/>
        <v>0</v>
      </c>
      <c r="WH150" s="205">
        <f t="shared" si="1502"/>
        <v>0</v>
      </c>
      <c r="WI150" s="207"/>
      <c r="WJ150" s="207"/>
      <c r="WK150" s="207"/>
      <c r="WL150" s="207"/>
      <c r="WM150" s="207"/>
      <c r="WN150" s="272"/>
      <c r="WO150" s="272"/>
      <c r="WP150" s="205">
        <f t="shared" si="1503"/>
        <v>0</v>
      </c>
      <c r="WQ150" s="207"/>
      <c r="WR150" s="207"/>
      <c r="WS150" s="207"/>
      <c r="WT150" s="207"/>
      <c r="WU150" s="207"/>
      <c r="WV150" s="272"/>
      <c r="WW150" s="272"/>
      <c r="WX150" s="205">
        <f t="shared" si="1504"/>
        <v>0</v>
      </c>
      <c r="WY150" s="207"/>
      <c r="WZ150" s="207"/>
      <c r="XA150" s="207"/>
      <c r="XB150" s="207"/>
      <c r="XC150" s="272"/>
      <c r="XD150" s="272"/>
      <c r="XE150" s="272"/>
      <c r="XF150" s="205">
        <f t="shared" si="1505"/>
        <v>0</v>
      </c>
      <c r="XG150" s="207"/>
      <c r="XH150" s="207"/>
      <c r="XI150" s="207"/>
      <c r="XJ150" s="207"/>
      <c r="XK150" s="207"/>
      <c r="XL150" s="272"/>
      <c r="XM150" s="272"/>
      <c r="XN150" s="205">
        <f t="shared" si="1506"/>
        <v>0</v>
      </c>
      <c r="XO150" s="207"/>
      <c r="XP150" s="207"/>
      <c r="XQ150" s="207"/>
      <c r="XR150" s="207"/>
      <c r="XS150" s="207"/>
      <c r="XT150" s="272"/>
      <c r="XU150" s="272"/>
      <c r="XV150" s="205">
        <f t="shared" si="1507"/>
        <v>0</v>
      </c>
      <c r="XW150" s="205">
        <f t="shared" si="1508"/>
        <v>0</v>
      </c>
      <c r="XX150" s="207"/>
      <c r="XY150" s="207"/>
      <c r="XZ150" s="207"/>
      <c r="YA150" s="207"/>
      <c r="YB150" s="207"/>
      <c r="YC150" s="272"/>
      <c r="YD150" s="272"/>
      <c r="YE150" s="205">
        <f t="shared" si="1509"/>
        <v>0</v>
      </c>
      <c r="YF150" s="207"/>
      <c r="YG150" s="207"/>
      <c r="YH150" s="207"/>
      <c r="YI150" s="207"/>
      <c r="YJ150" s="207"/>
      <c r="YK150" s="272"/>
      <c r="YL150" s="272"/>
      <c r="YM150" s="205">
        <f t="shared" si="1510"/>
        <v>0</v>
      </c>
      <c r="YN150" s="207"/>
      <c r="YO150" s="207"/>
      <c r="YP150" s="207"/>
      <c r="YQ150" s="207"/>
      <c r="YR150" s="207"/>
      <c r="YS150" s="272"/>
      <c r="YT150" s="272"/>
      <c r="YU150" s="205">
        <f t="shared" si="1511"/>
        <v>0</v>
      </c>
      <c r="YV150" s="207"/>
      <c r="YW150" s="207"/>
      <c r="YX150" s="207"/>
      <c r="YY150" s="207"/>
      <c r="YZ150" s="207"/>
      <c r="ZA150" s="272"/>
      <c r="ZB150" s="272"/>
      <c r="ZC150" s="205">
        <f t="shared" si="1512"/>
        <v>0</v>
      </c>
      <c r="ZD150" s="205">
        <f t="shared" si="1513"/>
        <v>0</v>
      </c>
      <c r="ZE150" s="207"/>
      <c r="ZF150" s="207"/>
      <c r="ZG150" s="207"/>
      <c r="ZH150" s="207"/>
      <c r="ZI150" s="207"/>
      <c r="ZJ150" s="272"/>
      <c r="ZK150" s="272"/>
      <c r="ZL150" s="205">
        <f t="shared" si="1514"/>
        <v>0</v>
      </c>
      <c r="ZM150" s="207"/>
      <c r="ZN150" s="207"/>
      <c r="ZO150" s="207"/>
      <c r="ZP150" s="207"/>
      <c r="ZQ150" s="207"/>
      <c r="ZR150" s="272"/>
      <c r="ZS150" s="272"/>
      <c r="ZT150" s="205">
        <f t="shared" si="1515"/>
        <v>0</v>
      </c>
      <c r="ZU150" s="207"/>
      <c r="ZV150" s="207"/>
      <c r="ZW150" s="207"/>
      <c r="ZX150" s="207"/>
      <c r="ZY150" s="207"/>
      <c r="ZZ150" s="272"/>
      <c r="AAA150" s="272"/>
      <c r="AAB150" s="205">
        <f t="shared" si="1516"/>
        <v>0</v>
      </c>
      <c r="AAC150" s="207"/>
      <c r="AAD150" s="207"/>
      <c r="AAE150" s="207"/>
      <c r="AAF150" s="207"/>
      <c r="AAG150" s="207"/>
      <c r="AAH150" s="272"/>
      <c r="AAI150" s="272"/>
      <c r="AAJ150" s="205">
        <f t="shared" si="1517"/>
        <v>0</v>
      </c>
      <c r="AAK150" s="207"/>
      <c r="AAL150" s="207"/>
      <c r="AAM150" s="207"/>
      <c r="AAN150" s="207"/>
      <c r="AAO150" s="207"/>
      <c r="AAP150" s="272"/>
      <c r="AAQ150" s="272"/>
      <c r="AAR150" s="205">
        <f t="shared" si="1518"/>
        <v>0</v>
      </c>
      <c r="AAS150" s="205">
        <f t="shared" si="1519"/>
        <v>0</v>
      </c>
    </row>
    <row r="151" spans="1:721" s="127" customFormat="1" ht="69.95" customHeight="1">
      <c r="A151" s="128"/>
      <c r="B151" s="174" t="s">
        <v>64</v>
      </c>
      <c r="C151" s="338"/>
      <c r="D151" s="175" t="s">
        <v>487</v>
      </c>
      <c r="E151" s="130" t="s">
        <v>4</v>
      </c>
      <c r="F151" s="120"/>
      <c r="G151" s="120"/>
      <c r="H151" s="120"/>
      <c r="I151" s="120"/>
      <c r="J151" s="120"/>
      <c r="K151" s="209"/>
      <c r="L151" s="205"/>
      <c r="M151" s="205">
        <f t="shared" si="1520"/>
        <v>0</v>
      </c>
      <c r="N151" s="120"/>
      <c r="O151" s="120"/>
      <c r="P151" s="120"/>
      <c r="Q151" s="120"/>
      <c r="R151" s="120"/>
      <c r="S151" s="209"/>
      <c r="T151" s="205"/>
      <c r="U151" s="205">
        <f t="shared" si="1521"/>
        <v>0</v>
      </c>
      <c r="V151" s="120"/>
      <c r="W151" s="120"/>
      <c r="X151" s="120"/>
      <c r="Y151" s="120"/>
      <c r="Z151" s="120"/>
      <c r="AA151" s="209"/>
      <c r="AB151" s="205"/>
      <c r="AC151" s="205">
        <f t="shared" si="1522"/>
        <v>0</v>
      </c>
      <c r="AD151" s="205"/>
      <c r="AE151" s="205"/>
      <c r="AF151" s="205"/>
      <c r="AG151" s="205"/>
      <c r="AH151" s="205"/>
      <c r="AI151" s="209"/>
      <c r="AJ151" s="205"/>
      <c r="AK151" s="205">
        <f t="shared" si="1523"/>
        <v>0</v>
      </c>
      <c r="AL151" s="205" t="e">
        <f>SUM(#REF!,M151,U151,AC151,AD151:AH151)</f>
        <v>#REF!</v>
      </c>
      <c r="AM151" s="120"/>
      <c r="AN151" s="120"/>
      <c r="AO151" s="120"/>
      <c r="AP151" s="120"/>
      <c r="AQ151" s="120"/>
      <c r="AR151" s="209"/>
      <c r="AS151" s="205"/>
      <c r="AT151" s="205">
        <f t="shared" si="1524"/>
        <v>0</v>
      </c>
      <c r="AU151" s="120"/>
      <c r="AV151" s="120"/>
      <c r="AW151" s="120"/>
      <c r="AX151" s="120"/>
      <c r="AY151" s="120"/>
      <c r="AZ151" s="209"/>
      <c r="BA151" s="205"/>
      <c r="BB151" s="205">
        <f t="shared" si="1525"/>
        <v>0</v>
      </c>
      <c r="BC151" s="120"/>
      <c r="BD151" s="120"/>
      <c r="BE151" s="120"/>
      <c r="BF151" s="120"/>
      <c r="BG151" s="120"/>
      <c r="BH151" s="209"/>
      <c r="BI151" s="205"/>
      <c r="BJ151" s="205">
        <f t="shared" si="1526"/>
        <v>0</v>
      </c>
      <c r="BK151" s="120"/>
      <c r="BL151" s="120"/>
      <c r="BM151" s="120"/>
      <c r="BN151" s="120"/>
      <c r="BO151" s="205"/>
      <c r="BP151" s="209"/>
      <c r="BQ151" s="205"/>
      <c r="BR151" s="205">
        <f t="shared" si="1527"/>
        <v>0</v>
      </c>
      <c r="BS151" s="205">
        <f t="shared" si="1427"/>
        <v>0</v>
      </c>
      <c r="BT151" s="120"/>
      <c r="BU151" s="120"/>
      <c r="BV151" s="120"/>
      <c r="BW151" s="120"/>
      <c r="BX151" s="120"/>
      <c r="BY151" s="209"/>
      <c r="BZ151" s="205"/>
      <c r="CA151" s="205">
        <f t="shared" si="1528"/>
        <v>0</v>
      </c>
      <c r="CB151" s="120"/>
      <c r="CC151" s="120"/>
      <c r="CD151" s="120"/>
      <c r="CE151" s="120"/>
      <c r="CF151" s="120"/>
      <c r="CG151" s="209"/>
      <c r="CH151" s="205"/>
      <c r="CI151" s="205">
        <f t="shared" si="1529"/>
        <v>0</v>
      </c>
      <c r="CJ151" s="120"/>
      <c r="CK151" s="120"/>
      <c r="CL151" s="120"/>
      <c r="CM151" s="120"/>
      <c r="CN151" s="120"/>
      <c r="CO151" s="209"/>
      <c r="CP151" s="205"/>
      <c r="CQ151" s="205">
        <f t="shared" si="1530"/>
        <v>0</v>
      </c>
      <c r="CR151" s="120"/>
      <c r="CS151" s="120"/>
      <c r="CT151" s="120"/>
      <c r="CU151" s="120"/>
      <c r="CV151" s="120"/>
      <c r="CW151" s="209"/>
      <c r="CX151" s="205"/>
      <c r="CY151" s="205">
        <f t="shared" si="1531"/>
        <v>0</v>
      </c>
      <c r="CZ151" s="120"/>
      <c r="DA151" s="120"/>
      <c r="DB151" s="120"/>
      <c r="DC151" s="205"/>
      <c r="DD151" s="205"/>
      <c r="DE151" s="209"/>
      <c r="DF151" s="205"/>
      <c r="DG151" s="205">
        <f t="shared" si="1532"/>
        <v>0</v>
      </c>
      <c r="DH151" s="205">
        <f t="shared" si="1428"/>
        <v>0</v>
      </c>
      <c r="DI151" s="120"/>
      <c r="DJ151" s="120"/>
      <c r="DK151" s="120"/>
      <c r="DL151" s="120"/>
      <c r="DM151" s="120"/>
      <c r="DN151" s="209"/>
      <c r="DO151" s="205"/>
      <c r="DP151" s="205">
        <f t="shared" si="1432"/>
        <v>0</v>
      </c>
      <c r="DQ151" s="120"/>
      <c r="DR151" s="120"/>
      <c r="DS151" s="120"/>
      <c r="DT151" s="120"/>
      <c r="DU151" s="120"/>
      <c r="DV151" s="209"/>
      <c r="DW151" s="205"/>
      <c r="DX151" s="205">
        <f t="shared" si="1433"/>
        <v>0</v>
      </c>
      <c r="DY151" s="120"/>
      <c r="DZ151" s="207"/>
      <c r="EA151" s="120"/>
      <c r="EB151" s="120"/>
      <c r="EC151" s="120"/>
      <c r="ED151" s="209"/>
      <c r="EE151" s="205"/>
      <c r="EF151" s="205">
        <f t="shared" si="1434"/>
        <v>0</v>
      </c>
      <c r="EG151" s="120"/>
      <c r="EH151" s="120"/>
      <c r="EI151" s="120"/>
      <c r="EJ151" s="205"/>
      <c r="EK151" s="205"/>
      <c r="EL151" s="209"/>
      <c r="EM151" s="205"/>
      <c r="EN151" s="205">
        <f t="shared" si="1435"/>
        <v>0</v>
      </c>
      <c r="EO151" s="205">
        <f t="shared" si="1429"/>
        <v>0</v>
      </c>
      <c r="EP151" s="120"/>
      <c r="EQ151" s="120"/>
      <c r="ER151" s="120"/>
      <c r="ES151" s="120"/>
      <c r="ET151" s="120"/>
      <c r="EU151" s="209"/>
      <c r="EV151" s="205"/>
      <c r="EW151" s="205">
        <f t="shared" si="1436"/>
        <v>0</v>
      </c>
      <c r="EX151" s="120"/>
      <c r="EY151" s="120"/>
      <c r="EZ151" s="120"/>
      <c r="FA151" s="120"/>
      <c r="FB151" s="120"/>
      <c r="FC151" s="209"/>
      <c r="FD151" s="205"/>
      <c r="FE151" s="205">
        <f t="shared" si="1437"/>
        <v>0</v>
      </c>
      <c r="FF151" s="120"/>
      <c r="FG151" s="120"/>
      <c r="FH151" s="120"/>
      <c r="FI151" s="120"/>
      <c r="FJ151" s="120"/>
      <c r="FK151" s="209"/>
      <c r="FL151" s="205"/>
      <c r="FM151" s="205">
        <f t="shared" si="1438"/>
        <v>0</v>
      </c>
      <c r="FN151" s="120"/>
      <c r="FO151" s="120"/>
      <c r="FP151" s="120"/>
      <c r="FQ151" s="120"/>
      <c r="FR151" s="205"/>
      <c r="FS151" s="209"/>
      <c r="FT151" s="205"/>
      <c r="FU151" s="205">
        <f t="shared" si="1439"/>
        <v>0</v>
      </c>
      <c r="FV151" s="205">
        <f t="shared" si="1430"/>
        <v>0</v>
      </c>
      <c r="FW151" s="120"/>
      <c r="FX151" s="120"/>
      <c r="FY151" s="120"/>
      <c r="FZ151" s="120"/>
      <c r="GA151" s="120"/>
      <c r="GB151" s="209"/>
      <c r="GC151" s="205"/>
      <c r="GD151" s="205">
        <f t="shared" si="1440"/>
        <v>0</v>
      </c>
      <c r="GE151" s="120"/>
      <c r="GF151" s="120"/>
      <c r="GG151" s="120"/>
      <c r="GH151" s="120"/>
      <c r="GI151" s="120"/>
      <c r="GJ151" s="209"/>
      <c r="GK151" s="205"/>
      <c r="GL151" s="205">
        <f t="shared" si="1441"/>
        <v>0</v>
      </c>
      <c r="GM151" s="120"/>
      <c r="GN151" s="120"/>
      <c r="GO151" s="120"/>
      <c r="GP151" s="120"/>
      <c r="GQ151" s="120"/>
      <c r="GR151" s="209"/>
      <c r="GS151" s="205"/>
      <c r="GT151" s="205">
        <f t="shared" si="1442"/>
        <v>0</v>
      </c>
      <c r="GU151" s="120"/>
      <c r="GV151" s="120"/>
      <c r="GW151" s="120"/>
      <c r="GX151" s="120"/>
      <c r="GY151" s="120"/>
      <c r="GZ151" s="209"/>
      <c r="HA151" s="205"/>
      <c r="HB151" s="205">
        <f t="shared" si="1443"/>
        <v>0</v>
      </c>
      <c r="HC151" s="120"/>
      <c r="HD151" s="120"/>
      <c r="HE151" s="120"/>
      <c r="HF151" s="120"/>
      <c r="HG151" s="120"/>
      <c r="HH151" s="209"/>
      <c r="HI151" s="205"/>
      <c r="HJ151" s="205">
        <f t="shared" si="1444"/>
        <v>0</v>
      </c>
      <c r="HK151" s="205">
        <f t="shared" si="1431"/>
        <v>0</v>
      </c>
      <c r="HL151" s="124"/>
      <c r="HM151" s="120"/>
      <c r="HN151" s="120"/>
      <c r="HO151" s="120"/>
      <c r="HP151" s="120"/>
      <c r="HQ151" s="205"/>
      <c r="HR151" s="205"/>
      <c r="HS151" s="205">
        <f t="shared" si="1445"/>
        <v>0</v>
      </c>
      <c r="HT151" s="120"/>
      <c r="HU151" s="120"/>
      <c r="HV151" s="120"/>
      <c r="HW151" s="120"/>
      <c r="HX151" s="120"/>
      <c r="HY151" s="205"/>
      <c r="HZ151" s="205"/>
      <c r="IA151" s="205">
        <f t="shared" si="1446"/>
        <v>0</v>
      </c>
      <c r="IB151" s="120"/>
      <c r="IC151" s="120"/>
      <c r="ID151" s="120"/>
      <c r="IE151" s="120"/>
      <c r="IF151" s="120"/>
      <c r="IG151" s="205"/>
      <c r="IH151" s="205"/>
      <c r="II151" s="205">
        <f t="shared" si="1447"/>
        <v>0</v>
      </c>
      <c r="IJ151" s="120"/>
      <c r="IK151" s="120"/>
      <c r="IL151" s="120"/>
      <c r="IM151" s="120"/>
      <c r="IN151" s="120"/>
      <c r="IO151" s="205"/>
      <c r="IP151" s="205"/>
      <c r="IQ151" s="205">
        <f t="shared" si="1448"/>
        <v>0</v>
      </c>
      <c r="IR151" s="205">
        <f t="shared" si="1449"/>
        <v>0</v>
      </c>
      <c r="IS151" s="120"/>
      <c r="IT151" s="120"/>
      <c r="IU151" s="120"/>
      <c r="IV151" s="120"/>
      <c r="IW151" s="120"/>
      <c r="IX151" s="205"/>
      <c r="IY151" s="205"/>
      <c r="IZ151" s="205">
        <f t="shared" si="1450"/>
        <v>0</v>
      </c>
      <c r="JA151" s="120"/>
      <c r="JB151" s="120"/>
      <c r="JC151" s="120"/>
      <c r="JD151" s="120"/>
      <c r="JE151" s="120"/>
      <c r="JF151" s="205"/>
      <c r="JG151" s="205"/>
      <c r="JH151" s="205">
        <f t="shared" si="1451"/>
        <v>0</v>
      </c>
      <c r="JI151" s="120"/>
      <c r="JJ151" s="120"/>
      <c r="JK151" s="120"/>
      <c r="JL151" s="120"/>
      <c r="JM151" s="120"/>
      <c r="JN151" s="205"/>
      <c r="JO151" s="205"/>
      <c r="JP151" s="205">
        <f t="shared" si="1452"/>
        <v>0</v>
      </c>
      <c r="JQ151" s="120"/>
      <c r="JR151" s="120"/>
      <c r="JS151" s="120"/>
      <c r="JT151" s="120"/>
      <c r="JU151" s="120"/>
      <c r="JV151" s="205"/>
      <c r="JW151" s="205"/>
      <c r="JX151" s="205">
        <f t="shared" si="1453"/>
        <v>0</v>
      </c>
      <c r="JY151" s="205">
        <f t="shared" si="1454"/>
        <v>0</v>
      </c>
      <c r="JZ151" s="120"/>
      <c r="KA151" s="120"/>
      <c r="KB151" s="120"/>
      <c r="KC151" s="120"/>
      <c r="KD151" s="120"/>
      <c r="KE151" s="205"/>
      <c r="KF151" s="205"/>
      <c r="KG151" s="205">
        <f t="shared" si="1455"/>
        <v>0</v>
      </c>
      <c r="KH151" s="120"/>
      <c r="KI151" s="120"/>
      <c r="KJ151" s="120"/>
      <c r="KK151" s="120"/>
      <c r="KL151" s="120"/>
      <c r="KM151" s="205"/>
      <c r="KN151" s="205"/>
      <c r="KO151" s="205">
        <f t="shared" si="1456"/>
        <v>0</v>
      </c>
      <c r="KP151" s="120"/>
      <c r="KQ151" s="120"/>
      <c r="KR151" s="120"/>
      <c r="KS151" s="120"/>
      <c r="KT151" s="120"/>
      <c r="KU151" s="205"/>
      <c r="KV151" s="205"/>
      <c r="KW151" s="205">
        <f t="shared" si="1457"/>
        <v>0</v>
      </c>
      <c r="KX151" s="120"/>
      <c r="KY151" s="120"/>
      <c r="KZ151" s="120"/>
      <c r="LA151" s="120"/>
      <c r="LB151" s="120"/>
      <c r="LC151" s="205"/>
      <c r="LD151" s="205"/>
      <c r="LE151" s="205">
        <f t="shared" si="1458"/>
        <v>0</v>
      </c>
      <c r="LF151" s="205"/>
      <c r="LG151" s="120"/>
      <c r="LH151" s="120"/>
      <c r="LI151" s="120"/>
      <c r="LJ151" s="120"/>
      <c r="LK151" s="205"/>
      <c r="LL151" s="205"/>
      <c r="LM151" s="205">
        <f t="shared" si="1459"/>
        <v>0</v>
      </c>
      <c r="LN151" s="205">
        <f t="shared" si="1460"/>
        <v>0</v>
      </c>
      <c r="LO151" s="205"/>
      <c r="LP151" s="120"/>
      <c r="LQ151" s="120"/>
      <c r="LR151" s="120"/>
      <c r="LS151" s="205"/>
      <c r="LT151" s="205"/>
      <c r="LU151" s="205"/>
      <c r="LV151" s="205">
        <f t="shared" si="1461"/>
        <v>0</v>
      </c>
      <c r="LW151" s="120"/>
      <c r="LX151" s="120"/>
      <c r="LY151" s="120"/>
      <c r="LZ151" s="120"/>
      <c r="MA151" s="120"/>
      <c r="MB151" s="205"/>
      <c r="MC151" s="205"/>
      <c r="MD151" s="205">
        <f t="shared" si="1462"/>
        <v>0</v>
      </c>
      <c r="ME151" s="120"/>
      <c r="MF151" s="120"/>
      <c r="MG151" s="120"/>
      <c r="MH151" s="120"/>
      <c r="MI151" s="205"/>
      <c r="MJ151" s="205"/>
      <c r="MK151" s="205"/>
      <c r="ML151" s="205">
        <f t="shared" si="1463"/>
        <v>0</v>
      </c>
      <c r="MM151" s="120"/>
      <c r="MN151" s="120"/>
      <c r="MO151" s="120"/>
      <c r="MP151" s="120"/>
      <c r="MQ151" s="120"/>
      <c r="MR151" s="205"/>
      <c r="MS151" s="205"/>
      <c r="MT151" s="205">
        <f t="shared" si="1464"/>
        <v>0</v>
      </c>
      <c r="MU151" s="205">
        <f t="shared" si="1465"/>
        <v>0</v>
      </c>
      <c r="MV151" s="120"/>
      <c r="MW151" s="120"/>
      <c r="MX151" s="120"/>
      <c r="MY151" s="120"/>
      <c r="MZ151" s="120"/>
      <c r="NA151" s="205"/>
      <c r="NB151" s="205"/>
      <c r="NC151" s="205">
        <f t="shared" si="1466"/>
        <v>0</v>
      </c>
      <c r="ND151" s="120"/>
      <c r="NE151" s="120"/>
      <c r="NF151" s="120"/>
      <c r="NG151" s="120"/>
      <c r="NH151" s="120"/>
      <c r="NI151" s="205"/>
      <c r="NJ151" s="205"/>
      <c r="NK151" s="205">
        <f t="shared" si="1467"/>
        <v>0</v>
      </c>
      <c r="NL151" s="120"/>
      <c r="NM151" s="120"/>
      <c r="NN151" s="120"/>
      <c r="NO151" s="120"/>
      <c r="NP151" s="120"/>
      <c r="NQ151" s="205"/>
      <c r="NR151" s="205"/>
      <c r="NS151" s="205">
        <f t="shared" si="1468"/>
        <v>0</v>
      </c>
      <c r="NT151" s="120"/>
      <c r="NU151" s="120"/>
      <c r="NV151" s="120"/>
      <c r="NW151" s="120"/>
      <c r="NX151" s="120"/>
      <c r="NY151" s="205"/>
      <c r="NZ151" s="205"/>
      <c r="OA151" s="205">
        <f t="shared" si="1469"/>
        <v>0</v>
      </c>
      <c r="OB151" s="205">
        <f t="shared" si="1470"/>
        <v>0</v>
      </c>
      <c r="OC151" s="120"/>
      <c r="OD151" s="120"/>
      <c r="OE151" s="120"/>
      <c r="OF151" s="120"/>
      <c r="OG151" s="120"/>
      <c r="OH151" s="205"/>
      <c r="OI151" s="205"/>
      <c r="OJ151" s="205">
        <f t="shared" si="1471"/>
        <v>0</v>
      </c>
      <c r="OK151" s="120"/>
      <c r="OL151" s="120"/>
      <c r="OM151" s="120"/>
      <c r="ON151" s="120"/>
      <c r="OO151" s="120"/>
      <c r="OP151" s="205"/>
      <c r="OQ151" s="205"/>
      <c r="OR151" s="205">
        <f t="shared" si="1472"/>
        <v>0</v>
      </c>
      <c r="OS151" s="120"/>
      <c r="OT151" s="120"/>
      <c r="OU151" s="120"/>
      <c r="OV151" s="120"/>
      <c r="OW151" s="120"/>
      <c r="OX151" s="205"/>
      <c r="OY151" s="205"/>
      <c r="OZ151" s="205">
        <f t="shared" si="1473"/>
        <v>0</v>
      </c>
      <c r="PA151" s="120"/>
      <c r="PB151" s="120"/>
      <c r="PC151" s="120"/>
      <c r="PD151" s="205"/>
      <c r="PE151" s="217"/>
      <c r="PF151" s="205"/>
      <c r="PG151" s="205"/>
      <c r="PH151" s="205">
        <f t="shared" si="1474"/>
        <v>0</v>
      </c>
      <c r="PI151" s="120"/>
      <c r="PJ151" s="120"/>
      <c r="PK151" s="120"/>
      <c r="PL151" s="205"/>
      <c r="PM151" s="217"/>
      <c r="PN151" s="205"/>
      <c r="PO151" s="205"/>
      <c r="PP151" s="205">
        <f t="shared" si="1475"/>
        <v>0</v>
      </c>
      <c r="PQ151" s="205">
        <f t="shared" si="1476"/>
        <v>0</v>
      </c>
      <c r="PR151" s="207"/>
      <c r="PS151" s="207"/>
      <c r="PT151" s="207"/>
      <c r="PU151" s="207"/>
      <c r="PV151" s="207"/>
      <c r="PW151" s="272"/>
      <c r="PX151" s="272"/>
      <c r="PY151" s="205">
        <f t="shared" si="1477"/>
        <v>0</v>
      </c>
      <c r="PZ151" s="207"/>
      <c r="QA151" s="207"/>
      <c r="QB151" s="207"/>
      <c r="QC151" s="207"/>
      <c r="QD151" s="207"/>
      <c r="QE151" s="272"/>
      <c r="QF151" s="272"/>
      <c r="QG151" s="205">
        <f t="shared" si="1478"/>
        <v>0</v>
      </c>
      <c r="QH151" s="207"/>
      <c r="QI151" s="207"/>
      <c r="QJ151" s="294"/>
      <c r="QK151" s="207"/>
      <c r="QL151" s="207"/>
      <c r="QM151" s="272"/>
      <c r="QN151" s="272"/>
      <c r="QO151" s="205">
        <f t="shared" si="1479"/>
        <v>0</v>
      </c>
      <c r="QP151" s="207"/>
      <c r="QQ151" s="207"/>
      <c r="QR151" s="207"/>
      <c r="QS151" s="207"/>
      <c r="QT151" s="207"/>
      <c r="QU151" s="272"/>
      <c r="QV151" s="272"/>
      <c r="QW151" s="205">
        <f t="shared" si="1480"/>
        <v>0</v>
      </c>
      <c r="QX151" s="205">
        <f t="shared" si="1481"/>
        <v>0</v>
      </c>
      <c r="QY151" s="207"/>
      <c r="QZ151" s="207"/>
      <c r="RA151" s="207"/>
      <c r="RB151" s="207"/>
      <c r="RC151" s="207"/>
      <c r="RD151" s="272"/>
      <c r="RE151" s="272"/>
      <c r="RF151" s="205">
        <f t="shared" si="1482"/>
        <v>0</v>
      </c>
      <c r="RG151" s="207"/>
      <c r="RH151" s="207"/>
      <c r="RI151" s="207"/>
      <c r="RJ151" s="207"/>
      <c r="RK151" s="207"/>
      <c r="RL151" s="272"/>
      <c r="RM151" s="272"/>
      <c r="RN151" s="205">
        <f t="shared" si="1483"/>
        <v>0</v>
      </c>
      <c r="RO151" s="272"/>
      <c r="RP151" s="272"/>
      <c r="RQ151" s="272"/>
      <c r="RR151" s="272"/>
      <c r="RS151" s="272"/>
      <c r="RT151" s="272"/>
      <c r="RU151" s="272"/>
      <c r="RV151" s="205">
        <f t="shared" si="1484"/>
        <v>0</v>
      </c>
      <c r="RW151" s="207"/>
      <c r="RX151" s="207"/>
      <c r="RY151" s="207"/>
      <c r="RZ151" s="207"/>
      <c r="SA151" s="272"/>
      <c r="SB151" s="272"/>
      <c r="SC151" s="272"/>
      <c r="SD151" s="205">
        <f t="shared" si="1485"/>
        <v>0</v>
      </c>
      <c r="SE151" s="205">
        <f t="shared" si="1486"/>
        <v>0</v>
      </c>
      <c r="SF151" s="207"/>
      <c r="SG151" s="207"/>
      <c r="SH151" s="207"/>
      <c r="SI151" s="207"/>
      <c r="SJ151" s="207"/>
      <c r="SK151" s="272"/>
      <c r="SL151" s="272"/>
      <c r="SM151" s="205">
        <f t="shared" si="1487"/>
        <v>0</v>
      </c>
      <c r="SN151" s="207"/>
      <c r="SO151" s="207"/>
      <c r="SP151" s="207"/>
      <c r="SQ151" s="207"/>
      <c r="SR151" s="207"/>
      <c r="SS151" s="272"/>
      <c r="ST151" s="272"/>
      <c r="SU151" s="205">
        <f t="shared" si="1488"/>
        <v>0</v>
      </c>
      <c r="SV151" s="207"/>
      <c r="SW151" s="207"/>
      <c r="SX151" s="207"/>
      <c r="SY151" s="207"/>
      <c r="SZ151" s="207"/>
      <c r="TA151" s="272"/>
      <c r="TB151" s="272"/>
      <c r="TC151" s="205">
        <f t="shared" si="1489"/>
        <v>0</v>
      </c>
      <c r="TD151" s="207"/>
      <c r="TE151" s="207"/>
      <c r="TF151" s="207"/>
      <c r="TG151" s="207"/>
      <c r="TH151" s="207"/>
      <c r="TI151" s="272"/>
      <c r="TJ151" s="272"/>
      <c r="TK151" s="205">
        <f t="shared" si="1490"/>
        <v>0</v>
      </c>
      <c r="TL151" s="207"/>
      <c r="TM151" s="207"/>
      <c r="TN151" s="207"/>
      <c r="TO151" s="207"/>
      <c r="TP151" s="272"/>
      <c r="TQ151" s="272"/>
      <c r="TR151" s="272"/>
      <c r="TS151" s="205">
        <f t="shared" si="1491"/>
        <v>0</v>
      </c>
      <c r="TT151" s="205">
        <f t="shared" si="1492"/>
        <v>0</v>
      </c>
      <c r="TU151" s="272"/>
      <c r="TV151" s="207"/>
      <c r="TW151" s="207"/>
      <c r="TX151" s="207"/>
      <c r="TY151" s="207"/>
      <c r="TZ151" s="272"/>
      <c r="UA151" s="272"/>
      <c r="UB151" s="205">
        <f t="shared" si="1493"/>
        <v>0</v>
      </c>
      <c r="UC151" s="207"/>
      <c r="UD151" s="207"/>
      <c r="UE151" s="207"/>
      <c r="UF151" s="207"/>
      <c r="UG151" s="207"/>
      <c r="UH151" s="272"/>
      <c r="UI151" s="272"/>
      <c r="UJ151" s="205">
        <f t="shared" si="1494"/>
        <v>0</v>
      </c>
      <c r="UK151" s="207"/>
      <c r="UL151" s="207"/>
      <c r="UM151" s="207"/>
      <c r="UN151" s="207"/>
      <c r="UO151" s="207"/>
      <c r="UP151" s="272"/>
      <c r="UQ151" s="272"/>
      <c r="UR151" s="205">
        <f t="shared" si="1495"/>
        <v>0</v>
      </c>
      <c r="US151" s="207"/>
      <c r="UT151" s="207"/>
      <c r="UU151" s="207"/>
      <c r="UV151" s="207"/>
      <c r="UW151" s="272"/>
      <c r="UX151" s="272"/>
      <c r="UY151" s="272"/>
      <c r="UZ151" s="205">
        <f t="shared" si="1496"/>
        <v>0</v>
      </c>
      <c r="VA151" s="205">
        <f t="shared" si="1497"/>
        <v>0</v>
      </c>
      <c r="VB151" s="207"/>
      <c r="VC151" s="207"/>
      <c r="VD151" s="120"/>
      <c r="VE151" s="120"/>
      <c r="VF151" s="120"/>
      <c r="VG151" s="272"/>
      <c r="VH151" s="272"/>
      <c r="VI151" s="205">
        <f t="shared" si="1498"/>
        <v>0</v>
      </c>
      <c r="VJ151" s="207"/>
      <c r="VK151" s="207"/>
      <c r="VL151" s="207"/>
      <c r="VM151" s="207"/>
      <c r="VN151" s="207"/>
      <c r="VO151" s="272"/>
      <c r="VP151" s="272"/>
      <c r="VQ151" s="205">
        <f t="shared" si="1499"/>
        <v>0</v>
      </c>
      <c r="VR151" s="207"/>
      <c r="VS151" s="207"/>
      <c r="VT151" s="207"/>
      <c r="VU151" s="207"/>
      <c r="VV151" s="207"/>
      <c r="VW151" s="272"/>
      <c r="VX151" s="272"/>
      <c r="VY151" s="205">
        <f t="shared" si="1500"/>
        <v>0</v>
      </c>
      <c r="VZ151" s="207"/>
      <c r="WA151" s="207"/>
      <c r="WB151" s="207"/>
      <c r="WC151" s="207"/>
      <c r="WD151" s="207"/>
      <c r="WE151" s="272"/>
      <c r="WF151" s="272"/>
      <c r="WG151" s="205">
        <f t="shared" si="1501"/>
        <v>0</v>
      </c>
      <c r="WH151" s="205">
        <f t="shared" si="1502"/>
        <v>0</v>
      </c>
      <c r="WI151" s="207"/>
      <c r="WJ151" s="207"/>
      <c r="WK151" s="207"/>
      <c r="WL151" s="207"/>
      <c r="WM151" s="207"/>
      <c r="WN151" s="272"/>
      <c r="WO151" s="272"/>
      <c r="WP151" s="205">
        <f t="shared" si="1503"/>
        <v>0</v>
      </c>
      <c r="WQ151" s="207"/>
      <c r="WR151" s="207"/>
      <c r="WS151" s="207"/>
      <c r="WT151" s="207"/>
      <c r="WU151" s="207"/>
      <c r="WV151" s="272"/>
      <c r="WW151" s="272"/>
      <c r="WX151" s="205">
        <f t="shared" si="1504"/>
        <v>0</v>
      </c>
      <c r="WY151" s="207"/>
      <c r="WZ151" s="207"/>
      <c r="XA151" s="207"/>
      <c r="XB151" s="207"/>
      <c r="XC151" s="272"/>
      <c r="XD151" s="272"/>
      <c r="XE151" s="272"/>
      <c r="XF151" s="205">
        <f t="shared" si="1505"/>
        <v>0</v>
      </c>
      <c r="XG151" s="207"/>
      <c r="XH151" s="207"/>
      <c r="XI151" s="207"/>
      <c r="XJ151" s="207"/>
      <c r="XK151" s="207"/>
      <c r="XL151" s="272"/>
      <c r="XM151" s="272"/>
      <c r="XN151" s="205">
        <f t="shared" si="1506"/>
        <v>0</v>
      </c>
      <c r="XO151" s="207"/>
      <c r="XP151" s="207"/>
      <c r="XQ151" s="207"/>
      <c r="XR151" s="207"/>
      <c r="XS151" s="207"/>
      <c r="XT151" s="272"/>
      <c r="XU151" s="272"/>
      <c r="XV151" s="205">
        <f t="shared" si="1507"/>
        <v>0</v>
      </c>
      <c r="XW151" s="205">
        <f t="shared" si="1508"/>
        <v>0</v>
      </c>
      <c r="XX151" s="207"/>
      <c r="XY151" s="207"/>
      <c r="XZ151" s="207"/>
      <c r="YA151" s="207"/>
      <c r="YB151" s="207"/>
      <c r="YC151" s="272"/>
      <c r="YD151" s="272"/>
      <c r="YE151" s="205">
        <f t="shared" si="1509"/>
        <v>0</v>
      </c>
      <c r="YF151" s="207"/>
      <c r="YG151" s="207"/>
      <c r="YH151" s="207"/>
      <c r="YI151" s="207"/>
      <c r="YJ151" s="207"/>
      <c r="YK151" s="272"/>
      <c r="YL151" s="272"/>
      <c r="YM151" s="205">
        <f t="shared" si="1510"/>
        <v>0</v>
      </c>
      <c r="YN151" s="207"/>
      <c r="YO151" s="207"/>
      <c r="YP151" s="207"/>
      <c r="YQ151" s="207"/>
      <c r="YR151" s="207"/>
      <c r="YS151" s="272"/>
      <c r="YT151" s="272"/>
      <c r="YU151" s="205">
        <f t="shared" si="1511"/>
        <v>0</v>
      </c>
      <c r="YV151" s="207"/>
      <c r="YW151" s="207"/>
      <c r="YX151" s="207"/>
      <c r="YY151" s="207"/>
      <c r="YZ151" s="207"/>
      <c r="ZA151" s="272"/>
      <c r="ZB151" s="272"/>
      <c r="ZC151" s="205">
        <f t="shared" si="1512"/>
        <v>0</v>
      </c>
      <c r="ZD151" s="205">
        <f t="shared" si="1513"/>
        <v>0</v>
      </c>
      <c r="ZE151" s="207"/>
      <c r="ZF151" s="207"/>
      <c r="ZG151" s="207"/>
      <c r="ZH151" s="207"/>
      <c r="ZI151" s="207"/>
      <c r="ZJ151" s="272"/>
      <c r="ZK151" s="272"/>
      <c r="ZL151" s="205">
        <f t="shared" si="1514"/>
        <v>0</v>
      </c>
      <c r="ZM151" s="207"/>
      <c r="ZN151" s="207"/>
      <c r="ZO151" s="207"/>
      <c r="ZP151" s="207"/>
      <c r="ZQ151" s="207"/>
      <c r="ZR151" s="272"/>
      <c r="ZS151" s="272"/>
      <c r="ZT151" s="205">
        <f t="shared" si="1515"/>
        <v>0</v>
      </c>
      <c r="ZU151" s="207"/>
      <c r="ZV151" s="207"/>
      <c r="ZW151" s="207"/>
      <c r="ZX151" s="207"/>
      <c r="ZY151" s="207"/>
      <c r="ZZ151" s="272"/>
      <c r="AAA151" s="272"/>
      <c r="AAB151" s="205">
        <f t="shared" si="1516"/>
        <v>0</v>
      </c>
      <c r="AAC151" s="207"/>
      <c r="AAD151" s="207"/>
      <c r="AAE151" s="207"/>
      <c r="AAF151" s="207"/>
      <c r="AAG151" s="207"/>
      <c r="AAH151" s="272"/>
      <c r="AAI151" s="272"/>
      <c r="AAJ151" s="205">
        <f t="shared" si="1517"/>
        <v>0</v>
      </c>
      <c r="AAK151" s="207"/>
      <c r="AAL151" s="207"/>
      <c r="AAM151" s="207"/>
      <c r="AAN151" s="207"/>
      <c r="AAO151" s="207"/>
      <c r="AAP151" s="272"/>
      <c r="AAQ151" s="272"/>
      <c r="AAR151" s="205">
        <f t="shared" si="1518"/>
        <v>0</v>
      </c>
      <c r="AAS151" s="205">
        <f t="shared" si="1519"/>
        <v>0</v>
      </c>
    </row>
    <row r="152" spans="1:721" s="127" customFormat="1" ht="80.45" customHeight="1">
      <c r="A152" s="128"/>
      <c r="B152" s="176">
        <v>5701000130</v>
      </c>
      <c r="C152" s="146" t="s">
        <v>814</v>
      </c>
      <c r="D152" s="173" t="s">
        <v>605</v>
      </c>
      <c r="E152" s="130" t="s">
        <v>4</v>
      </c>
      <c r="F152" s="120"/>
      <c r="G152" s="120"/>
      <c r="H152" s="120"/>
      <c r="I152" s="120"/>
      <c r="J152" s="120"/>
      <c r="K152" s="209"/>
      <c r="L152" s="205"/>
      <c r="M152" s="205">
        <f t="shared" si="1520"/>
        <v>0</v>
      </c>
      <c r="N152" s="120"/>
      <c r="O152" s="120"/>
      <c r="P152" s="120"/>
      <c r="Q152" s="120"/>
      <c r="R152" s="120"/>
      <c r="S152" s="209"/>
      <c r="T152" s="205"/>
      <c r="U152" s="205">
        <f t="shared" si="1521"/>
        <v>0</v>
      </c>
      <c r="V152" s="120"/>
      <c r="W152" s="120"/>
      <c r="X152" s="120"/>
      <c r="Y152" s="120"/>
      <c r="Z152" s="120"/>
      <c r="AA152" s="209"/>
      <c r="AB152" s="205"/>
      <c r="AC152" s="205">
        <f t="shared" si="1522"/>
        <v>0</v>
      </c>
      <c r="AD152" s="205"/>
      <c r="AE152" s="205"/>
      <c r="AF152" s="205"/>
      <c r="AG152" s="205"/>
      <c r="AH152" s="205"/>
      <c r="AI152" s="209"/>
      <c r="AJ152" s="205"/>
      <c r="AK152" s="205">
        <f t="shared" si="1523"/>
        <v>0</v>
      </c>
      <c r="AL152" s="205" t="e">
        <f>SUM(#REF!,M152,U152,AC152,AD152:AH152)</f>
        <v>#REF!</v>
      </c>
      <c r="AM152" s="120"/>
      <c r="AN152" s="120"/>
      <c r="AO152" s="120"/>
      <c r="AP152" s="120"/>
      <c r="AQ152" s="120"/>
      <c r="AR152" s="209"/>
      <c r="AS152" s="205"/>
      <c r="AT152" s="205">
        <f t="shared" si="1524"/>
        <v>0</v>
      </c>
      <c r="AU152" s="120"/>
      <c r="AV152" s="120"/>
      <c r="AW152" s="120"/>
      <c r="AX152" s="120"/>
      <c r="AY152" s="120"/>
      <c r="AZ152" s="209"/>
      <c r="BA152" s="205"/>
      <c r="BB152" s="205">
        <f t="shared" si="1525"/>
        <v>0</v>
      </c>
      <c r="BC152" s="120"/>
      <c r="BD152" s="120"/>
      <c r="BE152" s="120"/>
      <c r="BF152" s="120"/>
      <c r="BG152" s="120"/>
      <c r="BH152" s="209"/>
      <c r="BI152" s="205"/>
      <c r="BJ152" s="205">
        <f t="shared" si="1526"/>
        <v>0</v>
      </c>
      <c r="BK152" s="120"/>
      <c r="BL152" s="120"/>
      <c r="BM152" s="120"/>
      <c r="BN152" s="120"/>
      <c r="BO152" s="205"/>
      <c r="BP152" s="209"/>
      <c r="BQ152" s="205"/>
      <c r="BR152" s="205">
        <f t="shared" si="1527"/>
        <v>0</v>
      </c>
      <c r="BS152" s="205">
        <f t="shared" si="1427"/>
        <v>0</v>
      </c>
      <c r="BT152" s="120"/>
      <c r="BU152" s="120"/>
      <c r="BV152" s="120"/>
      <c r="BW152" s="120"/>
      <c r="BX152" s="120"/>
      <c r="BY152" s="209"/>
      <c r="BZ152" s="205"/>
      <c r="CA152" s="205">
        <f t="shared" si="1528"/>
        <v>0</v>
      </c>
      <c r="CB152" s="120"/>
      <c r="CC152" s="120"/>
      <c r="CD152" s="120"/>
      <c r="CE152" s="120"/>
      <c r="CF152" s="120"/>
      <c r="CG152" s="209"/>
      <c r="CH152" s="205"/>
      <c r="CI152" s="205">
        <f t="shared" si="1529"/>
        <v>0</v>
      </c>
      <c r="CJ152" s="120"/>
      <c r="CK152" s="120"/>
      <c r="CL152" s="120"/>
      <c r="CM152" s="120"/>
      <c r="CN152" s="120"/>
      <c r="CO152" s="209"/>
      <c r="CP152" s="205"/>
      <c r="CQ152" s="205">
        <f t="shared" si="1530"/>
        <v>0</v>
      </c>
      <c r="CR152" s="120"/>
      <c r="CS152" s="120"/>
      <c r="CT152" s="120"/>
      <c r="CU152" s="120"/>
      <c r="CV152" s="120"/>
      <c r="CW152" s="209"/>
      <c r="CX152" s="205"/>
      <c r="CY152" s="205">
        <f t="shared" si="1531"/>
        <v>0</v>
      </c>
      <c r="CZ152" s="120"/>
      <c r="DA152" s="120"/>
      <c r="DB152" s="120"/>
      <c r="DC152" s="205"/>
      <c r="DD152" s="205"/>
      <c r="DE152" s="209"/>
      <c r="DF152" s="205"/>
      <c r="DG152" s="205">
        <f t="shared" si="1532"/>
        <v>0</v>
      </c>
      <c r="DH152" s="205">
        <f t="shared" si="1428"/>
        <v>0</v>
      </c>
      <c r="DI152" s="120"/>
      <c r="DJ152" s="120"/>
      <c r="DK152" s="120"/>
      <c r="DL152" s="120"/>
      <c r="DM152" s="120"/>
      <c r="DN152" s="209"/>
      <c r="DO152" s="205"/>
      <c r="DP152" s="205">
        <f t="shared" si="1432"/>
        <v>0</v>
      </c>
      <c r="DQ152" s="120"/>
      <c r="DR152" s="120"/>
      <c r="DS152" s="120"/>
      <c r="DT152" s="120"/>
      <c r="DU152" s="120"/>
      <c r="DV152" s="209"/>
      <c r="DW152" s="205"/>
      <c r="DX152" s="205">
        <f t="shared" si="1433"/>
        <v>0</v>
      </c>
      <c r="DY152" s="120"/>
      <c r="DZ152" s="207"/>
      <c r="EA152" s="120"/>
      <c r="EB152" s="120"/>
      <c r="EC152" s="120"/>
      <c r="ED152" s="209"/>
      <c r="EE152" s="205"/>
      <c r="EF152" s="205">
        <f t="shared" si="1434"/>
        <v>0</v>
      </c>
      <c r="EG152" s="120"/>
      <c r="EH152" s="120"/>
      <c r="EI152" s="120"/>
      <c r="EJ152" s="205"/>
      <c r="EK152" s="205"/>
      <c r="EL152" s="209"/>
      <c r="EM152" s="205"/>
      <c r="EN152" s="205">
        <f t="shared" si="1435"/>
        <v>0</v>
      </c>
      <c r="EO152" s="205">
        <f t="shared" si="1429"/>
        <v>0</v>
      </c>
      <c r="EP152" s="120"/>
      <c r="EQ152" s="120"/>
      <c r="ER152" s="120"/>
      <c r="ES152" s="120"/>
      <c r="ET152" s="120"/>
      <c r="EU152" s="209"/>
      <c r="EV152" s="205"/>
      <c r="EW152" s="205">
        <f t="shared" si="1436"/>
        <v>0</v>
      </c>
      <c r="EX152" s="120"/>
      <c r="EY152" s="120"/>
      <c r="EZ152" s="120"/>
      <c r="FA152" s="120"/>
      <c r="FB152" s="120"/>
      <c r="FC152" s="209"/>
      <c r="FD152" s="205"/>
      <c r="FE152" s="205">
        <f t="shared" si="1437"/>
        <v>0</v>
      </c>
      <c r="FF152" s="120"/>
      <c r="FG152" s="120"/>
      <c r="FH152" s="120"/>
      <c r="FI152" s="120"/>
      <c r="FJ152" s="120"/>
      <c r="FK152" s="209"/>
      <c r="FL152" s="205"/>
      <c r="FM152" s="205">
        <f t="shared" si="1438"/>
        <v>0</v>
      </c>
      <c r="FN152" s="120"/>
      <c r="FO152" s="120"/>
      <c r="FP152" s="120"/>
      <c r="FQ152" s="120"/>
      <c r="FR152" s="205"/>
      <c r="FS152" s="209"/>
      <c r="FT152" s="205"/>
      <c r="FU152" s="205">
        <f t="shared" si="1439"/>
        <v>0</v>
      </c>
      <c r="FV152" s="205">
        <f t="shared" si="1430"/>
        <v>0</v>
      </c>
      <c r="FW152" s="120"/>
      <c r="FX152" s="120"/>
      <c r="FY152" s="120"/>
      <c r="FZ152" s="120"/>
      <c r="GA152" s="120"/>
      <c r="GB152" s="209"/>
      <c r="GC152" s="205"/>
      <c r="GD152" s="205">
        <f t="shared" si="1440"/>
        <v>0</v>
      </c>
      <c r="GE152" s="120"/>
      <c r="GF152" s="120"/>
      <c r="GG152" s="120"/>
      <c r="GH152" s="120"/>
      <c r="GI152" s="120"/>
      <c r="GJ152" s="209"/>
      <c r="GK152" s="205"/>
      <c r="GL152" s="205">
        <f t="shared" si="1441"/>
        <v>0</v>
      </c>
      <c r="GM152" s="120"/>
      <c r="GN152" s="120"/>
      <c r="GO152" s="120"/>
      <c r="GP152" s="120"/>
      <c r="GQ152" s="120"/>
      <c r="GR152" s="209"/>
      <c r="GS152" s="205"/>
      <c r="GT152" s="205">
        <f t="shared" si="1442"/>
        <v>0</v>
      </c>
      <c r="GU152" s="120"/>
      <c r="GV152" s="120"/>
      <c r="GW152" s="120"/>
      <c r="GX152" s="120"/>
      <c r="GY152" s="120"/>
      <c r="GZ152" s="209"/>
      <c r="HA152" s="205"/>
      <c r="HB152" s="205">
        <f t="shared" si="1443"/>
        <v>0</v>
      </c>
      <c r="HC152" s="120"/>
      <c r="HD152" s="120"/>
      <c r="HE152" s="120"/>
      <c r="HF152" s="120"/>
      <c r="HG152" s="120"/>
      <c r="HH152" s="209"/>
      <c r="HI152" s="205"/>
      <c r="HJ152" s="205">
        <f t="shared" si="1444"/>
        <v>0</v>
      </c>
      <c r="HK152" s="205">
        <f t="shared" si="1431"/>
        <v>0</v>
      </c>
      <c r="HL152" s="124"/>
      <c r="HM152" s="120"/>
      <c r="HN152" s="120"/>
      <c r="HO152" s="120"/>
      <c r="HP152" s="120"/>
      <c r="HQ152" s="205"/>
      <c r="HR152" s="205"/>
      <c r="HS152" s="205">
        <f t="shared" si="1445"/>
        <v>0</v>
      </c>
      <c r="HT152" s="120"/>
      <c r="HU152" s="120"/>
      <c r="HV152" s="120"/>
      <c r="HW152" s="120"/>
      <c r="HX152" s="120"/>
      <c r="HY152" s="205"/>
      <c r="HZ152" s="205"/>
      <c r="IA152" s="205">
        <f t="shared" si="1446"/>
        <v>0</v>
      </c>
      <c r="IB152" s="120"/>
      <c r="IC152" s="120"/>
      <c r="ID152" s="120"/>
      <c r="IE152" s="120"/>
      <c r="IF152" s="120"/>
      <c r="IG152" s="205"/>
      <c r="IH152" s="205"/>
      <c r="II152" s="205">
        <f t="shared" si="1447"/>
        <v>0</v>
      </c>
      <c r="IJ152" s="120"/>
      <c r="IK152" s="120"/>
      <c r="IL152" s="120"/>
      <c r="IM152" s="120"/>
      <c r="IN152" s="120"/>
      <c r="IO152" s="205"/>
      <c r="IP152" s="205"/>
      <c r="IQ152" s="205">
        <f t="shared" si="1448"/>
        <v>0</v>
      </c>
      <c r="IR152" s="205">
        <f t="shared" si="1449"/>
        <v>0</v>
      </c>
      <c r="IS152" s="120"/>
      <c r="IT152" s="120"/>
      <c r="IU152" s="120"/>
      <c r="IV152" s="120"/>
      <c r="IW152" s="120"/>
      <c r="IX152" s="205"/>
      <c r="IY152" s="205"/>
      <c r="IZ152" s="205">
        <f t="shared" si="1450"/>
        <v>0</v>
      </c>
      <c r="JA152" s="120"/>
      <c r="JB152" s="120"/>
      <c r="JC152" s="120"/>
      <c r="JD152" s="120"/>
      <c r="JE152" s="120"/>
      <c r="JF152" s="205"/>
      <c r="JG152" s="205"/>
      <c r="JH152" s="205">
        <f t="shared" si="1451"/>
        <v>0</v>
      </c>
      <c r="JI152" s="120"/>
      <c r="JJ152" s="120"/>
      <c r="JK152" s="120"/>
      <c r="JL152" s="120"/>
      <c r="JM152" s="120"/>
      <c r="JN152" s="205"/>
      <c r="JO152" s="205"/>
      <c r="JP152" s="205">
        <f t="shared" si="1452"/>
        <v>0</v>
      </c>
      <c r="JQ152" s="120"/>
      <c r="JR152" s="120"/>
      <c r="JS152" s="120"/>
      <c r="JT152" s="120"/>
      <c r="JU152" s="120"/>
      <c r="JV152" s="205"/>
      <c r="JW152" s="205"/>
      <c r="JX152" s="205">
        <f t="shared" si="1453"/>
        <v>0</v>
      </c>
      <c r="JY152" s="205">
        <f t="shared" si="1454"/>
        <v>0</v>
      </c>
      <c r="JZ152" s="120"/>
      <c r="KA152" s="120"/>
      <c r="KB152" s="120"/>
      <c r="KC152" s="120"/>
      <c r="KD152" s="120"/>
      <c r="KE152" s="205"/>
      <c r="KF152" s="205"/>
      <c r="KG152" s="205">
        <f t="shared" si="1455"/>
        <v>0</v>
      </c>
      <c r="KH152" s="120"/>
      <c r="KI152" s="120"/>
      <c r="KJ152" s="120"/>
      <c r="KK152" s="120"/>
      <c r="KL152" s="120"/>
      <c r="KM152" s="205"/>
      <c r="KN152" s="205"/>
      <c r="KO152" s="205">
        <f t="shared" si="1456"/>
        <v>0</v>
      </c>
      <c r="KP152" s="120"/>
      <c r="KQ152" s="120"/>
      <c r="KR152" s="120"/>
      <c r="KS152" s="120"/>
      <c r="KT152" s="120"/>
      <c r="KU152" s="205"/>
      <c r="KV152" s="205"/>
      <c r="KW152" s="205">
        <f t="shared" si="1457"/>
        <v>0</v>
      </c>
      <c r="KX152" s="120"/>
      <c r="KY152" s="120"/>
      <c r="KZ152" s="120"/>
      <c r="LA152" s="120"/>
      <c r="LB152" s="120"/>
      <c r="LC152" s="205"/>
      <c r="LD152" s="205"/>
      <c r="LE152" s="205">
        <f t="shared" si="1458"/>
        <v>0</v>
      </c>
      <c r="LF152" s="205"/>
      <c r="LG152" s="120"/>
      <c r="LH152" s="120"/>
      <c r="LI152" s="120"/>
      <c r="LJ152" s="120"/>
      <c r="LK152" s="205"/>
      <c r="LL152" s="205"/>
      <c r="LM152" s="205">
        <f t="shared" si="1459"/>
        <v>0</v>
      </c>
      <c r="LN152" s="205">
        <f t="shared" si="1460"/>
        <v>0</v>
      </c>
      <c r="LO152" s="205"/>
      <c r="LP152" s="120"/>
      <c r="LQ152" s="120"/>
      <c r="LR152" s="120"/>
      <c r="LS152" s="205"/>
      <c r="LT152" s="205"/>
      <c r="LU152" s="205"/>
      <c r="LV152" s="205">
        <f t="shared" si="1461"/>
        <v>0</v>
      </c>
      <c r="LW152" s="120"/>
      <c r="LX152" s="120"/>
      <c r="LY152" s="120"/>
      <c r="LZ152" s="120"/>
      <c r="MA152" s="120"/>
      <c r="MB152" s="205"/>
      <c r="MC152" s="205"/>
      <c r="MD152" s="205">
        <f t="shared" si="1462"/>
        <v>0</v>
      </c>
      <c r="ME152" s="120"/>
      <c r="MF152" s="120"/>
      <c r="MG152" s="120"/>
      <c r="MH152" s="120"/>
      <c r="MI152" s="205"/>
      <c r="MJ152" s="205"/>
      <c r="MK152" s="205"/>
      <c r="ML152" s="205">
        <f t="shared" si="1463"/>
        <v>0</v>
      </c>
      <c r="MM152" s="120"/>
      <c r="MN152" s="120"/>
      <c r="MO152" s="120"/>
      <c r="MP152" s="120"/>
      <c r="MQ152" s="120"/>
      <c r="MR152" s="205"/>
      <c r="MS152" s="205"/>
      <c r="MT152" s="205">
        <f t="shared" si="1464"/>
        <v>0</v>
      </c>
      <c r="MU152" s="205">
        <f t="shared" si="1465"/>
        <v>0</v>
      </c>
      <c r="MV152" s="120"/>
      <c r="MW152" s="120"/>
      <c r="MX152" s="120"/>
      <c r="MY152" s="120"/>
      <c r="MZ152" s="120"/>
      <c r="NA152" s="205"/>
      <c r="NB152" s="205"/>
      <c r="NC152" s="205">
        <f t="shared" si="1466"/>
        <v>0</v>
      </c>
      <c r="ND152" s="120"/>
      <c r="NE152" s="120"/>
      <c r="NF152" s="120"/>
      <c r="NG152" s="120"/>
      <c r="NH152" s="120"/>
      <c r="NI152" s="205"/>
      <c r="NJ152" s="205"/>
      <c r="NK152" s="205">
        <f t="shared" si="1467"/>
        <v>0</v>
      </c>
      <c r="NL152" s="120"/>
      <c r="NM152" s="120"/>
      <c r="NN152" s="120"/>
      <c r="NO152" s="120"/>
      <c r="NP152" s="120"/>
      <c r="NQ152" s="205"/>
      <c r="NR152" s="205"/>
      <c r="NS152" s="205">
        <f t="shared" si="1468"/>
        <v>0</v>
      </c>
      <c r="NT152" s="120"/>
      <c r="NU152" s="120"/>
      <c r="NV152" s="120"/>
      <c r="NW152" s="120"/>
      <c r="NX152" s="120"/>
      <c r="NY152" s="205"/>
      <c r="NZ152" s="205"/>
      <c r="OA152" s="205">
        <f t="shared" si="1469"/>
        <v>0</v>
      </c>
      <c r="OB152" s="205">
        <f t="shared" si="1470"/>
        <v>0</v>
      </c>
      <c r="OC152" s="120"/>
      <c r="OD152" s="120"/>
      <c r="OE152" s="120"/>
      <c r="OF152" s="120"/>
      <c r="OG152" s="120"/>
      <c r="OH152" s="205"/>
      <c r="OI152" s="205"/>
      <c r="OJ152" s="205">
        <f t="shared" si="1471"/>
        <v>0</v>
      </c>
      <c r="OK152" s="120"/>
      <c r="OL152" s="120"/>
      <c r="OM152" s="120"/>
      <c r="ON152" s="120"/>
      <c r="OO152" s="120"/>
      <c r="OP152" s="205"/>
      <c r="OQ152" s="205"/>
      <c r="OR152" s="205">
        <f t="shared" si="1472"/>
        <v>0</v>
      </c>
      <c r="OS152" s="120"/>
      <c r="OT152" s="120"/>
      <c r="OU152" s="120"/>
      <c r="OV152" s="120"/>
      <c r="OW152" s="120"/>
      <c r="OX152" s="205"/>
      <c r="OY152" s="205"/>
      <c r="OZ152" s="205">
        <f t="shared" si="1473"/>
        <v>0</v>
      </c>
      <c r="PA152" s="120"/>
      <c r="PB152" s="120"/>
      <c r="PC152" s="120"/>
      <c r="PD152" s="205"/>
      <c r="PE152" s="217"/>
      <c r="PF152" s="205"/>
      <c r="PG152" s="205"/>
      <c r="PH152" s="205">
        <f t="shared" si="1474"/>
        <v>0</v>
      </c>
      <c r="PI152" s="120"/>
      <c r="PJ152" s="120"/>
      <c r="PK152" s="120"/>
      <c r="PL152" s="205"/>
      <c r="PM152" s="217"/>
      <c r="PN152" s="205"/>
      <c r="PO152" s="205"/>
      <c r="PP152" s="205">
        <f t="shared" si="1475"/>
        <v>0</v>
      </c>
      <c r="PQ152" s="205">
        <f t="shared" si="1476"/>
        <v>0</v>
      </c>
      <c r="PR152" s="207"/>
      <c r="PS152" s="207"/>
      <c r="PT152" s="207"/>
      <c r="PU152" s="207"/>
      <c r="PV152" s="207"/>
      <c r="PW152" s="272"/>
      <c r="PX152" s="272"/>
      <c r="PY152" s="205">
        <f t="shared" si="1477"/>
        <v>0</v>
      </c>
      <c r="PZ152" s="207"/>
      <c r="QA152" s="207"/>
      <c r="QB152" s="207"/>
      <c r="QC152" s="207"/>
      <c r="QD152" s="207"/>
      <c r="QE152" s="272"/>
      <c r="QF152" s="272"/>
      <c r="QG152" s="205">
        <f t="shared" si="1478"/>
        <v>0</v>
      </c>
      <c r="QH152" s="207"/>
      <c r="QI152" s="207"/>
      <c r="QJ152" s="294"/>
      <c r="QK152" s="207"/>
      <c r="QL152" s="207"/>
      <c r="QM152" s="272"/>
      <c r="QN152" s="272"/>
      <c r="QO152" s="205">
        <f t="shared" si="1479"/>
        <v>0</v>
      </c>
      <c r="QP152" s="207"/>
      <c r="QQ152" s="207"/>
      <c r="QR152" s="207"/>
      <c r="QS152" s="207"/>
      <c r="QT152" s="207"/>
      <c r="QU152" s="272"/>
      <c r="QV152" s="272"/>
      <c r="QW152" s="205">
        <f t="shared" si="1480"/>
        <v>0</v>
      </c>
      <c r="QX152" s="205">
        <f t="shared" si="1481"/>
        <v>0</v>
      </c>
      <c r="QY152" s="207"/>
      <c r="QZ152" s="207"/>
      <c r="RA152" s="207"/>
      <c r="RB152" s="207"/>
      <c r="RC152" s="207"/>
      <c r="RD152" s="272"/>
      <c r="RE152" s="272"/>
      <c r="RF152" s="205">
        <f t="shared" si="1482"/>
        <v>0</v>
      </c>
      <c r="RG152" s="207"/>
      <c r="RH152" s="207"/>
      <c r="RI152" s="207"/>
      <c r="RJ152" s="207"/>
      <c r="RK152" s="207"/>
      <c r="RL152" s="272"/>
      <c r="RM152" s="272"/>
      <c r="RN152" s="205">
        <f t="shared" si="1483"/>
        <v>0</v>
      </c>
      <c r="RO152" s="272"/>
      <c r="RP152" s="272"/>
      <c r="RQ152" s="272"/>
      <c r="RR152" s="272"/>
      <c r="RS152" s="272"/>
      <c r="RT152" s="272"/>
      <c r="RU152" s="272"/>
      <c r="RV152" s="205">
        <f t="shared" si="1484"/>
        <v>0</v>
      </c>
      <c r="RW152" s="207"/>
      <c r="RX152" s="207"/>
      <c r="RY152" s="207"/>
      <c r="RZ152" s="207"/>
      <c r="SA152" s="272"/>
      <c r="SB152" s="272"/>
      <c r="SC152" s="272"/>
      <c r="SD152" s="205">
        <f t="shared" si="1485"/>
        <v>0</v>
      </c>
      <c r="SE152" s="205">
        <f t="shared" si="1486"/>
        <v>0</v>
      </c>
      <c r="SF152" s="207"/>
      <c r="SG152" s="207"/>
      <c r="SH152" s="207"/>
      <c r="SI152" s="207"/>
      <c r="SJ152" s="207"/>
      <c r="SK152" s="272"/>
      <c r="SL152" s="272"/>
      <c r="SM152" s="205">
        <f t="shared" si="1487"/>
        <v>0</v>
      </c>
      <c r="SN152" s="207"/>
      <c r="SO152" s="207"/>
      <c r="SP152" s="207"/>
      <c r="SQ152" s="207"/>
      <c r="SR152" s="207"/>
      <c r="SS152" s="272"/>
      <c r="ST152" s="272"/>
      <c r="SU152" s="205">
        <f t="shared" si="1488"/>
        <v>0</v>
      </c>
      <c r="SV152" s="207"/>
      <c r="SW152" s="207"/>
      <c r="SX152" s="207"/>
      <c r="SY152" s="207"/>
      <c r="SZ152" s="207"/>
      <c r="TA152" s="272"/>
      <c r="TB152" s="272"/>
      <c r="TC152" s="205">
        <f t="shared" si="1489"/>
        <v>0</v>
      </c>
      <c r="TD152" s="207"/>
      <c r="TE152" s="207"/>
      <c r="TF152" s="207"/>
      <c r="TG152" s="207"/>
      <c r="TH152" s="207"/>
      <c r="TI152" s="272"/>
      <c r="TJ152" s="272"/>
      <c r="TK152" s="205">
        <f t="shared" si="1490"/>
        <v>0</v>
      </c>
      <c r="TL152" s="207"/>
      <c r="TM152" s="207"/>
      <c r="TN152" s="207"/>
      <c r="TO152" s="207"/>
      <c r="TP152" s="272"/>
      <c r="TQ152" s="272"/>
      <c r="TR152" s="272"/>
      <c r="TS152" s="205">
        <f t="shared" si="1491"/>
        <v>0</v>
      </c>
      <c r="TT152" s="205">
        <f t="shared" si="1492"/>
        <v>0</v>
      </c>
      <c r="TU152" s="272"/>
      <c r="TV152" s="207"/>
      <c r="TW152" s="207"/>
      <c r="TX152" s="207"/>
      <c r="TY152" s="207"/>
      <c r="TZ152" s="272"/>
      <c r="UA152" s="272"/>
      <c r="UB152" s="205">
        <f t="shared" si="1493"/>
        <v>0</v>
      </c>
      <c r="UC152" s="207"/>
      <c r="UD152" s="207"/>
      <c r="UE152" s="207"/>
      <c r="UF152" s="207"/>
      <c r="UG152" s="207"/>
      <c r="UH152" s="272"/>
      <c r="UI152" s="272"/>
      <c r="UJ152" s="205">
        <f t="shared" si="1494"/>
        <v>0</v>
      </c>
      <c r="UK152" s="207"/>
      <c r="UL152" s="207"/>
      <c r="UM152" s="207"/>
      <c r="UN152" s="207"/>
      <c r="UO152" s="207"/>
      <c r="UP152" s="272"/>
      <c r="UQ152" s="272"/>
      <c r="UR152" s="205">
        <f t="shared" si="1495"/>
        <v>0</v>
      </c>
      <c r="US152" s="207"/>
      <c r="UT152" s="207"/>
      <c r="UU152" s="207"/>
      <c r="UV152" s="207"/>
      <c r="UW152" s="272"/>
      <c r="UX152" s="272"/>
      <c r="UY152" s="272"/>
      <c r="UZ152" s="205">
        <f t="shared" si="1496"/>
        <v>0</v>
      </c>
      <c r="VA152" s="205">
        <f t="shared" si="1497"/>
        <v>0</v>
      </c>
      <c r="VB152" s="207"/>
      <c r="VC152" s="207"/>
      <c r="VD152" s="207"/>
      <c r="VE152" s="207"/>
      <c r="VF152" s="120"/>
      <c r="VG152" s="272"/>
      <c r="VH152" s="272"/>
      <c r="VI152" s="205">
        <f t="shared" si="1498"/>
        <v>0</v>
      </c>
      <c r="VJ152" s="207"/>
      <c r="VK152" s="207"/>
      <c r="VL152" s="207"/>
      <c r="VM152" s="207"/>
      <c r="VN152" s="207"/>
      <c r="VO152" s="272"/>
      <c r="VP152" s="272"/>
      <c r="VQ152" s="205">
        <f t="shared" si="1499"/>
        <v>0</v>
      </c>
      <c r="VR152" s="207"/>
      <c r="VS152" s="207"/>
      <c r="VT152" s="207"/>
      <c r="VU152" s="207"/>
      <c r="VV152" s="207"/>
      <c r="VW152" s="272"/>
      <c r="VX152" s="272"/>
      <c r="VY152" s="205">
        <f t="shared" si="1500"/>
        <v>0</v>
      </c>
      <c r="VZ152" s="207"/>
      <c r="WA152" s="207"/>
      <c r="WB152" s="207"/>
      <c r="WC152" s="207"/>
      <c r="WD152" s="207"/>
      <c r="WE152" s="272"/>
      <c r="WF152" s="272"/>
      <c r="WG152" s="205">
        <f t="shared" si="1501"/>
        <v>0</v>
      </c>
      <c r="WH152" s="205">
        <f t="shared" si="1502"/>
        <v>0</v>
      </c>
      <c r="WI152" s="207"/>
      <c r="WJ152" s="207"/>
      <c r="WK152" s="207"/>
      <c r="WL152" s="207"/>
      <c r="WM152" s="207"/>
      <c r="WN152" s="272"/>
      <c r="WO152" s="272"/>
      <c r="WP152" s="205">
        <f t="shared" si="1503"/>
        <v>0</v>
      </c>
      <c r="WQ152" s="207"/>
      <c r="WR152" s="207"/>
      <c r="WS152" s="207"/>
      <c r="WT152" s="207"/>
      <c r="WU152" s="207"/>
      <c r="WV152" s="272"/>
      <c r="WW152" s="272"/>
      <c r="WX152" s="205">
        <f t="shared" si="1504"/>
        <v>0</v>
      </c>
      <c r="WY152" s="207"/>
      <c r="WZ152" s="207"/>
      <c r="XA152" s="207"/>
      <c r="XB152" s="207"/>
      <c r="XC152" s="272"/>
      <c r="XD152" s="272"/>
      <c r="XE152" s="272"/>
      <c r="XF152" s="205">
        <f t="shared" si="1505"/>
        <v>0</v>
      </c>
      <c r="XG152" s="207"/>
      <c r="XH152" s="207"/>
      <c r="XI152" s="207"/>
      <c r="XJ152" s="207"/>
      <c r="XK152" s="207"/>
      <c r="XL152" s="272"/>
      <c r="XM152" s="272"/>
      <c r="XN152" s="205">
        <f t="shared" si="1506"/>
        <v>0</v>
      </c>
      <c r="XO152" s="207"/>
      <c r="XP152" s="207"/>
      <c r="XQ152" s="207"/>
      <c r="XR152" s="207"/>
      <c r="XS152" s="207"/>
      <c r="XT152" s="272"/>
      <c r="XU152" s="272"/>
      <c r="XV152" s="205">
        <f t="shared" si="1507"/>
        <v>0</v>
      </c>
      <c r="XW152" s="205">
        <f t="shared" si="1508"/>
        <v>0</v>
      </c>
      <c r="XX152" s="207"/>
      <c r="XY152" s="207"/>
      <c r="XZ152" s="207"/>
      <c r="YA152" s="207"/>
      <c r="YB152" s="207"/>
      <c r="YC152" s="272"/>
      <c r="YD152" s="272"/>
      <c r="YE152" s="205">
        <f t="shared" si="1509"/>
        <v>0</v>
      </c>
      <c r="YF152" s="207"/>
      <c r="YG152" s="207"/>
      <c r="YH152" s="207"/>
      <c r="YI152" s="207"/>
      <c r="YJ152" s="207"/>
      <c r="YK152" s="272"/>
      <c r="YL152" s="272"/>
      <c r="YM152" s="205">
        <f t="shared" si="1510"/>
        <v>0</v>
      </c>
      <c r="YN152" s="207"/>
      <c r="YO152" s="207"/>
      <c r="YP152" s="207"/>
      <c r="YQ152" s="207"/>
      <c r="YR152" s="207"/>
      <c r="YS152" s="272"/>
      <c r="YT152" s="272"/>
      <c r="YU152" s="205">
        <f t="shared" si="1511"/>
        <v>0</v>
      </c>
      <c r="YV152" s="207"/>
      <c r="YW152" s="207"/>
      <c r="YX152" s="207"/>
      <c r="YY152" s="207"/>
      <c r="YZ152" s="207"/>
      <c r="ZA152" s="272"/>
      <c r="ZB152" s="272"/>
      <c r="ZC152" s="205">
        <f t="shared" si="1512"/>
        <v>0</v>
      </c>
      <c r="ZD152" s="205">
        <f t="shared" si="1513"/>
        <v>0</v>
      </c>
      <c r="ZE152" s="207"/>
      <c r="ZF152" s="207"/>
      <c r="ZG152" s="207"/>
      <c r="ZH152" s="207"/>
      <c r="ZI152" s="207"/>
      <c r="ZJ152" s="272"/>
      <c r="ZK152" s="272"/>
      <c r="ZL152" s="205">
        <f t="shared" si="1514"/>
        <v>0</v>
      </c>
      <c r="ZM152" s="207"/>
      <c r="ZN152" s="207"/>
      <c r="ZO152" s="207"/>
      <c r="ZP152" s="207"/>
      <c r="ZQ152" s="207"/>
      <c r="ZR152" s="272"/>
      <c r="ZS152" s="272"/>
      <c r="ZT152" s="205">
        <f t="shared" si="1515"/>
        <v>0</v>
      </c>
      <c r="ZU152" s="207"/>
      <c r="ZV152" s="207"/>
      <c r="ZW152" s="207"/>
      <c r="ZX152" s="207"/>
      <c r="ZY152" s="207"/>
      <c r="ZZ152" s="272"/>
      <c r="AAA152" s="272"/>
      <c r="AAB152" s="205">
        <f t="shared" si="1516"/>
        <v>0</v>
      </c>
      <c r="AAC152" s="207"/>
      <c r="AAD152" s="207"/>
      <c r="AAE152" s="207"/>
      <c r="AAF152" s="207"/>
      <c r="AAG152" s="207"/>
      <c r="AAH152" s="272"/>
      <c r="AAI152" s="272"/>
      <c r="AAJ152" s="205">
        <f t="shared" si="1517"/>
        <v>0</v>
      </c>
      <c r="AAK152" s="207"/>
      <c r="AAL152" s="207"/>
      <c r="AAM152" s="207"/>
      <c r="AAN152" s="207"/>
      <c r="AAO152" s="207"/>
      <c r="AAP152" s="272"/>
      <c r="AAQ152" s="272"/>
      <c r="AAR152" s="205">
        <f t="shared" si="1518"/>
        <v>0</v>
      </c>
      <c r="AAS152" s="205">
        <f t="shared" si="1519"/>
        <v>0</v>
      </c>
    </row>
    <row r="153" spans="1:721" s="127" customFormat="1" ht="71.45" customHeight="1">
      <c r="A153" s="128"/>
      <c r="B153" s="268" t="s">
        <v>813</v>
      </c>
      <c r="C153" s="146"/>
      <c r="D153" s="173" t="s">
        <v>62</v>
      </c>
      <c r="E153" s="130" t="s">
        <v>4</v>
      </c>
      <c r="F153" s="120"/>
      <c r="G153" s="120"/>
      <c r="H153" s="120"/>
      <c r="I153" s="120"/>
      <c r="J153" s="120"/>
      <c r="K153" s="209"/>
      <c r="L153" s="205"/>
      <c r="M153" s="205">
        <f t="shared" si="1520"/>
        <v>0</v>
      </c>
      <c r="N153" s="120"/>
      <c r="O153" s="120"/>
      <c r="P153" s="120"/>
      <c r="Q153" s="120"/>
      <c r="R153" s="120"/>
      <c r="S153" s="209"/>
      <c r="T153" s="205"/>
      <c r="U153" s="205">
        <f t="shared" si="1521"/>
        <v>0</v>
      </c>
      <c r="V153" s="120"/>
      <c r="W153" s="120"/>
      <c r="X153" s="120"/>
      <c r="Y153" s="120"/>
      <c r="Z153" s="120"/>
      <c r="AA153" s="209"/>
      <c r="AB153" s="205"/>
      <c r="AC153" s="205">
        <f t="shared" si="1522"/>
        <v>0</v>
      </c>
      <c r="AD153" s="205"/>
      <c r="AE153" s="205"/>
      <c r="AF153" s="205"/>
      <c r="AG153" s="205"/>
      <c r="AH153" s="205"/>
      <c r="AI153" s="209"/>
      <c r="AJ153" s="205"/>
      <c r="AK153" s="205">
        <f t="shared" si="1523"/>
        <v>0</v>
      </c>
      <c r="AL153" s="205" t="e">
        <f>SUM(#REF!,M153,U153,AC153,AD153:AH153)</f>
        <v>#REF!</v>
      </c>
      <c r="AM153" s="120"/>
      <c r="AN153" s="120"/>
      <c r="AO153" s="120"/>
      <c r="AP153" s="120"/>
      <c r="AQ153" s="120"/>
      <c r="AR153" s="209"/>
      <c r="AS153" s="205"/>
      <c r="AT153" s="205">
        <f t="shared" si="1524"/>
        <v>0</v>
      </c>
      <c r="AU153" s="120"/>
      <c r="AV153" s="120"/>
      <c r="AW153" s="120"/>
      <c r="AX153" s="120"/>
      <c r="AY153" s="120"/>
      <c r="AZ153" s="209"/>
      <c r="BA153" s="205"/>
      <c r="BB153" s="205">
        <f t="shared" si="1525"/>
        <v>0</v>
      </c>
      <c r="BC153" s="120"/>
      <c r="BD153" s="120"/>
      <c r="BE153" s="120"/>
      <c r="BF153" s="120"/>
      <c r="BG153" s="120"/>
      <c r="BH153" s="209"/>
      <c r="BI153" s="205"/>
      <c r="BJ153" s="205">
        <f t="shared" si="1526"/>
        <v>0</v>
      </c>
      <c r="BK153" s="120"/>
      <c r="BL153" s="120"/>
      <c r="BM153" s="120"/>
      <c r="BN153" s="120"/>
      <c r="BO153" s="205"/>
      <c r="BP153" s="209"/>
      <c r="BQ153" s="205"/>
      <c r="BR153" s="205">
        <f t="shared" si="1527"/>
        <v>0</v>
      </c>
      <c r="BS153" s="205">
        <f t="shared" si="1427"/>
        <v>0</v>
      </c>
      <c r="BT153" s="120"/>
      <c r="BU153" s="120"/>
      <c r="BV153" s="120"/>
      <c r="BW153" s="120"/>
      <c r="BX153" s="120"/>
      <c r="BY153" s="209"/>
      <c r="BZ153" s="205"/>
      <c r="CA153" s="205">
        <f t="shared" si="1528"/>
        <v>0</v>
      </c>
      <c r="CB153" s="120"/>
      <c r="CC153" s="120"/>
      <c r="CD153" s="120"/>
      <c r="CE153" s="120"/>
      <c r="CF153" s="120"/>
      <c r="CG153" s="209"/>
      <c r="CH153" s="205"/>
      <c r="CI153" s="205">
        <f t="shared" si="1529"/>
        <v>0</v>
      </c>
      <c r="CJ153" s="120"/>
      <c r="CK153" s="120"/>
      <c r="CL153" s="120"/>
      <c r="CM153" s="120"/>
      <c r="CN153" s="120"/>
      <c r="CO153" s="209"/>
      <c r="CP153" s="205"/>
      <c r="CQ153" s="205">
        <f t="shared" si="1530"/>
        <v>0</v>
      </c>
      <c r="CR153" s="120"/>
      <c r="CS153" s="120"/>
      <c r="CT153" s="120"/>
      <c r="CU153" s="120"/>
      <c r="CV153" s="120"/>
      <c r="CW153" s="209"/>
      <c r="CX153" s="205"/>
      <c r="CY153" s="205">
        <f t="shared" si="1531"/>
        <v>0</v>
      </c>
      <c r="CZ153" s="120"/>
      <c r="DA153" s="120"/>
      <c r="DB153" s="120"/>
      <c r="DC153" s="205"/>
      <c r="DD153" s="205"/>
      <c r="DE153" s="209"/>
      <c r="DF153" s="205"/>
      <c r="DG153" s="205">
        <f t="shared" si="1532"/>
        <v>0</v>
      </c>
      <c r="DH153" s="205">
        <f t="shared" si="1428"/>
        <v>0</v>
      </c>
      <c r="DI153" s="120"/>
      <c r="DJ153" s="120"/>
      <c r="DK153" s="120"/>
      <c r="DL153" s="120"/>
      <c r="DM153" s="120"/>
      <c r="DN153" s="209"/>
      <c r="DO153" s="205"/>
      <c r="DP153" s="205">
        <f t="shared" si="1432"/>
        <v>0</v>
      </c>
      <c r="DQ153" s="120"/>
      <c r="DR153" s="120"/>
      <c r="DS153" s="120"/>
      <c r="DT153" s="120"/>
      <c r="DU153" s="120"/>
      <c r="DV153" s="209"/>
      <c r="DW153" s="205"/>
      <c r="DX153" s="205">
        <f t="shared" si="1433"/>
        <v>0</v>
      </c>
      <c r="DY153" s="120"/>
      <c r="DZ153" s="207"/>
      <c r="EA153" s="120"/>
      <c r="EB153" s="120"/>
      <c r="EC153" s="120"/>
      <c r="ED153" s="209"/>
      <c r="EE153" s="205"/>
      <c r="EF153" s="205">
        <f t="shared" si="1434"/>
        <v>0</v>
      </c>
      <c r="EG153" s="120"/>
      <c r="EH153" s="120"/>
      <c r="EI153" s="120"/>
      <c r="EJ153" s="205"/>
      <c r="EK153" s="205"/>
      <c r="EL153" s="209"/>
      <c r="EM153" s="205"/>
      <c r="EN153" s="205">
        <f t="shared" si="1435"/>
        <v>0</v>
      </c>
      <c r="EO153" s="205">
        <f t="shared" si="1429"/>
        <v>0</v>
      </c>
      <c r="EP153" s="120"/>
      <c r="EQ153" s="120"/>
      <c r="ER153" s="120"/>
      <c r="ES153" s="120"/>
      <c r="ET153" s="120"/>
      <c r="EU153" s="209"/>
      <c r="EV153" s="205"/>
      <c r="EW153" s="205">
        <f t="shared" si="1436"/>
        <v>0</v>
      </c>
      <c r="EX153" s="120"/>
      <c r="EY153" s="120"/>
      <c r="EZ153" s="120"/>
      <c r="FA153" s="120"/>
      <c r="FB153" s="120"/>
      <c r="FC153" s="209"/>
      <c r="FD153" s="205"/>
      <c r="FE153" s="205">
        <f t="shared" si="1437"/>
        <v>0</v>
      </c>
      <c r="FF153" s="120"/>
      <c r="FG153" s="120"/>
      <c r="FH153" s="120"/>
      <c r="FI153" s="120"/>
      <c r="FJ153" s="120"/>
      <c r="FK153" s="209"/>
      <c r="FL153" s="205"/>
      <c r="FM153" s="205">
        <f t="shared" si="1438"/>
        <v>0</v>
      </c>
      <c r="FN153" s="120"/>
      <c r="FO153" s="120"/>
      <c r="FP153" s="120"/>
      <c r="FQ153" s="120"/>
      <c r="FR153" s="205"/>
      <c r="FS153" s="209"/>
      <c r="FT153" s="205"/>
      <c r="FU153" s="205">
        <f t="shared" si="1439"/>
        <v>0</v>
      </c>
      <c r="FV153" s="205">
        <f t="shared" si="1430"/>
        <v>0</v>
      </c>
      <c r="FW153" s="120"/>
      <c r="FX153" s="120"/>
      <c r="FY153" s="120"/>
      <c r="FZ153" s="120"/>
      <c r="GA153" s="120"/>
      <c r="GB153" s="209"/>
      <c r="GC153" s="205"/>
      <c r="GD153" s="205">
        <f t="shared" si="1440"/>
        <v>0</v>
      </c>
      <c r="GE153" s="120"/>
      <c r="GF153" s="120"/>
      <c r="GG153" s="120"/>
      <c r="GH153" s="120"/>
      <c r="GI153" s="120"/>
      <c r="GJ153" s="209"/>
      <c r="GK153" s="205"/>
      <c r="GL153" s="205">
        <f t="shared" si="1441"/>
        <v>0</v>
      </c>
      <c r="GM153" s="120"/>
      <c r="GN153" s="120"/>
      <c r="GO153" s="120"/>
      <c r="GP153" s="120"/>
      <c r="GQ153" s="120"/>
      <c r="GR153" s="209"/>
      <c r="GS153" s="205"/>
      <c r="GT153" s="205">
        <f t="shared" si="1442"/>
        <v>0</v>
      </c>
      <c r="GU153" s="120"/>
      <c r="GV153" s="120"/>
      <c r="GW153" s="120"/>
      <c r="GX153" s="120"/>
      <c r="GY153" s="120"/>
      <c r="GZ153" s="209"/>
      <c r="HA153" s="205"/>
      <c r="HB153" s="205">
        <f t="shared" si="1443"/>
        <v>0</v>
      </c>
      <c r="HC153" s="120"/>
      <c r="HD153" s="120"/>
      <c r="HE153" s="120"/>
      <c r="HF153" s="120"/>
      <c r="HG153" s="120"/>
      <c r="HH153" s="209"/>
      <c r="HI153" s="205"/>
      <c r="HJ153" s="205">
        <f t="shared" si="1444"/>
        <v>0</v>
      </c>
      <c r="HK153" s="205">
        <f t="shared" si="1431"/>
        <v>0</v>
      </c>
      <c r="HL153" s="124"/>
      <c r="HM153" s="120"/>
      <c r="HN153" s="120"/>
      <c r="HO153" s="120"/>
      <c r="HP153" s="120"/>
      <c r="HQ153" s="205"/>
      <c r="HR153" s="205"/>
      <c r="HS153" s="205">
        <f t="shared" si="1445"/>
        <v>0</v>
      </c>
      <c r="HT153" s="120"/>
      <c r="HU153" s="120"/>
      <c r="HV153" s="120"/>
      <c r="HW153" s="120"/>
      <c r="HX153" s="120"/>
      <c r="HY153" s="205"/>
      <c r="HZ153" s="205"/>
      <c r="IA153" s="205">
        <f t="shared" si="1446"/>
        <v>0</v>
      </c>
      <c r="IB153" s="120"/>
      <c r="IC153" s="120"/>
      <c r="ID153" s="120"/>
      <c r="IE153" s="120"/>
      <c r="IF153" s="120"/>
      <c r="IG153" s="205"/>
      <c r="IH153" s="205"/>
      <c r="II153" s="205">
        <f t="shared" si="1447"/>
        <v>0</v>
      </c>
      <c r="IJ153" s="120"/>
      <c r="IK153" s="120"/>
      <c r="IL153" s="120"/>
      <c r="IM153" s="120"/>
      <c r="IN153" s="120"/>
      <c r="IO153" s="205"/>
      <c r="IP153" s="205"/>
      <c r="IQ153" s="205">
        <f t="shared" si="1448"/>
        <v>0</v>
      </c>
      <c r="IR153" s="205">
        <f t="shared" si="1449"/>
        <v>0</v>
      </c>
      <c r="IS153" s="120"/>
      <c r="IT153" s="120"/>
      <c r="IU153" s="120"/>
      <c r="IV153" s="120"/>
      <c r="IW153" s="120"/>
      <c r="IX153" s="205"/>
      <c r="IY153" s="205"/>
      <c r="IZ153" s="205">
        <f t="shared" si="1450"/>
        <v>0</v>
      </c>
      <c r="JA153" s="120"/>
      <c r="JB153" s="120"/>
      <c r="JC153" s="120"/>
      <c r="JD153" s="120"/>
      <c r="JE153" s="120"/>
      <c r="JF153" s="205"/>
      <c r="JG153" s="205"/>
      <c r="JH153" s="205">
        <f t="shared" si="1451"/>
        <v>0</v>
      </c>
      <c r="JI153" s="120"/>
      <c r="JJ153" s="120"/>
      <c r="JK153" s="120"/>
      <c r="JL153" s="120"/>
      <c r="JM153" s="120"/>
      <c r="JN153" s="205"/>
      <c r="JO153" s="205"/>
      <c r="JP153" s="205">
        <f t="shared" si="1452"/>
        <v>0</v>
      </c>
      <c r="JQ153" s="120"/>
      <c r="JR153" s="120"/>
      <c r="JS153" s="120"/>
      <c r="JT153" s="120"/>
      <c r="JU153" s="120"/>
      <c r="JV153" s="205"/>
      <c r="JW153" s="205"/>
      <c r="JX153" s="205">
        <f t="shared" si="1453"/>
        <v>0</v>
      </c>
      <c r="JY153" s="205">
        <f t="shared" si="1454"/>
        <v>0</v>
      </c>
      <c r="JZ153" s="120"/>
      <c r="KA153" s="120"/>
      <c r="KB153" s="120"/>
      <c r="KC153" s="120"/>
      <c r="KD153" s="120"/>
      <c r="KE153" s="205"/>
      <c r="KF153" s="205"/>
      <c r="KG153" s="205">
        <f t="shared" si="1455"/>
        <v>0</v>
      </c>
      <c r="KH153" s="120"/>
      <c r="KI153" s="120"/>
      <c r="KJ153" s="120"/>
      <c r="KK153" s="120"/>
      <c r="KL153" s="120"/>
      <c r="KM153" s="205"/>
      <c r="KN153" s="205"/>
      <c r="KO153" s="205">
        <f t="shared" si="1456"/>
        <v>0</v>
      </c>
      <c r="KP153" s="120"/>
      <c r="KQ153" s="120"/>
      <c r="KR153" s="120"/>
      <c r="KS153" s="120"/>
      <c r="KT153" s="120"/>
      <c r="KU153" s="205"/>
      <c r="KV153" s="205"/>
      <c r="KW153" s="205">
        <f t="shared" si="1457"/>
        <v>0</v>
      </c>
      <c r="KX153" s="120"/>
      <c r="KY153" s="120"/>
      <c r="KZ153" s="120"/>
      <c r="LA153" s="120"/>
      <c r="LB153" s="120"/>
      <c r="LC153" s="205"/>
      <c r="LD153" s="205"/>
      <c r="LE153" s="205">
        <f t="shared" si="1458"/>
        <v>0</v>
      </c>
      <c r="LF153" s="205"/>
      <c r="LG153" s="120"/>
      <c r="LH153" s="120"/>
      <c r="LI153" s="120"/>
      <c r="LJ153" s="120"/>
      <c r="LK153" s="205"/>
      <c r="LL153" s="205"/>
      <c r="LM153" s="205">
        <f t="shared" si="1459"/>
        <v>0</v>
      </c>
      <c r="LN153" s="205">
        <f t="shared" si="1460"/>
        <v>0</v>
      </c>
      <c r="LO153" s="205"/>
      <c r="LP153" s="120"/>
      <c r="LQ153" s="120"/>
      <c r="LR153" s="120"/>
      <c r="LS153" s="205"/>
      <c r="LT153" s="205"/>
      <c r="LU153" s="205"/>
      <c r="LV153" s="205">
        <f t="shared" si="1461"/>
        <v>0</v>
      </c>
      <c r="LW153" s="120"/>
      <c r="LX153" s="120"/>
      <c r="LY153" s="120"/>
      <c r="LZ153" s="120"/>
      <c r="MA153" s="120"/>
      <c r="MB153" s="205"/>
      <c r="MC153" s="205"/>
      <c r="MD153" s="205">
        <f t="shared" si="1462"/>
        <v>0</v>
      </c>
      <c r="ME153" s="120"/>
      <c r="MF153" s="120"/>
      <c r="MG153" s="120"/>
      <c r="MH153" s="120"/>
      <c r="MI153" s="205"/>
      <c r="MJ153" s="205"/>
      <c r="MK153" s="205"/>
      <c r="ML153" s="205">
        <f t="shared" si="1463"/>
        <v>0</v>
      </c>
      <c r="MM153" s="120"/>
      <c r="MN153" s="120"/>
      <c r="MO153" s="120"/>
      <c r="MP153" s="120"/>
      <c r="MQ153" s="120"/>
      <c r="MR153" s="205"/>
      <c r="MS153" s="205"/>
      <c r="MT153" s="205">
        <f t="shared" si="1464"/>
        <v>0</v>
      </c>
      <c r="MU153" s="205">
        <f t="shared" si="1465"/>
        <v>0</v>
      </c>
      <c r="MV153" s="120"/>
      <c r="MW153" s="120"/>
      <c r="MX153" s="120"/>
      <c r="MY153" s="120"/>
      <c r="MZ153" s="120"/>
      <c r="NA153" s="205"/>
      <c r="NB153" s="205"/>
      <c r="NC153" s="205">
        <f t="shared" si="1466"/>
        <v>0</v>
      </c>
      <c r="ND153" s="120"/>
      <c r="NE153" s="120"/>
      <c r="NF153" s="120"/>
      <c r="NG153" s="120"/>
      <c r="NH153" s="120"/>
      <c r="NI153" s="205"/>
      <c r="NJ153" s="205"/>
      <c r="NK153" s="205">
        <f t="shared" si="1467"/>
        <v>0</v>
      </c>
      <c r="NL153" s="120"/>
      <c r="NM153" s="120"/>
      <c r="NN153" s="120"/>
      <c r="NO153" s="120"/>
      <c r="NP153" s="120"/>
      <c r="NQ153" s="205"/>
      <c r="NR153" s="205"/>
      <c r="NS153" s="205">
        <f t="shared" si="1468"/>
        <v>0</v>
      </c>
      <c r="NT153" s="120"/>
      <c r="NU153" s="120"/>
      <c r="NV153" s="120"/>
      <c r="NW153" s="120"/>
      <c r="NX153" s="120"/>
      <c r="NY153" s="205"/>
      <c r="NZ153" s="205"/>
      <c r="OA153" s="205">
        <f t="shared" si="1469"/>
        <v>0</v>
      </c>
      <c r="OB153" s="205">
        <f t="shared" si="1470"/>
        <v>0</v>
      </c>
      <c r="OC153" s="120"/>
      <c r="OD153" s="120"/>
      <c r="OE153" s="120"/>
      <c r="OF153" s="120"/>
      <c r="OG153" s="120"/>
      <c r="OH153" s="205"/>
      <c r="OI153" s="205"/>
      <c r="OJ153" s="205">
        <f t="shared" si="1471"/>
        <v>0</v>
      </c>
      <c r="OK153" s="120"/>
      <c r="OL153" s="120"/>
      <c r="OM153" s="120"/>
      <c r="ON153" s="120"/>
      <c r="OO153" s="120"/>
      <c r="OP153" s="205"/>
      <c r="OQ153" s="205"/>
      <c r="OR153" s="205">
        <f t="shared" si="1472"/>
        <v>0</v>
      </c>
      <c r="OS153" s="120"/>
      <c r="OT153" s="120"/>
      <c r="OU153" s="120"/>
      <c r="OV153" s="120"/>
      <c r="OW153" s="120"/>
      <c r="OX153" s="205"/>
      <c r="OY153" s="205"/>
      <c r="OZ153" s="205">
        <f t="shared" si="1473"/>
        <v>0</v>
      </c>
      <c r="PA153" s="120"/>
      <c r="PB153" s="120"/>
      <c r="PC153" s="120"/>
      <c r="PD153" s="205"/>
      <c r="PE153" s="217"/>
      <c r="PF153" s="205"/>
      <c r="PG153" s="205"/>
      <c r="PH153" s="205">
        <f t="shared" si="1474"/>
        <v>0</v>
      </c>
      <c r="PI153" s="120"/>
      <c r="PJ153" s="120"/>
      <c r="PK153" s="120"/>
      <c r="PL153" s="205"/>
      <c r="PM153" s="217"/>
      <c r="PN153" s="205"/>
      <c r="PO153" s="205"/>
      <c r="PP153" s="205">
        <f t="shared" si="1475"/>
        <v>0</v>
      </c>
      <c r="PQ153" s="205">
        <f t="shared" si="1476"/>
        <v>0</v>
      </c>
      <c r="PR153" s="207"/>
      <c r="PS153" s="207"/>
      <c r="PT153" s="207"/>
      <c r="PU153" s="207"/>
      <c r="PV153" s="207"/>
      <c r="PW153" s="272"/>
      <c r="PX153" s="272"/>
      <c r="PY153" s="205">
        <f t="shared" si="1477"/>
        <v>0</v>
      </c>
      <c r="PZ153" s="207"/>
      <c r="QA153" s="207"/>
      <c r="QB153" s="207"/>
      <c r="QC153" s="207"/>
      <c r="QD153" s="207"/>
      <c r="QE153" s="272"/>
      <c r="QF153" s="272"/>
      <c r="QG153" s="205">
        <f t="shared" si="1478"/>
        <v>0</v>
      </c>
      <c r="QH153" s="207"/>
      <c r="QI153" s="207"/>
      <c r="QJ153" s="294"/>
      <c r="QK153" s="207"/>
      <c r="QL153" s="207"/>
      <c r="QM153" s="272"/>
      <c r="QN153" s="272"/>
      <c r="QO153" s="205">
        <f t="shared" si="1479"/>
        <v>0</v>
      </c>
      <c r="QP153" s="207"/>
      <c r="QQ153" s="207"/>
      <c r="QR153" s="207"/>
      <c r="QS153" s="207"/>
      <c r="QT153" s="207"/>
      <c r="QU153" s="272"/>
      <c r="QV153" s="272"/>
      <c r="QW153" s="205">
        <f t="shared" si="1480"/>
        <v>0</v>
      </c>
      <c r="QX153" s="205">
        <f t="shared" si="1481"/>
        <v>0</v>
      </c>
      <c r="QY153" s="207"/>
      <c r="QZ153" s="207"/>
      <c r="RA153" s="207"/>
      <c r="RB153" s="207"/>
      <c r="RC153" s="207"/>
      <c r="RD153" s="272"/>
      <c r="RE153" s="272"/>
      <c r="RF153" s="205">
        <f t="shared" si="1482"/>
        <v>0</v>
      </c>
      <c r="RG153" s="207"/>
      <c r="RH153" s="207"/>
      <c r="RI153" s="207"/>
      <c r="RJ153" s="207"/>
      <c r="RK153" s="207"/>
      <c r="RL153" s="272"/>
      <c r="RM153" s="272"/>
      <c r="RN153" s="205">
        <f t="shared" si="1483"/>
        <v>0</v>
      </c>
      <c r="RO153" s="272"/>
      <c r="RP153" s="272"/>
      <c r="RQ153" s="272"/>
      <c r="RR153" s="272"/>
      <c r="RS153" s="272"/>
      <c r="RT153" s="272"/>
      <c r="RU153" s="272"/>
      <c r="RV153" s="205">
        <f t="shared" si="1484"/>
        <v>0</v>
      </c>
      <c r="RW153" s="207"/>
      <c r="RX153" s="207"/>
      <c r="RY153" s="207"/>
      <c r="RZ153" s="207"/>
      <c r="SA153" s="272"/>
      <c r="SB153" s="272"/>
      <c r="SC153" s="272"/>
      <c r="SD153" s="205">
        <f t="shared" si="1485"/>
        <v>0</v>
      </c>
      <c r="SE153" s="205">
        <f t="shared" si="1486"/>
        <v>0</v>
      </c>
      <c r="SF153" s="207"/>
      <c r="SG153" s="207"/>
      <c r="SH153" s="207"/>
      <c r="SI153" s="207"/>
      <c r="SJ153" s="207"/>
      <c r="SK153" s="272"/>
      <c r="SL153" s="272"/>
      <c r="SM153" s="205">
        <f t="shared" si="1487"/>
        <v>0</v>
      </c>
      <c r="SN153" s="207"/>
      <c r="SO153" s="207"/>
      <c r="SP153" s="207"/>
      <c r="SQ153" s="207"/>
      <c r="SR153" s="207"/>
      <c r="SS153" s="272"/>
      <c r="ST153" s="272"/>
      <c r="SU153" s="205">
        <f t="shared" si="1488"/>
        <v>0</v>
      </c>
      <c r="SV153" s="207"/>
      <c r="SW153" s="207"/>
      <c r="SX153" s="207"/>
      <c r="SY153" s="207"/>
      <c r="SZ153" s="207"/>
      <c r="TA153" s="272"/>
      <c r="TB153" s="272"/>
      <c r="TC153" s="205">
        <f t="shared" si="1489"/>
        <v>0</v>
      </c>
      <c r="TD153" s="207"/>
      <c r="TE153" s="207"/>
      <c r="TF153" s="207"/>
      <c r="TG153" s="207"/>
      <c r="TH153" s="207"/>
      <c r="TI153" s="272"/>
      <c r="TJ153" s="272"/>
      <c r="TK153" s="205">
        <f t="shared" si="1490"/>
        <v>0</v>
      </c>
      <c r="TL153" s="207"/>
      <c r="TM153" s="207"/>
      <c r="TN153" s="207"/>
      <c r="TO153" s="207"/>
      <c r="TP153" s="272"/>
      <c r="TQ153" s="272"/>
      <c r="TR153" s="272"/>
      <c r="TS153" s="205">
        <f t="shared" si="1491"/>
        <v>0</v>
      </c>
      <c r="TT153" s="205">
        <f t="shared" si="1492"/>
        <v>0</v>
      </c>
      <c r="TU153" s="272"/>
      <c r="TV153" s="207"/>
      <c r="TW153" s="207"/>
      <c r="TX153" s="207"/>
      <c r="TY153" s="207"/>
      <c r="TZ153" s="272"/>
      <c r="UA153" s="272"/>
      <c r="UB153" s="205">
        <f t="shared" si="1493"/>
        <v>0</v>
      </c>
      <c r="UC153" s="207"/>
      <c r="UD153" s="207"/>
      <c r="UE153" s="207"/>
      <c r="UF153" s="207"/>
      <c r="UG153" s="207"/>
      <c r="UH153" s="272"/>
      <c r="UI153" s="272"/>
      <c r="UJ153" s="205">
        <f t="shared" si="1494"/>
        <v>0</v>
      </c>
      <c r="UK153" s="207"/>
      <c r="UL153" s="207"/>
      <c r="UM153" s="207"/>
      <c r="UN153" s="207"/>
      <c r="UO153" s="207"/>
      <c r="UP153" s="272"/>
      <c r="UQ153" s="272"/>
      <c r="UR153" s="205">
        <f t="shared" si="1495"/>
        <v>0</v>
      </c>
      <c r="US153" s="207"/>
      <c r="UT153" s="207"/>
      <c r="UU153" s="207"/>
      <c r="UV153" s="207"/>
      <c r="UW153" s="272"/>
      <c r="UX153" s="272"/>
      <c r="UY153" s="272"/>
      <c r="UZ153" s="205">
        <f t="shared" si="1496"/>
        <v>0</v>
      </c>
      <c r="VA153" s="205">
        <f t="shared" si="1497"/>
        <v>0</v>
      </c>
      <c r="VB153" s="207"/>
      <c r="VC153" s="207"/>
      <c r="VD153" s="207"/>
      <c r="VE153" s="207"/>
      <c r="VF153" s="207"/>
      <c r="VG153" s="272"/>
      <c r="VH153" s="272"/>
      <c r="VI153" s="205">
        <f t="shared" si="1498"/>
        <v>0</v>
      </c>
      <c r="VJ153" s="207"/>
      <c r="VK153" s="207"/>
      <c r="VL153" s="207"/>
      <c r="VM153" s="207"/>
      <c r="VN153" s="207"/>
      <c r="VO153" s="272"/>
      <c r="VP153" s="272"/>
      <c r="VQ153" s="205">
        <f t="shared" si="1499"/>
        <v>0</v>
      </c>
      <c r="VR153" s="207"/>
      <c r="VS153" s="207"/>
      <c r="VT153" s="207"/>
      <c r="VU153" s="207"/>
      <c r="VV153" s="207"/>
      <c r="VW153" s="272"/>
      <c r="VX153" s="272"/>
      <c r="VY153" s="205">
        <f t="shared" si="1500"/>
        <v>0</v>
      </c>
      <c r="VZ153" s="207"/>
      <c r="WA153" s="207"/>
      <c r="WB153" s="207"/>
      <c r="WC153" s="207"/>
      <c r="WD153" s="207"/>
      <c r="WE153" s="272"/>
      <c r="WF153" s="272"/>
      <c r="WG153" s="205">
        <f t="shared" si="1501"/>
        <v>0</v>
      </c>
      <c r="WH153" s="205">
        <f t="shared" si="1502"/>
        <v>0</v>
      </c>
      <c r="WI153" s="207"/>
      <c r="WJ153" s="207"/>
      <c r="WK153" s="207"/>
      <c r="WL153" s="207"/>
      <c r="WM153" s="207"/>
      <c r="WN153" s="272"/>
      <c r="WO153" s="272"/>
      <c r="WP153" s="205">
        <f t="shared" si="1503"/>
        <v>0</v>
      </c>
      <c r="WQ153" s="207"/>
      <c r="WR153" s="207"/>
      <c r="WS153" s="207"/>
      <c r="WT153" s="207"/>
      <c r="WU153" s="207"/>
      <c r="WV153" s="272"/>
      <c r="WW153" s="272"/>
      <c r="WX153" s="205">
        <f t="shared" si="1504"/>
        <v>0</v>
      </c>
      <c r="WY153" s="207"/>
      <c r="WZ153" s="207"/>
      <c r="XA153" s="207"/>
      <c r="XB153" s="207"/>
      <c r="XC153" s="272"/>
      <c r="XD153" s="272"/>
      <c r="XE153" s="272"/>
      <c r="XF153" s="205">
        <f t="shared" si="1505"/>
        <v>0</v>
      </c>
      <c r="XG153" s="207"/>
      <c r="XH153" s="207"/>
      <c r="XI153" s="207"/>
      <c r="XJ153" s="207"/>
      <c r="XK153" s="207"/>
      <c r="XL153" s="272"/>
      <c r="XM153" s="272"/>
      <c r="XN153" s="205">
        <f t="shared" si="1506"/>
        <v>0</v>
      </c>
      <c r="XO153" s="207"/>
      <c r="XP153" s="207"/>
      <c r="XQ153" s="207"/>
      <c r="XR153" s="207"/>
      <c r="XS153" s="207"/>
      <c r="XT153" s="272"/>
      <c r="XU153" s="272"/>
      <c r="XV153" s="205">
        <f t="shared" si="1507"/>
        <v>0</v>
      </c>
      <c r="XW153" s="205">
        <f t="shared" si="1508"/>
        <v>0</v>
      </c>
      <c r="XX153" s="207"/>
      <c r="XY153" s="207"/>
      <c r="XZ153" s="207"/>
      <c r="YA153" s="207"/>
      <c r="YB153" s="207"/>
      <c r="YC153" s="272"/>
      <c r="YD153" s="272"/>
      <c r="YE153" s="205">
        <f t="shared" si="1509"/>
        <v>0</v>
      </c>
      <c r="YF153" s="207"/>
      <c r="YG153" s="207"/>
      <c r="YH153" s="207"/>
      <c r="YI153" s="207"/>
      <c r="YJ153" s="207"/>
      <c r="YK153" s="272"/>
      <c r="YL153" s="272"/>
      <c r="YM153" s="205">
        <f t="shared" si="1510"/>
        <v>0</v>
      </c>
      <c r="YN153" s="207"/>
      <c r="YO153" s="207"/>
      <c r="YP153" s="207"/>
      <c r="YQ153" s="207"/>
      <c r="YR153" s="207"/>
      <c r="YS153" s="272"/>
      <c r="YT153" s="272"/>
      <c r="YU153" s="205">
        <f t="shared" si="1511"/>
        <v>0</v>
      </c>
      <c r="YV153" s="207"/>
      <c r="YW153" s="207"/>
      <c r="YX153" s="207"/>
      <c r="YY153" s="207"/>
      <c r="YZ153" s="207"/>
      <c r="ZA153" s="272"/>
      <c r="ZB153" s="272"/>
      <c r="ZC153" s="205">
        <f t="shared" si="1512"/>
        <v>0</v>
      </c>
      <c r="ZD153" s="205">
        <f t="shared" si="1513"/>
        <v>0</v>
      </c>
      <c r="ZE153" s="207"/>
      <c r="ZF153" s="207"/>
      <c r="ZG153" s="207"/>
      <c r="ZH153" s="207"/>
      <c r="ZI153" s="207"/>
      <c r="ZJ153" s="272"/>
      <c r="ZK153" s="272"/>
      <c r="ZL153" s="205">
        <f t="shared" si="1514"/>
        <v>0</v>
      </c>
      <c r="ZM153" s="207"/>
      <c r="ZN153" s="207"/>
      <c r="ZO153" s="207"/>
      <c r="ZP153" s="207"/>
      <c r="ZQ153" s="207"/>
      <c r="ZR153" s="272"/>
      <c r="ZS153" s="272"/>
      <c r="ZT153" s="205">
        <f t="shared" si="1515"/>
        <v>0</v>
      </c>
      <c r="ZU153" s="207"/>
      <c r="ZV153" s="207"/>
      <c r="ZW153" s="207"/>
      <c r="ZX153" s="207"/>
      <c r="ZY153" s="207"/>
      <c r="ZZ153" s="272"/>
      <c r="AAA153" s="272"/>
      <c r="AAB153" s="205">
        <f t="shared" si="1516"/>
        <v>0</v>
      </c>
      <c r="AAC153" s="207"/>
      <c r="AAD153" s="207"/>
      <c r="AAE153" s="207"/>
      <c r="AAF153" s="207"/>
      <c r="AAG153" s="207"/>
      <c r="AAH153" s="272"/>
      <c r="AAI153" s="272"/>
      <c r="AAJ153" s="205">
        <f t="shared" si="1517"/>
        <v>0</v>
      </c>
      <c r="AAK153" s="207"/>
      <c r="AAL153" s="207"/>
      <c r="AAM153" s="207"/>
      <c r="AAN153" s="207"/>
      <c r="AAO153" s="207"/>
      <c r="AAP153" s="272"/>
      <c r="AAQ153" s="272"/>
      <c r="AAR153" s="205">
        <f t="shared" si="1518"/>
        <v>0</v>
      </c>
      <c r="AAS153" s="205">
        <f t="shared" si="1519"/>
        <v>0</v>
      </c>
    </row>
    <row r="154" spans="1:721" s="127" customFormat="1" ht="69.95" customHeight="1">
      <c r="A154" s="128"/>
      <c r="B154" s="136">
        <v>5714600132</v>
      </c>
      <c r="C154" s="334"/>
      <c r="D154" s="173" t="s">
        <v>459</v>
      </c>
      <c r="E154" s="130" t="s">
        <v>4</v>
      </c>
      <c r="F154" s="120"/>
      <c r="G154" s="120"/>
      <c r="H154" s="120"/>
      <c r="I154" s="120"/>
      <c r="J154" s="120"/>
      <c r="K154" s="209"/>
      <c r="L154" s="205"/>
      <c r="M154" s="205">
        <f t="shared" si="1520"/>
        <v>0</v>
      </c>
      <c r="N154" s="120"/>
      <c r="O154" s="120"/>
      <c r="P154" s="120"/>
      <c r="Q154" s="120"/>
      <c r="R154" s="120"/>
      <c r="S154" s="209"/>
      <c r="T154" s="205"/>
      <c r="U154" s="205">
        <f t="shared" si="1521"/>
        <v>0</v>
      </c>
      <c r="V154" s="120"/>
      <c r="W154" s="123">
        <v>900</v>
      </c>
      <c r="X154" s="120"/>
      <c r="Y154" s="120"/>
      <c r="Z154" s="120"/>
      <c r="AA154" s="209"/>
      <c r="AB154" s="205"/>
      <c r="AC154" s="205">
        <f t="shared" si="1522"/>
        <v>900</v>
      </c>
      <c r="AD154" s="205"/>
      <c r="AE154" s="205"/>
      <c r="AF154" s="205"/>
      <c r="AG154" s="205"/>
      <c r="AH154" s="205"/>
      <c r="AI154" s="209"/>
      <c r="AJ154" s="205"/>
      <c r="AK154" s="205">
        <f t="shared" si="1523"/>
        <v>0</v>
      </c>
      <c r="AL154" s="205" t="e">
        <f>SUM(#REF!,M154,U154,AC154,AD154:AH154)</f>
        <v>#REF!</v>
      </c>
      <c r="AM154" s="120"/>
      <c r="AN154" s="195">
        <v>4200</v>
      </c>
      <c r="AO154" s="120"/>
      <c r="AP154" s="120"/>
      <c r="AQ154" s="120"/>
      <c r="AR154" s="209"/>
      <c r="AS154" s="205"/>
      <c r="AT154" s="205">
        <f t="shared" si="1524"/>
        <v>4200</v>
      </c>
      <c r="AU154" s="120"/>
      <c r="AV154" s="120"/>
      <c r="AW154" s="120"/>
      <c r="AX154" s="120"/>
      <c r="AY154" s="120"/>
      <c r="AZ154" s="209"/>
      <c r="BA154" s="205"/>
      <c r="BB154" s="205">
        <f t="shared" si="1525"/>
        <v>0</v>
      </c>
      <c r="BC154" s="120"/>
      <c r="BD154" s="217">
        <v>4200</v>
      </c>
      <c r="BE154" s="120"/>
      <c r="BF154" s="120"/>
      <c r="BG154" s="120"/>
      <c r="BH154" s="209"/>
      <c r="BI154" s="205"/>
      <c r="BJ154" s="205">
        <f t="shared" si="1526"/>
        <v>4200</v>
      </c>
      <c r="BK154" s="250">
        <v>4200</v>
      </c>
      <c r="BL154" s="120"/>
      <c r="BM154" s="120"/>
      <c r="BN154" s="120"/>
      <c r="BO154" s="205"/>
      <c r="BP154" s="209"/>
      <c r="BQ154" s="205"/>
      <c r="BR154" s="205">
        <f t="shared" si="1527"/>
        <v>4200</v>
      </c>
      <c r="BS154" s="205">
        <f t="shared" si="1427"/>
        <v>12600</v>
      </c>
      <c r="BT154" s="250">
        <v>800</v>
      </c>
      <c r="BU154" s="120"/>
      <c r="BV154" s="120"/>
      <c r="BW154" s="120"/>
      <c r="BX154" s="120"/>
      <c r="BY154" s="209"/>
      <c r="BZ154" s="205"/>
      <c r="CA154" s="205">
        <f t="shared" si="1528"/>
        <v>800</v>
      </c>
      <c r="CB154" s="120"/>
      <c r="CC154" s="120"/>
      <c r="CD154" s="120"/>
      <c r="CE154" s="120"/>
      <c r="CF154" s="120"/>
      <c r="CG154" s="209"/>
      <c r="CH154" s="205"/>
      <c r="CI154" s="205">
        <f t="shared" si="1529"/>
        <v>0</v>
      </c>
      <c r="CJ154" s="120"/>
      <c r="CK154" s="120"/>
      <c r="CL154" s="120"/>
      <c r="CM154" s="120"/>
      <c r="CN154" s="120"/>
      <c r="CO154" s="209"/>
      <c r="CP154" s="205"/>
      <c r="CQ154" s="205">
        <f t="shared" si="1530"/>
        <v>0</v>
      </c>
      <c r="CR154" s="120"/>
      <c r="CS154" s="120"/>
      <c r="CT154" s="120"/>
      <c r="CU154" s="120"/>
      <c r="CV154" s="120"/>
      <c r="CW154" s="209"/>
      <c r="CX154" s="205"/>
      <c r="CY154" s="205">
        <f t="shared" si="1531"/>
        <v>0</v>
      </c>
      <c r="CZ154" s="120"/>
      <c r="DA154" s="120"/>
      <c r="DB154" s="120"/>
      <c r="DC154" s="205"/>
      <c r="DD154" s="205"/>
      <c r="DE154" s="209"/>
      <c r="DF154" s="205"/>
      <c r="DG154" s="205">
        <f t="shared" si="1532"/>
        <v>0</v>
      </c>
      <c r="DH154" s="205">
        <f t="shared" si="1428"/>
        <v>800</v>
      </c>
      <c r="DI154" s="120"/>
      <c r="DJ154" s="120"/>
      <c r="DK154" s="120"/>
      <c r="DL154" s="120"/>
      <c r="DM154" s="120"/>
      <c r="DN154" s="209"/>
      <c r="DO154" s="205"/>
      <c r="DP154" s="205">
        <f t="shared" si="1432"/>
        <v>0</v>
      </c>
      <c r="DQ154" s="120"/>
      <c r="DR154" s="120"/>
      <c r="DS154" s="120"/>
      <c r="DT154" s="120"/>
      <c r="DU154" s="120"/>
      <c r="DV154" s="209"/>
      <c r="DW154" s="205"/>
      <c r="DX154" s="205">
        <f t="shared" si="1433"/>
        <v>0</v>
      </c>
      <c r="DY154" s="250">
        <v>500</v>
      </c>
      <c r="DZ154" s="120"/>
      <c r="EA154" s="120"/>
      <c r="EB154" s="120"/>
      <c r="EC154" s="120"/>
      <c r="ED154" s="209"/>
      <c r="EE154" s="205"/>
      <c r="EF154" s="205">
        <f t="shared" si="1434"/>
        <v>500</v>
      </c>
      <c r="EG154" s="120"/>
      <c r="EH154" s="120"/>
      <c r="EI154" s="120"/>
      <c r="EJ154" s="205"/>
      <c r="EK154" s="205"/>
      <c r="EL154" s="209"/>
      <c r="EM154" s="205"/>
      <c r="EN154" s="205">
        <f t="shared" si="1435"/>
        <v>0</v>
      </c>
      <c r="EO154" s="205">
        <f t="shared" si="1429"/>
        <v>500</v>
      </c>
      <c r="EP154" s="120"/>
      <c r="EQ154" s="120"/>
      <c r="ER154" s="120"/>
      <c r="ES154" s="120"/>
      <c r="ET154" s="120"/>
      <c r="EU154" s="209"/>
      <c r="EV154" s="205"/>
      <c r="EW154" s="205">
        <f t="shared" si="1436"/>
        <v>0</v>
      </c>
      <c r="EX154" s="120"/>
      <c r="EY154" s="120"/>
      <c r="EZ154" s="120"/>
      <c r="FA154" s="120"/>
      <c r="FB154" s="120"/>
      <c r="FC154" s="209"/>
      <c r="FD154" s="205"/>
      <c r="FE154" s="205">
        <f t="shared" si="1437"/>
        <v>0</v>
      </c>
      <c r="FF154" s="120"/>
      <c r="FG154" s="120"/>
      <c r="FH154" s="123">
        <v>1000</v>
      </c>
      <c r="FI154" s="120"/>
      <c r="FJ154" s="120"/>
      <c r="FK154" s="209"/>
      <c r="FL154" s="205"/>
      <c r="FM154" s="205">
        <f t="shared" si="1438"/>
        <v>1000</v>
      </c>
      <c r="FN154" s="124">
        <v>3000</v>
      </c>
      <c r="FO154" s="120"/>
      <c r="FP154" s="120"/>
      <c r="FQ154" s="120"/>
      <c r="FR154" s="205"/>
      <c r="FS154" s="209"/>
      <c r="FT154" s="205"/>
      <c r="FU154" s="205">
        <f t="shared" si="1439"/>
        <v>3000</v>
      </c>
      <c r="FV154" s="205">
        <f t="shared" si="1430"/>
        <v>4000</v>
      </c>
      <c r="FW154" s="201">
        <v>3400</v>
      </c>
      <c r="FX154" s="120"/>
      <c r="FY154" s="120"/>
      <c r="FZ154" s="120"/>
      <c r="GA154" s="120"/>
      <c r="GB154" s="209"/>
      <c r="GC154" s="205"/>
      <c r="GD154" s="205">
        <f t="shared" si="1440"/>
        <v>3400</v>
      </c>
      <c r="GE154" s="120"/>
      <c r="GF154" s="120"/>
      <c r="GG154" s="120"/>
      <c r="GH154" s="120"/>
      <c r="GI154" s="120"/>
      <c r="GJ154" s="209"/>
      <c r="GK154" s="205"/>
      <c r="GL154" s="205">
        <f t="shared" si="1441"/>
        <v>0</v>
      </c>
      <c r="GM154" s="120"/>
      <c r="GN154" s="120"/>
      <c r="GO154" s="120"/>
      <c r="GP154" s="120"/>
      <c r="GQ154" s="120"/>
      <c r="GR154" s="209"/>
      <c r="GS154" s="205"/>
      <c r="GT154" s="205">
        <f t="shared" si="1442"/>
        <v>0</v>
      </c>
      <c r="GU154" s="120"/>
      <c r="GV154" s="120"/>
      <c r="GW154" s="120"/>
      <c r="GX154" s="120"/>
      <c r="GY154" s="120"/>
      <c r="GZ154" s="209"/>
      <c r="HA154" s="205"/>
      <c r="HB154" s="205">
        <f t="shared" si="1443"/>
        <v>0</v>
      </c>
      <c r="HC154" s="120"/>
      <c r="HD154" s="120"/>
      <c r="HE154" s="120"/>
      <c r="HF154" s="120"/>
      <c r="HG154" s="120"/>
      <c r="HH154" s="209"/>
      <c r="HI154" s="205"/>
      <c r="HJ154" s="205">
        <f t="shared" si="1444"/>
        <v>0</v>
      </c>
      <c r="HK154" s="205">
        <f t="shared" si="1431"/>
        <v>3400</v>
      </c>
      <c r="HL154" s="124"/>
      <c r="HM154" s="120"/>
      <c r="HN154" s="120"/>
      <c r="HO154" s="120"/>
      <c r="HP154" s="120"/>
      <c r="HQ154" s="205"/>
      <c r="HR154" s="205"/>
      <c r="HS154" s="205">
        <f t="shared" si="1445"/>
        <v>0</v>
      </c>
      <c r="HT154" s="120"/>
      <c r="HU154" s="120"/>
      <c r="HV154" s="120"/>
      <c r="HW154" s="120"/>
      <c r="HX154" s="120"/>
      <c r="HY154" s="205"/>
      <c r="HZ154" s="205"/>
      <c r="IA154" s="205">
        <f t="shared" si="1446"/>
        <v>0</v>
      </c>
      <c r="IB154" s="120"/>
      <c r="IC154" s="120"/>
      <c r="ID154" s="120"/>
      <c r="IE154" s="120"/>
      <c r="IF154" s="120"/>
      <c r="IG154" s="205"/>
      <c r="IH154" s="205"/>
      <c r="II154" s="205">
        <f t="shared" si="1447"/>
        <v>0</v>
      </c>
      <c r="IJ154" s="217">
        <v>4000</v>
      </c>
      <c r="IK154" s="120"/>
      <c r="IL154" s="120"/>
      <c r="IM154" s="120"/>
      <c r="IN154" s="120"/>
      <c r="IO154" s="205"/>
      <c r="IP154" s="205"/>
      <c r="IQ154" s="205">
        <f t="shared" si="1448"/>
        <v>4000</v>
      </c>
      <c r="IR154" s="205">
        <f t="shared" si="1449"/>
        <v>4000</v>
      </c>
      <c r="IS154" s="217">
        <v>4000</v>
      </c>
      <c r="IT154" s="120"/>
      <c r="IU154" s="120"/>
      <c r="IV154" s="120"/>
      <c r="IW154" s="120"/>
      <c r="IX154" s="205"/>
      <c r="IY154" s="205"/>
      <c r="IZ154" s="205">
        <f t="shared" si="1450"/>
        <v>4000</v>
      </c>
      <c r="JA154" s="123">
        <v>2400</v>
      </c>
      <c r="JB154" s="120"/>
      <c r="JC154" s="120"/>
      <c r="JD154" s="120"/>
      <c r="JE154" s="120"/>
      <c r="JF154" s="205"/>
      <c r="JG154" s="205"/>
      <c r="JH154" s="205">
        <f t="shared" si="1451"/>
        <v>2400</v>
      </c>
      <c r="JI154" s="120"/>
      <c r="JJ154" s="120"/>
      <c r="JK154" s="120"/>
      <c r="JL154" s="120"/>
      <c r="JM154" s="120"/>
      <c r="JN154" s="205"/>
      <c r="JO154" s="205"/>
      <c r="JP154" s="205">
        <f t="shared" si="1452"/>
        <v>0</v>
      </c>
      <c r="JQ154" s="120"/>
      <c r="JR154" s="120"/>
      <c r="JS154" s="120"/>
      <c r="JT154" s="120"/>
      <c r="JU154" s="120"/>
      <c r="JV154" s="205"/>
      <c r="JW154" s="205"/>
      <c r="JX154" s="205">
        <f t="shared" si="1453"/>
        <v>0</v>
      </c>
      <c r="JY154" s="205">
        <f t="shared" si="1454"/>
        <v>6400</v>
      </c>
      <c r="JZ154" s="120"/>
      <c r="KA154" s="120"/>
      <c r="KB154" s="120"/>
      <c r="KC154" s="120"/>
      <c r="KD154" s="120"/>
      <c r="KE154" s="205"/>
      <c r="KF154" s="205"/>
      <c r="KG154" s="205">
        <f t="shared" si="1455"/>
        <v>0</v>
      </c>
      <c r="KH154" s="120"/>
      <c r="KI154" s="120"/>
      <c r="KJ154" s="120"/>
      <c r="KK154" s="120"/>
      <c r="KL154" s="120"/>
      <c r="KM154" s="205"/>
      <c r="KN154" s="205"/>
      <c r="KO154" s="205">
        <f t="shared" si="1456"/>
        <v>0</v>
      </c>
      <c r="KP154" s="120"/>
      <c r="KQ154" s="120"/>
      <c r="KR154" s="120"/>
      <c r="KS154" s="120"/>
      <c r="KT154" s="120"/>
      <c r="KU154" s="205"/>
      <c r="KV154" s="205"/>
      <c r="KW154" s="205">
        <f t="shared" si="1457"/>
        <v>0</v>
      </c>
      <c r="KX154" s="120"/>
      <c r="KY154" s="120"/>
      <c r="KZ154" s="120"/>
      <c r="LA154" s="120"/>
      <c r="LB154" s="120"/>
      <c r="LC154" s="205"/>
      <c r="LD154" s="205"/>
      <c r="LE154" s="205">
        <f t="shared" si="1458"/>
        <v>0</v>
      </c>
      <c r="LF154" s="205"/>
      <c r="LG154" s="120"/>
      <c r="LH154" s="120"/>
      <c r="LI154" s="120"/>
      <c r="LJ154" s="120"/>
      <c r="LK154" s="205"/>
      <c r="LL154" s="205"/>
      <c r="LM154" s="205">
        <f t="shared" si="1459"/>
        <v>0</v>
      </c>
      <c r="LN154" s="205">
        <f t="shared" si="1460"/>
        <v>0</v>
      </c>
      <c r="LO154" s="205"/>
      <c r="LP154" s="120"/>
      <c r="LQ154" s="120"/>
      <c r="LR154" s="120"/>
      <c r="LS154" s="205"/>
      <c r="LT154" s="205"/>
      <c r="LU154" s="205"/>
      <c r="LV154" s="205">
        <f t="shared" si="1461"/>
        <v>0</v>
      </c>
      <c r="LW154" s="120"/>
      <c r="LX154" s="120"/>
      <c r="LY154" s="120"/>
      <c r="LZ154" s="120"/>
      <c r="MA154" s="120"/>
      <c r="MB154" s="205"/>
      <c r="MC154" s="205"/>
      <c r="MD154" s="205">
        <f t="shared" si="1462"/>
        <v>0</v>
      </c>
      <c r="ME154" s="120"/>
      <c r="MF154" s="120"/>
      <c r="MG154" s="120"/>
      <c r="MH154" s="120"/>
      <c r="MI154" s="205"/>
      <c r="MJ154" s="205"/>
      <c r="MK154" s="205"/>
      <c r="ML154" s="205">
        <f t="shared" si="1463"/>
        <v>0</v>
      </c>
      <c r="MM154" s="120"/>
      <c r="MN154" s="120"/>
      <c r="MO154" s="120"/>
      <c r="MP154" s="120"/>
      <c r="MQ154" s="120"/>
      <c r="MR154" s="205"/>
      <c r="MS154" s="205"/>
      <c r="MT154" s="205">
        <f t="shared" si="1464"/>
        <v>0</v>
      </c>
      <c r="MU154" s="205">
        <f t="shared" si="1465"/>
        <v>0</v>
      </c>
      <c r="MV154" s="120"/>
      <c r="MW154" s="120"/>
      <c r="MX154" s="120"/>
      <c r="MY154" s="120"/>
      <c r="MZ154" s="120"/>
      <c r="NA154" s="205"/>
      <c r="NB154" s="205"/>
      <c r="NC154" s="205">
        <f t="shared" si="1466"/>
        <v>0</v>
      </c>
      <c r="ND154" s="120"/>
      <c r="NE154" s="120"/>
      <c r="NF154" s="120"/>
      <c r="NG154" s="120"/>
      <c r="NH154" s="120"/>
      <c r="NI154" s="205"/>
      <c r="NJ154" s="205"/>
      <c r="NK154" s="205">
        <f t="shared" si="1467"/>
        <v>0</v>
      </c>
      <c r="NL154" s="120"/>
      <c r="NM154" s="120"/>
      <c r="NN154" s="120"/>
      <c r="NO154" s="120"/>
      <c r="NP154" s="120"/>
      <c r="NQ154" s="205"/>
      <c r="NR154" s="205"/>
      <c r="NS154" s="205">
        <f t="shared" si="1468"/>
        <v>0</v>
      </c>
      <c r="NT154" s="120"/>
      <c r="NU154" s="120"/>
      <c r="NV154" s="120"/>
      <c r="NW154" s="120"/>
      <c r="NX154" s="120"/>
      <c r="NY154" s="205"/>
      <c r="NZ154" s="205"/>
      <c r="OA154" s="205">
        <f t="shared" si="1469"/>
        <v>0</v>
      </c>
      <c r="OB154" s="205">
        <f t="shared" si="1470"/>
        <v>0</v>
      </c>
      <c r="OC154" s="120"/>
      <c r="OD154" s="120"/>
      <c r="OE154" s="120"/>
      <c r="OF154" s="120"/>
      <c r="OG154" s="120"/>
      <c r="OH154" s="205"/>
      <c r="OI154" s="205"/>
      <c r="OJ154" s="205">
        <f t="shared" si="1471"/>
        <v>0</v>
      </c>
      <c r="OK154" s="120"/>
      <c r="OL154" s="120"/>
      <c r="OM154" s="120"/>
      <c r="ON154" s="120"/>
      <c r="OO154" s="120"/>
      <c r="OP154" s="205"/>
      <c r="OQ154" s="205"/>
      <c r="OR154" s="205">
        <f t="shared" si="1472"/>
        <v>0</v>
      </c>
      <c r="OS154" s="120"/>
      <c r="OT154" s="120"/>
      <c r="OU154" s="120"/>
      <c r="OV154" s="120"/>
      <c r="OW154" s="120"/>
      <c r="OX154" s="205"/>
      <c r="OY154" s="205"/>
      <c r="OZ154" s="205">
        <f t="shared" si="1473"/>
        <v>0</v>
      </c>
      <c r="PA154" s="120"/>
      <c r="PB154" s="120"/>
      <c r="PC154" s="120"/>
      <c r="PD154" s="205"/>
      <c r="PE154" s="217"/>
      <c r="PF154" s="205"/>
      <c r="PG154" s="205"/>
      <c r="PH154" s="205">
        <f t="shared" si="1474"/>
        <v>0</v>
      </c>
      <c r="PI154" s="120"/>
      <c r="PJ154" s="120"/>
      <c r="PK154" s="120"/>
      <c r="PL154" s="205"/>
      <c r="PM154" s="217"/>
      <c r="PN154" s="205"/>
      <c r="PO154" s="205"/>
      <c r="PP154" s="205">
        <f t="shared" si="1475"/>
        <v>0</v>
      </c>
      <c r="PQ154" s="205">
        <f t="shared" si="1476"/>
        <v>0</v>
      </c>
      <c r="PR154" s="207"/>
      <c r="PS154" s="207"/>
      <c r="PT154" s="207"/>
      <c r="PU154" s="207"/>
      <c r="PV154" s="207"/>
      <c r="PW154" s="272"/>
      <c r="PX154" s="272"/>
      <c r="PY154" s="205">
        <f t="shared" si="1477"/>
        <v>0</v>
      </c>
      <c r="PZ154" s="207"/>
      <c r="QA154" s="207"/>
      <c r="QB154" s="207"/>
      <c r="QC154" s="207"/>
      <c r="QD154" s="207"/>
      <c r="QE154" s="272"/>
      <c r="QF154" s="272"/>
      <c r="QG154" s="205">
        <f t="shared" si="1478"/>
        <v>0</v>
      </c>
      <c r="QH154" s="207"/>
      <c r="QI154" s="207"/>
      <c r="QJ154" s="294"/>
      <c r="QK154" s="207"/>
      <c r="QL154" s="207"/>
      <c r="QM154" s="272"/>
      <c r="QN154" s="272"/>
      <c r="QO154" s="205">
        <f t="shared" si="1479"/>
        <v>0</v>
      </c>
      <c r="QP154" s="207"/>
      <c r="QQ154" s="207"/>
      <c r="QR154" s="207"/>
      <c r="QS154" s="207"/>
      <c r="QT154" s="207"/>
      <c r="QU154" s="272"/>
      <c r="QV154" s="272"/>
      <c r="QW154" s="205">
        <f t="shared" si="1480"/>
        <v>0</v>
      </c>
      <c r="QX154" s="205">
        <f t="shared" si="1481"/>
        <v>0</v>
      </c>
      <c r="QY154" s="207"/>
      <c r="QZ154" s="207"/>
      <c r="RA154" s="207"/>
      <c r="RB154" s="207"/>
      <c r="RC154" s="207"/>
      <c r="RD154" s="272"/>
      <c r="RE154" s="272"/>
      <c r="RF154" s="205">
        <f t="shared" si="1482"/>
        <v>0</v>
      </c>
      <c r="RG154" s="207"/>
      <c r="RH154" s="207"/>
      <c r="RI154" s="207"/>
      <c r="RJ154" s="207"/>
      <c r="RK154" s="207"/>
      <c r="RL154" s="272"/>
      <c r="RM154" s="272"/>
      <c r="RN154" s="205">
        <f t="shared" si="1483"/>
        <v>0</v>
      </c>
      <c r="RO154" s="272"/>
      <c r="RP154" s="272"/>
      <c r="RQ154" s="272"/>
      <c r="RR154" s="272"/>
      <c r="RS154" s="272"/>
      <c r="RT154" s="272"/>
      <c r="RU154" s="272"/>
      <c r="RV154" s="205">
        <f t="shared" si="1484"/>
        <v>0</v>
      </c>
      <c r="RW154" s="207"/>
      <c r="RX154" s="207"/>
      <c r="RY154" s="207"/>
      <c r="RZ154" s="207"/>
      <c r="SA154" s="272"/>
      <c r="SB154" s="272"/>
      <c r="SC154" s="272"/>
      <c r="SD154" s="205">
        <f t="shared" si="1485"/>
        <v>0</v>
      </c>
      <c r="SE154" s="205">
        <f t="shared" si="1486"/>
        <v>0</v>
      </c>
      <c r="SF154" s="207"/>
      <c r="SG154" s="207"/>
      <c r="SH154" s="207"/>
      <c r="SI154" s="207"/>
      <c r="SJ154" s="207"/>
      <c r="SK154" s="272"/>
      <c r="SL154" s="272"/>
      <c r="SM154" s="205">
        <f t="shared" si="1487"/>
        <v>0</v>
      </c>
      <c r="SN154" s="207"/>
      <c r="SO154" s="207"/>
      <c r="SP154" s="207"/>
      <c r="SQ154" s="207"/>
      <c r="SR154" s="207"/>
      <c r="SS154" s="272"/>
      <c r="ST154" s="272"/>
      <c r="SU154" s="205">
        <f t="shared" si="1488"/>
        <v>0</v>
      </c>
      <c r="SV154" s="207"/>
      <c r="SW154" s="207"/>
      <c r="SX154" s="207"/>
      <c r="SY154" s="207"/>
      <c r="SZ154" s="207"/>
      <c r="TA154" s="272"/>
      <c r="TB154" s="272"/>
      <c r="TC154" s="205">
        <f t="shared" si="1489"/>
        <v>0</v>
      </c>
      <c r="TD154" s="207"/>
      <c r="TE154" s="207"/>
      <c r="TF154" s="207"/>
      <c r="TG154" s="207"/>
      <c r="TH154" s="207"/>
      <c r="TI154" s="272"/>
      <c r="TJ154" s="272"/>
      <c r="TK154" s="205">
        <f t="shared" si="1490"/>
        <v>0</v>
      </c>
      <c r="TL154" s="207"/>
      <c r="TM154" s="207"/>
      <c r="TN154" s="207"/>
      <c r="TO154" s="207"/>
      <c r="TP154" s="272"/>
      <c r="TQ154" s="272"/>
      <c r="TR154" s="272"/>
      <c r="TS154" s="205">
        <f t="shared" si="1491"/>
        <v>0</v>
      </c>
      <c r="TT154" s="205">
        <f t="shared" si="1492"/>
        <v>0</v>
      </c>
      <c r="TU154" s="272"/>
      <c r="TV154" s="207"/>
      <c r="TW154" s="207"/>
      <c r="TX154" s="207"/>
      <c r="TY154" s="207"/>
      <c r="TZ154" s="272"/>
      <c r="UA154" s="272"/>
      <c r="UB154" s="205">
        <f t="shared" si="1493"/>
        <v>0</v>
      </c>
      <c r="UC154" s="207"/>
      <c r="UD154" s="207"/>
      <c r="UE154" s="207"/>
      <c r="UF154" s="207"/>
      <c r="UG154" s="207"/>
      <c r="UH154" s="272"/>
      <c r="UI154" s="272"/>
      <c r="UJ154" s="205">
        <f t="shared" si="1494"/>
        <v>0</v>
      </c>
      <c r="UK154" s="207"/>
      <c r="UL154" s="207"/>
      <c r="UM154" s="207"/>
      <c r="UN154" s="207"/>
      <c r="UO154" s="207"/>
      <c r="UP154" s="272"/>
      <c r="UQ154" s="272"/>
      <c r="UR154" s="205">
        <f t="shared" si="1495"/>
        <v>0</v>
      </c>
      <c r="US154" s="207"/>
      <c r="UT154" s="207"/>
      <c r="UU154" s="207"/>
      <c r="UV154" s="207"/>
      <c r="UW154" s="272"/>
      <c r="UX154" s="272"/>
      <c r="UY154" s="272"/>
      <c r="UZ154" s="205">
        <f t="shared" si="1496"/>
        <v>0</v>
      </c>
      <c r="VA154" s="205">
        <f t="shared" si="1497"/>
        <v>0</v>
      </c>
      <c r="VB154" s="207"/>
      <c r="VC154" s="207"/>
      <c r="VD154" s="207"/>
      <c r="VE154" s="207"/>
      <c r="VF154" s="207"/>
      <c r="VG154" s="272"/>
      <c r="VH154" s="272"/>
      <c r="VI154" s="205">
        <f t="shared" si="1498"/>
        <v>0</v>
      </c>
      <c r="VJ154" s="207"/>
      <c r="VK154" s="207"/>
      <c r="VL154" s="207"/>
      <c r="VM154" s="207"/>
      <c r="VN154" s="207"/>
      <c r="VO154" s="272"/>
      <c r="VP154" s="272"/>
      <c r="VQ154" s="205">
        <f t="shared" si="1499"/>
        <v>0</v>
      </c>
      <c r="VR154" s="207"/>
      <c r="VS154" s="207"/>
      <c r="VT154" s="207"/>
      <c r="VU154" s="207"/>
      <c r="VV154" s="207"/>
      <c r="VW154" s="272"/>
      <c r="VX154" s="272"/>
      <c r="VY154" s="205">
        <f t="shared" si="1500"/>
        <v>0</v>
      </c>
      <c r="VZ154" s="207"/>
      <c r="WA154" s="207"/>
      <c r="WB154" s="207"/>
      <c r="WC154" s="207"/>
      <c r="WD154" s="207"/>
      <c r="WE154" s="272"/>
      <c r="WF154" s="272"/>
      <c r="WG154" s="205">
        <f t="shared" si="1501"/>
        <v>0</v>
      </c>
      <c r="WH154" s="205">
        <f t="shared" si="1502"/>
        <v>0</v>
      </c>
      <c r="WI154" s="207"/>
      <c r="WJ154" s="207"/>
      <c r="WK154" s="207"/>
      <c r="WL154" s="207"/>
      <c r="WM154" s="207"/>
      <c r="WN154" s="272"/>
      <c r="WO154" s="272"/>
      <c r="WP154" s="205">
        <f t="shared" si="1503"/>
        <v>0</v>
      </c>
      <c r="WQ154" s="207"/>
      <c r="WR154" s="207"/>
      <c r="WS154" s="207"/>
      <c r="WT154" s="207"/>
      <c r="WU154" s="207"/>
      <c r="WV154" s="272"/>
      <c r="WW154" s="272"/>
      <c r="WX154" s="205">
        <f t="shared" si="1504"/>
        <v>0</v>
      </c>
      <c r="WY154" s="207"/>
      <c r="WZ154" s="207"/>
      <c r="XA154" s="207"/>
      <c r="XB154" s="207"/>
      <c r="XC154" s="272"/>
      <c r="XD154" s="272"/>
      <c r="XE154" s="272"/>
      <c r="XF154" s="205">
        <f t="shared" si="1505"/>
        <v>0</v>
      </c>
      <c r="XG154" s="207"/>
      <c r="XH154" s="207"/>
      <c r="XI154" s="207"/>
      <c r="XJ154" s="207"/>
      <c r="XK154" s="207"/>
      <c r="XL154" s="272"/>
      <c r="XM154" s="272"/>
      <c r="XN154" s="205">
        <f t="shared" si="1506"/>
        <v>0</v>
      </c>
      <c r="XO154" s="207"/>
      <c r="XP154" s="207"/>
      <c r="XQ154" s="207"/>
      <c r="XR154" s="207"/>
      <c r="XS154" s="207"/>
      <c r="XT154" s="272"/>
      <c r="XU154" s="272"/>
      <c r="XV154" s="205">
        <f t="shared" si="1507"/>
        <v>0</v>
      </c>
      <c r="XW154" s="205">
        <f t="shared" si="1508"/>
        <v>0</v>
      </c>
      <c r="XX154" s="207"/>
      <c r="XY154" s="207"/>
      <c r="XZ154" s="207"/>
      <c r="YA154" s="207"/>
      <c r="YB154" s="207"/>
      <c r="YC154" s="272"/>
      <c r="YD154" s="272"/>
      <c r="YE154" s="205">
        <f t="shared" si="1509"/>
        <v>0</v>
      </c>
      <c r="YF154" s="207"/>
      <c r="YG154" s="207"/>
      <c r="YH154" s="207"/>
      <c r="YI154" s="207"/>
      <c r="YJ154" s="207"/>
      <c r="YK154" s="272"/>
      <c r="YL154" s="272"/>
      <c r="YM154" s="205">
        <f t="shared" si="1510"/>
        <v>0</v>
      </c>
      <c r="YN154" s="207"/>
      <c r="YO154" s="207"/>
      <c r="YP154" s="207"/>
      <c r="YQ154" s="207"/>
      <c r="YR154" s="207"/>
      <c r="YS154" s="272"/>
      <c r="YT154" s="272"/>
      <c r="YU154" s="205">
        <f t="shared" si="1511"/>
        <v>0</v>
      </c>
      <c r="YV154" s="207"/>
      <c r="YW154" s="207"/>
      <c r="YX154" s="207"/>
      <c r="YY154" s="207"/>
      <c r="YZ154" s="207"/>
      <c r="ZA154" s="272"/>
      <c r="ZB154" s="272"/>
      <c r="ZC154" s="205">
        <f t="shared" si="1512"/>
        <v>0</v>
      </c>
      <c r="ZD154" s="205">
        <f t="shared" si="1513"/>
        <v>0</v>
      </c>
      <c r="ZE154" s="207"/>
      <c r="ZF154" s="207"/>
      <c r="ZG154" s="207"/>
      <c r="ZH154" s="207"/>
      <c r="ZI154" s="207"/>
      <c r="ZJ154" s="272"/>
      <c r="ZK154" s="272"/>
      <c r="ZL154" s="205">
        <f t="shared" si="1514"/>
        <v>0</v>
      </c>
      <c r="ZM154" s="207"/>
      <c r="ZN154" s="207"/>
      <c r="ZO154" s="207"/>
      <c r="ZP154" s="207"/>
      <c r="ZQ154" s="207"/>
      <c r="ZR154" s="272"/>
      <c r="ZS154" s="272"/>
      <c r="ZT154" s="205">
        <f t="shared" si="1515"/>
        <v>0</v>
      </c>
      <c r="ZU154" s="207"/>
      <c r="ZV154" s="207"/>
      <c r="ZW154" s="207"/>
      <c r="ZX154" s="207"/>
      <c r="ZY154" s="207"/>
      <c r="ZZ154" s="272"/>
      <c r="AAA154" s="272"/>
      <c r="AAB154" s="205">
        <f t="shared" si="1516"/>
        <v>0</v>
      </c>
      <c r="AAC154" s="207"/>
      <c r="AAD154" s="207"/>
      <c r="AAE154" s="207"/>
      <c r="AAF154" s="207"/>
      <c r="AAG154" s="207"/>
      <c r="AAH154" s="272"/>
      <c r="AAI154" s="272"/>
      <c r="AAJ154" s="205">
        <f t="shared" si="1517"/>
        <v>0</v>
      </c>
      <c r="AAK154" s="207"/>
      <c r="AAL154" s="207"/>
      <c r="AAM154" s="207"/>
      <c r="AAN154" s="207"/>
      <c r="AAO154" s="207"/>
      <c r="AAP154" s="272"/>
      <c r="AAQ154" s="272"/>
      <c r="AAR154" s="205">
        <f t="shared" si="1518"/>
        <v>0</v>
      </c>
      <c r="AAS154" s="205">
        <f t="shared" si="1519"/>
        <v>0</v>
      </c>
    </row>
    <row r="155" spans="1:721" s="127" customFormat="1" ht="69.95" customHeight="1">
      <c r="A155" s="128"/>
      <c r="B155" s="136">
        <v>5713900241</v>
      </c>
      <c r="C155" s="334" t="s">
        <v>531</v>
      </c>
      <c r="D155" s="173" t="s">
        <v>521</v>
      </c>
      <c r="E155" s="130">
        <v>8</v>
      </c>
      <c r="F155" s="120"/>
      <c r="G155" s="120"/>
      <c r="H155" s="120"/>
      <c r="I155" s="120"/>
      <c r="J155" s="120"/>
      <c r="K155" s="209"/>
      <c r="L155" s="205"/>
      <c r="M155" s="205">
        <f t="shared" si="1520"/>
        <v>0</v>
      </c>
      <c r="N155" s="120"/>
      <c r="O155" s="120"/>
      <c r="P155" s="120"/>
      <c r="Q155" s="120"/>
      <c r="R155" s="120"/>
      <c r="S155" s="209"/>
      <c r="T155" s="205"/>
      <c r="U155" s="205">
        <f t="shared" si="1521"/>
        <v>0</v>
      </c>
      <c r="V155" s="120"/>
      <c r="W155" s="120"/>
      <c r="X155" s="124">
        <v>900</v>
      </c>
      <c r="Y155" s="120"/>
      <c r="Z155" s="120"/>
      <c r="AA155" s="209"/>
      <c r="AB155" s="205"/>
      <c r="AC155" s="205">
        <f t="shared" si="1522"/>
        <v>900</v>
      </c>
      <c r="AD155" s="205"/>
      <c r="AE155" s="205"/>
      <c r="AF155" s="205"/>
      <c r="AG155" s="205"/>
      <c r="AH155" s="205"/>
      <c r="AI155" s="209"/>
      <c r="AJ155" s="205"/>
      <c r="AK155" s="205">
        <f t="shared" si="1523"/>
        <v>0</v>
      </c>
      <c r="AL155" s="205" t="e">
        <f>SUM(#REF!,M155,U155,AC155,AD155:AH155)</f>
        <v>#REF!</v>
      </c>
      <c r="AM155" s="120"/>
      <c r="AN155" s="120"/>
      <c r="AO155" s="195">
        <v>4200</v>
      </c>
      <c r="AP155" s="120"/>
      <c r="AQ155" s="120"/>
      <c r="AR155" s="209"/>
      <c r="AS155" s="205"/>
      <c r="AT155" s="205">
        <f t="shared" si="1524"/>
        <v>4200</v>
      </c>
      <c r="AU155" s="120"/>
      <c r="AV155" s="120"/>
      <c r="AW155" s="120"/>
      <c r="AX155" s="120"/>
      <c r="AY155" s="120"/>
      <c r="AZ155" s="209"/>
      <c r="BA155" s="205"/>
      <c r="BB155" s="205">
        <f t="shared" si="1525"/>
        <v>0</v>
      </c>
      <c r="BC155" s="120"/>
      <c r="BD155" s="120"/>
      <c r="BE155" s="217">
        <v>4200</v>
      </c>
      <c r="BF155" s="120"/>
      <c r="BG155" s="120"/>
      <c r="BH155" s="209"/>
      <c r="BI155" s="205"/>
      <c r="BJ155" s="205">
        <f t="shared" si="1526"/>
        <v>4200</v>
      </c>
      <c r="BK155" s="120"/>
      <c r="BL155" s="250">
        <v>4200</v>
      </c>
      <c r="BM155" s="120"/>
      <c r="BN155" s="120"/>
      <c r="BO155" s="205"/>
      <c r="BP155" s="209"/>
      <c r="BQ155" s="205"/>
      <c r="BR155" s="205">
        <f t="shared" si="1527"/>
        <v>4200</v>
      </c>
      <c r="BS155" s="205">
        <f t="shared" si="1427"/>
        <v>12600</v>
      </c>
      <c r="BT155" s="120"/>
      <c r="BU155" s="250">
        <v>800</v>
      </c>
      <c r="BV155" s="120"/>
      <c r="BW155" s="120"/>
      <c r="BX155" s="120"/>
      <c r="BY155" s="209"/>
      <c r="BZ155" s="205"/>
      <c r="CA155" s="205">
        <f t="shared" si="1528"/>
        <v>800</v>
      </c>
      <c r="CB155" s="120"/>
      <c r="CC155" s="120"/>
      <c r="CD155" s="120"/>
      <c r="CE155" s="120"/>
      <c r="CF155" s="120"/>
      <c r="CG155" s="209"/>
      <c r="CH155" s="205"/>
      <c r="CI155" s="205">
        <f t="shared" si="1529"/>
        <v>0</v>
      </c>
      <c r="CJ155" s="120"/>
      <c r="CK155" s="120"/>
      <c r="CL155" s="120"/>
      <c r="CM155" s="120"/>
      <c r="CN155" s="120"/>
      <c r="CO155" s="209"/>
      <c r="CP155" s="205"/>
      <c r="CQ155" s="205">
        <f t="shared" si="1530"/>
        <v>0</v>
      </c>
      <c r="CR155" s="120"/>
      <c r="CS155" s="120"/>
      <c r="CT155" s="120"/>
      <c r="CU155" s="120"/>
      <c r="CV155" s="120"/>
      <c r="CW155" s="209"/>
      <c r="CX155" s="205"/>
      <c r="CY155" s="205">
        <f t="shared" si="1531"/>
        <v>0</v>
      </c>
      <c r="CZ155" s="120"/>
      <c r="DA155" s="120"/>
      <c r="DB155" s="120"/>
      <c r="DC155" s="205"/>
      <c r="DD155" s="205"/>
      <c r="DE155" s="209"/>
      <c r="DF155" s="205"/>
      <c r="DG155" s="205">
        <f t="shared" si="1532"/>
        <v>0</v>
      </c>
      <c r="DH155" s="205">
        <f t="shared" si="1428"/>
        <v>800</v>
      </c>
      <c r="DI155" s="120"/>
      <c r="DJ155" s="120"/>
      <c r="DK155" s="120"/>
      <c r="DL155" s="120"/>
      <c r="DM155" s="120"/>
      <c r="DN155" s="209"/>
      <c r="DO155" s="205"/>
      <c r="DP155" s="205">
        <f t="shared" si="1432"/>
        <v>0</v>
      </c>
      <c r="DQ155" s="120"/>
      <c r="DR155" s="120"/>
      <c r="DS155" s="120"/>
      <c r="DT155" s="120"/>
      <c r="DU155" s="120"/>
      <c r="DV155" s="209"/>
      <c r="DW155" s="205"/>
      <c r="DX155" s="205">
        <f t="shared" si="1433"/>
        <v>0</v>
      </c>
      <c r="DY155" s="120"/>
      <c r="DZ155" s="250">
        <v>500</v>
      </c>
      <c r="EA155" s="120"/>
      <c r="EB155" s="120"/>
      <c r="EC155" s="120"/>
      <c r="ED155" s="209"/>
      <c r="EE155" s="205"/>
      <c r="EF155" s="205">
        <f t="shared" si="1434"/>
        <v>500</v>
      </c>
      <c r="EG155" s="120"/>
      <c r="EH155" s="120"/>
      <c r="EI155" s="120"/>
      <c r="EJ155" s="205"/>
      <c r="EK155" s="205"/>
      <c r="EL155" s="209"/>
      <c r="EM155" s="205"/>
      <c r="EN155" s="205">
        <f t="shared" si="1435"/>
        <v>0</v>
      </c>
      <c r="EO155" s="205">
        <f t="shared" si="1429"/>
        <v>500</v>
      </c>
      <c r="EP155" s="120"/>
      <c r="EQ155" s="120"/>
      <c r="ER155" s="120"/>
      <c r="ES155" s="120"/>
      <c r="ET155" s="120"/>
      <c r="EU155" s="209"/>
      <c r="EV155" s="205"/>
      <c r="EW155" s="205">
        <f t="shared" si="1436"/>
        <v>0</v>
      </c>
      <c r="EX155" s="120"/>
      <c r="EY155" s="120"/>
      <c r="EZ155" s="120"/>
      <c r="FA155" s="120"/>
      <c r="FB155" s="120"/>
      <c r="FC155" s="209"/>
      <c r="FD155" s="205"/>
      <c r="FE155" s="205">
        <f t="shared" si="1437"/>
        <v>0</v>
      </c>
      <c r="FF155" s="120"/>
      <c r="FG155" s="120"/>
      <c r="FH155" s="120"/>
      <c r="FI155" s="123">
        <v>1000</v>
      </c>
      <c r="FJ155" s="120"/>
      <c r="FK155" s="209"/>
      <c r="FL155" s="205"/>
      <c r="FM155" s="205">
        <f t="shared" si="1438"/>
        <v>1000</v>
      </c>
      <c r="FN155" s="120"/>
      <c r="FO155" s="124">
        <v>3000</v>
      </c>
      <c r="FP155" s="120"/>
      <c r="FQ155" s="120"/>
      <c r="FR155" s="205"/>
      <c r="FS155" s="209"/>
      <c r="FT155" s="205"/>
      <c r="FU155" s="205">
        <f t="shared" si="1439"/>
        <v>3000</v>
      </c>
      <c r="FV155" s="205">
        <f t="shared" si="1430"/>
        <v>4000</v>
      </c>
      <c r="FW155" s="120"/>
      <c r="FX155" s="201">
        <v>3400</v>
      </c>
      <c r="FY155" s="120"/>
      <c r="FZ155" s="120"/>
      <c r="GA155" s="120"/>
      <c r="GB155" s="209"/>
      <c r="GC155" s="205"/>
      <c r="GD155" s="205">
        <f t="shared" si="1440"/>
        <v>3400</v>
      </c>
      <c r="GE155" s="120"/>
      <c r="GF155" s="120"/>
      <c r="GG155" s="120"/>
      <c r="GH155" s="120"/>
      <c r="GI155" s="120"/>
      <c r="GJ155" s="209"/>
      <c r="GK155" s="205"/>
      <c r="GL155" s="205">
        <f t="shared" si="1441"/>
        <v>0</v>
      </c>
      <c r="GM155" s="120"/>
      <c r="GN155" s="120"/>
      <c r="GO155" s="120"/>
      <c r="GP155" s="120"/>
      <c r="GQ155" s="120"/>
      <c r="GR155" s="209"/>
      <c r="GS155" s="205"/>
      <c r="GT155" s="205">
        <f t="shared" si="1442"/>
        <v>0</v>
      </c>
      <c r="GU155" s="120"/>
      <c r="GV155" s="120"/>
      <c r="GW155" s="120"/>
      <c r="GX155" s="120"/>
      <c r="GY155" s="120"/>
      <c r="GZ155" s="209"/>
      <c r="HA155" s="205"/>
      <c r="HB155" s="205">
        <f t="shared" si="1443"/>
        <v>0</v>
      </c>
      <c r="HC155" s="120"/>
      <c r="HD155" s="120"/>
      <c r="HE155" s="120"/>
      <c r="HF155" s="120"/>
      <c r="HG155" s="120"/>
      <c r="HH155" s="209"/>
      <c r="HI155" s="205"/>
      <c r="HJ155" s="205">
        <f t="shared" si="1444"/>
        <v>0</v>
      </c>
      <c r="HK155" s="205">
        <f t="shared" si="1431"/>
        <v>3400</v>
      </c>
      <c r="HL155" s="124"/>
      <c r="HM155" s="120"/>
      <c r="HN155" s="120"/>
      <c r="HO155" s="120"/>
      <c r="HP155" s="120"/>
      <c r="HQ155" s="205"/>
      <c r="HR155" s="205"/>
      <c r="HS155" s="205">
        <f t="shared" si="1445"/>
        <v>0</v>
      </c>
      <c r="HT155" s="120"/>
      <c r="HU155" s="120"/>
      <c r="HV155" s="120"/>
      <c r="HW155" s="120"/>
      <c r="HX155" s="120"/>
      <c r="HY155" s="205"/>
      <c r="HZ155" s="205"/>
      <c r="IA155" s="205">
        <f t="shared" si="1446"/>
        <v>0</v>
      </c>
      <c r="IB155" s="120"/>
      <c r="IC155" s="120"/>
      <c r="ID155" s="120"/>
      <c r="IE155" s="120"/>
      <c r="IF155" s="120"/>
      <c r="IG155" s="205"/>
      <c r="IH155" s="205"/>
      <c r="II155" s="205">
        <f t="shared" si="1447"/>
        <v>0</v>
      </c>
      <c r="IJ155" s="120"/>
      <c r="IK155" s="217">
        <v>4000</v>
      </c>
      <c r="IL155" s="120"/>
      <c r="IM155" s="120"/>
      <c r="IN155" s="120"/>
      <c r="IO155" s="205"/>
      <c r="IP155" s="205"/>
      <c r="IQ155" s="205">
        <f t="shared" si="1448"/>
        <v>4000</v>
      </c>
      <c r="IR155" s="205">
        <f t="shared" si="1449"/>
        <v>4000</v>
      </c>
      <c r="IS155" s="120"/>
      <c r="IT155" s="217">
        <v>4000</v>
      </c>
      <c r="IU155" s="120"/>
      <c r="IV155" s="120"/>
      <c r="IW155" s="120"/>
      <c r="IX155" s="205"/>
      <c r="IY155" s="205"/>
      <c r="IZ155" s="205">
        <f t="shared" si="1450"/>
        <v>4000</v>
      </c>
      <c r="JA155" s="120"/>
      <c r="JB155" s="123">
        <v>2400</v>
      </c>
      <c r="JC155" s="120"/>
      <c r="JD155" s="120"/>
      <c r="JE155" s="120"/>
      <c r="JF155" s="205"/>
      <c r="JG155" s="205"/>
      <c r="JH155" s="205">
        <f t="shared" si="1451"/>
        <v>2400</v>
      </c>
      <c r="JI155" s="120"/>
      <c r="JJ155" s="120"/>
      <c r="JK155" s="120"/>
      <c r="JL155" s="120"/>
      <c r="JM155" s="120"/>
      <c r="JN155" s="205"/>
      <c r="JO155" s="205"/>
      <c r="JP155" s="205">
        <f t="shared" si="1452"/>
        <v>0</v>
      </c>
      <c r="JQ155" s="120"/>
      <c r="JR155" s="120"/>
      <c r="JS155" s="120"/>
      <c r="JT155" s="120"/>
      <c r="JU155" s="120"/>
      <c r="JV155" s="205"/>
      <c r="JW155" s="205"/>
      <c r="JX155" s="205">
        <f t="shared" si="1453"/>
        <v>0</v>
      </c>
      <c r="JY155" s="205">
        <f t="shared" si="1454"/>
        <v>6400</v>
      </c>
      <c r="JZ155" s="120"/>
      <c r="KA155" s="120"/>
      <c r="KB155" s="120"/>
      <c r="KC155" s="120"/>
      <c r="KD155" s="120"/>
      <c r="KE155" s="205"/>
      <c r="KF155" s="205"/>
      <c r="KG155" s="205">
        <f t="shared" si="1455"/>
        <v>0</v>
      </c>
      <c r="KH155" s="120"/>
      <c r="KI155" s="120"/>
      <c r="KJ155" s="120"/>
      <c r="KK155" s="120"/>
      <c r="KL155" s="120"/>
      <c r="KM155" s="205"/>
      <c r="KN155" s="205"/>
      <c r="KO155" s="205">
        <f t="shared" si="1456"/>
        <v>0</v>
      </c>
      <c r="KP155" s="120"/>
      <c r="KQ155" s="120"/>
      <c r="KR155" s="120"/>
      <c r="KS155" s="120"/>
      <c r="KT155" s="120"/>
      <c r="KU155" s="205"/>
      <c r="KV155" s="205"/>
      <c r="KW155" s="205">
        <f t="shared" si="1457"/>
        <v>0</v>
      </c>
      <c r="KX155" s="120"/>
      <c r="KY155" s="120"/>
      <c r="KZ155" s="120"/>
      <c r="LA155" s="120"/>
      <c r="LB155" s="120"/>
      <c r="LC155" s="205"/>
      <c r="LD155" s="205"/>
      <c r="LE155" s="205">
        <f t="shared" si="1458"/>
        <v>0</v>
      </c>
      <c r="LF155" s="205"/>
      <c r="LG155" s="120"/>
      <c r="LH155" s="120"/>
      <c r="LI155" s="120"/>
      <c r="LJ155" s="120"/>
      <c r="LK155" s="205"/>
      <c r="LL155" s="205"/>
      <c r="LM155" s="205">
        <f t="shared" si="1459"/>
        <v>0</v>
      </c>
      <c r="LN155" s="205">
        <f t="shared" si="1460"/>
        <v>0</v>
      </c>
      <c r="LO155" s="205"/>
      <c r="LP155" s="120"/>
      <c r="LQ155" s="120"/>
      <c r="LR155" s="120"/>
      <c r="LS155" s="205"/>
      <c r="LT155" s="205"/>
      <c r="LU155" s="205"/>
      <c r="LV155" s="205">
        <f t="shared" si="1461"/>
        <v>0</v>
      </c>
      <c r="LW155" s="120"/>
      <c r="LX155" s="120"/>
      <c r="LY155" s="120"/>
      <c r="LZ155" s="120"/>
      <c r="MA155" s="120"/>
      <c r="MB155" s="205"/>
      <c r="MC155" s="205"/>
      <c r="MD155" s="205">
        <f t="shared" si="1462"/>
        <v>0</v>
      </c>
      <c r="ME155" s="120"/>
      <c r="MF155" s="120"/>
      <c r="MG155" s="120"/>
      <c r="MH155" s="120"/>
      <c r="MI155" s="205"/>
      <c r="MJ155" s="205"/>
      <c r="MK155" s="205"/>
      <c r="ML155" s="205">
        <f t="shared" si="1463"/>
        <v>0</v>
      </c>
      <c r="MM155" s="120"/>
      <c r="MN155" s="120"/>
      <c r="MO155" s="120"/>
      <c r="MP155" s="120"/>
      <c r="MQ155" s="120"/>
      <c r="MR155" s="205"/>
      <c r="MS155" s="205"/>
      <c r="MT155" s="205">
        <f t="shared" si="1464"/>
        <v>0</v>
      </c>
      <c r="MU155" s="205">
        <f t="shared" si="1465"/>
        <v>0</v>
      </c>
      <c r="MV155" s="120"/>
      <c r="MW155" s="120"/>
      <c r="MX155" s="120"/>
      <c r="MY155" s="120"/>
      <c r="MZ155" s="120"/>
      <c r="NA155" s="205"/>
      <c r="NB155" s="205"/>
      <c r="NC155" s="205">
        <f t="shared" si="1466"/>
        <v>0</v>
      </c>
      <c r="ND155" s="120"/>
      <c r="NE155" s="120"/>
      <c r="NF155" s="120"/>
      <c r="NG155" s="120"/>
      <c r="NH155" s="120"/>
      <c r="NI155" s="205"/>
      <c r="NJ155" s="205"/>
      <c r="NK155" s="205">
        <f t="shared" si="1467"/>
        <v>0</v>
      </c>
      <c r="NL155" s="120"/>
      <c r="NM155" s="120"/>
      <c r="NN155" s="120"/>
      <c r="NO155" s="120"/>
      <c r="NP155" s="120"/>
      <c r="NQ155" s="205"/>
      <c r="NR155" s="205"/>
      <c r="NS155" s="205">
        <f t="shared" si="1468"/>
        <v>0</v>
      </c>
      <c r="NT155" s="120"/>
      <c r="NU155" s="120"/>
      <c r="NV155" s="120"/>
      <c r="NW155" s="120"/>
      <c r="NX155" s="120"/>
      <c r="NY155" s="205"/>
      <c r="NZ155" s="205"/>
      <c r="OA155" s="205">
        <f t="shared" si="1469"/>
        <v>0</v>
      </c>
      <c r="OB155" s="205">
        <f t="shared" si="1470"/>
        <v>0</v>
      </c>
      <c r="OC155" s="120"/>
      <c r="OD155" s="120"/>
      <c r="OE155" s="120"/>
      <c r="OF155" s="120"/>
      <c r="OG155" s="120"/>
      <c r="OH155" s="205"/>
      <c r="OI155" s="205"/>
      <c r="OJ155" s="205">
        <f t="shared" si="1471"/>
        <v>0</v>
      </c>
      <c r="OK155" s="120"/>
      <c r="OL155" s="120"/>
      <c r="OM155" s="120"/>
      <c r="ON155" s="120"/>
      <c r="OO155" s="120"/>
      <c r="OP155" s="205"/>
      <c r="OQ155" s="205"/>
      <c r="OR155" s="205">
        <f t="shared" si="1472"/>
        <v>0</v>
      </c>
      <c r="OS155" s="120"/>
      <c r="OT155" s="120"/>
      <c r="OU155" s="120"/>
      <c r="OV155" s="120"/>
      <c r="OW155" s="120"/>
      <c r="OX155" s="205"/>
      <c r="OY155" s="205"/>
      <c r="OZ155" s="205">
        <f t="shared" si="1473"/>
        <v>0</v>
      </c>
      <c r="PA155" s="120"/>
      <c r="PB155" s="120"/>
      <c r="PC155" s="120"/>
      <c r="PD155" s="205"/>
      <c r="PE155" s="217"/>
      <c r="PF155" s="205"/>
      <c r="PG155" s="205"/>
      <c r="PH155" s="205">
        <f t="shared" si="1474"/>
        <v>0</v>
      </c>
      <c r="PI155" s="120"/>
      <c r="PJ155" s="120"/>
      <c r="PK155" s="120"/>
      <c r="PL155" s="205"/>
      <c r="PM155" s="217"/>
      <c r="PN155" s="205"/>
      <c r="PO155" s="205"/>
      <c r="PP155" s="205">
        <f t="shared" si="1475"/>
        <v>0</v>
      </c>
      <c r="PQ155" s="205">
        <f t="shared" si="1476"/>
        <v>0</v>
      </c>
      <c r="PR155" s="207"/>
      <c r="PS155" s="207"/>
      <c r="PT155" s="207"/>
      <c r="PU155" s="207"/>
      <c r="PV155" s="207"/>
      <c r="PW155" s="272"/>
      <c r="PX155" s="272"/>
      <c r="PY155" s="205">
        <f t="shared" si="1477"/>
        <v>0</v>
      </c>
      <c r="PZ155" s="207"/>
      <c r="QA155" s="207"/>
      <c r="QB155" s="207"/>
      <c r="QC155" s="207"/>
      <c r="QD155" s="207"/>
      <c r="QE155" s="272"/>
      <c r="QF155" s="272"/>
      <c r="QG155" s="205">
        <f t="shared" si="1478"/>
        <v>0</v>
      </c>
      <c r="QH155" s="207"/>
      <c r="QI155" s="207"/>
      <c r="QJ155" s="294"/>
      <c r="QK155" s="207"/>
      <c r="QL155" s="207"/>
      <c r="QM155" s="272"/>
      <c r="QN155" s="272"/>
      <c r="QO155" s="205">
        <f t="shared" si="1479"/>
        <v>0</v>
      </c>
      <c r="QP155" s="207"/>
      <c r="QQ155" s="207"/>
      <c r="QR155" s="207"/>
      <c r="QS155" s="207"/>
      <c r="QT155" s="207"/>
      <c r="QU155" s="272"/>
      <c r="QV155" s="272"/>
      <c r="QW155" s="205">
        <f t="shared" si="1480"/>
        <v>0</v>
      </c>
      <c r="QX155" s="205">
        <f t="shared" si="1481"/>
        <v>0</v>
      </c>
      <c r="QY155" s="207"/>
      <c r="QZ155" s="207"/>
      <c r="RA155" s="207"/>
      <c r="RB155" s="207"/>
      <c r="RC155" s="207"/>
      <c r="RD155" s="272"/>
      <c r="RE155" s="272"/>
      <c r="RF155" s="205">
        <f t="shared" si="1482"/>
        <v>0</v>
      </c>
      <c r="RG155" s="207"/>
      <c r="RH155" s="207"/>
      <c r="RI155" s="207"/>
      <c r="RJ155" s="207"/>
      <c r="RK155" s="207"/>
      <c r="RL155" s="272"/>
      <c r="RM155" s="272"/>
      <c r="RN155" s="205">
        <f t="shared" si="1483"/>
        <v>0</v>
      </c>
      <c r="RO155" s="272"/>
      <c r="RP155" s="272"/>
      <c r="RQ155" s="272"/>
      <c r="RR155" s="272"/>
      <c r="RS155" s="272"/>
      <c r="RT155" s="272"/>
      <c r="RU155" s="272"/>
      <c r="RV155" s="205">
        <f t="shared" si="1484"/>
        <v>0</v>
      </c>
      <c r="RW155" s="207"/>
      <c r="RX155" s="207"/>
      <c r="RY155" s="207"/>
      <c r="RZ155" s="207"/>
      <c r="SA155" s="272"/>
      <c r="SB155" s="272"/>
      <c r="SC155" s="272"/>
      <c r="SD155" s="205">
        <f t="shared" si="1485"/>
        <v>0</v>
      </c>
      <c r="SE155" s="205">
        <f t="shared" si="1486"/>
        <v>0</v>
      </c>
      <c r="SF155" s="207"/>
      <c r="SG155" s="207"/>
      <c r="SH155" s="207"/>
      <c r="SI155" s="207"/>
      <c r="SJ155" s="207"/>
      <c r="SK155" s="272"/>
      <c r="SL155" s="272"/>
      <c r="SM155" s="205">
        <f t="shared" si="1487"/>
        <v>0</v>
      </c>
      <c r="SN155" s="207"/>
      <c r="SO155" s="207"/>
      <c r="SP155" s="207"/>
      <c r="SQ155" s="207"/>
      <c r="SR155" s="207"/>
      <c r="SS155" s="272"/>
      <c r="ST155" s="272"/>
      <c r="SU155" s="205">
        <f t="shared" si="1488"/>
        <v>0</v>
      </c>
      <c r="SV155" s="207"/>
      <c r="SW155" s="207"/>
      <c r="SX155" s="207"/>
      <c r="SY155" s="207"/>
      <c r="SZ155" s="207"/>
      <c r="TA155" s="272"/>
      <c r="TB155" s="272"/>
      <c r="TC155" s="205">
        <f t="shared" si="1489"/>
        <v>0</v>
      </c>
      <c r="TD155" s="207"/>
      <c r="TE155" s="207"/>
      <c r="TF155" s="207"/>
      <c r="TG155" s="207"/>
      <c r="TH155" s="207"/>
      <c r="TI155" s="272"/>
      <c r="TJ155" s="272"/>
      <c r="TK155" s="205">
        <f t="shared" si="1490"/>
        <v>0</v>
      </c>
      <c r="TL155" s="207"/>
      <c r="TM155" s="207"/>
      <c r="TN155" s="207"/>
      <c r="TO155" s="207"/>
      <c r="TP155" s="272"/>
      <c r="TQ155" s="272"/>
      <c r="TR155" s="272"/>
      <c r="TS155" s="205">
        <f t="shared" si="1491"/>
        <v>0</v>
      </c>
      <c r="TT155" s="205">
        <f t="shared" si="1492"/>
        <v>0</v>
      </c>
      <c r="TU155" s="272"/>
      <c r="TV155" s="207"/>
      <c r="TW155" s="207"/>
      <c r="TX155" s="207"/>
      <c r="TY155" s="207"/>
      <c r="TZ155" s="272"/>
      <c r="UA155" s="272"/>
      <c r="UB155" s="205">
        <f t="shared" si="1493"/>
        <v>0</v>
      </c>
      <c r="UC155" s="207"/>
      <c r="UD155" s="207"/>
      <c r="UE155" s="207"/>
      <c r="UF155" s="207"/>
      <c r="UG155" s="207"/>
      <c r="UH155" s="272"/>
      <c r="UI155" s="272"/>
      <c r="UJ155" s="205">
        <f t="shared" si="1494"/>
        <v>0</v>
      </c>
      <c r="UK155" s="207"/>
      <c r="UL155" s="207"/>
      <c r="UM155" s="207"/>
      <c r="UN155" s="207"/>
      <c r="UO155" s="207"/>
      <c r="UP155" s="272"/>
      <c r="UQ155" s="272"/>
      <c r="UR155" s="205">
        <f t="shared" si="1495"/>
        <v>0</v>
      </c>
      <c r="US155" s="207"/>
      <c r="UT155" s="207"/>
      <c r="UU155" s="207"/>
      <c r="UV155" s="207"/>
      <c r="UW155" s="272"/>
      <c r="UX155" s="272"/>
      <c r="UY155" s="272"/>
      <c r="UZ155" s="205">
        <f t="shared" si="1496"/>
        <v>0</v>
      </c>
      <c r="VA155" s="205">
        <f t="shared" si="1497"/>
        <v>0</v>
      </c>
      <c r="VB155" s="207"/>
      <c r="VC155" s="207"/>
      <c r="VD155" s="207"/>
      <c r="VE155" s="207"/>
      <c r="VF155" s="207"/>
      <c r="VG155" s="272"/>
      <c r="VH155" s="272"/>
      <c r="VI155" s="205">
        <f t="shared" si="1498"/>
        <v>0</v>
      </c>
      <c r="VJ155" s="207"/>
      <c r="VK155" s="207"/>
      <c r="VL155" s="207"/>
      <c r="VM155" s="207"/>
      <c r="VN155" s="207"/>
      <c r="VO155" s="272"/>
      <c r="VP155" s="272"/>
      <c r="VQ155" s="205">
        <f t="shared" si="1499"/>
        <v>0</v>
      </c>
      <c r="VR155" s="207"/>
      <c r="VS155" s="207"/>
      <c r="VT155" s="207"/>
      <c r="VU155" s="207"/>
      <c r="VV155" s="207"/>
      <c r="VW155" s="272"/>
      <c r="VX155" s="272"/>
      <c r="VY155" s="205">
        <f t="shared" si="1500"/>
        <v>0</v>
      </c>
      <c r="VZ155" s="207"/>
      <c r="WA155" s="207"/>
      <c r="WB155" s="207"/>
      <c r="WC155" s="207"/>
      <c r="WD155" s="207"/>
      <c r="WE155" s="272"/>
      <c r="WF155" s="272"/>
      <c r="WG155" s="205">
        <f t="shared" si="1501"/>
        <v>0</v>
      </c>
      <c r="WH155" s="205">
        <f t="shared" si="1502"/>
        <v>0</v>
      </c>
      <c r="WI155" s="207"/>
      <c r="WJ155" s="207"/>
      <c r="WK155" s="207"/>
      <c r="WL155" s="207"/>
      <c r="WM155" s="207"/>
      <c r="WN155" s="272"/>
      <c r="WO155" s="272"/>
      <c r="WP155" s="205">
        <f t="shared" si="1503"/>
        <v>0</v>
      </c>
      <c r="WQ155" s="207"/>
      <c r="WR155" s="207"/>
      <c r="WS155" s="207"/>
      <c r="WT155" s="207"/>
      <c r="WU155" s="207"/>
      <c r="WV155" s="272"/>
      <c r="WW155" s="272"/>
      <c r="WX155" s="205">
        <f t="shared" si="1504"/>
        <v>0</v>
      </c>
      <c r="WY155" s="207"/>
      <c r="WZ155" s="207"/>
      <c r="XA155" s="207"/>
      <c r="XB155" s="207"/>
      <c r="XC155" s="272"/>
      <c r="XD155" s="272"/>
      <c r="XE155" s="272"/>
      <c r="XF155" s="205">
        <f t="shared" si="1505"/>
        <v>0</v>
      </c>
      <c r="XG155" s="207"/>
      <c r="XH155" s="207"/>
      <c r="XI155" s="207"/>
      <c r="XJ155" s="207"/>
      <c r="XK155" s="207"/>
      <c r="XL155" s="272"/>
      <c r="XM155" s="272"/>
      <c r="XN155" s="205">
        <f t="shared" si="1506"/>
        <v>0</v>
      </c>
      <c r="XO155" s="207"/>
      <c r="XP155" s="207"/>
      <c r="XQ155" s="207"/>
      <c r="XR155" s="207"/>
      <c r="XS155" s="207"/>
      <c r="XT155" s="272"/>
      <c r="XU155" s="272"/>
      <c r="XV155" s="205">
        <f t="shared" si="1507"/>
        <v>0</v>
      </c>
      <c r="XW155" s="205">
        <f t="shared" si="1508"/>
        <v>0</v>
      </c>
      <c r="XX155" s="207"/>
      <c r="XY155" s="207"/>
      <c r="XZ155" s="207"/>
      <c r="YA155" s="207"/>
      <c r="YB155" s="207"/>
      <c r="YC155" s="272"/>
      <c r="YD155" s="272"/>
      <c r="YE155" s="205">
        <f t="shared" si="1509"/>
        <v>0</v>
      </c>
      <c r="YF155" s="207"/>
      <c r="YG155" s="207"/>
      <c r="YH155" s="207"/>
      <c r="YI155" s="207"/>
      <c r="YJ155" s="207"/>
      <c r="YK155" s="272"/>
      <c r="YL155" s="272"/>
      <c r="YM155" s="205">
        <f t="shared" si="1510"/>
        <v>0</v>
      </c>
      <c r="YN155" s="207"/>
      <c r="YO155" s="207"/>
      <c r="YP155" s="207"/>
      <c r="YQ155" s="207"/>
      <c r="YR155" s="207"/>
      <c r="YS155" s="272"/>
      <c r="YT155" s="272"/>
      <c r="YU155" s="205">
        <f t="shared" si="1511"/>
        <v>0</v>
      </c>
      <c r="YV155" s="207"/>
      <c r="YW155" s="207"/>
      <c r="YX155" s="207"/>
      <c r="YY155" s="207"/>
      <c r="YZ155" s="207"/>
      <c r="ZA155" s="272"/>
      <c r="ZB155" s="272"/>
      <c r="ZC155" s="205">
        <f t="shared" si="1512"/>
        <v>0</v>
      </c>
      <c r="ZD155" s="205">
        <f t="shared" si="1513"/>
        <v>0</v>
      </c>
      <c r="ZE155" s="207"/>
      <c r="ZF155" s="207"/>
      <c r="ZG155" s="207"/>
      <c r="ZH155" s="207"/>
      <c r="ZI155" s="207"/>
      <c r="ZJ155" s="272"/>
      <c r="ZK155" s="272"/>
      <c r="ZL155" s="205">
        <f t="shared" si="1514"/>
        <v>0</v>
      </c>
      <c r="ZM155" s="207"/>
      <c r="ZN155" s="207"/>
      <c r="ZO155" s="207"/>
      <c r="ZP155" s="207"/>
      <c r="ZQ155" s="207"/>
      <c r="ZR155" s="272"/>
      <c r="ZS155" s="272"/>
      <c r="ZT155" s="205">
        <f t="shared" si="1515"/>
        <v>0</v>
      </c>
      <c r="ZU155" s="207"/>
      <c r="ZV155" s="207"/>
      <c r="ZW155" s="207"/>
      <c r="ZX155" s="207"/>
      <c r="ZY155" s="207"/>
      <c r="ZZ155" s="272"/>
      <c r="AAA155" s="272"/>
      <c r="AAB155" s="205">
        <f t="shared" si="1516"/>
        <v>0</v>
      </c>
      <c r="AAC155" s="207"/>
      <c r="AAD155" s="207"/>
      <c r="AAE155" s="207"/>
      <c r="AAF155" s="207"/>
      <c r="AAG155" s="207"/>
      <c r="AAH155" s="272"/>
      <c r="AAI155" s="272"/>
      <c r="AAJ155" s="205">
        <f t="shared" si="1517"/>
        <v>0</v>
      </c>
      <c r="AAK155" s="207"/>
      <c r="AAL155" s="207"/>
      <c r="AAM155" s="207"/>
      <c r="AAN155" s="207"/>
      <c r="AAO155" s="207"/>
      <c r="AAP155" s="272"/>
      <c r="AAQ155" s="272"/>
      <c r="AAR155" s="205">
        <f t="shared" si="1518"/>
        <v>0</v>
      </c>
      <c r="AAS155" s="205">
        <f t="shared" si="1519"/>
        <v>0</v>
      </c>
    </row>
    <row r="156" spans="1:721" s="127" customFormat="1" ht="69.95" customHeight="1">
      <c r="A156" s="128"/>
      <c r="B156" s="130" t="s">
        <v>30</v>
      </c>
      <c r="C156" s="146"/>
      <c r="D156" s="177" t="s">
        <v>50</v>
      </c>
      <c r="E156" s="130" t="s">
        <v>4</v>
      </c>
      <c r="F156" s="120"/>
      <c r="G156" s="120"/>
      <c r="H156" s="120"/>
      <c r="I156" s="120"/>
      <c r="J156" s="120"/>
      <c r="K156" s="209"/>
      <c r="L156" s="205"/>
      <c r="M156" s="205">
        <f t="shared" si="1520"/>
        <v>0</v>
      </c>
      <c r="N156" s="120"/>
      <c r="O156" s="120"/>
      <c r="P156" s="120"/>
      <c r="Q156" s="120"/>
      <c r="R156" s="120"/>
      <c r="S156" s="209"/>
      <c r="T156" s="205"/>
      <c r="U156" s="205">
        <f t="shared" si="1521"/>
        <v>0</v>
      </c>
      <c r="V156" s="120"/>
      <c r="W156" s="120"/>
      <c r="X156" s="120"/>
      <c r="Y156" s="124">
        <v>900</v>
      </c>
      <c r="Z156" s="120"/>
      <c r="AA156" s="209"/>
      <c r="AB156" s="205"/>
      <c r="AC156" s="205">
        <f t="shared" si="1522"/>
        <v>900</v>
      </c>
      <c r="AD156" s="205"/>
      <c r="AE156" s="205"/>
      <c r="AF156" s="205"/>
      <c r="AG156" s="205"/>
      <c r="AH156" s="205"/>
      <c r="AI156" s="209"/>
      <c r="AJ156" s="205"/>
      <c r="AK156" s="205">
        <f t="shared" si="1523"/>
        <v>0</v>
      </c>
      <c r="AL156" s="205" t="e">
        <f>SUM(#REF!,M156,U156,AC156,AD156:AH156)</f>
        <v>#REF!</v>
      </c>
      <c r="AM156" s="120"/>
      <c r="AN156" s="120"/>
      <c r="AO156" s="120"/>
      <c r="AP156" s="195">
        <v>4200</v>
      </c>
      <c r="AQ156" s="120"/>
      <c r="AR156" s="209"/>
      <c r="AS156" s="205"/>
      <c r="AT156" s="205">
        <f t="shared" si="1524"/>
        <v>4200</v>
      </c>
      <c r="AU156" s="120"/>
      <c r="AV156" s="120"/>
      <c r="AW156" s="120"/>
      <c r="AX156" s="120"/>
      <c r="AY156" s="120"/>
      <c r="AZ156" s="209"/>
      <c r="BA156" s="205"/>
      <c r="BB156" s="205">
        <f t="shared" si="1525"/>
        <v>0</v>
      </c>
      <c r="BC156" s="120"/>
      <c r="BD156" s="120"/>
      <c r="BE156" s="120"/>
      <c r="BF156" s="217">
        <v>4200</v>
      </c>
      <c r="BG156" s="120"/>
      <c r="BH156" s="209"/>
      <c r="BI156" s="205"/>
      <c r="BJ156" s="205">
        <f t="shared" si="1526"/>
        <v>4200</v>
      </c>
      <c r="BK156" s="120"/>
      <c r="BL156" s="120"/>
      <c r="BM156" s="250">
        <v>4200</v>
      </c>
      <c r="BN156" s="120"/>
      <c r="BO156" s="205"/>
      <c r="BP156" s="209"/>
      <c r="BQ156" s="205"/>
      <c r="BR156" s="205">
        <f t="shared" si="1527"/>
        <v>4200</v>
      </c>
      <c r="BS156" s="205">
        <f t="shared" si="1427"/>
        <v>12600</v>
      </c>
      <c r="BT156" s="120"/>
      <c r="BU156" s="120"/>
      <c r="BV156" s="250">
        <v>800</v>
      </c>
      <c r="BW156" s="120"/>
      <c r="BX156" s="120"/>
      <c r="BY156" s="209"/>
      <c r="BZ156" s="205"/>
      <c r="CA156" s="205">
        <f t="shared" si="1528"/>
        <v>800</v>
      </c>
      <c r="CB156" s="120"/>
      <c r="CC156" s="120"/>
      <c r="CD156" s="120"/>
      <c r="CE156" s="120"/>
      <c r="CF156" s="120"/>
      <c r="CG156" s="209"/>
      <c r="CH156" s="205"/>
      <c r="CI156" s="205">
        <f t="shared" si="1529"/>
        <v>0</v>
      </c>
      <c r="CJ156" s="120"/>
      <c r="CK156" s="120"/>
      <c r="CL156" s="120"/>
      <c r="CM156" s="120"/>
      <c r="CN156" s="120"/>
      <c r="CO156" s="209"/>
      <c r="CP156" s="205"/>
      <c r="CQ156" s="205">
        <f t="shared" si="1530"/>
        <v>0</v>
      </c>
      <c r="CR156" s="120"/>
      <c r="CS156" s="120"/>
      <c r="CT156" s="120"/>
      <c r="CU156" s="120"/>
      <c r="CV156" s="120"/>
      <c r="CW156" s="209"/>
      <c r="CX156" s="205"/>
      <c r="CY156" s="205">
        <f t="shared" si="1531"/>
        <v>0</v>
      </c>
      <c r="CZ156" s="120"/>
      <c r="DA156" s="120"/>
      <c r="DB156" s="120" t="s">
        <v>216</v>
      </c>
      <c r="DC156" s="205"/>
      <c r="DD156" s="205"/>
      <c r="DE156" s="209"/>
      <c r="DF156" s="205"/>
      <c r="DG156" s="205">
        <f t="shared" si="1532"/>
        <v>0</v>
      </c>
      <c r="DH156" s="205">
        <f t="shared" si="1428"/>
        <v>800</v>
      </c>
      <c r="DI156" s="120"/>
      <c r="DJ156" s="120"/>
      <c r="DK156" s="120"/>
      <c r="DL156" s="120"/>
      <c r="DM156" s="120"/>
      <c r="DN156" s="209"/>
      <c r="DO156" s="205"/>
      <c r="DP156" s="205">
        <f t="shared" si="1432"/>
        <v>0</v>
      </c>
      <c r="DQ156" s="120"/>
      <c r="DR156" s="120"/>
      <c r="DS156" s="120"/>
      <c r="DT156" s="120"/>
      <c r="DU156" s="120"/>
      <c r="DV156" s="209"/>
      <c r="DW156" s="205"/>
      <c r="DX156" s="205">
        <f t="shared" si="1433"/>
        <v>0</v>
      </c>
      <c r="DY156" s="120"/>
      <c r="DZ156" s="120"/>
      <c r="EA156" s="250">
        <v>500</v>
      </c>
      <c r="EB156" s="120"/>
      <c r="EC156" s="120"/>
      <c r="ED156" s="209"/>
      <c r="EE156" s="205"/>
      <c r="EF156" s="205">
        <f t="shared" si="1434"/>
        <v>500</v>
      </c>
      <c r="EG156" s="120"/>
      <c r="EH156" s="120"/>
      <c r="EI156" s="120"/>
      <c r="EJ156" s="205"/>
      <c r="EK156" s="205"/>
      <c r="EL156" s="209"/>
      <c r="EM156" s="205"/>
      <c r="EN156" s="205">
        <f t="shared" si="1435"/>
        <v>0</v>
      </c>
      <c r="EO156" s="205">
        <f t="shared" si="1429"/>
        <v>500</v>
      </c>
      <c r="EP156" s="120"/>
      <c r="EQ156" s="120"/>
      <c r="ER156" s="120"/>
      <c r="ES156" s="120"/>
      <c r="ET156" s="120"/>
      <c r="EU156" s="209"/>
      <c r="EV156" s="205"/>
      <c r="EW156" s="205">
        <f t="shared" si="1436"/>
        <v>0</v>
      </c>
      <c r="EX156" s="120"/>
      <c r="EY156" s="120"/>
      <c r="EZ156" s="120"/>
      <c r="FA156" s="120"/>
      <c r="FB156" s="120"/>
      <c r="FC156" s="209"/>
      <c r="FD156" s="205"/>
      <c r="FE156" s="205">
        <f t="shared" si="1437"/>
        <v>0</v>
      </c>
      <c r="FF156" s="120"/>
      <c r="FG156" s="120"/>
      <c r="FH156" s="120"/>
      <c r="FI156" s="120"/>
      <c r="FJ156" s="123">
        <v>1000</v>
      </c>
      <c r="FK156" s="209"/>
      <c r="FL156" s="205"/>
      <c r="FM156" s="205">
        <f t="shared" si="1438"/>
        <v>1000</v>
      </c>
      <c r="FN156" s="120"/>
      <c r="FO156" s="120"/>
      <c r="FP156" s="124">
        <v>3000</v>
      </c>
      <c r="FQ156" s="120"/>
      <c r="FR156" s="205"/>
      <c r="FS156" s="209"/>
      <c r="FT156" s="205"/>
      <c r="FU156" s="205">
        <f t="shared" si="1439"/>
        <v>3000</v>
      </c>
      <c r="FV156" s="205">
        <f t="shared" si="1430"/>
        <v>4000</v>
      </c>
      <c r="FW156" s="120"/>
      <c r="FX156" s="120"/>
      <c r="FY156" s="201">
        <v>3400</v>
      </c>
      <c r="FZ156" s="120"/>
      <c r="GA156" s="120"/>
      <c r="GB156" s="209"/>
      <c r="GC156" s="205"/>
      <c r="GD156" s="205">
        <f t="shared" si="1440"/>
        <v>3400</v>
      </c>
      <c r="GE156" s="120"/>
      <c r="GF156" s="120"/>
      <c r="GG156" s="120"/>
      <c r="GH156" s="120"/>
      <c r="GI156" s="120"/>
      <c r="GJ156" s="209"/>
      <c r="GK156" s="205"/>
      <c r="GL156" s="205">
        <f t="shared" si="1441"/>
        <v>0</v>
      </c>
      <c r="GM156" s="120"/>
      <c r="GN156" s="120"/>
      <c r="GO156" s="120"/>
      <c r="GP156" s="120"/>
      <c r="GQ156" s="120"/>
      <c r="GR156" s="209"/>
      <c r="GS156" s="205"/>
      <c r="GT156" s="205">
        <f t="shared" si="1442"/>
        <v>0</v>
      </c>
      <c r="GU156" s="120"/>
      <c r="GV156" s="120"/>
      <c r="GW156" s="120"/>
      <c r="GX156" s="120"/>
      <c r="GY156" s="120"/>
      <c r="GZ156" s="209"/>
      <c r="HA156" s="205"/>
      <c r="HB156" s="205">
        <f t="shared" si="1443"/>
        <v>0</v>
      </c>
      <c r="HC156" s="120"/>
      <c r="HD156" s="120"/>
      <c r="HE156" s="120"/>
      <c r="HF156" s="120"/>
      <c r="HG156" s="120"/>
      <c r="HH156" s="209"/>
      <c r="HI156" s="205"/>
      <c r="HJ156" s="205">
        <f t="shared" si="1444"/>
        <v>0</v>
      </c>
      <c r="HK156" s="205">
        <f t="shared" si="1431"/>
        <v>3400</v>
      </c>
      <c r="HL156" s="124"/>
      <c r="HM156" s="120"/>
      <c r="HN156" s="120"/>
      <c r="HO156" s="120"/>
      <c r="HP156" s="120"/>
      <c r="HQ156" s="205"/>
      <c r="HR156" s="205"/>
      <c r="HS156" s="205">
        <f t="shared" si="1445"/>
        <v>0</v>
      </c>
      <c r="HT156" s="120"/>
      <c r="HU156" s="120"/>
      <c r="HV156" s="120"/>
      <c r="HW156" s="120"/>
      <c r="HX156" s="120"/>
      <c r="HY156" s="205"/>
      <c r="HZ156" s="205"/>
      <c r="IA156" s="205">
        <f t="shared" si="1446"/>
        <v>0</v>
      </c>
      <c r="IB156" s="120"/>
      <c r="IC156" s="120"/>
      <c r="ID156" s="120"/>
      <c r="IE156" s="120"/>
      <c r="IF156" s="120"/>
      <c r="IG156" s="205"/>
      <c r="IH156" s="205"/>
      <c r="II156" s="205">
        <f t="shared" si="1447"/>
        <v>0</v>
      </c>
      <c r="IJ156" s="120"/>
      <c r="IK156" s="120"/>
      <c r="IL156" s="217">
        <v>4000</v>
      </c>
      <c r="IM156" s="120"/>
      <c r="IN156" s="120"/>
      <c r="IO156" s="205"/>
      <c r="IP156" s="205"/>
      <c r="IQ156" s="205">
        <f t="shared" si="1448"/>
        <v>4000</v>
      </c>
      <c r="IR156" s="205">
        <f t="shared" si="1449"/>
        <v>4000</v>
      </c>
      <c r="IS156" s="120"/>
      <c r="IT156" s="120"/>
      <c r="IU156" s="123">
        <v>2000</v>
      </c>
      <c r="IV156" s="123">
        <v>2000</v>
      </c>
      <c r="IW156" s="120"/>
      <c r="IX156" s="205"/>
      <c r="IY156" s="205"/>
      <c r="IZ156" s="205">
        <f t="shared" si="1450"/>
        <v>4000</v>
      </c>
      <c r="JA156" s="120"/>
      <c r="JB156" s="120"/>
      <c r="JC156" s="123">
        <v>2400</v>
      </c>
      <c r="JD156" s="120"/>
      <c r="JE156" s="120"/>
      <c r="JF156" s="205"/>
      <c r="JG156" s="205"/>
      <c r="JH156" s="205">
        <f t="shared" si="1451"/>
        <v>2400</v>
      </c>
      <c r="JI156" s="120"/>
      <c r="JJ156" s="120"/>
      <c r="JK156" s="120"/>
      <c r="JL156" s="120"/>
      <c r="JM156" s="120"/>
      <c r="JN156" s="205"/>
      <c r="JO156" s="205"/>
      <c r="JP156" s="205">
        <f t="shared" si="1452"/>
        <v>0</v>
      </c>
      <c r="JQ156" s="120"/>
      <c r="JR156" s="120"/>
      <c r="JS156" s="120"/>
      <c r="JT156" s="120"/>
      <c r="JU156" s="120"/>
      <c r="JV156" s="205"/>
      <c r="JW156" s="205"/>
      <c r="JX156" s="205">
        <f t="shared" si="1453"/>
        <v>0</v>
      </c>
      <c r="JY156" s="205">
        <f t="shared" si="1454"/>
        <v>6400</v>
      </c>
      <c r="JZ156" s="120"/>
      <c r="KA156" s="120"/>
      <c r="KB156" s="120"/>
      <c r="KC156" s="120"/>
      <c r="KD156" s="120"/>
      <c r="KE156" s="205"/>
      <c r="KF156" s="205"/>
      <c r="KG156" s="205">
        <f t="shared" si="1455"/>
        <v>0</v>
      </c>
      <c r="KH156" s="120"/>
      <c r="KI156" s="120"/>
      <c r="KJ156" s="120"/>
      <c r="KK156" s="120"/>
      <c r="KL156" s="120"/>
      <c r="KM156" s="205"/>
      <c r="KN156" s="205"/>
      <c r="KO156" s="205">
        <f t="shared" si="1456"/>
        <v>0</v>
      </c>
      <c r="KP156" s="120"/>
      <c r="KQ156" s="120"/>
      <c r="KR156" s="120"/>
      <c r="KS156" s="120"/>
      <c r="KT156" s="120"/>
      <c r="KU156" s="205"/>
      <c r="KV156" s="205"/>
      <c r="KW156" s="205">
        <f t="shared" si="1457"/>
        <v>0</v>
      </c>
      <c r="KX156" s="120"/>
      <c r="KY156" s="120"/>
      <c r="KZ156" s="120"/>
      <c r="LA156" s="120"/>
      <c r="LB156" s="120"/>
      <c r="LC156" s="205"/>
      <c r="LD156" s="205"/>
      <c r="LE156" s="205">
        <f t="shared" si="1458"/>
        <v>0</v>
      </c>
      <c r="LF156" s="205"/>
      <c r="LG156" s="120"/>
      <c r="LH156" s="120"/>
      <c r="LI156" s="120"/>
      <c r="LJ156" s="120"/>
      <c r="LK156" s="205"/>
      <c r="LL156" s="205"/>
      <c r="LM156" s="205">
        <f t="shared" si="1459"/>
        <v>0</v>
      </c>
      <c r="LN156" s="205">
        <f>SUM(LF156:LG156,LE156,KW156,KO156,KG156)</f>
        <v>0</v>
      </c>
      <c r="LO156" s="205"/>
      <c r="LP156" s="120"/>
      <c r="LQ156" s="120"/>
      <c r="LR156" s="120"/>
      <c r="LS156" s="205"/>
      <c r="LT156" s="205"/>
      <c r="LU156" s="205"/>
      <c r="LV156" s="205">
        <f t="shared" si="1461"/>
        <v>0</v>
      </c>
      <c r="LW156" s="120"/>
      <c r="LX156" s="120"/>
      <c r="LY156" s="120"/>
      <c r="LZ156" s="120"/>
      <c r="MA156" s="120"/>
      <c r="MB156" s="205"/>
      <c r="MC156" s="205"/>
      <c r="MD156" s="205">
        <f t="shared" si="1462"/>
        <v>0</v>
      </c>
      <c r="ME156" s="120"/>
      <c r="MF156" s="120"/>
      <c r="MG156" s="120"/>
      <c r="MH156" s="120"/>
      <c r="MI156" s="205"/>
      <c r="MJ156" s="205"/>
      <c r="MK156" s="205"/>
      <c r="ML156" s="205">
        <f t="shared" si="1463"/>
        <v>0</v>
      </c>
      <c r="MM156" s="120"/>
      <c r="MN156" s="120"/>
      <c r="MO156" s="120"/>
      <c r="MP156" s="120"/>
      <c r="MQ156" s="120"/>
      <c r="MR156" s="205"/>
      <c r="MS156" s="205"/>
      <c r="MT156" s="205">
        <f t="shared" si="1464"/>
        <v>0</v>
      </c>
      <c r="MU156" s="205">
        <f t="shared" si="1465"/>
        <v>0</v>
      </c>
      <c r="MV156" s="120"/>
      <c r="MW156" s="120"/>
      <c r="MX156" s="120"/>
      <c r="MY156" s="120"/>
      <c r="MZ156" s="120"/>
      <c r="NA156" s="205"/>
      <c r="NB156" s="205"/>
      <c r="NC156" s="205">
        <f t="shared" si="1466"/>
        <v>0</v>
      </c>
      <c r="ND156" s="120"/>
      <c r="NE156" s="120"/>
      <c r="NF156" s="120"/>
      <c r="NG156" s="120"/>
      <c r="NH156" s="120"/>
      <c r="NI156" s="205"/>
      <c r="NJ156" s="205"/>
      <c r="NK156" s="205">
        <f t="shared" si="1467"/>
        <v>0</v>
      </c>
      <c r="NL156" s="120"/>
      <c r="NM156" s="120"/>
      <c r="NN156" s="120"/>
      <c r="NO156" s="120"/>
      <c r="NP156" s="120"/>
      <c r="NQ156" s="205"/>
      <c r="NR156" s="205"/>
      <c r="NS156" s="205">
        <f t="shared" si="1468"/>
        <v>0</v>
      </c>
      <c r="NT156" s="120"/>
      <c r="NU156" s="120"/>
      <c r="NV156" s="120"/>
      <c r="NW156" s="120"/>
      <c r="NX156" s="120"/>
      <c r="NY156" s="205"/>
      <c r="NZ156" s="205"/>
      <c r="OA156" s="205">
        <f t="shared" si="1469"/>
        <v>0</v>
      </c>
      <c r="OB156" s="205">
        <f t="shared" si="1470"/>
        <v>0</v>
      </c>
      <c r="OC156" s="120"/>
      <c r="OD156" s="120"/>
      <c r="OE156" s="120"/>
      <c r="OF156" s="120"/>
      <c r="OG156" s="120"/>
      <c r="OH156" s="205"/>
      <c r="OI156" s="205"/>
      <c r="OJ156" s="205">
        <f t="shared" si="1471"/>
        <v>0</v>
      </c>
      <c r="OK156" s="120"/>
      <c r="OL156" s="120"/>
      <c r="OM156" s="120"/>
      <c r="ON156" s="120"/>
      <c r="OO156" s="120"/>
      <c r="OP156" s="205"/>
      <c r="OQ156" s="205"/>
      <c r="OR156" s="205">
        <f t="shared" si="1472"/>
        <v>0</v>
      </c>
      <c r="OS156" s="120"/>
      <c r="OT156" s="120"/>
      <c r="OU156" s="120"/>
      <c r="OV156" s="120"/>
      <c r="OW156" s="120"/>
      <c r="OX156" s="205"/>
      <c r="OY156" s="205"/>
      <c r="OZ156" s="205">
        <f t="shared" si="1473"/>
        <v>0</v>
      </c>
      <c r="PA156" s="120"/>
      <c r="PB156" s="120"/>
      <c r="PC156" s="120"/>
      <c r="PD156" s="205"/>
      <c r="PE156" s="217"/>
      <c r="PF156" s="205"/>
      <c r="PG156" s="205"/>
      <c r="PH156" s="205">
        <f t="shared" si="1474"/>
        <v>0</v>
      </c>
      <c r="PI156" s="120"/>
      <c r="PJ156" s="120"/>
      <c r="PK156" s="120"/>
      <c r="PL156" s="205"/>
      <c r="PM156" s="217"/>
      <c r="PN156" s="205"/>
      <c r="PO156" s="205"/>
      <c r="PP156" s="205">
        <f t="shared" si="1475"/>
        <v>0</v>
      </c>
      <c r="PQ156" s="205">
        <f t="shared" si="1476"/>
        <v>0</v>
      </c>
      <c r="PR156" s="207"/>
      <c r="PS156" s="207"/>
      <c r="PT156" s="207"/>
      <c r="PU156" s="207"/>
      <c r="PV156" s="207"/>
      <c r="PW156" s="272"/>
      <c r="PX156" s="272"/>
      <c r="PY156" s="205">
        <f t="shared" si="1477"/>
        <v>0</v>
      </c>
      <c r="PZ156" s="207"/>
      <c r="QA156" s="207"/>
      <c r="QB156" s="207"/>
      <c r="QC156" s="207"/>
      <c r="QD156" s="207"/>
      <c r="QE156" s="272"/>
      <c r="QF156" s="272"/>
      <c r="QG156" s="205">
        <f t="shared" si="1478"/>
        <v>0</v>
      </c>
      <c r="QH156" s="207"/>
      <c r="QI156" s="207"/>
      <c r="QJ156" s="294"/>
      <c r="QK156" s="207"/>
      <c r="QL156" s="207"/>
      <c r="QM156" s="272"/>
      <c r="QN156" s="272"/>
      <c r="QO156" s="205">
        <f t="shared" si="1479"/>
        <v>0</v>
      </c>
      <c r="QP156" s="207"/>
      <c r="QQ156" s="207"/>
      <c r="QR156" s="207"/>
      <c r="QS156" s="207"/>
      <c r="QT156" s="207"/>
      <c r="QU156" s="272"/>
      <c r="QV156" s="272"/>
      <c r="QW156" s="205">
        <f t="shared" si="1480"/>
        <v>0</v>
      </c>
      <c r="QX156" s="205">
        <f t="shared" si="1481"/>
        <v>0</v>
      </c>
      <c r="QY156" s="207"/>
      <c r="QZ156" s="207"/>
      <c r="RA156" s="207"/>
      <c r="RB156" s="207"/>
      <c r="RC156" s="207"/>
      <c r="RD156" s="272"/>
      <c r="RE156" s="272"/>
      <c r="RF156" s="205">
        <f t="shared" si="1482"/>
        <v>0</v>
      </c>
      <c r="RG156" s="207"/>
      <c r="RH156" s="207"/>
      <c r="RI156" s="207"/>
      <c r="RJ156" s="207"/>
      <c r="RK156" s="207"/>
      <c r="RL156" s="272"/>
      <c r="RM156" s="272"/>
      <c r="RN156" s="205">
        <f t="shared" si="1483"/>
        <v>0</v>
      </c>
      <c r="RO156" s="272"/>
      <c r="RP156" s="272"/>
      <c r="RQ156" s="272"/>
      <c r="RR156" s="272"/>
      <c r="RS156" s="272"/>
      <c r="RT156" s="272"/>
      <c r="RU156" s="272"/>
      <c r="RV156" s="205">
        <f t="shared" si="1484"/>
        <v>0</v>
      </c>
      <c r="RW156" s="207"/>
      <c r="RX156" s="207"/>
      <c r="RY156" s="207"/>
      <c r="RZ156" s="207"/>
      <c r="SA156" s="272"/>
      <c r="SB156" s="272"/>
      <c r="SC156" s="272"/>
      <c r="SD156" s="205">
        <f t="shared" si="1485"/>
        <v>0</v>
      </c>
      <c r="SE156" s="205">
        <f t="shared" si="1486"/>
        <v>0</v>
      </c>
      <c r="SF156" s="207"/>
      <c r="SG156" s="207"/>
      <c r="SH156" s="207"/>
      <c r="SI156" s="207"/>
      <c r="SJ156" s="207"/>
      <c r="SK156" s="272"/>
      <c r="SL156" s="272"/>
      <c r="SM156" s="205">
        <f t="shared" si="1487"/>
        <v>0</v>
      </c>
      <c r="SN156" s="207"/>
      <c r="SO156" s="207"/>
      <c r="SP156" s="207"/>
      <c r="SQ156" s="207"/>
      <c r="SR156" s="207"/>
      <c r="SS156" s="272"/>
      <c r="ST156" s="272"/>
      <c r="SU156" s="205">
        <f t="shared" si="1488"/>
        <v>0</v>
      </c>
      <c r="SV156" s="207"/>
      <c r="SW156" s="207"/>
      <c r="SX156" s="207"/>
      <c r="SY156" s="207"/>
      <c r="SZ156" s="207"/>
      <c r="TA156" s="272"/>
      <c r="TB156" s="272"/>
      <c r="TC156" s="205">
        <f t="shared" si="1489"/>
        <v>0</v>
      </c>
      <c r="TD156" s="207"/>
      <c r="TE156" s="207"/>
      <c r="TF156" s="207"/>
      <c r="TG156" s="207"/>
      <c r="TH156" s="207"/>
      <c r="TI156" s="272"/>
      <c r="TJ156" s="272"/>
      <c r="TK156" s="205">
        <f t="shared" si="1490"/>
        <v>0</v>
      </c>
      <c r="TL156" s="207"/>
      <c r="TM156" s="207"/>
      <c r="TN156" s="207"/>
      <c r="TO156" s="207"/>
      <c r="TP156" s="272"/>
      <c r="TQ156" s="272"/>
      <c r="TR156" s="272"/>
      <c r="TS156" s="205">
        <f t="shared" si="1491"/>
        <v>0</v>
      </c>
      <c r="TT156" s="205">
        <f t="shared" si="1492"/>
        <v>0</v>
      </c>
      <c r="TU156" s="272"/>
      <c r="TV156" s="207"/>
      <c r="TW156" s="207"/>
      <c r="TX156" s="207"/>
      <c r="TY156" s="207"/>
      <c r="TZ156" s="272"/>
      <c r="UA156" s="272"/>
      <c r="UB156" s="205">
        <f t="shared" si="1493"/>
        <v>0</v>
      </c>
      <c r="UC156" s="207"/>
      <c r="UD156" s="207"/>
      <c r="UE156" s="207"/>
      <c r="UF156" s="207"/>
      <c r="UG156" s="207"/>
      <c r="UH156" s="272"/>
      <c r="UI156" s="272"/>
      <c r="UJ156" s="205">
        <f t="shared" si="1494"/>
        <v>0</v>
      </c>
      <c r="UK156" s="207"/>
      <c r="UL156" s="207"/>
      <c r="UM156" s="207"/>
      <c r="UN156" s="207"/>
      <c r="UO156" s="207"/>
      <c r="UP156" s="272"/>
      <c r="UQ156" s="272"/>
      <c r="UR156" s="205">
        <f t="shared" si="1495"/>
        <v>0</v>
      </c>
      <c r="US156" s="207"/>
      <c r="UT156" s="207"/>
      <c r="UU156" s="207"/>
      <c r="UV156" s="207"/>
      <c r="UW156" s="272"/>
      <c r="UX156" s="272"/>
      <c r="UY156" s="272"/>
      <c r="UZ156" s="205">
        <f t="shared" si="1496"/>
        <v>0</v>
      </c>
      <c r="VA156" s="205">
        <f t="shared" si="1497"/>
        <v>0</v>
      </c>
      <c r="VB156" s="207"/>
      <c r="VC156" s="207"/>
      <c r="VD156" s="207"/>
      <c r="VE156" s="207"/>
      <c r="VF156" s="207"/>
      <c r="VG156" s="272"/>
      <c r="VH156" s="272"/>
      <c r="VI156" s="205">
        <f t="shared" si="1498"/>
        <v>0</v>
      </c>
      <c r="VJ156" s="207"/>
      <c r="VK156" s="207"/>
      <c r="VL156" s="207"/>
      <c r="VM156" s="207"/>
      <c r="VN156" s="207"/>
      <c r="VO156" s="272"/>
      <c r="VP156" s="272"/>
      <c r="VQ156" s="205">
        <f t="shared" si="1499"/>
        <v>0</v>
      </c>
      <c r="VR156" s="207"/>
      <c r="VS156" s="207"/>
      <c r="VT156" s="207"/>
      <c r="VU156" s="207"/>
      <c r="VV156" s="207"/>
      <c r="VW156" s="272"/>
      <c r="VX156" s="272"/>
      <c r="VY156" s="205">
        <f t="shared" si="1500"/>
        <v>0</v>
      </c>
      <c r="VZ156" s="207"/>
      <c r="WA156" s="207"/>
      <c r="WB156" s="207"/>
      <c r="WC156" s="207"/>
      <c r="WD156" s="207"/>
      <c r="WE156" s="272"/>
      <c r="WF156" s="272"/>
      <c r="WG156" s="205">
        <f t="shared" si="1501"/>
        <v>0</v>
      </c>
      <c r="WH156" s="205">
        <f t="shared" si="1502"/>
        <v>0</v>
      </c>
      <c r="WI156" s="207"/>
      <c r="WJ156" s="207"/>
      <c r="WK156" s="207"/>
      <c r="WL156" s="207"/>
      <c r="WM156" s="207"/>
      <c r="WN156" s="272"/>
      <c r="WO156" s="272"/>
      <c r="WP156" s="205">
        <f t="shared" si="1503"/>
        <v>0</v>
      </c>
      <c r="WQ156" s="207"/>
      <c r="WR156" s="207"/>
      <c r="WS156" s="207"/>
      <c r="WT156" s="207"/>
      <c r="WU156" s="207"/>
      <c r="WV156" s="272"/>
      <c r="WW156" s="272"/>
      <c r="WX156" s="205">
        <f t="shared" si="1504"/>
        <v>0</v>
      </c>
      <c r="WY156" s="207"/>
      <c r="WZ156" s="207"/>
      <c r="XA156" s="207"/>
      <c r="XB156" s="207"/>
      <c r="XC156" s="272"/>
      <c r="XD156" s="272"/>
      <c r="XE156" s="272"/>
      <c r="XF156" s="205">
        <f t="shared" si="1505"/>
        <v>0</v>
      </c>
      <c r="XG156" s="207"/>
      <c r="XH156" s="207"/>
      <c r="XI156" s="207"/>
      <c r="XJ156" s="207"/>
      <c r="XK156" s="207"/>
      <c r="XL156" s="272"/>
      <c r="XM156" s="272"/>
      <c r="XN156" s="205">
        <f t="shared" si="1506"/>
        <v>0</v>
      </c>
      <c r="XO156" s="207"/>
      <c r="XP156" s="207"/>
      <c r="XQ156" s="207"/>
      <c r="XR156" s="207"/>
      <c r="XS156" s="207"/>
      <c r="XT156" s="272"/>
      <c r="XU156" s="272"/>
      <c r="XV156" s="205">
        <f t="shared" si="1507"/>
        <v>0</v>
      </c>
      <c r="XW156" s="205">
        <f t="shared" si="1508"/>
        <v>0</v>
      </c>
      <c r="XX156" s="207"/>
      <c r="XY156" s="207"/>
      <c r="XZ156" s="207"/>
      <c r="YA156" s="207"/>
      <c r="YB156" s="207"/>
      <c r="YC156" s="272"/>
      <c r="YD156" s="272"/>
      <c r="YE156" s="205">
        <f t="shared" si="1509"/>
        <v>0</v>
      </c>
      <c r="YF156" s="207"/>
      <c r="YG156" s="207"/>
      <c r="YH156" s="207"/>
      <c r="YI156" s="207"/>
      <c r="YJ156" s="207"/>
      <c r="YK156" s="272"/>
      <c r="YL156" s="272"/>
      <c r="YM156" s="205">
        <f t="shared" si="1510"/>
        <v>0</v>
      </c>
      <c r="YN156" s="207"/>
      <c r="YO156" s="207"/>
      <c r="YP156" s="207"/>
      <c r="YQ156" s="207"/>
      <c r="YR156" s="207"/>
      <c r="YS156" s="272"/>
      <c r="YT156" s="272"/>
      <c r="YU156" s="205">
        <f t="shared" si="1511"/>
        <v>0</v>
      </c>
      <c r="YV156" s="207"/>
      <c r="YW156" s="207"/>
      <c r="YX156" s="207"/>
      <c r="YY156" s="207"/>
      <c r="YZ156" s="207"/>
      <c r="ZA156" s="272"/>
      <c r="ZB156" s="272"/>
      <c r="ZC156" s="205">
        <f t="shared" si="1512"/>
        <v>0</v>
      </c>
      <c r="ZD156" s="205">
        <f t="shared" si="1513"/>
        <v>0</v>
      </c>
      <c r="ZE156" s="207"/>
      <c r="ZF156" s="207"/>
      <c r="ZG156" s="207"/>
      <c r="ZH156" s="207"/>
      <c r="ZI156" s="207"/>
      <c r="ZJ156" s="272"/>
      <c r="ZK156" s="272"/>
      <c r="ZL156" s="205">
        <f t="shared" si="1514"/>
        <v>0</v>
      </c>
      <c r="ZM156" s="207"/>
      <c r="ZN156" s="207"/>
      <c r="ZO156" s="207"/>
      <c r="ZP156" s="207"/>
      <c r="ZQ156" s="207"/>
      <c r="ZR156" s="272"/>
      <c r="ZS156" s="272"/>
      <c r="ZT156" s="205">
        <f t="shared" si="1515"/>
        <v>0</v>
      </c>
      <c r="ZU156" s="207"/>
      <c r="ZV156" s="207"/>
      <c r="ZW156" s="207"/>
      <c r="ZX156" s="207"/>
      <c r="ZY156" s="207"/>
      <c r="ZZ156" s="272"/>
      <c r="AAA156" s="272"/>
      <c r="AAB156" s="205">
        <f t="shared" si="1516"/>
        <v>0</v>
      </c>
      <c r="AAC156" s="207"/>
      <c r="AAD156" s="207"/>
      <c r="AAE156" s="207"/>
      <c r="AAF156" s="207"/>
      <c r="AAG156" s="207"/>
      <c r="AAH156" s="272"/>
      <c r="AAI156" s="272"/>
      <c r="AAJ156" s="205">
        <f t="shared" si="1517"/>
        <v>0</v>
      </c>
      <c r="AAK156" s="207"/>
      <c r="AAL156" s="207"/>
      <c r="AAM156" s="207"/>
      <c r="AAN156" s="207"/>
      <c r="AAO156" s="207"/>
      <c r="AAP156" s="272"/>
      <c r="AAQ156" s="272"/>
      <c r="AAR156" s="205">
        <f t="shared" si="1518"/>
        <v>0</v>
      </c>
      <c r="AAS156" s="205">
        <f t="shared" si="1519"/>
        <v>0</v>
      </c>
    </row>
    <row r="157" spans="1:721" s="127" customFormat="1" ht="69.95" customHeight="1">
      <c r="A157" s="128"/>
      <c r="B157" s="130" t="s">
        <v>80</v>
      </c>
      <c r="C157" s="146"/>
      <c r="D157" s="170" t="s">
        <v>76</v>
      </c>
      <c r="E157" s="130" t="s">
        <v>4</v>
      </c>
      <c r="F157" s="120"/>
      <c r="G157" s="120"/>
      <c r="H157" s="120"/>
      <c r="I157" s="120"/>
      <c r="J157" s="120"/>
      <c r="K157" s="209"/>
      <c r="L157" s="205"/>
      <c r="M157" s="205">
        <f t="shared" si="1520"/>
        <v>0</v>
      </c>
      <c r="N157" s="120"/>
      <c r="O157" s="120"/>
      <c r="P157" s="120"/>
      <c r="Q157" s="120"/>
      <c r="R157" s="120"/>
      <c r="S157" s="209"/>
      <c r="T157" s="205"/>
      <c r="U157" s="205">
        <f t="shared" si="1521"/>
        <v>0</v>
      </c>
      <c r="V157" s="120"/>
      <c r="W157" s="120"/>
      <c r="X157" s="120"/>
      <c r="Y157" s="120"/>
      <c r="Z157" s="120"/>
      <c r="AA157" s="209"/>
      <c r="AB157" s="205"/>
      <c r="AC157" s="205">
        <f t="shared" si="1522"/>
        <v>0</v>
      </c>
      <c r="AD157" s="205"/>
      <c r="AE157" s="205"/>
      <c r="AF157" s="205"/>
      <c r="AG157" s="205"/>
      <c r="AH157" s="205"/>
      <c r="AI157" s="209"/>
      <c r="AJ157" s="205"/>
      <c r="AK157" s="205">
        <f t="shared" si="1523"/>
        <v>0</v>
      </c>
      <c r="AL157" s="205" t="e">
        <f>SUM(#REF!,M157,U157,AC157,AD157:AH157)</f>
        <v>#REF!</v>
      </c>
      <c r="AM157" s="120"/>
      <c r="AN157" s="120"/>
      <c r="AO157" s="120"/>
      <c r="AP157" s="120"/>
      <c r="AQ157" s="120"/>
      <c r="AR157" s="209"/>
      <c r="AS157" s="205"/>
      <c r="AT157" s="205">
        <f t="shared" si="1524"/>
        <v>0</v>
      </c>
      <c r="AU157" s="120"/>
      <c r="AV157" s="120"/>
      <c r="AW157" s="120"/>
      <c r="AX157" s="120"/>
      <c r="AY157" s="120"/>
      <c r="AZ157" s="209"/>
      <c r="BA157" s="205"/>
      <c r="BB157" s="205">
        <f t="shared" si="1525"/>
        <v>0</v>
      </c>
      <c r="BC157" s="120"/>
      <c r="BD157" s="120"/>
      <c r="BE157" s="120"/>
      <c r="BF157" s="120"/>
      <c r="BG157" s="120"/>
      <c r="BH157" s="209"/>
      <c r="BI157" s="205"/>
      <c r="BJ157" s="205">
        <f t="shared" si="1526"/>
        <v>0</v>
      </c>
      <c r="BK157" s="120"/>
      <c r="BL157" s="120"/>
      <c r="BM157" s="120"/>
      <c r="BN157" s="120"/>
      <c r="BO157" s="205"/>
      <c r="BP157" s="209"/>
      <c r="BQ157" s="205"/>
      <c r="BR157" s="205">
        <f t="shared" si="1527"/>
        <v>0</v>
      </c>
      <c r="BS157" s="205">
        <f t="shared" si="1427"/>
        <v>0</v>
      </c>
      <c r="BT157" s="120"/>
      <c r="BU157" s="120"/>
      <c r="BV157" s="120"/>
      <c r="BW157" s="120"/>
      <c r="BX157" s="120"/>
      <c r="BY157" s="209"/>
      <c r="BZ157" s="205"/>
      <c r="CA157" s="205">
        <f t="shared" si="1528"/>
        <v>0</v>
      </c>
      <c r="CB157" s="120"/>
      <c r="CC157" s="120"/>
      <c r="CD157" s="120"/>
      <c r="CE157" s="120"/>
      <c r="CF157" s="120"/>
      <c r="CG157" s="209"/>
      <c r="CH157" s="205"/>
      <c r="CI157" s="205">
        <f t="shared" si="1529"/>
        <v>0</v>
      </c>
      <c r="CJ157" s="120"/>
      <c r="CK157" s="120"/>
      <c r="CL157" s="120"/>
      <c r="CM157" s="120"/>
      <c r="CN157" s="120"/>
      <c r="CO157" s="209"/>
      <c r="CP157" s="205"/>
      <c r="CQ157" s="205">
        <f t="shared" si="1530"/>
        <v>0</v>
      </c>
      <c r="CR157" s="120"/>
      <c r="CS157" s="120"/>
      <c r="CT157" s="120"/>
      <c r="CU157" s="120"/>
      <c r="CV157" s="120"/>
      <c r="CW157" s="209"/>
      <c r="CX157" s="205"/>
      <c r="CY157" s="205">
        <f t="shared" si="1531"/>
        <v>0</v>
      </c>
      <c r="CZ157" s="120"/>
      <c r="DA157" s="120"/>
      <c r="DB157" s="120"/>
      <c r="DC157" s="205"/>
      <c r="DD157" s="205"/>
      <c r="DE157" s="209"/>
      <c r="DF157" s="205"/>
      <c r="DG157" s="205">
        <f t="shared" si="1532"/>
        <v>0</v>
      </c>
      <c r="DH157" s="205">
        <f t="shared" si="1428"/>
        <v>0</v>
      </c>
      <c r="DI157" s="120"/>
      <c r="DJ157" s="120"/>
      <c r="DK157" s="120"/>
      <c r="DL157" s="120"/>
      <c r="DM157" s="120"/>
      <c r="DN157" s="209"/>
      <c r="DO157" s="205"/>
      <c r="DP157" s="205">
        <f t="shared" si="1432"/>
        <v>0</v>
      </c>
      <c r="DQ157" s="120"/>
      <c r="DR157" s="120"/>
      <c r="DS157" s="120"/>
      <c r="DT157" s="120"/>
      <c r="DU157" s="120"/>
      <c r="DV157" s="209"/>
      <c r="DW157" s="205"/>
      <c r="DX157" s="205">
        <f t="shared" si="1433"/>
        <v>0</v>
      </c>
      <c r="DY157" s="120"/>
      <c r="DZ157" s="120"/>
      <c r="EA157" s="120"/>
      <c r="EB157" s="120"/>
      <c r="EC157" s="120"/>
      <c r="ED157" s="209"/>
      <c r="EE157" s="205"/>
      <c r="EF157" s="205">
        <f t="shared" si="1434"/>
        <v>0</v>
      </c>
      <c r="EG157" s="120"/>
      <c r="EH157" s="120"/>
      <c r="EI157" s="120"/>
      <c r="EJ157" s="205"/>
      <c r="EK157" s="205"/>
      <c r="EL157" s="209"/>
      <c r="EM157" s="205"/>
      <c r="EN157" s="205">
        <f t="shared" si="1435"/>
        <v>0</v>
      </c>
      <c r="EO157" s="205">
        <f t="shared" si="1429"/>
        <v>0</v>
      </c>
      <c r="EP157" s="120"/>
      <c r="EQ157" s="120"/>
      <c r="ER157" s="120"/>
      <c r="ES157" s="120"/>
      <c r="ET157" s="120"/>
      <c r="EU157" s="209"/>
      <c r="EV157" s="205"/>
      <c r="EW157" s="205">
        <f t="shared" si="1436"/>
        <v>0</v>
      </c>
      <c r="EX157" s="120"/>
      <c r="EY157" s="120"/>
      <c r="EZ157" s="120"/>
      <c r="FA157" s="120"/>
      <c r="FB157" s="120"/>
      <c r="FC157" s="209"/>
      <c r="FD157" s="205"/>
      <c r="FE157" s="205">
        <f t="shared" si="1437"/>
        <v>0</v>
      </c>
      <c r="FF157" s="120"/>
      <c r="FG157" s="120"/>
      <c r="FH157" s="120"/>
      <c r="FI157" s="120"/>
      <c r="FJ157" s="120"/>
      <c r="FK157" s="209"/>
      <c r="FL157" s="205"/>
      <c r="FM157" s="205">
        <f t="shared" si="1438"/>
        <v>0</v>
      </c>
      <c r="FN157" s="120"/>
      <c r="FO157" s="120"/>
      <c r="FP157" s="120"/>
      <c r="FQ157" s="120"/>
      <c r="FR157" s="205"/>
      <c r="FS157" s="209"/>
      <c r="FT157" s="205"/>
      <c r="FU157" s="205">
        <f t="shared" si="1439"/>
        <v>0</v>
      </c>
      <c r="FV157" s="205">
        <f t="shared" si="1430"/>
        <v>0</v>
      </c>
      <c r="FW157" s="120"/>
      <c r="FX157" s="120"/>
      <c r="FY157" s="120"/>
      <c r="FZ157" s="120"/>
      <c r="GA157" s="120"/>
      <c r="GB157" s="209"/>
      <c r="GC157" s="205"/>
      <c r="GD157" s="205">
        <f t="shared" si="1440"/>
        <v>0</v>
      </c>
      <c r="GE157" s="120"/>
      <c r="GF157" s="120"/>
      <c r="GG157" s="120"/>
      <c r="GH157" s="120"/>
      <c r="GI157" s="120"/>
      <c r="GJ157" s="209"/>
      <c r="GK157" s="205"/>
      <c r="GL157" s="205">
        <f t="shared" si="1441"/>
        <v>0</v>
      </c>
      <c r="GM157" s="120"/>
      <c r="GN157" s="120"/>
      <c r="GO157" s="120"/>
      <c r="GP157" s="120"/>
      <c r="GQ157" s="120"/>
      <c r="GR157" s="209"/>
      <c r="GS157" s="205"/>
      <c r="GT157" s="205">
        <f t="shared" si="1442"/>
        <v>0</v>
      </c>
      <c r="GU157" s="120"/>
      <c r="GV157" s="120"/>
      <c r="GW157" s="120"/>
      <c r="GX157" s="120"/>
      <c r="GY157" s="120"/>
      <c r="GZ157" s="209"/>
      <c r="HA157" s="205"/>
      <c r="HB157" s="205">
        <f t="shared" si="1443"/>
        <v>0</v>
      </c>
      <c r="HC157" s="120"/>
      <c r="HD157" s="120"/>
      <c r="HE157" s="120"/>
      <c r="HF157" s="120"/>
      <c r="HG157" s="120"/>
      <c r="HH157" s="209"/>
      <c r="HI157" s="205"/>
      <c r="HJ157" s="205">
        <f t="shared" si="1444"/>
        <v>0</v>
      </c>
      <c r="HK157" s="205">
        <f t="shared" si="1431"/>
        <v>0</v>
      </c>
      <c r="HL157" s="124"/>
      <c r="HM157" s="120"/>
      <c r="HN157" s="120"/>
      <c r="HO157" s="120"/>
      <c r="HP157" s="120"/>
      <c r="HQ157" s="205"/>
      <c r="HR157" s="205"/>
      <c r="HS157" s="205">
        <f t="shared" si="1445"/>
        <v>0</v>
      </c>
      <c r="HT157" s="120"/>
      <c r="HU157" s="120"/>
      <c r="HV157" s="120"/>
      <c r="HW157" s="120"/>
      <c r="HX157" s="120"/>
      <c r="HY157" s="205"/>
      <c r="HZ157" s="205"/>
      <c r="IA157" s="205">
        <f t="shared" si="1446"/>
        <v>0</v>
      </c>
      <c r="IB157" s="120"/>
      <c r="IC157" s="120"/>
      <c r="ID157" s="120"/>
      <c r="IE157" s="120"/>
      <c r="IF157" s="120"/>
      <c r="IG157" s="205"/>
      <c r="IH157" s="205"/>
      <c r="II157" s="205">
        <f t="shared" si="1447"/>
        <v>0</v>
      </c>
      <c r="IJ157" s="120"/>
      <c r="IK157" s="120"/>
      <c r="IL157" s="120"/>
      <c r="IM157" s="120"/>
      <c r="IN157" s="120"/>
      <c r="IO157" s="205"/>
      <c r="IP157" s="205"/>
      <c r="IQ157" s="205">
        <f t="shared" si="1448"/>
        <v>0</v>
      </c>
      <c r="IR157" s="205">
        <f t="shared" si="1449"/>
        <v>0</v>
      </c>
      <c r="IS157" s="120"/>
      <c r="IT157" s="120"/>
      <c r="IU157" s="120"/>
      <c r="IV157" s="120"/>
      <c r="IW157" s="120"/>
      <c r="IX157" s="205"/>
      <c r="IY157" s="205"/>
      <c r="IZ157" s="205">
        <f t="shared" si="1450"/>
        <v>0</v>
      </c>
      <c r="JA157" s="120"/>
      <c r="JB157" s="120"/>
      <c r="JC157" s="120"/>
      <c r="JD157" s="120"/>
      <c r="JE157" s="120"/>
      <c r="JF157" s="205"/>
      <c r="JG157" s="205"/>
      <c r="JH157" s="205">
        <f t="shared" si="1451"/>
        <v>0</v>
      </c>
      <c r="JI157" s="120"/>
      <c r="JJ157" s="120"/>
      <c r="JK157" s="120"/>
      <c r="JL157" s="120"/>
      <c r="JM157" s="120"/>
      <c r="JN157" s="205"/>
      <c r="JO157" s="205"/>
      <c r="JP157" s="205">
        <f t="shared" si="1452"/>
        <v>0</v>
      </c>
      <c r="JQ157" s="120"/>
      <c r="JR157" s="120"/>
      <c r="JS157" s="120"/>
      <c r="JT157" s="120"/>
      <c r="JU157" s="120"/>
      <c r="JV157" s="205"/>
      <c r="JW157" s="205"/>
      <c r="JX157" s="205">
        <f t="shared" si="1453"/>
        <v>0</v>
      </c>
      <c r="JY157" s="205">
        <f t="shared" si="1454"/>
        <v>0</v>
      </c>
      <c r="JZ157" s="120"/>
      <c r="KA157" s="120"/>
      <c r="KB157" s="120"/>
      <c r="KC157" s="120"/>
      <c r="KD157" s="120"/>
      <c r="KE157" s="205"/>
      <c r="KF157" s="205"/>
      <c r="KG157" s="205">
        <f t="shared" si="1455"/>
        <v>0</v>
      </c>
      <c r="KH157" s="120"/>
      <c r="KI157" s="120"/>
      <c r="KJ157" s="120"/>
      <c r="KK157" s="120"/>
      <c r="KL157" s="120"/>
      <c r="KM157" s="205"/>
      <c r="KN157" s="205"/>
      <c r="KO157" s="205">
        <f t="shared" si="1456"/>
        <v>0</v>
      </c>
      <c r="KP157" s="120"/>
      <c r="KQ157" s="120"/>
      <c r="KR157" s="120"/>
      <c r="KS157" s="120"/>
      <c r="KT157" s="120"/>
      <c r="KU157" s="205"/>
      <c r="KV157" s="205"/>
      <c r="KW157" s="205">
        <f t="shared" si="1457"/>
        <v>0</v>
      </c>
      <c r="KX157" s="120"/>
      <c r="KY157" s="120"/>
      <c r="KZ157" s="120"/>
      <c r="LA157" s="120"/>
      <c r="LB157" s="120"/>
      <c r="LC157" s="205"/>
      <c r="LD157" s="205"/>
      <c r="LE157" s="205">
        <f t="shared" si="1458"/>
        <v>0</v>
      </c>
      <c r="LF157" s="205"/>
      <c r="LG157" s="120"/>
      <c r="LH157" s="120"/>
      <c r="LI157" s="120"/>
      <c r="LJ157" s="120"/>
      <c r="LK157" s="205"/>
      <c r="LL157" s="205"/>
      <c r="LM157" s="205">
        <f t="shared" si="1459"/>
        <v>0</v>
      </c>
      <c r="LN157" s="205">
        <f t="shared" si="1460"/>
        <v>0</v>
      </c>
      <c r="LO157" s="205"/>
      <c r="LP157" s="120"/>
      <c r="LQ157" s="120"/>
      <c r="LR157" s="120"/>
      <c r="LS157" s="205"/>
      <c r="LT157" s="205"/>
      <c r="LU157" s="205"/>
      <c r="LV157" s="205">
        <f t="shared" si="1461"/>
        <v>0</v>
      </c>
      <c r="LW157" s="120"/>
      <c r="LX157" s="120"/>
      <c r="LY157" s="120"/>
      <c r="LZ157" s="120"/>
      <c r="MA157" s="120"/>
      <c r="MB157" s="205"/>
      <c r="MC157" s="205"/>
      <c r="MD157" s="205">
        <f t="shared" si="1462"/>
        <v>0</v>
      </c>
      <c r="ME157" s="120"/>
      <c r="MF157" s="120"/>
      <c r="MG157" s="120"/>
      <c r="MH157" s="120"/>
      <c r="MI157" s="205"/>
      <c r="MJ157" s="205"/>
      <c r="MK157" s="205"/>
      <c r="ML157" s="205">
        <f t="shared" si="1463"/>
        <v>0</v>
      </c>
      <c r="MM157" s="120"/>
      <c r="MN157" s="120"/>
      <c r="MO157" s="120"/>
      <c r="MP157" s="120"/>
      <c r="MQ157" s="120"/>
      <c r="MR157" s="205"/>
      <c r="MS157" s="205"/>
      <c r="MT157" s="205">
        <f t="shared" si="1464"/>
        <v>0</v>
      </c>
      <c r="MU157" s="205">
        <f t="shared" si="1465"/>
        <v>0</v>
      </c>
      <c r="MV157" s="120"/>
      <c r="MW157" s="120"/>
      <c r="MX157" s="120"/>
      <c r="MY157" s="120"/>
      <c r="MZ157" s="120"/>
      <c r="NA157" s="205"/>
      <c r="NB157" s="205"/>
      <c r="NC157" s="205">
        <f t="shared" si="1466"/>
        <v>0</v>
      </c>
      <c r="ND157" s="120"/>
      <c r="NE157" s="120"/>
      <c r="NF157" s="120"/>
      <c r="NG157" s="120"/>
      <c r="NH157" s="120"/>
      <c r="NI157" s="205"/>
      <c r="NJ157" s="205"/>
      <c r="NK157" s="205">
        <f t="shared" si="1467"/>
        <v>0</v>
      </c>
      <c r="NL157" s="120"/>
      <c r="NM157" s="120"/>
      <c r="NN157" s="120"/>
      <c r="NO157" s="120"/>
      <c r="NP157" s="120"/>
      <c r="NQ157" s="205"/>
      <c r="NR157" s="205"/>
      <c r="NS157" s="205">
        <f t="shared" si="1468"/>
        <v>0</v>
      </c>
      <c r="NT157" s="120"/>
      <c r="NU157" s="120"/>
      <c r="NV157" s="120"/>
      <c r="NW157" s="120"/>
      <c r="NX157" s="120"/>
      <c r="NY157" s="205"/>
      <c r="NZ157" s="205"/>
      <c r="OA157" s="205">
        <f t="shared" si="1469"/>
        <v>0</v>
      </c>
      <c r="OB157" s="205">
        <f t="shared" si="1470"/>
        <v>0</v>
      </c>
      <c r="OC157" s="120"/>
      <c r="OD157" s="120"/>
      <c r="OE157" s="120"/>
      <c r="OF157" s="120"/>
      <c r="OG157" s="120"/>
      <c r="OH157" s="205"/>
      <c r="OI157" s="205"/>
      <c r="OJ157" s="205">
        <f t="shared" si="1471"/>
        <v>0</v>
      </c>
      <c r="OK157" s="120"/>
      <c r="OL157" s="120"/>
      <c r="OM157" s="120"/>
      <c r="ON157" s="120"/>
      <c r="OO157" s="120"/>
      <c r="OP157" s="205"/>
      <c r="OQ157" s="205"/>
      <c r="OR157" s="205">
        <f t="shared" si="1472"/>
        <v>0</v>
      </c>
      <c r="OS157" s="120"/>
      <c r="OT157" s="120"/>
      <c r="OU157" s="120"/>
      <c r="OV157" s="120"/>
      <c r="OW157" s="120"/>
      <c r="OX157" s="205"/>
      <c r="OY157" s="205"/>
      <c r="OZ157" s="205">
        <f t="shared" si="1473"/>
        <v>0</v>
      </c>
      <c r="PA157" s="120"/>
      <c r="PB157" s="120"/>
      <c r="PC157" s="120"/>
      <c r="PD157" s="205"/>
      <c r="PE157" s="217"/>
      <c r="PF157" s="205"/>
      <c r="PG157" s="205"/>
      <c r="PH157" s="205">
        <f t="shared" si="1474"/>
        <v>0</v>
      </c>
      <c r="PI157" s="120"/>
      <c r="PJ157" s="120"/>
      <c r="PK157" s="120"/>
      <c r="PL157" s="205"/>
      <c r="PM157" s="217"/>
      <c r="PN157" s="205"/>
      <c r="PO157" s="205"/>
      <c r="PP157" s="205">
        <f t="shared" si="1475"/>
        <v>0</v>
      </c>
      <c r="PQ157" s="205">
        <f t="shared" si="1476"/>
        <v>0</v>
      </c>
      <c r="PR157" s="207"/>
      <c r="PS157" s="207"/>
      <c r="PT157" s="207"/>
      <c r="PU157" s="207"/>
      <c r="PV157" s="207"/>
      <c r="PW157" s="272"/>
      <c r="PX157" s="272"/>
      <c r="PY157" s="205">
        <f t="shared" si="1477"/>
        <v>0</v>
      </c>
      <c r="PZ157" s="207"/>
      <c r="QA157" s="207"/>
      <c r="QB157" s="207"/>
      <c r="QC157" s="207"/>
      <c r="QD157" s="207"/>
      <c r="QE157" s="272"/>
      <c r="QF157" s="272"/>
      <c r="QG157" s="205">
        <f t="shared" si="1478"/>
        <v>0</v>
      </c>
      <c r="QH157" s="207"/>
      <c r="QI157" s="207"/>
      <c r="QJ157" s="294"/>
      <c r="QK157" s="207"/>
      <c r="QL157" s="207"/>
      <c r="QM157" s="272"/>
      <c r="QN157" s="272"/>
      <c r="QO157" s="205">
        <f t="shared" si="1479"/>
        <v>0</v>
      </c>
      <c r="QP157" s="207"/>
      <c r="QQ157" s="207"/>
      <c r="QR157" s="207"/>
      <c r="QS157" s="207"/>
      <c r="QT157" s="207"/>
      <c r="QU157" s="272"/>
      <c r="QV157" s="272"/>
      <c r="QW157" s="205">
        <f t="shared" si="1480"/>
        <v>0</v>
      </c>
      <c r="QX157" s="205">
        <f t="shared" si="1481"/>
        <v>0</v>
      </c>
      <c r="QY157" s="207"/>
      <c r="QZ157" s="207"/>
      <c r="RA157" s="207"/>
      <c r="RB157" s="207"/>
      <c r="RC157" s="207"/>
      <c r="RD157" s="272"/>
      <c r="RE157" s="272"/>
      <c r="RF157" s="205">
        <f t="shared" si="1482"/>
        <v>0</v>
      </c>
      <c r="RG157" s="207"/>
      <c r="RH157" s="207"/>
      <c r="RI157" s="207"/>
      <c r="RJ157" s="207"/>
      <c r="RK157" s="207"/>
      <c r="RL157" s="272"/>
      <c r="RM157" s="272"/>
      <c r="RN157" s="205">
        <f t="shared" si="1483"/>
        <v>0</v>
      </c>
      <c r="RO157" s="272"/>
      <c r="RP157" s="272"/>
      <c r="RQ157" s="272"/>
      <c r="RR157" s="272"/>
      <c r="RS157" s="272"/>
      <c r="RT157" s="272"/>
      <c r="RU157" s="272"/>
      <c r="RV157" s="205">
        <f t="shared" si="1484"/>
        <v>0</v>
      </c>
      <c r="RW157" s="207"/>
      <c r="RX157" s="207"/>
      <c r="RY157" s="207"/>
      <c r="RZ157" s="207"/>
      <c r="SA157" s="272"/>
      <c r="SB157" s="272"/>
      <c r="SC157" s="272"/>
      <c r="SD157" s="205">
        <f t="shared" si="1485"/>
        <v>0</v>
      </c>
      <c r="SE157" s="205">
        <f t="shared" si="1486"/>
        <v>0</v>
      </c>
      <c r="SF157" s="207"/>
      <c r="SG157" s="207"/>
      <c r="SH157" s="207"/>
      <c r="SI157" s="207"/>
      <c r="SJ157" s="207"/>
      <c r="SK157" s="272"/>
      <c r="SL157" s="272"/>
      <c r="SM157" s="205">
        <f t="shared" si="1487"/>
        <v>0</v>
      </c>
      <c r="SN157" s="207"/>
      <c r="SO157" s="207"/>
      <c r="SP157" s="207"/>
      <c r="SQ157" s="207"/>
      <c r="SR157" s="207"/>
      <c r="SS157" s="272"/>
      <c r="ST157" s="272"/>
      <c r="SU157" s="205">
        <f t="shared" si="1488"/>
        <v>0</v>
      </c>
      <c r="SV157" s="207"/>
      <c r="SW157" s="207"/>
      <c r="SX157" s="207"/>
      <c r="SY157" s="207"/>
      <c r="SZ157" s="207"/>
      <c r="TA157" s="272"/>
      <c r="TB157" s="272"/>
      <c r="TC157" s="205">
        <f t="shared" si="1489"/>
        <v>0</v>
      </c>
      <c r="TD157" s="207"/>
      <c r="TE157" s="207"/>
      <c r="TF157" s="207"/>
      <c r="TG157" s="207"/>
      <c r="TH157" s="207"/>
      <c r="TI157" s="272"/>
      <c r="TJ157" s="272"/>
      <c r="TK157" s="205">
        <f t="shared" si="1490"/>
        <v>0</v>
      </c>
      <c r="TL157" s="207"/>
      <c r="TM157" s="207"/>
      <c r="TN157" s="207"/>
      <c r="TO157" s="207"/>
      <c r="TP157" s="272"/>
      <c r="TQ157" s="272"/>
      <c r="TR157" s="272"/>
      <c r="TS157" s="205">
        <f t="shared" si="1491"/>
        <v>0</v>
      </c>
      <c r="TT157" s="205">
        <f t="shared" si="1492"/>
        <v>0</v>
      </c>
      <c r="TU157" s="272"/>
      <c r="TV157" s="207"/>
      <c r="TW157" s="207"/>
      <c r="TX157" s="207"/>
      <c r="TY157" s="207"/>
      <c r="TZ157" s="272"/>
      <c r="UA157" s="272"/>
      <c r="UB157" s="205">
        <f t="shared" si="1493"/>
        <v>0</v>
      </c>
      <c r="UC157" s="207"/>
      <c r="UD157" s="207"/>
      <c r="UE157" s="207"/>
      <c r="UF157" s="207"/>
      <c r="UG157" s="207"/>
      <c r="UH157" s="272"/>
      <c r="UI157" s="272"/>
      <c r="UJ157" s="205">
        <f t="shared" si="1494"/>
        <v>0</v>
      </c>
      <c r="UK157" s="207"/>
      <c r="UL157" s="207"/>
      <c r="UM157" s="207"/>
      <c r="UN157" s="207"/>
      <c r="UO157" s="207"/>
      <c r="UP157" s="272"/>
      <c r="UQ157" s="272"/>
      <c r="UR157" s="205">
        <f t="shared" si="1495"/>
        <v>0</v>
      </c>
      <c r="US157" s="207"/>
      <c r="UT157" s="207"/>
      <c r="UU157" s="207"/>
      <c r="UV157" s="207"/>
      <c r="UW157" s="272"/>
      <c r="UX157" s="272"/>
      <c r="UY157" s="272"/>
      <c r="UZ157" s="205">
        <f t="shared" si="1496"/>
        <v>0</v>
      </c>
      <c r="VA157" s="205">
        <f t="shared" si="1497"/>
        <v>0</v>
      </c>
      <c r="VB157" s="207"/>
      <c r="VC157" s="207"/>
      <c r="VD157" s="207"/>
      <c r="VE157" s="207"/>
      <c r="VF157" s="207"/>
      <c r="VG157" s="272"/>
      <c r="VH157" s="272"/>
      <c r="VI157" s="205">
        <f t="shared" si="1498"/>
        <v>0</v>
      </c>
      <c r="VJ157" s="207"/>
      <c r="VK157" s="207"/>
      <c r="VL157" s="207"/>
      <c r="VM157" s="207"/>
      <c r="VN157" s="207"/>
      <c r="VO157" s="272"/>
      <c r="VP157" s="272"/>
      <c r="VQ157" s="205">
        <f t="shared" si="1499"/>
        <v>0</v>
      </c>
      <c r="VR157" s="207"/>
      <c r="VS157" s="207"/>
      <c r="VT157" s="207"/>
      <c r="VU157" s="207"/>
      <c r="VV157" s="207"/>
      <c r="VW157" s="272"/>
      <c r="VX157" s="272"/>
      <c r="VY157" s="205">
        <f t="shared" si="1500"/>
        <v>0</v>
      </c>
      <c r="VZ157" s="207"/>
      <c r="WA157" s="207"/>
      <c r="WB157" s="207"/>
      <c r="WC157" s="207"/>
      <c r="WD157" s="207"/>
      <c r="WE157" s="272"/>
      <c r="WF157" s="272"/>
      <c r="WG157" s="205">
        <f t="shared" si="1501"/>
        <v>0</v>
      </c>
      <c r="WH157" s="205">
        <f t="shared" si="1502"/>
        <v>0</v>
      </c>
      <c r="WI157" s="207"/>
      <c r="WJ157" s="207"/>
      <c r="WK157" s="207"/>
      <c r="WL157" s="207"/>
      <c r="WM157" s="207"/>
      <c r="WN157" s="272"/>
      <c r="WO157" s="272"/>
      <c r="WP157" s="205">
        <f t="shared" si="1503"/>
        <v>0</v>
      </c>
      <c r="WQ157" s="207"/>
      <c r="WR157" s="207"/>
      <c r="WS157" s="207"/>
      <c r="WT157" s="207"/>
      <c r="WU157" s="207"/>
      <c r="WV157" s="272"/>
      <c r="WW157" s="272"/>
      <c r="WX157" s="205">
        <f t="shared" si="1504"/>
        <v>0</v>
      </c>
      <c r="WY157" s="207"/>
      <c r="WZ157" s="207"/>
      <c r="XA157" s="207"/>
      <c r="XB157" s="207"/>
      <c r="XC157" s="272"/>
      <c r="XD157" s="272"/>
      <c r="XE157" s="272"/>
      <c r="XF157" s="205">
        <f t="shared" si="1505"/>
        <v>0</v>
      </c>
      <c r="XG157" s="207"/>
      <c r="XH157" s="207"/>
      <c r="XI157" s="207"/>
      <c r="XJ157" s="207"/>
      <c r="XK157" s="207"/>
      <c r="XL157" s="272"/>
      <c r="XM157" s="272"/>
      <c r="XN157" s="205">
        <f t="shared" si="1506"/>
        <v>0</v>
      </c>
      <c r="XO157" s="207"/>
      <c r="XP157" s="207"/>
      <c r="XQ157" s="207"/>
      <c r="XR157" s="207"/>
      <c r="XS157" s="207"/>
      <c r="XT157" s="272"/>
      <c r="XU157" s="272"/>
      <c r="XV157" s="205">
        <f t="shared" si="1507"/>
        <v>0</v>
      </c>
      <c r="XW157" s="205">
        <f t="shared" si="1508"/>
        <v>0</v>
      </c>
      <c r="XX157" s="207"/>
      <c r="XY157" s="207"/>
      <c r="XZ157" s="207"/>
      <c r="YA157" s="207"/>
      <c r="YB157" s="207"/>
      <c r="YC157" s="272"/>
      <c r="YD157" s="272"/>
      <c r="YE157" s="205">
        <f t="shared" si="1509"/>
        <v>0</v>
      </c>
      <c r="YF157" s="207"/>
      <c r="YG157" s="207"/>
      <c r="YH157" s="207"/>
      <c r="YI157" s="207"/>
      <c r="YJ157" s="207"/>
      <c r="YK157" s="272"/>
      <c r="YL157" s="272"/>
      <c r="YM157" s="205">
        <f t="shared" si="1510"/>
        <v>0</v>
      </c>
      <c r="YN157" s="207"/>
      <c r="YO157" s="207"/>
      <c r="YP157" s="207"/>
      <c r="YQ157" s="207"/>
      <c r="YR157" s="207"/>
      <c r="YS157" s="272"/>
      <c r="YT157" s="272"/>
      <c r="YU157" s="205">
        <f t="shared" si="1511"/>
        <v>0</v>
      </c>
      <c r="YV157" s="207"/>
      <c r="YW157" s="207"/>
      <c r="YX157" s="207"/>
      <c r="YY157" s="207"/>
      <c r="YZ157" s="207"/>
      <c r="ZA157" s="272"/>
      <c r="ZB157" s="272"/>
      <c r="ZC157" s="205">
        <f t="shared" si="1512"/>
        <v>0</v>
      </c>
      <c r="ZD157" s="205">
        <f t="shared" si="1513"/>
        <v>0</v>
      </c>
      <c r="ZE157" s="207"/>
      <c r="ZF157" s="207"/>
      <c r="ZG157" s="207"/>
      <c r="ZH157" s="207"/>
      <c r="ZI157" s="207"/>
      <c r="ZJ157" s="272"/>
      <c r="ZK157" s="272"/>
      <c r="ZL157" s="205">
        <f t="shared" si="1514"/>
        <v>0</v>
      </c>
      <c r="ZM157" s="207"/>
      <c r="ZN157" s="207"/>
      <c r="ZO157" s="207"/>
      <c r="ZP157" s="207"/>
      <c r="ZQ157" s="207"/>
      <c r="ZR157" s="272"/>
      <c r="ZS157" s="272"/>
      <c r="ZT157" s="205">
        <f t="shared" si="1515"/>
        <v>0</v>
      </c>
      <c r="ZU157" s="207"/>
      <c r="ZV157" s="207"/>
      <c r="ZW157" s="207"/>
      <c r="ZX157" s="207"/>
      <c r="ZY157" s="207"/>
      <c r="ZZ157" s="272"/>
      <c r="AAA157" s="272"/>
      <c r="AAB157" s="205">
        <f t="shared" si="1516"/>
        <v>0</v>
      </c>
      <c r="AAC157" s="207"/>
      <c r="AAD157" s="207"/>
      <c r="AAE157" s="207"/>
      <c r="AAF157" s="207"/>
      <c r="AAG157" s="207"/>
      <c r="AAH157" s="272"/>
      <c r="AAI157" s="272"/>
      <c r="AAJ157" s="205">
        <f t="shared" si="1517"/>
        <v>0</v>
      </c>
      <c r="AAK157" s="207"/>
      <c r="AAL157" s="207"/>
      <c r="AAM157" s="207"/>
      <c r="AAN157" s="207"/>
      <c r="AAO157" s="207"/>
      <c r="AAP157" s="272"/>
      <c r="AAQ157" s="272"/>
      <c r="AAR157" s="205">
        <f t="shared" si="1518"/>
        <v>0</v>
      </c>
      <c r="AAS157" s="205">
        <f t="shared" si="1519"/>
        <v>0</v>
      </c>
    </row>
    <row r="158" spans="1:721" ht="69.95" customHeight="1">
      <c r="B158" s="178" t="s">
        <v>48</v>
      </c>
      <c r="C158" s="339" t="s">
        <v>310</v>
      </c>
      <c r="D158" s="173" t="s">
        <v>518</v>
      </c>
      <c r="E158" s="130" t="s">
        <v>4</v>
      </c>
      <c r="F158" s="120"/>
      <c r="G158" s="120"/>
      <c r="H158" s="120"/>
      <c r="I158" s="120"/>
      <c r="J158" s="120"/>
      <c r="K158" s="209"/>
      <c r="L158" s="205"/>
      <c r="M158" s="205">
        <f t="shared" si="1520"/>
        <v>0</v>
      </c>
      <c r="N158" s="120"/>
      <c r="O158" s="120"/>
      <c r="P158" s="120"/>
      <c r="Q158" s="120"/>
      <c r="R158" s="120"/>
      <c r="S158" s="209"/>
      <c r="T158" s="205"/>
      <c r="U158" s="205">
        <f t="shared" si="1521"/>
        <v>0</v>
      </c>
      <c r="V158" s="120"/>
      <c r="W158" s="120"/>
      <c r="X158" s="120"/>
      <c r="Y158" s="120"/>
      <c r="Z158" s="120"/>
      <c r="AA158" s="209"/>
      <c r="AB158" s="205"/>
      <c r="AC158" s="205">
        <f t="shared" si="1522"/>
        <v>0</v>
      </c>
      <c r="AD158" s="205"/>
      <c r="AE158" s="205"/>
      <c r="AF158" s="205"/>
      <c r="AG158" s="205"/>
      <c r="AH158" s="205"/>
      <c r="AI158" s="209"/>
      <c r="AJ158" s="205"/>
      <c r="AK158" s="205">
        <f t="shared" si="1523"/>
        <v>0</v>
      </c>
      <c r="AL158" s="205" t="e">
        <f>SUM(#REF!,M158,U158,AC158,AD158:AH158)</f>
        <v>#REF!</v>
      </c>
      <c r="AM158" s="120"/>
      <c r="AN158" s="120"/>
      <c r="AO158" s="120"/>
      <c r="AP158" s="120"/>
      <c r="AQ158" s="120"/>
      <c r="AR158" s="209"/>
      <c r="AS158" s="205"/>
      <c r="AT158" s="205">
        <f t="shared" si="1524"/>
        <v>0</v>
      </c>
      <c r="AU158" s="120"/>
      <c r="AV158" s="120"/>
      <c r="AW158" s="120"/>
      <c r="AX158" s="120"/>
      <c r="AY158" s="120"/>
      <c r="AZ158" s="209"/>
      <c r="BA158" s="205"/>
      <c r="BB158" s="205">
        <f t="shared" si="1525"/>
        <v>0</v>
      </c>
      <c r="BC158" s="120"/>
      <c r="BD158" s="120"/>
      <c r="BE158" s="120"/>
      <c r="BF158" s="120"/>
      <c r="BG158" s="120"/>
      <c r="BH158" s="209"/>
      <c r="BI158" s="205"/>
      <c r="BJ158" s="205">
        <f t="shared" si="1526"/>
        <v>0</v>
      </c>
      <c r="BK158" s="120"/>
      <c r="BL158" s="120"/>
      <c r="BM158" s="120"/>
      <c r="BN158" s="120"/>
      <c r="BO158" s="205"/>
      <c r="BP158" s="209"/>
      <c r="BQ158" s="205"/>
      <c r="BR158" s="205">
        <f t="shared" si="1527"/>
        <v>0</v>
      </c>
      <c r="BS158" s="205">
        <f t="shared" si="1427"/>
        <v>0</v>
      </c>
      <c r="BT158" s="120"/>
      <c r="BU158" s="120"/>
      <c r="BV158" s="120"/>
      <c r="BW158" s="120"/>
      <c r="BX158" s="120"/>
      <c r="BY158" s="209"/>
      <c r="BZ158" s="205"/>
      <c r="CA158" s="205">
        <f t="shared" si="1528"/>
        <v>0</v>
      </c>
      <c r="CB158" s="120"/>
      <c r="CC158" s="120"/>
      <c r="CD158" s="120"/>
      <c r="CE158" s="120"/>
      <c r="CF158" s="120"/>
      <c r="CG158" s="209"/>
      <c r="CH158" s="205"/>
      <c r="CI158" s="205">
        <f t="shared" si="1529"/>
        <v>0</v>
      </c>
      <c r="CJ158" s="120"/>
      <c r="CK158" s="120"/>
      <c r="CL158" s="120"/>
      <c r="CM158" s="120"/>
      <c r="CN158" s="120"/>
      <c r="CO158" s="209"/>
      <c r="CP158" s="205"/>
      <c r="CQ158" s="205">
        <f t="shared" si="1530"/>
        <v>0</v>
      </c>
      <c r="CR158" s="120"/>
      <c r="CS158" s="120"/>
      <c r="CT158" s="120"/>
      <c r="CU158" s="120"/>
      <c r="CV158" s="120"/>
      <c r="CW158" s="209"/>
      <c r="CX158" s="205"/>
      <c r="CY158" s="205">
        <f t="shared" si="1531"/>
        <v>0</v>
      </c>
      <c r="CZ158" s="120"/>
      <c r="DA158" s="120"/>
      <c r="DB158" s="120"/>
      <c r="DC158" s="205"/>
      <c r="DD158" s="205"/>
      <c r="DE158" s="209"/>
      <c r="DF158" s="205"/>
      <c r="DG158" s="205">
        <f t="shared" si="1532"/>
        <v>0</v>
      </c>
      <c r="DH158" s="205">
        <f t="shared" si="1428"/>
        <v>0</v>
      </c>
      <c r="DI158" s="120"/>
      <c r="DJ158" s="120"/>
      <c r="DK158" s="120"/>
      <c r="DL158" s="120"/>
      <c r="DM158" s="120"/>
      <c r="DN158" s="209"/>
      <c r="DO158" s="205"/>
      <c r="DP158" s="205">
        <f t="shared" si="1432"/>
        <v>0</v>
      </c>
      <c r="DQ158" s="120"/>
      <c r="DR158" s="120"/>
      <c r="DS158" s="120"/>
      <c r="DT158" s="120"/>
      <c r="DU158" s="120"/>
      <c r="DV158" s="209"/>
      <c r="DW158" s="205"/>
      <c r="DX158" s="205">
        <f t="shared" si="1433"/>
        <v>0</v>
      </c>
      <c r="DY158" s="120"/>
      <c r="DZ158" s="120"/>
      <c r="EA158" s="120"/>
      <c r="EB158" s="120"/>
      <c r="EC158" s="120"/>
      <c r="ED158" s="209"/>
      <c r="EE158" s="205"/>
      <c r="EF158" s="205">
        <f t="shared" si="1434"/>
        <v>0</v>
      </c>
      <c r="EG158" s="120"/>
      <c r="EH158" s="120"/>
      <c r="EI158" s="120"/>
      <c r="EJ158" s="205"/>
      <c r="EK158" s="205"/>
      <c r="EL158" s="209"/>
      <c r="EM158" s="205"/>
      <c r="EN158" s="205">
        <f t="shared" si="1435"/>
        <v>0</v>
      </c>
      <c r="EO158" s="205">
        <f t="shared" si="1429"/>
        <v>0</v>
      </c>
      <c r="EP158" s="120"/>
      <c r="EQ158" s="120"/>
      <c r="ER158" s="120"/>
      <c r="ES158" s="120"/>
      <c r="ET158" s="120"/>
      <c r="EU158" s="209"/>
      <c r="EV158" s="205"/>
      <c r="EW158" s="205">
        <f t="shared" si="1436"/>
        <v>0</v>
      </c>
      <c r="EX158" s="120"/>
      <c r="EY158" s="120"/>
      <c r="EZ158" s="120"/>
      <c r="FA158" s="120"/>
      <c r="FB158" s="120"/>
      <c r="FC158" s="209"/>
      <c r="FD158" s="205"/>
      <c r="FE158" s="205">
        <f t="shared" si="1437"/>
        <v>0</v>
      </c>
      <c r="FF158" s="120"/>
      <c r="FG158" s="120"/>
      <c r="FH158" s="120"/>
      <c r="FI158" s="120"/>
      <c r="FJ158" s="120"/>
      <c r="FK158" s="209"/>
      <c r="FL158" s="205"/>
      <c r="FM158" s="205">
        <f t="shared" si="1438"/>
        <v>0</v>
      </c>
      <c r="FN158" s="120"/>
      <c r="FO158" s="120"/>
      <c r="FP158" s="120"/>
      <c r="FQ158" s="120"/>
      <c r="FR158" s="205"/>
      <c r="FS158" s="209"/>
      <c r="FT158" s="205"/>
      <c r="FU158" s="205">
        <f t="shared" si="1439"/>
        <v>0</v>
      </c>
      <c r="FV158" s="205">
        <f t="shared" si="1430"/>
        <v>0</v>
      </c>
      <c r="FW158" s="120"/>
      <c r="FX158" s="120"/>
      <c r="FY158" s="120"/>
      <c r="FZ158" s="120"/>
      <c r="GA158" s="120"/>
      <c r="GB158" s="209"/>
      <c r="GC158" s="205"/>
      <c r="GD158" s="205">
        <f t="shared" si="1440"/>
        <v>0</v>
      </c>
      <c r="GE158" s="120"/>
      <c r="GF158" s="120"/>
      <c r="GG158" s="120"/>
      <c r="GH158" s="120"/>
      <c r="GI158" s="120"/>
      <c r="GJ158" s="209"/>
      <c r="GK158" s="205"/>
      <c r="GL158" s="205">
        <f t="shared" si="1441"/>
        <v>0</v>
      </c>
      <c r="GM158" s="120"/>
      <c r="GN158" s="120"/>
      <c r="GO158" s="120"/>
      <c r="GP158" s="120"/>
      <c r="GQ158" s="120"/>
      <c r="GR158" s="209"/>
      <c r="GS158" s="205"/>
      <c r="GT158" s="205">
        <f t="shared" si="1442"/>
        <v>0</v>
      </c>
      <c r="GU158" s="120"/>
      <c r="GV158" s="120"/>
      <c r="GW158" s="120"/>
      <c r="GX158" s="120"/>
      <c r="GY158" s="120"/>
      <c r="GZ158" s="209"/>
      <c r="HA158" s="205"/>
      <c r="HB158" s="205">
        <f t="shared" si="1443"/>
        <v>0</v>
      </c>
      <c r="HC158" s="120"/>
      <c r="HD158" s="120"/>
      <c r="HE158" s="120"/>
      <c r="HF158" s="120"/>
      <c r="HG158" s="120"/>
      <c r="HH158" s="209"/>
      <c r="HI158" s="205"/>
      <c r="HJ158" s="205">
        <f t="shared" si="1444"/>
        <v>0</v>
      </c>
      <c r="HK158" s="205">
        <f t="shared" si="1431"/>
        <v>0</v>
      </c>
      <c r="HL158" s="124"/>
      <c r="HM158" s="120"/>
      <c r="HN158" s="120"/>
      <c r="HO158" s="120"/>
      <c r="HP158" s="120"/>
      <c r="HQ158" s="205"/>
      <c r="HR158" s="205"/>
      <c r="HS158" s="205">
        <f t="shared" si="1445"/>
        <v>0</v>
      </c>
      <c r="HT158" s="120"/>
      <c r="HU158" s="120"/>
      <c r="HV158" s="120"/>
      <c r="HW158" s="120"/>
      <c r="HX158" s="120"/>
      <c r="HY158" s="205"/>
      <c r="HZ158" s="205"/>
      <c r="IA158" s="205">
        <f t="shared" si="1446"/>
        <v>0</v>
      </c>
      <c r="IB158" s="120"/>
      <c r="IC158" s="120"/>
      <c r="ID158" s="120"/>
      <c r="IE158" s="120"/>
      <c r="IF158" s="120"/>
      <c r="IG158" s="205"/>
      <c r="IH158" s="205"/>
      <c r="II158" s="205">
        <f t="shared" si="1447"/>
        <v>0</v>
      </c>
      <c r="IJ158" s="120"/>
      <c r="IK158" s="120"/>
      <c r="IL158" s="120"/>
      <c r="IM158" s="120"/>
      <c r="IN158" s="120"/>
      <c r="IO158" s="205"/>
      <c r="IP158" s="205"/>
      <c r="IQ158" s="205">
        <f t="shared" si="1448"/>
        <v>0</v>
      </c>
      <c r="IR158" s="205">
        <f t="shared" si="1449"/>
        <v>0</v>
      </c>
      <c r="IS158" s="120"/>
      <c r="IT158" s="120"/>
      <c r="IU158" s="120"/>
      <c r="IV158" s="120"/>
      <c r="IW158" s="120"/>
      <c r="IX158" s="205"/>
      <c r="IY158" s="205"/>
      <c r="IZ158" s="205">
        <f t="shared" si="1450"/>
        <v>0</v>
      </c>
      <c r="JA158" s="120"/>
      <c r="JB158" s="120"/>
      <c r="JC158" s="120"/>
      <c r="JD158" s="120"/>
      <c r="JE158" s="120"/>
      <c r="JF158" s="205"/>
      <c r="JG158" s="205"/>
      <c r="JH158" s="205">
        <f t="shared" si="1451"/>
        <v>0</v>
      </c>
      <c r="JI158" s="120"/>
      <c r="JJ158" s="120"/>
      <c r="JK158" s="120"/>
      <c r="JL158" s="120"/>
      <c r="JM158" s="120"/>
      <c r="JN158" s="205"/>
      <c r="JO158" s="205"/>
      <c r="JP158" s="205">
        <f t="shared" si="1452"/>
        <v>0</v>
      </c>
      <c r="JQ158" s="120"/>
      <c r="JR158" s="120"/>
      <c r="JS158" s="120"/>
      <c r="JT158" s="120"/>
      <c r="JU158" s="120"/>
      <c r="JV158" s="205"/>
      <c r="JW158" s="205"/>
      <c r="JX158" s="205">
        <f t="shared" si="1453"/>
        <v>0</v>
      </c>
      <c r="JY158" s="205">
        <f t="shared" si="1454"/>
        <v>0</v>
      </c>
      <c r="JZ158" s="120"/>
      <c r="KA158" s="120"/>
      <c r="KB158" s="120"/>
      <c r="KC158" s="120"/>
      <c r="KD158" s="120"/>
      <c r="KE158" s="205"/>
      <c r="KF158" s="205"/>
      <c r="KG158" s="205">
        <f t="shared" si="1455"/>
        <v>0</v>
      </c>
      <c r="KH158" s="120"/>
      <c r="KI158" s="120"/>
      <c r="KJ158" s="120"/>
      <c r="KK158" s="120"/>
      <c r="KL158" s="120"/>
      <c r="KM158" s="205"/>
      <c r="KN158" s="205"/>
      <c r="KO158" s="205">
        <f t="shared" si="1456"/>
        <v>0</v>
      </c>
      <c r="KP158" s="120"/>
      <c r="KQ158" s="120"/>
      <c r="KR158" s="120"/>
      <c r="KS158" s="120"/>
      <c r="KT158" s="120"/>
      <c r="KU158" s="205"/>
      <c r="KV158" s="205"/>
      <c r="KW158" s="205">
        <f t="shared" si="1457"/>
        <v>0</v>
      </c>
      <c r="KX158" s="120"/>
      <c r="KY158" s="120"/>
      <c r="KZ158" s="120"/>
      <c r="LA158" s="120"/>
      <c r="LB158" s="120"/>
      <c r="LC158" s="205"/>
      <c r="LD158" s="205"/>
      <c r="LE158" s="205">
        <f t="shared" si="1458"/>
        <v>0</v>
      </c>
      <c r="LF158" s="205"/>
      <c r="LG158" s="120"/>
      <c r="LH158" s="120"/>
      <c r="LI158" s="120"/>
      <c r="LJ158" s="120"/>
      <c r="LK158" s="205"/>
      <c r="LL158" s="205"/>
      <c r="LM158" s="205">
        <f t="shared" si="1459"/>
        <v>0</v>
      </c>
      <c r="LN158" s="205">
        <f t="shared" si="1460"/>
        <v>0</v>
      </c>
      <c r="LO158" s="205"/>
      <c r="LP158" s="120"/>
      <c r="LQ158" s="120"/>
      <c r="LR158" s="120"/>
      <c r="LS158" s="205"/>
      <c r="LT158" s="205"/>
      <c r="LU158" s="205"/>
      <c r="LV158" s="205">
        <f t="shared" si="1461"/>
        <v>0</v>
      </c>
      <c r="LW158" s="120"/>
      <c r="LX158" s="120"/>
      <c r="LY158" s="120"/>
      <c r="LZ158" s="120"/>
      <c r="MA158" s="120"/>
      <c r="MB158" s="205"/>
      <c r="MC158" s="205"/>
      <c r="MD158" s="205">
        <f t="shared" si="1462"/>
        <v>0</v>
      </c>
      <c r="ME158" s="120"/>
      <c r="MF158" s="120"/>
      <c r="MG158" s="120"/>
      <c r="MH158" s="120"/>
      <c r="MI158" s="205"/>
      <c r="MJ158" s="205"/>
      <c r="MK158" s="205"/>
      <c r="ML158" s="205">
        <f t="shared" si="1463"/>
        <v>0</v>
      </c>
      <c r="MM158" s="120"/>
      <c r="MN158" s="120"/>
      <c r="MO158" s="120"/>
      <c r="MP158" s="120"/>
      <c r="MQ158" s="120"/>
      <c r="MR158" s="205"/>
      <c r="MS158" s="205"/>
      <c r="MT158" s="205">
        <f t="shared" si="1464"/>
        <v>0</v>
      </c>
      <c r="MU158" s="205">
        <f t="shared" si="1465"/>
        <v>0</v>
      </c>
      <c r="MV158" s="120"/>
      <c r="MW158" s="120"/>
      <c r="MX158" s="120"/>
      <c r="MY158" s="120"/>
      <c r="MZ158" s="120"/>
      <c r="NA158" s="205"/>
      <c r="NB158" s="205"/>
      <c r="NC158" s="205">
        <f t="shared" si="1466"/>
        <v>0</v>
      </c>
      <c r="ND158" s="120"/>
      <c r="NE158" s="120"/>
      <c r="NF158" s="120"/>
      <c r="NG158" s="120"/>
      <c r="NH158" s="120"/>
      <c r="NI158" s="205"/>
      <c r="NJ158" s="205"/>
      <c r="NK158" s="205">
        <f t="shared" si="1467"/>
        <v>0</v>
      </c>
      <c r="NL158" s="120"/>
      <c r="NM158" s="120"/>
      <c r="NN158" s="120"/>
      <c r="NO158" s="120"/>
      <c r="NP158" s="120"/>
      <c r="NQ158" s="205"/>
      <c r="NR158" s="205"/>
      <c r="NS158" s="205">
        <f t="shared" si="1468"/>
        <v>0</v>
      </c>
      <c r="NT158" s="120"/>
      <c r="NU158" s="120"/>
      <c r="NV158" s="120"/>
      <c r="NW158" s="120"/>
      <c r="NX158" s="120"/>
      <c r="NY158" s="205"/>
      <c r="NZ158" s="205"/>
      <c r="OA158" s="205">
        <f t="shared" si="1469"/>
        <v>0</v>
      </c>
      <c r="OB158" s="205">
        <f t="shared" si="1470"/>
        <v>0</v>
      </c>
      <c r="OC158" s="120"/>
      <c r="OD158" s="120"/>
      <c r="OE158" s="120"/>
      <c r="OF158" s="120"/>
      <c r="OG158" s="120"/>
      <c r="OH158" s="205"/>
      <c r="OI158" s="205"/>
      <c r="OJ158" s="205">
        <f t="shared" si="1471"/>
        <v>0</v>
      </c>
      <c r="OK158" s="120"/>
      <c r="OL158" s="120"/>
      <c r="OM158" s="120"/>
      <c r="ON158" s="120"/>
      <c r="OO158" s="120"/>
      <c r="OP158" s="205"/>
      <c r="OQ158" s="205"/>
      <c r="OR158" s="205">
        <f t="shared" si="1472"/>
        <v>0</v>
      </c>
      <c r="OS158" s="120"/>
      <c r="OT158" s="120"/>
      <c r="OU158" s="120"/>
      <c r="OV158" s="120"/>
      <c r="OW158" s="120"/>
      <c r="OX158" s="205"/>
      <c r="OY158" s="205"/>
      <c r="OZ158" s="205">
        <f t="shared" si="1473"/>
        <v>0</v>
      </c>
      <c r="PA158" s="120"/>
      <c r="PB158" s="120"/>
      <c r="PC158" s="120"/>
      <c r="PD158" s="205"/>
      <c r="PE158" s="217"/>
      <c r="PF158" s="205"/>
      <c r="PG158" s="205"/>
      <c r="PH158" s="205">
        <f t="shared" si="1474"/>
        <v>0</v>
      </c>
      <c r="PI158" s="120"/>
      <c r="PJ158" s="120"/>
      <c r="PK158" s="120"/>
      <c r="PL158" s="205"/>
      <c r="PM158" s="217"/>
      <c r="PN158" s="205"/>
      <c r="PO158" s="205"/>
      <c r="PP158" s="205">
        <f t="shared" si="1475"/>
        <v>0</v>
      </c>
      <c r="PQ158" s="205">
        <f t="shared" si="1476"/>
        <v>0</v>
      </c>
      <c r="PR158" s="207"/>
      <c r="PS158" s="207"/>
      <c r="PT158" s="207"/>
      <c r="PU158" s="207"/>
      <c r="PV158" s="207"/>
      <c r="PW158" s="272"/>
      <c r="PX158" s="272"/>
      <c r="PY158" s="205">
        <f t="shared" si="1477"/>
        <v>0</v>
      </c>
      <c r="PZ158" s="207"/>
      <c r="QA158" s="207"/>
      <c r="QB158" s="207"/>
      <c r="QC158" s="207"/>
      <c r="QD158" s="207"/>
      <c r="QE158" s="272"/>
      <c r="QF158" s="272"/>
      <c r="QG158" s="205">
        <f t="shared" si="1478"/>
        <v>0</v>
      </c>
      <c r="QH158" s="207"/>
      <c r="QI158" s="207"/>
      <c r="QJ158" s="294"/>
      <c r="QK158" s="207"/>
      <c r="QL158" s="207"/>
      <c r="QM158" s="272"/>
      <c r="QN158" s="272"/>
      <c r="QO158" s="205">
        <f t="shared" si="1479"/>
        <v>0</v>
      </c>
      <c r="QP158" s="207"/>
      <c r="QQ158" s="207"/>
      <c r="QR158" s="207"/>
      <c r="QS158" s="207"/>
      <c r="QT158" s="207"/>
      <c r="QU158" s="272"/>
      <c r="QV158" s="272"/>
      <c r="QW158" s="205">
        <f t="shared" si="1480"/>
        <v>0</v>
      </c>
      <c r="QX158" s="205">
        <f t="shared" si="1481"/>
        <v>0</v>
      </c>
      <c r="QY158" s="207"/>
      <c r="QZ158" s="207"/>
      <c r="RA158" s="207"/>
      <c r="RB158" s="207"/>
      <c r="RC158" s="207"/>
      <c r="RD158" s="272"/>
      <c r="RE158" s="272"/>
      <c r="RF158" s="205">
        <f t="shared" si="1482"/>
        <v>0</v>
      </c>
      <c r="RG158" s="207"/>
      <c r="RH158" s="207"/>
      <c r="RI158" s="207"/>
      <c r="RJ158" s="207"/>
      <c r="RK158" s="207"/>
      <c r="RL158" s="272"/>
      <c r="RM158" s="272"/>
      <c r="RN158" s="205">
        <f t="shared" si="1483"/>
        <v>0</v>
      </c>
      <c r="RO158" s="272"/>
      <c r="RP158" s="272"/>
      <c r="RQ158" s="272"/>
      <c r="RR158" s="272"/>
      <c r="RS158" s="272"/>
      <c r="RT158" s="272"/>
      <c r="RU158" s="272"/>
      <c r="RV158" s="205">
        <f t="shared" si="1484"/>
        <v>0</v>
      </c>
      <c r="RW158" s="207"/>
      <c r="RX158" s="207"/>
      <c r="RY158" s="207"/>
      <c r="RZ158" s="207"/>
      <c r="SA158" s="272"/>
      <c r="SB158" s="272"/>
      <c r="SC158" s="272"/>
      <c r="SD158" s="205">
        <f t="shared" si="1485"/>
        <v>0</v>
      </c>
      <c r="SE158" s="205">
        <f t="shared" si="1486"/>
        <v>0</v>
      </c>
      <c r="SF158" s="207"/>
      <c r="SG158" s="207"/>
      <c r="SH158" s="207"/>
      <c r="SI158" s="207"/>
      <c r="SJ158" s="207"/>
      <c r="SK158" s="272"/>
      <c r="SL158" s="272"/>
      <c r="SM158" s="205">
        <f t="shared" si="1487"/>
        <v>0</v>
      </c>
      <c r="SN158" s="207"/>
      <c r="SO158" s="207"/>
      <c r="SP158" s="207"/>
      <c r="SQ158" s="207"/>
      <c r="SR158" s="207"/>
      <c r="SS158" s="272"/>
      <c r="ST158" s="272"/>
      <c r="SU158" s="205">
        <f t="shared" si="1488"/>
        <v>0</v>
      </c>
      <c r="SV158" s="207"/>
      <c r="SW158" s="207"/>
      <c r="SX158" s="207"/>
      <c r="SY158" s="207"/>
      <c r="SZ158" s="207"/>
      <c r="TA158" s="272"/>
      <c r="TB158" s="272"/>
      <c r="TC158" s="205">
        <f t="shared" si="1489"/>
        <v>0</v>
      </c>
      <c r="TD158" s="207"/>
      <c r="TE158" s="207"/>
      <c r="TF158" s="207"/>
      <c r="TG158" s="207"/>
      <c r="TH158" s="207"/>
      <c r="TI158" s="272"/>
      <c r="TJ158" s="272"/>
      <c r="TK158" s="205">
        <f t="shared" si="1490"/>
        <v>0</v>
      </c>
      <c r="TL158" s="207"/>
      <c r="TM158" s="207"/>
      <c r="TN158" s="207"/>
      <c r="TO158" s="207"/>
      <c r="TP158" s="272"/>
      <c r="TQ158" s="272"/>
      <c r="TR158" s="272"/>
      <c r="TS158" s="205">
        <f t="shared" si="1491"/>
        <v>0</v>
      </c>
      <c r="TT158" s="205">
        <f t="shared" si="1492"/>
        <v>0</v>
      </c>
      <c r="TU158" s="272"/>
      <c r="TV158" s="207"/>
      <c r="TW158" s="207"/>
      <c r="TX158" s="207"/>
      <c r="TY158" s="207"/>
      <c r="TZ158" s="272"/>
      <c r="UA158" s="272"/>
      <c r="UB158" s="205">
        <f t="shared" si="1493"/>
        <v>0</v>
      </c>
      <c r="UC158" s="207"/>
      <c r="UD158" s="207"/>
      <c r="UE158" s="207"/>
      <c r="UF158" s="207"/>
      <c r="UG158" s="207"/>
      <c r="UH158" s="272"/>
      <c r="UI158" s="272"/>
      <c r="UJ158" s="205">
        <f t="shared" si="1494"/>
        <v>0</v>
      </c>
      <c r="UK158" s="207"/>
      <c r="UL158" s="207"/>
      <c r="UM158" s="207"/>
      <c r="UN158" s="207"/>
      <c r="UO158" s="207"/>
      <c r="UP158" s="272"/>
      <c r="UQ158" s="272"/>
      <c r="UR158" s="205">
        <f>SUM(UK158:UQ158)</f>
        <v>0</v>
      </c>
      <c r="US158" s="207"/>
      <c r="UT158" s="207"/>
      <c r="UU158" s="207"/>
      <c r="UV158" s="207"/>
      <c r="UW158" s="272"/>
      <c r="UX158" s="272"/>
      <c r="UY158" s="272"/>
      <c r="UZ158" s="205">
        <f t="shared" si="1496"/>
        <v>0</v>
      </c>
      <c r="VA158" s="205">
        <f t="shared" si="1497"/>
        <v>0</v>
      </c>
      <c r="VB158" s="207"/>
      <c r="VC158" s="207"/>
      <c r="VD158" s="207"/>
      <c r="VE158" s="207"/>
      <c r="VF158" s="207"/>
      <c r="VG158" s="272"/>
      <c r="VH158" s="272"/>
      <c r="VI158" s="205">
        <f t="shared" si="1498"/>
        <v>0</v>
      </c>
      <c r="VJ158" s="207"/>
      <c r="VK158" s="207"/>
      <c r="VL158" s="207"/>
      <c r="VM158" s="207"/>
      <c r="VN158" s="207"/>
      <c r="VO158" s="272"/>
      <c r="VP158" s="272"/>
      <c r="VQ158" s="205">
        <f t="shared" si="1499"/>
        <v>0</v>
      </c>
      <c r="VR158" s="207"/>
      <c r="VS158" s="207"/>
      <c r="VT158" s="207"/>
      <c r="VU158" s="207"/>
      <c r="VV158" s="207"/>
      <c r="VW158" s="272"/>
      <c r="VX158" s="272"/>
      <c r="VY158" s="205">
        <f t="shared" si="1500"/>
        <v>0</v>
      </c>
      <c r="VZ158" s="207"/>
      <c r="WA158" s="207"/>
      <c r="WB158" s="207"/>
      <c r="WC158" s="207"/>
      <c r="WD158" s="207"/>
      <c r="WE158" s="272"/>
      <c r="WF158" s="272"/>
      <c r="WG158" s="205">
        <f t="shared" si="1501"/>
        <v>0</v>
      </c>
      <c r="WH158" s="205">
        <f t="shared" si="1502"/>
        <v>0</v>
      </c>
      <c r="WI158" s="207"/>
      <c r="WJ158" s="207"/>
      <c r="WK158" s="207"/>
      <c r="WL158" s="207"/>
      <c r="WM158" s="207"/>
      <c r="WN158" s="272"/>
      <c r="WO158" s="272"/>
      <c r="WP158" s="205">
        <f t="shared" si="1503"/>
        <v>0</v>
      </c>
      <c r="WQ158" s="207"/>
      <c r="WR158" s="207"/>
      <c r="WS158" s="207"/>
      <c r="WT158" s="207"/>
      <c r="WU158" s="207"/>
      <c r="WV158" s="272"/>
      <c r="WW158" s="272"/>
      <c r="WX158" s="205">
        <f t="shared" si="1504"/>
        <v>0</v>
      </c>
      <c r="WY158" s="207"/>
      <c r="WZ158" s="207"/>
      <c r="XA158" s="207"/>
      <c r="XB158" s="207"/>
      <c r="XC158" s="272"/>
      <c r="XD158" s="272"/>
      <c r="XE158" s="272"/>
      <c r="XF158" s="205">
        <f t="shared" si="1505"/>
        <v>0</v>
      </c>
      <c r="XG158" s="207"/>
      <c r="XH158" s="207"/>
      <c r="XI158" s="207"/>
      <c r="XJ158" s="207"/>
      <c r="XK158" s="207"/>
      <c r="XL158" s="272"/>
      <c r="XM158" s="272"/>
      <c r="XN158" s="205">
        <f t="shared" si="1506"/>
        <v>0</v>
      </c>
      <c r="XO158" s="207"/>
      <c r="XP158" s="207"/>
      <c r="XQ158" s="207"/>
      <c r="XR158" s="207"/>
      <c r="XS158" s="207"/>
      <c r="XT158" s="272"/>
      <c r="XU158" s="272"/>
      <c r="XV158" s="205">
        <f t="shared" si="1507"/>
        <v>0</v>
      </c>
      <c r="XW158" s="205">
        <f t="shared" si="1508"/>
        <v>0</v>
      </c>
      <c r="XX158" s="207"/>
      <c r="XY158" s="207"/>
      <c r="XZ158" s="207"/>
      <c r="YA158" s="207"/>
      <c r="YB158" s="207"/>
      <c r="YC158" s="272"/>
      <c r="YD158" s="272"/>
      <c r="YE158" s="205">
        <f t="shared" si="1509"/>
        <v>0</v>
      </c>
      <c r="YF158" s="207"/>
      <c r="YG158" s="207"/>
      <c r="YH158" s="207"/>
      <c r="YI158" s="207"/>
      <c r="YJ158" s="207"/>
      <c r="YK158" s="272"/>
      <c r="YL158" s="272"/>
      <c r="YM158" s="205">
        <f t="shared" si="1510"/>
        <v>0</v>
      </c>
      <c r="YN158" s="207"/>
      <c r="YO158" s="207"/>
      <c r="YP158" s="207"/>
      <c r="YQ158" s="207"/>
      <c r="YR158" s="207"/>
      <c r="YS158" s="272"/>
      <c r="YT158" s="272"/>
      <c r="YU158" s="205">
        <f t="shared" si="1511"/>
        <v>0</v>
      </c>
      <c r="YV158" s="207"/>
      <c r="YW158" s="207"/>
      <c r="YX158" s="207"/>
      <c r="YY158" s="207"/>
      <c r="YZ158" s="207"/>
      <c r="ZA158" s="272"/>
      <c r="ZB158" s="272"/>
      <c r="ZC158" s="205">
        <f t="shared" si="1512"/>
        <v>0</v>
      </c>
      <c r="ZD158" s="205">
        <f t="shared" si="1513"/>
        <v>0</v>
      </c>
      <c r="ZE158" s="207"/>
      <c r="ZF158" s="207"/>
      <c r="ZG158" s="207"/>
      <c r="ZH158" s="207"/>
      <c r="ZI158" s="207"/>
      <c r="ZJ158" s="272"/>
      <c r="ZK158" s="272"/>
      <c r="ZL158" s="205">
        <f t="shared" si="1514"/>
        <v>0</v>
      </c>
      <c r="ZM158" s="207"/>
      <c r="ZN158" s="207"/>
      <c r="ZO158" s="207"/>
      <c r="ZP158" s="207"/>
      <c r="ZQ158" s="207"/>
      <c r="ZR158" s="272"/>
      <c r="ZS158" s="272"/>
      <c r="ZT158" s="205">
        <f t="shared" si="1515"/>
        <v>0</v>
      </c>
      <c r="ZU158" s="207"/>
      <c r="ZV158" s="207"/>
      <c r="ZW158" s="207"/>
      <c r="ZX158" s="207"/>
      <c r="ZY158" s="207"/>
      <c r="ZZ158" s="272"/>
      <c r="AAA158" s="272"/>
      <c r="AAB158" s="205">
        <f t="shared" si="1516"/>
        <v>0</v>
      </c>
      <c r="AAC158" s="207"/>
      <c r="AAD158" s="207"/>
      <c r="AAE158" s="207"/>
      <c r="AAF158" s="207"/>
      <c r="AAG158" s="207"/>
      <c r="AAH158" s="272"/>
      <c r="AAI158" s="272"/>
      <c r="AAJ158" s="205">
        <f t="shared" si="1517"/>
        <v>0</v>
      </c>
      <c r="AAK158" s="207"/>
      <c r="AAL158" s="207"/>
      <c r="AAM158" s="207"/>
      <c r="AAN158" s="207"/>
      <c r="AAO158" s="207"/>
      <c r="AAP158" s="272"/>
      <c r="AAQ158" s="272"/>
      <c r="AAR158" s="205">
        <f t="shared" si="1518"/>
        <v>0</v>
      </c>
      <c r="AAS158" s="205">
        <f t="shared" si="1519"/>
        <v>0</v>
      </c>
    </row>
    <row r="159" spans="1:721" ht="69.95" customHeight="1">
      <c r="A159" s="117" t="s">
        <v>743</v>
      </c>
      <c r="B159" s="179">
        <v>5711500264</v>
      </c>
      <c r="C159" s="344" t="s">
        <v>887</v>
      </c>
      <c r="D159" s="213" t="s">
        <v>397</v>
      </c>
      <c r="E159" s="130" t="s">
        <v>4</v>
      </c>
      <c r="F159" s="120"/>
      <c r="G159" s="120"/>
      <c r="H159" s="124">
        <v>500</v>
      </c>
      <c r="I159" s="120"/>
      <c r="J159" s="120"/>
      <c r="K159" s="209"/>
      <c r="L159" s="205"/>
      <c r="M159" s="205">
        <f t="shared" si="1520"/>
        <v>500</v>
      </c>
      <c r="N159" s="120"/>
      <c r="O159" s="120"/>
      <c r="P159" s="120"/>
      <c r="Q159" s="120"/>
      <c r="R159" s="120"/>
      <c r="S159" s="209"/>
      <c r="T159" s="205"/>
      <c r="U159" s="205">
        <f t="shared" si="1521"/>
        <v>0</v>
      </c>
      <c r="V159" s="120"/>
      <c r="W159" s="120"/>
      <c r="X159" s="201">
        <v>500</v>
      </c>
      <c r="Y159" s="120"/>
      <c r="Z159" s="120"/>
      <c r="AA159" s="209"/>
      <c r="AB159" s="205"/>
      <c r="AC159" s="205">
        <f t="shared" si="1522"/>
        <v>500</v>
      </c>
      <c r="AD159" s="205"/>
      <c r="AE159" s="205"/>
      <c r="AF159" s="205"/>
      <c r="AG159" s="205"/>
      <c r="AH159" s="205"/>
      <c r="AI159" s="209"/>
      <c r="AJ159" s="205"/>
      <c r="AK159" s="205">
        <f t="shared" si="1523"/>
        <v>0</v>
      </c>
      <c r="AL159" s="205" t="e">
        <f>SUM(#REF!,M159,U159,AC159,AD159:AH159)</f>
        <v>#REF!</v>
      </c>
      <c r="AM159" s="120"/>
      <c r="AN159" s="120"/>
      <c r="AO159" s="120"/>
      <c r="AP159" s="120"/>
      <c r="AQ159" s="120"/>
      <c r="AR159" s="209"/>
      <c r="AS159" s="205"/>
      <c r="AT159" s="205">
        <f t="shared" si="1524"/>
        <v>0</v>
      </c>
      <c r="AU159" s="120"/>
      <c r="AV159" s="120"/>
      <c r="AW159" s="120"/>
      <c r="AX159" s="201">
        <v>300</v>
      </c>
      <c r="AY159" s="120"/>
      <c r="AZ159" s="209"/>
      <c r="BA159" s="205"/>
      <c r="BB159" s="205">
        <f t="shared" si="1525"/>
        <v>300</v>
      </c>
      <c r="BC159" s="120"/>
      <c r="BD159" s="120"/>
      <c r="BE159" s="120"/>
      <c r="BF159" s="120"/>
      <c r="BG159" s="120"/>
      <c r="BH159" s="209"/>
      <c r="BI159" s="205"/>
      <c r="BJ159" s="205">
        <f t="shared" si="1526"/>
        <v>0</v>
      </c>
      <c r="BK159" s="120"/>
      <c r="BL159" s="120"/>
      <c r="BM159" s="120"/>
      <c r="BN159" s="120"/>
      <c r="BO159" s="205"/>
      <c r="BP159" s="209"/>
      <c r="BQ159" s="205"/>
      <c r="BR159" s="205">
        <f t="shared" si="1527"/>
        <v>0</v>
      </c>
      <c r="BS159" s="205">
        <f t="shared" si="1427"/>
        <v>300</v>
      </c>
      <c r="BT159" s="120"/>
      <c r="BU159" s="120"/>
      <c r="BV159" s="120"/>
      <c r="BW159" s="120"/>
      <c r="BX159" s="120"/>
      <c r="BY159" s="209"/>
      <c r="BZ159" s="205"/>
      <c r="CA159" s="205">
        <f t="shared" si="1528"/>
        <v>0</v>
      </c>
      <c r="CB159" s="120"/>
      <c r="CC159" s="120"/>
      <c r="CD159" s="120"/>
      <c r="CE159" s="120"/>
      <c r="CF159" s="250">
        <v>500</v>
      </c>
      <c r="CG159" s="209"/>
      <c r="CH159" s="205"/>
      <c r="CI159" s="205">
        <f t="shared" si="1529"/>
        <v>500</v>
      </c>
      <c r="CJ159" s="120"/>
      <c r="CK159" s="120"/>
      <c r="CL159" s="120"/>
      <c r="CM159" s="120"/>
      <c r="CN159" s="120"/>
      <c r="CO159" s="209"/>
      <c r="CP159" s="205"/>
      <c r="CQ159" s="205">
        <f t="shared" si="1530"/>
        <v>0</v>
      </c>
      <c r="CR159" s="120"/>
      <c r="CS159" s="120"/>
      <c r="CT159" s="123">
        <v>350</v>
      </c>
      <c r="CU159" s="120"/>
      <c r="CV159" s="120"/>
      <c r="CW159" s="209"/>
      <c r="CX159" s="205"/>
      <c r="CY159" s="205">
        <f t="shared" si="1531"/>
        <v>350</v>
      </c>
      <c r="CZ159" s="120"/>
      <c r="DA159" s="120"/>
      <c r="DB159" s="120"/>
      <c r="DC159" s="205"/>
      <c r="DD159" s="205"/>
      <c r="DE159" s="209"/>
      <c r="DF159" s="205"/>
      <c r="DG159" s="205">
        <f t="shared" si="1532"/>
        <v>0</v>
      </c>
      <c r="DH159" s="205">
        <f t="shared" si="1428"/>
        <v>850</v>
      </c>
      <c r="DI159" s="120"/>
      <c r="DJ159" s="250">
        <v>300</v>
      </c>
      <c r="DK159" s="120"/>
      <c r="DL159" s="120"/>
      <c r="DM159" s="120"/>
      <c r="DN159" s="209"/>
      <c r="DO159" s="205"/>
      <c r="DP159" s="205">
        <f t="shared" si="1432"/>
        <v>300</v>
      </c>
      <c r="DQ159" s="120"/>
      <c r="DR159" s="120"/>
      <c r="DS159" s="120"/>
      <c r="DT159" s="120"/>
      <c r="DU159" s="120"/>
      <c r="DV159" s="209"/>
      <c r="DW159" s="205"/>
      <c r="DX159" s="205">
        <f t="shared" si="1433"/>
        <v>0</v>
      </c>
      <c r="DY159" s="120"/>
      <c r="DZ159" s="120"/>
      <c r="EA159" s="250">
        <v>300</v>
      </c>
      <c r="EB159" s="120"/>
      <c r="EC159" s="120"/>
      <c r="ED159" s="209"/>
      <c r="EE159" s="205"/>
      <c r="EF159" s="205">
        <f t="shared" si="1434"/>
        <v>300</v>
      </c>
      <c r="EG159" s="120"/>
      <c r="EH159" s="120"/>
      <c r="EI159" s="120"/>
      <c r="EJ159" s="205"/>
      <c r="EK159" s="205"/>
      <c r="EL159" s="209"/>
      <c r="EM159" s="205"/>
      <c r="EN159" s="205">
        <f t="shared" si="1435"/>
        <v>0</v>
      </c>
      <c r="EO159" s="205">
        <f t="shared" si="1429"/>
        <v>600</v>
      </c>
      <c r="EP159" s="217">
        <v>600</v>
      </c>
      <c r="EQ159" s="217">
        <v>600</v>
      </c>
      <c r="ER159" s="217">
        <v>600</v>
      </c>
      <c r="ES159" s="120"/>
      <c r="ET159" s="120"/>
      <c r="EU159" s="209"/>
      <c r="EV159" s="205"/>
      <c r="EW159" s="205">
        <f t="shared" si="1436"/>
        <v>1800</v>
      </c>
      <c r="EX159" s="120"/>
      <c r="EY159" s="120"/>
      <c r="EZ159" s="120"/>
      <c r="FA159" s="120"/>
      <c r="FB159" s="120"/>
      <c r="FC159" s="209"/>
      <c r="FD159" s="205"/>
      <c r="FE159" s="205">
        <f t="shared" si="1437"/>
        <v>0</v>
      </c>
      <c r="FF159" s="120"/>
      <c r="FG159" s="250">
        <v>500</v>
      </c>
      <c r="FH159" s="250">
        <v>300</v>
      </c>
      <c r="FI159" s="120"/>
      <c r="FJ159" s="120"/>
      <c r="FK159" s="209"/>
      <c r="FL159" s="205"/>
      <c r="FM159" s="205">
        <f t="shared" si="1438"/>
        <v>800</v>
      </c>
      <c r="FN159" s="120"/>
      <c r="FO159" s="120"/>
      <c r="FP159" s="120"/>
      <c r="FQ159" s="120"/>
      <c r="FR159" s="205"/>
      <c r="FS159" s="209"/>
      <c r="FT159" s="205"/>
      <c r="FU159" s="205">
        <f t="shared" si="1439"/>
        <v>0</v>
      </c>
      <c r="FV159" s="205">
        <f t="shared" si="1430"/>
        <v>2600</v>
      </c>
      <c r="FW159" s="120"/>
      <c r="FX159" s="120"/>
      <c r="FY159" s="120"/>
      <c r="FZ159" s="120"/>
      <c r="GA159" s="120"/>
      <c r="GB159" s="209"/>
      <c r="GC159" s="205"/>
      <c r="GD159" s="205">
        <f t="shared" si="1440"/>
        <v>0</v>
      </c>
      <c r="GE159" s="120"/>
      <c r="GF159" s="120"/>
      <c r="GG159" s="120"/>
      <c r="GH159" s="120"/>
      <c r="GI159" s="120"/>
      <c r="GJ159" s="209"/>
      <c r="GK159" s="205"/>
      <c r="GL159" s="205">
        <f t="shared" si="1441"/>
        <v>0</v>
      </c>
      <c r="GM159" s="207"/>
      <c r="GN159" s="207"/>
      <c r="GO159" s="250">
        <v>440</v>
      </c>
      <c r="GP159" s="120"/>
      <c r="GQ159" s="120"/>
      <c r="GR159" s="209"/>
      <c r="GS159" s="205"/>
      <c r="GT159" s="205">
        <f>SUM(GO159:GS159)</f>
        <v>440</v>
      </c>
      <c r="GU159" s="120"/>
      <c r="GV159" s="120"/>
      <c r="GW159" s="120"/>
      <c r="GX159" s="120"/>
      <c r="GY159" s="120"/>
      <c r="GZ159" s="209"/>
      <c r="HA159" s="205"/>
      <c r="HB159" s="205">
        <f t="shared" si="1443"/>
        <v>0</v>
      </c>
      <c r="HC159" s="250">
        <v>400</v>
      </c>
      <c r="HD159" s="120"/>
      <c r="HE159" s="120"/>
      <c r="HF159" s="120"/>
      <c r="HG159" s="120"/>
      <c r="HH159" s="209"/>
      <c r="HI159" s="205"/>
      <c r="HJ159" s="205">
        <f t="shared" si="1444"/>
        <v>400</v>
      </c>
      <c r="HK159" s="205">
        <f t="shared" si="1431"/>
        <v>840</v>
      </c>
      <c r="HL159" s="124"/>
      <c r="HM159" s="120"/>
      <c r="HN159" s="120"/>
      <c r="HO159" s="120"/>
      <c r="HP159" s="120"/>
      <c r="HQ159" s="205"/>
      <c r="HR159" s="205"/>
      <c r="HS159" s="205">
        <f t="shared" si="1445"/>
        <v>0</v>
      </c>
      <c r="HT159" s="195">
        <v>500</v>
      </c>
      <c r="HU159" s="195">
        <v>350</v>
      </c>
      <c r="HV159" s="120"/>
      <c r="HW159" s="120"/>
      <c r="HX159" s="120"/>
      <c r="HY159" s="205"/>
      <c r="HZ159" s="205"/>
      <c r="IA159" s="205">
        <f t="shared" si="1446"/>
        <v>850</v>
      </c>
      <c r="IB159" s="120"/>
      <c r="IC159" s="120"/>
      <c r="ID159" s="120"/>
      <c r="IE159" s="120"/>
      <c r="IF159" s="120"/>
      <c r="IG159" s="205"/>
      <c r="IH159" s="205"/>
      <c r="II159" s="205">
        <f t="shared" si="1447"/>
        <v>0</v>
      </c>
      <c r="IJ159" s="120"/>
      <c r="IK159" s="120"/>
      <c r="IL159" s="120"/>
      <c r="IM159" s="120"/>
      <c r="IN159" s="120"/>
      <c r="IO159" s="205"/>
      <c r="IP159" s="205"/>
      <c r="IQ159" s="205">
        <f t="shared" si="1448"/>
        <v>0</v>
      </c>
      <c r="IR159" s="205">
        <f t="shared" si="1449"/>
        <v>850</v>
      </c>
      <c r="IS159" s="120"/>
      <c r="IT159" s="120"/>
      <c r="IU159" s="120"/>
      <c r="IV159" s="120"/>
      <c r="IW159" s="120"/>
      <c r="IX159" s="205"/>
      <c r="IY159" s="205"/>
      <c r="IZ159" s="205">
        <f t="shared" si="1450"/>
        <v>0</v>
      </c>
      <c r="JA159" s="217">
        <v>500</v>
      </c>
      <c r="JB159" s="217">
        <v>500</v>
      </c>
      <c r="JC159" s="120"/>
      <c r="JD159" s="123">
        <v>300</v>
      </c>
      <c r="JE159" s="120"/>
      <c r="JF159" s="205"/>
      <c r="JG159" s="205"/>
      <c r="JH159" s="205">
        <f t="shared" si="1451"/>
        <v>1300</v>
      </c>
      <c r="JI159" s="120"/>
      <c r="JJ159" s="120"/>
      <c r="JK159" s="120"/>
      <c r="JL159" s="120"/>
      <c r="JM159" s="120"/>
      <c r="JN159" s="205"/>
      <c r="JO159" s="205"/>
      <c r="JP159" s="205">
        <f t="shared" si="1452"/>
        <v>0</v>
      </c>
      <c r="JQ159" s="120"/>
      <c r="JR159" s="120"/>
      <c r="JS159" s="120"/>
      <c r="JT159" s="120"/>
      <c r="JU159" s="120"/>
      <c r="JV159" s="205"/>
      <c r="JW159" s="205"/>
      <c r="JX159" s="205">
        <f t="shared" si="1453"/>
        <v>0</v>
      </c>
      <c r="JY159" s="205">
        <f t="shared" si="1454"/>
        <v>1300</v>
      </c>
      <c r="JZ159" s="120"/>
      <c r="KA159" s="120"/>
      <c r="KB159" s="120"/>
      <c r="KC159" s="120"/>
      <c r="KD159" s="120"/>
      <c r="KE159" s="205"/>
      <c r="KF159" s="205"/>
      <c r="KG159" s="205">
        <f t="shared" si="1455"/>
        <v>0</v>
      </c>
      <c r="KH159" s="120"/>
      <c r="KI159" s="206">
        <v>500</v>
      </c>
      <c r="KJ159" s="206">
        <v>500</v>
      </c>
      <c r="KK159" s="120"/>
      <c r="KL159" s="120"/>
      <c r="KM159" s="205"/>
      <c r="KN159" s="205"/>
      <c r="KO159" s="205">
        <f t="shared" si="1456"/>
        <v>1000</v>
      </c>
      <c r="KP159" s="120"/>
      <c r="KQ159" s="120"/>
      <c r="KR159" s="120"/>
      <c r="KS159" s="120"/>
      <c r="KT159" s="120"/>
      <c r="KU159" s="205"/>
      <c r="KV159" s="205"/>
      <c r="KW159" s="205">
        <f t="shared" si="1457"/>
        <v>0</v>
      </c>
      <c r="KX159" s="120"/>
      <c r="KY159" s="120"/>
      <c r="KZ159" s="124">
        <v>400</v>
      </c>
      <c r="LA159" s="120"/>
      <c r="LB159" s="120"/>
      <c r="LC159" s="205"/>
      <c r="LD159" s="205"/>
      <c r="LE159" s="205">
        <f t="shared" si="1458"/>
        <v>400</v>
      </c>
      <c r="LF159" s="205"/>
      <c r="LG159" s="120"/>
      <c r="LH159" s="120"/>
      <c r="LI159" s="217">
        <v>100</v>
      </c>
      <c r="LJ159" s="120"/>
      <c r="LK159" s="205"/>
      <c r="LL159" s="205"/>
      <c r="LM159" s="205">
        <f t="shared" si="1459"/>
        <v>100</v>
      </c>
      <c r="LN159" s="205">
        <f t="shared" si="1460"/>
        <v>1400</v>
      </c>
      <c r="LO159" s="205"/>
      <c r="LP159" s="120"/>
      <c r="LQ159" s="120"/>
      <c r="LR159" s="120"/>
      <c r="LS159" s="205"/>
      <c r="LT159" s="205"/>
      <c r="LU159" s="205"/>
      <c r="LV159" s="205">
        <f t="shared" si="1461"/>
        <v>0</v>
      </c>
      <c r="LW159" s="120"/>
      <c r="LX159" s="120"/>
      <c r="LY159" s="120"/>
      <c r="LZ159" s="120"/>
      <c r="MA159" s="120"/>
      <c r="MB159" s="205"/>
      <c r="MC159" s="205"/>
      <c r="MD159" s="205">
        <f t="shared" si="1462"/>
        <v>0</v>
      </c>
      <c r="ME159" s="120"/>
      <c r="MF159" s="120"/>
      <c r="MG159" s="120"/>
      <c r="MH159" s="120"/>
      <c r="MI159" s="205"/>
      <c r="MJ159" s="205"/>
      <c r="MK159" s="205"/>
      <c r="ML159" s="205">
        <f t="shared" si="1463"/>
        <v>0</v>
      </c>
      <c r="MM159" s="120"/>
      <c r="MN159" s="217">
        <v>500</v>
      </c>
      <c r="MO159" s="120"/>
      <c r="MP159" s="120"/>
      <c r="MQ159" s="120"/>
      <c r="MR159" s="205"/>
      <c r="MS159" s="205"/>
      <c r="MT159" s="205">
        <f t="shared" si="1464"/>
        <v>500</v>
      </c>
      <c r="MU159" s="205">
        <f t="shared" si="1465"/>
        <v>600</v>
      </c>
      <c r="MV159" s="120"/>
      <c r="MW159" s="120"/>
      <c r="MX159" s="120"/>
      <c r="MY159" s="120"/>
      <c r="MZ159" s="120"/>
      <c r="NA159" s="205"/>
      <c r="NB159" s="205"/>
      <c r="NC159" s="205">
        <f t="shared" si="1466"/>
        <v>0</v>
      </c>
      <c r="ND159" s="120"/>
      <c r="NE159" s="120"/>
      <c r="NF159" s="120"/>
      <c r="NG159" s="120"/>
      <c r="NH159" s="120"/>
      <c r="NI159" s="205"/>
      <c r="NJ159" s="205"/>
      <c r="NK159" s="205">
        <f t="shared" si="1467"/>
        <v>0</v>
      </c>
      <c r="NL159" s="120"/>
      <c r="NM159" s="124">
        <v>500</v>
      </c>
      <c r="NN159" s="120"/>
      <c r="NO159" s="120"/>
      <c r="NP159" s="120"/>
      <c r="NQ159" s="205"/>
      <c r="NR159" s="205"/>
      <c r="NS159" s="205">
        <f t="shared" si="1468"/>
        <v>500</v>
      </c>
      <c r="NT159" s="120"/>
      <c r="NU159" s="123">
        <v>500</v>
      </c>
      <c r="NV159" s="120"/>
      <c r="NW159" s="120"/>
      <c r="NX159" s="120"/>
      <c r="NY159" s="205"/>
      <c r="NZ159" s="205"/>
      <c r="OA159" s="205">
        <f t="shared" si="1469"/>
        <v>500</v>
      </c>
      <c r="OB159" s="205">
        <f t="shared" si="1470"/>
        <v>1000</v>
      </c>
      <c r="OC159" s="120"/>
      <c r="OD159" s="120"/>
      <c r="OE159" s="120"/>
      <c r="OF159" s="120"/>
      <c r="OG159" s="120"/>
      <c r="OH159" s="205"/>
      <c r="OI159" s="205"/>
      <c r="OJ159" s="205">
        <f t="shared" si="1471"/>
        <v>0</v>
      </c>
      <c r="OK159" s="124">
        <v>500</v>
      </c>
      <c r="OL159" s="120"/>
      <c r="OM159" s="120"/>
      <c r="ON159" s="120"/>
      <c r="OO159" s="120"/>
      <c r="OP159" s="205"/>
      <c r="OQ159" s="205"/>
      <c r="OR159" s="205">
        <f t="shared" si="1472"/>
        <v>500</v>
      </c>
      <c r="OS159" s="120"/>
      <c r="OT159" s="120"/>
      <c r="OU159" s="120"/>
      <c r="OV159" s="120"/>
      <c r="OW159" s="120"/>
      <c r="OX159" s="205"/>
      <c r="OY159" s="205"/>
      <c r="OZ159" s="205">
        <f t="shared" si="1473"/>
        <v>0</v>
      </c>
      <c r="PA159" s="120"/>
      <c r="PB159" s="123">
        <v>500</v>
      </c>
      <c r="PC159" s="120"/>
      <c r="PD159" s="205"/>
      <c r="PE159" s="217"/>
      <c r="PF159" s="205"/>
      <c r="PG159" s="205"/>
      <c r="PH159" s="205">
        <f t="shared" si="1474"/>
        <v>500</v>
      </c>
      <c r="PI159" s="124">
        <v>500</v>
      </c>
      <c r="PJ159" s="120"/>
      <c r="PK159" s="120"/>
      <c r="PL159" s="205"/>
      <c r="PM159" s="217"/>
      <c r="PN159" s="205"/>
      <c r="PO159" s="205"/>
      <c r="PP159" s="205">
        <f t="shared" si="1475"/>
        <v>500</v>
      </c>
      <c r="PQ159" s="205">
        <f t="shared" si="1476"/>
        <v>1500</v>
      </c>
      <c r="PR159" s="207"/>
      <c r="PS159" s="120"/>
      <c r="PT159" s="195">
        <v>500</v>
      </c>
      <c r="PU159" s="207"/>
      <c r="PV159" s="207"/>
      <c r="PW159" s="272"/>
      <c r="PX159" s="272"/>
      <c r="PY159" s="205">
        <f t="shared" si="1477"/>
        <v>500</v>
      </c>
      <c r="PZ159" s="207"/>
      <c r="QA159" s="207"/>
      <c r="QB159" s="207"/>
      <c r="QC159" s="207"/>
      <c r="QD159" s="207"/>
      <c r="QE159" s="272"/>
      <c r="QF159" s="272"/>
      <c r="QG159" s="205">
        <f t="shared" si="1478"/>
        <v>0</v>
      </c>
      <c r="QH159" s="207"/>
      <c r="QI159" s="207"/>
      <c r="QJ159" s="294"/>
      <c r="QK159" s="207"/>
      <c r="QL159" s="207"/>
      <c r="QM159" s="272"/>
      <c r="QN159" s="272"/>
      <c r="QO159" s="205">
        <f t="shared" si="1479"/>
        <v>0</v>
      </c>
      <c r="QP159" s="124">
        <v>500</v>
      </c>
      <c r="QQ159" s="207"/>
      <c r="QR159" s="207"/>
      <c r="QS159" s="207"/>
      <c r="QT159" s="207"/>
      <c r="QU159" s="272"/>
      <c r="QV159" s="272"/>
      <c r="QW159" s="205">
        <f t="shared" si="1480"/>
        <v>500</v>
      </c>
      <c r="QX159" s="205">
        <f t="shared" si="1481"/>
        <v>1000</v>
      </c>
      <c r="QY159" s="207"/>
      <c r="QZ159" s="207"/>
      <c r="RA159" s="207"/>
      <c r="RB159" s="201">
        <v>500</v>
      </c>
      <c r="RC159" s="123">
        <v>200</v>
      </c>
      <c r="RD159" s="272"/>
      <c r="RE159" s="272"/>
      <c r="RF159" s="205">
        <f t="shared" si="1482"/>
        <v>700</v>
      </c>
      <c r="RG159" s="207"/>
      <c r="RH159" s="207"/>
      <c r="RI159" s="207"/>
      <c r="RJ159" s="207"/>
      <c r="RK159" s="123">
        <v>100</v>
      </c>
      <c r="RL159" s="272"/>
      <c r="RM159" s="272"/>
      <c r="RN159" s="205">
        <f t="shared" si="1483"/>
        <v>100</v>
      </c>
      <c r="RO159" s="272"/>
      <c r="RP159" s="272"/>
      <c r="RQ159" s="272"/>
      <c r="RR159" s="272"/>
      <c r="RS159" s="272"/>
      <c r="RT159" s="272"/>
      <c r="RU159" s="272"/>
      <c r="RV159" s="205">
        <f t="shared" si="1484"/>
        <v>0</v>
      </c>
      <c r="RW159" s="207"/>
      <c r="RX159" s="207"/>
      <c r="RY159" s="207"/>
      <c r="RZ159" s="123">
        <v>200</v>
      </c>
      <c r="SA159" s="272"/>
      <c r="SB159" s="272"/>
      <c r="SC159" s="272"/>
      <c r="SD159" s="205">
        <f t="shared" si="1485"/>
        <v>200</v>
      </c>
      <c r="SE159" s="205">
        <f t="shared" si="1486"/>
        <v>1000</v>
      </c>
      <c r="SF159" s="207"/>
      <c r="SG159" s="195">
        <v>800</v>
      </c>
      <c r="SH159" s="207"/>
      <c r="SI159" s="207"/>
      <c r="SJ159" s="207"/>
      <c r="SK159" s="272"/>
      <c r="SL159" s="272"/>
      <c r="SM159" s="205">
        <f t="shared" si="1487"/>
        <v>800</v>
      </c>
      <c r="SN159" s="207"/>
      <c r="SO159" s="124">
        <v>300</v>
      </c>
      <c r="SP159" s="207"/>
      <c r="SQ159" s="207"/>
      <c r="SR159" s="124">
        <v>500</v>
      </c>
      <c r="SS159" s="272"/>
      <c r="ST159" s="272"/>
      <c r="SU159" s="205">
        <f t="shared" si="1488"/>
        <v>800</v>
      </c>
      <c r="SV159" s="207"/>
      <c r="SW159" s="207"/>
      <c r="SX159" s="207"/>
      <c r="SY159" s="207"/>
      <c r="SZ159" s="207"/>
      <c r="TA159" s="272"/>
      <c r="TB159" s="272"/>
      <c r="TC159" s="205">
        <f t="shared" si="1489"/>
        <v>0</v>
      </c>
      <c r="TD159" s="207"/>
      <c r="TE159" s="207"/>
      <c r="TF159" s="207"/>
      <c r="TG159" s="207"/>
      <c r="TH159" s="207"/>
      <c r="TI159" s="272"/>
      <c r="TJ159" s="272"/>
      <c r="TK159" s="205">
        <f t="shared" si="1490"/>
        <v>0</v>
      </c>
      <c r="TL159" s="217">
        <v>300</v>
      </c>
      <c r="TM159" s="207"/>
      <c r="TN159" s="207"/>
      <c r="TO159" s="207"/>
      <c r="TP159" s="272"/>
      <c r="TQ159" s="272"/>
      <c r="TR159" s="272"/>
      <c r="TS159" s="205">
        <f t="shared" si="1491"/>
        <v>300</v>
      </c>
      <c r="TT159" s="205">
        <f t="shared" si="1492"/>
        <v>1900</v>
      </c>
      <c r="TU159" s="272"/>
      <c r="TV159" s="207"/>
      <c r="TW159" s="207"/>
      <c r="TX159" s="207"/>
      <c r="TY159" s="207"/>
      <c r="TZ159" s="272"/>
      <c r="UA159" s="272"/>
      <c r="UB159" s="205">
        <f t="shared" si="1493"/>
        <v>0</v>
      </c>
      <c r="UC159" s="207"/>
      <c r="UD159" s="207"/>
      <c r="UE159" s="207"/>
      <c r="UF159" s="207"/>
      <c r="UG159" s="207"/>
      <c r="UH159" s="272"/>
      <c r="UI159" s="272"/>
      <c r="UJ159" s="205">
        <f t="shared" si="1494"/>
        <v>0</v>
      </c>
      <c r="UK159" s="207"/>
      <c r="UL159" s="207"/>
      <c r="UM159" s="207"/>
      <c r="UN159" s="201">
        <v>400</v>
      </c>
      <c r="UO159" s="207"/>
      <c r="UP159" s="272"/>
      <c r="UQ159" s="272"/>
      <c r="UR159" s="205">
        <f>SUM(UK159:UQ159)</f>
        <v>400</v>
      </c>
      <c r="US159" s="207"/>
      <c r="UT159" s="207"/>
      <c r="UU159" s="207"/>
      <c r="UV159" s="207"/>
      <c r="UW159" s="272"/>
      <c r="UX159" s="272"/>
      <c r="UY159" s="272"/>
      <c r="UZ159" s="205">
        <f t="shared" si="1496"/>
        <v>0</v>
      </c>
      <c r="VA159" s="205">
        <f t="shared" si="1497"/>
        <v>400</v>
      </c>
      <c r="VB159" s="207"/>
      <c r="VC159" s="207"/>
      <c r="VD159" s="207"/>
      <c r="VE159" s="207"/>
      <c r="VF159" s="207"/>
      <c r="VG159" s="272"/>
      <c r="VH159" s="272"/>
      <c r="VI159" s="205">
        <f t="shared" si="1498"/>
        <v>0</v>
      </c>
      <c r="VJ159" s="207"/>
      <c r="VK159" s="207"/>
      <c r="VL159" s="207"/>
      <c r="VM159" s="207"/>
      <c r="VN159" s="207"/>
      <c r="VO159" s="272"/>
      <c r="VP159" s="272"/>
      <c r="VQ159" s="205">
        <f t="shared" si="1499"/>
        <v>0</v>
      </c>
      <c r="VR159" s="207"/>
      <c r="VS159" s="207"/>
      <c r="VT159" s="195">
        <v>500</v>
      </c>
      <c r="VU159" s="195">
        <v>450</v>
      </c>
      <c r="VV159" s="207"/>
      <c r="VW159" s="272"/>
      <c r="VX159" s="272"/>
      <c r="VY159" s="205">
        <f t="shared" si="1500"/>
        <v>950</v>
      </c>
      <c r="VZ159" s="207"/>
      <c r="WA159" s="207"/>
      <c r="WB159" s="207"/>
      <c r="WC159" s="207"/>
      <c r="WD159" s="207"/>
      <c r="WE159" s="272"/>
      <c r="WF159" s="272"/>
      <c r="WG159" s="205">
        <f t="shared" si="1501"/>
        <v>0</v>
      </c>
      <c r="WH159" s="205">
        <f t="shared" si="1502"/>
        <v>950</v>
      </c>
      <c r="WI159" s="207"/>
      <c r="WJ159" s="207"/>
      <c r="WK159" s="207"/>
      <c r="WL159" s="207"/>
      <c r="WM159" s="207"/>
      <c r="WN159" s="272"/>
      <c r="WO159" s="272"/>
      <c r="WP159" s="205">
        <f t="shared" si="1503"/>
        <v>0</v>
      </c>
      <c r="WQ159" s="207"/>
      <c r="WR159" s="207"/>
      <c r="WS159" s="207"/>
      <c r="WT159" s="207"/>
      <c r="WU159" s="207"/>
      <c r="WV159" s="272"/>
      <c r="WW159" s="272"/>
      <c r="WX159" s="205">
        <f t="shared" si="1504"/>
        <v>0</v>
      </c>
      <c r="WY159" s="120">
        <v>500</v>
      </c>
      <c r="WZ159" s="120"/>
      <c r="XA159" s="120"/>
      <c r="XB159" s="207"/>
      <c r="XC159" s="272"/>
      <c r="XD159" s="272"/>
      <c r="XE159" s="272"/>
      <c r="XF159" s="205">
        <f t="shared" si="1505"/>
        <v>500</v>
      </c>
      <c r="XG159" s="207"/>
      <c r="XH159" s="207"/>
      <c r="XI159" s="207"/>
      <c r="XJ159" s="207"/>
      <c r="XK159" s="207"/>
      <c r="XL159" s="272"/>
      <c r="XM159" s="272"/>
      <c r="XN159" s="205">
        <f t="shared" si="1506"/>
        <v>0</v>
      </c>
      <c r="XO159" s="207"/>
      <c r="XP159" s="207"/>
      <c r="XQ159" s="207"/>
      <c r="XR159" s="207"/>
      <c r="XS159" s="207"/>
      <c r="XT159" s="272"/>
      <c r="XU159" s="272"/>
      <c r="XV159" s="205">
        <f t="shared" si="1507"/>
        <v>0</v>
      </c>
      <c r="XW159" s="205">
        <f t="shared" si="1508"/>
        <v>500</v>
      </c>
      <c r="XX159" s="207"/>
      <c r="XY159" s="207"/>
      <c r="XZ159" s="207"/>
      <c r="YA159" s="207"/>
      <c r="YB159" s="207"/>
      <c r="YC159" s="272"/>
      <c r="YD159" s="272"/>
      <c r="YE159" s="205">
        <f t="shared" si="1509"/>
        <v>0</v>
      </c>
      <c r="YF159" s="207"/>
      <c r="YG159" s="207"/>
      <c r="YH159" s="207"/>
      <c r="YI159" s="207"/>
      <c r="YJ159" s="207"/>
      <c r="YK159" s="272"/>
      <c r="YL159" s="272"/>
      <c r="YM159" s="205">
        <f t="shared" si="1510"/>
        <v>0</v>
      </c>
      <c r="YN159" s="207"/>
      <c r="YO159" s="207"/>
      <c r="YP159" s="207"/>
      <c r="YQ159" s="207"/>
      <c r="YR159" s="207"/>
      <c r="YS159" s="272"/>
      <c r="YT159" s="272"/>
      <c r="YU159" s="205">
        <f t="shared" si="1511"/>
        <v>0</v>
      </c>
      <c r="YV159" s="207"/>
      <c r="YW159" s="207"/>
      <c r="YX159" s="207"/>
      <c r="YY159" s="207"/>
      <c r="YZ159" s="207"/>
      <c r="ZA159" s="272"/>
      <c r="ZB159" s="272"/>
      <c r="ZC159" s="205">
        <f t="shared" si="1512"/>
        <v>0</v>
      </c>
      <c r="ZD159" s="205">
        <f t="shared" si="1513"/>
        <v>500</v>
      </c>
      <c r="ZE159" s="207"/>
      <c r="ZF159" s="207"/>
      <c r="ZG159" s="207"/>
      <c r="ZH159" s="207"/>
      <c r="ZI159" s="207"/>
      <c r="ZJ159" s="272"/>
      <c r="ZK159" s="272"/>
      <c r="ZL159" s="205">
        <f t="shared" si="1514"/>
        <v>0</v>
      </c>
      <c r="ZM159" s="207"/>
      <c r="ZN159" s="207"/>
      <c r="ZO159" s="207"/>
      <c r="ZP159" s="207"/>
      <c r="ZQ159" s="207"/>
      <c r="ZR159" s="272"/>
      <c r="ZS159" s="272"/>
      <c r="ZT159" s="205">
        <f t="shared" si="1515"/>
        <v>0</v>
      </c>
      <c r="ZU159" s="207"/>
      <c r="ZV159" s="207"/>
      <c r="ZW159" s="207"/>
      <c r="ZX159" s="207"/>
      <c r="ZY159" s="207"/>
      <c r="ZZ159" s="272"/>
      <c r="AAA159" s="272"/>
      <c r="AAB159" s="205">
        <f t="shared" si="1516"/>
        <v>0</v>
      </c>
      <c r="AAC159" s="207"/>
      <c r="AAD159" s="207"/>
      <c r="AAE159" s="207"/>
      <c r="AAF159" s="207"/>
      <c r="AAG159" s="207"/>
      <c r="AAH159" s="272"/>
      <c r="AAI159" s="272"/>
      <c r="AAJ159" s="205">
        <f t="shared" si="1517"/>
        <v>0</v>
      </c>
      <c r="AAK159" s="207"/>
      <c r="AAL159" s="207"/>
      <c r="AAM159" s="207"/>
      <c r="AAN159" s="207"/>
      <c r="AAO159" s="207"/>
      <c r="AAP159" s="272"/>
      <c r="AAQ159" s="272"/>
      <c r="AAR159" s="205">
        <f t="shared" si="1518"/>
        <v>0</v>
      </c>
      <c r="AAS159" s="205">
        <f t="shared" si="1519"/>
        <v>0</v>
      </c>
    </row>
    <row r="160" spans="1:721" ht="69.95" hidden="1" customHeight="1">
      <c r="B160" s="179">
        <v>5711500267</v>
      </c>
      <c r="C160" s="354" t="s">
        <v>494</v>
      </c>
      <c r="D160" s="213" t="s">
        <v>508</v>
      </c>
      <c r="E160" s="130" t="s">
        <v>4</v>
      </c>
      <c r="F160" s="120"/>
      <c r="G160" s="120"/>
      <c r="H160" s="120"/>
      <c r="I160" s="120"/>
      <c r="J160" s="120"/>
      <c r="K160" s="209"/>
      <c r="L160" s="205"/>
      <c r="M160" s="205">
        <f t="shared" si="1520"/>
        <v>0</v>
      </c>
      <c r="N160" s="120"/>
      <c r="O160" s="120"/>
      <c r="P160" s="120"/>
      <c r="Q160" s="120"/>
      <c r="R160" s="120"/>
      <c r="S160" s="209"/>
      <c r="T160" s="205"/>
      <c r="U160" s="205">
        <f t="shared" si="1521"/>
        <v>0</v>
      </c>
      <c r="V160" s="120"/>
      <c r="W160" s="120"/>
      <c r="X160" s="120"/>
      <c r="Y160" s="120"/>
      <c r="Z160" s="120"/>
      <c r="AA160" s="209"/>
      <c r="AB160" s="205"/>
      <c r="AC160" s="205">
        <f t="shared" si="1522"/>
        <v>0</v>
      </c>
      <c r="AD160" s="205"/>
      <c r="AE160" s="205"/>
      <c r="AF160" s="205"/>
      <c r="AG160" s="205"/>
      <c r="AH160" s="205"/>
      <c r="AI160" s="209"/>
      <c r="AJ160" s="205"/>
      <c r="AK160" s="205">
        <f t="shared" si="1523"/>
        <v>0</v>
      </c>
      <c r="AL160" s="205" t="e">
        <f>SUM(#REF!,M160,U160,AC160,AD160:AH160)</f>
        <v>#REF!</v>
      </c>
      <c r="AM160" s="120"/>
      <c r="AN160" s="120"/>
      <c r="AO160" s="120"/>
      <c r="AP160" s="120"/>
      <c r="AQ160" s="120"/>
      <c r="AR160" s="209"/>
      <c r="AS160" s="205"/>
      <c r="AT160" s="205">
        <f t="shared" si="1524"/>
        <v>0</v>
      </c>
      <c r="AU160" s="120"/>
      <c r="AV160" s="120"/>
      <c r="AW160" s="120"/>
      <c r="AX160" s="120"/>
      <c r="AY160" s="120"/>
      <c r="AZ160" s="209"/>
      <c r="BA160" s="205"/>
      <c r="BB160" s="205">
        <f t="shared" si="1525"/>
        <v>0</v>
      </c>
      <c r="BC160" s="120"/>
      <c r="BD160" s="120"/>
      <c r="BE160" s="120"/>
      <c r="BF160" s="120"/>
      <c r="BG160" s="120"/>
      <c r="BH160" s="209"/>
      <c r="BI160" s="205"/>
      <c r="BJ160" s="205">
        <f t="shared" si="1526"/>
        <v>0</v>
      </c>
      <c r="BK160" s="120"/>
      <c r="BL160" s="120"/>
      <c r="BM160" s="120"/>
      <c r="BN160" s="120"/>
      <c r="BO160" s="205"/>
      <c r="BP160" s="209"/>
      <c r="BQ160" s="205"/>
      <c r="BR160" s="205">
        <f t="shared" si="1527"/>
        <v>0</v>
      </c>
      <c r="BS160" s="205">
        <f t="shared" si="1427"/>
        <v>0</v>
      </c>
      <c r="BT160" s="120"/>
      <c r="BU160" s="120"/>
      <c r="BV160" s="120"/>
      <c r="BW160" s="120"/>
      <c r="BX160" s="120"/>
      <c r="BY160" s="209"/>
      <c r="BZ160" s="205"/>
      <c r="CA160" s="205">
        <f t="shared" si="1528"/>
        <v>0</v>
      </c>
      <c r="CB160" s="120"/>
      <c r="CC160" s="120"/>
      <c r="CD160" s="120"/>
      <c r="CE160" s="120"/>
      <c r="CF160" s="120"/>
      <c r="CG160" s="209"/>
      <c r="CH160" s="205"/>
      <c r="CI160" s="205">
        <f t="shared" si="1529"/>
        <v>0</v>
      </c>
      <c r="CJ160" s="120"/>
      <c r="CK160" s="120"/>
      <c r="CL160" s="120"/>
      <c r="CM160" s="120"/>
      <c r="CN160" s="120"/>
      <c r="CO160" s="209"/>
      <c r="CP160" s="205"/>
      <c r="CQ160" s="205">
        <f t="shared" si="1530"/>
        <v>0</v>
      </c>
      <c r="CR160" s="120"/>
      <c r="CS160" s="120"/>
      <c r="CT160" s="120"/>
      <c r="CU160" s="120"/>
      <c r="CV160" s="120"/>
      <c r="CW160" s="209"/>
      <c r="CX160" s="205"/>
      <c r="CY160" s="205">
        <f t="shared" si="1531"/>
        <v>0</v>
      </c>
      <c r="CZ160" s="120"/>
      <c r="DA160" s="120"/>
      <c r="DB160" s="120"/>
      <c r="DC160" s="205"/>
      <c r="DD160" s="205"/>
      <c r="DE160" s="209"/>
      <c r="DF160" s="205"/>
      <c r="DG160" s="205">
        <f t="shared" si="1532"/>
        <v>0</v>
      </c>
      <c r="DH160" s="205">
        <f t="shared" si="1428"/>
        <v>0</v>
      </c>
      <c r="DI160" s="120"/>
      <c r="DJ160" s="120"/>
      <c r="DK160" s="120"/>
      <c r="DL160" s="120"/>
      <c r="DM160" s="120"/>
      <c r="DN160" s="209"/>
      <c r="DO160" s="205"/>
      <c r="DP160" s="205">
        <f t="shared" si="1432"/>
        <v>0</v>
      </c>
      <c r="DQ160" s="120"/>
      <c r="DR160" s="120"/>
      <c r="DS160" s="120"/>
      <c r="DT160" s="120"/>
      <c r="DU160" s="120"/>
      <c r="DV160" s="209"/>
      <c r="DW160" s="205"/>
      <c r="DX160" s="205">
        <f t="shared" si="1433"/>
        <v>0</v>
      </c>
      <c r="DY160" s="120"/>
      <c r="DZ160" s="120"/>
      <c r="EA160" s="120"/>
      <c r="EB160" s="120"/>
      <c r="EC160" s="120"/>
      <c r="ED160" s="209"/>
      <c r="EE160" s="205"/>
      <c r="EF160" s="205">
        <f t="shared" si="1434"/>
        <v>0</v>
      </c>
      <c r="EG160" s="120"/>
      <c r="EH160" s="120"/>
      <c r="EI160" s="120"/>
      <c r="EJ160" s="205"/>
      <c r="EK160" s="205"/>
      <c r="EL160" s="209"/>
      <c r="EM160" s="205"/>
      <c r="EN160" s="205">
        <f t="shared" si="1435"/>
        <v>0</v>
      </c>
      <c r="EO160" s="205">
        <f t="shared" si="1429"/>
        <v>0</v>
      </c>
      <c r="EP160" s="120"/>
      <c r="EQ160" s="120"/>
      <c r="ER160" s="120"/>
      <c r="ES160" s="120"/>
      <c r="ET160" s="120"/>
      <c r="EU160" s="209"/>
      <c r="EV160" s="205"/>
      <c r="EW160" s="205">
        <f t="shared" si="1436"/>
        <v>0</v>
      </c>
      <c r="EX160" s="120"/>
      <c r="EY160" s="120"/>
      <c r="EZ160" s="120"/>
      <c r="FA160" s="120"/>
      <c r="FB160" s="120"/>
      <c r="FC160" s="209"/>
      <c r="FD160" s="205"/>
      <c r="FE160" s="205">
        <f t="shared" si="1437"/>
        <v>0</v>
      </c>
      <c r="FF160" s="120"/>
      <c r="FG160" s="120"/>
      <c r="FH160" s="120"/>
      <c r="FI160" s="120"/>
      <c r="FJ160" s="120"/>
      <c r="FK160" s="209"/>
      <c r="FL160" s="205"/>
      <c r="FM160" s="205">
        <f t="shared" si="1438"/>
        <v>0</v>
      </c>
      <c r="FN160" s="120"/>
      <c r="FO160" s="120"/>
      <c r="FP160" s="120"/>
      <c r="FQ160" s="120"/>
      <c r="FR160" s="205"/>
      <c r="FS160" s="209"/>
      <c r="FT160" s="205"/>
      <c r="FU160" s="205">
        <f t="shared" si="1439"/>
        <v>0</v>
      </c>
      <c r="FV160" s="205">
        <f t="shared" si="1430"/>
        <v>0</v>
      </c>
      <c r="FW160" s="120"/>
      <c r="FX160" s="120"/>
      <c r="FY160" s="120"/>
      <c r="FZ160" s="120"/>
      <c r="GA160" s="120"/>
      <c r="GB160" s="209"/>
      <c r="GC160" s="205"/>
      <c r="GD160" s="205">
        <f t="shared" si="1440"/>
        <v>0</v>
      </c>
      <c r="GE160" s="120"/>
      <c r="GF160" s="120"/>
      <c r="GG160" s="120"/>
      <c r="GH160" s="120"/>
      <c r="GI160" s="120"/>
      <c r="GJ160" s="209"/>
      <c r="GK160" s="205"/>
      <c r="GL160" s="205">
        <f t="shared" si="1441"/>
        <v>0</v>
      </c>
      <c r="GM160" s="207"/>
      <c r="GN160" s="207"/>
      <c r="GO160" s="120"/>
      <c r="GP160" s="120"/>
      <c r="GQ160" s="120"/>
      <c r="GR160" s="209"/>
      <c r="GS160" s="205"/>
      <c r="GT160" s="205">
        <f>SUM(GO160:GS160)</f>
        <v>0</v>
      </c>
      <c r="GU160" s="120"/>
      <c r="GV160" s="120"/>
      <c r="GW160" s="120"/>
      <c r="GX160" s="120"/>
      <c r="GY160" s="120"/>
      <c r="GZ160" s="209"/>
      <c r="HA160" s="205"/>
      <c r="HB160" s="205">
        <f t="shared" si="1443"/>
        <v>0</v>
      </c>
      <c r="HC160" s="120"/>
      <c r="HD160" s="120"/>
      <c r="HE160" s="120"/>
      <c r="HF160" s="120"/>
      <c r="HG160" s="120"/>
      <c r="HH160" s="209"/>
      <c r="HI160" s="205"/>
      <c r="HJ160" s="205">
        <f t="shared" si="1444"/>
        <v>0</v>
      </c>
      <c r="HK160" s="205">
        <f t="shared" si="1431"/>
        <v>0</v>
      </c>
      <c r="HL160" s="124"/>
      <c r="HM160" s="120"/>
      <c r="HN160" s="120"/>
      <c r="HO160" s="120"/>
      <c r="HP160" s="120"/>
      <c r="HQ160" s="205"/>
      <c r="HR160" s="205"/>
      <c r="HS160" s="205">
        <f t="shared" si="1445"/>
        <v>0</v>
      </c>
      <c r="HT160" s="120"/>
      <c r="HU160" s="120"/>
      <c r="HV160" s="120"/>
      <c r="HW160" s="120"/>
      <c r="HX160" s="120"/>
      <c r="HY160" s="205"/>
      <c r="HZ160" s="205"/>
      <c r="IA160" s="205">
        <f t="shared" si="1446"/>
        <v>0</v>
      </c>
      <c r="IB160" s="120"/>
      <c r="IC160" s="120"/>
      <c r="ID160" s="120"/>
      <c r="IE160" s="120"/>
      <c r="IF160" s="120"/>
      <c r="IG160" s="205"/>
      <c r="IH160" s="205"/>
      <c r="II160" s="205">
        <f t="shared" si="1447"/>
        <v>0</v>
      </c>
      <c r="IJ160" s="120"/>
      <c r="IK160" s="120"/>
      <c r="IL160" s="120"/>
      <c r="IM160" s="120"/>
      <c r="IN160" s="120"/>
      <c r="IO160" s="205"/>
      <c r="IP160" s="205"/>
      <c r="IQ160" s="205">
        <f t="shared" si="1448"/>
        <v>0</v>
      </c>
      <c r="IR160" s="205">
        <f t="shared" si="1449"/>
        <v>0</v>
      </c>
      <c r="IS160" s="120"/>
      <c r="IT160" s="120"/>
      <c r="IU160" s="120"/>
      <c r="IV160" s="120"/>
      <c r="IW160" s="120"/>
      <c r="IX160" s="205"/>
      <c r="IY160" s="205"/>
      <c r="IZ160" s="205">
        <f t="shared" si="1450"/>
        <v>0</v>
      </c>
      <c r="JA160" s="120"/>
      <c r="JB160" s="120"/>
      <c r="JC160" s="120"/>
      <c r="JD160" s="120"/>
      <c r="JE160" s="120"/>
      <c r="JF160" s="205"/>
      <c r="JG160" s="205"/>
      <c r="JH160" s="205">
        <f t="shared" si="1451"/>
        <v>0</v>
      </c>
      <c r="JI160" s="120"/>
      <c r="JJ160" s="120"/>
      <c r="JK160" s="120"/>
      <c r="JL160" s="120"/>
      <c r="JM160" s="120"/>
      <c r="JN160" s="205"/>
      <c r="JO160" s="205"/>
      <c r="JP160" s="205">
        <f t="shared" si="1452"/>
        <v>0</v>
      </c>
      <c r="JQ160" s="120"/>
      <c r="JR160" s="120"/>
      <c r="JS160" s="120"/>
      <c r="JT160" s="120"/>
      <c r="JU160" s="120"/>
      <c r="JV160" s="205"/>
      <c r="JW160" s="205"/>
      <c r="JX160" s="205">
        <f t="shared" si="1453"/>
        <v>0</v>
      </c>
      <c r="JY160" s="205">
        <f t="shared" si="1454"/>
        <v>0</v>
      </c>
      <c r="JZ160" s="120"/>
      <c r="KA160" s="120"/>
      <c r="KB160" s="120"/>
      <c r="KC160" s="120"/>
      <c r="KD160" s="120"/>
      <c r="KE160" s="205"/>
      <c r="KF160" s="205"/>
      <c r="KG160" s="205">
        <f t="shared" si="1455"/>
        <v>0</v>
      </c>
      <c r="KH160" s="120"/>
      <c r="KI160" s="120"/>
      <c r="KJ160" s="120"/>
      <c r="KK160" s="120"/>
      <c r="KL160" s="120"/>
      <c r="KM160" s="205"/>
      <c r="KN160" s="205"/>
      <c r="KO160" s="205">
        <f t="shared" si="1456"/>
        <v>0</v>
      </c>
      <c r="KP160" s="120"/>
      <c r="KQ160" s="120"/>
      <c r="KR160" s="120"/>
      <c r="KS160" s="120"/>
      <c r="KT160" s="120"/>
      <c r="KU160" s="205"/>
      <c r="KV160" s="205"/>
      <c r="KW160" s="205">
        <f t="shared" si="1457"/>
        <v>0</v>
      </c>
      <c r="KX160" s="120"/>
      <c r="KY160" s="120"/>
      <c r="KZ160" s="120"/>
      <c r="LA160" s="120"/>
      <c r="LB160" s="120"/>
      <c r="LC160" s="205"/>
      <c r="LD160" s="205"/>
      <c r="LE160" s="205">
        <f t="shared" si="1458"/>
        <v>0</v>
      </c>
      <c r="LF160" s="205"/>
      <c r="LG160" s="120"/>
      <c r="LH160" s="120"/>
      <c r="LI160" s="120"/>
      <c r="LJ160" s="120"/>
      <c r="LK160" s="205"/>
      <c r="LL160" s="205"/>
      <c r="LM160" s="205">
        <f t="shared" si="1459"/>
        <v>0</v>
      </c>
      <c r="LN160" s="205">
        <f t="shared" si="1460"/>
        <v>0</v>
      </c>
      <c r="LO160" s="205"/>
      <c r="LP160" s="120"/>
      <c r="LQ160" s="120"/>
      <c r="LR160" s="120"/>
      <c r="LS160" s="205"/>
      <c r="LT160" s="205"/>
      <c r="LU160" s="205"/>
      <c r="LV160" s="205">
        <f t="shared" si="1461"/>
        <v>0</v>
      </c>
      <c r="LW160" s="120"/>
      <c r="LX160" s="120"/>
      <c r="LY160" s="120"/>
      <c r="LZ160" s="120"/>
      <c r="MA160" s="120"/>
      <c r="MB160" s="205"/>
      <c r="MC160" s="205"/>
      <c r="MD160" s="205">
        <f t="shared" si="1462"/>
        <v>0</v>
      </c>
      <c r="ME160" s="120"/>
      <c r="MF160" s="120"/>
      <c r="MG160" s="120"/>
      <c r="MH160" s="120"/>
      <c r="MI160" s="205"/>
      <c r="MJ160" s="205"/>
      <c r="MK160" s="205"/>
      <c r="ML160" s="205">
        <f t="shared" si="1463"/>
        <v>0</v>
      </c>
      <c r="MM160" s="120"/>
      <c r="MN160" s="120"/>
      <c r="MO160" s="120"/>
      <c r="MP160" s="120"/>
      <c r="MQ160" s="120"/>
      <c r="MR160" s="205"/>
      <c r="MS160" s="205"/>
      <c r="MT160" s="205">
        <f t="shared" si="1464"/>
        <v>0</v>
      </c>
      <c r="MU160" s="205">
        <f t="shared" si="1465"/>
        <v>0</v>
      </c>
      <c r="MV160" s="120"/>
      <c r="MW160" s="120"/>
      <c r="MX160" s="120"/>
      <c r="MY160" s="120"/>
      <c r="MZ160" s="120"/>
      <c r="NA160" s="205"/>
      <c r="NB160" s="205"/>
      <c r="NC160" s="205">
        <f t="shared" si="1466"/>
        <v>0</v>
      </c>
      <c r="ND160" s="120"/>
      <c r="NE160" s="120"/>
      <c r="NF160" s="120"/>
      <c r="NG160" s="120"/>
      <c r="NH160" s="120"/>
      <c r="NI160" s="205"/>
      <c r="NJ160" s="205"/>
      <c r="NK160" s="205">
        <f t="shared" si="1467"/>
        <v>0</v>
      </c>
      <c r="NL160" s="120"/>
      <c r="NM160" s="120"/>
      <c r="NN160" s="120"/>
      <c r="NO160" s="120"/>
      <c r="NP160" s="120"/>
      <c r="NQ160" s="205"/>
      <c r="NR160" s="205"/>
      <c r="NS160" s="205">
        <f t="shared" si="1468"/>
        <v>0</v>
      </c>
      <c r="NT160" s="120"/>
      <c r="NU160" s="120"/>
      <c r="NV160" s="120"/>
      <c r="NW160" s="120"/>
      <c r="NX160" s="120"/>
      <c r="NY160" s="205"/>
      <c r="NZ160" s="205"/>
      <c r="OA160" s="205">
        <f t="shared" si="1469"/>
        <v>0</v>
      </c>
      <c r="OB160" s="205">
        <f t="shared" si="1470"/>
        <v>0</v>
      </c>
      <c r="OC160" s="120"/>
      <c r="OD160" s="120"/>
      <c r="OE160" s="120"/>
      <c r="OF160" s="120"/>
      <c r="OG160" s="120"/>
      <c r="OH160" s="205"/>
      <c r="OI160" s="205"/>
      <c r="OJ160" s="205">
        <f t="shared" si="1471"/>
        <v>0</v>
      </c>
      <c r="OK160" s="120"/>
      <c r="OL160" s="120"/>
      <c r="OM160" s="120"/>
      <c r="ON160" s="120"/>
      <c r="OO160" s="120"/>
      <c r="OP160" s="205"/>
      <c r="OQ160" s="205"/>
      <c r="OR160" s="205">
        <f t="shared" si="1472"/>
        <v>0</v>
      </c>
      <c r="OS160" s="120"/>
      <c r="OT160" s="120"/>
      <c r="OU160" s="120"/>
      <c r="OV160" s="120"/>
      <c r="OW160" s="120"/>
      <c r="OX160" s="205"/>
      <c r="OY160" s="205"/>
      <c r="OZ160" s="205">
        <f t="shared" si="1473"/>
        <v>0</v>
      </c>
      <c r="PA160" s="120"/>
      <c r="PB160" s="120"/>
      <c r="PC160" s="120"/>
      <c r="PD160" s="205"/>
      <c r="PE160" s="217"/>
      <c r="PF160" s="205"/>
      <c r="PG160" s="205"/>
      <c r="PH160" s="205">
        <f t="shared" si="1474"/>
        <v>0</v>
      </c>
      <c r="PI160" s="120"/>
      <c r="PJ160" s="120"/>
      <c r="PK160" s="120"/>
      <c r="PL160" s="205"/>
      <c r="PM160" s="217"/>
      <c r="PN160" s="205"/>
      <c r="PO160" s="205"/>
      <c r="PP160" s="205">
        <f t="shared" si="1475"/>
        <v>0</v>
      </c>
      <c r="PQ160" s="205">
        <f t="shared" si="1476"/>
        <v>0</v>
      </c>
      <c r="PR160" s="207"/>
      <c r="PS160" s="120"/>
      <c r="PT160" s="207"/>
      <c r="PU160" s="207"/>
      <c r="PV160" s="207"/>
      <c r="PW160" s="272"/>
      <c r="PX160" s="272"/>
      <c r="PY160" s="205">
        <f t="shared" si="1477"/>
        <v>0</v>
      </c>
      <c r="PZ160" s="207"/>
      <c r="QA160" s="207"/>
      <c r="QB160" s="207"/>
      <c r="QC160" s="207"/>
      <c r="QD160" s="207"/>
      <c r="QE160" s="272"/>
      <c r="QF160" s="272"/>
      <c r="QG160" s="205">
        <f t="shared" si="1478"/>
        <v>0</v>
      </c>
      <c r="QH160" s="207"/>
      <c r="QI160" s="207"/>
      <c r="QJ160" s="294"/>
      <c r="QK160" s="207"/>
      <c r="QL160" s="207"/>
      <c r="QM160" s="272"/>
      <c r="QN160" s="272"/>
      <c r="QO160" s="205">
        <f t="shared" si="1479"/>
        <v>0</v>
      </c>
      <c r="QP160" s="207"/>
      <c r="QQ160" s="207"/>
      <c r="QR160" s="207"/>
      <c r="QS160" s="207"/>
      <c r="QT160" s="207"/>
      <c r="QU160" s="272"/>
      <c r="QV160" s="272"/>
      <c r="QW160" s="205">
        <f t="shared" si="1480"/>
        <v>0</v>
      </c>
      <c r="QX160" s="205">
        <f t="shared" si="1481"/>
        <v>0</v>
      </c>
      <c r="QY160" s="207"/>
      <c r="QZ160" s="207"/>
      <c r="RA160" s="207"/>
      <c r="RB160" s="207"/>
      <c r="RC160" s="207"/>
      <c r="RD160" s="272"/>
      <c r="RE160" s="272"/>
      <c r="RF160" s="205">
        <f t="shared" si="1482"/>
        <v>0</v>
      </c>
      <c r="RG160" s="207"/>
      <c r="RH160" s="207"/>
      <c r="RI160" s="207"/>
      <c r="RJ160" s="207"/>
      <c r="RK160" s="207"/>
      <c r="RL160" s="272"/>
      <c r="RM160" s="272"/>
      <c r="RN160" s="205">
        <f t="shared" si="1483"/>
        <v>0</v>
      </c>
      <c r="RO160" s="272"/>
      <c r="RP160" s="272"/>
      <c r="RQ160" s="272"/>
      <c r="RR160" s="272"/>
      <c r="RS160" s="272"/>
      <c r="RT160" s="272"/>
      <c r="RU160" s="272"/>
      <c r="RV160" s="205">
        <f t="shared" si="1484"/>
        <v>0</v>
      </c>
      <c r="RW160" s="207"/>
      <c r="RX160" s="207"/>
      <c r="RY160" s="207"/>
      <c r="RZ160" s="207"/>
      <c r="SA160" s="272"/>
      <c r="SB160" s="272"/>
      <c r="SC160" s="272"/>
      <c r="SD160" s="205">
        <f t="shared" si="1485"/>
        <v>0</v>
      </c>
      <c r="SE160" s="205">
        <f t="shared" si="1486"/>
        <v>0</v>
      </c>
      <c r="SF160" s="207"/>
      <c r="SG160" s="207"/>
      <c r="SH160" s="207"/>
      <c r="SI160" s="207"/>
      <c r="SJ160" s="207"/>
      <c r="SK160" s="272"/>
      <c r="SL160" s="272"/>
      <c r="SM160" s="205">
        <f t="shared" si="1487"/>
        <v>0</v>
      </c>
      <c r="SN160" s="207"/>
      <c r="SO160" s="207"/>
      <c r="SP160" s="207"/>
      <c r="SQ160" s="207"/>
      <c r="SR160" s="207"/>
      <c r="SS160" s="272"/>
      <c r="ST160" s="272"/>
      <c r="SU160" s="205">
        <f t="shared" si="1488"/>
        <v>0</v>
      </c>
      <c r="SV160" s="207"/>
      <c r="SW160" s="207"/>
      <c r="SX160" s="207"/>
      <c r="SY160" s="207"/>
      <c r="SZ160" s="207"/>
      <c r="TA160" s="272"/>
      <c r="TB160" s="272"/>
      <c r="TC160" s="205">
        <f t="shared" si="1489"/>
        <v>0</v>
      </c>
      <c r="TD160" s="207"/>
      <c r="TE160" s="207"/>
      <c r="TF160" s="207"/>
      <c r="TG160" s="207"/>
      <c r="TH160" s="207"/>
      <c r="TI160" s="272"/>
      <c r="TJ160" s="272"/>
      <c r="TK160" s="205">
        <f t="shared" si="1490"/>
        <v>0</v>
      </c>
      <c r="TL160" s="207"/>
      <c r="TM160" s="207"/>
      <c r="TN160" s="207"/>
      <c r="TO160" s="207"/>
      <c r="TP160" s="272"/>
      <c r="TQ160" s="272"/>
      <c r="TR160" s="272"/>
      <c r="TS160" s="205">
        <f t="shared" si="1491"/>
        <v>0</v>
      </c>
      <c r="TT160" s="205">
        <f t="shared" si="1492"/>
        <v>0</v>
      </c>
      <c r="TU160" s="272"/>
      <c r="TV160" s="207"/>
      <c r="TW160" s="207"/>
      <c r="TX160" s="207"/>
      <c r="TY160" s="207"/>
      <c r="TZ160" s="272"/>
      <c r="UA160" s="272"/>
      <c r="UB160" s="205">
        <f t="shared" si="1493"/>
        <v>0</v>
      </c>
      <c r="UC160" s="207"/>
      <c r="UD160" s="207"/>
      <c r="UE160" s="207"/>
      <c r="UF160" s="207"/>
      <c r="UG160" s="207"/>
      <c r="UH160" s="272"/>
      <c r="UI160" s="272"/>
      <c r="UJ160" s="205">
        <f t="shared" si="1494"/>
        <v>0</v>
      </c>
      <c r="UK160" s="207"/>
      <c r="UL160" s="207"/>
      <c r="UM160" s="207"/>
      <c r="UN160" s="207"/>
      <c r="UO160" s="207"/>
      <c r="UP160" s="272"/>
      <c r="UQ160" s="272"/>
      <c r="UR160" s="205">
        <f>SUM(UK160:UQ160)</f>
        <v>0</v>
      </c>
      <c r="US160" s="207"/>
      <c r="UT160" s="207"/>
      <c r="UU160" s="207"/>
      <c r="UV160" s="207"/>
      <c r="UW160" s="272"/>
      <c r="UX160" s="272"/>
      <c r="UY160" s="272"/>
      <c r="UZ160" s="205">
        <f t="shared" si="1496"/>
        <v>0</v>
      </c>
      <c r="VA160" s="205">
        <f t="shared" si="1497"/>
        <v>0</v>
      </c>
      <c r="VB160" s="207"/>
      <c r="VC160" s="207"/>
      <c r="VD160" s="207"/>
      <c r="VE160" s="207"/>
      <c r="VF160" s="207"/>
      <c r="VG160" s="272"/>
      <c r="VH160" s="272"/>
      <c r="VI160" s="205">
        <f t="shared" si="1498"/>
        <v>0</v>
      </c>
      <c r="VJ160" s="207"/>
      <c r="VK160" s="207"/>
      <c r="VL160" s="207"/>
      <c r="VM160" s="207"/>
      <c r="VN160" s="207"/>
      <c r="VO160" s="272"/>
      <c r="VP160" s="272"/>
      <c r="VQ160" s="205">
        <f t="shared" si="1499"/>
        <v>0</v>
      </c>
      <c r="VR160" s="207"/>
      <c r="VS160" s="207"/>
      <c r="VT160" s="207"/>
      <c r="VU160" s="207"/>
      <c r="VV160" s="207"/>
      <c r="VW160" s="272"/>
      <c r="VX160" s="272"/>
      <c r="VY160" s="205">
        <f t="shared" si="1500"/>
        <v>0</v>
      </c>
      <c r="VZ160" s="207"/>
      <c r="WA160" s="207"/>
      <c r="WB160" s="207"/>
      <c r="WC160" s="207"/>
      <c r="WD160" s="207"/>
      <c r="WE160" s="272"/>
      <c r="WF160" s="272"/>
      <c r="WG160" s="205">
        <f t="shared" si="1501"/>
        <v>0</v>
      </c>
      <c r="WH160" s="205">
        <f t="shared" si="1502"/>
        <v>0</v>
      </c>
      <c r="WI160" s="207"/>
      <c r="WJ160" s="207"/>
      <c r="WK160" s="207"/>
      <c r="WL160" s="207"/>
      <c r="WM160" s="207"/>
      <c r="WN160" s="272"/>
      <c r="WO160" s="272"/>
      <c r="WP160" s="205">
        <f t="shared" si="1503"/>
        <v>0</v>
      </c>
      <c r="WQ160" s="207"/>
      <c r="WR160" s="207"/>
      <c r="WS160" s="207"/>
      <c r="WT160" s="207"/>
      <c r="WU160" s="207"/>
      <c r="WV160" s="272"/>
      <c r="WW160" s="272"/>
      <c r="WX160" s="205">
        <f t="shared" si="1504"/>
        <v>0</v>
      </c>
      <c r="WY160" s="120"/>
      <c r="WZ160" s="120"/>
      <c r="XA160" s="120"/>
      <c r="XB160" s="207"/>
      <c r="XC160" s="272"/>
      <c r="XD160" s="272"/>
      <c r="XE160" s="272"/>
      <c r="XF160" s="205">
        <f t="shared" si="1505"/>
        <v>0</v>
      </c>
      <c r="XG160" s="207"/>
      <c r="XH160" s="207"/>
      <c r="XI160" s="207"/>
      <c r="XJ160" s="207"/>
      <c r="XK160" s="207"/>
      <c r="XL160" s="272"/>
      <c r="XM160" s="272"/>
      <c r="XN160" s="205">
        <f t="shared" si="1506"/>
        <v>0</v>
      </c>
      <c r="XO160" s="207"/>
      <c r="XP160" s="207"/>
      <c r="XQ160" s="207"/>
      <c r="XR160" s="207"/>
      <c r="XS160" s="207"/>
      <c r="XT160" s="272"/>
      <c r="XU160" s="272"/>
      <c r="XV160" s="205">
        <f t="shared" si="1507"/>
        <v>0</v>
      </c>
      <c r="XW160" s="205">
        <f t="shared" si="1508"/>
        <v>0</v>
      </c>
      <c r="XX160" s="207"/>
      <c r="XY160" s="207"/>
      <c r="XZ160" s="207"/>
      <c r="YA160" s="207"/>
      <c r="YB160" s="207"/>
      <c r="YC160" s="272"/>
      <c r="YD160" s="272"/>
      <c r="YE160" s="205">
        <f t="shared" si="1509"/>
        <v>0</v>
      </c>
      <c r="YF160" s="207"/>
      <c r="YG160" s="207"/>
      <c r="YH160" s="207"/>
      <c r="YI160" s="207"/>
      <c r="YJ160" s="207"/>
      <c r="YK160" s="272"/>
      <c r="YL160" s="272"/>
      <c r="YM160" s="205">
        <f t="shared" si="1510"/>
        <v>0</v>
      </c>
      <c r="YN160" s="207"/>
      <c r="YO160" s="207"/>
      <c r="YP160" s="207"/>
      <c r="YQ160" s="207"/>
      <c r="YR160" s="207"/>
      <c r="YS160" s="272"/>
      <c r="YT160" s="272"/>
      <c r="YU160" s="205">
        <f t="shared" si="1511"/>
        <v>0</v>
      </c>
      <c r="YV160" s="207"/>
      <c r="YW160" s="207"/>
      <c r="YX160" s="207"/>
      <c r="YY160" s="207"/>
      <c r="YZ160" s="207"/>
      <c r="ZA160" s="272"/>
      <c r="ZB160" s="272"/>
      <c r="ZC160" s="205">
        <f t="shared" si="1512"/>
        <v>0</v>
      </c>
      <c r="ZD160" s="205">
        <f t="shared" si="1513"/>
        <v>0</v>
      </c>
      <c r="ZE160" s="207"/>
      <c r="ZF160" s="207"/>
      <c r="ZG160" s="207"/>
      <c r="ZH160" s="207"/>
      <c r="ZI160" s="207"/>
      <c r="ZJ160" s="272"/>
      <c r="ZK160" s="272"/>
      <c r="ZL160" s="205">
        <f t="shared" si="1514"/>
        <v>0</v>
      </c>
      <c r="ZM160" s="207"/>
      <c r="ZN160" s="207"/>
      <c r="ZO160" s="207"/>
      <c r="ZP160" s="207"/>
      <c r="ZQ160" s="207"/>
      <c r="ZR160" s="272"/>
      <c r="ZS160" s="272"/>
      <c r="ZT160" s="205">
        <f t="shared" si="1515"/>
        <v>0</v>
      </c>
      <c r="ZU160" s="207"/>
      <c r="ZV160" s="207"/>
      <c r="ZW160" s="207"/>
      <c r="ZX160" s="207"/>
      <c r="ZY160" s="207"/>
      <c r="ZZ160" s="272"/>
      <c r="AAA160" s="272"/>
      <c r="AAB160" s="205">
        <f t="shared" si="1516"/>
        <v>0</v>
      </c>
      <c r="AAC160" s="207"/>
      <c r="AAD160" s="207"/>
      <c r="AAE160" s="207"/>
      <c r="AAF160" s="207"/>
      <c r="AAG160" s="207"/>
      <c r="AAH160" s="272"/>
      <c r="AAI160" s="272"/>
      <c r="AAJ160" s="205">
        <f t="shared" si="1517"/>
        <v>0</v>
      </c>
      <c r="AAK160" s="207"/>
      <c r="AAL160" s="207"/>
      <c r="AAM160" s="207"/>
      <c r="AAN160" s="207"/>
      <c r="AAO160" s="207"/>
      <c r="AAP160" s="272"/>
      <c r="AAQ160" s="272"/>
      <c r="AAR160" s="205">
        <f t="shared" si="1518"/>
        <v>0</v>
      </c>
      <c r="AAS160" s="205">
        <f t="shared" si="1519"/>
        <v>0</v>
      </c>
    </row>
    <row r="161" spans="2:721" ht="69.95" customHeight="1">
      <c r="B161" s="180" t="s">
        <v>411</v>
      </c>
      <c r="C161" s="344" t="s">
        <v>887</v>
      </c>
      <c r="D161" s="214" t="s">
        <v>311</v>
      </c>
      <c r="E161" s="130" t="s">
        <v>4</v>
      </c>
      <c r="F161" s="120"/>
      <c r="G161" s="120"/>
      <c r="H161" s="120"/>
      <c r="I161" s="120"/>
      <c r="J161" s="124">
        <v>500</v>
      </c>
      <c r="K161" s="209"/>
      <c r="L161" s="205"/>
      <c r="M161" s="205">
        <f t="shared" si="1520"/>
        <v>500</v>
      </c>
      <c r="N161" s="120"/>
      <c r="O161" s="120"/>
      <c r="P161" s="120"/>
      <c r="Q161" s="120"/>
      <c r="R161" s="120"/>
      <c r="S161" s="209"/>
      <c r="T161" s="205"/>
      <c r="U161" s="205">
        <f t="shared" si="1521"/>
        <v>0</v>
      </c>
      <c r="V161" s="120"/>
      <c r="W161" s="120"/>
      <c r="X161" s="120"/>
      <c r="Y161" s="120"/>
      <c r="Z161" s="201">
        <v>500</v>
      </c>
      <c r="AA161" s="209"/>
      <c r="AB161" s="205"/>
      <c r="AC161" s="205">
        <f t="shared" si="1522"/>
        <v>500</v>
      </c>
      <c r="AD161" s="205"/>
      <c r="AE161" s="205"/>
      <c r="AF161" s="205"/>
      <c r="AG161" s="205"/>
      <c r="AH161" s="205"/>
      <c r="AI161" s="209"/>
      <c r="AJ161" s="205"/>
      <c r="AK161" s="205">
        <f t="shared" si="1523"/>
        <v>0</v>
      </c>
      <c r="AL161" s="205" t="e">
        <f>SUM(#REF!,M161,U161,AC161,AD161:AH161)</f>
        <v>#REF!</v>
      </c>
      <c r="AM161" s="120"/>
      <c r="AN161" s="120"/>
      <c r="AO161" s="120"/>
      <c r="AP161" s="120"/>
      <c r="AQ161" s="120"/>
      <c r="AR161" s="209"/>
      <c r="AS161" s="205"/>
      <c r="AT161" s="205">
        <f t="shared" si="1524"/>
        <v>0</v>
      </c>
      <c r="AU161" s="120"/>
      <c r="AV161" s="120"/>
      <c r="AW161" s="120"/>
      <c r="AX161" s="120"/>
      <c r="AY161" s="120"/>
      <c r="AZ161" s="209"/>
      <c r="BA161" s="205"/>
      <c r="BB161" s="205">
        <f t="shared" si="1525"/>
        <v>0</v>
      </c>
      <c r="BC161" s="120"/>
      <c r="BD161" s="120"/>
      <c r="BE161" s="120"/>
      <c r="BF161" s="120"/>
      <c r="BG161" s="120"/>
      <c r="BH161" s="209"/>
      <c r="BI161" s="205"/>
      <c r="BJ161" s="205">
        <f t="shared" si="1526"/>
        <v>0</v>
      </c>
      <c r="BK161" s="120"/>
      <c r="BL161" s="120"/>
      <c r="BM161" s="120"/>
      <c r="BN161" s="120"/>
      <c r="BO161" s="205"/>
      <c r="BP161" s="209"/>
      <c r="BQ161" s="205"/>
      <c r="BR161" s="205">
        <f t="shared" si="1527"/>
        <v>0</v>
      </c>
      <c r="BS161" s="205">
        <f t="shared" si="1427"/>
        <v>0</v>
      </c>
      <c r="BT161" s="120"/>
      <c r="BU161" s="120"/>
      <c r="BV161" s="120"/>
      <c r="BW161" s="120"/>
      <c r="BX161" s="120"/>
      <c r="BY161" s="209"/>
      <c r="BZ161" s="205"/>
      <c r="CA161" s="205">
        <f t="shared" si="1528"/>
        <v>0</v>
      </c>
      <c r="CB161" s="120"/>
      <c r="CC161" s="120"/>
      <c r="CD161" s="120"/>
      <c r="CE161" s="120"/>
      <c r="CF161" s="120"/>
      <c r="CG161" s="209"/>
      <c r="CH161" s="205"/>
      <c r="CI161" s="205">
        <f t="shared" si="1529"/>
        <v>0</v>
      </c>
      <c r="CJ161" s="120"/>
      <c r="CK161" s="195">
        <v>200</v>
      </c>
      <c r="CL161" s="120"/>
      <c r="CM161" s="120"/>
      <c r="CN161" s="120"/>
      <c r="CO161" s="209"/>
      <c r="CP161" s="205"/>
      <c r="CQ161" s="205">
        <f t="shared" si="1530"/>
        <v>200</v>
      </c>
      <c r="CR161" s="120"/>
      <c r="CS161" s="120"/>
      <c r="CT161" s="120"/>
      <c r="CU161" s="120"/>
      <c r="CV161" s="120"/>
      <c r="CW161" s="209"/>
      <c r="CX161" s="205"/>
      <c r="CY161" s="205">
        <f t="shared" si="1531"/>
        <v>0</v>
      </c>
      <c r="CZ161" s="120"/>
      <c r="DA161" s="120"/>
      <c r="DB161" s="120"/>
      <c r="DC161" s="205"/>
      <c r="DD161" s="205"/>
      <c r="DE161" s="209"/>
      <c r="DF161" s="205"/>
      <c r="DG161" s="205">
        <f t="shared" si="1532"/>
        <v>0</v>
      </c>
      <c r="DH161" s="205">
        <f t="shared" si="1428"/>
        <v>200</v>
      </c>
      <c r="DI161" s="120"/>
      <c r="DJ161" s="120"/>
      <c r="DK161" s="120"/>
      <c r="DL161" s="250">
        <v>100</v>
      </c>
      <c r="DM161" s="120"/>
      <c r="DN161" s="209"/>
      <c r="DO161" s="205"/>
      <c r="DP161" s="205">
        <f t="shared" si="1432"/>
        <v>100</v>
      </c>
      <c r="DQ161" s="120"/>
      <c r="DR161" s="120"/>
      <c r="DS161" s="120"/>
      <c r="DT161" s="120"/>
      <c r="DU161" s="120"/>
      <c r="DV161" s="209"/>
      <c r="DW161" s="205"/>
      <c r="DX161" s="205">
        <f t="shared" si="1433"/>
        <v>0</v>
      </c>
      <c r="DY161" s="120"/>
      <c r="DZ161" s="120"/>
      <c r="EA161" s="120"/>
      <c r="EB161" s="120"/>
      <c r="EC161" s="120"/>
      <c r="ED161" s="209"/>
      <c r="EE161" s="205"/>
      <c r="EF161" s="205">
        <f t="shared" si="1434"/>
        <v>0</v>
      </c>
      <c r="EG161" s="120"/>
      <c r="EH161" s="120"/>
      <c r="EI161" s="120"/>
      <c r="EJ161" s="205"/>
      <c r="EK161" s="205"/>
      <c r="EL161" s="209"/>
      <c r="EM161" s="205"/>
      <c r="EN161" s="205">
        <f t="shared" si="1435"/>
        <v>0</v>
      </c>
      <c r="EO161" s="205">
        <f t="shared" si="1429"/>
        <v>100</v>
      </c>
      <c r="EP161" s="120"/>
      <c r="EQ161" s="120"/>
      <c r="ER161" s="120"/>
      <c r="ES161" s="120"/>
      <c r="ET161" s="217">
        <v>1100</v>
      </c>
      <c r="EU161" s="209"/>
      <c r="EV161" s="205"/>
      <c r="EW161" s="205">
        <f t="shared" si="1436"/>
        <v>1100</v>
      </c>
      <c r="EX161" s="120"/>
      <c r="EY161" s="120"/>
      <c r="EZ161" s="120"/>
      <c r="FA161" s="120"/>
      <c r="FB161" s="120"/>
      <c r="FC161" s="209"/>
      <c r="FD161" s="205"/>
      <c r="FE161" s="205">
        <f t="shared" si="1437"/>
        <v>0</v>
      </c>
      <c r="FF161" s="120"/>
      <c r="FG161" s="120"/>
      <c r="FH161" s="120"/>
      <c r="FI161" s="120"/>
      <c r="FJ161" s="250">
        <v>500</v>
      </c>
      <c r="FK161" s="209"/>
      <c r="FL161" s="205"/>
      <c r="FM161" s="205">
        <f t="shared" si="1438"/>
        <v>500</v>
      </c>
      <c r="FN161" s="120"/>
      <c r="FO161" s="120"/>
      <c r="FP161" s="120"/>
      <c r="FQ161" s="120"/>
      <c r="FR161" s="205"/>
      <c r="FS161" s="209"/>
      <c r="FT161" s="205"/>
      <c r="FU161" s="205">
        <f t="shared" si="1439"/>
        <v>0</v>
      </c>
      <c r="FV161" s="205">
        <f t="shared" si="1430"/>
        <v>1600</v>
      </c>
      <c r="FW161" s="120"/>
      <c r="FX161" s="120"/>
      <c r="FY161" s="120"/>
      <c r="FZ161" s="120"/>
      <c r="GA161" s="120"/>
      <c r="GB161" s="209"/>
      <c r="GC161" s="205"/>
      <c r="GD161" s="205">
        <f t="shared" si="1440"/>
        <v>0</v>
      </c>
      <c r="GE161" s="120"/>
      <c r="GF161" s="120"/>
      <c r="GG161" s="120"/>
      <c r="GH161" s="120"/>
      <c r="GI161" s="120"/>
      <c r="GJ161" s="209"/>
      <c r="GK161" s="205"/>
      <c r="GL161" s="205">
        <f t="shared" si="1441"/>
        <v>0</v>
      </c>
      <c r="GM161" s="207"/>
      <c r="GN161" s="207"/>
      <c r="GO161" s="120"/>
      <c r="GP161" s="120"/>
      <c r="GQ161" s="183">
        <v>90</v>
      </c>
      <c r="GR161" s="209"/>
      <c r="GS161" s="205"/>
      <c r="GT161" s="205">
        <f>SUM(GO161:GS161)</f>
        <v>90</v>
      </c>
      <c r="GU161" s="120"/>
      <c r="GV161" s="120"/>
      <c r="GW161" s="120"/>
      <c r="GX161" s="120"/>
      <c r="GY161" s="120"/>
      <c r="GZ161" s="209"/>
      <c r="HA161" s="205"/>
      <c r="HB161" s="205">
        <f t="shared" si="1443"/>
        <v>0</v>
      </c>
      <c r="HC161" s="120"/>
      <c r="HD161" s="120"/>
      <c r="HE161" s="250">
        <v>350</v>
      </c>
      <c r="HF161" s="120"/>
      <c r="HG161" s="120"/>
      <c r="HH161" s="209"/>
      <c r="HI161" s="205"/>
      <c r="HJ161" s="205">
        <f t="shared" si="1444"/>
        <v>350</v>
      </c>
      <c r="HK161" s="205">
        <f t="shared" si="1431"/>
        <v>90</v>
      </c>
      <c r="HL161" s="124"/>
      <c r="HM161" s="120"/>
      <c r="HN161" s="120"/>
      <c r="HO161" s="120"/>
      <c r="HP161" s="120"/>
      <c r="HQ161" s="205"/>
      <c r="HR161" s="205"/>
      <c r="HS161" s="205">
        <f t="shared" si="1445"/>
        <v>0</v>
      </c>
      <c r="HT161" s="120"/>
      <c r="HU161" s="120"/>
      <c r="HV161" s="120"/>
      <c r="HW161" s="195">
        <v>450</v>
      </c>
      <c r="HX161" s="120"/>
      <c r="HY161" s="205"/>
      <c r="HZ161" s="205"/>
      <c r="IA161" s="205">
        <f t="shared" si="1446"/>
        <v>450</v>
      </c>
      <c r="IB161" s="120"/>
      <c r="IC161" s="120"/>
      <c r="ID161" s="120"/>
      <c r="IE161" s="120"/>
      <c r="IF161" s="120"/>
      <c r="IG161" s="205"/>
      <c r="IH161" s="205"/>
      <c r="II161" s="205">
        <f t="shared" si="1447"/>
        <v>0</v>
      </c>
      <c r="IJ161" s="120"/>
      <c r="IK161" s="120"/>
      <c r="IL161" s="120"/>
      <c r="IM161" s="120"/>
      <c r="IN161" s="120"/>
      <c r="IO161" s="205"/>
      <c r="IP161" s="205"/>
      <c r="IQ161" s="205">
        <f t="shared" si="1448"/>
        <v>0</v>
      </c>
      <c r="IR161" s="205">
        <f t="shared" si="1449"/>
        <v>800</v>
      </c>
      <c r="IS161" s="120"/>
      <c r="IT161" s="120"/>
      <c r="IU161" s="120"/>
      <c r="IV161" s="120"/>
      <c r="IW161" s="120"/>
      <c r="IX161" s="205"/>
      <c r="IY161" s="205"/>
      <c r="IZ161" s="205">
        <f t="shared" si="1450"/>
        <v>0</v>
      </c>
      <c r="JA161" s="120"/>
      <c r="JB161" s="120"/>
      <c r="JC161" s="120"/>
      <c r="JD161" s="217">
        <v>600</v>
      </c>
      <c r="JE161" s="120"/>
      <c r="JF161" s="205"/>
      <c r="JG161" s="205"/>
      <c r="JH161" s="205">
        <f t="shared" si="1451"/>
        <v>600</v>
      </c>
      <c r="JI161" s="120"/>
      <c r="JJ161" s="120"/>
      <c r="JK161" s="120"/>
      <c r="JL161" s="120"/>
      <c r="JM161" s="120"/>
      <c r="JN161" s="205"/>
      <c r="JO161" s="205"/>
      <c r="JP161" s="205">
        <f t="shared" si="1452"/>
        <v>0</v>
      </c>
      <c r="JQ161" s="120"/>
      <c r="JR161" s="120"/>
      <c r="JS161" s="120"/>
      <c r="JT161" s="120"/>
      <c r="JU161" s="120"/>
      <c r="JV161" s="205"/>
      <c r="JW161" s="205"/>
      <c r="JX161" s="205">
        <f t="shared" si="1453"/>
        <v>0</v>
      </c>
      <c r="JY161" s="205">
        <f t="shared" si="1454"/>
        <v>600</v>
      </c>
      <c r="JZ161" s="120"/>
      <c r="KA161" s="120"/>
      <c r="KB161" s="120"/>
      <c r="KC161" s="120"/>
      <c r="KD161" s="120"/>
      <c r="KE161" s="205"/>
      <c r="KF161" s="205"/>
      <c r="KG161" s="205">
        <f t="shared" si="1455"/>
        <v>0</v>
      </c>
      <c r="KH161" s="120"/>
      <c r="KI161" s="120"/>
      <c r="KJ161" s="120"/>
      <c r="KK161" s="120"/>
      <c r="KL161" s="206">
        <v>600</v>
      </c>
      <c r="KM161" s="205"/>
      <c r="KN161" s="205"/>
      <c r="KO161" s="205">
        <f t="shared" si="1456"/>
        <v>600</v>
      </c>
      <c r="KP161" s="120"/>
      <c r="KQ161" s="120"/>
      <c r="KR161" s="120"/>
      <c r="KS161" s="120"/>
      <c r="KT161" s="120"/>
      <c r="KU161" s="205"/>
      <c r="KV161" s="205"/>
      <c r="KW161" s="205">
        <f t="shared" si="1457"/>
        <v>0</v>
      </c>
      <c r="KX161" s="120"/>
      <c r="KY161" s="120"/>
      <c r="KZ161" s="120"/>
      <c r="LA161" s="120"/>
      <c r="LB161" s="120"/>
      <c r="LC161" s="205"/>
      <c r="LD161" s="205"/>
      <c r="LE161" s="205">
        <f t="shared" si="1458"/>
        <v>0</v>
      </c>
      <c r="LF161" s="205"/>
      <c r="LG161" s="120"/>
      <c r="LH161" s="120"/>
      <c r="LI161" s="120"/>
      <c r="LJ161" s="120"/>
      <c r="LK161" s="205"/>
      <c r="LL161" s="205"/>
      <c r="LM161" s="205">
        <f t="shared" si="1459"/>
        <v>0</v>
      </c>
      <c r="LN161" s="205">
        <f t="shared" si="1460"/>
        <v>600</v>
      </c>
      <c r="LO161" s="205"/>
      <c r="LP161" s="120"/>
      <c r="LR161" s="120"/>
      <c r="LS161" s="205"/>
      <c r="LT161" s="205"/>
      <c r="LU161" s="205"/>
      <c r="LV161" s="205">
        <f t="shared" si="1461"/>
        <v>0</v>
      </c>
      <c r="LW161" s="120"/>
      <c r="LX161" s="120"/>
      <c r="LY161" s="120"/>
      <c r="LZ161" s="120"/>
      <c r="MA161" s="120"/>
      <c r="MB161" s="205"/>
      <c r="MC161" s="205"/>
      <c r="MD161" s="205">
        <f t="shared" si="1462"/>
        <v>0</v>
      </c>
      <c r="ME161" s="120"/>
      <c r="MF161" s="120"/>
      <c r="MG161" s="120"/>
      <c r="MH161" s="120"/>
      <c r="MI161" s="205"/>
      <c r="MJ161" s="205"/>
      <c r="MK161" s="205"/>
      <c r="ML161" s="205">
        <f t="shared" si="1463"/>
        <v>0</v>
      </c>
      <c r="MM161" s="120"/>
      <c r="MN161" s="120"/>
      <c r="MO161" s="120"/>
      <c r="MP161" s="217">
        <v>300</v>
      </c>
      <c r="MQ161" s="120"/>
      <c r="MR161" s="205"/>
      <c r="MS161" s="205"/>
      <c r="MT161" s="205">
        <f t="shared" si="1464"/>
        <v>300</v>
      </c>
      <c r="MU161" s="205">
        <f t="shared" si="1465"/>
        <v>300</v>
      </c>
      <c r="MV161" s="120"/>
      <c r="MW161" s="120"/>
      <c r="MX161" s="120"/>
      <c r="MY161" s="120"/>
      <c r="MZ161" s="120"/>
      <c r="NA161" s="205"/>
      <c r="NB161" s="205"/>
      <c r="NC161" s="205">
        <f t="shared" si="1466"/>
        <v>0</v>
      </c>
      <c r="ND161" s="120"/>
      <c r="NE161" s="120"/>
      <c r="NF161" s="120"/>
      <c r="NG161" s="120"/>
      <c r="NH161" s="120"/>
      <c r="NI161" s="205"/>
      <c r="NJ161" s="205"/>
      <c r="NK161" s="205">
        <f t="shared" si="1467"/>
        <v>0</v>
      </c>
      <c r="NL161" s="120"/>
      <c r="NM161" s="120"/>
      <c r="NN161" s="123">
        <v>120</v>
      </c>
      <c r="NO161" s="124">
        <v>300</v>
      </c>
      <c r="NP161" s="120"/>
      <c r="NQ161" s="205"/>
      <c r="NR161" s="205"/>
      <c r="NS161" s="205">
        <f t="shared" si="1468"/>
        <v>420</v>
      </c>
      <c r="NT161" s="120"/>
      <c r="NU161" s="120"/>
      <c r="NV161" s="120"/>
      <c r="NW161" s="120"/>
      <c r="NX161" s="120"/>
      <c r="NY161" s="205"/>
      <c r="NZ161" s="205"/>
      <c r="OA161" s="205">
        <f t="shared" si="1469"/>
        <v>0</v>
      </c>
      <c r="OB161" s="205">
        <f t="shared" si="1470"/>
        <v>420</v>
      </c>
      <c r="OC161" s="120"/>
      <c r="OD161" s="120"/>
      <c r="OE161" s="120"/>
      <c r="OF161" s="120"/>
      <c r="OG161" s="120"/>
      <c r="OH161" s="205"/>
      <c r="OI161" s="205"/>
      <c r="OJ161" s="205">
        <f t="shared" si="1471"/>
        <v>0</v>
      </c>
      <c r="OK161" s="120"/>
      <c r="OL161" s="120"/>
      <c r="OM161" s="124">
        <v>300</v>
      </c>
      <c r="ON161" s="120"/>
      <c r="OO161" s="120"/>
      <c r="OP161" s="205"/>
      <c r="OQ161" s="205"/>
      <c r="OR161" s="205">
        <f t="shared" si="1472"/>
        <v>300</v>
      </c>
      <c r="OS161" s="120"/>
      <c r="OT161" s="120"/>
      <c r="OU161" s="120"/>
      <c r="OV161" s="120"/>
      <c r="OW161" s="120"/>
      <c r="OX161" s="205"/>
      <c r="OY161" s="205"/>
      <c r="OZ161" s="205">
        <f t="shared" si="1473"/>
        <v>0</v>
      </c>
      <c r="PA161" s="120"/>
      <c r="PB161" s="120"/>
      <c r="PC161" s="120"/>
      <c r="PD161" s="205"/>
      <c r="PE161" s="217"/>
      <c r="PF161" s="205"/>
      <c r="PG161" s="205"/>
      <c r="PH161" s="205">
        <f t="shared" si="1474"/>
        <v>0</v>
      </c>
      <c r="PI161" s="120"/>
      <c r="PJ161" s="120"/>
      <c r="PK161" s="124">
        <v>300</v>
      </c>
      <c r="PL161" s="205"/>
      <c r="PM161" s="217"/>
      <c r="PN161" s="205"/>
      <c r="PO161" s="205"/>
      <c r="PP161" s="205">
        <f t="shared" si="1475"/>
        <v>300</v>
      </c>
      <c r="PQ161" s="205">
        <f t="shared" si="1476"/>
        <v>600</v>
      </c>
      <c r="PR161" s="207"/>
      <c r="PS161" s="120"/>
      <c r="PT161" s="207"/>
      <c r="PU161" s="207"/>
      <c r="PV161" s="195">
        <v>500</v>
      </c>
      <c r="PW161" s="272"/>
      <c r="PX161" s="272"/>
      <c r="PY161" s="205">
        <f t="shared" si="1477"/>
        <v>500</v>
      </c>
      <c r="PZ161" s="207"/>
      <c r="QA161" s="207"/>
      <c r="QB161" s="207"/>
      <c r="QC161" s="207"/>
      <c r="QD161" s="207"/>
      <c r="QE161" s="272"/>
      <c r="QF161" s="272"/>
      <c r="QG161" s="205">
        <f t="shared" si="1478"/>
        <v>0</v>
      </c>
      <c r="QH161" s="207"/>
      <c r="QI161" s="207"/>
      <c r="QJ161" s="294"/>
      <c r="QK161" s="207"/>
      <c r="QL161" s="207"/>
      <c r="QM161" s="272"/>
      <c r="QN161" s="272"/>
      <c r="QO161" s="205">
        <f t="shared" si="1479"/>
        <v>0</v>
      </c>
      <c r="QP161" s="207"/>
      <c r="QQ161" s="207"/>
      <c r="QR161" s="124">
        <v>200</v>
      </c>
      <c r="QS161" s="207"/>
      <c r="QT161" s="207"/>
      <c r="QU161" s="272"/>
      <c r="QV161" s="272"/>
      <c r="QW161" s="205">
        <f t="shared" si="1480"/>
        <v>200</v>
      </c>
      <c r="QX161" s="205">
        <f t="shared" si="1481"/>
        <v>700</v>
      </c>
      <c r="QY161" s="207"/>
      <c r="QZ161" s="207"/>
      <c r="RA161" s="207"/>
      <c r="RB161" s="207"/>
      <c r="RC161" s="207"/>
      <c r="RD161" s="272"/>
      <c r="RE161" s="272"/>
      <c r="RF161" s="205">
        <f t="shared" si="1482"/>
        <v>0</v>
      </c>
      <c r="RG161" s="201">
        <v>500</v>
      </c>
      <c r="RH161" s="207"/>
      <c r="RI161" s="207"/>
      <c r="RJ161" s="207"/>
      <c r="RK161" s="207"/>
      <c r="RL161" s="272"/>
      <c r="RM161" s="272"/>
      <c r="RN161" s="205">
        <f t="shared" si="1483"/>
        <v>500</v>
      </c>
      <c r="RO161" s="272"/>
      <c r="RP161" s="272"/>
      <c r="RQ161" s="272"/>
      <c r="RR161" s="272"/>
      <c r="RS161" s="272"/>
      <c r="RT161" s="272"/>
      <c r="RU161" s="272"/>
      <c r="RV161" s="205">
        <f t="shared" si="1484"/>
        <v>0</v>
      </c>
      <c r="RW161" s="207"/>
      <c r="RX161" s="207"/>
      <c r="RY161" s="207"/>
      <c r="RZ161" s="207"/>
      <c r="SA161" s="272"/>
      <c r="SB161" s="272"/>
      <c r="SC161" s="272"/>
      <c r="SD161" s="205">
        <f t="shared" si="1485"/>
        <v>0</v>
      </c>
      <c r="SE161" s="205">
        <f t="shared" si="1486"/>
        <v>500</v>
      </c>
      <c r="SF161" s="207"/>
      <c r="SG161" s="207"/>
      <c r="SH161" s="207"/>
      <c r="SI161" s="195">
        <v>100</v>
      </c>
      <c r="SJ161" s="207"/>
      <c r="SK161" s="272"/>
      <c r="SL161" s="272"/>
      <c r="SM161" s="205">
        <f t="shared" si="1487"/>
        <v>100</v>
      </c>
      <c r="SN161" s="207"/>
      <c r="SO161" s="207"/>
      <c r="SP161" s="207"/>
      <c r="SQ161" s="124">
        <v>200</v>
      </c>
      <c r="SR161" s="207"/>
      <c r="SS161" s="272"/>
      <c r="ST161" s="272"/>
      <c r="SU161" s="205">
        <f t="shared" si="1488"/>
        <v>200</v>
      </c>
      <c r="SV161" s="207"/>
      <c r="SW161" s="217">
        <v>460</v>
      </c>
      <c r="SX161" s="207"/>
      <c r="SY161" s="207"/>
      <c r="SZ161" s="207"/>
      <c r="TA161" s="272"/>
      <c r="TB161" s="272"/>
      <c r="TC161" s="205">
        <f t="shared" si="1489"/>
        <v>460</v>
      </c>
      <c r="TD161" s="207"/>
      <c r="TE161" s="207"/>
      <c r="TF161" s="207"/>
      <c r="TG161" s="207"/>
      <c r="TH161" s="207"/>
      <c r="TI161" s="272"/>
      <c r="TJ161" s="272"/>
      <c r="TK161" s="205">
        <f t="shared" si="1490"/>
        <v>0</v>
      </c>
      <c r="TL161" s="207"/>
      <c r="TM161" s="207"/>
      <c r="TN161" s="217">
        <v>300</v>
      </c>
      <c r="TO161" s="207"/>
      <c r="TP161" s="272"/>
      <c r="TQ161" s="272"/>
      <c r="TR161" s="272"/>
      <c r="TS161" s="205">
        <f t="shared" si="1491"/>
        <v>300</v>
      </c>
      <c r="TT161" s="205">
        <f t="shared" si="1492"/>
        <v>760</v>
      </c>
      <c r="TU161" s="272"/>
      <c r="TV161" s="207"/>
      <c r="TW161" s="207"/>
      <c r="TX161" s="207"/>
      <c r="TY161" s="207"/>
      <c r="TZ161" s="272"/>
      <c r="UA161" s="272"/>
      <c r="UB161" s="205">
        <f t="shared" si="1493"/>
        <v>0</v>
      </c>
      <c r="UC161" s="207"/>
      <c r="UD161" s="207"/>
      <c r="UE161" s="207"/>
      <c r="UF161" s="207"/>
      <c r="UG161" s="207"/>
      <c r="UH161" s="272"/>
      <c r="UI161" s="272"/>
      <c r="UJ161" s="205">
        <f t="shared" si="1494"/>
        <v>0</v>
      </c>
      <c r="UK161" s="207"/>
      <c r="UL161" s="207"/>
      <c r="UM161" s="207"/>
      <c r="UN161" s="207"/>
      <c r="UO161" s="207"/>
      <c r="UP161" s="272"/>
      <c r="UQ161" s="272"/>
      <c r="UR161" s="205">
        <f>SUM(UL161:UQ161)</f>
        <v>0</v>
      </c>
      <c r="US161" s="201">
        <v>300</v>
      </c>
      <c r="UT161" s="207"/>
      <c r="UU161" s="207"/>
      <c r="UV161" s="207"/>
      <c r="UW161" s="272"/>
      <c r="UX161" s="272"/>
      <c r="UY161" s="272"/>
      <c r="UZ161" s="205">
        <f t="shared" si="1496"/>
        <v>300</v>
      </c>
      <c r="VA161" s="205">
        <f t="shared" si="1497"/>
        <v>600</v>
      </c>
      <c r="VB161" s="207"/>
      <c r="VC161" s="207"/>
      <c r="VD161" s="207"/>
      <c r="VE161" s="207"/>
      <c r="VF161" s="207"/>
      <c r="VG161" s="272"/>
      <c r="VH161" s="272"/>
      <c r="VI161" s="205">
        <f t="shared" si="1498"/>
        <v>0</v>
      </c>
      <c r="VJ161" s="207"/>
      <c r="VK161" s="207"/>
      <c r="VL161" s="207"/>
      <c r="VM161" s="207"/>
      <c r="VN161" s="207"/>
      <c r="VO161" s="272"/>
      <c r="VP161" s="272"/>
      <c r="VQ161" s="205">
        <f t="shared" si="1499"/>
        <v>0</v>
      </c>
      <c r="VR161" s="207"/>
      <c r="VS161" s="207"/>
      <c r="VT161" s="207"/>
      <c r="VU161" s="207"/>
      <c r="VV161" s="207"/>
      <c r="VW161" s="272"/>
      <c r="VX161" s="272"/>
      <c r="VY161" s="205">
        <f t="shared" si="1500"/>
        <v>0</v>
      </c>
      <c r="VZ161" s="195">
        <v>600</v>
      </c>
      <c r="WA161" s="207"/>
      <c r="WB161" s="207"/>
      <c r="WC161" s="207"/>
      <c r="WD161" s="207"/>
      <c r="WE161" s="272"/>
      <c r="WF161" s="272"/>
      <c r="WG161" s="205">
        <f>SUM(VZ161:WF161)</f>
        <v>600</v>
      </c>
      <c r="WH161" s="205">
        <f t="shared" si="1502"/>
        <v>600</v>
      </c>
      <c r="WI161" s="207"/>
      <c r="WJ161" s="207"/>
      <c r="WK161" s="207"/>
      <c r="WL161" s="207"/>
      <c r="WM161" s="207"/>
      <c r="WN161" s="272"/>
      <c r="WO161" s="272"/>
      <c r="WP161" s="205">
        <f t="shared" si="1503"/>
        <v>0</v>
      </c>
      <c r="WQ161" s="207"/>
      <c r="WR161" s="207"/>
      <c r="WS161" s="207"/>
      <c r="WT161" s="207"/>
      <c r="WU161" s="207"/>
      <c r="WV161" s="272"/>
      <c r="WW161" s="272"/>
      <c r="WX161" s="205">
        <f t="shared" si="1504"/>
        <v>0</v>
      </c>
      <c r="WY161" s="120"/>
      <c r="WZ161" s="120"/>
      <c r="XA161" s="120">
        <v>500</v>
      </c>
      <c r="XB161" s="207"/>
      <c r="XC161" s="272"/>
      <c r="XD161" s="272"/>
      <c r="XE161" s="272"/>
      <c r="XF161" s="205">
        <f t="shared" si="1505"/>
        <v>500</v>
      </c>
      <c r="XG161" s="207"/>
      <c r="XH161" s="207"/>
      <c r="XI161" s="207"/>
      <c r="XJ161" s="207"/>
      <c r="XK161" s="207"/>
      <c r="XL161" s="272"/>
      <c r="XM161" s="272"/>
      <c r="XN161" s="205">
        <f t="shared" si="1506"/>
        <v>0</v>
      </c>
      <c r="XO161" s="207"/>
      <c r="XP161" s="207"/>
      <c r="XQ161" s="207"/>
      <c r="XR161" s="207"/>
      <c r="XS161" s="207"/>
      <c r="XT161" s="272"/>
      <c r="XU161" s="272"/>
      <c r="XV161" s="205">
        <f t="shared" si="1507"/>
        <v>0</v>
      </c>
      <c r="XW161" s="205">
        <f t="shared" si="1508"/>
        <v>500</v>
      </c>
      <c r="XX161" s="207"/>
      <c r="XY161" s="207"/>
      <c r="XZ161" s="207"/>
      <c r="YA161" s="207"/>
      <c r="YB161" s="207"/>
      <c r="YC161" s="272"/>
      <c r="YD161" s="272"/>
      <c r="YE161" s="205">
        <f t="shared" si="1509"/>
        <v>0</v>
      </c>
      <c r="YF161" s="207"/>
      <c r="YG161" s="207"/>
      <c r="YH161" s="207"/>
      <c r="YI161" s="207"/>
      <c r="YJ161" s="207"/>
      <c r="YK161" s="272"/>
      <c r="YL161" s="272"/>
      <c r="YM161" s="205">
        <f t="shared" si="1510"/>
        <v>0</v>
      </c>
      <c r="YN161" s="207"/>
      <c r="YO161" s="207"/>
      <c r="YP161" s="207"/>
      <c r="YQ161" s="207"/>
      <c r="YR161" s="207"/>
      <c r="YS161" s="272"/>
      <c r="YT161" s="272"/>
      <c r="YU161" s="205">
        <f t="shared" si="1511"/>
        <v>0</v>
      </c>
      <c r="YV161" s="207"/>
      <c r="YW161" s="207"/>
      <c r="YX161" s="207"/>
      <c r="YY161" s="207"/>
      <c r="YZ161" s="207"/>
      <c r="ZA161" s="272"/>
      <c r="ZB161" s="272"/>
      <c r="ZC161" s="205">
        <f t="shared" si="1512"/>
        <v>0</v>
      </c>
      <c r="ZD161" s="205">
        <f t="shared" si="1513"/>
        <v>500</v>
      </c>
      <c r="ZE161" s="207"/>
      <c r="ZF161" s="207"/>
      <c r="ZG161" s="207"/>
      <c r="ZH161" s="207"/>
      <c r="ZI161" s="207"/>
      <c r="ZJ161" s="272"/>
      <c r="ZK161" s="272"/>
      <c r="ZL161" s="205">
        <f t="shared" si="1514"/>
        <v>0</v>
      </c>
      <c r="ZM161" s="207"/>
      <c r="ZN161" s="207"/>
      <c r="ZO161" s="207"/>
      <c r="ZP161" s="207"/>
      <c r="ZQ161" s="207"/>
      <c r="ZR161" s="272"/>
      <c r="ZS161" s="272"/>
      <c r="ZT161" s="205">
        <f t="shared" si="1515"/>
        <v>0</v>
      </c>
      <c r="ZU161" s="207"/>
      <c r="ZV161" s="207"/>
      <c r="ZW161" s="207"/>
      <c r="ZX161" s="207"/>
      <c r="ZY161" s="207"/>
      <c r="ZZ161" s="272"/>
      <c r="AAA161" s="272"/>
      <c r="AAB161" s="205">
        <f t="shared" si="1516"/>
        <v>0</v>
      </c>
      <c r="AAC161" s="207"/>
      <c r="AAD161" s="207"/>
      <c r="AAE161" s="207"/>
      <c r="AAF161" s="207"/>
      <c r="AAG161" s="207"/>
      <c r="AAH161" s="272"/>
      <c r="AAI161" s="272"/>
      <c r="AAJ161" s="205">
        <f t="shared" si="1517"/>
        <v>0</v>
      </c>
      <c r="AAK161" s="207"/>
      <c r="AAL161" s="207"/>
      <c r="AAM161" s="207"/>
      <c r="AAN161" s="207"/>
      <c r="AAO161" s="207"/>
      <c r="AAP161" s="272"/>
      <c r="AAQ161" s="272"/>
      <c r="AAR161" s="205">
        <f t="shared" si="1518"/>
        <v>0</v>
      </c>
      <c r="AAS161" s="205">
        <f t="shared" si="1519"/>
        <v>0</v>
      </c>
    </row>
    <row r="162" spans="2:721" ht="69.95" customHeight="1">
      <c r="B162" s="180" t="s">
        <v>409</v>
      </c>
      <c r="C162" s="344" t="s">
        <v>887</v>
      </c>
      <c r="D162" s="214" t="s">
        <v>387</v>
      </c>
      <c r="E162" s="130" t="s">
        <v>4</v>
      </c>
      <c r="F162" s="120"/>
      <c r="G162" s="120"/>
      <c r="H162" s="120"/>
      <c r="I162" s="120"/>
      <c r="J162" s="120"/>
      <c r="K162" s="209"/>
      <c r="L162" s="205"/>
      <c r="M162" s="205">
        <f t="shared" si="1520"/>
        <v>0</v>
      </c>
      <c r="N162" s="120"/>
      <c r="O162" s="120"/>
      <c r="P162" s="120"/>
      <c r="Q162" s="120"/>
      <c r="R162" s="120"/>
      <c r="S162" s="209"/>
      <c r="T162" s="205"/>
      <c r="U162" s="205">
        <f t="shared" si="1521"/>
        <v>0</v>
      </c>
      <c r="V162" s="120"/>
      <c r="W162" s="120"/>
      <c r="X162" s="120"/>
      <c r="Y162" s="120"/>
      <c r="Z162" s="120"/>
      <c r="AA162" s="209"/>
      <c r="AB162" s="205"/>
      <c r="AC162" s="205">
        <f t="shared" si="1522"/>
        <v>0</v>
      </c>
      <c r="AD162" s="205"/>
      <c r="AE162" s="205"/>
      <c r="AF162" s="205"/>
      <c r="AG162" s="205"/>
      <c r="AH162" s="205"/>
      <c r="AI162" s="209"/>
      <c r="AJ162" s="205"/>
      <c r="AK162" s="205">
        <f t="shared" si="1523"/>
        <v>0</v>
      </c>
      <c r="AL162" s="205" t="e">
        <f>SUM(#REF!,M162,U162,AC162,AD162:AH162)</f>
        <v>#REF!</v>
      </c>
      <c r="AM162" s="120"/>
      <c r="AN162" s="120"/>
      <c r="AO162" s="120"/>
      <c r="AP162" s="120"/>
      <c r="AQ162" s="120"/>
      <c r="AR162" s="209"/>
      <c r="AS162" s="205"/>
      <c r="AT162" s="205">
        <f t="shared" si="1524"/>
        <v>0</v>
      </c>
      <c r="AU162" s="120"/>
      <c r="AV162" s="120"/>
      <c r="AW162" s="120"/>
      <c r="AX162" s="120"/>
      <c r="AY162" s="120"/>
      <c r="AZ162" s="209"/>
      <c r="BA162" s="205"/>
      <c r="BB162" s="205">
        <f t="shared" si="1525"/>
        <v>0</v>
      </c>
      <c r="BC162" s="120"/>
      <c r="BD162" s="120"/>
      <c r="BE162" s="120"/>
      <c r="BF162" s="120"/>
      <c r="BG162" s="120"/>
      <c r="BH162" s="209"/>
      <c r="BI162" s="205"/>
      <c r="BJ162" s="205">
        <f t="shared" si="1526"/>
        <v>0</v>
      </c>
      <c r="BK162" s="120"/>
      <c r="BL162" s="120"/>
      <c r="BM162" s="120"/>
      <c r="BN162" s="120"/>
      <c r="BO162" s="205"/>
      <c r="BP162" s="209"/>
      <c r="BQ162" s="205"/>
      <c r="BR162" s="205">
        <f t="shared" si="1527"/>
        <v>0</v>
      </c>
      <c r="BS162" s="205">
        <f t="shared" si="1427"/>
        <v>0</v>
      </c>
      <c r="BT162" s="120"/>
      <c r="BU162" s="120"/>
      <c r="BV162" s="120"/>
      <c r="BW162" s="120"/>
      <c r="BX162" s="120"/>
      <c r="BY162" s="209"/>
      <c r="BZ162" s="205"/>
      <c r="CA162" s="205">
        <f t="shared" si="1528"/>
        <v>0</v>
      </c>
      <c r="CB162" s="120"/>
      <c r="CC162" s="120"/>
      <c r="CD162" s="120"/>
      <c r="CE162" s="120"/>
      <c r="CF162" s="120"/>
      <c r="CG162" s="209"/>
      <c r="CH162" s="205"/>
      <c r="CI162" s="205">
        <f t="shared" si="1529"/>
        <v>0</v>
      </c>
      <c r="CJ162" s="120"/>
      <c r="CK162" s="195">
        <v>300</v>
      </c>
      <c r="CL162" s="120"/>
      <c r="CM162" s="120"/>
      <c r="CN162" s="120"/>
      <c r="CO162" s="209"/>
      <c r="CP162" s="205"/>
      <c r="CQ162" s="205">
        <f t="shared" si="1530"/>
        <v>300</v>
      </c>
      <c r="CR162" s="120"/>
      <c r="CS162" s="120"/>
      <c r="CT162" s="120"/>
      <c r="CU162" s="120"/>
      <c r="CV162" s="120"/>
      <c r="CW162" s="209"/>
      <c r="CX162" s="205"/>
      <c r="CY162" s="205">
        <f t="shared" si="1531"/>
        <v>0</v>
      </c>
      <c r="CZ162" s="120"/>
      <c r="DA162" s="120"/>
      <c r="DB162" s="120"/>
      <c r="DC162" s="205"/>
      <c r="DD162" s="205"/>
      <c r="DE162" s="209"/>
      <c r="DF162" s="205"/>
      <c r="DG162" s="205">
        <f t="shared" si="1532"/>
        <v>0</v>
      </c>
      <c r="DH162" s="205">
        <f t="shared" si="1428"/>
        <v>300</v>
      </c>
      <c r="DI162" s="120"/>
      <c r="DJ162" s="120"/>
      <c r="DK162" s="120"/>
      <c r="DL162" s="250">
        <v>200</v>
      </c>
      <c r="DM162" s="120"/>
      <c r="DN162" s="209"/>
      <c r="DO162" s="205"/>
      <c r="DP162" s="205">
        <f t="shared" si="1432"/>
        <v>200</v>
      </c>
      <c r="DQ162" s="120"/>
      <c r="DR162" s="120"/>
      <c r="DS162" s="120"/>
      <c r="DT162" s="120"/>
      <c r="DU162" s="120"/>
      <c r="DV162" s="209"/>
      <c r="DW162" s="205"/>
      <c r="DX162" s="205">
        <f t="shared" si="1433"/>
        <v>0</v>
      </c>
      <c r="DY162" s="120"/>
      <c r="DZ162" s="120"/>
      <c r="EA162" s="120"/>
      <c r="EB162" s="120"/>
      <c r="EC162" s="120"/>
      <c r="ED162" s="209"/>
      <c r="EE162" s="205"/>
      <c r="EF162" s="205">
        <f t="shared" si="1434"/>
        <v>0</v>
      </c>
      <c r="EG162" s="120"/>
      <c r="EH162" s="120"/>
      <c r="EI162" s="120"/>
      <c r="EJ162" s="205"/>
      <c r="EK162" s="205"/>
      <c r="EL162" s="209"/>
      <c r="EM162" s="205"/>
      <c r="EN162" s="205">
        <f t="shared" si="1435"/>
        <v>0</v>
      </c>
      <c r="EO162" s="205">
        <f t="shared" si="1429"/>
        <v>200</v>
      </c>
      <c r="EP162" s="120"/>
      <c r="EQ162" s="120"/>
      <c r="ER162" s="120"/>
      <c r="ES162" s="120"/>
      <c r="ET162" s="217">
        <v>700</v>
      </c>
      <c r="EU162" s="209"/>
      <c r="EV162" s="205"/>
      <c r="EW162" s="205">
        <f t="shared" si="1436"/>
        <v>700</v>
      </c>
      <c r="EX162" s="120"/>
      <c r="EY162" s="120"/>
      <c r="EZ162" s="120"/>
      <c r="FA162" s="120"/>
      <c r="FB162" s="120"/>
      <c r="FC162" s="209"/>
      <c r="FD162" s="205"/>
      <c r="FE162" s="205">
        <f t="shared" si="1437"/>
        <v>0</v>
      </c>
      <c r="FF162" s="120"/>
      <c r="FG162" s="120"/>
      <c r="FH162" s="120"/>
      <c r="FI162" s="120"/>
      <c r="FJ162" s="250">
        <v>300</v>
      </c>
      <c r="FK162" s="209"/>
      <c r="FL162" s="205"/>
      <c r="FM162" s="205">
        <f t="shared" si="1438"/>
        <v>300</v>
      </c>
      <c r="FN162" s="120"/>
      <c r="FO162" s="120"/>
      <c r="FP162" s="120"/>
      <c r="FQ162" s="120"/>
      <c r="FR162" s="205"/>
      <c r="FS162" s="209"/>
      <c r="FT162" s="205"/>
      <c r="FU162" s="205">
        <f t="shared" si="1439"/>
        <v>0</v>
      </c>
      <c r="FV162" s="205">
        <f t="shared" si="1430"/>
        <v>1000</v>
      </c>
      <c r="FW162" s="120"/>
      <c r="FX162" s="120"/>
      <c r="FY162" s="120"/>
      <c r="FZ162" s="120"/>
      <c r="GA162" s="120"/>
      <c r="GB162" s="209"/>
      <c r="GC162" s="205"/>
      <c r="GD162" s="205">
        <f t="shared" si="1440"/>
        <v>0</v>
      </c>
      <c r="GE162" s="120"/>
      <c r="GG162" s="120"/>
      <c r="GH162" s="120"/>
      <c r="GI162" s="120"/>
      <c r="GJ162" s="209"/>
      <c r="GK162" s="205"/>
      <c r="GL162" s="205">
        <f t="shared" si="1441"/>
        <v>0</v>
      </c>
      <c r="GM162" s="207"/>
      <c r="GN162" s="207"/>
      <c r="GO162" s="120"/>
      <c r="GP162" s="120"/>
      <c r="GQ162" s="183">
        <v>350</v>
      </c>
      <c r="GR162" s="209"/>
      <c r="GS162" s="205"/>
      <c r="GT162" s="205">
        <f>SUM(GO162:GS162)</f>
        <v>350</v>
      </c>
      <c r="GU162" s="120"/>
      <c r="GV162" s="120"/>
      <c r="GW162" s="120"/>
      <c r="GX162" s="120"/>
      <c r="GY162" s="120"/>
      <c r="GZ162" s="209"/>
      <c r="HA162" s="205"/>
      <c r="HB162" s="205">
        <f t="shared" si="1443"/>
        <v>0</v>
      </c>
      <c r="HC162" s="120"/>
      <c r="HD162" s="120"/>
      <c r="HE162" s="250">
        <v>50</v>
      </c>
      <c r="HF162" s="120"/>
      <c r="HG162" s="120"/>
      <c r="HH162" s="209"/>
      <c r="HI162" s="205"/>
      <c r="HJ162" s="205">
        <f t="shared" si="1444"/>
        <v>50</v>
      </c>
      <c r="HK162" s="205">
        <f t="shared" si="1431"/>
        <v>350</v>
      </c>
      <c r="HL162" s="124"/>
      <c r="HM162" s="120"/>
      <c r="HN162" s="120"/>
      <c r="HO162" s="120"/>
      <c r="HP162" s="120"/>
      <c r="HQ162" s="205"/>
      <c r="HR162" s="205"/>
      <c r="HS162" s="205">
        <f t="shared" si="1445"/>
        <v>0</v>
      </c>
      <c r="HT162" s="120"/>
      <c r="HU162" s="120"/>
      <c r="HV162" s="120"/>
      <c r="HW162" s="195">
        <v>400</v>
      </c>
      <c r="HX162" s="120"/>
      <c r="HY162" s="205"/>
      <c r="HZ162" s="205"/>
      <c r="IA162" s="205">
        <f t="shared" si="1446"/>
        <v>400</v>
      </c>
      <c r="IB162" s="120"/>
      <c r="IC162" s="120"/>
      <c r="ID162" s="120"/>
      <c r="IE162" s="120"/>
      <c r="IF162" s="120"/>
      <c r="IG162" s="205"/>
      <c r="IH162" s="205"/>
      <c r="II162" s="205">
        <f t="shared" si="1447"/>
        <v>0</v>
      </c>
      <c r="IJ162" s="120"/>
      <c r="IK162" s="120"/>
      <c r="IL162" s="120"/>
      <c r="IM162" s="120"/>
      <c r="IN162" s="120"/>
      <c r="IO162" s="205"/>
      <c r="IP162" s="205"/>
      <c r="IQ162" s="205">
        <f t="shared" si="1448"/>
        <v>0</v>
      </c>
      <c r="IR162" s="205">
        <f t="shared" si="1449"/>
        <v>450</v>
      </c>
      <c r="IS162" s="120"/>
      <c r="IT162" s="120"/>
      <c r="IU162" s="120"/>
      <c r="IV162" s="120"/>
      <c r="IW162" s="120"/>
      <c r="IX162" s="205"/>
      <c r="IY162" s="205"/>
      <c r="IZ162" s="205">
        <f t="shared" si="1450"/>
        <v>0</v>
      </c>
      <c r="JA162" s="120"/>
      <c r="JB162" s="120"/>
      <c r="JC162" s="120"/>
      <c r="JD162" s="217">
        <v>400</v>
      </c>
      <c r="JE162" s="120"/>
      <c r="JF162" s="205"/>
      <c r="JG162" s="205"/>
      <c r="JH162" s="205">
        <f t="shared" si="1451"/>
        <v>400</v>
      </c>
      <c r="JI162" s="120"/>
      <c r="JJ162" s="120"/>
      <c r="JK162" s="120"/>
      <c r="JL162" s="120"/>
      <c r="JM162" s="120"/>
      <c r="JN162" s="205"/>
      <c r="JO162" s="205"/>
      <c r="JP162" s="205">
        <f t="shared" si="1452"/>
        <v>0</v>
      </c>
      <c r="JQ162" s="120"/>
      <c r="JR162" s="120"/>
      <c r="JS162" s="120"/>
      <c r="JT162" s="120"/>
      <c r="JU162" s="120"/>
      <c r="JV162" s="205"/>
      <c r="JW162" s="205"/>
      <c r="JX162" s="205">
        <f t="shared" si="1453"/>
        <v>0</v>
      </c>
      <c r="JY162" s="205">
        <f t="shared" si="1454"/>
        <v>400</v>
      </c>
      <c r="JZ162" s="120"/>
      <c r="KA162" s="120"/>
      <c r="KB162" s="120"/>
      <c r="KC162" s="120"/>
      <c r="KD162" s="120"/>
      <c r="KE162" s="205"/>
      <c r="KF162" s="205"/>
      <c r="KG162" s="205">
        <f t="shared" si="1455"/>
        <v>0</v>
      </c>
      <c r="KH162" s="120"/>
      <c r="KI162" s="120"/>
      <c r="KJ162" s="120"/>
      <c r="KK162" s="120"/>
      <c r="KL162" s="206">
        <v>400</v>
      </c>
      <c r="KM162" s="205"/>
      <c r="KN162" s="205"/>
      <c r="KO162" s="205">
        <f t="shared" si="1456"/>
        <v>400</v>
      </c>
      <c r="KP162" s="120"/>
      <c r="KQ162" s="120"/>
      <c r="KR162" s="120"/>
      <c r="KS162" s="120"/>
      <c r="KT162" s="120"/>
      <c r="KU162" s="205"/>
      <c r="KV162" s="205"/>
      <c r="KW162" s="205">
        <f t="shared" si="1457"/>
        <v>0</v>
      </c>
      <c r="KX162" s="120"/>
      <c r="KY162" s="120"/>
      <c r="KZ162" s="120"/>
      <c r="LA162" s="120"/>
      <c r="LB162" s="120"/>
      <c r="LC162" s="205"/>
      <c r="LD162" s="205"/>
      <c r="LE162" s="205">
        <f t="shared" si="1458"/>
        <v>0</v>
      </c>
      <c r="LF162" s="205"/>
      <c r="LG162" s="120"/>
      <c r="LH162" s="120"/>
      <c r="LI162" s="120"/>
      <c r="LJ162" s="120"/>
      <c r="LK162" s="205"/>
      <c r="LL162" s="205"/>
      <c r="LM162" s="205">
        <f t="shared" si="1459"/>
        <v>0</v>
      </c>
      <c r="LN162" s="205">
        <f t="shared" si="1460"/>
        <v>400</v>
      </c>
      <c r="LO162" s="205"/>
      <c r="LP162" s="120"/>
      <c r="LQ162" s="120"/>
      <c r="LR162" s="120"/>
      <c r="LS162" s="205"/>
      <c r="LT162" s="205"/>
      <c r="LU162" s="205"/>
      <c r="LV162" s="205">
        <f t="shared" si="1461"/>
        <v>0</v>
      </c>
      <c r="LW162" s="120"/>
      <c r="LX162" s="120"/>
      <c r="LY162" s="120"/>
      <c r="LZ162" s="120"/>
      <c r="MA162" s="120"/>
      <c r="MB162" s="205"/>
      <c r="MC162" s="205"/>
      <c r="MD162" s="205">
        <f t="shared" si="1462"/>
        <v>0</v>
      </c>
      <c r="ME162" s="120"/>
      <c r="MF162" s="120"/>
      <c r="MG162" s="120"/>
      <c r="MH162" s="120"/>
      <c r="MI162" s="205"/>
      <c r="MJ162" s="205"/>
      <c r="MK162" s="205"/>
      <c r="ML162" s="205">
        <f t="shared" si="1463"/>
        <v>0</v>
      </c>
      <c r="MM162" s="120"/>
      <c r="MN162" s="120"/>
      <c r="MO162" s="120"/>
      <c r="MP162" s="217">
        <v>200</v>
      </c>
      <c r="MQ162" s="120"/>
      <c r="MR162" s="205"/>
      <c r="MS162" s="205"/>
      <c r="MT162" s="205">
        <f t="shared" si="1464"/>
        <v>200</v>
      </c>
      <c r="MU162" s="205">
        <f t="shared" si="1465"/>
        <v>200</v>
      </c>
      <c r="MV162" s="120"/>
      <c r="MW162" s="120"/>
      <c r="MX162" s="120"/>
      <c r="MY162" s="120"/>
      <c r="MZ162" s="120"/>
      <c r="NA162" s="205"/>
      <c r="NB162" s="205"/>
      <c r="NC162" s="205">
        <f t="shared" si="1466"/>
        <v>0</v>
      </c>
      <c r="ND162" s="120"/>
      <c r="NE162" s="120"/>
      <c r="NF162" s="120"/>
      <c r="NG162" s="120"/>
      <c r="NH162" s="120"/>
      <c r="NI162" s="205"/>
      <c r="NJ162" s="205"/>
      <c r="NK162" s="205">
        <f t="shared" si="1467"/>
        <v>0</v>
      </c>
      <c r="NL162" s="120"/>
      <c r="NM162" s="120"/>
      <c r="NN162" s="120"/>
      <c r="NO162" s="124">
        <v>200</v>
      </c>
      <c r="NP162" s="120"/>
      <c r="NQ162" s="205"/>
      <c r="NR162" s="205"/>
      <c r="NS162" s="205">
        <f t="shared" si="1468"/>
        <v>200</v>
      </c>
      <c r="NT162" s="120"/>
      <c r="NU162" s="120"/>
      <c r="NV162" s="120"/>
      <c r="NW162" s="120"/>
      <c r="NX162" s="120"/>
      <c r="NY162" s="205"/>
      <c r="NZ162" s="205"/>
      <c r="OA162" s="205">
        <f t="shared" si="1469"/>
        <v>0</v>
      </c>
      <c r="OB162" s="205">
        <f t="shared" si="1470"/>
        <v>200</v>
      </c>
      <c r="OC162" s="120"/>
      <c r="OD162" s="120"/>
      <c r="OE162" s="120"/>
      <c r="OF162" s="120"/>
      <c r="OG162" s="120"/>
      <c r="OH162" s="205"/>
      <c r="OI162" s="205"/>
      <c r="OJ162" s="205">
        <f t="shared" si="1471"/>
        <v>0</v>
      </c>
      <c r="OK162" s="120"/>
      <c r="OL162" s="207"/>
      <c r="OM162" s="124">
        <v>200</v>
      </c>
      <c r="ON162" s="120"/>
      <c r="OO162" s="120"/>
      <c r="OP162" s="205"/>
      <c r="OQ162" s="205"/>
      <c r="OR162" s="205">
        <f t="shared" si="1472"/>
        <v>200</v>
      </c>
      <c r="OS162" s="120"/>
      <c r="OT162" s="120"/>
      <c r="OU162" s="120"/>
      <c r="OV162" s="120"/>
      <c r="OW162" s="120"/>
      <c r="OX162" s="205"/>
      <c r="OY162" s="205"/>
      <c r="OZ162" s="205">
        <f t="shared" si="1473"/>
        <v>0</v>
      </c>
      <c r="PA162" s="120"/>
      <c r="PB162" s="120"/>
      <c r="PC162" s="120"/>
      <c r="PD162" s="205"/>
      <c r="PE162" s="217"/>
      <c r="PF162" s="205"/>
      <c r="PG162" s="205"/>
      <c r="PH162" s="205">
        <f t="shared" si="1474"/>
        <v>0</v>
      </c>
      <c r="PI162" s="120"/>
      <c r="PJ162" s="120"/>
      <c r="PK162" s="124">
        <v>200</v>
      </c>
      <c r="PL162" s="205"/>
      <c r="PM162" s="217"/>
      <c r="PN162" s="205"/>
      <c r="PO162" s="205"/>
      <c r="PP162" s="205">
        <f t="shared" si="1475"/>
        <v>200</v>
      </c>
      <c r="PQ162" s="205">
        <f>SUM(OJ162,OR162,OZ162,PH162,PI162:PK162)</f>
        <v>400</v>
      </c>
      <c r="PR162" s="207"/>
      <c r="PS162" s="207"/>
      <c r="PT162" s="207"/>
      <c r="PU162" s="207"/>
      <c r="PV162" s="207"/>
      <c r="PW162" s="272"/>
      <c r="PX162" s="272"/>
      <c r="PY162" s="205">
        <f t="shared" si="1477"/>
        <v>0</v>
      </c>
      <c r="PZ162" s="207"/>
      <c r="QA162" s="207"/>
      <c r="QB162" s="207"/>
      <c r="QC162" s="207"/>
      <c r="QD162" s="207"/>
      <c r="QE162" s="272"/>
      <c r="QF162" s="272"/>
      <c r="QG162" s="205">
        <f t="shared" si="1478"/>
        <v>0</v>
      </c>
      <c r="QH162" s="207"/>
      <c r="QI162" s="207"/>
      <c r="QJ162" s="294"/>
      <c r="QK162" s="207"/>
      <c r="QL162" s="207"/>
      <c r="QM162" s="272"/>
      <c r="QN162" s="272"/>
      <c r="QO162" s="205">
        <f t="shared" si="1479"/>
        <v>0</v>
      </c>
      <c r="QP162" s="207"/>
      <c r="QQ162" s="207"/>
      <c r="QR162" s="124">
        <v>300</v>
      </c>
      <c r="QS162" s="207"/>
      <c r="QT162" s="207"/>
      <c r="QU162" s="272"/>
      <c r="QV162" s="272"/>
      <c r="QW162" s="205">
        <f t="shared" si="1480"/>
        <v>300</v>
      </c>
      <c r="QX162" s="205">
        <f t="shared" ref="QX162:QX167" si="1567">SUM(QW162,QO162,QG162,PY162,PL162,PM162,PN162,PO162)</f>
        <v>300</v>
      </c>
      <c r="QY162" s="207"/>
      <c r="QZ162" s="207"/>
      <c r="RA162" s="207"/>
      <c r="RB162" s="207"/>
      <c r="RC162" s="207"/>
      <c r="RD162" s="272"/>
      <c r="RE162" s="272"/>
      <c r="RF162" s="205">
        <f t="shared" si="1482"/>
        <v>0</v>
      </c>
      <c r="RG162" s="207"/>
      <c r="RH162" s="207"/>
      <c r="RI162" s="207"/>
      <c r="RJ162" s="207"/>
      <c r="RK162" s="207"/>
      <c r="RL162" s="272"/>
      <c r="RM162" s="272"/>
      <c r="RN162" s="205">
        <f t="shared" si="1483"/>
        <v>0</v>
      </c>
      <c r="RO162" s="272"/>
      <c r="RP162" s="272"/>
      <c r="RQ162" s="272"/>
      <c r="RR162" s="272"/>
      <c r="RS162" s="272"/>
      <c r="RT162" s="272"/>
      <c r="RU162" s="272"/>
      <c r="RV162" s="205">
        <f t="shared" si="1484"/>
        <v>0</v>
      </c>
      <c r="RW162" s="207"/>
      <c r="RX162" s="207"/>
      <c r="RY162" s="207"/>
      <c r="RZ162" s="207"/>
      <c r="SA162" s="272"/>
      <c r="SB162" s="272"/>
      <c r="SC162" s="272"/>
      <c r="SD162" s="205">
        <f t="shared" si="1485"/>
        <v>0</v>
      </c>
      <c r="SE162" s="205">
        <f t="shared" si="1486"/>
        <v>0</v>
      </c>
      <c r="SF162" s="207"/>
      <c r="SG162" s="207"/>
      <c r="SH162" s="207"/>
      <c r="SI162" s="195">
        <v>700</v>
      </c>
      <c r="SJ162" s="207"/>
      <c r="SK162" s="272"/>
      <c r="SL162" s="272"/>
      <c r="SM162" s="205">
        <f t="shared" si="1487"/>
        <v>700</v>
      </c>
      <c r="SN162" s="207"/>
      <c r="SO162" s="207"/>
      <c r="SP162" s="207"/>
      <c r="SQ162" s="124">
        <v>100</v>
      </c>
      <c r="SR162" s="207"/>
      <c r="SS162" s="272"/>
      <c r="ST162" s="272"/>
      <c r="SU162" s="205">
        <f t="shared" si="1488"/>
        <v>100</v>
      </c>
      <c r="SV162" s="207"/>
      <c r="SW162" s="217">
        <v>40</v>
      </c>
      <c r="SX162" s="207"/>
      <c r="SY162" s="207"/>
      <c r="SZ162" s="207"/>
      <c r="TA162" s="272"/>
      <c r="TB162" s="272"/>
      <c r="TC162" s="205">
        <f t="shared" si="1489"/>
        <v>40</v>
      </c>
      <c r="TD162" s="207"/>
      <c r="TE162" s="207"/>
      <c r="TF162" s="207"/>
      <c r="TG162" s="207"/>
      <c r="TH162" s="207"/>
      <c r="TI162" s="272"/>
      <c r="TJ162" s="272"/>
      <c r="TK162" s="205">
        <f t="shared" si="1490"/>
        <v>0</v>
      </c>
      <c r="TL162" s="207"/>
      <c r="TM162" s="207"/>
      <c r="TN162" s="207"/>
      <c r="TO162" s="207"/>
      <c r="TP162" s="272"/>
      <c r="TQ162" s="272"/>
      <c r="TR162" s="272"/>
      <c r="TS162" s="205">
        <f t="shared" si="1491"/>
        <v>0</v>
      </c>
      <c r="TT162" s="205">
        <f t="shared" si="1492"/>
        <v>840</v>
      </c>
      <c r="TU162" s="272"/>
      <c r="TV162" s="207"/>
      <c r="TW162" s="207"/>
      <c r="TX162" s="207"/>
      <c r="TY162" s="207"/>
      <c r="TZ162" s="272"/>
      <c r="UA162" s="272"/>
      <c r="UB162" s="205">
        <f t="shared" si="1493"/>
        <v>0</v>
      </c>
      <c r="UC162" s="207"/>
      <c r="UD162" s="207"/>
      <c r="UE162" s="207"/>
      <c r="UF162" s="207"/>
      <c r="UG162" s="207"/>
      <c r="UH162" s="272"/>
      <c r="UI162" s="272"/>
      <c r="UJ162" s="205">
        <f t="shared" si="1494"/>
        <v>0</v>
      </c>
      <c r="UK162" s="207"/>
      <c r="UL162" s="207"/>
      <c r="UM162" s="207"/>
      <c r="UN162" s="207"/>
      <c r="UO162" s="207"/>
      <c r="UP162" s="272"/>
      <c r="UQ162" s="272"/>
      <c r="UR162" s="205">
        <f>SUM(UL162:UQ162)</f>
        <v>0</v>
      </c>
      <c r="US162" s="201">
        <v>100</v>
      </c>
      <c r="UT162" s="207"/>
      <c r="UU162" s="207"/>
      <c r="UV162" s="207"/>
      <c r="UW162" s="272"/>
      <c r="UX162" s="272"/>
      <c r="UY162" s="272"/>
      <c r="UZ162" s="205">
        <f t="shared" si="1496"/>
        <v>100</v>
      </c>
      <c r="VA162" s="205">
        <f t="shared" si="1497"/>
        <v>100</v>
      </c>
      <c r="VB162" s="207"/>
      <c r="VC162" s="207"/>
      <c r="VD162" s="207"/>
      <c r="VE162" s="207"/>
      <c r="VF162" s="207"/>
      <c r="VG162" s="272"/>
      <c r="VH162" s="272"/>
      <c r="VI162" s="205">
        <f t="shared" si="1498"/>
        <v>0</v>
      </c>
      <c r="VJ162" s="207"/>
      <c r="VK162" s="207"/>
      <c r="VL162" s="207"/>
      <c r="VM162" s="207"/>
      <c r="VN162" s="207"/>
      <c r="VO162" s="272"/>
      <c r="VP162" s="272"/>
      <c r="VQ162" s="205">
        <f t="shared" si="1499"/>
        <v>0</v>
      </c>
      <c r="VR162" s="207"/>
      <c r="VS162" s="207"/>
      <c r="VT162" s="207"/>
      <c r="VU162" s="207"/>
      <c r="VV162" s="207"/>
      <c r="VW162" s="272"/>
      <c r="VX162" s="272"/>
      <c r="VY162" s="205">
        <f t="shared" si="1500"/>
        <v>0</v>
      </c>
      <c r="VZ162" s="195">
        <v>350</v>
      </c>
      <c r="WA162" s="207"/>
      <c r="WB162" s="207"/>
      <c r="WC162" s="207"/>
      <c r="WD162" s="207"/>
      <c r="WE162" s="272"/>
      <c r="WF162" s="272"/>
      <c r="WG162" s="205">
        <f t="shared" si="1501"/>
        <v>350</v>
      </c>
      <c r="WH162" s="205">
        <f t="shared" si="1502"/>
        <v>350</v>
      </c>
      <c r="WI162" s="207"/>
      <c r="WJ162" s="207"/>
      <c r="WK162" s="207"/>
      <c r="WL162" s="207"/>
      <c r="WM162" s="207"/>
      <c r="WN162" s="272"/>
      <c r="WO162" s="272"/>
      <c r="WP162" s="205">
        <f t="shared" si="1503"/>
        <v>0</v>
      </c>
      <c r="WQ162" s="207"/>
      <c r="WR162" s="207"/>
      <c r="WS162" s="207"/>
      <c r="WT162" s="207"/>
      <c r="WU162" s="207"/>
      <c r="WV162" s="272"/>
      <c r="WW162" s="272"/>
      <c r="WX162" s="205">
        <f t="shared" si="1504"/>
        <v>0</v>
      </c>
      <c r="WY162" s="207"/>
      <c r="WZ162" s="207"/>
      <c r="XA162" s="207"/>
      <c r="XB162" s="207"/>
      <c r="XC162" s="272"/>
      <c r="XD162" s="272"/>
      <c r="XE162" s="272"/>
      <c r="XF162" s="205">
        <f t="shared" si="1505"/>
        <v>0</v>
      </c>
      <c r="XG162" s="207"/>
      <c r="XH162" s="207"/>
      <c r="XI162" s="207"/>
      <c r="XJ162" s="207"/>
      <c r="XK162" s="207"/>
      <c r="XL162" s="272"/>
      <c r="XM162" s="272"/>
      <c r="XN162" s="205">
        <f t="shared" si="1506"/>
        <v>0</v>
      </c>
      <c r="XO162" s="207"/>
      <c r="XP162" s="207"/>
      <c r="XQ162" s="207"/>
      <c r="XR162" s="207"/>
      <c r="XS162" s="207"/>
      <c r="XT162" s="272"/>
      <c r="XU162" s="272"/>
      <c r="XV162" s="205">
        <f t="shared" si="1507"/>
        <v>0</v>
      </c>
      <c r="XW162" s="205">
        <f t="shared" si="1508"/>
        <v>0</v>
      </c>
      <c r="XX162" s="207"/>
      <c r="XY162" s="207"/>
      <c r="XZ162" s="207"/>
      <c r="YA162" s="207"/>
      <c r="YB162" s="207"/>
      <c r="YC162" s="272"/>
      <c r="YD162" s="272"/>
      <c r="YE162" s="205">
        <f t="shared" si="1509"/>
        <v>0</v>
      </c>
      <c r="YF162" s="207"/>
      <c r="YG162" s="207"/>
      <c r="YH162" s="207"/>
      <c r="YI162" s="207"/>
      <c r="YJ162" s="207"/>
      <c r="YK162" s="272"/>
      <c r="YL162" s="272"/>
      <c r="YM162" s="205">
        <f t="shared" si="1510"/>
        <v>0</v>
      </c>
      <c r="YN162" s="207"/>
      <c r="YO162" s="207"/>
      <c r="YP162" s="207"/>
      <c r="YQ162" s="207"/>
      <c r="YR162" s="207"/>
      <c r="YS162" s="272"/>
      <c r="YT162" s="272"/>
      <c r="YU162" s="205">
        <f t="shared" si="1511"/>
        <v>0</v>
      </c>
      <c r="YV162" s="207"/>
      <c r="YW162" s="207"/>
      <c r="YX162" s="207"/>
      <c r="YY162" s="207"/>
      <c r="YZ162" s="207"/>
      <c r="ZA162" s="272"/>
      <c r="ZB162" s="272"/>
      <c r="ZC162" s="205">
        <f t="shared" si="1512"/>
        <v>0</v>
      </c>
      <c r="ZD162" s="205">
        <f t="shared" si="1513"/>
        <v>0</v>
      </c>
      <c r="ZE162" s="207"/>
      <c r="ZF162" s="207"/>
      <c r="ZG162" s="207"/>
      <c r="ZH162" s="207"/>
      <c r="ZI162" s="207"/>
      <c r="ZJ162" s="272"/>
      <c r="ZK162" s="272"/>
      <c r="ZL162" s="205">
        <f t="shared" si="1514"/>
        <v>0</v>
      </c>
      <c r="ZM162" s="207"/>
      <c r="ZN162" s="207"/>
      <c r="ZO162" s="207"/>
      <c r="ZP162" s="207"/>
      <c r="ZQ162" s="207"/>
      <c r="ZR162" s="272"/>
      <c r="ZS162" s="272"/>
      <c r="ZT162" s="205">
        <f t="shared" si="1515"/>
        <v>0</v>
      </c>
      <c r="ZU162" s="207"/>
      <c r="ZV162" s="207"/>
      <c r="ZW162" s="207"/>
      <c r="ZX162" s="207"/>
      <c r="ZY162" s="207"/>
      <c r="ZZ162" s="272"/>
      <c r="AAA162" s="272"/>
      <c r="AAB162" s="205">
        <f t="shared" si="1516"/>
        <v>0</v>
      </c>
      <c r="AAC162" s="207"/>
      <c r="AAD162" s="207"/>
      <c r="AAE162" s="207"/>
      <c r="AAF162" s="207"/>
      <c r="AAG162" s="207"/>
      <c r="AAH162" s="272"/>
      <c r="AAI162" s="272"/>
      <c r="AAJ162" s="205">
        <f t="shared" si="1517"/>
        <v>0</v>
      </c>
      <c r="AAK162" s="207"/>
      <c r="AAL162" s="207"/>
      <c r="AAM162" s="207"/>
      <c r="AAN162" s="207"/>
      <c r="AAO162" s="207"/>
      <c r="AAP162" s="272"/>
      <c r="AAQ162" s="272"/>
      <c r="AAR162" s="205">
        <f t="shared" si="1518"/>
        <v>0</v>
      </c>
      <c r="AAS162" s="205">
        <f t="shared" si="1519"/>
        <v>0</v>
      </c>
    </row>
    <row r="163" spans="2:721" ht="69.95" customHeight="1">
      <c r="B163" s="181">
        <v>5711500265</v>
      </c>
      <c r="C163" s="344" t="s">
        <v>887</v>
      </c>
      <c r="D163" s="213" t="s">
        <v>398</v>
      </c>
      <c r="E163" s="130" t="s">
        <v>4</v>
      </c>
      <c r="F163" s="120"/>
      <c r="G163" s="120"/>
      <c r="H163" s="120"/>
      <c r="I163" s="120"/>
      <c r="J163" s="120"/>
      <c r="K163" s="209"/>
      <c r="L163" s="205"/>
      <c r="M163" s="205">
        <f t="shared" si="1520"/>
        <v>0</v>
      </c>
      <c r="N163" s="124">
        <v>500</v>
      </c>
      <c r="O163" s="120"/>
      <c r="P163" s="120"/>
      <c r="Q163" s="120"/>
      <c r="R163" s="120"/>
      <c r="S163" s="209"/>
      <c r="T163" s="205"/>
      <c r="U163" s="205">
        <f t="shared" si="1521"/>
        <v>500</v>
      </c>
      <c r="V163" s="120"/>
      <c r="W163" s="120"/>
      <c r="X163" s="120"/>
      <c r="Y163" s="120"/>
      <c r="Z163" s="120"/>
      <c r="AA163" s="209"/>
      <c r="AB163" s="205"/>
      <c r="AC163" s="205">
        <f t="shared" si="1522"/>
        <v>0</v>
      </c>
      <c r="AD163" s="205"/>
      <c r="AE163" s="205"/>
      <c r="AF163" s="205"/>
      <c r="AG163" s="205"/>
      <c r="AH163" s="205"/>
      <c r="AI163" s="209"/>
      <c r="AJ163" s="205"/>
      <c r="AK163" s="205">
        <f t="shared" si="1523"/>
        <v>0</v>
      </c>
      <c r="AL163" s="205" t="e">
        <f>SUM(#REF!,M163,U163,AC163,AD163:AH163)</f>
        <v>#REF!</v>
      </c>
      <c r="AM163" s="120"/>
      <c r="AN163" s="120"/>
      <c r="AO163" s="120"/>
      <c r="AP163" s="120"/>
      <c r="AQ163" s="120"/>
      <c r="AR163" s="209"/>
      <c r="AS163" s="205"/>
      <c r="AT163" s="205">
        <f t="shared" si="1524"/>
        <v>0</v>
      </c>
      <c r="AU163" s="120"/>
      <c r="AV163" s="120"/>
      <c r="AW163" s="120"/>
      <c r="AX163" s="120"/>
      <c r="AY163" s="120"/>
      <c r="AZ163" s="209"/>
      <c r="BA163" s="205"/>
      <c r="BB163" s="205">
        <f t="shared" si="1525"/>
        <v>0</v>
      </c>
      <c r="BC163" s="120"/>
      <c r="BD163" s="123">
        <v>300</v>
      </c>
      <c r="BE163" s="123">
        <v>300</v>
      </c>
      <c r="BF163" s="120"/>
      <c r="BG163" s="120"/>
      <c r="BH163" s="209"/>
      <c r="BI163" s="205"/>
      <c r="BJ163" s="205">
        <f t="shared" si="1526"/>
        <v>600</v>
      </c>
      <c r="BK163" s="120"/>
      <c r="BL163" s="120"/>
      <c r="BM163" s="120"/>
      <c r="BN163" s="120"/>
      <c r="BO163" s="205"/>
      <c r="BP163" s="209"/>
      <c r="BQ163" s="205"/>
      <c r="BR163" s="205">
        <f t="shared" si="1527"/>
        <v>0</v>
      </c>
      <c r="BS163" s="205">
        <f t="shared" si="1427"/>
        <v>600</v>
      </c>
      <c r="BT163" s="120"/>
      <c r="BU163" s="120"/>
      <c r="BV163" s="120"/>
      <c r="BW163" s="120"/>
      <c r="BX163" s="120"/>
      <c r="BY163" s="209"/>
      <c r="BZ163" s="205"/>
      <c r="CA163" s="205">
        <f t="shared" si="1528"/>
        <v>0</v>
      </c>
      <c r="CB163" s="120"/>
      <c r="CC163" s="201">
        <v>600</v>
      </c>
      <c r="CD163" s="201">
        <v>600</v>
      </c>
      <c r="CE163" s="250">
        <v>500</v>
      </c>
      <c r="CF163" s="120"/>
      <c r="CG163" s="209"/>
      <c r="CH163" s="205"/>
      <c r="CI163" s="205">
        <f t="shared" si="1529"/>
        <v>1700</v>
      </c>
      <c r="CJ163" s="120"/>
      <c r="CK163" s="120"/>
      <c r="CL163" s="120"/>
      <c r="CM163" s="120"/>
      <c r="CN163" s="120"/>
      <c r="CO163" s="209"/>
      <c r="CP163" s="205"/>
      <c r="CQ163" s="205">
        <f t="shared" si="1530"/>
        <v>0</v>
      </c>
      <c r="CR163" s="250">
        <v>300</v>
      </c>
      <c r="CS163" s="120"/>
      <c r="CT163" s="120"/>
      <c r="CU163" s="120"/>
      <c r="CV163" s="123">
        <v>500</v>
      </c>
      <c r="CW163" s="209"/>
      <c r="CX163" s="205"/>
      <c r="CY163" s="205">
        <f t="shared" si="1531"/>
        <v>800</v>
      </c>
      <c r="CZ163" s="120"/>
      <c r="DA163" s="120"/>
      <c r="DB163" s="120"/>
      <c r="DC163" s="205"/>
      <c r="DD163" s="205"/>
      <c r="DE163" s="209"/>
      <c r="DF163" s="205"/>
      <c r="DG163" s="205">
        <f t="shared" si="1532"/>
        <v>0</v>
      </c>
      <c r="DH163" s="205">
        <f t="shared" si="1428"/>
        <v>2500</v>
      </c>
      <c r="DI163" s="120"/>
      <c r="DJ163" s="120"/>
      <c r="DK163" s="120"/>
      <c r="DL163" s="120"/>
      <c r="DM163" s="120"/>
      <c r="DN163" s="209"/>
      <c r="DO163" s="205"/>
      <c r="DP163" s="205">
        <f t="shared" si="1432"/>
        <v>0</v>
      </c>
      <c r="DQ163" s="250">
        <v>300</v>
      </c>
      <c r="DR163" s="250">
        <v>500</v>
      </c>
      <c r="DS163" s="120"/>
      <c r="DT163" s="120"/>
      <c r="DU163" s="120"/>
      <c r="DV163" s="209"/>
      <c r="DW163" s="205"/>
      <c r="DX163" s="205">
        <f t="shared" si="1433"/>
        <v>800</v>
      </c>
      <c r="DY163" s="250">
        <v>400</v>
      </c>
      <c r="DZ163" s="120"/>
      <c r="EA163" s="120"/>
      <c r="EB163" s="250">
        <v>600</v>
      </c>
      <c r="EC163" s="120"/>
      <c r="ED163" s="209"/>
      <c r="EE163" s="205"/>
      <c r="EF163" s="205">
        <f t="shared" si="1434"/>
        <v>1000</v>
      </c>
      <c r="EG163" s="120"/>
      <c r="EH163" s="120"/>
      <c r="EI163" s="250">
        <v>500</v>
      </c>
      <c r="EJ163" s="205"/>
      <c r="EK163" s="205"/>
      <c r="EL163" s="209"/>
      <c r="EM163" s="205"/>
      <c r="EN163" s="205">
        <f t="shared" si="1435"/>
        <v>500</v>
      </c>
      <c r="EO163" s="205">
        <f t="shared" si="1429"/>
        <v>2300</v>
      </c>
      <c r="EP163" s="120"/>
      <c r="EQ163" s="120"/>
      <c r="ER163" s="120"/>
      <c r="ES163" s="120"/>
      <c r="ET163" s="120"/>
      <c r="EU163" s="209"/>
      <c r="EV163" s="205"/>
      <c r="EW163" s="205">
        <f t="shared" si="1436"/>
        <v>0</v>
      </c>
      <c r="EX163" s="120"/>
      <c r="EY163" s="120"/>
      <c r="EZ163" s="120"/>
      <c r="FA163" s="120"/>
      <c r="FB163" s="120"/>
      <c r="FC163" s="209"/>
      <c r="FD163" s="205"/>
      <c r="FE163" s="205">
        <f t="shared" si="1437"/>
        <v>0</v>
      </c>
      <c r="FF163" s="217">
        <v>260</v>
      </c>
      <c r="FG163" s="120"/>
      <c r="FH163" s="120"/>
      <c r="FI163" s="120"/>
      <c r="FJ163" s="120"/>
      <c r="FK163" s="209"/>
      <c r="FL163" s="205"/>
      <c r="FM163" s="205">
        <f t="shared" si="1438"/>
        <v>260</v>
      </c>
      <c r="FN163" s="120"/>
      <c r="FO163" s="120"/>
      <c r="FP163" s="120"/>
      <c r="FQ163" s="124">
        <v>500</v>
      </c>
      <c r="FR163" s="205"/>
      <c r="FS163" s="209"/>
      <c r="FT163" s="205"/>
      <c r="FU163" s="205">
        <f t="shared" si="1439"/>
        <v>500</v>
      </c>
      <c r="FV163" s="205">
        <f t="shared" si="1430"/>
        <v>760</v>
      </c>
      <c r="FW163" s="120"/>
      <c r="FX163" s="120"/>
      <c r="FY163" s="201">
        <v>500</v>
      </c>
      <c r="FZ163" s="120"/>
      <c r="GA163" s="120"/>
      <c r="GB163" s="209"/>
      <c r="GC163" s="205"/>
      <c r="GD163" s="205">
        <f t="shared" si="1440"/>
        <v>500</v>
      </c>
      <c r="GE163" s="120"/>
      <c r="GF163" s="120"/>
      <c r="GG163" s="120"/>
      <c r="GH163" s="120"/>
      <c r="GI163" s="250">
        <v>500</v>
      </c>
      <c r="GJ163" s="209"/>
      <c r="GK163" s="205"/>
      <c r="GL163" s="205">
        <f t="shared" si="1441"/>
        <v>500</v>
      </c>
      <c r="GM163" s="120"/>
      <c r="GN163" s="120"/>
      <c r="GO163" s="120"/>
      <c r="GP163" s="123">
        <v>150</v>
      </c>
      <c r="GQ163" s="120"/>
      <c r="GR163" s="209"/>
      <c r="GS163" s="205"/>
      <c r="GT163" s="205">
        <f t="shared" si="1442"/>
        <v>150</v>
      </c>
      <c r="GU163" s="120"/>
      <c r="GV163" s="120"/>
      <c r="GW163" s="201">
        <v>500</v>
      </c>
      <c r="GX163" s="120"/>
      <c r="GY163" s="123">
        <v>500</v>
      </c>
      <c r="GZ163" s="209"/>
      <c r="HA163" s="205"/>
      <c r="HB163" s="205">
        <f t="shared" si="1443"/>
        <v>1000</v>
      </c>
      <c r="HC163" s="120"/>
      <c r="HD163" s="120"/>
      <c r="HE163" s="120"/>
      <c r="HF163" s="120"/>
      <c r="HG163" s="120"/>
      <c r="HH163" s="209"/>
      <c r="HI163" s="205"/>
      <c r="HJ163" s="205">
        <f t="shared" si="1444"/>
        <v>0</v>
      </c>
      <c r="HK163" s="205">
        <f t="shared" si="1431"/>
        <v>2150</v>
      </c>
      <c r="HL163" s="124"/>
      <c r="HM163" s="120"/>
      <c r="HN163" s="120"/>
      <c r="HO163" s="120"/>
      <c r="HP163" s="120"/>
      <c r="HQ163" s="205"/>
      <c r="HR163" s="205"/>
      <c r="HS163" s="205">
        <f t="shared" si="1445"/>
        <v>0</v>
      </c>
      <c r="HT163" s="120"/>
      <c r="HU163" s="120"/>
      <c r="HV163" s="120"/>
      <c r="HW163" s="120"/>
      <c r="HX163" s="120"/>
      <c r="HY163" s="205"/>
      <c r="HZ163" s="205"/>
      <c r="IA163" s="205">
        <f t="shared" si="1446"/>
        <v>0</v>
      </c>
      <c r="IB163" s="120"/>
      <c r="IC163" s="120"/>
      <c r="ID163" s="120"/>
      <c r="IE163" s="120"/>
      <c r="IF163" s="120"/>
      <c r="IG163" s="205"/>
      <c r="IH163" s="205"/>
      <c r="II163" s="205">
        <f t="shared" si="1447"/>
        <v>0</v>
      </c>
      <c r="IJ163" s="120"/>
      <c r="IK163" s="201">
        <v>600</v>
      </c>
      <c r="IL163" s="120"/>
      <c r="IM163" s="120"/>
      <c r="IN163" s="123">
        <v>120</v>
      </c>
      <c r="IO163" s="205"/>
      <c r="IP163" s="205"/>
      <c r="IQ163" s="205">
        <f t="shared" si="1448"/>
        <v>720</v>
      </c>
      <c r="IR163" s="205">
        <f t="shared" si="1449"/>
        <v>600</v>
      </c>
      <c r="IS163" s="120"/>
      <c r="IT163" s="120"/>
      <c r="IU163" s="123">
        <v>300</v>
      </c>
      <c r="IV163" s="120"/>
      <c r="IW163" s="120"/>
      <c r="IX163" s="205"/>
      <c r="IY163" s="205"/>
      <c r="IZ163" s="205">
        <f t="shared" si="1450"/>
        <v>300</v>
      </c>
      <c r="JA163" s="120"/>
      <c r="JB163" s="120"/>
      <c r="JC163" s="120"/>
      <c r="JD163" s="120"/>
      <c r="JE163" s="120"/>
      <c r="JF163" s="205"/>
      <c r="JG163" s="205"/>
      <c r="JH163" s="205">
        <f t="shared" si="1451"/>
        <v>0</v>
      </c>
      <c r="JI163" s="120"/>
      <c r="JJ163" s="123">
        <v>300</v>
      </c>
      <c r="JK163" s="120"/>
      <c r="JL163" s="120"/>
      <c r="JM163" s="120"/>
      <c r="JN163" s="205"/>
      <c r="JO163" s="205"/>
      <c r="JP163" s="205">
        <f t="shared" si="1452"/>
        <v>300</v>
      </c>
      <c r="JQ163" s="120"/>
      <c r="JR163" s="120"/>
      <c r="JS163" s="120"/>
      <c r="JT163" s="120"/>
      <c r="JU163" s="120"/>
      <c r="JV163" s="205"/>
      <c r="JW163" s="205"/>
      <c r="JX163" s="205">
        <f t="shared" si="1453"/>
        <v>0</v>
      </c>
      <c r="JY163" s="205">
        <f t="shared" si="1454"/>
        <v>720</v>
      </c>
      <c r="JZ163" s="217">
        <v>500</v>
      </c>
      <c r="KA163" s="120"/>
      <c r="KB163" s="120"/>
      <c r="KC163" s="120"/>
      <c r="KD163" s="120"/>
      <c r="KE163" s="205"/>
      <c r="KF163" s="205"/>
      <c r="KG163" s="205">
        <f t="shared" si="1455"/>
        <v>500</v>
      </c>
      <c r="KH163" s="120"/>
      <c r="KI163" s="120"/>
      <c r="KJ163" s="120"/>
      <c r="KK163" s="120"/>
      <c r="KL163" s="120"/>
      <c r="KM163" s="205"/>
      <c r="KN163" s="205"/>
      <c r="KO163" s="205">
        <f t="shared" si="1456"/>
        <v>0</v>
      </c>
      <c r="KP163" s="120"/>
      <c r="KQ163" s="120"/>
      <c r="KR163" s="120"/>
      <c r="KS163" s="120"/>
      <c r="KT163" s="120"/>
      <c r="KU163" s="205"/>
      <c r="KV163" s="205"/>
      <c r="KW163" s="205">
        <f t="shared" si="1457"/>
        <v>0</v>
      </c>
      <c r="KX163" s="120"/>
      <c r="KY163" s="124">
        <v>400</v>
      </c>
      <c r="KZ163" s="120"/>
      <c r="LA163" s="120"/>
      <c r="LB163" s="120"/>
      <c r="LC163" s="205"/>
      <c r="LD163" s="205"/>
      <c r="LE163" s="205">
        <f t="shared" si="1458"/>
        <v>400</v>
      </c>
      <c r="LF163" s="205"/>
      <c r="LG163" s="120"/>
      <c r="LH163" s="217">
        <v>500</v>
      </c>
      <c r="LI163" s="120"/>
      <c r="LJ163" s="120"/>
      <c r="LK163" s="205"/>
      <c r="LL163" s="205"/>
      <c r="LM163" s="205">
        <f t="shared" si="1459"/>
        <v>500</v>
      </c>
      <c r="LN163" s="205">
        <f t="shared" si="1460"/>
        <v>900</v>
      </c>
      <c r="LO163" s="205"/>
      <c r="LP163" s="120"/>
      <c r="LQ163" s="120"/>
      <c r="LR163" s="120"/>
      <c r="LS163" s="205"/>
      <c r="LT163" s="205"/>
      <c r="LU163" s="205"/>
      <c r="LV163" s="205">
        <f t="shared" si="1461"/>
        <v>0</v>
      </c>
      <c r="LW163" s="120"/>
      <c r="LX163" s="120"/>
      <c r="LY163" s="120"/>
      <c r="LZ163" s="120"/>
      <c r="MA163" s="120"/>
      <c r="MB163" s="205"/>
      <c r="MC163" s="205"/>
      <c r="MD163" s="205">
        <f t="shared" si="1462"/>
        <v>0</v>
      </c>
      <c r="ME163" s="120"/>
      <c r="MF163" s="120"/>
      <c r="MG163" s="120"/>
      <c r="MH163" s="120"/>
      <c r="MI163" s="205"/>
      <c r="MJ163" s="205"/>
      <c r="MK163" s="205"/>
      <c r="ML163" s="205">
        <f t="shared" si="1463"/>
        <v>0</v>
      </c>
      <c r="MM163" s="217">
        <v>500</v>
      </c>
      <c r="MN163" s="120"/>
      <c r="MO163" s="120"/>
      <c r="MP163" s="123">
        <v>500</v>
      </c>
      <c r="MQ163" s="120"/>
      <c r="MR163" s="205"/>
      <c r="MS163" s="205"/>
      <c r="MT163" s="205">
        <f t="shared" si="1464"/>
        <v>1000</v>
      </c>
      <c r="MU163" s="205">
        <f t="shared" si="1465"/>
        <v>1500</v>
      </c>
      <c r="MV163" s="120"/>
      <c r="MW163" s="120"/>
      <c r="MX163" s="120"/>
      <c r="MY163" s="120"/>
      <c r="MZ163" s="120"/>
      <c r="NA163" s="205"/>
      <c r="NB163" s="205"/>
      <c r="NC163" s="205">
        <f t="shared" si="1466"/>
        <v>0</v>
      </c>
      <c r="ND163" s="201">
        <v>500</v>
      </c>
      <c r="NE163" s="120"/>
      <c r="NF163" s="120"/>
      <c r="NG163" s="120"/>
      <c r="NH163" s="120"/>
      <c r="NI163" s="205"/>
      <c r="NJ163" s="205"/>
      <c r="NK163" s="205">
        <f t="shared" si="1467"/>
        <v>500</v>
      </c>
      <c r="NL163" s="120"/>
      <c r="NM163" s="120"/>
      <c r="NN163" s="120"/>
      <c r="NO163" s="120"/>
      <c r="NP163" s="120"/>
      <c r="NQ163" s="205"/>
      <c r="NR163" s="205"/>
      <c r="NS163" s="205">
        <f t="shared" si="1468"/>
        <v>0</v>
      </c>
      <c r="NT163" s="120"/>
      <c r="NU163" s="120"/>
      <c r="NV163" s="123">
        <v>500</v>
      </c>
      <c r="NW163" s="120"/>
      <c r="NX163" s="120"/>
      <c r="NY163" s="205"/>
      <c r="NZ163" s="205"/>
      <c r="OA163" s="205">
        <f t="shared" si="1469"/>
        <v>500</v>
      </c>
      <c r="OB163" s="205">
        <f t="shared" si="1470"/>
        <v>1000</v>
      </c>
      <c r="OC163" s="120"/>
      <c r="OD163" s="120"/>
      <c r="OE163" s="120"/>
      <c r="OF163" s="120"/>
      <c r="OG163" s="120"/>
      <c r="OH163" s="205"/>
      <c r="OI163" s="205"/>
      <c r="OJ163" s="205">
        <f t="shared" si="1471"/>
        <v>0</v>
      </c>
      <c r="OK163" s="120"/>
      <c r="OL163" s="120"/>
      <c r="OM163" s="120"/>
      <c r="ON163" s="120"/>
      <c r="OO163" s="120"/>
      <c r="OP163" s="205"/>
      <c r="OQ163" s="205"/>
      <c r="OR163" s="205">
        <f t="shared" si="1472"/>
        <v>0</v>
      </c>
      <c r="OS163" s="120"/>
      <c r="OT163" s="120"/>
      <c r="OU163" s="123">
        <v>700</v>
      </c>
      <c r="OV163" s="120"/>
      <c r="OW163" s="120"/>
      <c r="OX163" s="205"/>
      <c r="OY163" s="205"/>
      <c r="OZ163" s="205">
        <f t="shared" si="1473"/>
        <v>700</v>
      </c>
      <c r="PA163" s="120"/>
      <c r="PB163" s="120"/>
      <c r="PC163" s="201">
        <v>500</v>
      </c>
      <c r="PD163" s="205"/>
      <c r="PE163" s="217"/>
      <c r="PF163" s="205"/>
      <c r="PG163" s="205"/>
      <c r="PH163" s="205">
        <f t="shared" si="1474"/>
        <v>500</v>
      </c>
      <c r="PI163" s="120"/>
      <c r="PJ163" s="120"/>
      <c r="PK163" s="120"/>
      <c r="PL163" s="205"/>
      <c r="PM163" s="217"/>
      <c r="PN163" s="205"/>
      <c r="PO163" s="205"/>
      <c r="PP163" s="205">
        <f t="shared" si="1475"/>
        <v>0</v>
      </c>
      <c r="PQ163" s="205">
        <f t="shared" si="1476"/>
        <v>1200</v>
      </c>
      <c r="PR163" s="207"/>
      <c r="PS163" s="207"/>
      <c r="PT163" s="120"/>
      <c r="PU163" s="207"/>
      <c r="PV163" s="207"/>
      <c r="PW163" s="272"/>
      <c r="PX163" s="272"/>
      <c r="PY163" s="205">
        <f t="shared" si="1477"/>
        <v>0</v>
      </c>
      <c r="PZ163" s="207"/>
      <c r="QA163" s="207"/>
      <c r="QB163" s="207"/>
      <c r="QC163" s="207"/>
      <c r="QD163" s="207"/>
      <c r="QE163" s="272"/>
      <c r="QF163" s="272"/>
      <c r="QG163" s="205">
        <f t="shared" si="1478"/>
        <v>0</v>
      </c>
      <c r="QH163" s="207"/>
      <c r="QI163" s="207"/>
      <c r="QJ163" s="294"/>
      <c r="QK163" s="207"/>
      <c r="QL163" s="207"/>
      <c r="QM163" s="272"/>
      <c r="QN163" s="272"/>
      <c r="QO163" s="205">
        <f t="shared" si="1479"/>
        <v>0</v>
      </c>
      <c r="QP163" s="207"/>
      <c r="QQ163" s="207"/>
      <c r="QR163" s="207"/>
      <c r="QS163" s="207"/>
      <c r="QT163" s="207"/>
      <c r="QU163" s="272"/>
      <c r="QV163" s="272"/>
      <c r="QW163" s="205">
        <f t="shared" si="1480"/>
        <v>0</v>
      </c>
      <c r="QX163" s="205">
        <f t="shared" si="1567"/>
        <v>0</v>
      </c>
      <c r="QY163" s="207"/>
      <c r="QZ163" s="207"/>
      <c r="RA163" s="207"/>
      <c r="RB163" s="207"/>
      <c r="RC163" s="207"/>
      <c r="RD163" s="272"/>
      <c r="RE163" s="272"/>
      <c r="RF163" s="205">
        <f t="shared" si="1482"/>
        <v>0</v>
      </c>
      <c r="RG163" s="207"/>
      <c r="RH163" s="207"/>
      <c r="RI163" s="207"/>
      <c r="RJ163" s="207"/>
      <c r="RK163" s="207"/>
      <c r="RL163" s="272"/>
      <c r="RM163" s="272"/>
      <c r="RN163" s="205">
        <f t="shared" si="1483"/>
        <v>0</v>
      </c>
      <c r="RO163" s="272"/>
      <c r="RP163" s="272"/>
      <c r="RQ163" s="272"/>
      <c r="RR163" s="272"/>
      <c r="RS163" s="272"/>
      <c r="RT163" s="272"/>
      <c r="RU163" s="272"/>
      <c r="RV163" s="205">
        <f t="shared" si="1484"/>
        <v>0</v>
      </c>
      <c r="RW163" s="207"/>
      <c r="RX163" s="207"/>
      <c r="RY163" s="207"/>
      <c r="RZ163" s="207"/>
      <c r="SA163" s="272"/>
      <c r="SB163" s="272"/>
      <c r="SC163" s="272"/>
      <c r="SD163" s="205">
        <f t="shared" si="1485"/>
        <v>0</v>
      </c>
      <c r="SE163" s="205">
        <f t="shared" si="1486"/>
        <v>0</v>
      </c>
      <c r="SF163" s="195">
        <v>500</v>
      </c>
      <c r="SG163" s="120"/>
      <c r="SH163" s="120"/>
      <c r="SI163" s="120"/>
      <c r="SJ163" s="207"/>
      <c r="SK163" s="272"/>
      <c r="SL163" s="272"/>
      <c r="SM163" s="205">
        <f t="shared" si="1487"/>
        <v>500</v>
      </c>
      <c r="SN163" s="207"/>
      <c r="SO163" s="207"/>
      <c r="SP163" s="207"/>
      <c r="SQ163" s="124">
        <v>700</v>
      </c>
      <c r="SR163" s="207"/>
      <c r="SS163" s="272"/>
      <c r="ST163" s="272"/>
      <c r="SU163" s="205">
        <f t="shared" si="1488"/>
        <v>700</v>
      </c>
      <c r="SV163" s="207"/>
      <c r="SW163" s="207"/>
      <c r="SX163" s="207"/>
      <c r="SY163" s="207"/>
      <c r="SZ163" s="207"/>
      <c r="TA163" s="272"/>
      <c r="TB163" s="272"/>
      <c r="TC163" s="205">
        <f t="shared" si="1489"/>
        <v>0</v>
      </c>
      <c r="TD163" s="207"/>
      <c r="TE163" s="207"/>
      <c r="TF163" s="207"/>
      <c r="TG163" s="207"/>
      <c r="TH163" s="207"/>
      <c r="TI163" s="272"/>
      <c r="TJ163" s="272"/>
      <c r="TK163" s="205">
        <f t="shared" si="1490"/>
        <v>0</v>
      </c>
      <c r="TL163" s="207"/>
      <c r="TM163" s="207"/>
      <c r="TN163" s="207"/>
      <c r="TO163" s="207"/>
      <c r="TP163" s="272"/>
      <c r="TQ163" s="272"/>
      <c r="TR163" s="272"/>
      <c r="TS163" s="205">
        <f t="shared" si="1491"/>
        <v>0</v>
      </c>
      <c r="TT163" s="205">
        <f t="shared" si="1492"/>
        <v>1200</v>
      </c>
      <c r="TU163" s="272"/>
      <c r="TV163" s="217">
        <v>500</v>
      </c>
      <c r="TW163" s="207"/>
      <c r="TX163" s="207"/>
      <c r="TY163" s="207"/>
      <c r="TZ163" s="272"/>
      <c r="UA163" s="272"/>
      <c r="UB163" s="205">
        <f t="shared" si="1493"/>
        <v>500</v>
      </c>
      <c r="UC163" s="217">
        <v>500</v>
      </c>
      <c r="UD163" s="207"/>
      <c r="UE163" s="207"/>
      <c r="UF163" s="207"/>
      <c r="UG163" s="207"/>
      <c r="UH163" s="272"/>
      <c r="UI163" s="272"/>
      <c r="UJ163" s="205">
        <f t="shared" si="1494"/>
        <v>500</v>
      </c>
      <c r="UK163" s="207"/>
      <c r="UL163" s="207"/>
      <c r="UM163" s="207"/>
      <c r="UN163" s="207"/>
      <c r="UO163" s="207"/>
      <c r="UP163" s="272"/>
      <c r="UQ163" s="272"/>
      <c r="UR163" s="205">
        <f>SUM(UK163:UQ163)</f>
        <v>0</v>
      </c>
      <c r="US163" s="120"/>
      <c r="UT163" s="207"/>
      <c r="UU163" s="207"/>
      <c r="UV163" s="207"/>
      <c r="UW163" s="272"/>
      <c r="UX163" s="272"/>
      <c r="UY163" s="272"/>
      <c r="UZ163" s="205">
        <f t="shared" si="1496"/>
        <v>0</v>
      </c>
      <c r="VA163" s="205">
        <f t="shared" si="1497"/>
        <v>1000</v>
      </c>
      <c r="VB163" s="207"/>
      <c r="VC163" s="207"/>
      <c r="VD163" s="207"/>
      <c r="VE163" s="207"/>
      <c r="VF163" s="207"/>
      <c r="VG163" s="272"/>
      <c r="VH163" s="272"/>
      <c r="VI163" s="205">
        <f t="shared" si="1498"/>
        <v>0</v>
      </c>
      <c r="VJ163" s="207"/>
      <c r="VK163" s="207"/>
      <c r="VL163" s="207"/>
      <c r="VM163" s="207"/>
      <c r="VN163" s="207"/>
      <c r="VO163" s="272"/>
      <c r="VP163" s="272"/>
      <c r="VQ163" s="205">
        <f t="shared" si="1499"/>
        <v>0</v>
      </c>
      <c r="VR163" s="207"/>
      <c r="VS163" s="207"/>
      <c r="VT163" s="207"/>
      <c r="VU163" s="207"/>
      <c r="VV163" s="207"/>
      <c r="VW163" s="272"/>
      <c r="VX163" s="272"/>
      <c r="VY163" s="205">
        <f t="shared" si="1500"/>
        <v>0</v>
      </c>
      <c r="VZ163" s="207"/>
      <c r="WA163" s="207"/>
      <c r="WB163" s="207"/>
      <c r="WC163" s="207"/>
      <c r="WD163" s="207"/>
      <c r="WE163" s="272"/>
      <c r="WF163" s="272"/>
      <c r="WG163" s="205">
        <f>SUM(WA163:WF163)</f>
        <v>0</v>
      </c>
      <c r="WH163" s="205">
        <f t="shared" si="1502"/>
        <v>0</v>
      </c>
      <c r="WI163" s="195">
        <v>500</v>
      </c>
      <c r="WJ163" s="207"/>
      <c r="WK163" s="207"/>
      <c r="WL163" s="207"/>
      <c r="WM163" s="207"/>
      <c r="WN163" s="272"/>
      <c r="WO163" s="272"/>
      <c r="WP163" s="205">
        <f t="shared" si="1503"/>
        <v>500</v>
      </c>
      <c r="WQ163" s="207"/>
      <c r="WR163" s="207"/>
      <c r="WS163" s="207"/>
      <c r="WT163" s="207"/>
      <c r="WU163" s="207"/>
      <c r="WV163" s="272"/>
      <c r="WW163" s="272"/>
      <c r="WX163" s="205">
        <f t="shared" si="1504"/>
        <v>0</v>
      </c>
      <c r="WY163" s="207"/>
      <c r="WZ163" s="207"/>
      <c r="XA163" s="207"/>
      <c r="XB163" s="207"/>
      <c r="XC163" s="272"/>
      <c r="XD163" s="272"/>
      <c r="XE163" s="272"/>
      <c r="XF163" s="205">
        <f t="shared" si="1505"/>
        <v>0</v>
      </c>
      <c r="XG163" s="120">
        <v>500</v>
      </c>
      <c r="XH163" s="207"/>
      <c r="XI163" s="207"/>
      <c r="XJ163" s="207"/>
      <c r="XK163" s="207"/>
      <c r="XL163" s="272"/>
      <c r="XM163" s="272"/>
      <c r="XN163" s="205">
        <f t="shared" si="1506"/>
        <v>500</v>
      </c>
      <c r="XO163" s="207"/>
      <c r="XP163" s="207"/>
      <c r="XQ163" s="207"/>
      <c r="XR163" s="207"/>
      <c r="XS163" s="207"/>
      <c r="XT163" s="272"/>
      <c r="XU163" s="272"/>
      <c r="XV163" s="205">
        <f t="shared" si="1507"/>
        <v>0</v>
      </c>
      <c r="XW163" s="205">
        <f t="shared" si="1508"/>
        <v>1000</v>
      </c>
      <c r="XX163" s="207"/>
      <c r="XY163" s="207"/>
      <c r="XZ163" s="207"/>
      <c r="YA163" s="207"/>
      <c r="YB163" s="207"/>
      <c r="YC163" s="272"/>
      <c r="YD163" s="272"/>
      <c r="YE163" s="205">
        <f t="shared" si="1509"/>
        <v>0</v>
      </c>
      <c r="YF163" s="207"/>
      <c r="YG163" s="207"/>
      <c r="YH163" s="207"/>
      <c r="YI163" s="207"/>
      <c r="YJ163" s="207"/>
      <c r="YK163" s="272"/>
      <c r="YL163" s="272"/>
      <c r="YM163" s="205">
        <f t="shared" si="1510"/>
        <v>0</v>
      </c>
      <c r="YN163" s="207"/>
      <c r="YO163" s="207"/>
      <c r="YP163" s="207"/>
      <c r="YQ163" s="207"/>
      <c r="YR163" s="207"/>
      <c r="YS163" s="272"/>
      <c r="YT163" s="272"/>
      <c r="YU163" s="205">
        <f t="shared" si="1511"/>
        <v>0</v>
      </c>
      <c r="YV163" s="207"/>
      <c r="YW163" s="207"/>
      <c r="YX163" s="207"/>
      <c r="YY163" s="207"/>
      <c r="YZ163" s="207"/>
      <c r="ZA163" s="272"/>
      <c r="ZB163" s="272"/>
      <c r="ZC163" s="205">
        <f t="shared" si="1512"/>
        <v>0</v>
      </c>
      <c r="ZD163" s="205">
        <f t="shared" si="1513"/>
        <v>1000</v>
      </c>
      <c r="ZE163" s="207"/>
      <c r="ZF163" s="207"/>
      <c r="ZG163" s="207"/>
      <c r="ZH163" s="207"/>
      <c r="ZI163" s="207"/>
      <c r="ZJ163" s="272"/>
      <c r="ZK163" s="272"/>
      <c r="ZL163" s="205">
        <f t="shared" si="1514"/>
        <v>0</v>
      </c>
      <c r="ZM163" s="207"/>
      <c r="ZN163" s="207"/>
      <c r="ZO163" s="207"/>
      <c r="ZP163" s="207"/>
      <c r="ZQ163" s="207"/>
      <c r="ZR163" s="272"/>
      <c r="ZS163" s="272"/>
      <c r="ZT163" s="205">
        <f t="shared" si="1515"/>
        <v>0</v>
      </c>
      <c r="ZU163" s="207"/>
      <c r="ZV163" s="207"/>
      <c r="ZW163" s="207"/>
      <c r="ZX163" s="207"/>
      <c r="ZY163" s="207"/>
      <c r="ZZ163" s="272"/>
      <c r="AAA163" s="272"/>
      <c r="AAB163" s="205">
        <f t="shared" si="1516"/>
        <v>0</v>
      </c>
      <c r="AAC163" s="207"/>
      <c r="AAD163" s="207"/>
      <c r="AAE163" s="207"/>
      <c r="AAF163" s="207"/>
      <c r="AAG163" s="207"/>
      <c r="AAH163" s="272"/>
      <c r="AAI163" s="272"/>
      <c r="AAJ163" s="205">
        <f t="shared" si="1517"/>
        <v>0</v>
      </c>
      <c r="AAK163" s="207"/>
      <c r="AAL163" s="207"/>
      <c r="AAM163" s="207"/>
      <c r="AAN163" s="207"/>
      <c r="AAO163" s="207"/>
      <c r="AAP163" s="272"/>
      <c r="AAQ163" s="272"/>
      <c r="AAR163" s="205">
        <f t="shared" si="1518"/>
        <v>0</v>
      </c>
      <c r="AAS163" s="205">
        <f t="shared" si="1519"/>
        <v>0</v>
      </c>
    </row>
    <row r="164" spans="2:721" ht="69.95" hidden="1" customHeight="1">
      <c r="B164" s="181">
        <v>5711500268</v>
      </c>
      <c r="C164" s="354" t="s">
        <v>532</v>
      </c>
      <c r="D164" s="213" t="s">
        <v>509</v>
      </c>
      <c r="E164" s="130" t="s">
        <v>4</v>
      </c>
      <c r="F164" s="120"/>
      <c r="G164" s="120"/>
      <c r="H164" s="120"/>
      <c r="I164" s="120"/>
      <c r="J164" s="120"/>
      <c r="K164" s="209"/>
      <c r="L164" s="205"/>
      <c r="M164" s="205">
        <f t="shared" si="1520"/>
        <v>0</v>
      </c>
      <c r="N164" s="120"/>
      <c r="O164" s="120"/>
      <c r="P164" s="120"/>
      <c r="Q164" s="120"/>
      <c r="R164" s="120"/>
      <c r="S164" s="209"/>
      <c r="T164" s="205"/>
      <c r="U164" s="205">
        <f t="shared" si="1521"/>
        <v>0</v>
      </c>
      <c r="V164" s="120"/>
      <c r="W164" s="120"/>
      <c r="X164" s="120"/>
      <c r="Y164" s="120"/>
      <c r="Z164" s="120"/>
      <c r="AA164" s="209"/>
      <c r="AB164" s="205"/>
      <c r="AC164" s="205">
        <f t="shared" si="1522"/>
        <v>0</v>
      </c>
      <c r="AD164" s="205"/>
      <c r="AE164" s="205"/>
      <c r="AF164" s="205"/>
      <c r="AG164" s="205"/>
      <c r="AH164" s="205"/>
      <c r="AI164" s="209"/>
      <c r="AJ164" s="205"/>
      <c r="AK164" s="205">
        <f t="shared" si="1523"/>
        <v>0</v>
      </c>
      <c r="AL164" s="205" t="e">
        <f>SUM(#REF!,M164,U164,AC164,AD164:AH164)</f>
        <v>#REF!</v>
      </c>
      <c r="AM164" s="120"/>
      <c r="AN164" s="120"/>
      <c r="AO164" s="120"/>
      <c r="AP164" s="120"/>
      <c r="AQ164" s="120"/>
      <c r="AR164" s="209"/>
      <c r="AS164" s="205"/>
      <c r="AT164" s="205">
        <f t="shared" si="1524"/>
        <v>0</v>
      </c>
      <c r="AU164" s="120"/>
      <c r="AV164" s="120"/>
      <c r="AW164" s="120"/>
      <c r="AX164" s="120"/>
      <c r="AY164" s="120"/>
      <c r="AZ164" s="209"/>
      <c r="BA164" s="205"/>
      <c r="BB164" s="205">
        <f t="shared" si="1525"/>
        <v>0</v>
      </c>
      <c r="BC164" s="120"/>
      <c r="BD164" s="120"/>
      <c r="BE164" s="120"/>
      <c r="BF164" s="120"/>
      <c r="BG164" s="120"/>
      <c r="BH164" s="209"/>
      <c r="BI164" s="205"/>
      <c r="BJ164" s="205">
        <f t="shared" si="1526"/>
        <v>0</v>
      </c>
      <c r="BK164" s="120"/>
      <c r="BL164" s="120"/>
      <c r="BM164" s="120"/>
      <c r="BN164" s="120"/>
      <c r="BO164" s="205"/>
      <c r="BP164" s="209"/>
      <c r="BQ164" s="205"/>
      <c r="BR164" s="205">
        <f t="shared" si="1527"/>
        <v>0</v>
      </c>
      <c r="BS164" s="205">
        <f t="shared" si="1427"/>
        <v>0</v>
      </c>
      <c r="BT164" s="120"/>
      <c r="BU164" s="120"/>
      <c r="BV164" s="120"/>
      <c r="BW164" s="120"/>
      <c r="BX164" s="120"/>
      <c r="BY164" s="209"/>
      <c r="BZ164" s="205"/>
      <c r="CA164" s="205">
        <f t="shared" si="1528"/>
        <v>0</v>
      </c>
      <c r="CB164" s="120"/>
      <c r="CC164" s="120"/>
      <c r="CD164" s="120"/>
      <c r="CE164" s="120"/>
      <c r="CF164" s="120"/>
      <c r="CG164" s="209"/>
      <c r="CH164" s="205"/>
      <c r="CI164" s="205">
        <f t="shared" si="1529"/>
        <v>0</v>
      </c>
      <c r="CJ164" s="120"/>
      <c r="CK164" s="120"/>
      <c r="CL164" s="120"/>
      <c r="CM164" s="120"/>
      <c r="CN164" s="120"/>
      <c r="CO164" s="209"/>
      <c r="CP164" s="205"/>
      <c r="CQ164" s="205">
        <f t="shared" si="1530"/>
        <v>0</v>
      </c>
      <c r="CR164" s="120"/>
      <c r="CS164" s="120"/>
      <c r="CT164" s="120"/>
      <c r="CU164" s="120"/>
      <c r="CV164" s="120"/>
      <c r="CW164" s="209"/>
      <c r="CX164" s="205"/>
      <c r="CY164" s="205">
        <f t="shared" si="1531"/>
        <v>0</v>
      </c>
      <c r="CZ164" s="120"/>
      <c r="DA164" s="120"/>
      <c r="DB164" s="120"/>
      <c r="DC164" s="205"/>
      <c r="DD164" s="205"/>
      <c r="DE164" s="209"/>
      <c r="DF164" s="205"/>
      <c r="DG164" s="205">
        <f t="shared" si="1532"/>
        <v>0</v>
      </c>
      <c r="DH164" s="205">
        <f t="shared" si="1428"/>
        <v>0</v>
      </c>
      <c r="DI164" s="120"/>
      <c r="DJ164" s="120"/>
      <c r="DK164" s="120"/>
      <c r="DL164" s="120"/>
      <c r="DM164" s="120"/>
      <c r="DN164" s="209"/>
      <c r="DO164" s="205"/>
      <c r="DP164" s="205">
        <f t="shared" si="1432"/>
        <v>0</v>
      </c>
      <c r="DQ164" s="120"/>
      <c r="DR164" s="120"/>
      <c r="DS164" s="120"/>
      <c r="DT164" s="120"/>
      <c r="DU164" s="120"/>
      <c r="DV164" s="209"/>
      <c r="DW164" s="205"/>
      <c r="DX164" s="205">
        <f t="shared" si="1433"/>
        <v>0</v>
      </c>
      <c r="DY164" s="120"/>
      <c r="DZ164" s="120"/>
      <c r="EA164" s="120"/>
      <c r="EB164" s="120"/>
      <c r="EC164" s="120"/>
      <c r="ED164" s="209"/>
      <c r="EE164" s="205"/>
      <c r="EF164" s="205">
        <f t="shared" si="1434"/>
        <v>0</v>
      </c>
      <c r="EG164" s="120"/>
      <c r="EH164" s="120"/>
      <c r="EI164" s="120"/>
      <c r="EJ164" s="205"/>
      <c r="EK164" s="205"/>
      <c r="EL164" s="209"/>
      <c r="EM164" s="205"/>
      <c r="EN164" s="205">
        <f t="shared" si="1435"/>
        <v>0</v>
      </c>
      <c r="EO164" s="205">
        <f t="shared" si="1429"/>
        <v>0</v>
      </c>
      <c r="EP164" s="120"/>
      <c r="EQ164" s="120"/>
      <c r="ER164" s="120"/>
      <c r="ES164" s="120"/>
      <c r="ET164" s="120"/>
      <c r="EU164" s="209"/>
      <c r="EV164" s="205"/>
      <c r="EW164" s="205">
        <f t="shared" si="1436"/>
        <v>0</v>
      </c>
      <c r="EX164" s="120"/>
      <c r="EY164" s="120"/>
      <c r="EZ164" s="120"/>
      <c r="FA164" s="120"/>
      <c r="FB164" s="120"/>
      <c r="FC164" s="209"/>
      <c r="FD164" s="205"/>
      <c r="FE164" s="205">
        <f t="shared" si="1437"/>
        <v>0</v>
      </c>
      <c r="FF164" s="120"/>
      <c r="FG164" s="120"/>
      <c r="FH164" s="120"/>
      <c r="FI164" s="120"/>
      <c r="FJ164" s="120"/>
      <c r="FK164" s="209"/>
      <c r="FL164" s="205"/>
      <c r="FM164" s="205">
        <f t="shared" si="1438"/>
        <v>0</v>
      </c>
      <c r="FN164" s="120"/>
      <c r="FO164" s="120"/>
      <c r="FP164" s="120"/>
      <c r="FQ164" s="120"/>
      <c r="FR164" s="205"/>
      <c r="FS164" s="209"/>
      <c r="FT164" s="205"/>
      <c r="FU164" s="205">
        <f t="shared" si="1439"/>
        <v>0</v>
      </c>
      <c r="FV164" s="205">
        <f t="shared" si="1430"/>
        <v>0</v>
      </c>
      <c r="FW164" s="120"/>
      <c r="FX164" s="120"/>
      <c r="FY164" s="120"/>
      <c r="FZ164" s="120"/>
      <c r="GA164" s="120"/>
      <c r="GB164" s="209"/>
      <c r="GC164" s="205"/>
      <c r="GD164" s="205">
        <f t="shared" si="1440"/>
        <v>0</v>
      </c>
      <c r="GE164" s="120"/>
      <c r="GF164" s="120"/>
      <c r="GG164" s="120"/>
      <c r="GH164" s="120"/>
      <c r="GI164" s="120"/>
      <c r="GJ164" s="209"/>
      <c r="GK164" s="205"/>
      <c r="GL164" s="205">
        <f t="shared" si="1441"/>
        <v>0</v>
      </c>
      <c r="GM164" s="120"/>
      <c r="GN164" s="120"/>
      <c r="GO164" s="120"/>
      <c r="GP164" s="120"/>
      <c r="GQ164" s="120"/>
      <c r="GR164" s="209"/>
      <c r="GS164" s="205"/>
      <c r="GT164" s="205">
        <f t="shared" si="1442"/>
        <v>0</v>
      </c>
      <c r="GU164" s="120"/>
      <c r="GV164" s="120"/>
      <c r="GW164" s="120"/>
      <c r="GX164" s="120"/>
      <c r="GY164" s="120"/>
      <c r="GZ164" s="209"/>
      <c r="HA164" s="205"/>
      <c r="HB164" s="205">
        <f t="shared" si="1443"/>
        <v>0</v>
      </c>
      <c r="HC164" s="120"/>
      <c r="HD164" s="120"/>
      <c r="HE164" s="120"/>
      <c r="HF164" s="120"/>
      <c r="HG164" s="120"/>
      <c r="HH164" s="209"/>
      <c r="HI164" s="205"/>
      <c r="HJ164" s="205">
        <f t="shared" si="1444"/>
        <v>0</v>
      </c>
      <c r="HK164" s="205">
        <f t="shared" si="1431"/>
        <v>0</v>
      </c>
      <c r="HL164" s="124"/>
      <c r="HM164" s="120"/>
      <c r="HN164" s="120"/>
      <c r="HO164" s="120"/>
      <c r="HP164" s="120"/>
      <c r="HQ164" s="205"/>
      <c r="HR164" s="205"/>
      <c r="HS164" s="205">
        <f t="shared" si="1445"/>
        <v>0</v>
      </c>
      <c r="HT164" s="120"/>
      <c r="HU164" s="120"/>
      <c r="HV164" s="120"/>
      <c r="HW164" s="120"/>
      <c r="HX164" s="120"/>
      <c r="HY164" s="205"/>
      <c r="HZ164" s="205"/>
      <c r="IA164" s="205">
        <f t="shared" si="1446"/>
        <v>0</v>
      </c>
      <c r="IB164" s="120"/>
      <c r="IC164" s="120"/>
      <c r="ID164" s="120"/>
      <c r="IE164" s="120"/>
      <c r="IF164" s="120"/>
      <c r="IG164" s="205"/>
      <c r="IH164" s="205"/>
      <c r="II164" s="205">
        <f t="shared" si="1447"/>
        <v>0</v>
      </c>
      <c r="IJ164" s="120"/>
      <c r="IK164" s="120"/>
      <c r="IL164" s="120"/>
      <c r="IM164" s="120"/>
      <c r="IN164" s="120"/>
      <c r="IO164" s="205"/>
      <c r="IP164" s="205"/>
      <c r="IQ164" s="205">
        <f t="shared" si="1448"/>
        <v>0</v>
      </c>
      <c r="IR164" s="205">
        <f t="shared" si="1449"/>
        <v>0</v>
      </c>
      <c r="IS164" s="120"/>
      <c r="IT164" s="120"/>
      <c r="IU164" s="120"/>
      <c r="IV164" s="120"/>
      <c r="IW164" s="120"/>
      <c r="IX164" s="205"/>
      <c r="IY164" s="205"/>
      <c r="IZ164" s="205">
        <f t="shared" si="1450"/>
        <v>0</v>
      </c>
      <c r="JA164" s="120"/>
      <c r="JB164" s="120"/>
      <c r="JC164" s="120"/>
      <c r="JD164" s="120"/>
      <c r="JE164" s="120"/>
      <c r="JF164" s="205"/>
      <c r="JG164" s="205"/>
      <c r="JH164" s="205">
        <f t="shared" si="1451"/>
        <v>0</v>
      </c>
      <c r="JI164" s="120"/>
      <c r="JJ164" s="120"/>
      <c r="JK164" s="120"/>
      <c r="JL164" s="120"/>
      <c r="JM164" s="120"/>
      <c r="JN164" s="205"/>
      <c r="JO164" s="205"/>
      <c r="JP164" s="205">
        <f t="shared" si="1452"/>
        <v>0</v>
      </c>
      <c r="JQ164" s="120"/>
      <c r="JR164" s="120"/>
      <c r="JS164" s="120"/>
      <c r="JT164" s="120"/>
      <c r="JU164" s="120"/>
      <c r="JV164" s="205"/>
      <c r="JW164" s="205"/>
      <c r="JX164" s="205">
        <f t="shared" si="1453"/>
        <v>0</v>
      </c>
      <c r="JY164" s="205">
        <f t="shared" si="1454"/>
        <v>0</v>
      </c>
      <c r="JZ164" s="120"/>
      <c r="KA164" s="120"/>
      <c r="KB164" s="120"/>
      <c r="KC164" s="120"/>
      <c r="KD164" s="120"/>
      <c r="KE164" s="205"/>
      <c r="KF164" s="205"/>
      <c r="KG164" s="205">
        <f t="shared" si="1455"/>
        <v>0</v>
      </c>
      <c r="KH164" s="120"/>
      <c r="KI164" s="120"/>
      <c r="KJ164" s="120"/>
      <c r="KK164" s="120"/>
      <c r="KL164" s="120"/>
      <c r="KM164" s="205"/>
      <c r="KN164" s="205"/>
      <c r="KO164" s="205">
        <f t="shared" si="1456"/>
        <v>0</v>
      </c>
      <c r="KP164" s="120"/>
      <c r="KQ164" s="120"/>
      <c r="KR164" s="120"/>
      <c r="KS164" s="120"/>
      <c r="KT164" s="120"/>
      <c r="KU164" s="205"/>
      <c r="KV164" s="205"/>
      <c r="KW164" s="205">
        <f t="shared" si="1457"/>
        <v>0</v>
      </c>
      <c r="KX164" s="120"/>
      <c r="KY164" s="120"/>
      <c r="KZ164" s="120"/>
      <c r="LA164" s="120"/>
      <c r="LB164" s="120"/>
      <c r="LC164" s="205"/>
      <c r="LD164" s="205"/>
      <c r="LE164" s="205">
        <f t="shared" si="1458"/>
        <v>0</v>
      </c>
      <c r="LF164" s="205"/>
      <c r="LG164" s="120"/>
      <c r="LH164" s="120"/>
      <c r="LI164" s="120"/>
      <c r="LJ164" s="120"/>
      <c r="LK164" s="205"/>
      <c r="LL164" s="205"/>
      <c r="LM164" s="205">
        <f t="shared" si="1459"/>
        <v>0</v>
      </c>
      <c r="LN164" s="205">
        <f t="shared" si="1460"/>
        <v>0</v>
      </c>
      <c r="LO164" s="205"/>
      <c r="LP164" s="120"/>
      <c r="LQ164" s="120"/>
      <c r="LR164" s="120"/>
      <c r="LS164" s="205"/>
      <c r="LT164" s="205"/>
      <c r="LU164" s="205"/>
      <c r="LV164" s="205">
        <f t="shared" si="1461"/>
        <v>0</v>
      </c>
      <c r="LW164" s="120"/>
      <c r="LX164" s="120"/>
      <c r="LY164" s="120"/>
      <c r="LZ164" s="120"/>
      <c r="MA164" s="120"/>
      <c r="MB164" s="205"/>
      <c r="MC164" s="205"/>
      <c r="MD164" s="205">
        <f t="shared" si="1462"/>
        <v>0</v>
      </c>
      <c r="ME164" s="120"/>
      <c r="MF164" s="120"/>
      <c r="MG164" s="120"/>
      <c r="MH164" s="120"/>
      <c r="MI164" s="205"/>
      <c r="MJ164" s="205"/>
      <c r="MK164" s="205"/>
      <c r="ML164" s="205">
        <f t="shared" si="1463"/>
        <v>0</v>
      </c>
      <c r="MM164" s="120"/>
      <c r="MN164" s="120"/>
      <c r="MO164" s="120"/>
      <c r="MP164" s="120"/>
      <c r="MQ164" s="120"/>
      <c r="MR164" s="205"/>
      <c r="MS164" s="205"/>
      <c r="MT164" s="205">
        <f t="shared" si="1464"/>
        <v>0</v>
      </c>
      <c r="MU164" s="205">
        <f t="shared" si="1465"/>
        <v>0</v>
      </c>
      <c r="MV164" s="120"/>
      <c r="MW164" s="120"/>
      <c r="MX164" s="120"/>
      <c r="MY164" s="120"/>
      <c r="MZ164" s="120"/>
      <c r="NA164" s="205"/>
      <c r="NB164" s="205"/>
      <c r="NC164" s="205">
        <f t="shared" si="1466"/>
        <v>0</v>
      </c>
      <c r="ND164" s="120"/>
      <c r="NE164" s="120"/>
      <c r="NF164" s="120"/>
      <c r="NG164" s="120"/>
      <c r="NH164" s="120"/>
      <c r="NI164" s="205"/>
      <c r="NJ164" s="205"/>
      <c r="NK164" s="205">
        <f t="shared" si="1467"/>
        <v>0</v>
      </c>
      <c r="NL164" s="120"/>
      <c r="NM164" s="120"/>
      <c r="NN164" s="120"/>
      <c r="NO164" s="120"/>
      <c r="NP164" s="120"/>
      <c r="NQ164" s="205"/>
      <c r="NR164" s="205"/>
      <c r="NS164" s="205">
        <f t="shared" si="1468"/>
        <v>0</v>
      </c>
      <c r="NT164" s="120"/>
      <c r="NU164" s="120"/>
      <c r="NV164" s="120"/>
      <c r="NW164" s="120"/>
      <c r="NX164" s="120"/>
      <c r="NY164" s="205"/>
      <c r="NZ164" s="205"/>
      <c r="OA164" s="205">
        <f t="shared" si="1469"/>
        <v>0</v>
      </c>
      <c r="OB164" s="205">
        <f t="shared" si="1470"/>
        <v>0</v>
      </c>
      <c r="OC164" s="120"/>
      <c r="OD164" s="120"/>
      <c r="OE164" s="120"/>
      <c r="OF164" s="120"/>
      <c r="OG164" s="120"/>
      <c r="OH164" s="205"/>
      <c r="OI164" s="205"/>
      <c r="OJ164" s="205">
        <f t="shared" si="1471"/>
        <v>0</v>
      </c>
      <c r="OK164" s="120"/>
      <c r="OL164" s="120"/>
      <c r="OM164" s="120"/>
      <c r="ON164" s="120"/>
      <c r="OO164" s="120"/>
      <c r="OP164" s="205"/>
      <c r="OQ164" s="205"/>
      <c r="OR164" s="205">
        <f t="shared" si="1472"/>
        <v>0</v>
      </c>
      <c r="OS164" s="120"/>
      <c r="OT164" s="120"/>
      <c r="OU164" s="120"/>
      <c r="OV164" s="120"/>
      <c r="OW164" s="120"/>
      <c r="OX164" s="205"/>
      <c r="OY164" s="205"/>
      <c r="OZ164" s="205">
        <f t="shared" si="1473"/>
        <v>0</v>
      </c>
      <c r="PA164" s="120"/>
      <c r="PB164" s="120"/>
      <c r="PC164" s="120"/>
      <c r="PD164" s="205"/>
      <c r="PE164" s="217"/>
      <c r="PF164" s="205"/>
      <c r="PG164" s="205"/>
      <c r="PH164" s="205">
        <f t="shared" si="1474"/>
        <v>0</v>
      </c>
      <c r="PI164" s="120"/>
      <c r="PJ164" s="120"/>
      <c r="PK164" s="120"/>
      <c r="PL164" s="205"/>
      <c r="PM164" s="217"/>
      <c r="PN164" s="205"/>
      <c r="PO164" s="205"/>
      <c r="PP164" s="205">
        <f t="shared" si="1475"/>
        <v>0</v>
      </c>
      <c r="PQ164" s="205">
        <f t="shared" si="1476"/>
        <v>0</v>
      </c>
      <c r="PR164" s="207"/>
      <c r="PS164" s="207"/>
      <c r="PT164" s="120"/>
      <c r="PU164" s="207"/>
      <c r="PV164" s="207"/>
      <c r="PW164" s="272"/>
      <c r="PX164" s="272"/>
      <c r="PY164" s="205">
        <f t="shared" si="1477"/>
        <v>0</v>
      </c>
      <c r="PZ164" s="207"/>
      <c r="QA164" s="207"/>
      <c r="QB164" s="207"/>
      <c r="QC164" s="207"/>
      <c r="QD164" s="207"/>
      <c r="QE164" s="272"/>
      <c r="QF164" s="272"/>
      <c r="QG164" s="205">
        <f t="shared" si="1478"/>
        <v>0</v>
      </c>
      <c r="QH164" s="207"/>
      <c r="QI164" s="207"/>
      <c r="QJ164" s="294"/>
      <c r="QK164" s="207"/>
      <c r="QL164" s="207"/>
      <c r="QM164" s="272"/>
      <c r="QN164" s="272"/>
      <c r="QO164" s="205">
        <f t="shared" si="1479"/>
        <v>0</v>
      </c>
      <c r="QP164" s="207"/>
      <c r="QQ164" s="207"/>
      <c r="QR164" s="207"/>
      <c r="QS164" s="207"/>
      <c r="QT164" s="207"/>
      <c r="QU164" s="272"/>
      <c r="QV164" s="272"/>
      <c r="QW164" s="205">
        <f t="shared" si="1480"/>
        <v>0</v>
      </c>
      <c r="QX164" s="205">
        <f t="shared" si="1567"/>
        <v>0</v>
      </c>
      <c r="QY164" s="207"/>
      <c r="QZ164" s="207"/>
      <c r="RA164" s="207"/>
      <c r="RB164" s="207"/>
      <c r="RC164" s="207"/>
      <c r="RD164" s="272"/>
      <c r="RE164" s="272"/>
      <c r="RF164" s="205">
        <f t="shared" si="1482"/>
        <v>0</v>
      </c>
      <c r="RG164" s="207"/>
      <c r="RH164" s="207"/>
      <c r="RI164" s="207"/>
      <c r="RJ164" s="207"/>
      <c r="RK164" s="207"/>
      <c r="RL164" s="272"/>
      <c r="RM164" s="272"/>
      <c r="RN164" s="205">
        <f t="shared" si="1483"/>
        <v>0</v>
      </c>
      <c r="RO164" s="272"/>
      <c r="RP164" s="272"/>
      <c r="RQ164" s="272"/>
      <c r="RR164" s="272"/>
      <c r="RS164" s="272"/>
      <c r="RT164" s="272"/>
      <c r="RU164" s="272"/>
      <c r="RV164" s="205">
        <f t="shared" si="1484"/>
        <v>0</v>
      </c>
      <c r="RW164" s="207"/>
      <c r="RX164" s="207"/>
      <c r="RY164" s="207"/>
      <c r="RZ164" s="207"/>
      <c r="SA164" s="272"/>
      <c r="SB164" s="272"/>
      <c r="SC164" s="272"/>
      <c r="SD164" s="205">
        <f t="shared" si="1485"/>
        <v>0</v>
      </c>
      <c r="SE164" s="205">
        <f t="shared" si="1486"/>
        <v>0</v>
      </c>
      <c r="SF164" s="120"/>
      <c r="SG164" s="120"/>
      <c r="SH164" s="120"/>
      <c r="SI164" s="120"/>
      <c r="SJ164" s="207"/>
      <c r="SK164" s="272"/>
      <c r="SL164" s="272"/>
      <c r="SM164" s="205">
        <f t="shared" si="1487"/>
        <v>0</v>
      </c>
      <c r="SN164" s="207"/>
      <c r="SO164" s="207"/>
      <c r="SP164" s="207"/>
      <c r="SQ164" s="207"/>
      <c r="SR164" s="207"/>
      <c r="SS164" s="272"/>
      <c r="ST164" s="272"/>
      <c r="SU164" s="205">
        <f t="shared" si="1488"/>
        <v>0</v>
      </c>
      <c r="SV164" s="207"/>
      <c r="SW164" s="207"/>
      <c r="SX164" s="207"/>
      <c r="SY164" s="207"/>
      <c r="SZ164" s="207"/>
      <c r="TA164" s="272"/>
      <c r="TB164" s="272"/>
      <c r="TC164" s="205">
        <f t="shared" si="1489"/>
        <v>0</v>
      </c>
      <c r="TD164" s="207"/>
      <c r="TE164" s="207"/>
      <c r="TF164" s="207"/>
      <c r="TG164" s="207"/>
      <c r="TH164" s="207"/>
      <c r="TI164" s="272"/>
      <c r="TJ164" s="272"/>
      <c r="TK164" s="205">
        <f t="shared" si="1490"/>
        <v>0</v>
      </c>
      <c r="TL164" s="207"/>
      <c r="TM164" s="207"/>
      <c r="TN164" s="207"/>
      <c r="TO164" s="207"/>
      <c r="TP164" s="272"/>
      <c r="TQ164" s="272"/>
      <c r="TR164" s="272"/>
      <c r="TS164" s="205">
        <f t="shared" si="1491"/>
        <v>0</v>
      </c>
      <c r="TT164" s="205">
        <f t="shared" si="1492"/>
        <v>0</v>
      </c>
      <c r="TU164" s="272"/>
      <c r="TV164" s="207"/>
      <c r="TW164" s="207"/>
      <c r="TX164" s="207"/>
      <c r="TY164" s="207"/>
      <c r="TZ164" s="272"/>
      <c r="UA164" s="272"/>
      <c r="UB164" s="205">
        <f t="shared" si="1493"/>
        <v>0</v>
      </c>
      <c r="UC164" s="207"/>
      <c r="UD164" s="207"/>
      <c r="UE164" s="207"/>
      <c r="UF164" s="207"/>
      <c r="UG164" s="207"/>
      <c r="UH164" s="272"/>
      <c r="UI164" s="272"/>
      <c r="UJ164" s="205">
        <f t="shared" si="1494"/>
        <v>0</v>
      </c>
      <c r="UK164" s="207"/>
      <c r="UL164" s="207"/>
      <c r="UM164" s="207"/>
      <c r="UN164" s="207"/>
      <c r="UO164" s="207"/>
      <c r="UP164" s="272"/>
      <c r="UQ164" s="272"/>
      <c r="UR164" s="205">
        <f t="shared" si="1495"/>
        <v>0</v>
      </c>
      <c r="US164" s="207"/>
      <c r="UT164" s="207"/>
      <c r="UU164" s="207"/>
      <c r="UV164" s="207"/>
      <c r="UW164" s="272"/>
      <c r="UX164" s="272"/>
      <c r="UY164" s="272"/>
      <c r="UZ164" s="205">
        <f t="shared" si="1496"/>
        <v>0</v>
      </c>
      <c r="VA164" s="205">
        <f t="shared" si="1497"/>
        <v>0</v>
      </c>
      <c r="VB164" s="207"/>
      <c r="VC164" s="207"/>
      <c r="VD164" s="207"/>
      <c r="VE164" s="207"/>
      <c r="VF164" s="207"/>
      <c r="VG164" s="272"/>
      <c r="VH164" s="272"/>
      <c r="VI164" s="205">
        <f t="shared" si="1498"/>
        <v>0</v>
      </c>
      <c r="VJ164" s="207"/>
      <c r="VK164" s="207"/>
      <c r="VL164" s="207"/>
      <c r="VM164" s="207"/>
      <c r="VN164" s="207"/>
      <c r="VO164" s="272"/>
      <c r="VP164" s="272"/>
      <c r="VQ164" s="205">
        <f t="shared" si="1499"/>
        <v>0</v>
      </c>
      <c r="VR164" s="207"/>
      <c r="VS164" s="207"/>
      <c r="VT164" s="207"/>
      <c r="VU164" s="207"/>
      <c r="VV164" s="207"/>
      <c r="VW164" s="272"/>
      <c r="VX164" s="272"/>
      <c r="VY164" s="205">
        <f t="shared" si="1500"/>
        <v>0</v>
      </c>
      <c r="VZ164" s="207"/>
      <c r="WA164" s="207"/>
      <c r="WB164" s="207"/>
      <c r="WC164" s="207"/>
      <c r="WD164" s="207"/>
      <c r="WE164" s="272"/>
      <c r="WF164" s="272"/>
      <c r="WG164" s="205">
        <f>SUM(WA164:WF164)</f>
        <v>0</v>
      </c>
      <c r="WH164" s="205">
        <f t="shared" si="1502"/>
        <v>0</v>
      </c>
      <c r="WI164" s="207"/>
      <c r="WJ164" s="207"/>
      <c r="WK164" s="207"/>
      <c r="WL164" s="207"/>
      <c r="WM164" s="207"/>
      <c r="WN164" s="272"/>
      <c r="WO164" s="272"/>
      <c r="WP164" s="205">
        <f t="shared" si="1503"/>
        <v>0</v>
      </c>
      <c r="WQ164" s="207"/>
      <c r="WR164" s="207"/>
      <c r="WS164" s="207"/>
      <c r="WT164" s="207"/>
      <c r="WU164" s="207"/>
      <c r="WV164" s="272"/>
      <c r="WW164" s="272"/>
      <c r="WX164" s="205">
        <f t="shared" si="1504"/>
        <v>0</v>
      </c>
      <c r="WY164" s="207"/>
      <c r="WZ164" s="207"/>
      <c r="XA164" s="207"/>
      <c r="XB164" s="207"/>
      <c r="XC164" s="272"/>
      <c r="XD164" s="272"/>
      <c r="XE164" s="272"/>
      <c r="XF164" s="205">
        <f t="shared" si="1505"/>
        <v>0</v>
      </c>
      <c r="XG164" s="207"/>
      <c r="XH164" s="207"/>
      <c r="XI164" s="207"/>
      <c r="XJ164" s="207"/>
      <c r="XK164" s="207"/>
      <c r="XL164" s="272"/>
      <c r="XM164" s="272"/>
      <c r="XN164" s="205">
        <f t="shared" si="1506"/>
        <v>0</v>
      </c>
      <c r="XO164" s="207"/>
      <c r="XP164" s="207"/>
      <c r="XQ164" s="207"/>
      <c r="XR164" s="207"/>
      <c r="XS164" s="207"/>
      <c r="XT164" s="272"/>
      <c r="XU164" s="272"/>
      <c r="XV164" s="205">
        <f t="shared" si="1507"/>
        <v>0</v>
      </c>
      <c r="XW164" s="205">
        <f t="shared" si="1508"/>
        <v>0</v>
      </c>
      <c r="XX164" s="207"/>
      <c r="XY164" s="207"/>
      <c r="XZ164" s="207"/>
      <c r="YA164" s="207"/>
      <c r="YB164" s="207"/>
      <c r="YC164" s="272"/>
      <c r="YD164" s="272"/>
      <c r="YE164" s="205">
        <f t="shared" si="1509"/>
        <v>0</v>
      </c>
      <c r="YF164" s="207"/>
      <c r="YG164" s="207"/>
      <c r="YH164" s="207"/>
      <c r="YI164" s="207"/>
      <c r="YJ164" s="207"/>
      <c r="YK164" s="272"/>
      <c r="YL164" s="272"/>
      <c r="YM164" s="205">
        <f t="shared" si="1510"/>
        <v>0</v>
      </c>
      <c r="YN164" s="207"/>
      <c r="YO164" s="207"/>
      <c r="YP164" s="207"/>
      <c r="YQ164" s="207"/>
      <c r="YR164" s="207"/>
      <c r="YS164" s="272"/>
      <c r="YT164" s="272"/>
      <c r="YU164" s="205">
        <f t="shared" si="1511"/>
        <v>0</v>
      </c>
      <c r="YV164" s="207"/>
      <c r="YW164" s="207"/>
      <c r="YX164" s="207"/>
      <c r="YY164" s="207"/>
      <c r="YZ164" s="207"/>
      <c r="ZA164" s="272"/>
      <c r="ZB164" s="272"/>
      <c r="ZC164" s="205">
        <f t="shared" si="1512"/>
        <v>0</v>
      </c>
      <c r="ZD164" s="205">
        <f t="shared" si="1513"/>
        <v>0</v>
      </c>
      <c r="ZE164" s="207"/>
      <c r="ZF164" s="207"/>
      <c r="ZG164" s="207"/>
      <c r="ZH164" s="207"/>
      <c r="ZI164" s="207"/>
      <c r="ZJ164" s="272"/>
      <c r="ZK164" s="272"/>
      <c r="ZL164" s="205">
        <f t="shared" si="1514"/>
        <v>0</v>
      </c>
      <c r="ZM164" s="207"/>
      <c r="ZN164" s="207"/>
      <c r="ZO164" s="207"/>
      <c r="ZP164" s="207"/>
      <c r="ZQ164" s="207"/>
      <c r="ZR164" s="272"/>
      <c r="ZS164" s="272"/>
      <c r="ZT164" s="205">
        <f t="shared" si="1515"/>
        <v>0</v>
      </c>
      <c r="ZU164" s="207"/>
      <c r="ZV164" s="207"/>
      <c r="ZW164" s="207"/>
      <c r="ZX164" s="207"/>
      <c r="ZY164" s="207"/>
      <c r="ZZ164" s="272"/>
      <c r="AAA164" s="272"/>
      <c r="AAB164" s="205">
        <f t="shared" si="1516"/>
        <v>0</v>
      </c>
      <c r="AAC164" s="207"/>
      <c r="AAD164" s="207"/>
      <c r="AAE164" s="207"/>
      <c r="AAF164" s="207"/>
      <c r="AAG164" s="207"/>
      <c r="AAH164" s="272"/>
      <c r="AAI164" s="272"/>
      <c r="AAJ164" s="205">
        <f t="shared" si="1517"/>
        <v>0</v>
      </c>
      <c r="AAK164" s="207"/>
      <c r="AAL164" s="207"/>
      <c r="AAM164" s="207"/>
      <c r="AAN164" s="207"/>
      <c r="AAO164" s="207"/>
      <c r="AAP164" s="272"/>
      <c r="AAQ164" s="272"/>
      <c r="AAR164" s="205">
        <f t="shared" si="1518"/>
        <v>0</v>
      </c>
      <c r="AAS164" s="205">
        <f t="shared" si="1519"/>
        <v>0</v>
      </c>
    </row>
    <row r="165" spans="2:721" ht="69.95" customHeight="1">
      <c r="B165" s="180" t="s">
        <v>506</v>
      </c>
      <c r="C165" s="344" t="s">
        <v>887</v>
      </c>
      <c r="D165" s="214" t="s">
        <v>313</v>
      </c>
      <c r="E165" s="130" t="s">
        <v>4</v>
      </c>
      <c r="F165" s="120"/>
      <c r="G165" s="120"/>
      <c r="H165" s="120"/>
      <c r="I165" s="120"/>
      <c r="J165" s="120"/>
      <c r="K165" s="209"/>
      <c r="L165" s="205"/>
      <c r="M165" s="205">
        <f t="shared" si="1520"/>
        <v>0</v>
      </c>
      <c r="N165" s="120"/>
      <c r="O165" s="120"/>
      <c r="P165" s="124">
        <v>500</v>
      </c>
      <c r="Q165" s="120"/>
      <c r="R165" s="120"/>
      <c r="S165" s="209"/>
      <c r="T165" s="205"/>
      <c r="U165" s="205">
        <f t="shared" si="1521"/>
        <v>500</v>
      </c>
      <c r="V165" s="120"/>
      <c r="W165" s="201">
        <v>160</v>
      </c>
      <c r="X165" s="120"/>
      <c r="Y165" s="120"/>
      <c r="Z165" s="120"/>
      <c r="AA165" s="209"/>
      <c r="AB165" s="205"/>
      <c r="AC165" s="205">
        <f t="shared" si="1522"/>
        <v>160</v>
      </c>
      <c r="AD165" s="205"/>
      <c r="AE165" s="205"/>
      <c r="AF165" s="205"/>
      <c r="AG165" s="205"/>
      <c r="AH165" s="205"/>
      <c r="AI165" s="209"/>
      <c r="AJ165" s="205"/>
      <c r="AK165" s="205">
        <f t="shared" si="1523"/>
        <v>0</v>
      </c>
      <c r="AL165" s="205" t="e">
        <f>SUM(#REF!,M165,U165,AC165,AD165:AH165)</f>
        <v>#REF!</v>
      </c>
      <c r="AM165" s="120"/>
      <c r="AN165" s="120"/>
      <c r="AO165" s="120"/>
      <c r="AP165" s="120"/>
      <c r="AQ165" s="120"/>
      <c r="AR165" s="209"/>
      <c r="AS165" s="205"/>
      <c r="AT165" s="205">
        <f t="shared" si="1524"/>
        <v>0</v>
      </c>
      <c r="AU165" s="120"/>
      <c r="AV165" s="120"/>
      <c r="AW165" s="120"/>
      <c r="AX165" s="120"/>
      <c r="AY165" s="120"/>
      <c r="AZ165" s="209"/>
      <c r="BA165" s="205"/>
      <c r="BB165" s="205">
        <f t="shared" si="1525"/>
        <v>0</v>
      </c>
      <c r="BC165" s="120"/>
      <c r="BD165" s="120"/>
      <c r="BE165" s="120"/>
      <c r="BF165" s="120"/>
      <c r="BG165" s="120"/>
      <c r="BH165" s="209"/>
      <c r="BI165" s="205"/>
      <c r="BJ165" s="205">
        <f t="shared" si="1526"/>
        <v>0</v>
      </c>
      <c r="BK165" s="120"/>
      <c r="BL165" s="120"/>
      <c r="BM165" s="120"/>
      <c r="BN165" s="120"/>
      <c r="BO165" s="205"/>
      <c r="BP165" s="209"/>
      <c r="BQ165" s="205"/>
      <c r="BR165" s="205">
        <f t="shared" si="1527"/>
        <v>0</v>
      </c>
      <c r="BS165" s="205">
        <f t="shared" si="1427"/>
        <v>0</v>
      </c>
      <c r="BT165" s="120"/>
      <c r="BU165" s="120"/>
      <c r="BV165" s="120"/>
      <c r="BW165" s="120"/>
      <c r="BX165" s="120"/>
      <c r="BY165" s="209"/>
      <c r="BZ165" s="205"/>
      <c r="CA165" s="205">
        <f t="shared" si="1528"/>
        <v>0</v>
      </c>
      <c r="CB165" s="120"/>
      <c r="CC165" s="120"/>
      <c r="CD165" s="120"/>
      <c r="CE165" s="207"/>
      <c r="CF165" s="120"/>
      <c r="CG165" s="209"/>
      <c r="CH165" s="205"/>
      <c r="CI165" s="205">
        <f t="shared" si="1529"/>
        <v>0</v>
      </c>
      <c r="CJ165" s="195">
        <v>440</v>
      </c>
      <c r="CK165" s="120"/>
      <c r="CL165" s="120"/>
      <c r="CM165" s="120"/>
      <c r="CN165" s="120"/>
      <c r="CO165" s="209"/>
      <c r="CP165" s="205"/>
      <c r="CQ165" s="205">
        <f t="shared" si="1530"/>
        <v>440</v>
      </c>
      <c r="CR165" s="120"/>
      <c r="CS165" s="120"/>
      <c r="CT165" s="250">
        <v>300</v>
      </c>
      <c r="CU165" s="120"/>
      <c r="CV165" s="120"/>
      <c r="CW165" s="209"/>
      <c r="CX165" s="205"/>
      <c r="CY165" s="205">
        <f t="shared" si="1531"/>
        <v>300</v>
      </c>
      <c r="CZ165" s="120"/>
      <c r="DA165" s="120"/>
      <c r="DB165" s="120" t="s">
        <v>712</v>
      </c>
      <c r="DC165" s="205"/>
      <c r="DD165" s="205"/>
      <c r="DE165" s="209"/>
      <c r="DF165" s="205"/>
      <c r="DG165" s="205">
        <f t="shared" si="1532"/>
        <v>0</v>
      </c>
      <c r="DH165" s="205">
        <f t="shared" si="1428"/>
        <v>740</v>
      </c>
      <c r="DI165" s="120"/>
      <c r="DJ165" s="120"/>
      <c r="DK165" s="120"/>
      <c r="DL165" s="120"/>
      <c r="DM165" s="120"/>
      <c r="DN165" s="209"/>
      <c r="DO165" s="205"/>
      <c r="DP165" s="205">
        <f t="shared" si="1432"/>
        <v>0</v>
      </c>
      <c r="DQ165" s="120"/>
      <c r="DR165" s="120"/>
      <c r="DS165" s="250">
        <v>300</v>
      </c>
      <c r="DT165" s="250">
        <v>200</v>
      </c>
      <c r="DU165" s="120"/>
      <c r="DV165" s="209"/>
      <c r="DW165" s="205"/>
      <c r="DX165" s="205">
        <f t="shared" si="1433"/>
        <v>500</v>
      </c>
      <c r="DY165" s="120"/>
      <c r="DZ165" s="120"/>
      <c r="EA165" s="120"/>
      <c r="EB165" s="120"/>
      <c r="EC165" s="250">
        <v>50</v>
      </c>
      <c r="ED165" s="209"/>
      <c r="EE165" s="205"/>
      <c r="EF165" s="205">
        <f t="shared" si="1434"/>
        <v>50</v>
      </c>
      <c r="EG165" s="120"/>
      <c r="EH165" s="120"/>
      <c r="EI165" s="120"/>
      <c r="EJ165" s="205"/>
      <c r="EK165" s="205"/>
      <c r="EL165" s="209"/>
      <c r="EM165" s="205"/>
      <c r="EN165" s="205">
        <f t="shared" si="1435"/>
        <v>0</v>
      </c>
      <c r="EO165" s="205">
        <f t="shared" si="1429"/>
        <v>550</v>
      </c>
      <c r="EP165" s="120"/>
      <c r="EQ165" s="217">
        <v>350</v>
      </c>
      <c r="ER165" s="120"/>
      <c r="ES165" s="120"/>
      <c r="ET165" s="120"/>
      <c r="EU165" s="209"/>
      <c r="EV165" s="205"/>
      <c r="EW165" s="205">
        <f t="shared" si="1436"/>
        <v>350</v>
      </c>
      <c r="EX165" s="120"/>
      <c r="EY165" s="120"/>
      <c r="EZ165" s="120"/>
      <c r="FA165" s="120"/>
      <c r="FB165" s="120"/>
      <c r="FC165" s="209"/>
      <c r="FD165" s="205"/>
      <c r="FE165" s="205">
        <f t="shared" si="1437"/>
        <v>0</v>
      </c>
      <c r="FF165" s="120"/>
      <c r="FG165" s="120"/>
      <c r="FH165" s="217">
        <v>260</v>
      </c>
      <c r="FI165" s="120"/>
      <c r="FJ165" s="120"/>
      <c r="FK165" s="209"/>
      <c r="FL165" s="205"/>
      <c r="FM165" s="205">
        <f t="shared" si="1438"/>
        <v>260</v>
      </c>
      <c r="FN165" s="120"/>
      <c r="FO165" s="120"/>
      <c r="FP165" s="120"/>
      <c r="FQ165" s="120"/>
      <c r="FR165" s="205"/>
      <c r="FS165" s="209"/>
      <c r="FT165" s="205"/>
      <c r="FU165" s="205">
        <f t="shared" si="1439"/>
        <v>0</v>
      </c>
      <c r="FV165" s="205">
        <f t="shared" si="1430"/>
        <v>610</v>
      </c>
      <c r="FW165" s="120"/>
      <c r="FX165" s="120"/>
      <c r="FY165" s="201">
        <v>90</v>
      </c>
      <c r="FZ165" s="201">
        <v>350</v>
      </c>
      <c r="GA165" s="120"/>
      <c r="GB165" s="209"/>
      <c r="GC165" s="205"/>
      <c r="GD165" s="205">
        <f t="shared" si="1440"/>
        <v>440</v>
      </c>
      <c r="GE165" s="120"/>
      <c r="GF165" s="120"/>
      <c r="GG165" s="120"/>
      <c r="GH165" s="120"/>
      <c r="GI165" s="120"/>
      <c r="GJ165" s="209"/>
      <c r="GK165" s="205"/>
      <c r="GL165" s="205">
        <f t="shared" si="1441"/>
        <v>0</v>
      </c>
      <c r="GM165" s="120"/>
      <c r="GN165" s="250">
        <v>100</v>
      </c>
      <c r="GO165" s="120"/>
      <c r="GQ165" s="120"/>
      <c r="GR165" s="209"/>
      <c r="GS165" s="205"/>
      <c r="GT165" s="205">
        <f t="shared" si="1442"/>
        <v>100</v>
      </c>
      <c r="GU165" s="120"/>
      <c r="GV165" s="120"/>
      <c r="GW165" s="120"/>
      <c r="GX165" s="120"/>
      <c r="GY165" s="201">
        <v>500</v>
      </c>
      <c r="GZ165" s="209"/>
      <c r="HA165" s="205"/>
      <c r="HB165" s="205">
        <f t="shared" si="1443"/>
        <v>500</v>
      </c>
      <c r="HC165" s="120"/>
      <c r="HD165" s="120"/>
      <c r="HE165" s="120"/>
      <c r="HF165" s="120"/>
      <c r="HG165" s="120"/>
      <c r="HH165" s="209"/>
      <c r="HI165" s="205"/>
      <c r="HJ165" s="205">
        <f t="shared" si="1444"/>
        <v>0</v>
      </c>
      <c r="HK165" s="205">
        <f t="shared" si="1431"/>
        <v>1040</v>
      </c>
      <c r="HL165" s="124"/>
      <c r="HM165" s="120"/>
      <c r="HN165" s="120"/>
      <c r="HO165" s="120"/>
      <c r="HP165" s="120"/>
      <c r="HQ165" s="205"/>
      <c r="HR165" s="205"/>
      <c r="HS165" s="205">
        <f t="shared" si="1445"/>
        <v>0</v>
      </c>
      <c r="HT165" s="120"/>
      <c r="HU165" s="120"/>
      <c r="HV165" s="120"/>
      <c r="HW165" s="120"/>
      <c r="HX165" s="120"/>
      <c r="HY165" s="205"/>
      <c r="HZ165" s="205"/>
      <c r="IA165" s="205">
        <f t="shared" si="1446"/>
        <v>0</v>
      </c>
      <c r="IB165" s="120"/>
      <c r="IC165" s="120"/>
      <c r="ID165" s="120"/>
      <c r="IE165" s="120"/>
      <c r="IF165" s="120"/>
      <c r="IG165" s="205"/>
      <c r="IH165" s="205"/>
      <c r="II165" s="205">
        <f t="shared" si="1447"/>
        <v>0</v>
      </c>
      <c r="IJ165" s="120"/>
      <c r="IK165" s="120"/>
      <c r="IL165" s="201">
        <v>400</v>
      </c>
      <c r="IM165" s="120"/>
      <c r="IN165" s="120"/>
      <c r="IO165" s="205"/>
      <c r="IP165" s="205"/>
      <c r="IQ165" s="205">
        <f t="shared" si="1448"/>
        <v>400</v>
      </c>
      <c r="IR165" s="205">
        <f t="shared" si="1449"/>
        <v>400</v>
      </c>
      <c r="IS165" s="120"/>
      <c r="IT165" s="120"/>
      <c r="IU165" s="120"/>
      <c r="IV165" s="120"/>
      <c r="IW165" s="120"/>
      <c r="IX165" s="205"/>
      <c r="IY165" s="205"/>
      <c r="IZ165" s="205">
        <f t="shared" si="1450"/>
        <v>0</v>
      </c>
      <c r="JA165" s="120"/>
      <c r="JB165" s="120"/>
      <c r="JC165" s="120"/>
      <c r="JD165" s="120"/>
      <c r="JE165" s="120"/>
      <c r="JF165" s="205"/>
      <c r="JG165" s="205"/>
      <c r="JH165" s="205">
        <f t="shared" si="1451"/>
        <v>0</v>
      </c>
      <c r="JI165" s="120"/>
      <c r="JJ165" s="120"/>
      <c r="JK165" s="120"/>
      <c r="JL165" s="120"/>
      <c r="JM165" s="120"/>
      <c r="JN165" s="205"/>
      <c r="JO165" s="205"/>
      <c r="JP165" s="205">
        <f t="shared" si="1452"/>
        <v>0</v>
      </c>
      <c r="JQ165" s="120"/>
      <c r="JR165" s="120"/>
      <c r="JS165" s="120"/>
      <c r="JT165" s="120"/>
      <c r="JU165" s="120"/>
      <c r="JV165" s="205"/>
      <c r="JW165" s="205"/>
      <c r="JX165" s="205">
        <f t="shared" si="1453"/>
        <v>0</v>
      </c>
      <c r="JY165" s="205">
        <f t="shared" si="1454"/>
        <v>0</v>
      </c>
      <c r="JZ165" s="120"/>
      <c r="KA165" s="120"/>
      <c r="KB165" s="217">
        <v>400</v>
      </c>
      <c r="KC165" s="120"/>
      <c r="KD165" s="120"/>
      <c r="KE165" s="205"/>
      <c r="KF165" s="205"/>
      <c r="KG165" s="205">
        <f t="shared" si="1455"/>
        <v>400</v>
      </c>
      <c r="KH165" s="120"/>
      <c r="KI165" s="120"/>
      <c r="KJ165" s="120"/>
      <c r="KK165" s="120"/>
      <c r="KL165" s="120"/>
      <c r="KM165" s="205"/>
      <c r="KN165" s="205"/>
      <c r="KO165" s="205">
        <f t="shared" si="1456"/>
        <v>0</v>
      </c>
      <c r="KP165" s="120"/>
      <c r="KQ165" s="120"/>
      <c r="KR165" s="120"/>
      <c r="KS165" s="120"/>
      <c r="KT165" s="120"/>
      <c r="KU165" s="205"/>
      <c r="KV165" s="205"/>
      <c r="KW165" s="205">
        <f>SUM(KP165:KV165)</f>
        <v>0</v>
      </c>
      <c r="KX165" s="120"/>
      <c r="KY165" s="120"/>
      <c r="KZ165" s="120"/>
      <c r="LA165" s="201">
        <v>50</v>
      </c>
      <c r="LB165" s="120"/>
      <c r="LC165" s="205"/>
      <c r="LD165" s="205"/>
      <c r="LE165" s="205">
        <f t="shared" si="1458"/>
        <v>50</v>
      </c>
      <c r="LF165" s="205"/>
      <c r="LG165" s="120"/>
      <c r="LH165" s="120"/>
      <c r="LI165" s="120"/>
      <c r="LJ165" s="217">
        <v>200</v>
      </c>
      <c r="LK165" s="205"/>
      <c r="LL165" s="205"/>
      <c r="LM165" s="205">
        <f t="shared" si="1459"/>
        <v>200</v>
      </c>
      <c r="LN165" s="205">
        <f t="shared" si="1460"/>
        <v>450</v>
      </c>
      <c r="LO165" s="205"/>
      <c r="LP165" s="120"/>
      <c r="LQ165" s="120"/>
      <c r="LR165" s="120"/>
      <c r="LS165" s="205"/>
      <c r="LT165" s="205"/>
      <c r="LU165" s="205"/>
      <c r="LV165" s="205">
        <f t="shared" si="1461"/>
        <v>0</v>
      </c>
      <c r="LW165" s="120"/>
      <c r="LX165" s="120"/>
      <c r="LY165" s="120"/>
      <c r="LZ165" s="120"/>
      <c r="MA165" s="120"/>
      <c r="MB165" s="205"/>
      <c r="MC165" s="205"/>
      <c r="MD165" s="205">
        <f t="shared" si="1462"/>
        <v>0</v>
      </c>
      <c r="ME165" s="120"/>
      <c r="MF165" s="120"/>
      <c r="MG165" s="120"/>
      <c r="MH165" s="120"/>
      <c r="MI165" s="205"/>
      <c r="MJ165" s="205"/>
      <c r="MK165" s="205"/>
      <c r="ML165" s="205">
        <f t="shared" si="1463"/>
        <v>0</v>
      </c>
      <c r="MM165" s="120"/>
      <c r="MN165" s="120"/>
      <c r="MO165" s="217">
        <v>400</v>
      </c>
      <c r="MP165" s="120"/>
      <c r="MQ165" s="120"/>
      <c r="MR165" s="205"/>
      <c r="MS165" s="205"/>
      <c r="MT165" s="205">
        <f t="shared" si="1464"/>
        <v>400</v>
      </c>
      <c r="MU165" s="205">
        <f t="shared" si="1465"/>
        <v>600</v>
      </c>
      <c r="MV165" s="120"/>
      <c r="MW165" s="120"/>
      <c r="MX165" s="120"/>
      <c r="MY165" s="120"/>
      <c r="MZ165" s="120"/>
      <c r="NA165" s="205"/>
      <c r="NB165" s="205"/>
      <c r="NC165" s="205">
        <f t="shared" si="1466"/>
        <v>0</v>
      </c>
      <c r="ND165" s="120"/>
      <c r="NE165" s="120"/>
      <c r="NF165" s="201">
        <v>500</v>
      </c>
      <c r="NG165" s="120"/>
      <c r="NH165" s="120"/>
      <c r="NI165" s="205"/>
      <c r="NJ165" s="205"/>
      <c r="NK165" s="205">
        <f t="shared" si="1467"/>
        <v>500</v>
      </c>
      <c r="NL165" s="120"/>
      <c r="NM165" s="120"/>
      <c r="NN165" s="123">
        <v>100</v>
      </c>
      <c r="NO165" s="120"/>
      <c r="NP165" s="120"/>
      <c r="NQ165" s="205"/>
      <c r="NR165" s="205"/>
      <c r="NS165" s="205">
        <f t="shared" si="1468"/>
        <v>100</v>
      </c>
      <c r="NT165" s="120"/>
      <c r="NU165" s="120"/>
      <c r="NV165" s="120"/>
      <c r="NW165" s="120"/>
      <c r="NX165" s="120"/>
      <c r="NY165" s="205"/>
      <c r="NZ165" s="205"/>
      <c r="OA165" s="205">
        <f t="shared" si="1469"/>
        <v>0</v>
      </c>
      <c r="OB165" s="205">
        <f t="shared" si="1470"/>
        <v>600</v>
      </c>
      <c r="OC165" s="120"/>
      <c r="OD165" s="120"/>
      <c r="OE165" s="120"/>
      <c r="OF165" s="120"/>
      <c r="OG165" s="120"/>
      <c r="OH165" s="205"/>
      <c r="OI165" s="205"/>
      <c r="OJ165" s="205">
        <f t="shared" si="1471"/>
        <v>0</v>
      </c>
      <c r="OK165" s="120"/>
      <c r="OL165" s="120"/>
      <c r="OM165" s="120"/>
      <c r="ON165" s="207"/>
      <c r="OO165" s="120"/>
      <c r="OP165" s="205"/>
      <c r="OQ165" s="205"/>
      <c r="OR165" s="205">
        <f t="shared" si="1472"/>
        <v>0</v>
      </c>
      <c r="OS165" s="120"/>
      <c r="OT165" s="120"/>
      <c r="OU165" s="120"/>
      <c r="OV165" s="120"/>
      <c r="OW165" s="120"/>
      <c r="OX165" s="205"/>
      <c r="OY165" s="205"/>
      <c r="OZ165" s="205">
        <f t="shared" si="1473"/>
        <v>0</v>
      </c>
      <c r="PA165" s="120"/>
      <c r="PB165" s="120"/>
      <c r="PC165" s="120"/>
      <c r="PD165" s="205"/>
      <c r="PE165" s="217"/>
      <c r="PF165" s="205"/>
      <c r="PG165" s="205"/>
      <c r="PH165" s="205">
        <f t="shared" si="1474"/>
        <v>0</v>
      </c>
      <c r="PI165" s="195">
        <v>400</v>
      </c>
      <c r="PJ165" s="120"/>
      <c r="PK165" s="120"/>
      <c r="PL165" s="205"/>
      <c r="PM165" s="217"/>
      <c r="PN165" s="205"/>
      <c r="PO165" s="205"/>
      <c r="PP165" s="205">
        <f t="shared" si="1475"/>
        <v>400</v>
      </c>
      <c r="PQ165" s="205">
        <f t="shared" si="1476"/>
        <v>400</v>
      </c>
      <c r="PR165" s="207"/>
      <c r="PS165" s="207"/>
      <c r="PT165" s="207"/>
      <c r="PU165" s="207"/>
      <c r="PV165" s="207"/>
      <c r="PW165" s="272"/>
      <c r="PX165" s="272"/>
      <c r="PY165" s="205">
        <f t="shared" si="1477"/>
        <v>0</v>
      </c>
      <c r="PZ165" s="207"/>
      <c r="QA165" s="207"/>
      <c r="QB165" s="207"/>
      <c r="QC165" s="207"/>
      <c r="QD165" s="207"/>
      <c r="QE165" s="272"/>
      <c r="QF165" s="272"/>
      <c r="QG165" s="205">
        <f t="shared" si="1478"/>
        <v>0</v>
      </c>
      <c r="QH165" s="207"/>
      <c r="QI165" s="207"/>
      <c r="QJ165" s="294"/>
      <c r="QK165" s="207"/>
      <c r="QL165" s="207"/>
      <c r="QM165" s="272"/>
      <c r="QN165" s="272"/>
      <c r="QO165" s="205">
        <f t="shared" si="1479"/>
        <v>0</v>
      </c>
      <c r="QP165" s="207"/>
      <c r="QQ165" s="207"/>
      <c r="QR165" s="207"/>
      <c r="QS165" s="207"/>
      <c r="QT165" s="207"/>
      <c r="QU165" s="272"/>
      <c r="QV165" s="272"/>
      <c r="QW165" s="205">
        <f t="shared" si="1480"/>
        <v>0</v>
      </c>
      <c r="QX165" s="205">
        <f t="shared" si="1567"/>
        <v>0</v>
      </c>
      <c r="QY165" s="207"/>
      <c r="QZ165" s="207"/>
      <c r="RA165" s="207"/>
      <c r="RB165" s="207"/>
      <c r="RC165" s="207"/>
      <c r="RD165" s="272"/>
      <c r="RE165" s="272"/>
      <c r="RF165" s="205">
        <f t="shared" si="1482"/>
        <v>0</v>
      </c>
      <c r="RG165" s="207"/>
      <c r="RH165" s="207"/>
      <c r="RI165" s="207"/>
      <c r="RJ165" s="207"/>
      <c r="RK165" s="207"/>
      <c r="RL165" s="272"/>
      <c r="RM165" s="272"/>
      <c r="RN165" s="205">
        <f t="shared" si="1483"/>
        <v>0</v>
      </c>
      <c r="RO165" s="272"/>
      <c r="RP165" s="272"/>
      <c r="RQ165" s="272"/>
      <c r="RR165" s="272"/>
      <c r="RS165" s="272"/>
      <c r="RT165" s="272"/>
      <c r="RU165" s="272"/>
      <c r="RV165" s="205">
        <f t="shared" si="1484"/>
        <v>0</v>
      </c>
      <c r="RW165" s="207"/>
      <c r="RX165" s="207"/>
      <c r="RY165" s="207"/>
      <c r="RZ165" s="207"/>
      <c r="SA165" s="272"/>
      <c r="SB165" s="272"/>
      <c r="SC165" s="272"/>
      <c r="SD165" s="205">
        <f t="shared" si="1485"/>
        <v>0</v>
      </c>
      <c r="SE165" s="205">
        <f t="shared" si="1486"/>
        <v>0</v>
      </c>
      <c r="SF165" s="120"/>
      <c r="SG165" s="120"/>
      <c r="SH165" s="195">
        <v>500</v>
      </c>
      <c r="SI165" s="120"/>
      <c r="SJ165" s="207"/>
      <c r="SK165" s="272"/>
      <c r="SL165" s="272"/>
      <c r="SM165" s="205">
        <f>SUM(SF165:SL165)</f>
        <v>500</v>
      </c>
      <c r="SN165" s="207"/>
      <c r="SO165" s="207"/>
      <c r="SP165" s="207"/>
      <c r="SQ165" s="120"/>
      <c r="SR165" s="207"/>
      <c r="SS165" s="272"/>
      <c r="ST165" s="272"/>
      <c r="SU165" s="205">
        <f t="shared" si="1488"/>
        <v>0</v>
      </c>
      <c r="SV165" s="217">
        <v>660</v>
      </c>
      <c r="SW165" s="207"/>
      <c r="SX165" s="207"/>
      <c r="SY165" s="207"/>
      <c r="SZ165" s="207"/>
      <c r="TA165" s="272"/>
      <c r="TB165" s="272"/>
      <c r="TC165" s="205">
        <f t="shared" si="1489"/>
        <v>660</v>
      </c>
      <c r="TD165" s="207"/>
      <c r="TE165" s="207"/>
      <c r="TF165" s="207"/>
      <c r="TG165" s="207"/>
      <c r="TH165" s="207"/>
      <c r="TI165" s="272"/>
      <c r="TJ165" s="272"/>
      <c r="TK165" s="205">
        <f t="shared" si="1490"/>
        <v>0</v>
      </c>
      <c r="TL165" s="207"/>
      <c r="TM165" s="207"/>
      <c r="TN165" s="207"/>
      <c r="TO165" s="207"/>
      <c r="TP165" s="272"/>
      <c r="TQ165" s="272"/>
      <c r="TR165" s="272"/>
      <c r="TS165" s="205">
        <f t="shared" si="1491"/>
        <v>0</v>
      </c>
      <c r="TT165" s="205">
        <f t="shared" si="1492"/>
        <v>1160</v>
      </c>
      <c r="TU165" s="272"/>
      <c r="TV165" s="207"/>
      <c r="TW165" s="207"/>
      <c r="TX165" s="217">
        <v>500</v>
      </c>
      <c r="TY165" s="207"/>
      <c r="TZ165" s="272"/>
      <c r="UA165" s="272"/>
      <c r="UB165" s="205">
        <f t="shared" si="1493"/>
        <v>500</v>
      </c>
      <c r="UC165" s="207"/>
      <c r="UD165" s="207"/>
      <c r="UE165" s="217">
        <v>500</v>
      </c>
      <c r="UF165" s="207"/>
      <c r="UG165" s="207"/>
      <c r="UH165" s="272"/>
      <c r="UI165" s="272"/>
      <c r="UJ165" s="205">
        <f t="shared" si="1494"/>
        <v>500</v>
      </c>
      <c r="UK165" s="207"/>
      <c r="UL165" s="207"/>
      <c r="UM165" s="207"/>
      <c r="UN165" s="207"/>
      <c r="UO165" s="207"/>
      <c r="UP165" s="272"/>
      <c r="UQ165" s="272"/>
      <c r="UR165" s="205">
        <f t="shared" si="1495"/>
        <v>0</v>
      </c>
      <c r="US165" s="207"/>
      <c r="UT165" s="207"/>
      <c r="UU165" s="120"/>
      <c r="UV165" s="207"/>
      <c r="UW165" s="272"/>
      <c r="UX165" s="272"/>
      <c r="UY165" s="272"/>
      <c r="UZ165" s="205">
        <f t="shared" si="1496"/>
        <v>0</v>
      </c>
      <c r="VA165" s="205">
        <f t="shared" si="1497"/>
        <v>1000</v>
      </c>
      <c r="VB165" s="207"/>
      <c r="VC165" s="207"/>
      <c r="VD165" s="207"/>
      <c r="VE165" s="207"/>
      <c r="VF165" s="207"/>
      <c r="VG165" s="272"/>
      <c r="VH165" s="272"/>
      <c r="VI165" s="205">
        <f t="shared" si="1498"/>
        <v>0</v>
      </c>
      <c r="VJ165" s="207"/>
      <c r="VK165" s="207"/>
      <c r="VL165" s="207"/>
      <c r="VM165" s="207"/>
      <c r="VN165" s="207"/>
      <c r="VO165" s="272"/>
      <c r="VP165" s="272"/>
      <c r="VQ165" s="205">
        <f t="shared" si="1499"/>
        <v>0</v>
      </c>
      <c r="VR165" s="207"/>
      <c r="VS165" s="207"/>
      <c r="VT165" s="207"/>
      <c r="VU165" s="207"/>
      <c r="VV165" s="207"/>
      <c r="VW165" s="272"/>
      <c r="VX165" s="272"/>
      <c r="VY165" s="205">
        <f t="shared" si="1500"/>
        <v>0</v>
      </c>
      <c r="VZ165" s="207"/>
      <c r="WA165" s="207"/>
      <c r="WB165" s="207"/>
      <c r="WC165" s="207"/>
      <c r="WD165" s="207"/>
      <c r="WE165" s="272"/>
      <c r="WF165" s="272"/>
      <c r="WG165" s="205">
        <f>SUM(WA165:WF165)</f>
        <v>0</v>
      </c>
      <c r="WH165" s="205">
        <f t="shared" si="1502"/>
        <v>0</v>
      </c>
      <c r="WI165" s="207"/>
      <c r="WJ165" s="207"/>
      <c r="WK165" s="195">
        <v>500</v>
      </c>
      <c r="WL165" s="207"/>
      <c r="WM165" s="207"/>
      <c r="WN165" s="272"/>
      <c r="WO165" s="272"/>
      <c r="WP165" s="205">
        <f t="shared" si="1503"/>
        <v>500</v>
      </c>
      <c r="WQ165" s="207"/>
      <c r="WR165" s="207"/>
      <c r="WS165" s="207"/>
      <c r="WT165" s="207"/>
      <c r="WU165" s="207"/>
      <c r="WV165" s="272"/>
      <c r="WW165" s="272"/>
      <c r="WX165" s="205">
        <f t="shared" si="1504"/>
        <v>0</v>
      </c>
      <c r="WY165" s="207"/>
      <c r="WZ165" s="207"/>
      <c r="XA165" s="207"/>
      <c r="XB165" s="207"/>
      <c r="XC165" s="272"/>
      <c r="XD165" s="272"/>
      <c r="XE165" s="272"/>
      <c r="XF165" s="205">
        <f t="shared" si="1505"/>
        <v>0</v>
      </c>
      <c r="XG165" s="207"/>
      <c r="XH165" s="207"/>
      <c r="XI165" s="120">
        <v>500</v>
      </c>
      <c r="XJ165" s="207"/>
      <c r="XK165" s="207"/>
      <c r="XL165" s="272"/>
      <c r="XM165" s="272"/>
      <c r="XN165" s="205">
        <f t="shared" si="1506"/>
        <v>500</v>
      </c>
      <c r="XO165" s="207"/>
      <c r="XP165" s="207"/>
      <c r="XQ165" s="207"/>
      <c r="XR165" s="207"/>
      <c r="XS165" s="207"/>
      <c r="XT165" s="272"/>
      <c r="XU165" s="272"/>
      <c r="XV165" s="205">
        <f t="shared" si="1507"/>
        <v>0</v>
      </c>
      <c r="XW165" s="205">
        <f t="shared" si="1508"/>
        <v>1000</v>
      </c>
      <c r="XX165" s="207"/>
      <c r="XY165" s="207"/>
      <c r="XZ165" s="207"/>
      <c r="YA165" s="207"/>
      <c r="YB165" s="207"/>
      <c r="YC165" s="272"/>
      <c r="YD165" s="272"/>
      <c r="YE165" s="205">
        <f t="shared" si="1509"/>
        <v>0</v>
      </c>
      <c r="YF165" s="207"/>
      <c r="YG165" s="207"/>
      <c r="YH165" s="207"/>
      <c r="YI165" s="207"/>
      <c r="YJ165" s="207"/>
      <c r="YK165" s="272"/>
      <c r="YL165" s="272"/>
      <c r="YM165" s="205">
        <f t="shared" si="1510"/>
        <v>0</v>
      </c>
      <c r="YN165" s="207"/>
      <c r="YO165" s="207"/>
      <c r="YP165" s="207"/>
      <c r="YQ165" s="207"/>
      <c r="YR165" s="207"/>
      <c r="YS165" s="272"/>
      <c r="YT165" s="272"/>
      <c r="YU165" s="205">
        <f t="shared" si="1511"/>
        <v>0</v>
      </c>
      <c r="YV165" s="207"/>
      <c r="YW165" s="207"/>
      <c r="YX165" s="207"/>
      <c r="YY165" s="207"/>
      <c r="YZ165" s="207"/>
      <c r="ZA165" s="272"/>
      <c r="ZB165" s="272"/>
      <c r="ZC165" s="205">
        <f t="shared" si="1512"/>
        <v>0</v>
      </c>
      <c r="ZD165" s="205">
        <f t="shared" si="1513"/>
        <v>1000</v>
      </c>
      <c r="ZE165" s="207"/>
      <c r="ZF165" s="207"/>
      <c r="ZG165" s="207"/>
      <c r="ZH165" s="207"/>
      <c r="ZI165" s="207"/>
      <c r="ZJ165" s="272"/>
      <c r="ZK165" s="272"/>
      <c r="ZL165" s="205">
        <f t="shared" si="1514"/>
        <v>0</v>
      </c>
      <c r="ZM165" s="207"/>
      <c r="ZN165" s="207"/>
      <c r="ZO165" s="207"/>
      <c r="ZP165" s="207"/>
      <c r="ZQ165" s="207"/>
      <c r="ZR165" s="272"/>
      <c r="ZS165" s="272"/>
      <c r="ZT165" s="205">
        <f t="shared" si="1515"/>
        <v>0</v>
      </c>
      <c r="ZU165" s="207"/>
      <c r="ZV165" s="207"/>
      <c r="ZW165" s="207"/>
      <c r="ZX165" s="207"/>
      <c r="ZY165" s="207"/>
      <c r="ZZ165" s="272"/>
      <c r="AAA165" s="272"/>
      <c r="AAB165" s="205">
        <f t="shared" si="1516"/>
        <v>0</v>
      </c>
      <c r="AAC165" s="207"/>
      <c r="AAD165" s="207"/>
      <c r="AAE165" s="207"/>
      <c r="AAF165" s="207"/>
      <c r="AAG165" s="207"/>
      <c r="AAH165" s="272"/>
      <c r="AAI165" s="272"/>
      <c r="AAJ165" s="205">
        <f t="shared" si="1517"/>
        <v>0</v>
      </c>
      <c r="AAK165" s="207"/>
      <c r="AAL165" s="207"/>
      <c r="AAM165" s="207"/>
      <c r="AAN165" s="207"/>
      <c r="AAO165" s="207"/>
      <c r="AAP165" s="272"/>
      <c r="AAQ165" s="272"/>
      <c r="AAR165" s="205">
        <f t="shared" si="1518"/>
        <v>0</v>
      </c>
      <c r="AAS165" s="205">
        <f t="shared" si="1519"/>
        <v>0</v>
      </c>
    </row>
    <row r="166" spans="2:721" ht="68.099999999999994" customHeight="1">
      <c r="B166" s="180" t="s">
        <v>408</v>
      </c>
      <c r="C166" s="344" t="s">
        <v>887</v>
      </c>
      <c r="D166" s="214" t="s">
        <v>389</v>
      </c>
      <c r="E166" s="130" t="s">
        <v>4</v>
      </c>
      <c r="F166" s="120"/>
      <c r="G166" s="120"/>
      <c r="H166" s="120"/>
      <c r="I166" s="120"/>
      <c r="J166" s="120"/>
      <c r="K166" s="209"/>
      <c r="L166" s="205"/>
      <c r="M166" s="205">
        <f t="shared" si="1520"/>
        <v>0</v>
      </c>
      <c r="N166" s="120"/>
      <c r="O166" s="120"/>
      <c r="P166" s="120"/>
      <c r="Q166" s="120"/>
      <c r="R166" s="120"/>
      <c r="S166" s="209"/>
      <c r="T166" s="205"/>
      <c r="U166" s="205">
        <f t="shared" si="1521"/>
        <v>0</v>
      </c>
      <c r="V166" s="120"/>
      <c r="W166" s="120"/>
      <c r="X166" s="120"/>
      <c r="Y166" s="120"/>
      <c r="Z166" s="120"/>
      <c r="AA166" s="209"/>
      <c r="AB166" s="205"/>
      <c r="AC166" s="205">
        <f t="shared" si="1522"/>
        <v>0</v>
      </c>
      <c r="AD166" s="205"/>
      <c r="AE166" s="205"/>
      <c r="AF166" s="205"/>
      <c r="AG166" s="205"/>
      <c r="AH166" s="205"/>
      <c r="AI166" s="209"/>
      <c r="AJ166" s="205"/>
      <c r="AK166" s="205">
        <f t="shared" si="1523"/>
        <v>0</v>
      </c>
      <c r="AL166" s="205" t="e">
        <f>SUM(#REF!,M166,U166,AC166,AD166:AH166)</f>
        <v>#REF!</v>
      </c>
      <c r="AM166" s="120"/>
      <c r="AN166" s="120"/>
      <c r="AO166" s="120"/>
      <c r="AP166" s="120"/>
      <c r="AQ166" s="120"/>
      <c r="AR166" s="209"/>
      <c r="AS166" s="205"/>
      <c r="AT166" s="205">
        <f t="shared" si="1524"/>
        <v>0</v>
      </c>
      <c r="AU166" s="120"/>
      <c r="AV166" s="120"/>
      <c r="AW166" s="120"/>
      <c r="AX166" s="120"/>
      <c r="AY166" s="120"/>
      <c r="AZ166" s="209"/>
      <c r="BA166" s="205"/>
      <c r="BB166" s="205">
        <f t="shared" si="1525"/>
        <v>0</v>
      </c>
      <c r="BC166" s="120"/>
      <c r="BD166" s="120"/>
      <c r="BE166" s="120"/>
      <c r="BF166" s="120"/>
      <c r="BG166" s="120"/>
      <c r="BH166" s="209"/>
      <c r="BI166" s="205"/>
      <c r="BJ166" s="205">
        <f t="shared" si="1526"/>
        <v>0</v>
      </c>
      <c r="BK166" s="120"/>
      <c r="BL166" s="120"/>
      <c r="BM166" s="120"/>
      <c r="BN166" s="120"/>
      <c r="BO166" s="205"/>
      <c r="BP166" s="209"/>
      <c r="BQ166" s="205"/>
      <c r="BR166" s="205">
        <f t="shared" si="1527"/>
        <v>0</v>
      </c>
      <c r="BS166" s="205">
        <f t="shared" si="1427"/>
        <v>0</v>
      </c>
      <c r="BT166" s="120"/>
      <c r="BU166" s="120"/>
      <c r="BV166" s="120"/>
      <c r="BW166" s="120"/>
      <c r="BX166" s="120"/>
      <c r="BY166" s="209"/>
      <c r="BZ166" s="205"/>
      <c r="CA166" s="205">
        <f t="shared" si="1528"/>
        <v>0</v>
      </c>
      <c r="CB166" s="120"/>
      <c r="CC166" s="120"/>
      <c r="CD166" s="120"/>
      <c r="CE166" s="207"/>
      <c r="CF166" s="120"/>
      <c r="CG166" s="209"/>
      <c r="CH166" s="205"/>
      <c r="CI166" s="205">
        <f t="shared" si="1529"/>
        <v>0</v>
      </c>
      <c r="CJ166" s="195">
        <v>60</v>
      </c>
      <c r="CK166" s="120"/>
      <c r="CL166" s="120"/>
      <c r="CM166" s="120"/>
      <c r="CN166" s="120"/>
      <c r="CO166" s="209"/>
      <c r="CP166" s="205"/>
      <c r="CQ166" s="205">
        <f t="shared" si="1530"/>
        <v>60</v>
      </c>
      <c r="CR166" s="120"/>
      <c r="CS166" s="120"/>
      <c r="CT166" s="120"/>
      <c r="CU166" s="120"/>
      <c r="CV166" s="120"/>
      <c r="CW166" s="209"/>
      <c r="CX166" s="205"/>
      <c r="CY166" s="205">
        <f t="shared" si="1531"/>
        <v>0</v>
      </c>
      <c r="CZ166" s="120"/>
      <c r="DA166" s="120"/>
      <c r="DB166" s="120"/>
      <c r="DC166" s="205"/>
      <c r="DD166" s="205"/>
      <c r="DE166" s="209"/>
      <c r="DF166" s="205"/>
      <c r="DG166" s="205">
        <f t="shared" si="1532"/>
        <v>0</v>
      </c>
      <c r="DH166" s="205">
        <f t="shared" si="1428"/>
        <v>60</v>
      </c>
      <c r="DI166" s="120"/>
      <c r="DJ166" s="120"/>
      <c r="DK166" s="120"/>
      <c r="DL166" s="120"/>
      <c r="DM166" s="120"/>
      <c r="DN166" s="209"/>
      <c r="DO166" s="205"/>
      <c r="DP166" s="205">
        <f t="shared" si="1432"/>
        <v>0</v>
      </c>
      <c r="DQ166" s="120"/>
      <c r="DR166" s="120"/>
      <c r="DS166" s="120"/>
      <c r="DT166" s="250">
        <v>300</v>
      </c>
      <c r="DU166" s="120"/>
      <c r="DV166" s="209"/>
      <c r="DW166" s="205"/>
      <c r="DX166" s="205">
        <f t="shared" si="1433"/>
        <v>300</v>
      </c>
      <c r="DY166" s="120"/>
      <c r="DZ166" s="120"/>
      <c r="EA166" s="120"/>
      <c r="EB166" s="120"/>
      <c r="EC166" s="250">
        <v>30</v>
      </c>
      <c r="ED166" s="209"/>
      <c r="EE166" s="205"/>
      <c r="EF166" s="205">
        <f t="shared" si="1434"/>
        <v>30</v>
      </c>
      <c r="EG166" s="120"/>
      <c r="EH166" s="120"/>
      <c r="EI166" s="120"/>
      <c r="EJ166" s="205"/>
      <c r="EK166" s="205"/>
      <c r="EL166" s="209"/>
      <c r="EM166" s="205"/>
      <c r="EN166" s="205">
        <f t="shared" si="1435"/>
        <v>0</v>
      </c>
      <c r="EO166" s="205">
        <f t="shared" si="1429"/>
        <v>330</v>
      </c>
      <c r="EP166" s="120"/>
      <c r="EQ166" s="217">
        <v>150</v>
      </c>
      <c r="ER166" s="120"/>
      <c r="ES166" s="120"/>
      <c r="ET166" s="120"/>
      <c r="EU166" s="209"/>
      <c r="EV166" s="205"/>
      <c r="EW166" s="205">
        <f t="shared" si="1436"/>
        <v>150</v>
      </c>
      <c r="EX166" s="120"/>
      <c r="EY166" s="120"/>
      <c r="EZ166" s="120"/>
      <c r="FA166" s="120"/>
      <c r="FB166" s="120"/>
      <c r="FC166" s="209"/>
      <c r="FD166" s="205"/>
      <c r="FE166" s="205">
        <f t="shared" si="1437"/>
        <v>0</v>
      </c>
      <c r="FF166" s="120"/>
      <c r="FG166" s="120"/>
      <c r="FH166" s="120"/>
      <c r="FI166" s="120"/>
      <c r="FJ166" s="120"/>
      <c r="FK166" s="209"/>
      <c r="FL166" s="205"/>
      <c r="FM166" s="205">
        <f t="shared" si="1438"/>
        <v>0</v>
      </c>
      <c r="FN166" s="120"/>
      <c r="FO166" s="120"/>
      <c r="FP166" s="120"/>
      <c r="FQ166" s="120"/>
      <c r="FR166" s="205"/>
      <c r="FS166" s="209"/>
      <c r="FT166" s="205"/>
      <c r="FU166" s="205">
        <f t="shared" si="1439"/>
        <v>0</v>
      </c>
      <c r="FV166" s="205">
        <f t="shared" si="1430"/>
        <v>150</v>
      </c>
      <c r="FW166" s="120"/>
      <c r="FX166" s="120"/>
      <c r="FY166" s="201">
        <v>30</v>
      </c>
      <c r="FZ166" s="201">
        <v>150</v>
      </c>
      <c r="GA166" s="120"/>
      <c r="GB166" s="209"/>
      <c r="GC166" s="205"/>
      <c r="GD166" s="205">
        <f t="shared" si="1440"/>
        <v>180</v>
      </c>
      <c r="GE166" s="120"/>
      <c r="GF166" s="120"/>
      <c r="GG166" s="120"/>
      <c r="GH166" s="120"/>
      <c r="GI166" s="120"/>
      <c r="GJ166" s="209"/>
      <c r="GK166" s="205"/>
      <c r="GL166" s="205">
        <f t="shared" si="1441"/>
        <v>0</v>
      </c>
      <c r="GM166" s="120"/>
      <c r="GN166" s="250">
        <v>400</v>
      </c>
      <c r="GO166" s="120"/>
      <c r="GP166" s="120"/>
      <c r="GQ166" s="120"/>
      <c r="GR166" s="209"/>
      <c r="GS166" s="205"/>
      <c r="GT166" s="205">
        <f t="shared" si="1442"/>
        <v>400</v>
      </c>
      <c r="GU166" s="120"/>
      <c r="GV166" s="120"/>
      <c r="GW166" s="120"/>
      <c r="GX166" s="120"/>
      <c r="GY166" s="120"/>
      <c r="GZ166" s="209"/>
      <c r="HA166" s="205"/>
      <c r="HB166" s="205">
        <f t="shared" si="1443"/>
        <v>0</v>
      </c>
      <c r="HC166" s="120"/>
      <c r="HD166" s="120"/>
      <c r="HE166" s="120"/>
      <c r="HF166" s="120"/>
      <c r="HG166" s="120"/>
      <c r="HH166" s="209"/>
      <c r="HI166" s="205"/>
      <c r="HJ166" s="205">
        <f t="shared" si="1444"/>
        <v>0</v>
      </c>
      <c r="HK166" s="205">
        <f t="shared" si="1431"/>
        <v>580</v>
      </c>
      <c r="HL166" s="124"/>
      <c r="HM166" s="120"/>
      <c r="HN166" s="120"/>
      <c r="HO166" s="120"/>
      <c r="HP166" s="120"/>
      <c r="HQ166" s="205"/>
      <c r="HR166" s="205"/>
      <c r="HS166" s="205">
        <f t="shared" si="1445"/>
        <v>0</v>
      </c>
      <c r="HT166" s="120"/>
      <c r="HU166" s="120"/>
      <c r="HV166" s="120"/>
      <c r="HW166" s="120"/>
      <c r="HX166" s="120"/>
      <c r="HY166" s="205"/>
      <c r="HZ166" s="205"/>
      <c r="IA166" s="205">
        <f t="shared" si="1446"/>
        <v>0</v>
      </c>
      <c r="IB166" s="120"/>
      <c r="IC166" s="120"/>
      <c r="ID166" s="120"/>
      <c r="IE166" s="120"/>
      <c r="IF166" s="120"/>
      <c r="IG166" s="205"/>
      <c r="IH166" s="205"/>
      <c r="II166" s="205">
        <f t="shared" si="1447"/>
        <v>0</v>
      </c>
      <c r="IJ166" s="120"/>
      <c r="IK166" s="120"/>
      <c r="IL166" s="201">
        <v>200</v>
      </c>
      <c r="IM166" s="120"/>
      <c r="IN166" s="120"/>
      <c r="IO166" s="205"/>
      <c r="IP166" s="205"/>
      <c r="IQ166" s="205">
        <f t="shared" si="1448"/>
        <v>200</v>
      </c>
      <c r="IR166" s="205">
        <f t="shared" si="1449"/>
        <v>200</v>
      </c>
      <c r="IS166" s="120"/>
      <c r="IT166" s="120"/>
      <c r="IU166" s="120"/>
      <c r="IV166" s="120"/>
      <c r="IW166" s="120"/>
      <c r="IX166" s="205"/>
      <c r="IY166" s="205"/>
      <c r="IZ166" s="205">
        <f t="shared" si="1450"/>
        <v>0</v>
      </c>
      <c r="JA166" s="120"/>
      <c r="JB166" s="120"/>
      <c r="JC166" s="120"/>
      <c r="JD166" s="120"/>
      <c r="JE166" s="120"/>
      <c r="JF166" s="205"/>
      <c r="JG166" s="205"/>
      <c r="JH166" s="205">
        <f t="shared" si="1451"/>
        <v>0</v>
      </c>
      <c r="JI166" s="120"/>
      <c r="JJ166" s="120"/>
      <c r="JK166" s="120"/>
      <c r="JL166" s="120"/>
      <c r="JM166" s="120"/>
      <c r="JN166" s="205"/>
      <c r="JO166" s="205"/>
      <c r="JP166" s="205">
        <f t="shared" si="1452"/>
        <v>0</v>
      </c>
      <c r="JQ166" s="120"/>
      <c r="JR166" s="120"/>
      <c r="JS166" s="120"/>
      <c r="JT166" s="120"/>
      <c r="JU166" s="120"/>
      <c r="JV166" s="205"/>
      <c r="JW166" s="205"/>
      <c r="JX166" s="205">
        <f t="shared" si="1453"/>
        <v>0</v>
      </c>
      <c r="JY166" s="205">
        <f t="shared" si="1454"/>
        <v>0</v>
      </c>
      <c r="JZ166" s="120"/>
      <c r="KA166" s="120"/>
      <c r="KB166" s="217">
        <v>100</v>
      </c>
      <c r="KC166" s="120"/>
      <c r="KD166" s="120"/>
      <c r="KE166" s="205"/>
      <c r="KF166" s="205"/>
      <c r="KG166" s="205">
        <f t="shared" si="1455"/>
        <v>100</v>
      </c>
      <c r="KH166" s="120"/>
      <c r="KI166" s="120"/>
      <c r="KJ166" s="120"/>
      <c r="KK166" s="120"/>
      <c r="KL166" s="120"/>
      <c r="KM166" s="205"/>
      <c r="KN166" s="205"/>
      <c r="KO166" s="205">
        <f t="shared" si="1456"/>
        <v>0</v>
      </c>
      <c r="KP166" s="120"/>
      <c r="KQ166" s="120"/>
      <c r="KR166" s="120"/>
      <c r="KS166" s="120"/>
      <c r="KT166" s="120"/>
      <c r="KU166" s="205"/>
      <c r="KV166" s="205"/>
      <c r="KW166" s="205">
        <f t="shared" si="1457"/>
        <v>0</v>
      </c>
      <c r="KX166" s="120"/>
      <c r="KY166" s="120"/>
      <c r="KZ166" s="120"/>
      <c r="LA166" s="120"/>
      <c r="LB166" s="120"/>
      <c r="LC166" s="205"/>
      <c r="LD166" s="205"/>
      <c r="LE166" s="205">
        <f t="shared" si="1458"/>
        <v>0</v>
      </c>
      <c r="LF166" s="205"/>
      <c r="LG166" s="120"/>
      <c r="LH166" s="120"/>
      <c r="LI166" s="120"/>
      <c r="LJ166" s="217">
        <v>300</v>
      </c>
      <c r="LK166" s="205"/>
      <c r="LL166" s="205"/>
      <c r="LM166" s="205">
        <f t="shared" si="1459"/>
        <v>300</v>
      </c>
      <c r="LN166" s="205">
        <f t="shared" si="1460"/>
        <v>100</v>
      </c>
      <c r="LO166" s="205"/>
      <c r="LP166" s="120"/>
      <c r="LQ166" s="120"/>
      <c r="LR166" s="120"/>
      <c r="LS166" s="205"/>
      <c r="LT166" s="205"/>
      <c r="LU166" s="205"/>
      <c r="LV166" s="205">
        <f t="shared" si="1461"/>
        <v>0</v>
      </c>
      <c r="LW166" s="120"/>
      <c r="LX166" s="120"/>
      <c r="LY166" s="120"/>
      <c r="LZ166" s="120"/>
      <c r="MA166" s="120"/>
      <c r="MB166" s="205"/>
      <c r="MC166" s="205"/>
      <c r="MD166" s="205">
        <f t="shared" si="1462"/>
        <v>0</v>
      </c>
      <c r="ME166" s="120"/>
      <c r="MF166" s="120"/>
      <c r="MG166" s="120"/>
      <c r="MH166" s="120"/>
      <c r="MI166" s="205"/>
      <c r="MJ166" s="205"/>
      <c r="MK166" s="205"/>
      <c r="ML166" s="205">
        <f t="shared" si="1463"/>
        <v>0</v>
      </c>
      <c r="MM166" s="120"/>
      <c r="MN166" s="120"/>
      <c r="MO166" s="217">
        <v>100</v>
      </c>
      <c r="MP166" s="120"/>
      <c r="MQ166" s="120"/>
      <c r="MR166" s="205"/>
      <c r="MS166" s="205"/>
      <c r="MT166" s="205">
        <f t="shared" si="1464"/>
        <v>100</v>
      </c>
      <c r="MU166" s="205">
        <f t="shared" si="1465"/>
        <v>400</v>
      </c>
      <c r="MV166" s="120"/>
      <c r="MW166" s="120"/>
      <c r="MX166" s="120"/>
      <c r="MY166" s="120"/>
      <c r="MZ166" s="120"/>
      <c r="NA166" s="205"/>
      <c r="NB166" s="205"/>
      <c r="NC166" s="205">
        <f t="shared" si="1466"/>
        <v>0</v>
      </c>
      <c r="ND166" s="120"/>
      <c r="NE166" s="120"/>
      <c r="NF166" s="120"/>
      <c r="NG166" s="120"/>
      <c r="NH166" s="120"/>
      <c r="NI166" s="205"/>
      <c r="NJ166" s="205"/>
      <c r="NK166" s="205">
        <f t="shared" si="1467"/>
        <v>0</v>
      </c>
      <c r="NL166" s="120"/>
      <c r="NM166" s="120"/>
      <c r="NN166" s="120"/>
      <c r="NO166" s="120"/>
      <c r="NP166" s="120"/>
      <c r="NQ166" s="205"/>
      <c r="NR166" s="205"/>
      <c r="NS166" s="205">
        <f t="shared" si="1468"/>
        <v>0</v>
      </c>
      <c r="NT166" s="120"/>
      <c r="NU166" s="120"/>
      <c r="NV166" s="120"/>
      <c r="NW166" s="120"/>
      <c r="NX166" s="120"/>
      <c r="NY166" s="205"/>
      <c r="NZ166" s="205"/>
      <c r="OA166" s="205">
        <f t="shared" si="1469"/>
        <v>0</v>
      </c>
      <c r="OB166" s="205">
        <f t="shared" si="1470"/>
        <v>0</v>
      </c>
      <c r="OC166" s="120"/>
      <c r="OD166" s="120"/>
      <c r="OE166" s="120"/>
      <c r="OF166" s="120"/>
      <c r="OG166" s="120"/>
      <c r="OH166" s="205"/>
      <c r="OI166" s="205"/>
      <c r="OJ166" s="205">
        <f t="shared" si="1471"/>
        <v>0</v>
      </c>
      <c r="OK166" s="120"/>
      <c r="OL166" s="120"/>
      <c r="OM166" s="120"/>
      <c r="ON166" s="207"/>
      <c r="OO166" s="120"/>
      <c r="OP166" s="205"/>
      <c r="OQ166" s="205"/>
      <c r="OR166" s="205">
        <f t="shared" si="1472"/>
        <v>0</v>
      </c>
      <c r="OS166" s="120"/>
      <c r="OT166" s="120"/>
      <c r="OU166" s="120"/>
      <c r="OV166" s="120"/>
      <c r="OW166" s="120"/>
      <c r="OX166" s="205"/>
      <c r="OY166" s="205"/>
      <c r="OZ166" s="205">
        <f t="shared" si="1473"/>
        <v>0</v>
      </c>
      <c r="PA166" s="120"/>
      <c r="PB166" s="120"/>
      <c r="PC166" s="120"/>
      <c r="PD166" s="205"/>
      <c r="PE166" s="217"/>
      <c r="PF166" s="205"/>
      <c r="PG166" s="205"/>
      <c r="PH166" s="205">
        <f t="shared" si="1474"/>
        <v>0</v>
      </c>
      <c r="PI166" s="195">
        <v>100</v>
      </c>
      <c r="PJ166" s="120"/>
      <c r="PK166" s="120"/>
      <c r="PL166" s="205"/>
      <c r="PM166" s="217"/>
      <c r="PN166" s="205"/>
      <c r="PO166" s="205"/>
      <c r="PP166" s="205">
        <f t="shared" si="1475"/>
        <v>100</v>
      </c>
      <c r="PQ166" s="205">
        <f t="shared" si="1476"/>
        <v>100</v>
      </c>
      <c r="PR166" s="207"/>
      <c r="PS166" s="207"/>
      <c r="PT166" s="207"/>
      <c r="PU166" s="207"/>
      <c r="PV166" s="207"/>
      <c r="PW166" s="272"/>
      <c r="PX166" s="272"/>
      <c r="PY166" s="205">
        <f t="shared" si="1477"/>
        <v>0</v>
      </c>
      <c r="PZ166" s="120"/>
      <c r="QA166" s="207"/>
      <c r="QB166" s="207"/>
      <c r="QC166" s="207"/>
      <c r="QD166" s="207"/>
      <c r="QE166" s="272"/>
      <c r="QF166" s="272"/>
      <c r="QG166" s="205">
        <f t="shared" si="1478"/>
        <v>0</v>
      </c>
      <c r="QH166" s="207"/>
      <c r="QI166" s="207"/>
      <c r="QJ166" s="294"/>
      <c r="QK166" s="207"/>
      <c r="QL166" s="207"/>
      <c r="QM166" s="272"/>
      <c r="QN166" s="272"/>
      <c r="QO166" s="205">
        <f t="shared" si="1479"/>
        <v>0</v>
      </c>
      <c r="QP166" s="207"/>
      <c r="QQ166" s="207"/>
      <c r="QR166" s="207"/>
      <c r="QS166" s="207"/>
      <c r="QT166" s="207"/>
      <c r="QU166" s="272"/>
      <c r="QV166" s="272"/>
      <c r="QW166" s="205">
        <f t="shared" si="1480"/>
        <v>0</v>
      </c>
      <c r="QX166" s="205">
        <f t="shared" si="1567"/>
        <v>0</v>
      </c>
      <c r="QY166" s="207"/>
      <c r="QZ166" s="207"/>
      <c r="RA166" s="207"/>
      <c r="RB166" s="207"/>
      <c r="RC166" s="207"/>
      <c r="RD166" s="272"/>
      <c r="RE166" s="272"/>
      <c r="RF166" s="205">
        <f t="shared" si="1482"/>
        <v>0</v>
      </c>
      <c r="RG166" s="207"/>
      <c r="RH166" s="207"/>
      <c r="RI166" s="207"/>
      <c r="RJ166" s="207"/>
      <c r="RK166" s="207"/>
      <c r="RL166" s="272"/>
      <c r="RM166" s="272"/>
      <c r="RN166" s="205">
        <f t="shared" si="1483"/>
        <v>0</v>
      </c>
      <c r="RO166" s="272"/>
      <c r="RP166" s="272"/>
      <c r="RQ166" s="272"/>
      <c r="RR166" s="272"/>
      <c r="RS166" s="272"/>
      <c r="RT166" s="272"/>
      <c r="RU166" s="272"/>
      <c r="RV166" s="205">
        <f t="shared" si="1484"/>
        <v>0</v>
      </c>
      <c r="RW166" s="207"/>
      <c r="RX166" s="207"/>
      <c r="RY166" s="207"/>
      <c r="RZ166" s="207"/>
      <c r="SA166" s="272"/>
      <c r="SB166" s="272"/>
      <c r="SC166" s="272"/>
      <c r="SD166" s="205">
        <f t="shared" si="1485"/>
        <v>0</v>
      </c>
      <c r="SE166" s="205">
        <f t="shared" si="1486"/>
        <v>0</v>
      </c>
      <c r="SF166" s="207"/>
      <c r="SG166" s="207"/>
      <c r="SH166" s="207"/>
      <c r="SI166" s="120"/>
      <c r="SJ166" s="207"/>
      <c r="SK166" s="272"/>
      <c r="SL166" s="272"/>
      <c r="SM166" s="205">
        <f t="shared" si="1487"/>
        <v>0</v>
      </c>
      <c r="SN166" s="207"/>
      <c r="SO166" s="207"/>
      <c r="SP166" s="207"/>
      <c r="SQ166" s="207"/>
      <c r="SR166" s="207"/>
      <c r="SS166" s="272"/>
      <c r="ST166" s="272"/>
      <c r="SU166" s="205">
        <f t="shared" si="1488"/>
        <v>0</v>
      </c>
      <c r="SV166" s="217">
        <v>40</v>
      </c>
      <c r="SW166" s="207"/>
      <c r="SX166" s="207"/>
      <c r="SY166" s="207"/>
      <c r="SZ166" s="207"/>
      <c r="TA166" s="272"/>
      <c r="TB166" s="272"/>
      <c r="TC166" s="205">
        <f t="shared" si="1489"/>
        <v>40</v>
      </c>
      <c r="TD166" s="207"/>
      <c r="TE166" s="207"/>
      <c r="TF166" s="207"/>
      <c r="TG166" s="207"/>
      <c r="TH166" s="207"/>
      <c r="TI166" s="272"/>
      <c r="TJ166" s="272"/>
      <c r="TK166" s="205">
        <f t="shared" si="1490"/>
        <v>0</v>
      </c>
      <c r="TL166" s="207"/>
      <c r="TM166" s="207"/>
      <c r="TN166" s="207"/>
      <c r="TO166" s="207"/>
      <c r="TP166" s="272"/>
      <c r="TQ166" s="272"/>
      <c r="TR166" s="272"/>
      <c r="TS166" s="205">
        <f t="shared" si="1491"/>
        <v>0</v>
      </c>
      <c r="TT166" s="205">
        <f t="shared" si="1492"/>
        <v>40</v>
      </c>
      <c r="TU166" s="272"/>
      <c r="TV166" s="207"/>
      <c r="TW166" s="207"/>
      <c r="TX166" s="207"/>
      <c r="TY166" s="207"/>
      <c r="TZ166" s="272"/>
      <c r="UA166" s="272"/>
      <c r="UB166" s="205">
        <f t="shared" si="1493"/>
        <v>0</v>
      </c>
      <c r="UC166" s="207"/>
      <c r="UD166" s="207"/>
      <c r="UE166" s="207"/>
      <c r="UF166" s="207"/>
      <c r="UG166" s="207"/>
      <c r="UH166" s="272"/>
      <c r="UI166" s="272"/>
      <c r="UJ166" s="205">
        <f t="shared" si="1494"/>
        <v>0</v>
      </c>
      <c r="UK166" s="207"/>
      <c r="UL166" s="207"/>
      <c r="UM166" s="120"/>
      <c r="UN166" s="207"/>
      <c r="UO166" s="207"/>
      <c r="UP166" s="272"/>
      <c r="UQ166" s="272"/>
      <c r="UR166" s="205">
        <f t="shared" si="1495"/>
        <v>0</v>
      </c>
      <c r="US166" s="207"/>
      <c r="UT166" s="207"/>
      <c r="UU166" s="207"/>
      <c r="UV166" s="207"/>
      <c r="UW166" s="272"/>
      <c r="UX166" s="272"/>
      <c r="UY166" s="272"/>
      <c r="UZ166" s="205">
        <f t="shared" si="1496"/>
        <v>0</v>
      </c>
      <c r="VA166" s="205">
        <f t="shared" si="1497"/>
        <v>0</v>
      </c>
      <c r="VB166" s="207"/>
      <c r="VC166" s="207"/>
      <c r="VD166" s="207"/>
      <c r="VE166" s="207"/>
      <c r="VF166" s="207"/>
      <c r="VG166" s="272"/>
      <c r="VH166" s="272"/>
      <c r="VI166" s="205">
        <f t="shared" si="1498"/>
        <v>0</v>
      </c>
      <c r="VJ166" s="207"/>
      <c r="VK166" s="207"/>
      <c r="VL166" s="207"/>
      <c r="VM166" s="207"/>
      <c r="VN166" s="207"/>
      <c r="VO166" s="272"/>
      <c r="VP166" s="272"/>
      <c r="VQ166" s="205">
        <f t="shared" si="1499"/>
        <v>0</v>
      </c>
      <c r="VR166" s="207"/>
      <c r="VS166" s="207"/>
      <c r="VT166" s="207"/>
      <c r="VU166" s="207"/>
      <c r="VV166" s="207"/>
      <c r="VW166" s="272"/>
      <c r="VX166" s="272"/>
      <c r="VY166" s="205">
        <f t="shared" si="1500"/>
        <v>0</v>
      </c>
      <c r="VZ166" s="207"/>
      <c r="WA166" s="207"/>
      <c r="WB166" s="207"/>
      <c r="WC166" s="207"/>
      <c r="WD166" s="207"/>
      <c r="WE166" s="272"/>
      <c r="WF166" s="272"/>
      <c r="WG166" s="205">
        <f t="shared" si="1501"/>
        <v>0</v>
      </c>
      <c r="WH166" s="205">
        <f t="shared" si="1502"/>
        <v>0</v>
      </c>
      <c r="WI166" s="207"/>
      <c r="WJ166" s="207"/>
      <c r="WK166" s="207"/>
      <c r="WL166" s="207"/>
      <c r="WM166" s="207"/>
      <c r="WN166" s="272"/>
      <c r="WO166" s="272"/>
      <c r="WP166" s="205">
        <f t="shared" si="1503"/>
        <v>0</v>
      </c>
      <c r="WQ166" s="207"/>
      <c r="WR166" s="207"/>
      <c r="WS166" s="207"/>
      <c r="WT166" s="207"/>
      <c r="WU166" s="207"/>
      <c r="WV166" s="272"/>
      <c r="WW166" s="272"/>
      <c r="WX166" s="205">
        <f t="shared" si="1504"/>
        <v>0</v>
      </c>
      <c r="WY166" s="207"/>
      <c r="WZ166" s="207"/>
      <c r="XA166" s="207"/>
      <c r="XB166" s="207"/>
      <c r="XC166" s="272"/>
      <c r="XD166" s="272"/>
      <c r="XE166" s="272"/>
      <c r="XF166" s="205">
        <f t="shared" si="1505"/>
        <v>0</v>
      </c>
      <c r="XG166" s="207"/>
      <c r="XH166" s="207"/>
      <c r="XI166" s="207"/>
      <c r="XJ166" s="207"/>
      <c r="XK166" s="207"/>
      <c r="XL166" s="272"/>
      <c r="XM166" s="272"/>
      <c r="XN166" s="205">
        <f t="shared" si="1506"/>
        <v>0</v>
      </c>
      <c r="XO166" s="207"/>
      <c r="XP166" s="207"/>
      <c r="XQ166" s="207"/>
      <c r="XR166" s="207"/>
      <c r="XS166" s="207"/>
      <c r="XT166" s="272"/>
      <c r="XU166" s="272"/>
      <c r="XV166" s="205">
        <f t="shared" si="1507"/>
        <v>0</v>
      </c>
      <c r="XW166" s="205">
        <f t="shared" si="1508"/>
        <v>0</v>
      </c>
      <c r="XX166" s="207"/>
      <c r="XY166" s="207"/>
      <c r="XZ166" s="207"/>
      <c r="YA166" s="207"/>
      <c r="YB166" s="207"/>
      <c r="YC166" s="272"/>
      <c r="YD166" s="272"/>
      <c r="YE166" s="205">
        <f t="shared" si="1509"/>
        <v>0</v>
      </c>
      <c r="YF166" s="207"/>
      <c r="YG166" s="207"/>
      <c r="YH166" s="207"/>
      <c r="YI166" s="207"/>
      <c r="YJ166" s="207"/>
      <c r="YK166" s="272"/>
      <c r="YL166" s="272"/>
      <c r="YM166" s="205">
        <f t="shared" si="1510"/>
        <v>0</v>
      </c>
      <c r="YN166" s="207"/>
      <c r="YO166" s="207"/>
      <c r="YP166" s="207"/>
      <c r="YQ166" s="207"/>
      <c r="YR166" s="207"/>
      <c r="YS166" s="272"/>
      <c r="YT166" s="272"/>
      <c r="YU166" s="205">
        <f t="shared" si="1511"/>
        <v>0</v>
      </c>
      <c r="YV166" s="207"/>
      <c r="YW166" s="207"/>
      <c r="YX166" s="207"/>
      <c r="YY166" s="207"/>
      <c r="YZ166" s="207"/>
      <c r="ZA166" s="272"/>
      <c r="ZB166" s="272"/>
      <c r="ZC166" s="205">
        <f t="shared" si="1512"/>
        <v>0</v>
      </c>
      <c r="ZD166" s="205">
        <f t="shared" si="1513"/>
        <v>0</v>
      </c>
      <c r="ZE166" s="207"/>
      <c r="ZF166" s="207"/>
      <c r="ZG166" s="207"/>
      <c r="ZH166" s="207"/>
      <c r="ZI166" s="207"/>
      <c r="ZJ166" s="272"/>
      <c r="ZK166" s="272"/>
      <c r="ZL166" s="205">
        <f t="shared" si="1514"/>
        <v>0</v>
      </c>
      <c r="ZM166" s="207"/>
      <c r="ZN166" s="207"/>
      <c r="ZO166" s="207"/>
      <c r="ZP166" s="207"/>
      <c r="ZQ166" s="207"/>
      <c r="ZR166" s="272"/>
      <c r="ZS166" s="272"/>
      <c r="ZT166" s="205">
        <f t="shared" si="1515"/>
        <v>0</v>
      </c>
      <c r="ZU166" s="207"/>
      <c r="ZV166" s="207"/>
      <c r="ZW166" s="207"/>
      <c r="ZX166" s="207"/>
      <c r="ZY166" s="207"/>
      <c r="ZZ166" s="272"/>
      <c r="AAA166" s="272"/>
      <c r="AAB166" s="205">
        <f t="shared" si="1516"/>
        <v>0</v>
      </c>
      <c r="AAC166" s="207"/>
      <c r="AAD166" s="207"/>
      <c r="AAE166" s="207"/>
      <c r="AAF166" s="207"/>
      <c r="AAG166" s="207"/>
      <c r="AAH166" s="272"/>
      <c r="AAI166" s="272"/>
      <c r="AAJ166" s="205">
        <f t="shared" si="1517"/>
        <v>0</v>
      </c>
      <c r="AAK166" s="207"/>
      <c r="AAL166" s="207"/>
      <c r="AAM166" s="207"/>
      <c r="AAN166" s="207"/>
      <c r="AAO166" s="207"/>
      <c r="AAP166" s="272"/>
      <c r="AAQ166" s="272"/>
      <c r="AAR166" s="205">
        <f t="shared" si="1518"/>
        <v>0</v>
      </c>
      <c r="AAS166" s="205">
        <f t="shared" si="1519"/>
        <v>0</v>
      </c>
    </row>
    <row r="167" spans="2:721" ht="69.95" customHeight="1">
      <c r="B167" s="180" t="s">
        <v>399</v>
      </c>
      <c r="C167" s="344" t="s">
        <v>887</v>
      </c>
      <c r="D167" s="213" t="s">
        <v>400</v>
      </c>
      <c r="E167" s="130" t="s">
        <v>4</v>
      </c>
      <c r="F167" s="201">
        <v>500</v>
      </c>
      <c r="G167" s="120"/>
      <c r="H167" s="120"/>
      <c r="I167" s="124">
        <v>500</v>
      </c>
      <c r="J167" s="120"/>
      <c r="K167" s="209"/>
      <c r="L167" s="205"/>
      <c r="M167" s="205">
        <f t="shared" si="1520"/>
        <v>1000</v>
      </c>
      <c r="N167" s="120"/>
      <c r="O167" s="123">
        <v>200</v>
      </c>
      <c r="P167" s="120"/>
      <c r="Q167" s="120"/>
      <c r="R167" s="120"/>
      <c r="S167" s="209"/>
      <c r="T167" s="205"/>
      <c r="U167" s="205">
        <f t="shared" si="1521"/>
        <v>200</v>
      </c>
      <c r="V167" s="120"/>
      <c r="W167" s="120"/>
      <c r="X167" s="120"/>
      <c r="Y167" s="120"/>
      <c r="Z167" s="120"/>
      <c r="AA167" s="209"/>
      <c r="AB167" s="205"/>
      <c r="AC167" s="205">
        <f t="shared" si="1522"/>
        <v>0</v>
      </c>
      <c r="AD167" s="205"/>
      <c r="AE167" s="205"/>
      <c r="AF167" s="205"/>
      <c r="AG167" s="205"/>
      <c r="AH167" s="205"/>
      <c r="AI167" s="209"/>
      <c r="AJ167" s="205"/>
      <c r="AK167" s="205">
        <f t="shared" si="1523"/>
        <v>0</v>
      </c>
      <c r="AL167" s="205" t="e">
        <f>SUM(#REF!,M167,U167,AC167,AD167:AH167)</f>
        <v>#REF!</v>
      </c>
      <c r="AM167" s="120"/>
      <c r="AN167" s="124">
        <v>500</v>
      </c>
      <c r="AO167" s="120"/>
      <c r="AP167" s="120"/>
      <c r="AQ167" s="120"/>
      <c r="AR167" s="209"/>
      <c r="AS167" s="205"/>
      <c r="AT167" s="205">
        <f t="shared" si="1524"/>
        <v>500</v>
      </c>
      <c r="AU167" s="120"/>
      <c r="AV167" s="201">
        <v>300</v>
      </c>
      <c r="AW167" s="201">
        <v>300</v>
      </c>
      <c r="AX167" s="120"/>
      <c r="AY167" s="120"/>
      <c r="AZ167" s="209"/>
      <c r="BA167" s="205"/>
      <c r="BB167" s="205">
        <f t="shared" si="1525"/>
        <v>600</v>
      </c>
      <c r="BC167" s="120"/>
      <c r="BD167" s="120"/>
      <c r="BE167" s="120"/>
      <c r="BF167" s="120"/>
      <c r="BG167" s="120"/>
      <c r="BH167" s="209"/>
      <c r="BI167" s="205"/>
      <c r="BJ167" s="205">
        <f t="shared" si="1526"/>
        <v>0</v>
      </c>
      <c r="BK167" s="120"/>
      <c r="BL167" s="120"/>
      <c r="BM167" s="120"/>
      <c r="BN167" s="120"/>
      <c r="BO167" s="205"/>
      <c r="BP167" s="209"/>
      <c r="BQ167" s="205"/>
      <c r="BR167" s="205">
        <f t="shared" si="1527"/>
        <v>0</v>
      </c>
      <c r="BS167" s="205">
        <f t="shared" si="1427"/>
        <v>1100</v>
      </c>
      <c r="BT167" s="120"/>
      <c r="BU167" s="120"/>
      <c r="BV167" s="250">
        <v>500</v>
      </c>
      <c r="BW167" s="120"/>
      <c r="BX167" s="120"/>
      <c r="BY167" s="209"/>
      <c r="BZ167" s="205"/>
      <c r="CA167" s="205">
        <f t="shared" si="1528"/>
        <v>500</v>
      </c>
      <c r="CB167" s="120"/>
      <c r="CC167" s="120"/>
      <c r="CD167" s="120"/>
      <c r="CE167" s="207"/>
      <c r="CF167" s="120"/>
      <c r="CG167" s="209"/>
      <c r="CH167" s="205"/>
      <c r="CI167" s="205">
        <f t="shared" si="1529"/>
        <v>0</v>
      </c>
      <c r="CJ167" s="120"/>
      <c r="CK167" s="120"/>
      <c r="CL167" s="120"/>
      <c r="CM167" s="120"/>
      <c r="CN167" s="120"/>
      <c r="CO167" s="209"/>
      <c r="CP167" s="205"/>
      <c r="CQ167" s="205">
        <f t="shared" si="1530"/>
        <v>0</v>
      </c>
      <c r="CR167" s="120"/>
      <c r="CS167" s="250">
        <v>500</v>
      </c>
      <c r="CT167" s="120"/>
      <c r="CU167" s="123">
        <v>450</v>
      </c>
      <c r="CV167" s="120"/>
      <c r="CW167" s="209"/>
      <c r="CX167" s="205"/>
      <c r="CY167" s="205">
        <f t="shared" si="1531"/>
        <v>950</v>
      </c>
      <c r="CZ167" s="120"/>
      <c r="DA167" s="120"/>
      <c r="DB167" s="120"/>
      <c r="DC167" s="205"/>
      <c r="DD167" s="205"/>
      <c r="DE167" s="209"/>
      <c r="DF167" s="205"/>
      <c r="DG167" s="205">
        <f t="shared" si="1532"/>
        <v>0</v>
      </c>
      <c r="DH167" s="205">
        <f t="shared" si="1428"/>
        <v>1450</v>
      </c>
      <c r="DI167" s="250">
        <v>500</v>
      </c>
      <c r="DJ167" s="120"/>
      <c r="DK167" s="120"/>
      <c r="DL167" s="120"/>
      <c r="DM167" s="120"/>
      <c r="DN167" s="209"/>
      <c r="DO167" s="205"/>
      <c r="DP167" s="205">
        <f t="shared" si="1432"/>
        <v>500</v>
      </c>
      <c r="DQ167" s="120"/>
      <c r="DR167" s="120"/>
      <c r="DS167" s="250">
        <v>500</v>
      </c>
      <c r="DT167" s="120"/>
      <c r="DU167" s="120"/>
      <c r="DV167" s="209"/>
      <c r="DW167" s="205"/>
      <c r="DX167" s="205">
        <f t="shared" si="1433"/>
        <v>500</v>
      </c>
      <c r="DY167" s="120"/>
      <c r="DZ167" s="250">
        <v>400</v>
      </c>
      <c r="EA167" s="120"/>
      <c r="EB167" s="120"/>
      <c r="EC167" s="120"/>
      <c r="ED167" s="209"/>
      <c r="EE167" s="205"/>
      <c r="EF167" s="205">
        <f t="shared" si="1434"/>
        <v>400</v>
      </c>
      <c r="EG167" s="217">
        <v>400</v>
      </c>
      <c r="EH167" s="250">
        <v>500</v>
      </c>
      <c r="EI167" s="120"/>
      <c r="EJ167" s="205"/>
      <c r="EK167" s="205"/>
      <c r="EL167" s="209"/>
      <c r="EM167" s="205"/>
      <c r="EN167" s="205">
        <f t="shared" si="1435"/>
        <v>900</v>
      </c>
      <c r="EO167" s="205">
        <f t="shared" si="1429"/>
        <v>2300</v>
      </c>
      <c r="EP167" s="120"/>
      <c r="EQ167" s="120"/>
      <c r="ER167" s="120"/>
      <c r="ES167" s="120"/>
      <c r="ET167" s="120"/>
      <c r="EU167" s="209"/>
      <c r="EV167" s="205"/>
      <c r="EW167" s="205">
        <f t="shared" si="1436"/>
        <v>0</v>
      </c>
      <c r="EX167" s="120"/>
      <c r="EY167" s="120"/>
      <c r="EZ167" s="250">
        <v>500</v>
      </c>
      <c r="FA167" s="120"/>
      <c r="FB167" s="120"/>
      <c r="FC167" s="209"/>
      <c r="FD167" s="205"/>
      <c r="FE167" s="205">
        <f t="shared" si="1437"/>
        <v>500</v>
      </c>
      <c r="FF167" s="120"/>
      <c r="FG167" s="120"/>
      <c r="FH167" s="120"/>
      <c r="FI167" s="120"/>
      <c r="FJ167" s="120"/>
      <c r="FK167" s="209"/>
      <c r="FL167" s="205"/>
      <c r="FM167" s="205">
        <f t="shared" si="1438"/>
        <v>0</v>
      </c>
      <c r="FN167" s="120"/>
      <c r="FO167" s="124">
        <v>500</v>
      </c>
      <c r="FP167" s="120"/>
      <c r="FQ167" s="120"/>
      <c r="FR167" s="205"/>
      <c r="FS167" s="209"/>
      <c r="FT167" s="205"/>
      <c r="FU167" s="205">
        <f t="shared" si="1439"/>
        <v>500</v>
      </c>
      <c r="FV167" s="205">
        <f t="shared" si="1430"/>
        <v>1000</v>
      </c>
      <c r="FW167" s="250">
        <v>500</v>
      </c>
      <c r="FX167" s="120"/>
      <c r="FY167" s="120"/>
      <c r="FZ167" s="120"/>
      <c r="GA167" s="120"/>
      <c r="GB167" s="209"/>
      <c r="GC167" s="205"/>
      <c r="GD167" s="205">
        <f t="shared" si="1440"/>
        <v>500</v>
      </c>
      <c r="GE167" s="120"/>
      <c r="GF167" s="120"/>
      <c r="GG167" s="120"/>
      <c r="GH167" s="120"/>
      <c r="GI167" s="120"/>
      <c r="GJ167" s="209"/>
      <c r="GK167" s="205"/>
      <c r="GL167" s="205">
        <f t="shared" si="1441"/>
        <v>0</v>
      </c>
      <c r="GM167" s="250">
        <v>400</v>
      </c>
      <c r="GN167" s="250">
        <v>300</v>
      </c>
      <c r="GO167" s="120"/>
      <c r="GP167" s="120"/>
      <c r="GQ167" s="120"/>
      <c r="GR167" s="209"/>
      <c r="GS167" s="205"/>
      <c r="GT167" s="205">
        <f>SUM(GM167:GS167)</f>
        <v>700</v>
      </c>
      <c r="GU167" s="120"/>
      <c r="GV167" s="120"/>
      <c r="GW167" s="120"/>
      <c r="GX167" s="120"/>
      <c r="GY167" s="120"/>
      <c r="GZ167" s="209"/>
      <c r="HA167" s="205"/>
      <c r="HB167" s="205">
        <f t="shared" si="1443"/>
        <v>0</v>
      </c>
      <c r="HC167" s="120"/>
      <c r="HD167" s="120"/>
      <c r="HE167" s="120"/>
      <c r="HF167" s="195">
        <v>500</v>
      </c>
      <c r="HG167" s="195">
        <v>400</v>
      </c>
      <c r="HH167" s="209"/>
      <c r="HI167" s="205"/>
      <c r="HJ167" s="205">
        <f t="shared" si="1444"/>
        <v>900</v>
      </c>
      <c r="HK167" s="205">
        <f t="shared" si="1431"/>
        <v>1200</v>
      </c>
      <c r="HL167" s="124"/>
      <c r="HM167" s="120"/>
      <c r="HN167" s="120"/>
      <c r="HO167" s="120"/>
      <c r="HP167" s="120"/>
      <c r="HQ167" s="205"/>
      <c r="HR167" s="205"/>
      <c r="HS167" s="205">
        <f t="shared" si="1445"/>
        <v>0</v>
      </c>
      <c r="HT167" s="120"/>
      <c r="HU167" s="120"/>
      <c r="HV167" s="120"/>
      <c r="HW167" s="120"/>
      <c r="HX167" s="120"/>
      <c r="HY167" s="205"/>
      <c r="HZ167" s="205"/>
      <c r="IA167" s="205">
        <f t="shared" si="1446"/>
        <v>0</v>
      </c>
      <c r="IB167" s="120"/>
      <c r="IC167" s="120"/>
      <c r="ID167" s="120"/>
      <c r="IE167" s="250">
        <v>500</v>
      </c>
      <c r="IF167" s="250">
        <v>400</v>
      </c>
      <c r="IG167" s="205"/>
      <c r="IH167" s="205"/>
      <c r="II167" s="205">
        <f t="shared" si="1447"/>
        <v>900</v>
      </c>
      <c r="IJ167" s="120"/>
      <c r="IK167" s="120"/>
      <c r="IL167" s="120"/>
      <c r="IM167" s="120"/>
      <c r="IN167" s="120"/>
      <c r="IO167" s="205"/>
      <c r="IP167" s="205"/>
      <c r="IQ167" s="205">
        <f t="shared" si="1448"/>
        <v>0</v>
      </c>
      <c r="IR167" s="205">
        <f t="shared" si="1449"/>
        <v>1800</v>
      </c>
      <c r="IS167" s="120"/>
      <c r="IT167" s="120"/>
      <c r="IU167" s="120"/>
      <c r="IV167" s="120"/>
      <c r="IW167" s="124">
        <v>500</v>
      </c>
      <c r="IX167" s="205"/>
      <c r="IY167" s="205"/>
      <c r="IZ167" s="205">
        <f t="shared" si="1450"/>
        <v>500</v>
      </c>
      <c r="JA167" s="120"/>
      <c r="JB167" s="120"/>
      <c r="JC167" s="120"/>
      <c r="JD167" s="120"/>
      <c r="JE167" s="120"/>
      <c r="JF167" s="205"/>
      <c r="JG167" s="205"/>
      <c r="JH167" s="205">
        <f t="shared" si="1451"/>
        <v>0</v>
      </c>
      <c r="JI167" s="120"/>
      <c r="JJ167" s="120"/>
      <c r="JK167" s="120"/>
      <c r="JL167" s="120"/>
      <c r="JM167" s="120"/>
      <c r="JN167" s="205"/>
      <c r="JO167" s="205"/>
      <c r="JP167" s="205">
        <f t="shared" si="1452"/>
        <v>0</v>
      </c>
      <c r="JQ167" s="201">
        <v>500</v>
      </c>
      <c r="JR167" s="201">
        <v>500</v>
      </c>
      <c r="JS167" s="120"/>
      <c r="JT167" s="120"/>
      <c r="JU167" s="120"/>
      <c r="JV167" s="205"/>
      <c r="JW167" s="205"/>
      <c r="JX167" s="205">
        <f t="shared" si="1453"/>
        <v>1000</v>
      </c>
      <c r="JY167" s="205">
        <f t="shared" si="1454"/>
        <v>1500</v>
      </c>
      <c r="JZ167" s="120"/>
      <c r="KA167" s="120"/>
      <c r="KB167" s="120"/>
      <c r="KC167" s="120"/>
      <c r="KD167" s="123">
        <v>350</v>
      </c>
      <c r="KE167" s="205"/>
      <c r="KF167" s="205"/>
      <c r="KG167" s="205">
        <f t="shared" si="1455"/>
        <v>350</v>
      </c>
      <c r="KH167" s="120"/>
      <c r="KI167" s="120"/>
      <c r="KJ167" s="120"/>
      <c r="KK167" s="201">
        <v>600</v>
      </c>
      <c r="KL167" s="201">
        <v>600</v>
      </c>
      <c r="KM167" s="205"/>
      <c r="KN167" s="205"/>
      <c r="KO167" s="205">
        <f t="shared" si="1456"/>
        <v>1200</v>
      </c>
      <c r="KP167" s="120"/>
      <c r="KQ167" s="124">
        <v>500</v>
      </c>
      <c r="KR167" s="124">
        <v>500</v>
      </c>
      <c r="KS167" s="124">
        <v>500</v>
      </c>
      <c r="KT167" s="124">
        <v>500</v>
      </c>
      <c r="KU167" s="205"/>
      <c r="KV167" s="205"/>
      <c r="KW167" s="205">
        <f t="shared" si="1457"/>
        <v>2000</v>
      </c>
      <c r="KX167" s="120"/>
      <c r="KY167" s="120"/>
      <c r="KZ167" s="120"/>
      <c r="LA167" s="201">
        <v>600</v>
      </c>
      <c r="LB167" s="201">
        <v>600</v>
      </c>
      <c r="LC167" s="205"/>
      <c r="LD167" s="205"/>
      <c r="LE167" s="205">
        <f t="shared" si="1458"/>
        <v>1200</v>
      </c>
      <c r="LF167" s="205"/>
      <c r="LG167" s="120"/>
      <c r="LH167" s="120"/>
      <c r="LI167" s="120"/>
      <c r="LJ167" s="120"/>
      <c r="LK167" s="205"/>
      <c r="LL167" s="205"/>
      <c r="LM167" s="205">
        <f t="shared" si="1459"/>
        <v>0</v>
      </c>
      <c r="LN167" s="205">
        <f t="shared" si="1460"/>
        <v>4750</v>
      </c>
      <c r="LO167" s="205"/>
      <c r="LP167" s="120"/>
      <c r="LQ167" s="120"/>
      <c r="LR167" s="120"/>
      <c r="LS167" s="205"/>
      <c r="LT167" s="205"/>
      <c r="LU167" s="205"/>
      <c r="LV167" s="205">
        <f t="shared" si="1461"/>
        <v>0</v>
      </c>
      <c r="LW167" s="124">
        <v>500</v>
      </c>
      <c r="LX167" s="120"/>
      <c r="LY167" s="120"/>
      <c r="LZ167" s="120"/>
      <c r="MA167" s="120"/>
      <c r="MB167" s="205"/>
      <c r="MC167" s="205"/>
      <c r="MD167" s="205">
        <f t="shared" si="1462"/>
        <v>500</v>
      </c>
      <c r="ME167" s="120"/>
      <c r="MF167" s="123">
        <v>650</v>
      </c>
      <c r="MG167" s="124">
        <v>500</v>
      </c>
      <c r="MH167" s="124">
        <v>500</v>
      </c>
      <c r="MI167" s="205"/>
      <c r="MJ167" s="205"/>
      <c r="MK167" s="205"/>
      <c r="ML167" s="205">
        <f t="shared" si="1463"/>
        <v>1650</v>
      </c>
      <c r="MM167" s="120"/>
      <c r="MN167" s="120"/>
      <c r="MO167" s="120"/>
      <c r="MP167" s="120"/>
      <c r="MQ167" s="120"/>
      <c r="MR167" s="205"/>
      <c r="MS167" s="205"/>
      <c r="MT167" s="205">
        <f t="shared" si="1464"/>
        <v>0</v>
      </c>
      <c r="MU167" s="205">
        <f t="shared" si="1465"/>
        <v>2150</v>
      </c>
      <c r="MV167" s="120"/>
      <c r="MW167" s="120"/>
      <c r="MX167" s="120"/>
      <c r="MY167" s="120"/>
      <c r="MZ167" s="120"/>
      <c r="NA167" s="205"/>
      <c r="NB167" s="205"/>
      <c r="NC167" s="205">
        <f t="shared" si="1466"/>
        <v>0</v>
      </c>
      <c r="ND167" s="120"/>
      <c r="NE167" s="201">
        <v>500</v>
      </c>
      <c r="NF167" s="120"/>
      <c r="NG167" s="120"/>
      <c r="NH167" s="120"/>
      <c r="NI167" s="205"/>
      <c r="NJ167" s="205"/>
      <c r="NK167" s="205">
        <f t="shared" si="1467"/>
        <v>500</v>
      </c>
      <c r="NL167" s="120"/>
      <c r="NM167" s="120"/>
      <c r="NN167" s="120"/>
      <c r="NO167" s="120"/>
      <c r="NP167" s="120"/>
      <c r="NQ167" s="205"/>
      <c r="NR167" s="205"/>
      <c r="NS167" s="205">
        <f t="shared" si="1468"/>
        <v>0</v>
      </c>
      <c r="NT167" s="217">
        <v>500</v>
      </c>
      <c r="NU167" s="120"/>
      <c r="NV167" s="120"/>
      <c r="NW167" s="123">
        <v>500</v>
      </c>
      <c r="NX167" s="120"/>
      <c r="NY167" s="205"/>
      <c r="NZ167" s="205"/>
      <c r="OA167" s="205">
        <f t="shared" si="1469"/>
        <v>1000</v>
      </c>
      <c r="OB167" s="205">
        <f t="shared" si="1470"/>
        <v>1500</v>
      </c>
      <c r="OC167" s="120"/>
      <c r="OD167" s="120"/>
      <c r="OE167" s="120"/>
      <c r="OF167" s="120"/>
      <c r="OG167" s="120"/>
      <c r="OH167" s="205"/>
      <c r="OI167" s="205"/>
      <c r="OJ167" s="205">
        <f t="shared" si="1471"/>
        <v>0</v>
      </c>
      <c r="OK167" s="120"/>
      <c r="OL167" s="124">
        <v>500</v>
      </c>
      <c r="OM167" s="120"/>
      <c r="ON167" s="120"/>
      <c r="OO167" s="120"/>
      <c r="OP167" s="205"/>
      <c r="OQ167" s="205"/>
      <c r="OR167" s="205">
        <f t="shared" si="1472"/>
        <v>500</v>
      </c>
      <c r="OS167" s="120"/>
      <c r="OT167" s="120"/>
      <c r="OU167" s="120"/>
      <c r="OV167" s="120"/>
      <c r="OW167" s="120"/>
      <c r="OX167" s="205"/>
      <c r="OY167" s="205"/>
      <c r="OZ167" s="205">
        <f t="shared" si="1473"/>
        <v>0</v>
      </c>
      <c r="PA167" s="120"/>
      <c r="PB167" s="120"/>
      <c r="PC167" s="120"/>
      <c r="PD167" s="205"/>
      <c r="PE167" s="217"/>
      <c r="PF167" s="205"/>
      <c r="PG167" s="205"/>
      <c r="PH167" s="205">
        <f t="shared" si="1474"/>
        <v>0</v>
      </c>
      <c r="PI167" s="120"/>
      <c r="PJ167" s="123">
        <v>500</v>
      </c>
      <c r="PK167" s="120"/>
      <c r="PL167" s="205"/>
      <c r="PM167" s="217"/>
      <c r="PN167" s="205"/>
      <c r="PO167" s="205"/>
      <c r="PP167" s="205">
        <f t="shared" si="1475"/>
        <v>500</v>
      </c>
      <c r="PQ167" s="205">
        <f t="shared" si="1476"/>
        <v>1000</v>
      </c>
      <c r="PR167" s="206">
        <v>500</v>
      </c>
      <c r="PS167" s="206">
        <v>500</v>
      </c>
      <c r="PT167" s="120"/>
      <c r="PU167" s="120"/>
      <c r="PV167" s="120"/>
      <c r="PW167" s="272"/>
      <c r="PX167" s="272"/>
      <c r="PY167" s="205">
        <f t="shared" si="1477"/>
        <v>1000</v>
      </c>
      <c r="PZ167" s="120"/>
      <c r="QA167" s="120"/>
      <c r="QB167" s="207"/>
      <c r="QC167" s="207"/>
      <c r="QD167" s="207"/>
      <c r="QE167" s="272"/>
      <c r="QF167" s="272"/>
      <c r="QG167" s="205">
        <f t="shared" si="1478"/>
        <v>0</v>
      </c>
      <c r="QH167" s="201">
        <v>500</v>
      </c>
      <c r="QI167" s="207"/>
      <c r="QJ167" s="250"/>
      <c r="QK167" s="207"/>
      <c r="QL167" s="207"/>
      <c r="QM167" s="272"/>
      <c r="QN167" s="272"/>
      <c r="QO167" s="205">
        <f t="shared" si="1479"/>
        <v>500</v>
      </c>
      <c r="QP167" s="207"/>
      <c r="QQ167" s="207"/>
      <c r="QR167" s="207"/>
      <c r="QS167" s="207"/>
      <c r="QT167" s="207"/>
      <c r="QU167" s="272"/>
      <c r="QV167" s="272"/>
      <c r="QW167" s="205">
        <f t="shared" si="1480"/>
        <v>0</v>
      </c>
      <c r="QX167" s="205">
        <f t="shared" si="1567"/>
        <v>1500</v>
      </c>
      <c r="QY167" s="207"/>
      <c r="QZ167" s="207"/>
      <c r="RA167" s="207"/>
      <c r="RB167" s="207"/>
      <c r="RC167" s="207"/>
      <c r="RD167" s="272"/>
      <c r="RE167" s="272"/>
      <c r="RF167" s="205">
        <f t="shared" si="1482"/>
        <v>0</v>
      </c>
      <c r="RG167" s="207"/>
      <c r="RH167" s="207"/>
      <c r="RI167" s="207"/>
      <c r="RJ167" s="207"/>
      <c r="RK167" s="207"/>
      <c r="RL167" s="272"/>
      <c r="RM167" s="272"/>
      <c r="RN167" s="205">
        <f t="shared" si="1483"/>
        <v>0</v>
      </c>
      <c r="RO167" s="272"/>
      <c r="RP167" s="272"/>
      <c r="RQ167" s="272"/>
      <c r="RR167" s="272"/>
      <c r="RS167" s="272"/>
      <c r="RT167" s="272"/>
      <c r="RU167" s="272"/>
      <c r="RV167" s="205">
        <f t="shared" si="1484"/>
        <v>0</v>
      </c>
      <c r="RW167" s="207"/>
      <c r="RX167" s="207"/>
      <c r="RY167" s="207"/>
      <c r="RZ167" s="207"/>
      <c r="SA167" s="272"/>
      <c r="SB167" s="272"/>
      <c r="SC167" s="272"/>
      <c r="SD167" s="205">
        <f t="shared" si="1485"/>
        <v>0</v>
      </c>
      <c r="SE167" s="205">
        <f t="shared" si="1486"/>
        <v>0</v>
      </c>
      <c r="SF167" s="207"/>
      <c r="SG167" s="207"/>
      <c r="SH167" s="207"/>
      <c r="SI167" s="217">
        <v>500</v>
      </c>
      <c r="SJ167" s="207"/>
      <c r="SK167" s="272"/>
      <c r="SL167" s="272"/>
      <c r="SM167" s="205">
        <f t="shared" si="1487"/>
        <v>500</v>
      </c>
      <c r="SN167" s="207"/>
      <c r="SO167" s="207"/>
      <c r="SP167" s="124">
        <v>500</v>
      </c>
      <c r="SQ167" s="207"/>
      <c r="SR167" s="207"/>
      <c r="SS167" s="272"/>
      <c r="ST167" s="272"/>
      <c r="SU167" s="205">
        <f t="shared" si="1488"/>
        <v>500</v>
      </c>
      <c r="SV167" s="207"/>
      <c r="SW167" s="207"/>
      <c r="SX167" s="207"/>
      <c r="SY167" s="207"/>
      <c r="SZ167" s="207"/>
      <c r="TA167" s="272"/>
      <c r="TB167" s="272"/>
      <c r="TC167" s="205">
        <f t="shared" si="1489"/>
        <v>0</v>
      </c>
      <c r="TD167" s="124">
        <v>500</v>
      </c>
      <c r="TE167" s="207"/>
      <c r="TF167" s="207"/>
      <c r="TG167" s="207"/>
      <c r="TH167" s="207"/>
      <c r="TI167" s="272"/>
      <c r="TJ167" s="272"/>
      <c r="TK167" s="205">
        <f t="shared" si="1490"/>
        <v>500</v>
      </c>
      <c r="TL167" s="120"/>
      <c r="TM167" s="207"/>
      <c r="TN167" s="207"/>
      <c r="TO167" s="207"/>
      <c r="TP167" s="272"/>
      <c r="TQ167" s="272"/>
      <c r="TR167" s="272"/>
      <c r="TS167" s="205">
        <f t="shared" si="1491"/>
        <v>0</v>
      </c>
      <c r="TT167" s="205">
        <f t="shared" si="1492"/>
        <v>1500</v>
      </c>
      <c r="TU167" s="272"/>
      <c r="TV167" s="207"/>
      <c r="TW167" s="207"/>
      <c r="TX167" s="207"/>
      <c r="TY167" s="207"/>
      <c r="TZ167" s="272"/>
      <c r="UA167" s="272"/>
      <c r="UB167" s="205">
        <f t="shared" si="1493"/>
        <v>0</v>
      </c>
      <c r="UC167" s="207"/>
      <c r="UD167" s="217">
        <v>500</v>
      </c>
      <c r="UE167" s="207"/>
      <c r="UF167" s="207"/>
      <c r="UG167" s="201">
        <v>500</v>
      </c>
      <c r="UH167" s="272"/>
      <c r="UI167" s="272"/>
      <c r="UJ167" s="205">
        <f t="shared" si="1494"/>
        <v>1000</v>
      </c>
      <c r="UK167" s="207"/>
      <c r="UL167" s="207"/>
      <c r="UM167" s="120"/>
      <c r="UN167" s="207"/>
      <c r="UO167" s="207"/>
      <c r="UP167" s="272"/>
      <c r="UQ167" s="272"/>
      <c r="UR167" s="205">
        <f>SUM(UK167:UQ167)</f>
        <v>0</v>
      </c>
      <c r="US167" s="195">
        <v>500</v>
      </c>
      <c r="UT167" s="207"/>
      <c r="UU167" s="207"/>
      <c r="UV167" s="207"/>
      <c r="UW167" s="272"/>
      <c r="UX167" s="272"/>
      <c r="UY167" s="272"/>
      <c r="UZ167" s="205">
        <f t="shared" si="1496"/>
        <v>500</v>
      </c>
      <c r="VA167" s="205">
        <f t="shared" si="1497"/>
        <v>1500</v>
      </c>
      <c r="VB167" s="207"/>
      <c r="VC167" s="207"/>
      <c r="VD167" s="207"/>
      <c r="VE167" s="207"/>
      <c r="VF167" s="207"/>
      <c r="VG167" s="272"/>
      <c r="VH167" s="272"/>
      <c r="VI167" s="205">
        <f t="shared" si="1498"/>
        <v>0</v>
      </c>
      <c r="VJ167" s="207"/>
      <c r="VK167" s="207"/>
      <c r="VL167" s="207"/>
      <c r="VM167" s="207"/>
      <c r="VN167" s="195">
        <v>500</v>
      </c>
      <c r="VO167" s="272"/>
      <c r="VP167" s="272"/>
      <c r="VQ167" s="205">
        <f t="shared" si="1499"/>
        <v>500</v>
      </c>
      <c r="VR167" s="195">
        <v>500</v>
      </c>
      <c r="VS167" s="195">
        <v>500</v>
      </c>
      <c r="VT167" s="207"/>
      <c r="VU167" s="207"/>
      <c r="VV167" s="207"/>
      <c r="VW167" s="272"/>
      <c r="VX167" s="272"/>
      <c r="VY167" s="205">
        <f t="shared" si="1500"/>
        <v>1000</v>
      </c>
      <c r="VZ167" s="207"/>
      <c r="WA167" s="207"/>
      <c r="WB167" s="207"/>
      <c r="WC167" s="207"/>
      <c r="WD167" s="207"/>
      <c r="WE167" s="272"/>
      <c r="WF167" s="272"/>
      <c r="WG167" s="205">
        <f t="shared" si="1501"/>
        <v>0</v>
      </c>
      <c r="WH167" s="205">
        <f t="shared" si="1502"/>
        <v>1500</v>
      </c>
      <c r="WI167" s="207"/>
      <c r="WJ167" s="207"/>
      <c r="WK167" s="207"/>
      <c r="WL167" s="207"/>
      <c r="WM167" s="207"/>
      <c r="WN167" s="272"/>
      <c r="WO167" s="272"/>
      <c r="WP167" s="205">
        <f t="shared" si="1503"/>
        <v>0</v>
      </c>
      <c r="WQ167" s="120">
        <v>500</v>
      </c>
      <c r="WR167" s="120"/>
      <c r="WS167" s="120"/>
      <c r="WT167" s="120"/>
      <c r="WU167" s="207"/>
      <c r="WV167" s="272"/>
      <c r="WW167" s="272"/>
      <c r="WX167" s="205">
        <f t="shared" si="1504"/>
        <v>500</v>
      </c>
      <c r="WY167" s="207"/>
      <c r="WZ167" s="207"/>
      <c r="XA167" s="207"/>
      <c r="XB167" s="207"/>
      <c r="XC167" s="272"/>
      <c r="XD167" s="272"/>
      <c r="XE167" s="272"/>
      <c r="XF167" s="205">
        <f t="shared" si="1505"/>
        <v>0</v>
      </c>
      <c r="XG167" s="207"/>
      <c r="XH167" s="207"/>
      <c r="XI167" s="207"/>
      <c r="XJ167" s="207"/>
      <c r="XK167" s="207"/>
      <c r="XL167" s="272"/>
      <c r="XM167" s="272"/>
      <c r="XN167" s="205">
        <f t="shared" si="1506"/>
        <v>0</v>
      </c>
      <c r="XO167" s="207"/>
      <c r="XP167" s="207"/>
      <c r="XQ167" s="207"/>
      <c r="XR167" s="207"/>
      <c r="XS167" s="207"/>
      <c r="XT167" s="272"/>
      <c r="XU167" s="272"/>
      <c r="XV167" s="205">
        <f t="shared" si="1507"/>
        <v>0</v>
      </c>
      <c r="XW167" s="205">
        <f t="shared" si="1508"/>
        <v>500</v>
      </c>
      <c r="XX167" s="207"/>
      <c r="XY167" s="207"/>
      <c r="XZ167" s="207"/>
      <c r="YA167" s="207"/>
      <c r="YB167" s="207"/>
      <c r="YC167" s="272"/>
      <c r="YD167" s="272"/>
      <c r="YE167" s="205">
        <f t="shared" si="1509"/>
        <v>0</v>
      </c>
      <c r="YF167" s="207"/>
      <c r="YG167" s="207"/>
      <c r="YH167" s="207"/>
      <c r="YI167" s="207"/>
      <c r="YJ167" s="207"/>
      <c r="YK167" s="272"/>
      <c r="YL167" s="272"/>
      <c r="YM167" s="205">
        <f t="shared" si="1510"/>
        <v>0</v>
      </c>
      <c r="YN167" s="207"/>
      <c r="YO167" s="207"/>
      <c r="YP167" s="207"/>
      <c r="YQ167" s="207"/>
      <c r="YR167" s="207"/>
      <c r="YS167" s="272"/>
      <c r="YT167" s="272"/>
      <c r="YU167" s="205">
        <f t="shared" si="1511"/>
        <v>0</v>
      </c>
      <c r="YV167" s="207"/>
      <c r="YW167" s="207"/>
      <c r="YX167" s="207"/>
      <c r="YY167" s="207"/>
      <c r="YZ167" s="207"/>
      <c r="ZA167" s="272"/>
      <c r="ZB167" s="272"/>
      <c r="ZC167" s="205">
        <f t="shared" si="1512"/>
        <v>0</v>
      </c>
      <c r="ZD167" s="205">
        <f t="shared" si="1513"/>
        <v>500</v>
      </c>
      <c r="ZE167" s="207"/>
      <c r="ZF167" s="207"/>
      <c r="ZG167" s="207"/>
      <c r="ZH167" s="207"/>
      <c r="ZI167" s="207"/>
      <c r="ZJ167" s="272"/>
      <c r="ZK167" s="272"/>
      <c r="ZL167" s="205">
        <f t="shared" si="1514"/>
        <v>0</v>
      </c>
      <c r="ZM167" s="207"/>
      <c r="ZN167" s="207"/>
      <c r="ZO167" s="207"/>
      <c r="ZP167" s="207"/>
      <c r="ZQ167" s="207"/>
      <c r="ZR167" s="272"/>
      <c r="ZS167" s="272"/>
      <c r="ZT167" s="205">
        <f t="shared" si="1515"/>
        <v>0</v>
      </c>
      <c r="ZU167" s="207"/>
      <c r="ZV167" s="207"/>
      <c r="ZW167" s="207"/>
      <c r="ZX167" s="207"/>
      <c r="ZY167" s="207"/>
      <c r="ZZ167" s="272"/>
      <c r="AAA167" s="272"/>
      <c r="AAB167" s="205">
        <f t="shared" si="1516"/>
        <v>0</v>
      </c>
      <c r="AAC167" s="207"/>
      <c r="AAD167" s="207"/>
      <c r="AAE167" s="207"/>
      <c r="AAF167" s="207"/>
      <c r="AAG167" s="207"/>
      <c r="AAH167" s="272"/>
      <c r="AAI167" s="272"/>
      <c r="AAJ167" s="205">
        <f t="shared" si="1517"/>
        <v>0</v>
      </c>
      <c r="AAK167" s="207"/>
      <c r="AAL167" s="207"/>
      <c r="AAM167" s="207"/>
      <c r="AAN167" s="207"/>
      <c r="AAO167" s="207"/>
      <c r="AAP167" s="272"/>
      <c r="AAQ167" s="272"/>
      <c r="AAR167" s="205">
        <f t="shared" si="1518"/>
        <v>0</v>
      </c>
      <c r="AAS167" s="205">
        <f t="shared" si="1519"/>
        <v>0</v>
      </c>
    </row>
    <row r="168" spans="2:721" ht="69.95" hidden="1" customHeight="1">
      <c r="B168" s="180" t="s">
        <v>510</v>
      </c>
      <c r="C168" s="354" t="s">
        <v>532</v>
      </c>
      <c r="D168" s="213" t="s">
        <v>511</v>
      </c>
      <c r="E168" s="130" t="s">
        <v>4</v>
      </c>
      <c r="F168" s="120"/>
      <c r="G168" s="120"/>
      <c r="H168" s="120"/>
      <c r="I168" s="120"/>
      <c r="J168" s="120"/>
      <c r="K168" s="209"/>
      <c r="L168" s="205"/>
      <c r="M168" s="205">
        <f t="shared" si="1520"/>
        <v>0</v>
      </c>
      <c r="N168" s="120"/>
      <c r="O168" s="120"/>
      <c r="P168" s="120"/>
      <c r="Q168" s="120"/>
      <c r="R168" s="120"/>
      <c r="S168" s="209"/>
      <c r="T168" s="205"/>
      <c r="U168" s="205">
        <f t="shared" si="1521"/>
        <v>0</v>
      </c>
      <c r="V168" s="120"/>
      <c r="W168" s="120"/>
      <c r="X168" s="120"/>
      <c r="Y168" s="120"/>
      <c r="Z168" s="120"/>
      <c r="AA168" s="209"/>
      <c r="AB168" s="205"/>
      <c r="AC168" s="205">
        <f t="shared" si="1522"/>
        <v>0</v>
      </c>
      <c r="AD168" s="205"/>
      <c r="AE168" s="205"/>
      <c r="AF168" s="205"/>
      <c r="AG168" s="205"/>
      <c r="AH168" s="205"/>
      <c r="AI168" s="209"/>
      <c r="AJ168" s="205"/>
      <c r="AK168" s="205">
        <f t="shared" si="1523"/>
        <v>0</v>
      </c>
      <c r="AL168" s="205" t="e">
        <f>SUM(#REF!,M168,U168,AC168,AD168:AH168)</f>
        <v>#REF!</v>
      </c>
      <c r="AM168" s="120"/>
      <c r="AN168" s="120"/>
      <c r="AO168" s="120"/>
      <c r="AP168" s="120"/>
      <c r="AQ168" s="120"/>
      <c r="AR168" s="209"/>
      <c r="AS168" s="205"/>
      <c r="AT168" s="205">
        <f t="shared" si="1524"/>
        <v>0</v>
      </c>
      <c r="AU168" s="120"/>
      <c r="AV168" s="120"/>
      <c r="AW168" s="120"/>
      <c r="AX168" s="120"/>
      <c r="AY168" s="120"/>
      <c r="AZ168" s="209"/>
      <c r="BA168" s="205"/>
      <c r="BB168" s="205">
        <f t="shared" si="1525"/>
        <v>0</v>
      </c>
      <c r="BC168" s="120"/>
      <c r="BD168" s="120"/>
      <c r="BE168" s="120"/>
      <c r="BF168" s="120"/>
      <c r="BG168" s="120"/>
      <c r="BH168" s="209"/>
      <c r="BI168" s="205"/>
      <c r="BJ168" s="205">
        <f t="shared" si="1526"/>
        <v>0</v>
      </c>
      <c r="BK168" s="120"/>
      <c r="BL168" s="120"/>
      <c r="BM168" s="120"/>
      <c r="BN168" s="120"/>
      <c r="BO168" s="205"/>
      <c r="BP168" s="209"/>
      <c r="BQ168" s="205"/>
      <c r="BR168" s="205">
        <f t="shared" si="1527"/>
        <v>0</v>
      </c>
      <c r="BS168" s="205">
        <f t="shared" si="1427"/>
        <v>0</v>
      </c>
      <c r="BT168" s="120"/>
      <c r="BU168" s="120"/>
      <c r="BV168" s="120"/>
      <c r="BW168" s="120"/>
      <c r="BX168" s="120"/>
      <c r="BY168" s="209"/>
      <c r="BZ168" s="205"/>
      <c r="CA168" s="205">
        <f t="shared" si="1528"/>
        <v>0</v>
      </c>
      <c r="CB168" s="120"/>
      <c r="CC168" s="120"/>
      <c r="CD168" s="120"/>
      <c r="CE168" s="120"/>
      <c r="CF168" s="120"/>
      <c r="CG168" s="209"/>
      <c r="CH168" s="205"/>
      <c r="CI168" s="205">
        <f t="shared" si="1529"/>
        <v>0</v>
      </c>
      <c r="CJ168" s="120"/>
      <c r="CK168" s="120"/>
      <c r="CL168" s="120"/>
      <c r="CM168" s="120"/>
      <c r="CN168" s="120"/>
      <c r="CO168" s="209"/>
      <c r="CP168" s="205"/>
      <c r="CQ168" s="205">
        <f t="shared" si="1530"/>
        <v>0</v>
      </c>
      <c r="CR168" s="120"/>
      <c r="CS168" s="120"/>
      <c r="CT168" s="120"/>
      <c r="CU168" s="120"/>
      <c r="CV168" s="120"/>
      <c r="CW168" s="209"/>
      <c r="CX168" s="205"/>
      <c r="CY168" s="205">
        <f t="shared" si="1531"/>
        <v>0</v>
      </c>
      <c r="CZ168" s="120"/>
      <c r="DA168" s="120"/>
      <c r="DB168" s="120"/>
      <c r="DC168" s="205"/>
      <c r="DD168" s="205"/>
      <c r="DE168" s="209"/>
      <c r="DF168" s="205"/>
      <c r="DG168" s="205">
        <f t="shared" si="1532"/>
        <v>0</v>
      </c>
      <c r="DH168" s="205">
        <f t="shared" si="1428"/>
        <v>0</v>
      </c>
      <c r="DI168" s="120"/>
      <c r="DJ168" s="120"/>
      <c r="DK168" s="120"/>
      <c r="DL168" s="120"/>
      <c r="DM168" s="120"/>
      <c r="DN168" s="209"/>
      <c r="DO168" s="205"/>
      <c r="DP168" s="205">
        <f t="shared" si="1432"/>
        <v>0</v>
      </c>
      <c r="DQ168" s="120"/>
      <c r="DR168" s="120"/>
      <c r="DS168" s="120"/>
      <c r="DT168" s="120"/>
      <c r="DU168" s="120"/>
      <c r="DV168" s="209"/>
      <c r="DW168" s="205"/>
      <c r="DX168" s="205">
        <f t="shared" si="1433"/>
        <v>0</v>
      </c>
      <c r="DY168" s="120"/>
      <c r="DZ168" s="120"/>
      <c r="EA168" s="120"/>
      <c r="EB168" s="120"/>
      <c r="EC168" s="120"/>
      <c r="ED168" s="209"/>
      <c r="EE168" s="205"/>
      <c r="EF168" s="205">
        <f t="shared" si="1434"/>
        <v>0</v>
      </c>
      <c r="EG168" s="120"/>
      <c r="EH168" s="120"/>
      <c r="EI168" s="120"/>
      <c r="EJ168" s="205"/>
      <c r="EK168" s="205"/>
      <c r="EL168" s="209"/>
      <c r="EM168" s="205"/>
      <c r="EN168" s="205">
        <f t="shared" si="1435"/>
        <v>0</v>
      </c>
      <c r="EO168" s="205">
        <f t="shared" si="1429"/>
        <v>0</v>
      </c>
      <c r="EP168" s="120"/>
      <c r="EQ168" s="120"/>
      <c r="ER168" s="120"/>
      <c r="ES168" s="120"/>
      <c r="ET168" s="120"/>
      <c r="EU168" s="209"/>
      <c r="EV168" s="205"/>
      <c r="EW168" s="205">
        <f t="shared" si="1436"/>
        <v>0</v>
      </c>
      <c r="EX168" s="120"/>
      <c r="EY168" s="120"/>
      <c r="EZ168" s="120"/>
      <c r="FA168" s="120"/>
      <c r="FB168" s="120"/>
      <c r="FC168" s="209"/>
      <c r="FD168" s="205"/>
      <c r="FE168" s="205">
        <f t="shared" si="1437"/>
        <v>0</v>
      </c>
      <c r="FF168" s="120"/>
      <c r="FG168" s="120"/>
      <c r="FH168" s="120"/>
      <c r="FI168" s="120"/>
      <c r="FJ168" s="120"/>
      <c r="FK168" s="209"/>
      <c r="FL168" s="205"/>
      <c r="FM168" s="205">
        <f t="shared" si="1438"/>
        <v>0</v>
      </c>
      <c r="FN168" s="120"/>
      <c r="FO168" s="120"/>
      <c r="FP168" s="120"/>
      <c r="FQ168" s="120"/>
      <c r="FR168" s="205"/>
      <c r="FS168" s="209"/>
      <c r="FT168" s="205"/>
      <c r="FU168" s="205">
        <f t="shared" si="1439"/>
        <v>0</v>
      </c>
      <c r="FV168" s="205">
        <f t="shared" si="1430"/>
        <v>0</v>
      </c>
      <c r="FW168" s="120"/>
      <c r="FX168" s="120"/>
      <c r="FY168" s="120"/>
      <c r="FZ168" s="120"/>
      <c r="GA168" s="120"/>
      <c r="GB168" s="209"/>
      <c r="GC168" s="205"/>
      <c r="GD168" s="205">
        <f t="shared" si="1440"/>
        <v>0</v>
      </c>
      <c r="GE168" s="120"/>
      <c r="GF168" s="120"/>
      <c r="GG168" s="120"/>
      <c r="GH168" s="120"/>
      <c r="GI168" s="120"/>
      <c r="GJ168" s="209"/>
      <c r="GK168" s="205"/>
      <c r="GL168" s="205">
        <f t="shared" si="1441"/>
        <v>0</v>
      </c>
      <c r="GM168" s="120"/>
      <c r="GN168" s="120"/>
      <c r="GO168" s="120"/>
      <c r="GP168" s="120"/>
      <c r="GQ168" s="120"/>
      <c r="GR168" s="209"/>
      <c r="GS168" s="205"/>
      <c r="GT168" s="205">
        <f>SUM(GM168:GS168)</f>
        <v>0</v>
      </c>
      <c r="GU168" s="120"/>
      <c r="GV168" s="120"/>
      <c r="GW168" s="120"/>
      <c r="GX168" s="120"/>
      <c r="GY168" s="120"/>
      <c r="GZ168" s="209"/>
      <c r="HA168" s="205"/>
      <c r="HB168" s="205">
        <f t="shared" si="1443"/>
        <v>0</v>
      </c>
      <c r="HC168" s="120"/>
      <c r="HD168" s="120"/>
      <c r="HE168" s="120"/>
      <c r="HF168" s="120"/>
      <c r="HG168" s="120"/>
      <c r="HH168" s="209"/>
      <c r="HI168" s="205"/>
      <c r="HJ168" s="205">
        <f t="shared" si="1444"/>
        <v>0</v>
      </c>
      <c r="HK168" s="205">
        <f t="shared" si="1431"/>
        <v>0</v>
      </c>
      <c r="HL168" s="124"/>
      <c r="HM168" s="120"/>
      <c r="HN168" s="120"/>
      <c r="HO168" s="120"/>
      <c r="HP168" s="120"/>
      <c r="HQ168" s="205"/>
      <c r="HR168" s="205"/>
      <c r="HS168" s="205">
        <f t="shared" si="1445"/>
        <v>0</v>
      </c>
      <c r="HT168" s="120"/>
      <c r="HU168" s="120"/>
      <c r="HV168" s="120"/>
      <c r="HW168" s="120"/>
      <c r="HX168" s="120"/>
      <c r="HY168" s="205"/>
      <c r="HZ168" s="205"/>
      <c r="IA168" s="205">
        <f t="shared" si="1446"/>
        <v>0</v>
      </c>
      <c r="IB168" s="120"/>
      <c r="IC168" s="120"/>
      <c r="ID168" s="120"/>
      <c r="IE168" s="120"/>
      <c r="IF168" s="120"/>
      <c r="IG168" s="205"/>
      <c r="IH168" s="205"/>
      <c r="II168" s="205">
        <f t="shared" si="1447"/>
        <v>0</v>
      </c>
      <c r="IJ168" s="120"/>
      <c r="IK168" s="120"/>
      <c r="IL168" s="120"/>
      <c r="IM168" s="120"/>
      <c r="IN168" s="120"/>
      <c r="IO168" s="205"/>
      <c r="IP168" s="205"/>
      <c r="IQ168" s="205">
        <f t="shared" si="1448"/>
        <v>0</v>
      </c>
      <c r="IR168" s="205">
        <f t="shared" si="1449"/>
        <v>0</v>
      </c>
      <c r="IS168" s="120"/>
      <c r="IT168" s="120"/>
      <c r="IU168" s="120"/>
      <c r="IV168" s="120"/>
      <c r="IW168" s="120"/>
      <c r="IX168" s="205"/>
      <c r="IY168" s="205"/>
      <c r="IZ168" s="205">
        <f t="shared" si="1450"/>
        <v>0</v>
      </c>
      <c r="JA168" s="120"/>
      <c r="JB168" s="120"/>
      <c r="JC168" s="120"/>
      <c r="JD168" s="120"/>
      <c r="JE168" s="120"/>
      <c r="JF168" s="205"/>
      <c r="JG168" s="205"/>
      <c r="JH168" s="205">
        <f t="shared" si="1451"/>
        <v>0</v>
      </c>
      <c r="JI168" s="120"/>
      <c r="JJ168" s="120"/>
      <c r="JK168" s="120"/>
      <c r="JL168" s="120"/>
      <c r="JM168" s="120"/>
      <c r="JN168" s="205"/>
      <c r="JO168" s="205"/>
      <c r="JP168" s="205">
        <f t="shared" si="1452"/>
        <v>0</v>
      </c>
      <c r="JQ168" s="120"/>
      <c r="JR168" s="120"/>
      <c r="JS168" s="120"/>
      <c r="JT168" s="120"/>
      <c r="JU168" s="120"/>
      <c r="JV168" s="205"/>
      <c r="JW168" s="205"/>
      <c r="JX168" s="205">
        <f t="shared" si="1453"/>
        <v>0</v>
      </c>
      <c r="JY168" s="205">
        <f t="shared" si="1454"/>
        <v>0</v>
      </c>
      <c r="JZ168" s="120"/>
      <c r="KA168" s="120"/>
      <c r="KB168" s="120"/>
      <c r="KC168" s="120"/>
      <c r="KD168" s="120"/>
      <c r="KE168" s="205"/>
      <c r="KF168" s="205"/>
      <c r="KG168" s="205">
        <f t="shared" si="1455"/>
        <v>0</v>
      </c>
      <c r="KH168" s="120"/>
      <c r="KI168" s="120"/>
      <c r="KJ168" s="120"/>
      <c r="KK168" s="120"/>
      <c r="KL168" s="120"/>
      <c r="KM168" s="205"/>
      <c r="KN168" s="205"/>
      <c r="KO168" s="205">
        <f t="shared" si="1456"/>
        <v>0</v>
      </c>
      <c r="KP168" s="120"/>
      <c r="KQ168" s="120"/>
      <c r="KR168" s="120"/>
      <c r="KS168" s="120"/>
      <c r="KT168" s="120"/>
      <c r="KU168" s="205"/>
      <c r="KV168" s="205"/>
      <c r="KW168" s="205">
        <f t="shared" si="1457"/>
        <v>0</v>
      </c>
      <c r="KX168" s="120"/>
      <c r="KY168" s="120"/>
      <c r="KZ168" s="120"/>
      <c r="LA168" s="120"/>
      <c r="LB168" s="120"/>
      <c r="LC168" s="205"/>
      <c r="LD168" s="205"/>
      <c r="LE168" s="205">
        <f t="shared" si="1458"/>
        <v>0</v>
      </c>
      <c r="LF168" s="205"/>
      <c r="LG168" s="120"/>
      <c r="LH168" s="120"/>
      <c r="LI168" s="120"/>
      <c r="LJ168" s="120"/>
      <c r="LK168" s="205"/>
      <c r="LL168" s="205"/>
      <c r="LM168" s="205">
        <f t="shared" si="1459"/>
        <v>0</v>
      </c>
      <c r="LN168" s="205">
        <f t="shared" si="1460"/>
        <v>0</v>
      </c>
      <c r="LO168" s="205"/>
      <c r="LP168" s="120"/>
      <c r="LQ168" s="120"/>
      <c r="LR168" s="120"/>
      <c r="LS168" s="205"/>
      <c r="LT168" s="205"/>
      <c r="LU168" s="205"/>
      <c r="LV168" s="205">
        <f t="shared" si="1461"/>
        <v>0</v>
      </c>
      <c r="LW168" s="120"/>
      <c r="LX168" s="120"/>
      <c r="LY168" s="120"/>
      <c r="LZ168" s="120"/>
      <c r="MA168" s="120"/>
      <c r="MB168" s="205"/>
      <c r="MC168" s="205"/>
      <c r="MD168" s="205">
        <f t="shared" si="1462"/>
        <v>0</v>
      </c>
      <c r="ME168" s="120"/>
      <c r="MF168" s="120"/>
      <c r="MG168" s="120"/>
      <c r="MH168" s="120"/>
      <c r="MI168" s="205"/>
      <c r="MJ168" s="205"/>
      <c r="MK168" s="205"/>
      <c r="ML168" s="205">
        <f t="shared" si="1463"/>
        <v>0</v>
      </c>
      <c r="MM168" s="120"/>
      <c r="MN168" s="120"/>
      <c r="MO168" s="120"/>
      <c r="MP168" s="120"/>
      <c r="MQ168" s="120"/>
      <c r="MR168" s="205"/>
      <c r="MS168" s="205"/>
      <c r="MT168" s="205">
        <f t="shared" si="1464"/>
        <v>0</v>
      </c>
      <c r="MU168" s="205">
        <f t="shared" si="1465"/>
        <v>0</v>
      </c>
      <c r="MV168" s="120"/>
      <c r="MW168" s="120"/>
      <c r="MX168" s="120"/>
      <c r="MY168" s="120"/>
      <c r="MZ168" s="120"/>
      <c r="NA168" s="205"/>
      <c r="NB168" s="205"/>
      <c r="NC168" s="205">
        <f t="shared" si="1466"/>
        <v>0</v>
      </c>
      <c r="ND168" s="120"/>
      <c r="NE168" s="120"/>
      <c r="NF168" s="120"/>
      <c r="NG168" s="120"/>
      <c r="NH168" s="120"/>
      <c r="NI168" s="205"/>
      <c r="NJ168" s="205"/>
      <c r="NK168" s="205">
        <f t="shared" si="1467"/>
        <v>0</v>
      </c>
      <c r="NL168" s="120"/>
      <c r="NM168" s="120"/>
      <c r="NN168" s="120"/>
      <c r="NO168" s="120"/>
      <c r="NP168" s="120"/>
      <c r="NQ168" s="205"/>
      <c r="NR168" s="205"/>
      <c r="NS168" s="205">
        <f t="shared" si="1468"/>
        <v>0</v>
      </c>
      <c r="NT168" s="120"/>
      <c r="NU168" s="120"/>
      <c r="NV168" s="120"/>
      <c r="NW168" s="120"/>
      <c r="NX168" s="120"/>
      <c r="NY168" s="205"/>
      <c r="NZ168" s="205"/>
      <c r="OA168" s="205">
        <f t="shared" si="1469"/>
        <v>0</v>
      </c>
      <c r="OB168" s="205">
        <f t="shared" si="1470"/>
        <v>0</v>
      </c>
      <c r="OC168" s="120"/>
      <c r="OD168" s="120"/>
      <c r="OE168" s="120"/>
      <c r="OF168" s="120"/>
      <c r="OG168" s="120"/>
      <c r="OH168" s="205"/>
      <c r="OI168" s="205"/>
      <c r="OJ168" s="205">
        <f t="shared" si="1471"/>
        <v>0</v>
      </c>
      <c r="OK168" s="120"/>
      <c r="OL168" s="120"/>
      <c r="OM168" s="120"/>
      <c r="ON168" s="120"/>
      <c r="OO168" s="120"/>
      <c r="OP168" s="205"/>
      <c r="OQ168" s="205"/>
      <c r="OR168" s="205">
        <f t="shared" si="1472"/>
        <v>0</v>
      </c>
      <c r="OS168" s="120"/>
      <c r="OT168" s="120"/>
      <c r="OU168" s="120"/>
      <c r="OV168" s="120"/>
      <c r="OW168" s="120"/>
      <c r="OX168" s="205"/>
      <c r="OY168" s="205"/>
      <c r="OZ168" s="205">
        <f t="shared" si="1473"/>
        <v>0</v>
      </c>
      <c r="PA168" s="120"/>
      <c r="PB168" s="120"/>
      <c r="PC168" s="120"/>
      <c r="PD168" s="205"/>
      <c r="PE168" s="217"/>
      <c r="PF168" s="205"/>
      <c r="PG168" s="205"/>
      <c r="PH168" s="205">
        <f t="shared" si="1474"/>
        <v>0</v>
      </c>
      <c r="PI168" s="120"/>
      <c r="PJ168" s="120"/>
      <c r="PK168" s="120"/>
      <c r="PL168" s="205"/>
      <c r="PM168" s="217"/>
      <c r="PN168" s="205"/>
      <c r="PO168" s="205"/>
      <c r="PP168" s="205">
        <f t="shared" si="1475"/>
        <v>0</v>
      </c>
      <c r="PQ168" s="205">
        <f t="shared" si="1476"/>
        <v>0</v>
      </c>
      <c r="PR168" s="120"/>
      <c r="PS168" s="120"/>
      <c r="PT168" s="120"/>
      <c r="PU168" s="120"/>
      <c r="PV168" s="120"/>
      <c r="PW168" s="272"/>
      <c r="PX168" s="272"/>
      <c r="PY168" s="205">
        <f t="shared" si="1477"/>
        <v>0</v>
      </c>
      <c r="PZ168" s="207"/>
      <c r="QA168" s="207"/>
      <c r="QB168" s="207"/>
      <c r="QC168" s="207"/>
      <c r="QD168" s="207"/>
      <c r="QE168" s="272"/>
      <c r="QF168" s="272"/>
      <c r="QG168" s="205">
        <f t="shared" si="1478"/>
        <v>0</v>
      </c>
      <c r="QH168" s="207"/>
      <c r="QI168" s="207"/>
      <c r="QJ168" s="250"/>
      <c r="QK168" s="207"/>
      <c r="QL168" s="207"/>
      <c r="QM168" s="272"/>
      <c r="QN168" s="272"/>
      <c r="QO168" s="205">
        <f t="shared" si="1479"/>
        <v>0</v>
      </c>
      <c r="QP168" s="207"/>
      <c r="QQ168" s="207"/>
      <c r="QR168" s="207"/>
      <c r="QS168" s="207"/>
      <c r="QT168" s="207"/>
      <c r="QU168" s="272"/>
      <c r="QV168" s="272"/>
      <c r="QW168" s="205">
        <f t="shared" si="1480"/>
        <v>0</v>
      </c>
      <c r="QX168" s="205">
        <f t="shared" si="1481"/>
        <v>0</v>
      </c>
      <c r="QY168" s="207"/>
      <c r="QZ168" s="207"/>
      <c r="RA168" s="207"/>
      <c r="RB168" s="207"/>
      <c r="RC168" s="207"/>
      <c r="RD168" s="272"/>
      <c r="RE168" s="272"/>
      <c r="RF168" s="205">
        <f t="shared" si="1482"/>
        <v>0</v>
      </c>
      <c r="RG168" s="207"/>
      <c r="RH168" s="207"/>
      <c r="RI168" s="207"/>
      <c r="RJ168" s="207"/>
      <c r="RK168" s="207"/>
      <c r="RL168" s="272"/>
      <c r="RM168" s="272"/>
      <c r="RN168" s="205">
        <f t="shared" si="1483"/>
        <v>0</v>
      </c>
      <c r="RO168" s="272"/>
      <c r="RP168" s="272"/>
      <c r="RQ168" s="272"/>
      <c r="RR168" s="272"/>
      <c r="RS168" s="272"/>
      <c r="RT168" s="272"/>
      <c r="RU168" s="272"/>
      <c r="RV168" s="205">
        <f t="shared" si="1484"/>
        <v>0</v>
      </c>
      <c r="RW168" s="207"/>
      <c r="RX168" s="207"/>
      <c r="RY168" s="207"/>
      <c r="RZ168" s="207"/>
      <c r="SA168" s="272"/>
      <c r="SB168" s="272"/>
      <c r="SC168" s="272"/>
      <c r="SD168" s="205">
        <f t="shared" si="1485"/>
        <v>0</v>
      </c>
      <c r="SE168" s="205">
        <f t="shared" si="1486"/>
        <v>0</v>
      </c>
      <c r="SF168" s="207"/>
      <c r="SG168" s="207"/>
      <c r="SH168" s="207"/>
      <c r="SI168" s="207"/>
      <c r="SJ168" s="207"/>
      <c r="SK168" s="272"/>
      <c r="SL168" s="272"/>
      <c r="SM168" s="205">
        <f t="shared" si="1487"/>
        <v>0</v>
      </c>
      <c r="SN168" s="207"/>
      <c r="SO168" s="207"/>
      <c r="SP168" s="207"/>
      <c r="SQ168" s="207"/>
      <c r="SR168" s="207"/>
      <c r="SS168" s="272"/>
      <c r="ST168" s="272"/>
      <c r="SU168" s="205">
        <f t="shared" si="1488"/>
        <v>0</v>
      </c>
      <c r="SV168" s="207"/>
      <c r="SW168" s="207"/>
      <c r="SX168" s="207"/>
      <c r="SY168" s="207"/>
      <c r="SZ168" s="207"/>
      <c r="TA168" s="272"/>
      <c r="TB168" s="272"/>
      <c r="TC168" s="205">
        <f t="shared" si="1489"/>
        <v>0</v>
      </c>
      <c r="TD168" s="207"/>
      <c r="TE168" s="207"/>
      <c r="TF168" s="207"/>
      <c r="TG168" s="207"/>
      <c r="TH168" s="207"/>
      <c r="TI168" s="272"/>
      <c r="TJ168" s="272"/>
      <c r="TK168" s="205">
        <f t="shared" si="1490"/>
        <v>0</v>
      </c>
      <c r="TL168" s="207"/>
      <c r="TM168" s="207"/>
      <c r="TN168" s="207"/>
      <c r="TO168" s="207"/>
      <c r="TP168" s="272"/>
      <c r="TQ168" s="272"/>
      <c r="TR168" s="272"/>
      <c r="TS168" s="205">
        <f t="shared" si="1491"/>
        <v>0</v>
      </c>
      <c r="TT168" s="205">
        <f t="shared" si="1492"/>
        <v>0</v>
      </c>
      <c r="TU168" s="272"/>
      <c r="TV168" s="207"/>
      <c r="TW168" s="207"/>
      <c r="TX168" s="207"/>
      <c r="TY168" s="207"/>
      <c r="TZ168" s="272"/>
      <c r="UA168" s="272"/>
      <c r="UB168" s="205">
        <f t="shared" si="1493"/>
        <v>0</v>
      </c>
      <c r="UC168" s="207"/>
      <c r="UD168" s="207"/>
      <c r="UE168" s="207"/>
      <c r="UF168" s="207"/>
      <c r="UG168" s="207"/>
      <c r="UH168" s="272"/>
      <c r="UI168" s="272"/>
      <c r="UJ168" s="205">
        <f t="shared" si="1494"/>
        <v>0</v>
      </c>
      <c r="UK168" s="207"/>
      <c r="UL168" s="207"/>
      <c r="UM168" s="120"/>
      <c r="UN168" s="207"/>
      <c r="UO168" s="207"/>
      <c r="UP168" s="272"/>
      <c r="UQ168" s="272"/>
      <c r="UR168" s="205">
        <f>SUM(UK168:UQ168)</f>
        <v>0</v>
      </c>
      <c r="US168" s="207"/>
      <c r="UT168" s="207"/>
      <c r="UU168" s="207"/>
      <c r="UV168" s="207"/>
      <c r="UW168" s="272"/>
      <c r="UX168" s="272"/>
      <c r="UY168" s="272"/>
      <c r="UZ168" s="205">
        <f t="shared" si="1496"/>
        <v>0</v>
      </c>
      <c r="VA168" s="205">
        <f t="shared" si="1497"/>
        <v>0</v>
      </c>
      <c r="VB168" s="207"/>
      <c r="VC168" s="207"/>
      <c r="VD168" s="207"/>
      <c r="VE168" s="207"/>
      <c r="VF168" s="207"/>
      <c r="VG168" s="272"/>
      <c r="VH168" s="272"/>
      <c r="VI168" s="205">
        <f t="shared" si="1498"/>
        <v>0</v>
      </c>
      <c r="VJ168" s="207"/>
      <c r="VK168" s="207"/>
      <c r="VL168" s="207"/>
      <c r="VM168" s="207"/>
      <c r="VN168" s="207"/>
      <c r="VO168" s="272"/>
      <c r="VP168" s="272"/>
      <c r="VQ168" s="205">
        <f t="shared" si="1499"/>
        <v>0</v>
      </c>
      <c r="VR168" s="207"/>
      <c r="VS168" s="207"/>
      <c r="VT168" s="207"/>
      <c r="VU168" s="207"/>
      <c r="VV168" s="207"/>
      <c r="VW168" s="272"/>
      <c r="VX168" s="272"/>
      <c r="VY168" s="205">
        <f t="shared" si="1500"/>
        <v>0</v>
      </c>
      <c r="VZ168" s="207"/>
      <c r="WA168" s="207"/>
      <c r="WB168" s="207"/>
      <c r="WC168" s="207"/>
      <c r="WD168" s="207"/>
      <c r="WE168" s="272"/>
      <c r="WF168" s="272"/>
      <c r="WG168" s="205">
        <f t="shared" si="1501"/>
        <v>0</v>
      </c>
      <c r="WH168" s="205">
        <f t="shared" si="1502"/>
        <v>0</v>
      </c>
      <c r="WI168" s="207"/>
      <c r="WJ168" s="207"/>
      <c r="WK168" s="207"/>
      <c r="WL168" s="207"/>
      <c r="WM168" s="207"/>
      <c r="WN168" s="272"/>
      <c r="WO168" s="272"/>
      <c r="WP168" s="205">
        <f t="shared" si="1503"/>
        <v>0</v>
      </c>
      <c r="WQ168" s="120"/>
      <c r="WR168" s="120"/>
      <c r="WS168" s="120"/>
      <c r="WT168" s="120"/>
      <c r="WU168" s="207"/>
      <c r="WV168" s="272"/>
      <c r="WW168" s="272"/>
      <c r="WX168" s="205">
        <f t="shared" si="1504"/>
        <v>0</v>
      </c>
      <c r="WY168" s="207"/>
      <c r="WZ168" s="207"/>
      <c r="XA168" s="207"/>
      <c r="XB168" s="207"/>
      <c r="XC168" s="272"/>
      <c r="XD168" s="272"/>
      <c r="XE168" s="272"/>
      <c r="XF168" s="205">
        <f t="shared" si="1505"/>
        <v>0</v>
      </c>
      <c r="XG168" s="207"/>
      <c r="XH168" s="207"/>
      <c r="XI168" s="207"/>
      <c r="XJ168" s="207"/>
      <c r="XK168" s="207"/>
      <c r="XL168" s="272"/>
      <c r="XM168" s="272"/>
      <c r="XN168" s="205">
        <f t="shared" si="1506"/>
        <v>0</v>
      </c>
      <c r="XO168" s="207"/>
      <c r="XP168" s="207"/>
      <c r="XQ168" s="207"/>
      <c r="XR168" s="207"/>
      <c r="XS168" s="207"/>
      <c r="XT168" s="272"/>
      <c r="XU168" s="272"/>
      <c r="XV168" s="205">
        <f t="shared" si="1507"/>
        <v>0</v>
      </c>
      <c r="XW168" s="205">
        <f t="shared" si="1508"/>
        <v>0</v>
      </c>
      <c r="XX168" s="207"/>
      <c r="XY168" s="207"/>
      <c r="XZ168" s="207"/>
      <c r="YA168" s="207"/>
      <c r="YB168" s="207"/>
      <c r="YC168" s="272"/>
      <c r="YD168" s="272"/>
      <c r="YE168" s="205">
        <f t="shared" si="1509"/>
        <v>0</v>
      </c>
      <c r="YF168" s="207"/>
      <c r="YG168" s="207"/>
      <c r="YH168" s="207"/>
      <c r="YI168" s="207"/>
      <c r="YJ168" s="207"/>
      <c r="YK168" s="272"/>
      <c r="YL168" s="272"/>
      <c r="YM168" s="205">
        <f t="shared" si="1510"/>
        <v>0</v>
      </c>
      <c r="YN168" s="207"/>
      <c r="YO168" s="207"/>
      <c r="YP168" s="207"/>
      <c r="YQ168" s="207"/>
      <c r="YR168" s="207"/>
      <c r="YS168" s="272"/>
      <c r="YT168" s="272"/>
      <c r="YU168" s="205">
        <f t="shared" si="1511"/>
        <v>0</v>
      </c>
      <c r="YV168" s="207"/>
      <c r="YW168" s="207"/>
      <c r="YX168" s="207"/>
      <c r="YY168" s="207"/>
      <c r="YZ168" s="207"/>
      <c r="ZA168" s="272"/>
      <c r="ZB168" s="272"/>
      <c r="ZC168" s="205">
        <f t="shared" si="1512"/>
        <v>0</v>
      </c>
      <c r="ZD168" s="205">
        <f t="shared" si="1513"/>
        <v>0</v>
      </c>
      <c r="ZE168" s="207"/>
      <c r="ZF168" s="207"/>
      <c r="ZG168" s="207"/>
      <c r="ZH168" s="207"/>
      <c r="ZI168" s="207"/>
      <c r="ZJ168" s="272"/>
      <c r="ZK168" s="272"/>
      <c r="ZL168" s="205">
        <f t="shared" si="1514"/>
        <v>0</v>
      </c>
      <c r="ZM168" s="207"/>
      <c r="ZN168" s="207"/>
      <c r="ZO168" s="207"/>
      <c r="ZP168" s="207"/>
      <c r="ZQ168" s="207"/>
      <c r="ZR168" s="272"/>
      <c r="ZS168" s="272"/>
      <c r="ZT168" s="205">
        <f t="shared" si="1515"/>
        <v>0</v>
      </c>
      <c r="ZU168" s="207"/>
      <c r="ZV168" s="207"/>
      <c r="ZW168" s="207"/>
      <c r="ZX168" s="207"/>
      <c r="ZY168" s="207"/>
      <c r="ZZ168" s="272"/>
      <c r="AAA168" s="272"/>
      <c r="AAB168" s="205">
        <f t="shared" si="1516"/>
        <v>0</v>
      </c>
      <c r="AAC168" s="207"/>
      <c r="AAD168" s="207"/>
      <c r="AAE168" s="207"/>
      <c r="AAF168" s="207"/>
      <c r="AAG168" s="207"/>
      <c r="AAH168" s="272"/>
      <c r="AAI168" s="272"/>
      <c r="AAJ168" s="205">
        <f t="shared" si="1517"/>
        <v>0</v>
      </c>
      <c r="AAK168" s="207"/>
      <c r="AAL168" s="207"/>
      <c r="AAM168" s="207"/>
      <c r="AAN168" s="207"/>
      <c r="AAO168" s="207"/>
      <c r="AAP168" s="272"/>
      <c r="AAQ168" s="272"/>
      <c r="AAR168" s="205">
        <f t="shared" si="1518"/>
        <v>0</v>
      </c>
      <c r="AAS168" s="205">
        <f t="shared" si="1519"/>
        <v>0</v>
      </c>
    </row>
    <row r="169" spans="2:721" ht="69.95" customHeight="1">
      <c r="B169" s="180" t="s">
        <v>396</v>
      </c>
      <c r="C169" s="344" t="s">
        <v>887</v>
      </c>
      <c r="D169" s="214" t="s">
        <v>312</v>
      </c>
      <c r="E169" s="130" t="s">
        <v>4</v>
      </c>
      <c r="F169" s="120"/>
      <c r="G169" s="120"/>
      <c r="H169" s="201">
        <v>500</v>
      </c>
      <c r="I169" s="120"/>
      <c r="J169" s="120"/>
      <c r="K169" s="209"/>
      <c r="L169" s="205"/>
      <c r="M169" s="205">
        <f t="shared" si="1520"/>
        <v>500</v>
      </c>
      <c r="N169" s="124">
        <v>500</v>
      </c>
      <c r="O169" s="120"/>
      <c r="P169" s="120"/>
      <c r="Q169" s="120"/>
      <c r="R169" s="120"/>
      <c r="S169" s="209"/>
      <c r="T169" s="205"/>
      <c r="U169" s="205">
        <f t="shared" si="1521"/>
        <v>500</v>
      </c>
      <c r="V169" s="120"/>
      <c r="W169" s="120"/>
      <c r="X169" s="120"/>
      <c r="Y169" s="120"/>
      <c r="Z169" s="120"/>
      <c r="AA169" s="209"/>
      <c r="AB169" s="205"/>
      <c r="AC169" s="205">
        <f t="shared" si="1522"/>
        <v>0</v>
      </c>
      <c r="AD169" s="205"/>
      <c r="AE169" s="205"/>
      <c r="AF169" s="205"/>
      <c r="AG169" s="205"/>
      <c r="AH169" s="205"/>
      <c r="AI169" s="209"/>
      <c r="AJ169" s="205"/>
      <c r="AK169" s="205">
        <f t="shared" si="1523"/>
        <v>0</v>
      </c>
      <c r="AL169" s="205" t="e">
        <f>SUM(#REF!,M169,U169,AC169,AD169:AH169)</f>
        <v>#REF!</v>
      </c>
      <c r="AM169" s="120"/>
      <c r="AN169" s="120"/>
      <c r="AO169" s="120"/>
      <c r="AP169" s="124">
        <v>500</v>
      </c>
      <c r="AQ169" s="120"/>
      <c r="AR169" s="209"/>
      <c r="AS169" s="205"/>
      <c r="AT169" s="205">
        <f t="shared" si="1524"/>
        <v>500</v>
      </c>
      <c r="AU169" s="120"/>
      <c r="AV169" s="120"/>
      <c r="AW169" s="120"/>
      <c r="AX169" s="120"/>
      <c r="AY169" s="120"/>
      <c r="AZ169" s="209"/>
      <c r="BA169" s="205"/>
      <c r="BB169" s="205">
        <f t="shared" si="1525"/>
        <v>0</v>
      </c>
      <c r="BC169" s="120"/>
      <c r="BD169" s="120"/>
      <c r="BE169" s="120"/>
      <c r="BF169" s="120"/>
      <c r="BG169" s="120"/>
      <c r="BH169" s="209"/>
      <c r="BI169" s="205"/>
      <c r="BJ169" s="205">
        <f t="shared" si="1526"/>
        <v>0</v>
      </c>
      <c r="BK169" s="120"/>
      <c r="BL169" s="120"/>
      <c r="BM169" s="120"/>
      <c r="BN169" s="120"/>
      <c r="BO169" s="205"/>
      <c r="BP169" s="209"/>
      <c r="BQ169" s="205"/>
      <c r="BR169" s="205">
        <f t="shared" si="1527"/>
        <v>0</v>
      </c>
      <c r="BS169" s="205">
        <f t="shared" si="1427"/>
        <v>500</v>
      </c>
      <c r="BT169" s="120"/>
      <c r="BU169" s="120"/>
      <c r="BV169" s="120"/>
      <c r="BW169" s="120"/>
      <c r="BX169" s="250">
        <v>470</v>
      </c>
      <c r="BY169" s="209"/>
      <c r="BZ169" s="205"/>
      <c r="CA169" s="205">
        <f t="shared" si="1528"/>
        <v>470</v>
      </c>
      <c r="CB169" s="120"/>
      <c r="CC169" s="120"/>
      <c r="CD169" s="120"/>
      <c r="CE169" s="120"/>
      <c r="CF169" s="120"/>
      <c r="CG169" s="209"/>
      <c r="CH169" s="205"/>
      <c r="CI169" s="205">
        <f t="shared" si="1529"/>
        <v>0</v>
      </c>
      <c r="CJ169" s="120"/>
      <c r="CK169" s="120"/>
      <c r="CL169" s="120"/>
      <c r="CM169" s="120"/>
      <c r="CN169" s="120"/>
      <c r="CO169" s="209"/>
      <c r="CP169" s="205"/>
      <c r="CQ169" s="205">
        <f t="shared" si="1530"/>
        <v>0</v>
      </c>
      <c r="CR169" s="120"/>
      <c r="CS169" s="120"/>
      <c r="CT169" s="120"/>
      <c r="CU169" s="250">
        <v>200</v>
      </c>
      <c r="CV169" s="120"/>
      <c r="CW169" s="209"/>
      <c r="CX169" s="205"/>
      <c r="CY169" s="205">
        <f t="shared" si="1531"/>
        <v>200</v>
      </c>
      <c r="CZ169" s="120"/>
      <c r="DA169" s="120"/>
      <c r="DB169" s="120"/>
      <c r="DC169" s="205"/>
      <c r="DD169" s="205"/>
      <c r="DE169" s="209"/>
      <c r="DF169" s="205"/>
      <c r="DG169" s="205">
        <f t="shared" si="1532"/>
        <v>0</v>
      </c>
      <c r="DH169" s="205">
        <f t="shared" si="1428"/>
        <v>670</v>
      </c>
      <c r="DI169" s="120"/>
      <c r="DJ169" s="120"/>
      <c r="DK169" s="250">
        <v>200</v>
      </c>
      <c r="DL169" s="120"/>
      <c r="DM169" s="120"/>
      <c r="DN169" s="209"/>
      <c r="DO169" s="205"/>
      <c r="DP169" s="205">
        <f t="shared" si="1432"/>
        <v>200</v>
      </c>
      <c r="DQ169" s="120"/>
      <c r="DR169" s="120"/>
      <c r="DS169" s="120"/>
      <c r="DT169" s="120"/>
      <c r="DU169" s="250">
        <v>200</v>
      </c>
      <c r="DV169" s="209"/>
      <c r="DW169" s="205"/>
      <c r="DX169" s="205">
        <f t="shared" si="1433"/>
        <v>200</v>
      </c>
      <c r="DY169" s="120"/>
      <c r="DZ169" s="120"/>
      <c r="EA169" s="120"/>
      <c r="EB169" s="120"/>
      <c r="EC169" s="120"/>
      <c r="ED169" s="209"/>
      <c r="EE169" s="205"/>
      <c r="EF169" s="205">
        <f t="shared" si="1434"/>
        <v>0</v>
      </c>
      <c r="EG169" s="217">
        <v>50</v>
      </c>
      <c r="EH169" s="120"/>
      <c r="EI169" s="217">
        <v>100</v>
      </c>
      <c r="EJ169" s="205"/>
      <c r="EK169" s="205"/>
      <c r="EL169" s="209"/>
      <c r="EM169" s="205"/>
      <c r="EN169" s="205">
        <f t="shared" si="1435"/>
        <v>150</v>
      </c>
      <c r="EO169" s="205">
        <f t="shared" si="1429"/>
        <v>550</v>
      </c>
      <c r="EP169" s="217">
        <v>500</v>
      </c>
      <c r="EQ169" s="120"/>
      <c r="ER169" s="120"/>
      <c r="ES169" s="120"/>
      <c r="ET169" s="120"/>
      <c r="EU169" s="209"/>
      <c r="EV169" s="205"/>
      <c r="EW169" s="205">
        <f t="shared" si="1436"/>
        <v>500</v>
      </c>
      <c r="EX169" s="120"/>
      <c r="EY169" s="120"/>
      <c r="EZ169" s="120"/>
      <c r="FA169" s="120"/>
      <c r="FB169" s="250">
        <v>500</v>
      </c>
      <c r="FC169" s="209"/>
      <c r="FD169" s="205"/>
      <c r="FE169" s="205">
        <f t="shared" si="1437"/>
        <v>500</v>
      </c>
      <c r="FF169" s="120"/>
      <c r="FG169" s="120"/>
      <c r="FH169" s="120"/>
      <c r="FI169" s="120"/>
      <c r="FJ169" s="120"/>
      <c r="FK169" s="209"/>
      <c r="FL169" s="205"/>
      <c r="FM169" s="205">
        <f t="shared" si="1438"/>
        <v>0</v>
      </c>
      <c r="FN169" s="120"/>
      <c r="FO169" s="120"/>
      <c r="FP169" s="120"/>
      <c r="FQ169" s="120"/>
      <c r="FR169" s="205"/>
      <c r="FS169" s="209"/>
      <c r="FT169" s="205"/>
      <c r="FU169" s="205">
        <f t="shared" si="1439"/>
        <v>0</v>
      </c>
      <c r="FV169" s="205">
        <f t="shared" si="1430"/>
        <v>1000</v>
      </c>
      <c r="FW169" s="201">
        <v>90</v>
      </c>
      <c r="FX169" s="120"/>
      <c r="FY169" s="201">
        <v>100</v>
      </c>
      <c r="FZ169" s="120"/>
      <c r="GA169" s="120"/>
      <c r="GB169" s="209"/>
      <c r="GC169" s="205"/>
      <c r="GD169" s="205">
        <f t="shared" si="1440"/>
        <v>190</v>
      </c>
      <c r="GE169" s="120"/>
      <c r="GF169" s="120"/>
      <c r="GG169" s="120"/>
      <c r="GH169" s="120"/>
      <c r="GI169" s="120"/>
      <c r="GJ169" s="209"/>
      <c r="GK169" s="205"/>
      <c r="GL169" s="205">
        <f t="shared" si="1441"/>
        <v>0</v>
      </c>
      <c r="GM169" s="120"/>
      <c r="GN169" s="120"/>
      <c r="GO169" s="250">
        <v>250</v>
      </c>
      <c r="GP169" s="250">
        <v>100</v>
      </c>
      <c r="GQ169" s="120"/>
      <c r="GR169" s="209"/>
      <c r="GS169" s="205"/>
      <c r="GT169" s="205">
        <f>SUM(GM169:GS169)</f>
        <v>350</v>
      </c>
      <c r="GU169" s="120"/>
      <c r="GV169" s="120"/>
      <c r="GW169" s="120"/>
      <c r="GX169" s="120"/>
      <c r="GY169" s="120"/>
      <c r="GZ169" s="209"/>
      <c r="HA169" s="205"/>
      <c r="HB169" s="205">
        <f t="shared" si="1443"/>
        <v>0</v>
      </c>
      <c r="HC169" s="120"/>
      <c r="HD169" s="120"/>
      <c r="HE169" s="120"/>
      <c r="HF169" s="120"/>
      <c r="HG169" s="120"/>
      <c r="HH169" s="209"/>
      <c r="HI169" s="205"/>
      <c r="HJ169" s="205">
        <f t="shared" si="1444"/>
        <v>0</v>
      </c>
      <c r="HK169" s="205">
        <f t="shared" si="1431"/>
        <v>540</v>
      </c>
      <c r="HL169" s="124"/>
      <c r="HM169" s="123">
        <v>780</v>
      </c>
      <c r="HN169" s="120"/>
      <c r="HO169" s="120"/>
      <c r="HP169" s="120"/>
      <c r="HQ169" s="205"/>
      <c r="HR169" s="205"/>
      <c r="HS169" s="205">
        <f t="shared" si="1445"/>
        <v>780</v>
      </c>
      <c r="HT169" s="120"/>
      <c r="HU169" s="120"/>
      <c r="HV169" s="120"/>
      <c r="HW169" s="120"/>
      <c r="HX169" s="120"/>
      <c r="HY169" s="205"/>
      <c r="HZ169" s="205"/>
      <c r="IA169" s="205">
        <f t="shared" si="1446"/>
        <v>0</v>
      </c>
      <c r="IB169" s="120"/>
      <c r="IC169" s="120"/>
      <c r="ID169" s="120"/>
      <c r="IE169" s="120"/>
      <c r="IF169" s="120"/>
      <c r="IG169" s="205"/>
      <c r="IH169" s="205"/>
      <c r="II169" s="205">
        <f t="shared" si="1447"/>
        <v>0</v>
      </c>
      <c r="IJ169" s="120"/>
      <c r="IK169" s="201">
        <v>350</v>
      </c>
      <c r="IL169" s="120"/>
      <c r="IM169" s="120"/>
      <c r="IN169" s="120"/>
      <c r="IO169" s="205"/>
      <c r="IP169" s="205"/>
      <c r="IQ169" s="205">
        <f t="shared" si="1448"/>
        <v>350</v>
      </c>
      <c r="IR169" s="205">
        <f t="shared" si="1449"/>
        <v>1130</v>
      </c>
      <c r="IS169" s="120"/>
      <c r="IT169" s="120"/>
      <c r="IU169" s="120"/>
      <c r="IV169" s="120"/>
      <c r="IW169" s="120"/>
      <c r="IX169" s="205"/>
      <c r="IY169" s="205"/>
      <c r="IZ169" s="205">
        <f t="shared" si="1450"/>
        <v>0</v>
      </c>
      <c r="JA169" s="120"/>
      <c r="JB169" s="124">
        <v>400</v>
      </c>
      <c r="JC169" s="120"/>
      <c r="JD169" s="120"/>
      <c r="JE169" s="120"/>
      <c r="JF169" s="205"/>
      <c r="JG169" s="205"/>
      <c r="JH169" s="205">
        <f t="shared" si="1451"/>
        <v>400</v>
      </c>
      <c r="JI169" s="120"/>
      <c r="JJ169" s="120"/>
      <c r="JK169" s="120"/>
      <c r="JL169" s="120"/>
      <c r="JM169" s="120"/>
      <c r="JN169" s="205"/>
      <c r="JO169" s="205"/>
      <c r="JP169" s="205">
        <f t="shared" si="1452"/>
        <v>0</v>
      </c>
      <c r="JQ169" s="120"/>
      <c r="JR169" s="120"/>
      <c r="JS169" s="120"/>
      <c r="JT169" s="120"/>
      <c r="JU169" s="123">
        <v>610</v>
      </c>
      <c r="JV169" s="205"/>
      <c r="JW169" s="205"/>
      <c r="JX169" s="205">
        <f t="shared" si="1453"/>
        <v>610</v>
      </c>
      <c r="JY169" s="205">
        <f t="shared" si="1454"/>
        <v>1010</v>
      </c>
      <c r="JZ169" s="120"/>
      <c r="KA169" s="120"/>
      <c r="KB169" s="120"/>
      <c r="KC169" s="120"/>
      <c r="KD169" s="120"/>
      <c r="KE169" s="205"/>
      <c r="KF169" s="205"/>
      <c r="KG169" s="205">
        <f t="shared" si="1455"/>
        <v>0</v>
      </c>
      <c r="KH169" s="120"/>
      <c r="KI169" s="120"/>
      <c r="KJ169" s="120"/>
      <c r="KK169" s="120"/>
      <c r="KL169" s="120"/>
      <c r="KM169" s="205"/>
      <c r="KN169" s="205"/>
      <c r="KO169" s="205">
        <f t="shared" si="1456"/>
        <v>0</v>
      </c>
      <c r="KP169" s="120"/>
      <c r="KQ169" s="201">
        <v>700</v>
      </c>
      <c r="KR169" s="120"/>
      <c r="KS169" s="120"/>
      <c r="KT169" s="124">
        <v>1000</v>
      </c>
      <c r="KU169" s="205"/>
      <c r="KV169" s="205"/>
      <c r="KW169" s="205">
        <f t="shared" si="1457"/>
        <v>1700</v>
      </c>
      <c r="KX169" s="120"/>
      <c r="KY169" s="195">
        <v>800</v>
      </c>
      <c r="KZ169" s="120"/>
      <c r="LA169" s="120"/>
      <c r="LB169" s="120"/>
      <c r="LC169" s="205"/>
      <c r="LD169" s="205"/>
      <c r="LE169" s="205">
        <f t="shared" si="1458"/>
        <v>800</v>
      </c>
      <c r="LF169" s="205"/>
      <c r="LG169" s="120"/>
      <c r="LH169" s="217">
        <v>390</v>
      </c>
      <c r="LI169" s="120"/>
      <c r="LJ169" s="120"/>
      <c r="LK169" s="205"/>
      <c r="LL169" s="205"/>
      <c r="LM169" s="205">
        <f t="shared" si="1459"/>
        <v>390</v>
      </c>
      <c r="LN169" s="205">
        <f t="shared" si="1460"/>
        <v>2500</v>
      </c>
      <c r="LO169" s="205"/>
      <c r="LP169" s="120"/>
      <c r="LQ169" s="120"/>
      <c r="LR169" s="120"/>
      <c r="LS169" s="205"/>
      <c r="LT169" s="205"/>
      <c r="LU169" s="205"/>
      <c r="LV169" s="205">
        <f t="shared" si="1461"/>
        <v>0</v>
      </c>
      <c r="LW169" s="120"/>
      <c r="LX169" s="120"/>
      <c r="LY169" s="124">
        <v>400</v>
      </c>
      <c r="LZ169" s="120"/>
      <c r="MA169" s="120"/>
      <c r="MB169" s="205"/>
      <c r="MC169" s="205"/>
      <c r="MD169" s="205">
        <f t="shared" si="1462"/>
        <v>400</v>
      </c>
      <c r="ME169" s="120"/>
      <c r="MF169" s="120"/>
      <c r="MG169" s="120"/>
      <c r="MH169" s="120"/>
      <c r="MI169" s="205"/>
      <c r="MJ169" s="205"/>
      <c r="MK169" s="205"/>
      <c r="ML169" s="205">
        <f t="shared" si="1463"/>
        <v>0</v>
      </c>
      <c r="MM169" s="120"/>
      <c r="MN169" s="124">
        <v>800</v>
      </c>
      <c r="MO169" s="120"/>
      <c r="MP169" s="120"/>
      <c r="MQ169" s="120"/>
      <c r="MR169" s="205"/>
      <c r="MS169" s="205"/>
      <c r="MT169" s="205">
        <f t="shared" si="1464"/>
        <v>800</v>
      </c>
      <c r="MU169" s="205">
        <f t="shared" si="1465"/>
        <v>1590</v>
      </c>
      <c r="MV169" s="120"/>
      <c r="MW169" s="120"/>
      <c r="MX169" s="120"/>
      <c r="MY169" s="120"/>
      <c r="MZ169" s="120"/>
      <c r="NA169" s="205"/>
      <c r="NB169" s="205"/>
      <c r="NC169" s="205">
        <f t="shared" si="1466"/>
        <v>0</v>
      </c>
      <c r="ND169" s="120"/>
      <c r="NE169" s="120"/>
      <c r="NF169" s="120"/>
      <c r="NG169" s="201">
        <v>500</v>
      </c>
      <c r="NH169" s="120"/>
      <c r="NI169" s="205"/>
      <c r="NJ169" s="205"/>
      <c r="NK169" s="205">
        <f t="shared" si="1467"/>
        <v>500</v>
      </c>
      <c r="NL169" s="120"/>
      <c r="NM169" s="120"/>
      <c r="NN169" s="123">
        <v>120</v>
      </c>
      <c r="NO169" s="120"/>
      <c r="NP169" s="120"/>
      <c r="NQ169" s="205"/>
      <c r="NR169" s="205"/>
      <c r="NS169" s="205">
        <f t="shared" si="1468"/>
        <v>120</v>
      </c>
      <c r="NT169" s="120"/>
      <c r="NU169" s="120"/>
      <c r="NV169" s="217">
        <v>500</v>
      </c>
      <c r="NW169" s="120"/>
      <c r="NX169" s="120"/>
      <c r="NY169" s="205"/>
      <c r="NZ169" s="205"/>
      <c r="OA169" s="205">
        <f t="shared" si="1469"/>
        <v>500</v>
      </c>
      <c r="OB169" s="205">
        <f t="shared" si="1470"/>
        <v>1120</v>
      </c>
      <c r="OC169" s="120"/>
      <c r="OD169" s="120"/>
      <c r="OE169" s="120"/>
      <c r="OF169" s="120"/>
      <c r="OG169" s="120"/>
      <c r="OH169" s="205"/>
      <c r="OI169" s="205"/>
      <c r="OJ169" s="205">
        <f t="shared" si="1471"/>
        <v>0</v>
      </c>
      <c r="OK169" s="120"/>
      <c r="OL169" s="120"/>
      <c r="OM169" s="120"/>
      <c r="ON169" s="124">
        <v>500</v>
      </c>
      <c r="OO169" s="120"/>
      <c r="OP169" s="205"/>
      <c r="OQ169" s="205"/>
      <c r="OR169" s="205">
        <f t="shared" si="1472"/>
        <v>500</v>
      </c>
      <c r="OS169" s="120"/>
      <c r="OT169" s="120"/>
      <c r="OU169" s="120"/>
      <c r="OV169" s="120"/>
      <c r="OW169" s="120"/>
      <c r="OX169" s="205"/>
      <c r="OY169" s="205"/>
      <c r="OZ169" s="205">
        <f t="shared" si="1473"/>
        <v>0</v>
      </c>
      <c r="PA169" s="120"/>
      <c r="PB169" s="120"/>
      <c r="PC169" s="120"/>
      <c r="PD169" s="205"/>
      <c r="PE169" s="217"/>
      <c r="PF169" s="205"/>
      <c r="PG169" s="205"/>
      <c r="PH169" s="205">
        <f t="shared" si="1474"/>
        <v>0</v>
      </c>
      <c r="PJ169" s="120"/>
      <c r="PK169" s="120"/>
      <c r="PL169" s="205"/>
      <c r="PM169" s="217"/>
      <c r="PN169" s="205"/>
      <c r="PO169" s="205"/>
      <c r="PP169" s="205">
        <f>SUM(PJ169:PO169)</f>
        <v>0</v>
      </c>
      <c r="PQ169" s="205">
        <f>SUM(OJ169,OR169,OZ169,PH169,PJ169:PK169)</f>
        <v>500</v>
      </c>
      <c r="PR169" s="120"/>
      <c r="PS169" s="120"/>
      <c r="PT169" s="206">
        <v>500</v>
      </c>
      <c r="PU169" s="206">
        <v>400</v>
      </c>
      <c r="PV169" s="120"/>
      <c r="PW169" s="272"/>
      <c r="PX169" s="272"/>
      <c r="PY169" s="205">
        <f t="shared" si="1477"/>
        <v>900</v>
      </c>
      <c r="PZ169" s="207"/>
      <c r="QA169" s="207"/>
      <c r="QB169" s="207"/>
      <c r="QC169" s="120"/>
      <c r="QD169" s="207"/>
      <c r="QE169" s="272"/>
      <c r="QF169" s="272"/>
      <c r="QG169" s="205">
        <f t="shared" si="1478"/>
        <v>0</v>
      </c>
      <c r="QH169" s="207"/>
      <c r="QI169" s="207"/>
      <c r="QJ169" s="250"/>
      <c r="QK169" s="201">
        <v>500</v>
      </c>
      <c r="QL169" s="207"/>
      <c r="QM169" s="272"/>
      <c r="QN169" s="272"/>
      <c r="QO169" s="205">
        <f t="shared" si="1479"/>
        <v>500</v>
      </c>
      <c r="QP169" s="207"/>
      <c r="QQ169" s="207"/>
      <c r="QR169" s="207"/>
      <c r="QS169" s="207"/>
      <c r="QT169" s="207"/>
      <c r="QU169" s="272"/>
      <c r="QV169" s="272"/>
      <c r="QW169" s="205">
        <f t="shared" si="1480"/>
        <v>0</v>
      </c>
      <c r="QX169" s="205">
        <f t="shared" si="1481"/>
        <v>1400</v>
      </c>
      <c r="QY169" s="207"/>
      <c r="QZ169" s="207"/>
      <c r="RA169" s="207"/>
      <c r="RB169" s="207"/>
      <c r="RC169" s="207"/>
      <c r="RD169" s="272"/>
      <c r="RE169" s="272"/>
      <c r="RF169" s="205">
        <f t="shared" si="1482"/>
        <v>0</v>
      </c>
      <c r="RG169" s="207"/>
      <c r="RH169" s="207"/>
      <c r="RI169" s="207"/>
      <c r="RJ169" s="207"/>
      <c r="RK169" s="207"/>
      <c r="RL169" s="272"/>
      <c r="RM169" s="272"/>
      <c r="RN169" s="205">
        <f t="shared" si="1483"/>
        <v>0</v>
      </c>
      <c r="RO169" s="272"/>
      <c r="RP169" s="272"/>
      <c r="RQ169" s="272"/>
      <c r="RR169" s="272"/>
      <c r="RS169" s="272"/>
      <c r="RT169" s="272"/>
      <c r="RU169" s="272"/>
      <c r="RV169" s="205">
        <f t="shared" si="1484"/>
        <v>0</v>
      </c>
      <c r="RW169" s="207"/>
      <c r="RX169" s="207"/>
      <c r="RY169" s="207"/>
      <c r="RZ169" s="207"/>
      <c r="SA169" s="272"/>
      <c r="SB169" s="272"/>
      <c r="SC169" s="272"/>
      <c r="SD169" s="205">
        <f t="shared" si="1485"/>
        <v>0</v>
      </c>
      <c r="SE169" s="205">
        <f t="shared" si="1486"/>
        <v>0</v>
      </c>
      <c r="SF169" s="207"/>
      <c r="SG169" s="207"/>
      <c r="SH169" s="207"/>
      <c r="SI169" s="207"/>
      <c r="SJ169" s="207"/>
      <c r="SK169" s="272"/>
      <c r="SL169" s="272"/>
      <c r="SM169" s="205">
        <f t="shared" si="1487"/>
        <v>0</v>
      </c>
      <c r="SN169" s="217">
        <v>200</v>
      </c>
      <c r="SO169" s="207"/>
      <c r="SP169" s="207"/>
      <c r="SQ169" s="207"/>
      <c r="SR169" s="124">
        <v>460</v>
      </c>
      <c r="SS169" s="272"/>
      <c r="ST169" s="272"/>
      <c r="SU169" s="205">
        <f t="shared" si="1488"/>
        <v>660</v>
      </c>
      <c r="SV169" s="207"/>
      <c r="SW169" s="207"/>
      <c r="SX169" s="207"/>
      <c r="SY169" s="207"/>
      <c r="SZ169" s="207"/>
      <c r="TA169" s="272"/>
      <c r="TB169" s="272"/>
      <c r="TC169" s="205">
        <f t="shared" si="1489"/>
        <v>0</v>
      </c>
      <c r="TD169" s="207"/>
      <c r="TE169" s="207"/>
      <c r="TF169" s="124">
        <v>500</v>
      </c>
      <c r="TG169" s="207"/>
      <c r="TH169" s="207"/>
      <c r="TI169" s="272"/>
      <c r="TJ169" s="272"/>
      <c r="TK169" s="205">
        <f t="shared" si="1490"/>
        <v>500</v>
      </c>
      <c r="TL169" s="207"/>
      <c r="TM169" s="207"/>
      <c r="TN169" s="120"/>
      <c r="TO169" s="207"/>
      <c r="TP169" s="272"/>
      <c r="TQ169" s="272"/>
      <c r="TR169" s="272"/>
      <c r="TS169" s="205">
        <f t="shared" si="1491"/>
        <v>0</v>
      </c>
      <c r="TT169" s="205">
        <f t="shared" si="1492"/>
        <v>1160</v>
      </c>
      <c r="TU169" s="272"/>
      <c r="TV169" s="207"/>
      <c r="TW169" s="207"/>
      <c r="TX169" s="207"/>
      <c r="TY169" s="207"/>
      <c r="TZ169" s="272"/>
      <c r="UA169" s="272"/>
      <c r="UB169" s="205">
        <f t="shared" si="1493"/>
        <v>0</v>
      </c>
      <c r="UC169" s="207"/>
      <c r="UD169" s="207"/>
      <c r="UE169" s="207"/>
      <c r="UF169" s="217">
        <v>500</v>
      </c>
      <c r="UG169" s="207"/>
      <c r="UH169" s="272"/>
      <c r="UI169" s="272"/>
      <c r="UJ169" s="205">
        <f t="shared" si="1494"/>
        <v>500</v>
      </c>
      <c r="UK169" s="207"/>
      <c r="UL169" s="217">
        <v>500</v>
      </c>
      <c r="UM169" s="120"/>
      <c r="UO169" s="207"/>
      <c r="UP169" s="272"/>
      <c r="UQ169" s="272"/>
      <c r="UR169" s="205">
        <f>SUM(UK169:UQ169)</f>
        <v>500</v>
      </c>
      <c r="US169" s="207"/>
      <c r="UT169" s="207"/>
      <c r="UU169" s="195">
        <v>150</v>
      </c>
      <c r="UV169" s="207"/>
      <c r="UW169" s="272"/>
      <c r="UX169" s="272"/>
      <c r="UY169" s="272"/>
      <c r="UZ169" s="205">
        <f t="shared" si="1496"/>
        <v>150</v>
      </c>
      <c r="VA169" s="205">
        <f>SUM(TN169:TR169,UB169,UJ169,UR169,US169:UV169)</f>
        <v>1150</v>
      </c>
      <c r="VB169" s="207"/>
      <c r="VC169" s="207"/>
      <c r="VD169" s="207"/>
      <c r="VE169" s="207"/>
      <c r="VF169" s="207"/>
      <c r="VG169" s="272"/>
      <c r="VH169" s="272"/>
      <c r="VI169" s="205">
        <f t="shared" si="1498"/>
        <v>0</v>
      </c>
      <c r="VJ169" s="207"/>
      <c r="VK169" s="207"/>
      <c r="VL169" s="207"/>
      <c r="VM169" s="207"/>
      <c r="VN169" s="207"/>
      <c r="VO169" s="272"/>
      <c r="VP169" s="272"/>
      <c r="VQ169" s="205">
        <f t="shared" si="1499"/>
        <v>0</v>
      </c>
      <c r="VR169" s="207"/>
      <c r="VS169" s="207"/>
      <c r="VT169" s="207"/>
      <c r="VU169" s="195">
        <v>1000</v>
      </c>
      <c r="VV169" s="207"/>
      <c r="VW169" s="272"/>
      <c r="VX169" s="272"/>
      <c r="VY169" s="205">
        <f t="shared" si="1500"/>
        <v>1000</v>
      </c>
      <c r="VZ169" s="207"/>
      <c r="WA169" s="207"/>
      <c r="WB169" s="207"/>
      <c r="WC169" s="207"/>
      <c r="WD169" s="207"/>
      <c r="WE169" s="272"/>
      <c r="WF169" s="272"/>
      <c r="WG169" s="205">
        <f t="shared" si="1501"/>
        <v>0</v>
      </c>
      <c r="WH169" s="205">
        <f t="shared" si="1502"/>
        <v>1000</v>
      </c>
      <c r="WI169" s="207"/>
      <c r="WJ169" s="207"/>
      <c r="WK169" s="207"/>
      <c r="WL169" s="207"/>
      <c r="WM169" s="207"/>
      <c r="WN169" s="272"/>
      <c r="WO169" s="272"/>
      <c r="WP169" s="205">
        <f t="shared" si="1503"/>
        <v>0</v>
      </c>
      <c r="WQ169" s="120"/>
      <c r="WR169" s="120"/>
      <c r="WS169" s="120">
        <v>500</v>
      </c>
      <c r="WT169" s="120"/>
      <c r="WU169" s="207"/>
      <c r="WV169" s="272"/>
      <c r="WW169" s="272"/>
      <c r="WX169" s="205">
        <f t="shared" si="1504"/>
        <v>500</v>
      </c>
      <c r="WY169" s="207"/>
      <c r="WZ169" s="207"/>
      <c r="XA169" s="207"/>
      <c r="XB169" s="207"/>
      <c r="XC169" s="272"/>
      <c r="XD169" s="272"/>
      <c r="XE169" s="272"/>
      <c r="XF169" s="205">
        <f t="shared" si="1505"/>
        <v>0</v>
      </c>
      <c r="XG169" s="207"/>
      <c r="XH169" s="207"/>
      <c r="XI169" s="207"/>
      <c r="XJ169" s="207"/>
      <c r="XK169" s="207"/>
      <c r="XL169" s="272"/>
      <c r="XM169" s="272"/>
      <c r="XN169" s="205">
        <f t="shared" si="1506"/>
        <v>0</v>
      </c>
      <c r="XO169" s="207"/>
      <c r="XP169" s="207"/>
      <c r="XQ169" s="207"/>
      <c r="XR169" s="207"/>
      <c r="XS169" s="207"/>
      <c r="XT169" s="272"/>
      <c r="XU169" s="272"/>
      <c r="XV169" s="205">
        <f t="shared" si="1507"/>
        <v>0</v>
      </c>
      <c r="XW169" s="205">
        <f t="shared" si="1508"/>
        <v>500</v>
      </c>
      <c r="XX169" s="207"/>
      <c r="XY169" s="207"/>
      <c r="XZ169" s="207"/>
      <c r="YA169" s="207"/>
      <c r="YB169" s="207"/>
      <c r="YC169" s="272"/>
      <c r="YD169" s="272"/>
      <c r="YE169" s="205">
        <f t="shared" si="1509"/>
        <v>0</v>
      </c>
      <c r="YF169" s="207"/>
      <c r="YG169" s="207"/>
      <c r="YH169" s="207"/>
      <c r="YI169" s="207"/>
      <c r="YJ169" s="207"/>
      <c r="YK169" s="272"/>
      <c r="YL169" s="272"/>
      <c r="YM169" s="205">
        <f t="shared" si="1510"/>
        <v>0</v>
      </c>
      <c r="YN169" s="207"/>
      <c r="YO169" s="207"/>
      <c r="YP169" s="207"/>
      <c r="YQ169" s="207"/>
      <c r="YR169" s="207"/>
      <c r="YS169" s="272"/>
      <c r="YT169" s="272"/>
      <c r="YU169" s="205">
        <f t="shared" si="1511"/>
        <v>0</v>
      </c>
      <c r="YV169" s="207"/>
      <c r="YW169" s="207"/>
      <c r="YX169" s="207"/>
      <c r="YY169" s="207"/>
      <c r="YZ169" s="207"/>
      <c r="ZA169" s="272"/>
      <c r="ZB169" s="272"/>
      <c r="ZC169" s="205">
        <f t="shared" si="1512"/>
        <v>0</v>
      </c>
      <c r="ZD169" s="205">
        <f t="shared" si="1513"/>
        <v>500</v>
      </c>
      <c r="ZE169" s="207"/>
      <c r="ZF169" s="207"/>
      <c r="ZG169" s="207"/>
      <c r="ZH169" s="207"/>
      <c r="ZI169" s="207"/>
      <c r="ZJ169" s="272"/>
      <c r="ZK169" s="272"/>
      <c r="ZL169" s="205">
        <f t="shared" si="1514"/>
        <v>0</v>
      </c>
      <c r="ZM169" s="207"/>
      <c r="ZN169" s="207"/>
      <c r="ZO169" s="207"/>
      <c r="ZP169" s="207"/>
      <c r="ZQ169" s="207"/>
      <c r="ZR169" s="272"/>
      <c r="ZS169" s="272"/>
      <c r="ZT169" s="205">
        <f t="shared" si="1515"/>
        <v>0</v>
      </c>
      <c r="ZU169" s="207"/>
      <c r="ZV169" s="207"/>
      <c r="ZW169" s="207"/>
      <c r="ZX169" s="207"/>
      <c r="ZY169" s="207"/>
      <c r="ZZ169" s="272"/>
      <c r="AAA169" s="272"/>
      <c r="AAB169" s="205">
        <f t="shared" si="1516"/>
        <v>0</v>
      </c>
      <c r="AAC169" s="207"/>
      <c r="AAD169" s="207"/>
      <c r="AAE169" s="207"/>
      <c r="AAF169" s="207"/>
      <c r="AAG169" s="207"/>
      <c r="AAH169" s="272"/>
      <c r="AAI169" s="272"/>
      <c r="AAJ169" s="205">
        <f t="shared" si="1517"/>
        <v>0</v>
      </c>
      <c r="AAK169" s="207"/>
      <c r="AAL169" s="207"/>
      <c r="AAM169" s="207"/>
      <c r="AAN169" s="207"/>
      <c r="AAO169" s="207"/>
      <c r="AAP169" s="272"/>
      <c r="AAQ169" s="272"/>
      <c r="AAR169" s="205">
        <f t="shared" si="1518"/>
        <v>0</v>
      </c>
      <c r="AAS169" s="205">
        <f t="shared" si="1519"/>
        <v>0</v>
      </c>
    </row>
    <row r="170" spans="2:721" ht="69.95" customHeight="1">
      <c r="B170" s="180" t="s">
        <v>407</v>
      </c>
      <c r="C170" s="344" t="s">
        <v>887</v>
      </c>
      <c r="D170" s="215" t="s">
        <v>410</v>
      </c>
      <c r="E170" s="130" t="s">
        <v>4</v>
      </c>
      <c r="F170" s="120"/>
      <c r="G170" s="120"/>
      <c r="H170" s="120"/>
      <c r="I170" s="120"/>
      <c r="J170" s="120"/>
      <c r="K170" s="209"/>
      <c r="L170" s="205"/>
      <c r="M170" s="205">
        <f t="shared" si="1520"/>
        <v>0</v>
      </c>
      <c r="N170" s="120"/>
      <c r="O170" s="120"/>
      <c r="P170" s="120"/>
      <c r="Q170" s="120"/>
      <c r="R170" s="120"/>
      <c r="S170" s="209"/>
      <c r="T170" s="205"/>
      <c r="U170" s="205">
        <f t="shared" si="1521"/>
        <v>0</v>
      </c>
      <c r="V170" s="120"/>
      <c r="W170" s="120"/>
      <c r="X170" s="120"/>
      <c r="Y170" s="120"/>
      <c r="Z170" s="120"/>
      <c r="AA170" s="209"/>
      <c r="AB170" s="205"/>
      <c r="AC170" s="205">
        <f t="shared" si="1522"/>
        <v>0</v>
      </c>
      <c r="AD170" s="205"/>
      <c r="AE170" s="205"/>
      <c r="AF170" s="205"/>
      <c r="AG170" s="205"/>
      <c r="AH170" s="205"/>
      <c r="AI170" s="209"/>
      <c r="AJ170" s="205"/>
      <c r="AK170" s="205">
        <f t="shared" si="1523"/>
        <v>0</v>
      </c>
      <c r="AL170" s="205" t="e">
        <f>SUM(#REF!,M170,U170,AC170,AD170:AH170)</f>
        <v>#REF!</v>
      </c>
      <c r="AM170" s="120"/>
      <c r="AN170" s="120"/>
      <c r="AO170" s="120"/>
      <c r="AP170" s="120"/>
      <c r="AQ170" s="120"/>
      <c r="AR170" s="209"/>
      <c r="AS170" s="205"/>
      <c r="AT170" s="205">
        <f t="shared" si="1524"/>
        <v>0</v>
      </c>
      <c r="AU170" s="120"/>
      <c r="AV170" s="120"/>
      <c r="AW170" s="120"/>
      <c r="AX170" s="120"/>
      <c r="AY170" s="120"/>
      <c r="AZ170" s="209"/>
      <c r="BA170" s="205"/>
      <c r="BB170" s="205">
        <f t="shared" si="1525"/>
        <v>0</v>
      </c>
      <c r="BC170" s="120"/>
      <c r="BD170" s="120"/>
      <c r="BE170" s="120"/>
      <c r="BF170" s="120"/>
      <c r="BG170" s="120"/>
      <c r="BH170" s="209"/>
      <c r="BI170" s="205"/>
      <c r="BJ170" s="205">
        <f t="shared" si="1526"/>
        <v>0</v>
      </c>
      <c r="BK170" s="120"/>
      <c r="BL170" s="120"/>
      <c r="BM170" s="120"/>
      <c r="BN170" s="120"/>
      <c r="BO170" s="205"/>
      <c r="BP170" s="209"/>
      <c r="BQ170" s="205"/>
      <c r="BR170" s="205">
        <f t="shared" si="1527"/>
        <v>0</v>
      </c>
      <c r="BS170" s="205">
        <f t="shared" si="1427"/>
        <v>0</v>
      </c>
      <c r="BT170" s="120"/>
      <c r="BU170" s="120"/>
      <c r="BV170" s="120"/>
      <c r="BW170" s="120"/>
      <c r="BX170" s="250">
        <v>30</v>
      </c>
      <c r="BY170" s="209"/>
      <c r="BZ170" s="205"/>
      <c r="CA170" s="205">
        <f t="shared" si="1528"/>
        <v>30</v>
      </c>
      <c r="CB170" s="120"/>
      <c r="CC170" s="120"/>
      <c r="CD170" s="120"/>
      <c r="CE170" s="120"/>
      <c r="CF170" s="120"/>
      <c r="CG170" s="209"/>
      <c r="CH170" s="205"/>
      <c r="CI170" s="205">
        <f t="shared" si="1529"/>
        <v>0</v>
      </c>
      <c r="CJ170" s="120"/>
      <c r="CK170" s="120"/>
      <c r="CL170" s="120"/>
      <c r="CM170" s="120"/>
      <c r="CN170" s="120"/>
      <c r="CO170" s="209"/>
      <c r="CP170" s="205"/>
      <c r="CQ170" s="205">
        <f t="shared" si="1530"/>
        <v>0</v>
      </c>
      <c r="CR170" s="120"/>
      <c r="CS170" s="120"/>
      <c r="CT170" s="120"/>
      <c r="CU170" s="250">
        <v>300</v>
      </c>
      <c r="CV170" s="120"/>
      <c r="CW170" s="209"/>
      <c r="CX170" s="205"/>
      <c r="CY170" s="205">
        <f t="shared" si="1531"/>
        <v>300</v>
      </c>
      <c r="CZ170" s="120"/>
      <c r="DA170" s="120"/>
      <c r="DB170" s="120"/>
      <c r="DC170" s="205"/>
      <c r="DD170" s="205"/>
      <c r="DE170" s="209"/>
      <c r="DF170" s="205"/>
      <c r="DG170" s="205">
        <f t="shared" si="1532"/>
        <v>0</v>
      </c>
      <c r="DH170" s="205">
        <f t="shared" si="1428"/>
        <v>330</v>
      </c>
      <c r="DI170" s="120"/>
      <c r="DJ170" s="120"/>
      <c r="DK170" s="250">
        <v>300</v>
      </c>
      <c r="DL170" s="120"/>
      <c r="DM170" s="120"/>
      <c r="DN170" s="209"/>
      <c r="DO170" s="205"/>
      <c r="DP170" s="205">
        <f t="shared" si="1432"/>
        <v>300</v>
      </c>
      <c r="DQ170" s="120"/>
      <c r="DR170" s="120"/>
      <c r="DS170" s="120"/>
      <c r="DT170" s="120"/>
      <c r="DU170" s="250">
        <v>300</v>
      </c>
      <c r="DV170" s="209"/>
      <c r="DW170" s="205"/>
      <c r="DX170" s="205">
        <f t="shared" si="1433"/>
        <v>300</v>
      </c>
      <c r="DY170" s="120"/>
      <c r="DZ170" s="120"/>
      <c r="EA170" s="120"/>
      <c r="EB170" s="120"/>
      <c r="EC170" s="120"/>
      <c r="ED170" s="209"/>
      <c r="EE170" s="205"/>
      <c r="EF170" s="205">
        <f t="shared" si="1434"/>
        <v>0</v>
      </c>
      <c r="EG170" s="217">
        <v>30</v>
      </c>
      <c r="EH170" s="120"/>
      <c r="EI170" s="217">
        <v>300</v>
      </c>
      <c r="EJ170" s="205"/>
      <c r="EK170" s="205"/>
      <c r="EL170" s="209"/>
      <c r="EM170" s="205"/>
      <c r="EN170" s="205">
        <f t="shared" si="1435"/>
        <v>330</v>
      </c>
      <c r="EO170" s="205">
        <f t="shared" si="1429"/>
        <v>930</v>
      </c>
      <c r="EP170" s="120"/>
      <c r="EQ170" s="120"/>
      <c r="ER170" s="120"/>
      <c r="ES170" s="120"/>
      <c r="ET170" s="120"/>
      <c r="EU170" s="209"/>
      <c r="EV170" s="205"/>
      <c r="EW170" s="205">
        <f t="shared" si="1436"/>
        <v>0</v>
      </c>
      <c r="EX170" s="120"/>
      <c r="EY170" s="120"/>
      <c r="EZ170" s="120"/>
      <c r="FA170" s="120"/>
      <c r="FB170" s="120"/>
      <c r="FC170" s="209"/>
      <c r="FD170" s="205"/>
      <c r="FE170" s="205">
        <f t="shared" si="1437"/>
        <v>0</v>
      </c>
      <c r="FF170" s="120"/>
      <c r="FG170" s="120"/>
      <c r="FH170" s="120"/>
      <c r="FI170" s="120"/>
      <c r="FJ170" s="120"/>
      <c r="FK170" s="209"/>
      <c r="FL170" s="205"/>
      <c r="FM170" s="205">
        <f t="shared" si="1438"/>
        <v>0</v>
      </c>
      <c r="FN170" s="120"/>
      <c r="FO170" s="120"/>
      <c r="FP170" s="120"/>
      <c r="FQ170" s="120"/>
      <c r="FR170" s="205"/>
      <c r="FS170" s="209"/>
      <c r="FT170" s="205"/>
      <c r="FU170" s="205">
        <f t="shared" si="1439"/>
        <v>0</v>
      </c>
      <c r="FV170" s="205">
        <f t="shared" si="1430"/>
        <v>0</v>
      </c>
      <c r="FW170" s="201">
        <v>30</v>
      </c>
      <c r="FX170" s="120"/>
      <c r="FY170" s="201">
        <v>400</v>
      </c>
      <c r="FZ170" s="120"/>
      <c r="GA170" s="120"/>
      <c r="GB170" s="209"/>
      <c r="GC170" s="205"/>
      <c r="GD170" s="205">
        <f t="shared" si="1440"/>
        <v>430</v>
      </c>
      <c r="GE170" s="120"/>
      <c r="GF170" s="120"/>
      <c r="GG170" s="120"/>
      <c r="GH170" s="120"/>
      <c r="GI170" s="120"/>
      <c r="GJ170" s="209"/>
      <c r="GK170" s="205"/>
      <c r="GL170" s="205">
        <f t="shared" si="1441"/>
        <v>0</v>
      </c>
      <c r="GM170" s="120"/>
      <c r="GN170" s="120"/>
      <c r="GO170" s="250">
        <v>150</v>
      </c>
      <c r="GP170" s="250">
        <v>200</v>
      </c>
      <c r="GQ170" s="120"/>
      <c r="GR170" s="209"/>
      <c r="GS170" s="205"/>
      <c r="GT170" s="205">
        <f>SUM(GM170:GS170)</f>
        <v>350</v>
      </c>
      <c r="GU170" s="120"/>
      <c r="GV170" s="120"/>
      <c r="GW170" s="120"/>
      <c r="GX170" s="120"/>
      <c r="GY170" s="120"/>
      <c r="GZ170" s="209"/>
      <c r="HA170" s="205"/>
      <c r="HB170" s="205">
        <f t="shared" si="1443"/>
        <v>0</v>
      </c>
      <c r="HC170" s="120"/>
      <c r="HD170" s="120"/>
      <c r="HE170" s="120"/>
      <c r="HF170" s="120"/>
      <c r="HG170" s="120"/>
      <c r="HH170" s="209"/>
      <c r="HI170" s="205"/>
      <c r="HJ170" s="205">
        <f t="shared" si="1444"/>
        <v>0</v>
      </c>
      <c r="HK170" s="205">
        <f t="shared" si="1431"/>
        <v>780</v>
      </c>
      <c r="HL170" s="124"/>
      <c r="HM170" s="123">
        <v>120</v>
      </c>
      <c r="HN170" s="120"/>
      <c r="HO170" s="120"/>
      <c r="HP170" s="120"/>
      <c r="HQ170" s="205"/>
      <c r="HR170" s="205"/>
      <c r="HS170" s="205">
        <f t="shared" si="1445"/>
        <v>120</v>
      </c>
      <c r="HT170" s="120"/>
      <c r="HU170" s="120"/>
      <c r="HV170" s="120"/>
      <c r="HW170" s="120"/>
      <c r="HX170" s="120"/>
      <c r="HY170" s="205"/>
      <c r="HZ170" s="205"/>
      <c r="IA170" s="205">
        <f t="shared" si="1446"/>
        <v>0</v>
      </c>
      <c r="IB170" s="120"/>
      <c r="IC170" s="120"/>
      <c r="ID170" s="120"/>
      <c r="IE170" s="120"/>
      <c r="IF170" s="120"/>
      <c r="IG170" s="205"/>
      <c r="IH170" s="205"/>
      <c r="II170" s="205">
        <f t="shared" si="1447"/>
        <v>0</v>
      </c>
      <c r="IJ170" s="120"/>
      <c r="IK170" s="201">
        <v>550</v>
      </c>
      <c r="IL170" s="120"/>
      <c r="IM170" s="120"/>
      <c r="IN170" s="120"/>
      <c r="IO170" s="205"/>
      <c r="IP170" s="205"/>
      <c r="IQ170" s="205">
        <f t="shared" si="1448"/>
        <v>550</v>
      </c>
      <c r="IR170" s="205">
        <f t="shared" si="1449"/>
        <v>670</v>
      </c>
      <c r="IS170" s="120"/>
      <c r="IT170" s="120"/>
      <c r="IU170" s="120"/>
      <c r="IV170" s="120"/>
      <c r="IW170" s="120"/>
      <c r="IX170" s="205"/>
      <c r="IY170" s="205"/>
      <c r="IZ170" s="205">
        <f t="shared" si="1450"/>
        <v>0</v>
      </c>
      <c r="JA170" s="120"/>
      <c r="JB170" s="267">
        <v>100</v>
      </c>
      <c r="JC170" s="120"/>
      <c r="JD170" s="120"/>
      <c r="JE170" s="120"/>
      <c r="JF170" s="205"/>
      <c r="JG170" s="205"/>
      <c r="JH170" s="205">
        <f t="shared" si="1451"/>
        <v>100</v>
      </c>
      <c r="JI170" s="120"/>
      <c r="JJ170" s="120"/>
      <c r="JK170" s="120"/>
      <c r="JL170" s="120"/>
      <c r="JM170" s="120"/>
      <c r="JN170" s="205"/>
      <c r="JO170" s="205"/>
      <c r="JP170" s="205">
        <f t="shared" si="1452"/>
        <v>0</v>
      </c>
      <c r="JQ170" s="120"/>
      <c r="JR170" s="120"/>
      <c r="JS170" s="120"/>
      <c r="JT170" s="120"/>
      <c r="JU170" s="123">
        <v>390</v>
      </c>
      <c r="JV170" s="205"/>
      <c r="JW170" s="205"/>
      <c r="JX170" s="205">
        <f t="shared" si="1453"/>
        <v>390</v>
      </c>
      <c r="JY170" s="205">
        <f t="shared" si="1454"/>
        <v>490</v>
      </c>
      <c r="JZ170" s="120"/>
      <c r="KA170" s="120"/>
      <c r="KB170" s="120"/>
      <c r="KC170" s="120"/>
      <c r="KD170" s="120"/>
      <c r="KE170" s="205"/>
      <c r="KF170" s="205"/>
      <c r="KG170" s="205">
        <f t="shared" si="1455"/>
        <v>0</v>
      </c>
      <c r="KH170" s="120"/>
      <c r="KI170" s="120"/>
      <c r="KJ170" s="120"/>
      <c r="KK170" s="120"/>
      <c r="KL170" s="120"/>
      <c r="KM170" s="205"/>
      <c r="KN170" s="205"/>
      <c r="KO170" s="205">
        <f t="shared" si="1456"/>
        <v>0</v>
      </c>
      <c r="KP170" s="120"/>
      <c r="KQ170" s="201">
        <v>500</v>
      </c>
      <c r="KR170" s="120"/>
      <c r="KS170" s="120"/>
      <c r="KT170" s="120"/>
      <c r="KU170" s="205"/>
      <c r="KV170" s="205"/>
      <c r="KW170" s="205">
        <f t="shared" si="1457"/>
        <v>500</v>
      </c>
      <c r="KX170" s="120"/>
      <c r="KY170" s="195">
        <v>200</v>
      </c>
      <c r="KZ170" s="120"/>
      <c r="LA170" s="120"/>
      <c r="LB170" s="120"/>
      <c r="LC170" s="205"/>
      <c r="LD170" s="205"/>
      <c r="LE170" s="205">
        <f t="shared" si="1458"/>
        <v>200</v>
      </c>
      <c r="LF170" s="205"/>
      <c r="LG170" s="120"/>
      <c r="LH170" s="217">
        <v>810</v>
      </c>
      <c r="LI170" s="120"/>
      <c r="LJ170" s="120"/>
      <c r="LK170" s="205"/>
      <c r="LL170" s="205"/>
      <c r="LM170" s="205">
        <f t="shared" si="1459"/>
        <v>810</v>
      </c>
      <c r="LN170" s="205">
        <f t="shared" si="1460"/>
        <v>700</v>
      </c>
      <c r="LO170" s="205"/>
      <c r="LP170" s="120"/>
      <c r="LQ170" s="120"/>
      <c r="LR170" s="120"/>
      <c r="LS170" s="205"/>
      <c r="LT170" s="205"/>
      <c r="LU170" s="205"/>
      <c r="LV170" s="205">
        <f t="shared" si="1461"/>
        <v>0</v>
      </c>
      <c r="LW170" s="120"/>
      <c r="LX170" s="120"/>
      <c r="LY170" s="124">
        <v>100</v>
      </c>
      <c r="LZ170" s="120"/>
      <c r="MA170" s="120"/>
      <c r="MB170" s="205"/>
      <c r="MC170" s="205"/>
      <c r="MD170" s="205">
        <f t="shared" si="1462"/>
        <v>100</v>
      </c>
      <c r="ME170" s="120"/>
      <c r="MF170" s="120"/>
      <c r="MG170" s="120"/>
      <c r="MH170" s="120"/>
      <c r="MI170" s="205"/>
      <c r="MJ170" s="205"/>
      <c r="MK170" s="205"/>
      <c r="ML170" s="205">
        <f t="shared" si="1463"/>
        <v>0</v>
      </c>
      <c r="MM170" s="120"/>
      <c r="MN170" s="124">
        <v>200</v>
      </c>
      <c r="MO170" s="120"/>
      <c r="MP170" s="120"/>
      <c r="MQ170" s="120"/>
      <c r="MR170" s="205"/>
      <c r="MS170" s="205"/>
      <c r="MT170" s="205">
        <f t="shared" si="1464"/>
        <v>200</v>
      </c>
      <c r="MU170" s="205">
        <f t="shared" si="1465"/>
        <v>1110</v>
      </c>
      <c r="MV170" s="120"/>
      <c r="MW170" s="120"/>
      <c r="MX170" s="120"/>
      <c r="MY170" s="120"/>
      <c r="MZ170" s="120"/>
      <c r="NA170" s="205"/>
      <c r="NB170" s="205"/>
      <c r="NC170" s="205">
        <f t="shared" si="1466"/>
        <v>0</v>
      </c>
      <c r="ND170" s="120"/>
      <c r="NE170" s="120"/>
      <c r="NF170" s="120"/>
      <c r="NG170" s="120"/>
      <c r="NH170" s="120"/>
      <c r="NI170" s="205"/>
      <c r="NJ170" s="205"/>
      <c r="NK170" s="205">
        <f t="shared" si="1467"/>
        <v>0</v>
      </c>
      <c r="NL170" s="120"/>
      <c r="NM170" s="120"/>
      <c r="NN170" s="120"/>
      <c r="NO170" s="120"/>
      <c r="NP170" s="120"/>
      <c r="NQ170" s="205"/>
      <c r="NR170" s="205"/>
      <c r="NS170" s="205">
        <f t="shared" si="1468"/>
        <v>0</v>
      </c>
      <c r="NT170" s="120"/>
      <c r="NU170" s="120"/>
      <c r="NV170" s="120"/>
      <c r="NW170" s="120"/>
      <c r="NX170" s="120"/>
      <c r="NY170" s="205"/>
      <c r="NZ170" s="205"/>
      <c r="OA170" s="205">
        <f t="shared" si="1469"/>
        <v>0</v>
      </c>
      <c r="OB170" s="205">
        <f t="shared" si="1470"/>
        <v>0</v>
      </c>
      <c r="OC170" s="120"/>
      <c r="OD170" s="120"/>
      <c r="OE170" s="120"/>
      <c r="OF170" s="120"/>
      <c r="OG170" s="120"/>
      <c r="OH170" s="205"/>
      <c r="OI170" s="205"/>
      <c r="OJ170" s="205">
        <f t="shared" si="1471"/>
        <v>0</v>
      </c>
      <c r="OK170" s="120"/>
      <c r="OL170" s="120"/>
      <c r="OM170" s="120"/>
      <c r="ON170" s="207"/>
      <c r="OO170" s="120"/>
      <c r="OP170" s="205"/>
      <c r="OQ170" s="205"/>
      <c r="OR170" s="205">
        <f t="shared" si="1472"/>
        <v>0</v>
      </c>
      <c r="OS170" s="120"/>
      <c r="OT170" s="120"/>
      <c r="OU170" s="120"/>
      <c r="OV170" s="120"/>
      <c r="OW170" s="120"/>
      <c r="OX170" s="205"/>
      <c r="OY170" s="205"/>
      <c r="OZ170" s="205">
        <f t="shared" si="1473"/>
        <v>0</v>
      </c>
      <c r="PA170" s="120"/>
      <c r="PB170" s="120"/>
      <c r="PC170" s="120"/>
      <c r="PD170" s="205"/>
      <c r="PE170" s="217"/>
      <c r="PF170" s="205"/>
      <c r="PG170" s="205"/>
      <c r="PH170" s="205">
        <f t="shared" si="1474"/>
        <v>0</v>
      </c>
      <c r="PI170" s="120"/>
      <c r="PJ170" s="120"/>
      <c r="PK170" s="120"/>
      <c r="PL170" s="205"/>
      <c r="PM170" s="217"/>
      <c r="PN170" s="205"/>
      <c r="PO170" s="205"/>
      <c r="PP170" s="205">
        <f t="shared" si="1475"/>
        <v>0</v>
      </c>
      <c r="PQ170" s="205">
        <f t="shared" si="1476"/>
        <v>0</v>
      </c>
      <c r="PR170" s="207"/>
      <c r="PS170" s="207"/>
      <c r="PT170" s="207"/>
      <c r="PU170" s="206">
        <v>100</v>
      </c>
      <c r="PV170" s="120"/>
      <c r="PW170" s="272"/>
      <c r="PX170" s="272"/>
      <c r="PY170" s="205">
        <f t="shared" si="1477"/>
        <v>100</v>
      </c>
      <c r="PZ170" s="207"/>
      <c r="QA170" s="207"/>
      <c r="QB170" s="207"/>
      <c r="QC170" s="207"/>
      <c r="QD170" s="207"/>
      <c r="QE170" s="272"/>
      <c r="QF170" s="272"/>
      <c r="QG170" s="205">
        <f t="shared" si="1478"/>
        <v>0</v>
      </c>
      <c r="QH170" s="207"/>
      <c r="QI170" s="207"/>
      <c r="QJ170" s="294"/>
      <c r="QK170" s="207"/>
      <c r="QL170" s="207"/>
      <c r="QM170" s="272"/>
      <c r="QN170" s="272"/>
      <c r="QO170" s="205">
        <f t="shared" si="1479"/>
        <v>0</v>
      </c>
      <c r="QP170" s="207"/>
      <c r="QQ170" s="207"/>
      <c r="QR170" s="207"/>
      <c r="QS170" s="207"/>
      <c r="QT170" s="207"/>
      <c r="QU170" s="272"/>
      <c r="QV170" s="272"/>
      <c r="QW170" s="205">
        <f t="shared" si="1480"/>
        <v>0</v>
      </c>
      <c r="QX170" s="205">
        <f t="shared" si="1481"/>
        <v>100</v>
      </c>
      <c r="QY170" s="207"/>
      <c r="QZ170" s="207"/>
      <c r="RA170" s="207"/>
      <c r="RB170" s="207"/>
      <c r="RC170" s="207"/>
      <c r="RD170" s="272"/>
      <c r="RE170" s="272"/>
      <c r="RF170" s="205">
        <f t="shared" si="1482"/>
        <v>0</v>
      </c>
      <c r="RG170" s="207"/>
      <c r="RH170" s="207"/>
      <c r="RI170" s="207"/>
      <c r="RJ170" s="207"/>
      <c r="RK170" s="207"/>
      <c r="RL170" s="272"/>
      <c r="RM170" s="272"/>
      <c r="RN170" s="205">
        <f t="shared" si="1483"/>
        <v>0</v>
      </c>
      <c r="RO170" s="272"/>
      <c r="RP170" s="272"/>
      <c r="RQ170" s="272"/>
      <c r="RR170" s="272"/>
      <c r="RS170" s="272"/>
      <c r="RT170" s="272"/>
      <c r="RU170" s="272"/>
      <c r="RV170" s="205">
        <f t="shared" si="1484"/>
        <v>0</v>
      </c>
      <c r="RW170" s="207"/>
      <c r="RX170" s="207"/>
      <c r="RY170" s="207"/>
      <c r="RZ170" s="207"/>
      <c r="SA170" s="272"/>
      <c r="SB170" s="272"/>
      <c r="SC170" s="272"/>
      <c r="SD170" s="205">
        <f t="shared" si="1485"/>
        <v>0</v>
      </c>
      <c r="SE170" s="205">
        <f t="shared" si="1486"/>
        <v>0</v>
      </c>
      <c r="SF170" s="207"/>
      <c r="SG170" s="207"/>
      <c r="SH170" s="207"/>
      <c r="SI170" s="207"/>
      <c r="SJ170" s="207"/>
      <c r="SK170" s="272"/>
      <c r="SL170" s="272"/>
      <c r="SM170" s="205">
        <f t="shared" si="1487"/>
        <v>0</v>
      </c>
      <c r="SN170" s="217">
        <v>300</v>
      </c>
      <c r="SO170" s="207"/>
      <c r="SP170" s="207"/>
      <c r="SQ170" s="207"/>
      <c r="SR170" s="124">
        <v>40</v>
      </c>
      <c r="SS170" s="272"/>
      <c r="ST170" s="272"/>
      <c r="SU170" s="205">
        <f t="shared" si="1488"/>
        <v>340</v>
      </c>
      <c r="SV170" s="207"/>
      <c r="SW170" s="207"/>
      <c r="SX170" s="207"/>
      <c r="SY170" s="207"/>
      <c r="SZ170" s="207"/>
      <c r="TA170" s="272"/>
      <c r="TB170" s="272"/>
      <c r="TC170" s="205">
        <f t="shared" si="1489"/>
        <v>0</v>
      </c>
      <c r="TD170" s="207"/>
      <c r="TE170" s="207"/>
      <c r="TF170" s="207"/>
      <c r="TG170" s="207"/>
      <c r="TH170" s="207"/>
      <c r="TI170" s="272"/>
      <c r="TJ170" s="272"/>
      <c r="TK170" s="205">
        <f t="shared" si="1490"/>
        <v>0</v>
      </c>
      <c r="TL170" s="207"/>
      <c r="TM170" s="207"/>
      <c r="TN170" s="207"/>
      <c r="TO170" s="207"/>
      <c r="TP170" s="272"/>
      <c r="TQ170" s="272"/>
      <c r="TR170" s="272"/>
      <c r="TS170" s="205">
        <f t="shared" si="1491"/>
        <v>0</v>
      </c>
      <c r="TT170" s="205">
        <f t="shared" si="1492"/>
        <v>340</v>
      </c>
      <c r="TU170" s="272"/>
      <c r="TV170" s="207"/>
      <c r="TW170" s="207"/>
      <c r="TX170" s="207"/>
      <c r="TY170" s="207"/>
      <c r="TZ170" s="272"/>
      <c r="UA170" s="272"/>
      <c r="UB170" s="205">
        <f t="shared" si="1493"/>
        <v>0</v>
      </c>
      <c r="UC170" s="207"/>
      <c r="UD170" s="207"/>
      <c r="UE170" s="207"/>
      <c r="UF170" s="207"/>
      <c r="UG170" s="207"/>
      <c r="UH170" s="272"/>
      <c r="UI170" s="272"/>
      <c r="UJ170" s="205">
        <f t="shared" si="1494"/>
        <v>0</v>
      </c>
      <c r="UK170" s="207"/>
      <c r="UL170" s="207"/>
      <c r="UM170" s="120"/>
      <c r="UN170" s="207"/>
      <c r="UO170" s="207"/>
      <c r="UP170" s="272"/>
      <c r="UQ170" s="272"/>
      <c r="UR170" s="205">
        <f>SUM(UM170:UQ170)</f>
        <v>0</v>
      </c>
      <c r="US170" s="207"/>
      <c r="UT170" s="207"/>
      <c r="UU170" s="195">
        <v>350</v>
      </c>
      <c r="UV170" s="207"/>
      <c r="UW170" s="272"/>
      <c r="UX170" s="272"/>
      <c r="UY170" s="272"/>
      <c r="UZ170" s="205">
        <f t="shared" si="1496"/>
        <v>350</v>
      </c>
      <c r="VA170" s="205">
        <f>SUM(TN170:TR170,UB170,UJ170,UR170,US170:UV170)</f>
        <v>350</v>
      </c>
      <c r="VB170" s="207"/>
      <c r="VC170" s="207"/>
      <c r="VD170" s="207"/>
      <c r="VE170" s="207"/>
      <c r="VF170" s="207"/>
      <c r="VG170" s="272"/>
      <c r="VH170" s="272"/>
      <c r="VI170" s="205">
        <f t="shared" si="1498"/>
        <v>0</v>
      </c>
      <c r="VJ170" s="207"/>
      <c r="VK170" s="207"/>
      <c r="VL170" s="207"/>
      <c r="VM170" s="207"/>
      <c r="VN170" s="207"/>
      <c r="VO170" s="272"/>
      <c r="VP170" s="272"/>
      <c r="VQ170" s="205">
        <f t="shared" si="1499"/>
        <v>0</v>
      </c>
      <c r="VR170" s="207"/>
      <c r="VS170" s="207"/>
      <c r="VT170" s="207"/>
      <c r="VU170" s="195">
        <v>500</v>
      </c>
      <c r="VV170" s="207"/>
      <c r="VW170" s="272"/>
      <c r="VX170" s="272"/>
      <c r="VY170" s="205">
        <f t="shared" si="1500"/>
        <v>500</v>
      </c>
      <c r="VZ170" s="207"/>
      <c r="WA170" s="207"/>
      <c r="WB170" s="207"/>
      <c r="WC170" s="207"/>
      <c r="WD170" s="207"/>
      <c r="WE170" s="272"/>
      <c r="WF170" s="272"/>
      <c r="WG170" s="205">
        <f t="shared" si="1501"/>
        <v>0</v>
      </c>
      <c r="WH170" s="205">
        <f t="shared" si="1502"/>
        <v>500</v>
      </c>
      <c r="WI170" s="207"/>
      <c r="WJ170" s="207"/>
      <c r="WK170" s="207"/>
      <c r="WL170" s="207"/>
      <c r="WM170" s="207"/>
      <c r="WN170" s="272"/>
      <c r="WO170" s="272"/>
      <c r="WP170" s="205">
        <f t="shared" si="1503"/>
        <v>0</v>
      </c>
      <c r="WQ170" s="120"/>
      <c r="WR170" s="120"/>
      <c r="WS170" s="120"/>
      <c r="WT170" s="120"/>
      <c r="WU170" s="207"/>
      <c r="WV170" s="272"/>
      <c r="WW170" s="272"/>
      <c r="WX170" s="205">
        <f t="shared" si="1504"/>
        <v>0</v>
      </c>
      <c r="WY170" s="207"/>
      <c r="WZ170" s="207"/>
      <c r="XA170" s="207"/>
      <c r="XB170" s="207"/>
      <c r="XC170" s="272"/>
      <c r="XD170" s="272"/>
      <c r="XE170" s="272"/>
      <c r="XF170" s="205">
        <f t="shared" si="1505"/>
        <v>0</v>
      </c>
      <c r="XG170" s="207"/>
      <c r="XH170" s="207"/>
      <c r="XI170" s="207"/>
      <c r="XJ170" s="207"/>
      <c r="XK170" s="207"/>
      <c r="XL170" s="272"/>
      <c r="XM170" s="272"/>
      <c r="XN170" s="205">
        <f t="shared" si="1506"/>
        <v>0</v>
      </c>
      <c r="XO170" s="207"/>
      <c r="XP170" s="207"/>
      <c r="XQ170" s="207"/>
      <c r="XR170" s="207"/>
      <c r="XS170" s="207"/>
      <c r="XT170" s="272"/>
      <c r="XU170" s="272"/>
      <c r="XV170" s="205">
        <f t="shared" si="1507"/>
        <v>0</v>
      </c>
      <c r="XW170" s="205">
        <f t="shared" si="1508"/>
        <v>0</v>
      </c>
      <c r="XX170" s="207"/>
      <c r="XY170" s="207"/>
      <c r="XZ170" s="207"/>
      <c r="YA170" s="207"/>
      <c r="YB170" s="207"/>
      <c r="YC170" s="272"/>
      <c r="YD170" s="272"/>
      <c r="YE170" s="205">
        <f t="shared" si="1509"/>
        <v>0</v>
      </c>
      <c r="YF170" s="207"/>
      <c r="YG170" s="207"/>
      <c r="YH170" s="207"/>
      <c r="YI170" s="207"/>
      <c r="YJ170" s="207"/>
      <c r="YK170" s="272"/>
      <c r="YL170" s="272"/>
      <c r="YM170" s="205">
        <f t="shared" si="1510"/>
        <v>0</v>
      </c>
      <c r="YN170" s="207"/>
      <c r="YO170" s="207"/>
      <c r="YP170" s="207"/>
      <c r="YQ170" s="207"/>
      <c r="YR170" s="207"/>
      <c r="YS170" s="272"/>
      <c r="YT170" s="272"/>
      <c r="YU170" s="205">
        <f t="shared" si="1511"/>
        <v>0</v>
      </c>
      <c r="YV170" s="207"/>
      <c r="YW170" s="207"/>
      <c r="YX170" s="207"/>
      <c r="YY170" s="207"/>
      <c r="YZ170" s="207"/>
      <c r="ZA170" s="272"/>
      <c r="ZB170" s="272"/>
      <c r="ZC170" s="205">
        <f t="shared" si="1512"/>
        <v>0</v>
      </c>
      <c r="ZD170" s="205">
        <f t="shared" si="1513"/>
        <v>0</v>
      </c>
      <c r="ZE170" s="207"/>
      <c r="ZF170" s="207"/>
      <c r="ZG170" s="207"/>
      <c r="ZH170" s="207"/>
      <c r="ZI170" s="207"/>
      <c r="ZJ170" s="272"/>
      <c r="ZK170" s="272"/>
      <c r="ZL170" s="205">
        <f t="shared" si="1514"/>
        <v>0</v>
      </c>
      <c r="ZM170" s="207"/>
      <c r="ZN170" s="207"/>
      <c r="ZO170" s="207"/>
      <c r="ZP170" s="207"/>
      <c r="ZQ170" s="207"/>
      <c r="ZR170" s="272"/>
      <c r="ZS170" s="272"/>
      <c r="ZT170" s="205">
        <f t="shared" si="1515"/>
        <v>0</v>
      </c>
      <c r="ZU170" s="207"/>
      <c r="ZV170" s="207"/>
      <c r="ZW170" s="207"/>
      <c r="ZX170" s="207"/>
      <c r="ZY170" s="207"/>
      <c r="ZZ170" s="272"/>
      <c r="AAA170" s="272"/>
      <c r="AAB170" s="205">
        <f t="shared" si="1516"/>
        <v>0</v>
      </c>
      <c r="AAC170" s="207"/>
      <c r="AAD170" s="207"/>
      <c r="AAE170" s="207"/>
      <c r="AAF170" s="207"/>
      <c r="AAG170" s="207"/>
      <c r="AAH170" s="272"/>
      <c r="AAI170" s="272"/>
      <c r="AAJ170" s="205">
        <f t="shared" si="1517"/>
        <v>0</v>
      </c>
      <c r="AAK170" s="207"/>
      <c r="AAL170" s="207"/>
      <c r="AAM170" s="207"/>
      <c r="AAN170" s="207"/>
      <c r="AAO170" s="207"/>
      <c r="AAP170" s="272"/>
      <c r="AAQ170" s="272"/>
      <c r="AAR170" s="205">
        <f t="shared" si="1518"/>
        <v>0</v>
      </c>
      <c r="AAS170" s="205">
        <f t="shared" si="1519"/>
        <v>0</v>
      </c>
    </row>
    <row r="171" spans="2:721" ht="68.45" customHeight="1">
      <c r="B171" s="211" t="s">
        <v>596</v>
      </c>
      <c r="C171" s="344" t="s">
        <v>888</v>
      </c>
      <c r="D171" s="229" t="s">
        <v>539</v>
      </c>
      <c r="E171" s="130" t="s">
        <v>4</v>
      </c>
      <c r="F171" s="120"/>
      <c r="G171" s="201">
        <v>500</v>
      </c>
      <c r="H171" s="120"/>
      <c r="I171" s="120"/>
      <c r="J171" s="120"/>
      <c r="K171" s="209"/>
      <c r="L171" s="205"/>
      <c r="M171" s="205">
        <f t="shared" si="1520"/>
        <v>500</v>
      </c>
      <c r="N171" s="120"/>
      <c r="O171" s="120"/>
      <c r="P171" s="120"/>
      <c r="Q171" s="120"/>
      <c r="R171" s="120"/>
      <c r="S171" s="209"/>
      <c r="T171" s="205"/>
      <c r="U171" s="205">
        <f t="shared" si="1521"/>
        <v>0</v>
      </c>
      <c r="V171" s="120"/>
      <c r="W171" s="120"/>
      <c r="X171" s="120"/>
      <c r="Y171" s="120"/>
      <c r="Z171" s="120"/>
      <c r="AA171" s="209"/>
      <c r="AB171" s="205"/>
      <c r="AC171" s="205">
        <f t="shared" si="1522"/>
        <v>0</v>
      </c>
      <c r="AD171" s="205"/>
      <c r="AE171" s="205"/>
      <c r="AF171" s="205"/>
      <c r="AG171" s="205"/>
      <c r="AH171" s="205"/>
      <c r="AI171" s="209"/>
      <c r="AJ171" s="205"/>
      <c r="AK171" s="205">
        <f t="shared" si="1523"/>
        <v>0</v>
      </c>
      <c r="AL171" s="205" t="e">
        <f>SUM(#REF!,M171,U171,AC171,AD171:AH171)</f>
        <v>#REF!</v>
      </c>
      <c r="AM171" s="120"/>
      <c r="AN171" s="120"/>
      <c r="AO171" s="120"/>
      <c r="AP171" s="120"/>
      <c r="AQ171" s="120"/>
      <c r="AR171" s="209"/>
      <c r="AS171" s="205"/>
      <c r="AT171" s="205">
        <f t="shared" si="1524"/>
        <v>0</v>
      </c>
      <c r="AU171" s="120"/>
      <c r="AV171" s="120"/>
      <c r="AW171" s="120"/>
      <c r="AX171" s="120"/>
      <c r="AY171" s="120"/>
      <c r="AZ171" s="209"/>
      <c r="BA171" s="205"/>
      <c r="BB171" s="205">
        <f t="shared" si="1525"/>
        <v>0</v>
      </c>
      <c r="BC171" s="120"/>
      <c r="BD171" s="120"/>
      <c r="BE171" s="120"/>
      <c r="BF171" s="120"/>
      <c r="BG171" s="120"/>
      <c r="BH171" s="209"/>
      <c r="BI171" s="205"/>
      <c r="BJ171" s="205">
        <f t="shared" si="1526"/>
        <v>0</v>
      </c>
      <c r="BK171" s="120"/>
      <c r="BL171" s="120"/>
      <c r="BM171" s="120"/>
      <c r="BN171" s="120"/>
      <c r="BO171" s="205"/>
      <c r="BP171" s="209"/>
      <c r="BQ171" s="205"/>
      <c r="BR171" s="205">
        <f t="shared" si="1527"/>
        <v>0</v>
      </c>
      <c r="BS171" s="205">
        <f t="shared" si="1427"/>
        <v>0</v>
      </c>
      <c r="BT171" s="120"/>
      <c r="BU171" s="120"/>
      <c r="BV171" s="120"/>
      <c r="BW171" s="250">
        <v>500</v>
      </c>
      <c r="BX171" s="120"/>
      <c r="BY171" s="209"/>
      <c r="BZ171" s="205"/>
      <c r="CA171" s="205">
        <f t="shared" si="1528"/>
        <v>500</v>
      </c>
      <c r="CB171" s="120"/>
      <c r="CC171" s="120"/>
      <c r="CD171" s="120"/>
      <c r="CE171" s="120"/>
      <c r="CF171" s="120"/>
      <c r="CG171" s="209"/>
      <c r="CH171" s="205"/>
      <c r="CI171" s="205">
        <f t="shared" si="1529"/>
        <v>0</v>
      </c>
      <c r="CJ171" s="120"/>
      <c r="CK171" s="120"/>
      <c r="CL171" s="217">
        <v>500</v>
      </c>
      <c r="CM171" s="120"/>
      <c r="CN171" s="120"/>
      <c r="CO171" s="209"/>
      <c r="CP171" s="205"/>
      <c r="CQ171" s="205">
        <f t="shared" si="1530"/>
        <v>500</v>
      </c>
      <c r="CR171" s="120"/>
      <c r="CS171" s="120"/>
      <c r="CT171" s="120"/>
      <c r="CU171" s="120"/>
      <c r="CV171" s="120"/>
      <c r="CW171" s="209"/>
      <c r="CX171" s="205"/>
      <c r="CY171" s="205">
        <f t="shared" si="1531"/>
        <v>0</v>
      </c>
      <c r="CZ171" s="120"/>
      <c r="DA171" s="120"/>
      <c r="DB171" s="120"/>
      <c r="DC171" s="205"/>
      <c r="DD171" s="205"/>
      <c r="DE171" s="209"/>
      <c r="DF171" s="205"/>
      <c r="DG171" s="205">
        <f t="shared" si="1532"/>
        <v>0</v>
      </c>
      <c r="DH171" s="205">
        <f t="shared" si="1428"/>
        <v>1000</v>
      </c>
      <c r="DI171" s="120"/>
      <c r="DJ171" s="120"/>
      <c r="DK171" s="120"/>
      <c r="DL171" s="120"/>
      <c r="DM171" s="120"/>
      <c r="DN171" s="209"/>
      <c r="DO171" s="205"/>
      <c r="DP171" s="205">
        <f t="shared" si="1432"/>
        <v>0</v>
      </c>
      <c r="DQ171" s="120"/>
      <c r="DR171" s="120"/>
      <c r="DS171" s="120"/>
      <c r="DT171" s="120"/>
      <c r="DU171" s="120"/>
      <c r="DV171" s="209"/>
      <c r="DW171" s="205"/>
      <c r="DX171" s="205">
        <f t="shared" si="1433"/>
        <v>0</v>
      </c>
      <c r="DY171" s="120"/>
      <c r="DZ171" s="120"/>
      <c r="EA171" s="120"/>
      <c r="EB171" s="120"/>
      <c r="EC171" s="120"/>
      <c r="ED171" s="209"/>
      <c r="EE171" s="205"/>
      <c r="EF171" s="205">
        <f t="shared" si="1434"/>
        <v>0</v>
      </c>
      <c r="EG171" s="120"/>
      <c r="EH171" s="120"/>
      <c r="EI171" s="120"/>
      <c r="EJ171" s="205"/>
      <c r="EK171" s="205"/>
      <c r="EL171" s="209"/>
      <c r="EM171" s="205"/>
      <c r="EN171" s="205">
        <f t="shared" si="1435"/>
        <v>0</v>
      </c>
      <c r="EO171" s="205">
        <f t="shared" si="1429"/>
        <v>0</v>
      </c>
      <c r="EP171" s="120"/>
      <c r="EQ171" s="120"/>
      <c r="ER171" s="120"/>
      <c r="ES171" s="201">
        <v>500</v>
      </c>
      <c r="ET171" s="201">
        <v>500</v>
      </c>
      <c r="EU171" s="209"/>
      <c r="EV171" s="205"/>
      <c r="EW171" s="205">
        <f t="shared" si="1436"/>
        <v>1000</v>
      </c>
      <c r="EX171" s="120"/>
      <c r="EY171" s="120"/>
      <c r="EZ171" s="120"/>
      <c r="FA171" s="250">
        <v>500</v>
      </c>
      <c r="FB171" s="120"/>
      <c r="FC171" s="209"/>
      <c r="FD171" s="205"/>
      <c r="FE171" s="205">
        <f t="shared" si="1437"/>
        <v>500</v>
      </c>
      <c r="FF171" s="120"/>
      <c r="FG171" s="120"/>
      <c r="FH171" s="120"/>
      <c r="FI171" s="120"/>
      <c r="FJ171" s="120"/>
      <c r="FK171" s="209"/>
      <c r="FL171" s="205"/>
      <c r="FM171" s="205">
        <f t="shared" si="1438"/>
        <v>0</v>
      </c>
      <c r="FN171" s="120"/>
      <c r="FO171" s="120"/>
      <c r="FP171" s="250">
        <v>400</v>
      </c>
      <c r="FQ171" s="120"/>
      <c r="FR171" s="205"/>
      <c r="FS171" s="209"/>
      <c r="FT171" s="205"/>
      <c r="FU171" s="205">
        <f t="shared" si="1439"/>
        <v>400</v>
      </c>
      <c r="FV171" s="205">
        <f t="shared" si="1430"/>
        <v>1900</v>
      </c>
      <c r="FW171" s="120"/>
      <c r="FX171" s="120"/>
      <c r="FY171" s="120"/>
      <c r="FZ171" s="120"/>
      <c r="GA171" s="120"/>
      <c r="GB171" s="209"/>
      <c r="GC171" s="205"/>
      <c r="GD171" s="205">
        <f t="shared" si="1440"/>
        <v>0</v>
      </c>
      <c r="GE171" s="120"/>
      <c r="GF171" s="120"/>
      <c r="GG171" s="120"/>
      <c r="GH171" s="120"/>
      <c r="GI171" s="120"/>
      <c r="GJ171" s="209"/>
      <c r="GK171" s="205"/>
      <c r="GL171" s="205">
        <f t="shared" si="1441"/>
        <v>0</v>
      </c>
      <c r="GM171" s="120"/>
      <c r="GN171" s="120"/>
      <c r="GO171" s="120"/>
      <c r="GP171" s="120"/>
      <c r="GQ171" s="120"/>
      <c r="GR171" s="209"/>
      <c r="GS171" s="205"/>
      <c r="GT171" s="205">
        <f t="shared" si="1442"/>
        <v>0</v>
      </c>
      <c r="GU171" s="120"/>
      <c r="GV171" s="250">
        <v>600</v>
      </c>
      <c r="GW171" s="120"/>
      <c r="GX171" s="120"/>
      <c r="GY171" s="120"/>
      <c r="GZ171" s="209"/>
      <c r="HA171" s="205"/>
      <c r="HB171" s="205">
        <f t="shared" si="1443"/>
        <v>600</v>
      </c>
      <c r="HC171" s="120"/>
      <c r="HD171" s="120"/>
      <c r="HE171" s="120"/>
      <c r="HF171" s="120"/>
      <c r="HG171" s="120"/>
      <c r="HH171" s="209"/>
      <c r="HI171" s="205"/>
      <c r="HJ171" s="205">
        <f t="shared" si="1444"/>
        <v>0</v>
      </c>
      <c r="HK171" s="205">
        <f t="shared" si="1431"/>
        <v>600</v>
      </c>
      <c r="HL171" s="124"/>
      <c r="HM171" s="120"/>
      <c r="HN171" s="120"/>
      <c r="HO171" s="195">
        <v>500</v>
      </c>
      <c r="HP171" s="120"/>
      <c r="HQ171" s="205"/>
      <c r="HR171" s="205"/>
      <c r="HS171" s="205">
        <f t="shared" si="1445"/>
        <v>500</v>
      </c>
      <c r="HT171" s="120"/>
      <c r="HU171" s="120"/>
      <c r="HV171" s="120"/>
      <c r="HW171" s="120"/>
      <c r="HX171" s="120"/>
      <c r="HY171" s="205"/>
      <c r="HZ171" s="205"/>
      <c r="IA171" s="205">
        <f t="shared" si="1446"/>
        <v>0</v>
      </c>
      <c r="IB171" s="120"/>
      <c r="IC171" s="120"/>
      <c r="ID171" s="120"/>
      <c r="IE171" s="120"/>
      <c r="IF171" s="120"/>
      <c r="IG171" s="205"/>
      <c r="IH171" s="205"/>
      <c r="II171" s="205">
        <f t="shared" si="1447"/>
        <v>0</v>
      </c>
      <c r="IJ171" s="120"/>
      <c r="IK171" s="120"/>
      <c r="IL171" s="120"/>
      <c r="IM171" s="120"/>
      <c r="IN171" s="120"/>
      <c r="IO171" s="205"/>
      <c r="IP171" s="205"/>
      <c r="IQ171" s="205">
        <f t="shared" si="1448"/>
        <v>0</v>
      </c>
      <c r="IR171" s="205">
        <f t="shared" si="1449"/>
        <v>500</v>
      </c>
      <c r="IS171" s="120"/>
      <c r="IT171" s="120"/>
      <c r="IU171" s="120"/>
      <c r="IV171" s="120"/>
      <c r="IW171" s="120"/>
      <c r="IX171" s="205"/>
      <c r="IY171" s="205"/>
      <c r="IZ171" s="205">
        <f t="shared" si="1450"/>
        <v>0</v>
      </c>
      <c r="JA171" s="120"/>
      <c r="JB171" s="120"/>
      <c r="JC171" s="120"/>
      <c r="JD171" s="120"/>
      <c r="JE171" s="120"/>
      <c r="JF171" s="205"/>
      <c r="JG171" s="205"/>
      <c r="JH171" s="205">
        <f t="shared" si="1451"/>
        <v>0</v>
      </c>
      <c r="JI171" s="120"/>
      <c r="JJ171" s="120"/>
      <c r="JK171" s="120"/>
      <c r="JL171" s="120"/>
      <c r="JM171" s="120"/>
      <c r="JN171" s="205"/>
      <c r="JO171" s="205"/>
      <c r="JP171" s="205">
        <f t="shared" si="1452"/>
        <v>0</v>
      </c>
      <c r="JQ171" s="120"/>
      <c r="JR171" s="120"/>
      <c r="JS171" s="120"/>
      <c r="JT171" s="120"/>
      <c r="JU171" s="120"/>
      <c r="JV171" s="205"/>
      <c r="JW171" s="205"/>
      <c r="JX171" s="205">
        <f t="shared" si="1453"/>
        <v>0</v>
      </c>
      <c r="JY171" s="205">
        <f t="shared" si="1454"/>
        <v>0</v>
      </c>
      <c r="JZ171" s="120"/>
      <c r="KA171" s="217">
        <v>600</v>
      </c>
      <c r="KB171" s="120"/>
      <c r="KC171" s="120"/>
      <c r="KD171" s="120"/>
      <c r="KE171" s="205"/>
      <c r="KF171" s="205"/>
      <c r="KG171" s="205">
        <f t="shared" si="1455"/>
        <v>600</v>
      </c>
      <c r="KH171" s="120"/>
      <c r="KI171" s="120"/>
      <c r="KJ171" s="120"/>
      <c r="KK171" s="120"/>
      <c r="KL171" s="120"/>
      <c r="KM171" s="205"/>
      <c r="KN171" s="205"/>
      <c r="KO171" s="205">
        <f t="shared" si="1456"/>
        <v>0</v>
      </c>
      <c r="KP171" s="201">
        <v>500</v>
      </c>
      <c r="KQ171" s="120"/>
      <c r="KR171" s="120"/>
      <c r="KS171" s="120"/>
      <c r="KT171" s="120"/>
      <c r="KU171" s="205"/>
      <c r="KV171" s="205"/>
      <c r="KW171" s="205">
        <f t="shared" si="1457"/>
        <v>500</v>
      </c>
      <c r="KX171" s="120"/>
      <c r="KY171" s="120"/>
      <c r="KZ171" s="120"/>
      <c r="LA171" s="120"/>
      <c r="LB171" s="120"/>
      <c r="LC171" s="205"/>
      <c r="LD171" s="205"/>
      <c r="LE171" s="205">
        <f t="shared" si="1458"/>
        <v>0</v>
      </c>
      <c r="LF171" s="205"/>
      <c r="LG171" s="120"/>
      <c r="LH171" s="120"/>
      <c r="LI171" s="120"/>
      <c r="LJ171" s="120"/>
      <c r="LK171" s="205"/>
      <c r="LL171" s="205"/>
      <c r="LM171" s="205">
        <f t="shared" si="1459"/>
        <v>0</v>
      </c>
      <c r="LN171" s="205">
        <f t="shared" si="1460"/>
        <v>1100</v>
      </c>
      <c r="LO171" s="205"/>
      <c r="LP171" s="120"/>
      <c r="LQ171" s="120"/>
      <c r="LR171" s="120"/>
      <c r="LS171" s="205"/>
      <c r="LT171" s="205"/>
      <c r="LU171" s="205"/>
      <c r="LV171" s="205">
        <f t="shared" si="1461"/>
        <v>0</v>
      </c>
      <c r="LW171" s="120"/>
      <c r="LX171" s="120"/>
      <c r="LY171" s="120"/>
      <c r="LZ171" s="120"/>
      <c r="MA171" s="120"/>
      <c r="MB171" s="205"/>
      <c r="MC171" s="205"/>
      <c r="MD171" s="205">
        <f t="shared" si="1462"/>
        <v>0</v>
      </c>
      <c r="ME171" s="120"/>
      <c r="MF171" s="120"/>
      <c r="MG171" s="120"/>
      <c r="MH171" s="120"/>
      <c r="MI171" s="205"/>
      <c r="MJ171" s="205"/>
      <c r="MK171" s="205"/>
      <c r="ML171" s="205">
        <f t="shared" si="1463"/>
        <v>0</v>
      </c>
      <c r="MM171" s="120"/>
      <c r="MN171" s="120"/>
      <c r="MO171" s="124">
        <v>500</v>
      </c>
      <c r="MP171" s="120"/>
      <c r="MQ171" s="120"/>
      <c r="MR171" s="205"/>
      <c r="MS171" s="205"/>
      <c r="MT171" s="205">
        <f t="shared" si="1464"/>
        <v>500</v>
      </c>
      <c r="MU171" s="205">
        <f t="shared" si="1465"/>
        <v>500</v>
      </c>
      <c r="MV171" s="120"/>
      <c r="MW171" s="120"/>
      <c r="MX171" s="120"/>
      <c r="MY171" s="120"/>
      <c r="MZ171" s="120"/>
      <c r="NA171" s="205"/>
      <c r="NB171" s="205"/>
      <c r="NC171" s="205">
        <f t="shared" si="1466"/>
        <v>0</v>
      </c>
      <c r="ND171" s="120"/>
      <c r="NE171" s="120"/>
      <c r="NF171" s="120"/>
      <c r="NG171" s="120"/>
      <c r="NH171" s="120"/>
      <c r="NI171" s="205"/>
      <c r="NJ171" s="205"/>
      <c r="NK171" s="205">
        <f t="shared" si="1467"/>
        <v>0</v>
      </c>
      <c r="NL171" s="120"/>
      <c r="NM171" s="120"/>
      <c r="NN171" s="120"/>
      <c r="NO171" s="120"/>
      <c r="NP171" s="120"/>
      <c r="NQ171" s="205"/>
      <c r="NR171" s="205"/>
      <c r="NS171" s="205">
        <f t="shared" si="1468"/>
        <v>0</v>
      </c>
      <c r="NT171" s="120"/>
      <c r="NU171" s="120"/>
      <c r="NV171" s="120"/>
      <c r="NW171" s="120"/>
      <c r="NX171" s="120"/>
      <c r="NY171" s="205"/>
      <c r="NZ171" s="205"/>
      <c r="OA171" s="205">
        <f t="shared" si="1469"/>
        <v>0</v>
      </c>
      <c r="OB171" s="205">
        <f t="shared" si="1470"/>
        <v>0</v>
      </c>
      <c r="OC171" s="217">
        <v>500</v>
      </c>
      <c r="OD171" s="120"/>
      <c r="OE171" s="120"/>
      <c r="OF171" s="120"/>
      <c r="OG171" s="120"/>
      <c r="OH171" s="205"/>
      <c r="OI171" s="205"/>
      <c r="OJ171" s="205">
        <f t="shared" si="1471"/>
        <v>500</v>
      </c>
      <c r="OK171" s="120"/>
      <c r="OL171" s="120"/>
      <c r="OM171" s="120"/>
      <c r="ON171" s="207"/>
      <c r="OO171" s="120"/>
      <c r="OP171" s="205"/>
      <c r="OQ171" s="205"/>
      <c r="OR171" s="205">
        <f t="shared" si="1472"/>
        <v>0</v>
      </c>
      <c r="OS171" s="120"/>
      <c r="OT171" s="120"/>
      <c r="OU171" s="120"/>
      <c r="OV171" s="120"/>
      <c r="OW171" s="217">
        <v>500</v>
      </c>
      <c r="OX171" s="205"/>
      <c r="OY171" s="205"/>
      <c r="OZ171" s="205">
        <f t="shared" si="1473"/>
        <v>500</v>
      </c>
      <c r="PA171" s="120"/>
      <c r="PB171" s="120"/>
      <c r="PC171" s="120"/>
      <c r="PD171" s="205"/>
      <c r="PE171" s="217"/>
      <c r="PF171" s="205"/>
      <c r="PG171" s="205"/>
      <c r="PH171" s="205">
        <f t="shared" si="1474"/>
        <v>0</v>
      </c>
      <c r="PI171" s="120"/>
      <c r="PJ171" s="120"/>
      <c r="PK171" s="120"/>
      <c r="PL171" s="205"/>
      <c r="PM171" s="217"/>
      <c r="PN171" s="205"/>
      <c r="PO171" s="205"/>
      <c r="PP171" s="205">
        <f t="shared" si="1475"/>
        <v>0</v>
      </c>
      <c r="PQ171" s="205">
        <f t="shared" si="1476"/>
        <v>1000</v>
      </c>
      <c r="PR171" s="207"/>
      <c r="PS171" s="207"/>
      <c r="PT171" s="120"/>
      <c r="PU171" s="195">
        <v>500</v>
      </c>
      <c r="PV171" s="120"/>
      <c r="PW171" s="272"/>
      <c r="PX171" s="272"/>
      <c r="PY171" s="205">
        <f t="shared" si="1477"/>
        <v>500</v>
      </c>
      <c r="PZ171" s="207"/>
      <c r="QA171" s="120"/>
      <c r="QB171" s="120"/>
      <c r="QC171" s="207"/>
      <c r="QD171" s="207"/>
      <c r="QE171" s="272"/>
      <c r="QF171" s="272"/>
      <c r="QG171" s="205">
        <f t="shared" si="1478"/>
        <v>0</v>
      </c>
      <c r="QH171" s="207"/>
      <c r="QI171" s="217">
        <v>500</v>
      </c>
      <c r="QJ171" s="294"/>
      <c r="QK171" s="207"/>
      <c r="QL171" s="207"/>
      <c r="QM171" s="272"/>
      <c r="QN171" s="272"/>
      <c r="QO171" s="205">
        <f t="shared" si="1479"/>
        <v>500</v>
      </c>
      <c r="QP171" s="207"/>
      <c r="QQ171" s="207"/>
      <c r="QR171" s="123">
        <v>550</v>
      </c>
      <c r="QS171" s="207"/>
      <c r="QT171" s="207"/>
      <c r="QU171" s="272"/>
      <c r="QV171" s="272"/>
      <c r="QW171" s="205">
        <f t="shared" si="1480"/>
        <v>550</v>
      </c>
      <c r="QX171" s="205">
        <f t="shared" si="1481"/>
        <v>1550</v>
      </c>
      <c r="QY171" s="207"/>
      <c r="QZ171" s="207"/>
      <c r="RA171" s="201">
        <v>500</v>
      </c>
      <c r="RB171" s="207"/>
      <c r="RC171" s="207"/>
      <c r="RD171" s="272"/>
      <c r="RE171" s="272"/>
      <c r="RF171" s="205">
        <f t="shared" si="1482"/>
        <v>500</v>
      </c>
      <c r="RG171" s="207"/>
      <c r="RH171" s="207"/>
      <c r="RI171" s="207"/>
      <c r="RJ171" s="207"/>
      <c r="RK171" s="207"/>
      <c r="RL171" s="272"/>
      <c r="RM171" s="272"/>
      <c r="RN171" s="205">
        <f t="shared" si="1483"/>
        <v>0</v>
      </c>
      <c r="RO171" s="272"/>
      <c r="RP171" s="272"/>
      <c r="RQ171" s="272"/>
      <c r="RR171" s="272"/>
      <c r="RS171" s="272"/>
      <c r="RT171" s="272"/>
      <c r="RU171" s="272"/>
      <c r="RV171" s="205">
        <f t="shared" si="1484"/>
        <v>0</v>
      </c>
      <c r="RW171" s="207"/>
      <c r="RX171" s="207"/>
      <c r="RY171" s="207"/>
      <c r="RZ171" s="207"/>
      <c r="SA171" s="272"/>
      <c r="SB171" s="272"/>
      <c r="SC171" s="272"/>
      <c r="SD171" s="205">
        <f t="shared" si="1485"/>
        <v>0</v>
      </c>
      <c r="SE171" s="205">
        <f t="shared" si="1486"/>
        <v>500</v>
      </c>
      <c r="SF171" s="207"/>
      <c r="SG171" s="207"/>
      <c r="SH171" s="217">
        <v>500</v>
      </c>
      <c r="SI171" s="120"/>
      <c r="SJ171" s="120"/>
      <c r="SK171" s="272"/>
      <c r="SL171" s="272"/>
      <c r="SM171" s="205">
        <f t="shared" si="1487"/>
        <v>500</v>
      </c>
      <c r="SN171" s="207"/>
      <c r="SO171" s="207"/>
      <c r="SP171" s="207"/>
      <c r="SQ171" s="207"/>
      <c r="SR171" s="207"/>
      <c r="SS171" s="272"/>
      <c r="ST171" s="272"/>
      <c r="SU171" s="205">
        <f t="shared" si="1488"/>
        <v>0</v>
      </c>
      <c r="SV171" s="217">
        <v>500</v>
      </c>
      <c r="SW171" s="207"/>
      <c r="SX171" s="207"/>
      <c r="SY171" s="207"/>
      <c r="SZ171" s="207"/>
      <c r="TA171" s="272"/>
      <c r="TB171" s="272"/>
      <c r="TC171" s="205">
        <f t="shared" si="1489"/>
        <v>500</v>
      </c>
      <c r="TD171" s="207"/>
      <c r="TE171" s="206">
        <v>360</v>
      </c>
      <c r="TF171" s="207"/>
      <c r="TG171" s="207"/>
      <c r="TH171" s="207"/>
      <c r="TI171" s="272"/>
      <c r="TJ171" s="272"/>
      <c r="TK171" s="205">
        <f t="shared" si="1490"/>
        <v>360</v>
      </c>
      <c r="TL171" s="207"/>
      <c r="TM171" s="207"/>
      <c r="TN171" s="207"/>
      <c r="TO171" s="207"/>
      <c r="TP171" s="272"/>
      <c r="TQ171" s="272"/>
      <c r="TR171" s="272"/>
      <c r="TS171" s="205">
        <f t="shared" si="1491"/>
        <v>0</v>
      </c>
      <c r="TT171" s="205">
        <f t="shared" si="1492"/>
        <v>1360</v>
      </c>
      <c r="TU171" s="272"/>
      <c r="TV171" s="207"/>
      <c r="TW171" s="207"/>
      <c r="TX171" s="207"/>
      <c r="TY171" s="207"/>
      <c r="TZ171" s="272"/>
      <c r="UA171" s="272"/>
      <c r="UB171" s="205">
        <f t="shared" si="1493"/>
        <v>0</v>
      </c>
      <c r="UC171" s="207"/>
      <c r="UD171" s="207"/>
      <c r="UE171" s="217">
        <v>500</v>
      </c>
      <c r="UF171" s="207"/>
      <c r="UG171" s="207"/>
      <c r="UH171" s="272"/>
      <c r="UI171" s="272"/>
      <c r="UJ171" s="205">
        <f t="shared" si="1494"/>
        <v>500</v>
      </c>
      <c r="UK171" s="201">
        <v>500</v>
      </c>
      <c r="UL171" s="120"/>
      <c r="UM171" s="207"/>
      <c r="UN171" s="207"/>
      <c r="UO171" s="207"/>
      <c r="UP171" s="272"/>
      <c r="UQ171" s="272"/>
      <c r="UR171" s="205">
        <f t="shared" si="1495"/>
        <v>500</v>
      </c>
      <c r="US171" s="207"/>
      <c r="UT171" s="207"/>
      <c r="UU171" s="124">
        <v>500</v>
      </c>
      <c r="UV171" s="124">
        <v>500</v>
      </c>
      <c r="UW171" s="272"/>
      <c r="UX171" s="272"/>
      <c r="UY171" s="272"/>
      <c r="UZ171" s="205">
        <f t="shared" si="1496"/>
        <v>1000</v>
      </c>
      <c r="VA171" s="205">
        <f t="shared" si="1497"/>
        <v>2000</v>
      </c>
      <c r="VB171" s="207"/>
      <c r="VC171" s="207"/>
      <c r="VD171" s="207"/>
      <c r="VE171" s="207"/>
      <c r="VF171" s="207"/>
      <c r="VG171" s="272"/>
      <c r="VH171" s="272"/>
      <c r="VI171" s="205">
        <f t="shared" si="1498"/>
        <v>0</v>
      </c>
      <c r="VJ171" s="207"/>
      <c r="VK171" s="207"/>
      <c r="VL171" s="207"/>
      <c r="VM171" s="207"/>
      <c r="VN171" s="207"/>
      <c r="VO171" s="272"/>
      <c r="VP171" s="272"/>
      <c r="VQ171" s="205">
        <f>SUM(VJ171:VP171)</f>
        <v>0</v>
      </c>
      <c r="VR171" s="207"/>
      <c r="VS171" s="207"/>
      <c r="VT171" s="207"/>
      <c r="VU171" s="207"/>
      <c r="VV171" s="195">
        <v>500</v>
      </c>
      <c r="VW171" s="272"/>
      <c r="VX171" s="272"/>
      <c r="VY171" s="205">
        <f t="shared" si="1500"/>
        <v>500</v>
      </c>
      <c r="VZ171" s="195">
        <v>500</v>
      </c>
      <c r="WA171" s="120"/>
      <c r="WB171" s="120"/>
      <c r="WC171" s="207"/>
      <c r="WD171" s="207"/>
      <c r="WE171" s="272"/>
      <c r="WF171" s="272"/>
      <c r="WG171" s="205">
        <f t="shared" si="1501"/>
        <v>500</v>
      </c>
      <c r="WH171" s="205">
        <f t="shared" si="1502"/>
        <v>1000</v>
      </c>
      <c r="WI171" s="207"/>
      <c r="WJ171" s="207"/>
      <c r="WK171" s="207"/>
      <c r="WL171" s="207"/>
      <c r="WM171" s="207"/>
      <c r="WN171" s="272"/>
      <c r="WO171" s="272"/>
      <c r="WP171" s="205">
        <f t="shared" si="1503"/>
        <v>0</v>
      </c>
      <c r="WQ171" s="120"/>
      <c r="WR171" s="120">
        <v>500</v>
      </c>
      <c r="WS171" s="120"/>
      <c r="WT171" s="120"/>
      <c r="WU171" s="207"/>
      <c r="WV171" s="272"/>
      <c r="WW171" s="272"/>
      <c r="WX171" s="205">
        <f t="shared" si="1504"/>
        <v>500</v>
      </c>
      <c r="WY171" s="207"/>
      <c r="WZ171" s="207"/>
      <c r="XA171" s="207"/>
      <c r="XB171" s="207"/>
      <c r="XC171" s="272"/>
      <c r="XD171" s="272"/>
      <c r="XE171" s="272"/>
      <c r="XF171" s="205">
        <f t="shared" si="1505"/>
        <v>0</v>
      </c>
      <c r="XG171" s="207"/>
      <c r="XH171" s="207"/>
      <c r="XI171" s="207"/>
      <c r="XJ171" s="207"/>
      <c r="XK171" s="207"/>
      <c r="XL171" s="272"/>
      <c r="XM171" s="272"/>
      <c r="XN171" s="205">
        <f t="shared" si="1506"/>
        <v>0</v>
      </c>
      <c r="XO171" s="207"/>
      <c r="XP171" s="207"/>
      <c r="XQ171" s="207"/>
      <c r="XR171" s="207"/>
      <c r="XS171" s="207"/>
      <c r="XT171" s="272"/>
      <c r="XU171" s="272"/>
      <c r="XV171" s="205">
        <f t="shared" si="1507"/>
        <v>0</v>
      </c>
      <c r="XW171" s="205">
        <f t="shared" si="1508"/>
        <v>500</v>
      </c>
      <c r="XX171" s="207"/>
      <c r="XY171" s="207"/>
      <c r="XZ171" s="207"/>
      <c r="YA171" s="207"/>
      <c r="YB171" s="207"/>
      <c r="YC171" s="272"/>
      <c r="YD171" s="272"/>
      <c r="YE171" s="205">
        <f t="shared" si="1509"/>
        <v>0</v>
      </c>
      <c r="YF171" s="207"/>
      <c r="YG171" s="207"/>
      <c r="YH171" s="207"/>
      <c r="YI171" s="207"/>
      <c r="YJ171" s="207"/>
      <c r="YK171" s="272"/>
      <c r="YL171" s="272"/>
      <c r="YM171" s="205">
        <f t="shared" si="1510"/>
        <v>0</v>
      </c>
      <c r="YN171" s="207"/>
      <c r="YO171" s="207"/>
      <c r="YP171" s="207"/>
      <c r="YQ171" s="207"/>
      <c r="YR171" s="207"/>
      <c r="YS171" s="272"/>
      <c r="YT171" s="272"/>
      <c r="YU171" s="205">
        <f t="shared" si="1511"/>
        <v>0</v>
      </c>
      <c r="YV171" s="207"/>
      <c r="YW171" s="207"/>
      <c r="YX171" s="207"/>
      <c r="YY171" s="207"/>
      <c r="YZ171" s="207"/>
      <c r="ZA171" s="272"/>
      <c r="ZB171" s="272"/>
      <c r="ZC171" s="205">
        <f t="shared" si="1512"/>
        <v>0</v>
      </c>
      <c r="ZD171" s="205">
        <f t="shared" si="1513"/>
        <v>500</v>
      </c>
      <c r="ZE171" s="207"/>
      <c r="ZF171" s="207"/>
      <c r="ZG171" s="207"/>
      <c r="ZH171" s="207"/>
      <c r="ZI171" s="207"/>
      <c r="ZJ171" s="272"/>
      <c r="ZK171" s="272"/>
      <c r="ZL171" s="205">
        <f t="shared" si="1514"/>
        <v>0</v>
      </c>
      <c r="ZM171" s="207"/>
      <c r="ZN171" s="207"/>
      <c r="ZO171" s="207"/>
      <c r="ZP171" s="207"/>
      <c r="ZQ171" s="207"/>
      <c r="ZR171" s="272"/>
      <c r="ZS171" s="272"/>
      <c r="ZT171" s="205">
        <f t="shared" si="1515"/>
        <v>0</v>
      </c>
      <c r="ZU171" s="207"/>
      <c r="ZV171" s="207"/>
      <c r="ZW171" s="207"/>
      <c r="ZX171" s="207"/>
      <c r="ZY171" s="207"/>
      <c r="ZZ171" s="272"/>
      <c r="AAA171" s="272"/>
      <c r="AAB171" s="205">
        <f t="shared" si="1516"/>
        <v>0</v>
      </c>
      <c r="AAC171" s="207"/>
      <c r="AAD171" s="207"/>
      <c r="AAE171" s="207"/>
      <c r="AAF171" s="207"/>
      <c r="AAG171" s="207"/>
      <c r="AAH171" s="272"/>
      <c r="AAI171" s="272"/>
      <c r="AAJ171" s="205">
        <f t="shared" si="1517"/>
        <v>0</v>
      </c>
      <c r="AAK171" s="207"/>
      <c r="AAL171" s="207"/>
      <c r="AAM171" s="207"/>
      <c r="AAN171" s="207"/>
      <c r="AAO171" s="207"/>
      <c r="AAP171" s="272"/>
      <c r="AAQ171" s="272"/>
      <c r="AAR171" s="205">
        <f t="shared" si="1518"/>
        <v>0</v>
      </c>
      <c r="AAS171" s="205">
        <f t="shared" si="1519"/>
        <v>0</v>
      </c>
    </row>
    <row r="172" spans="2:721" ht="69.95" customHeight="1">
      <c r="B172" s="211" t="s">
        <v>597</v>
      </c>
      <c r="C172" s="344" t="s">
        <v>888</v>
      </c>
      <c r="D172" s="212" t="s">
        <v>572</v>
      </c>
      <c r="E172" s="130" t="s">
        <v>4</v>
      </c>
      <c r="F172" s="120"/>
      <c r="G172" s="120"/>
      <c r="H172" s="120"/>
      <c r="I172" s="201">
        <v>500</v>
      </c>
      <c r="J172" s="120"/>
      <c r="K172" s="209"/>
      <c r="L172" s="205"/>
      <c r="M172" s="205">
        <f t="shared" si="1520"/>
        <v>500</v>
      </c>
      <c r="N172" s="120"/>
      <c r="O172" s="120"/>
      <c r="P172" s="120"/>
      <c r="Q172" s="120"/>
      <c r="R172" s="120"/>
      <c r="S172" s="209"/>
      <c r="T172" s="205"/>
      <c r="U172" s="205">
        <f t="shared" si="1521"/>
        <v>0</v>
      </c>
      <c r="V172" s="120"/>
      <c r="W172" s="120"/>
      <c r="X172" s="120"/>
      <c r="Y172" s="120"/>
      <c r="Z172" s="120"/>
      <c r="AA172" s="209"/>
      <c r="AB172" s="205"/>
      <c r="AC172" s="205">
        <f t="shared" si="1522"/>
        <v>0</v>
      </c>
      <c r="AD172" s="205"/>
      <c r="AE172" s="205"/>
      <c r="AF172" s="205"/>
      <c r="AG172" s="205"/>
      <c r="AH172" s="205"/>
      <c r="AI172" s="209"/>
      <c r="AJ172" s="205"/>
      <c r="AK172" s="205">
        <f t="shared" si="1523"/>
        <v>0</v>
      </c>
      <c r="AL172" s="205" t="e">
        <f>SUM(#REF!,M172,U172,AC172,AD172:AH172)</f>
        <v>#REF!</v>
      </c>
      <c r="AM172" s="120"/>
      <c r="AN172" s="120"/>
      <c r="AO172" s="120"/>
      <c r="AP172" s="120"/>
      <c r="AQ172" s="120"/>
      <c r="AR172" s="209"/>
      <c r="AS172" s="205"/>
      <c r="AT172" s="205">
        <f t="shared" si="1524"/>
        <v>0</v>
      </c>
      <c r="AU172" s="120"/>
      <c r="AV172" s="120"/>
      <c r="AW172" s="120"/>
      <c r="AX172" s="120"/>
      <c r="AY172" s="120"/>
      <c r="AZ172" s="209"/>
      <c r="BA172" s="205"/>
      <c r="BB172" s="205">
        <f t="shared" si="1525"/>
        <v>0</v>
      </c>
      <c r="BC172" s="120"/>
      <c r="BD172" s="120"/>
      <c r="BE172" s="120"/>
      <c r="BF172" s="120"/>
      <c r="BG172" s="120"/>
      <c r="BH172" s="209"/>
      <c r="BI172" s="205"/>
      <c r="BJ172" s="205">
        <f t="shared" si="1526"/>
        <v>0</v>
      </c>
      <c r="BK172" s="120"/>
      <c r="BL172" s="120"/>
      <c r="BM172" s="120"/>
      <c r="BN172" s="120"/>
      <c r="BO172" s="205"/>
      <c r="BP172" s="209"/>
      <c r="BQ172" s="205"/>
      <c r="BR172" s="205">
        <f t="shared" si="1527"/>
        <v>0</v>
      </c>
      <c r="BS172" s="205">
        <f t="shared" si="1427"/>
        <v>0</v>
      </c>
      <c r="BT172" s="120"/>
      <c r="BU172" s="120"/>
      <c r="BV172" s="120"/>
      <c r="BW172" s="120"/>
      <c r="BX172" s="120"/>
      <c r="BY172" s="209"/>
      <c r="BZ172" s="205"/>
      <c r="CA172" s="205">
        <f t="shared" si="1528"/>
        <v>0</v>
      </c>
      <c r="CB172" s="201">
        <v>500</v>
      </c>
      <c r="CC172" s="120"/>
      <c r="CD172" s="120"/>
      <c r="CE172" s="120"/>
      <c r="CF172" s="120"/>
      <c r="CG172" s="209"/>
      <c r="CH172" s="205"/>
      <c r="CI172" s="205">
        <f t="shared" si="1529"/>
        <v>500</v>
      </c>
      <c r="CJ172" s="120"/>
      <c r="CK172" s="120"/>
      <c r="CL172" s="120"/>
      <c r="CM172" s="120"/>
      <c r="CN172" s="217">
        <v>500</v>
      </c>
      <c r="CO172" s="209"/>
      <c r="CP172" s="205"/>
      <c r="CQ172" s="205">
        <f t="shared" si="1530"/>
        <v>500</v>
      </c>
      <c r="CR172" s="120"/>
      <c r="CS172" s="120"/>
      <c r="CT172" s="120"/>
      <c r="CU172" s="120"/>
      <c r="CV172" s="120"/>
      <c r="CW172" s="209"/>
      <c r="CX172" s="205"/>
      <c r="CY172" s="205">
        <f t="shared" si="1531"/>
        <v>0</v>
      </c>
      <c r="CZ172" s="120"/>
      <c r="DA172" s="120"/>
      <c r="DB172" s="120"/>
      <c r="DC172" s="205"/>
      <c r="DD172" s="205"/>
      <c r="DE172" s="209"/>
      <c r="DF172" s="205"/>
      <c r="DG172" s="205">
        <f t="shared" si="1532"/>
        <v>0</v>
      </c>
      <c r="DH172" s="205">
        <f t="shared" si="1428"/>
        <v>1000</v>
      </c>
      <c r="DI172" s="120"/>
      <c r="DJ172" s="120"/>
      <c r="DK172" s="120"/>
      <c r="DL172" s="120"/>
      <c r="DM172" s="120"/>
      <c r="DN172" s="209"/>
      <c r="DO172" s="205"/>
      <c r="DP172" s="205">
        <f t="shared" si="1432"/>
        <v>0</v>
      </c>
      <c r="DQ172" s="120"/>
      <c r="DR172" s="120"/>
      <c r="DS172" s="120"/>
      <c r="DT172" s="120"/>
      <c r="DU172" s="120"/>
      <c r="DV172" s="209"/>
      <c r="DW172" s="205"/>
      <c r="DX172" s="205">
        <f t="shared" si="1433"/>
        <v>0</v>
      </c>
      <c r="DY172" s="120"/>
      <c r="DZ172" s="120"/>
      <c r="EA172" s="120"/>
      <c r="EB172" s="120"/>
      <c r="EC172" s="120"/>
      <c r="ED172" s="209"/>
      <c r="EE172" s="205"/>
      <c r="EF172" s="205">
        <f t="shared" si="1434"/>
        <v>0</v>
      </c>
      <c r="EG172" s="120"/>
      <c r="EH172" s="120"/>
      <c r="EI172" s="120"/>
      <c r="EJ172" s="205"/>
      <c r="EK172" s="205"/>
      <c r="EL172" s="209"/>
      <c r="EM172" s="205"/>
      <c r="EN172" s="205">
        <f t="shared" si="1435"/>
        <v>0</v>
      </c>
      <c r="EO172" s="205">
        <f t="shared" si="1429"/>
        <v>0</v>
      </c>
      <c r="EP172" s="120"/>
      <c r="EQ172" s="120"/>
      <c r="ER172" s="120"/>
      <c r="ES172" s="120"/>
      <c r="ET172" s="120"/>
      <c r="EU172" s="209"/>
      <c r="EV172" s="205"/>
      <c r="EW172" s="205">
        <f t="shared" si="1436"/>
        <v>0</v>
      </c>
      <c r="EX172" s="120"/>
      <c r="EY172" s="250">
        <v>1000</v>
      </c>
      <c r="EZ172" s="120"/>
      <c r="FA172" s="120"/>
      <c r="FB172" s="120"/>
      <c r="FC172" s="209"/>
      <c r="FD172" s="205"/>
      <c r="FE172" s="205">
        <f t="shared" si="1437"/>
        <v>1000</v>
      </c>
      <c r="FF172" s="120"/>
      <c r="FG172" s="250">
        <v>500</v>
      </c>
      <c r="FH172" s="120"/>
      <c r="FI172" s="120"/>
      <c r="FJ172" s="120"/>
      <c r="FK172" s="209"/>
      <c r="FL172" s="205"/>
      <c r="FM172" s="205">
        <f t="shared" si="1438"/>
        <v>500</v>
      </c>
      <c r="FN172" s="120"/>
      <c r="FO172" s="120"/>
      <c r="FP172" s="120"/>
      <c r="FQ172" s="120"/>
      <c r="FR172" s="205"/>
      <c r="FS172" s="209"/>
      <c r="FT172" s="205"/>
      <c r="FU172" s="205">
        <f t="shared" si="1439"/>
        <v>0</v>
      </c>
      <c r="FV172" s="205">
        <f t="shared" si="1430"/>
        <v>1500</v>
      </c>
      <c r="FW172" s="250">
        <v>400</v>
      </c>
      <c r="FX172" s="120"/>
      <c r="FY172" s="120"/>
      <c r="FZ172" s="120"/>
      <c r="GA172" s="120"/>
      <c r="GB172" s="209"/>
      <c r="GC172" s="205"/>
      <c r="GD172" s="205">
        <f t="shared" si="1440"/>
        <v>400</v>
      </c>
      <c r="GE172" s="120"/>
      <c r="GF172" s="120"/>
      <c r="GG172" s="120"/>
      <c r="GH172" s="120"/>
      <c r="GI172" s="120"/>
      <c r="GJ172" s="209"/>
      <c r="GK172" s="205"/>
      <c r="GL172" s="205">
        <f t="shared" si="1441"/>
        <v>0</v>
      </c>
      <c r="GM172" s="120"/>
      <c r="GN172" s="120"/>
      <c r="GO172" s="120"/>
      <c r="GP172" s="120"/>
      <c r="GQ172" s="120"/>
      <c r="GR172" s="209"/>
      <c r="GS172" s="205"/>
      <c r="GT172" s="205">
        <f t="shared" si="1442"/>
        <v>0</v>
      </c>
      <c r="GU172" s="120"/>
      <c r="GV172" s="120"/>
      <c r="GW172" s="120"/>
      <c r="GX172" s="250">
        <v>600</v>
      </c>
      <c r="GY172" s="120"/>
      <c r="GZ172" s="209"/>
      <c r="HA172" s="205"/>
      <c r="HB172" s="205">
        <f t="shared" si="1443"/>
        <v>600</v>
      </c>
      <c r="HC172" s="120"/>
      <c r="HD172" s="120"/>
      <c r="HE172" s="120"/>
      <c r="HF172" s="120"/>
      <c r="HG172" s="120"/>
      <c r="HH172" s="209"/>
      <c r="HI172" s="205"/>
      <c r="HJ172" s="205">
        <f t="shared" si="1444"/>
        <v>0</v>
      </c>
      <c r="HK172" s="205">
        <f t="shared" si="1431"/>
        <v>1000</v>
      </c>
      <c r="HL172" s="124"/>
      <c r="HM172" s="120"/>
      <c r="HN172" s="120"/>
      <c r="HO172" s="120"/>
      <c r="HP172" s="120"/>
      <c r="HQ172" s="205"/>
      <c r="HR172" s="205"/>
      <c r="HS172" s="205">
        <f t="shared" si="1445"/>
        <v>0</v>
      </c>
      <c r="HT172" s="195">
        <v>500</v>
      </c>
      <c r="HU172" s="120"/>
      <c r="HV172" s="120"/>
      <c r="HW172" s="120"/>
      <c r="HX172" s="120"/>
      <c r="HY172" s="205"/>
      <c r="HZ172" s="205"/>
      <c r="IA172" s="205">
        <f t="shared" si="1446"/>
        <v>500</v>
      </c>
      <c r="IB172" s="120"/>
      <c r="IC172" s="120"/>
      <c r="ID172" s="120"/>
      <c r="IE172" s="120"/>
      <c r="IF172" s="120"/>
      <c r="IG172" s="205"/>
      <c r="IH172" s="205"/>
      <c r="II172" s="205">
        <f t="shared" si="1447"/>
        <v>0</v>
      </c>
      <c r="IJ172" s="120"/>
      <c r="IK172" s="120"/>
      <c r="IL172" s="120"/>
      <c r="IM172" s="120"/>
      <c r="IN172" s="120"/>
      <c r="IO172" s="205"/>
      <c r="IP172" s="205"/>
      <c r="IQ172" s="205">
        <f t="shared" si="1448"/>
        <v>0</v>
      </c>
      <c r="IR172" s="205">
        <f t="shared" si="1449"/>
        <v>500</v>
      </c>
      <c r="IS172" s="120"/>
      <c r="IT172" s="120"/>
      <c r="IU172" s="120"/>
      <c r="IV172" s="120"/>
      <c r="IW172" s="120"/>
      <c r="IX172" s="205"/>
      <c r="IY172" s="205"/>
      <c r="IZ172" s="205">
        <f t="shared" si="1450"/>
        <v>0</v>
      </c>
      <c r="JA172" s="120"/>
      <c r="JB172" s="120"/>
      <c r="JC172" s="120"/>
      <c r="JD172" s="120"/>
      <c r="JE172" s="120"/>
      <c r="JF172" s="205"/>
      <c r="JG172" s="205"/>
      <c r="JH172" s="205">
        <f t="shared" si="1451"/>
        <v>0</v>
      </c>
      <c r="JI172" s="120"/>
      <c r="JJ172" s="120"/>
      <c r="JK172" s="120"/>
      <c r="JL172" s="120"/>
      <c r="JM172" s="120"/>
      <c r="JN172" s="205"/>
      <c r="JO172" s="205"/>
      <c r="JP172" s="205">
        <f t="shared" si="1452"/>
        <v>0</v>
      </c>
      <c r="JQ172" s="120"/>
      <c r="JR172" s="120"/>
      <c r="JS172" s="120"/>
      <c r="JT172" s="120"/>
      <c r="JU172" s="120"/>
      <c r="JV172" s="205"/>
      <c r="JW172" s="205"/>
      <c r="JX172" s="205">
        <f t="shared" si="1453"/>
        <v>0</v>
      </c>
      <c r="JY172" s="205">
        <f t="shared" si="1454"/>
        <v>0</v>
      </c>
      <c r="JZ172" s="120"/>
      <c r="KA172" s="120"/>
      <c r="KB172" s="120"/>
      <c r="KC172" s="217">
        <v>600</v>
      </c>
      <c r="KD172" s="120"/>
      <c r="KE172" s="205"/>
      <c r="KF172" s="205"/>
      <c r="KG172" s="205">
        <f t="shared" si="1455"/>
        <v>600</v>
      </c>
      <c r="KH172" s="120"/>
      <c r="KI172" s="120"/>
      <c r="KJ172" s="120"/>
      <c r="KK172" s="120"/>
      <c r="KL172" s="120"/>
      <c r="KM172" s="205"/>
      <c r="KN172" s="205"/>
      <c r="KO172" s="205">
        <f t="shared" si="1456"/>
        <v>0</v>
      </c>
      <c r="KP172" s="120"/>
      <c r="KQ172" s="120"/>
      <c r="KR172" s="201">
        <v>500</v>
      </c>
      <c r="KS172" s="120"/>
      <c r="KT172" s="120"/>
      <c r="KU172" s="205"/>
      <c r="KV172" s="205"/>
      <c r="KW172" s="205">
        <f t="shared" si="1457"/>
        <v>500</v>
      </c>
      <c r="KX172" s="120"/>
      <c r="KY172" s="120"/>
      <c r="KZ172" s="120"/>
      <c r="LA172" s="120"/>
      <c r="LB172" s="120"/>
      <c r="LC172" s="205"/>
      <c r="LD172" s="205"/>
      <c r="LE172" s="205">
        <f t="shared" si="1458"/>
        <v>0</v>
      </c>
      <c r="LF172" s="205"/>
      <c r="LG172" s="120"/>
      <c r="LH172" s="120"/>
      <c r="LI172" s="120"/>
      <c r="LJ172" s="120"/>
      <c r="LK172" s="205"/>
      <c r="LL172" s="205"/>
      <c r="LM172" s="205">
        <f t="shared" si="1459"/>
        <v>0</v>
      </c>
      <c r="LN172" s="205">
        <f t="shared" si="1460"/>
        <v>1100</v>
      </c>
      <c r="LO172" s="205"/>
      <c r="LP172" s="120"/>
      <c r="LQ172" s="120"/>
      <c r="LR172" s="120"/>
      <c r="LS172" s="205"/>
      <c r="LT172" s="205"/>
      <c r="LU172" s="205"/>
      <c r="LV172" s="205">
        <f t="shared" si="1461"/>
        <v>0</v>
      </c>
      <c r="LW172" s="120"/>
      <c r="LX172" s="120"/>
      <c r="LY172" s="120"/>
      <c r="LZ172" s="120"/>
      <c r="MA172" s="120"/>
      <c r="MB172" s="205"/>
      <c r="MC172" s="205"/>
      <c r="MD172" s="205">
        <f t="shared" si="1462"/>
        <v>0</v>
      </c>
      <c r="ME172" s="120"/>
      <c r="MF172" s="120"/>
      <c r="MG172" s="120"/>
      <c r="MH172" s="120"/>
      <c r="MI172" s="205"/>
      <c r="MJ172" s="205"/>
      <c r="MK172" s="205"/>
      <c r="ML172" s="205">
        <f t="shared" si="1463"/>
        <v>0</v>
      </c>
      <c r="MM172" s="120"/>
      <c r="MN172" s="120"/>
      <c r="MO172" s="120"/>
      <c r="MP172" s="120"/>
      <c r="MQ172" s="124">
        <v>500</v>
      </c>
      <c r="MR172" s="205"/>
      <c r="MS172" s="205"/>
      <c r="MT172" s="205">
        <f t="shared" si="1464"/>
        <v>500</v>
      </c>
      <c r="MU172" s="205">
        <f t="shared" si="1465"/>
        <v>500</v>
      </c>
      <c r="MV172" s="120"/>
      <c r="MW172" s="120"/>
      <c r="MX172" s="120"/>
      <c r="MY172" s="120"/>
      <c r="MZ172" s="120"/>
      <c r="NA172" s="205"/>
      <c r="NB172" s="205"/>
      <c r="NC172" s="205">
        <f t="shared" si="1466"/>
        <v>0</v>
      </c>
      <c r="ND172" s="120"/>
      <c r="NE172" s="120"/>
      <c r="NF172" s="120"/>
      <c r="NG172" s="120"/>
      <c r="NH172" s="120"/>
      <c r="NI172" s="205"/>
      <c r="NJ172" s="205"/>
      <c r="NK172" s="205">
        <f t="shared" si="1467"/>
        <v>0</v>
      </c>
      <c r="NL172" s="120"/>
      <c r="NM172" s="120"/>
      <c r="NN172" s="120"/>
      <c r="NO172" s="120"/>
      <c r="NP172" s="120"/>
      <c r="NQ172" s="205"/>
      <c r="NR172" s="205"/>
      <c r="NS172" s="205">
        <f t="shared" si="1468"/>
        <v>0</v>
      </c>
      <c r="NT172" s="120"/>
      <c r="NU172" s="120"/>
      <c r="NV172" s="120"/>
      <c r="NW172" s="120"/>
      <c r="NX172" s="120"/>
      <c r="NY172" s="205"/>
      <c r="NZ172" s="205"/>
      <c r="OA172" s="205">
        <f t="shared" si="1469"/>
        <v>0</v>
      </c>
      <c r="OB172" s="205">
        <f t="shared" si="1470"/>
        <v>0</v>
      </c>
      <c r="OC172" s="120"/>
      <c r="OD172" s="120"/>
      <c r="OE172" s="120"/>
      <c r="OF172" s="217">
        <v>500</v>
      </c>
      <c r="OG172" s="120"/>
      <c r="OH172" s="205"/>
      <c r="OI172" s="205"/>
      <c r="OJ172" s="205">
        <f t="shared" si="1471"/>
        <v>500</v>
      </c>
      <c r="OK172" s="120"/>
      <c r="OL172" s="120"/>
      <c r="OM172" s="120"/>
      <c r="ON172" s="120"/>
      <c r="OO172" s="120"/>
      <c r="OP172" s="205"/>
      <c r="OQ172" s="205"/>
      <c r="OR172" s="205">
        <f t="shared" si="1472"/>
        <v>0</v>
      </c>
      <c r="OS172" s="120"/>
      <c r="OT172" s="120"/>
      <c r="OU172" s="120"/>
      <c r="OV172" s="120"/>
      <c r="OW172" s="120"/>
      <c r="OX172" s="205"/>
      <c r="OY172" s="205"/>
      <c r="OZ172" s="205">
        <f t="shared" si="1473"/>
        <v>0</v>
      </c>
      <c r="PA172" s="120"/>
      <c r="PB172" s="201">
        <v>500</v>
      </c>
      <c r="PC172" s="120"/>
      <c r="PD172" s="205"/>
      <c r="PE172" s="217"/>
      <c r="PF172" s="205"/>
      <c r="PG172" s="205"/>
      <c r="PH172" s="205">
        <f t="shared" si="1474"/>
        <v>500</v>
      </c>
      <c r="PI172" s="120"/>
      <c r="PJ172" s="120"/>
      <c r="PK172" s="120"/>
      <c r="PL172" s="205"/>
      <c r="PM172" s="217"/>
      <c r="PN172" s="205"/>
      <c r="PO172" s="205"/>
      <c r="PP172" s="205">
        <f t="shared" si="1475"/>
        <v>0</v>
      </c>
      <c r="PQ172" s="205">
        <f t="shared" si="1476"/>
        <v>1000</v>
      </c>
      <c r="PR172" s="207"/>
      <c r="PS172" s="207"/>
      <c r="PT172" s="207"/>
      <c r="PU172" s="207"/>
      <c r="PV172" s="207"/>
      <c r="PW172" s="272"/>
      <c r="PX172" s="272"/>
      <c r="PY172" s="205">
        <f t="shared" si="1477"/>
        <v>0</v>
      </c>
      <c r="PZ172" s="195">
        <v>500</v>
      </c>
      <c r="QA172" s="120"/>
      <c r="QB172" s="120"/>
      <c r="QC172" s="207"/>
      <c r="QD172" s="207"/>
      <c r="QE172" s="272"/>
      <c r="QF172" s="272"/>
      <c r="QG172" s="205">
        <f t="shared" si="1478"/>
        <v>500</v>
      </c>
      <c r="QH172" s="207"/>
      <c r="QI172" s="207"/>
      <c r="QJ172" s="294"/>
      <c r="QK172" s="207"/>
      <c r="QL172" s="217">
        <v>500</v>
      </c>
      <c r="QM172" s="272"/>
      <c r="QN172" s="272"/>
      <c r="QO172" s="205">
        <f t="shared" si="1479"/>
        <v>500</v>
      </c>
      <c r="QP172" s="207"/>
      <c r="QQ172" s="207"/>
      <c r="QR172" s="207"/>
      <c r="QS172" s="207"/>
      <c r="QT172" s="207"/>
      <c r="QU172" s="272"/>
      <c r="QV172" s="272"/>
      <c r="QW172" s="205">
        <f t="shared" si="1480"/>
        <v>0</v>
      </c>
      <c r="QX172" s="205">
        <f t="shared" si="1481"/>
        <v>1000</v>
      </c>
      <c r="QY172" s="207"/>
      <c r="QZ172" s="207"/>
      <c r="RA172" s="207"/>
      <c r="RB172" s="207"/>
      <c r="RC172" s="201">
        <v>500</v>
      </c>
      <c r="RD172" s="272"/>
      <c r="RE172" s="272"/>
      <c r="RF172" s="205">
        <f t="shared" si="1482"/>
        <v>500</v>
      </c>
      <c r="RG172" s="207"/>
      <c r="RH172" s="207"/>
      <c r="RI172" s="207"/>
      <c r="RJ172" s="207"/>
      <c r="RK172" s="207"/>
      <c r="RL172" s="272"/>
      <c r="RM172" s="272"/>
      <c r="RN172" s="205">
        <f t="shared" si="1483"/>
        <v>0</v>
      </c>
      <c r="RO172" s="272"/>
      <c r="RP172" s="272"/>
      <c r="RQ172" s="272"/>
      <c r="RR172" s="272"/>
      <c r="RS172" s="272"/>
      <c r="RT172" s="272"/>
      <c r="RU172" s="272"/>
      <c r="RV172" s="205">
        <f t="shared" si="1484"/>
        <v>0</v>
      </c>
      <c r="RW172" s="207"/>
      <c r="RX172" s="207"/>
      <c r="RY172" s="207"/>
      <c r="RZ172" s="207"/>
      <c r="SA172" s="272"/>
      <c r="SB172" s="272"/>
      <c r="SC172" s="272"/>
      <c r="SD172" s="205">
        <f t="shared" si="1485"/>
        <v>0</v>
      </c>
      <c r="SE172" s="205">
        <f t="shared" si="1486"/>
        <v>500</v>
      </c>
      <c r="SF172" s="207"/>
      <c r="SG172" s="207"/>
      <c r="SH172" s="120"/>
      <c r="SI172" s="120"/>
      <c r="SJ172" s="217">
        <v>500</v>
      </c>
      <c r="SK172" s="272"/>
      <c r="SL172" s="272"/>
      <c r="SM172" s="205">
        <f t="shared" si="1487"/>
        <v>500</v>
      </c>
      <c r="SN172" s="207"/>
      <c r="SO172" s="207"/>
      <c r="SP172" s="207"/>
      <c r="SQ172" s="207"/>
      <c r="SR172" s="207"/>
      <c r="SS172" s="272"/>
      <c r="ST172" s="272"/>
      <c r="SU172" s="205">
        <f t="shared" si="1488"/>
        <v>0</v>
      </c>
      <c r="SV172" s="207"/>
      <c r="SW172" s="207"/>
      <c r="SX172" s="217">
        <v>500</v>
      </c>
      <c r="SY172" s="207"/>
      <c r="SZ172" s="207"/>
      <c r="TA172" s="272"/>
      <c r="TB172" s="272"/>
      <c r="TC172" s="205">
        <f t="shared" si="1489"/>
        <v>500</v>
      </c>
      <c r="TD172" s="207"/>
      <c r="TE172" s="207"/>
      <c r="TF172" s="207"/>
      <c r="TG172" s="206">
        <v>360</v>
      </c>
      <c r="TH172" s="207"/>
      <c r="TI172" s="272"/>
      <c r="TJ172" s="272"/>
      <c r="TK172" s="205">
        <f t="shared" si="1490"/>
        <v>360</v>
      </c>
      <c r="TL172" s="207"/>
      <c r="TM172" s="207"/>
      <c r="TN172" s="207"/>
      <c r="TO172" s="207"/>
      <c r="TP172" s="272"/>
      <c r="TQ172" s="272"/>
      <c r="TR172" s="272"/>
      <c r="TS172" s="205">
        <f t="shared" si="1491"/>
        <v>0</v>
      </c>
      <c r="TT172" s="205">
        <f t="shared" si="1492"/>
        <v>1360</v>
      </c>
      <c r="TU172" s="272"/>
      <c r="TV172" s="207"/>
      <c r="TW172" s="207"/>
      <c r="TX172" s="207"/>
      <c r="TY172" s="207"/>
      <c r="TZ172" s="272"/>
      <c r="UA172" s="272"/>
      <c r="UB172" s="205">
        <f t="shared" si="1493"/>
        <v>0</v>
      </c>
      <c r="UC172" s="207"/>
      <c r="UD172" s="207"/>
      <c r="UE172" s="207"/>
      <c r="UF172" s="207"/>
      <c r="UG172" s="217">
        <v>500</v>
      </c>
      <c r="UH172" s="272"/>
      <c r="UI172" s="272"/>
      <c r="UJ172" s="205">
        <f t="shared" si="1494"/>
        <v>500</v>
      </c>
      <c r="UK172" s="207"/>
      <c r="UL172" s="207"/>
      <c r="UM172" s="201">
        <v>500</v>
      </c>
      <c r="UN172" s="207"/>
      <c r="UO172" s="207"/>
      <c r="UP172" s="272"/>
      <c r="UQ172" s="272"/>
      <c r="UR172" s="205">
        <f t="shared" si="1495"/>
        <v>500</v>
      </c>
      <c r="US172" s="207"/>
      <c r="UT172" s="207"/>
      <c r="UU172" s="207"/>
      <c r="UV172" s="207"/>
      <c r="UW172" s="272"/>
      <c r="UX172" s="272"/>
      <c r="UY172" s="272"/>
      <c r="UZ172" s="205">
        <f t="shared" si="1496"/>
        <v>0</v>
      </c>
      <c r="VA172" s="205">
        <f t="shared" si="1497"/>
        <v>1000</v>
      </c>
      <c r="VB172" s="207"/>
      <c r="VC172" s="124">
        <v>1000</v>
      </c>
      <c r="VD172" s="207"/>
      <c r="VE172" s="207"/>
      <c r="VF172" s="207"/>
      <c r="VG172" s="272"/>
      <c r="VH172" s="272"/>
      <c r="VI172" s="205">
        <f t="shared" si="1498"/>
        <v>1000</v>
      </c>
      <c r="VJ172" s="207"/>
      <c r="VK172" s="207"/>
      <c r="VL172" s="207"/>
      <c r="VM172" s="207"/>
      <c r="VN172" s="207"/>
      <c r="VO172" s="272"/>
      <c r="VP172" s="272"/>
      <c r="VQ172" s="205">
        <f t="shared" si="1499"/>
        <v>0</v>
      </c>
      <c r="VR172" s="207"/>
      <c r="VS172" s="207"/>
      <c r="VT172" s="207"/>
      <c r="VU172" s="207"/>
      <c r="VV172" s="207"/>
      <c r="VW172" s="272"/>
      <c r="VX172" s="272"/>
      <c r="VY172" s="205">
        <f t="shared" si="1500"/>
        <v>0</v>
      </c>
      <c r="VZ172" s="120"/>
      <c r="WA172" s="120"/>
      <c r="WB172" s="195">
        <v>1000</v>
      </c>
      <c r="WC172" s="207"/>
      <c r="WD172" s="207"/>
      <c r="WE172" s="272"/>
      <c r="WF172" s="272"/>
      <c r="WG172" s="205">
        <f t="shared" si="1501"/>
        <v>1000</v>
      </c>
      <c r="WH172" s="205">
        <f t="shared" si="1502"/>
        <v>2000</v>
      </c>
      <c r="WI172" s="207"/>
      <c r="WJ172" s="207"/>
      <c r="WK172" s="207"/>
      <c r="WL172" s="207"/>
      <c r="WM172" s="207"/>
      <c r="WN172" s="272"/>
      <c r="WO172" s="272"/>
      <c r="WP172" s="205">
        <f t="shared" si="1503"/>
        <v>0</v>
      </c>
      <c r="WQ172" s="120"/>
      <c r="WR172" s="120"/>
      <c r="WS172" s="120"/>
      <c r="WT172" s="120">
        <v>500</v>
      </c>
      <c r="WU172" s="207"/>
      <c r="WV172" s="272"/>
      <c r="WW172" s="272"/>
      <c r="WX172" s="205">
        <f t="shared" si="1504"/>
        <v>500</v>
      </c>
      <c r="WY172" s="207"/>
      <c r="WZ172" s="207"/>
      <c r="XA172" s="207"/>
      <c r="XB172" s="207"/>
      <c r="XC172" s="272"/>
      <c r="XD172" s="272"/>
      <c r="XE172" s="272"/>
      <c r="XF172" s="205">
        <f t="shared" si="1505"/>
        <v>0</v>
      </c>
      <c r="XG172" s="207"/>
      <c r="XH172" s="207"/>
      <c r="XI172" s="207"/>
      <c r="XJ172" s="207"/>
      <c r="XK172" s="207"/>
      <c r="XL172" s="272"/>
      <c r="XM172" s="272"/>
      <c r="XN172" s="205">
        <f t="shared" si="1506"/>
        <v>0</v>
      </c>
      <c r="XO172" s="207"/>
      <c r="XP172" s="207"/>
      <c r="XQ172" s="207"/>
      <c r="XR172" s="207"/>
      <c r="XS172" s="207"/>
      <c r="XT172" s="272"/>
      <c r="XU172" s="272"/>
      <c r="XV172" s="205">
        <f t="shared" si="1507"/>
        <v>0</v>
      </c>
      <c r="XW172" s="205">
        <f t="shared" si="1508"/>
        <v>500</v>
      </c>
      <c r="XX172" s="207"/>
      <c r="XY172" s="207"/>
      <c r="XZ172" s="207"/>
      <c r="YA172" s="207"/>
      <c r="YB172" s="207"/>
      <c r="YC172" s="272"/>
      <c r="YD172" s="272"/>
      <c r="YE172" s="205">
        <f t="shared" si="1509"/>
        <v>0</v>
      </c>
      <c r="YF172" s="207"/>
      <c r="YG172" s="207"/>
      <c r="YH172" s="207"/>
      <c r="YI172" s="207"/>
      <c r="YJ172" s="207"/>
      <c r="YK172" s="272"/>
      <c r="YL172" s="272"/>
      <c r="YM172" s="205">
        <f t="shared" si="1510"/>
        <v>0</v>
      </c>
      <c r="YN172" s="207"/>
      <c r="YO172" s="207"/>
      <c r="YP172" s="207"/>
      <c r="YQ172" s="207"/>
      <c r="YR172" s="207"/>
      <c r="YS172" s="272"/>
      <c r="YT172" s="272"/>
      <c r="YU172" s="205">
        <f t="shared" si="1511"/>
        <v>0</v>
      </c>
      <c r="YV172" s="207"/>
      <c r="YW172" s="207"/>
      <c r="YX172" s="207"/>
      <c r="YY172" s="207"/>
      <c r="YZ172" s="207"/>
      <c r="ZA172" s="272"/>
      <c r="ZB172" s="272"/>
      <c r="ZC172" s="205">
        <f t="shared" si="1512"/>
        <v>0</v>
      </c>
      <c r="ZD172" s="205">
        <f t="shared" si="1513"/>
        <v>500</v>
      </c>
      <c r="ZE172" s="207"/>
      <c r="ZF172" s="207"/>
      <c r="ZG172" s="207"/>
      <c r="ZH172" s="207"/>
      <c r="ZI172" s="207"/>
      <c r="ZJ172" s="272"/>
      <c r="ZK172" s="272"/>
      <c r="ZL172" s="205">
        <f t="shared" si="1514"/>
        <v>0</v>
      </c>
      <c r="ZM172" s="207"/>
      <c r="ZN172" s="207"/>
      <c r="ZO172" s="207"/>
      <c r="ZP172" s="207"/>
      <c r="ZQ172" s="207"/>
      <c r="ZR172" s="272"/>
      <c r="ZS172" s="272"/>
      <c r="ZT172" s="205">
        <f t="shared" si="1515"/>
        <v>0</v>
      </c>
      <c r="ZU172" s="207"/>
      <c r="ZV172" s="207"/>
      <c r="ZW172" s="207"/>
      <c r="ZX172" s="207"/>
      <c r="ZY172" s="207"/>
      <c r="ZZ172" s="272"/>
      <c r="AAA172" s="272"/>
      <c r="AAB172" s="205">
        <f t="shared" si="1516"/>
        <v>0</v>
      </c>
      <c r="AAC172" s="207"/>
      <c r="AAD172" s="207"/>
      <c r="AAE172" s="207"/>
      <c r="AAF172" s="207"/>
      <c r="AAG172" s="207"/>
      <c r="AAH172" s="272"/>
      <c r="AAI172" s="272"/>
      <c r="AAJ172" s="205">
        <f t="shared" si="1517"/>
        <v>0</v>
      </c>
      <c r="AAK172" s="207"/>
      <c r="AAL172" s="207"/>
      <c r="AAM172" s="207"/>
      <c r="AAN172" s="207"/>
      <c r="AAO172" s="207"/>
      <c r="AAP172" s="272"/>
      <c r="AAQ172" s="272"/>
      <c r="AAR172" s="205">
        <f t="shared" si="1518"/>
        <v>0</v>
      </c>
      <c r="AAS172" s="205">
        <f t="shared" si="1519"/>
        <v>0</v>
      </c>
    </row>
    <row r="173" spans="2:721" ht="69.95" customHeight="1">
      <c r="B173" s="211" t="s">
        <v>612</v>
      </c>
      <c r="C173" s="344" t="s">
        <v>888</v>
      </c>
      <c r="D173" s="212" t="s">
        <v>609</v>
      </c>
      <c r="E173" s="130" t="s">
        <v>4</v>
      </c>
      <c r="F173" s="120"/>
      <c r="G173" s="120"/>
      <c r="H173" s="120"/>
      <c r="I173" s="120"/>
      <c r="J173" s="120"/>
      <c r="K173" s="209"/>
      <c r="L173" s="205"/>
      <c r="M173" s="205">
        <f t="shared" si="1520"/>
        <v>0</v>
      </c>
      <c r="N173" s="120"/>
      <c r="O173" s="120"/>
      <c r="P173" s="120"/>
      <c r="Q173" s="120"/>
      <c r="R173" s="120"/>
      <c r="S173" s="209"/>
      <c r="T173" s="205"/>
      <c r="U173" s="205">
        <f t="shared" si="1521"/>
        <v>0</v>
      </c>
      <c r="V173" s="120"/>
      <c r="W173" s="120"/>
      <c r="X173" s="120"/>
      <c r="Y173" s="120"/>
      <c r="Z173" s="120"/>
      <c r="AA173" s="209"/>
      <c r="AB173" s="205"/>
      <c r="AC173" s="205">
        <f t="shared" si="1522"/>
        <v>0</v>
      </c>
      <c r="AD173" s="205"/>
      <c r="AE173" s="205"/>
      <c r="AF173" s="205"/>
      <c r="AG173" s="205"/>
      <c r="AH173" s="205"/>
      <c r="AI173" s="209"/>
      <c r="AJ173" s="205"/>
      <c r="AK173" s="205">
        <f t="shared" si="1523"/>
        <v>0</v>
      </c>
      <c r="AL173" s="205" t="e">
        <f>SUM(#REF!,M173,U173,AC173,AD173:AH173)</f>
        <v>#REF!</v>
      </c>
      <c r="AM173" s="120"/>
      <c r="AN173" s="120"/>
      <c r="AO173" s="120"/>
      <c r="AP173" s="120"/>
      <c r="AQ173" s="120"/>
      <c r="AR173" s="209"/>
      <c r="AS173" s="205"/>
      <c r="AT173" s="205">
        <f t="shared" si="1524"/>
        <v>0</v>
      </c>
      <c r="AU173" s="120"/>
      <c r="AV173" s="120"/>
      <c r="AW173" s="120"/>
      <c r="AX173" s="120"/>
      <c r="AY173" s="120"/>
      <c r="AZ173" s="209"/>
      <c r="BA173" s="205"/>
      <c r="BB173" s="205">
        <f t="shared" si="1525"/>
        <v>0</v>
      </c>
      <c r="BC173" s="120"/>
      <c r="BD173" s="120"/>
      <c r="BE173" s="120"/>
      <c r="BF173" s="120"/>
      <c r="BG173" s="120"/>
      <c r="BH173" s="209"/>
      <c r="BI173" s="205"/>
      <c r="BJ173" s="205">
        <f t="shared" si="1526"/>
        <v>0</v>
      </c>
      <c r="BK173" s="120"/>
      <c r="BL173" s="120"/>
      <c r="BM173" s="120"/>
      <c r="BN173" s="120"/>
      <c r="BO173" s="205"/>
      <c r="BP173" s="209"/>
      <c r="BQ173" s="205"/>
      <c r="BR173" s="205">
        <f t="shared" si="1527"/>
        <v>0</v>
      </c>
      <c r="BS173" s="205">
        <f t="shared" si="1427"/>
        <v>0</v>
      </c>
      <c r="BT173" s="120"/>
      <c r="BU173" s="120"/>
      <c r="BV173" s="120"/>
      <c r="BW173" s="120"/>
      <c r="BX173" s="120"/>
      <c r="BY173" s="209"/>
      <c r="BZ173" s="205"/>
      <c r="CA173" s="205">
        <f t="shared" si="1528"/>
        <v>0</v>
      </c>
      <c r="CB173" s="120"/>
      <c r="CC173" s="120"/>
      <c r="CD173" s="120"/>
      <c r="CE173" s="120"/>
      <c r="CF173" s="120"/>
      <c r="CG173" s="209"/>
      <c r="CH173" s="205"/>
      <c r="CI173" s="205">
        <f t="shared" si="1529"/>
        <v>0</v>
      </c>
      <c r="CJ173" s="120"/>
      <c r="CK173" s="120"/>
      <c r="CL173" s="120"/>
      <c r="CM173" s="120"/>
      <c r="CN173" s="120"/>
      <c r="CO173" s="209"/>
      <c r="CP173" s="205"/>
      <c r="CQ173" s="205">
        <f t="shared" si="1530"/>
        <v>0</v>
      </c>
      <c r="CR173" s="120"/>
      <c r="CS173" s="120"/>
      <c r="CT173" s="120"/>
      <c r="CU173" s="120"/>
      <c r="CV173" s="120"/>
      <c r="CW173" s="209"/>
      <c r="CX173" s="205"/>
      <c r="CY173" s="205">
        <f t="shared" si="1531"/>
        <v>0</v>
      </c>
      <c r="CZ173" s="120"/>
      <c r="DA173" s="120"/>
      <c r="DB173" s="120"/>
      <c r="DC173" s="205"/>
      <c r="DD173" s="205"/>
      <c r="DE173" s="209"/>
      <c r="DF173" s="205"/>
      <c r="DG173" s="205">
        <f t="shared" si="1532"/>
        <v>0</v>
      </c>
      <c r="DH173" s="205">
        <f t="shared" si="1428"/>
        <v>0</v>
      </c>
      <c r="DI173" s="120"/>
      <c r="DJ173" s="120"/>
      <c r="DK173" s="120"/>
      <c r="DL173" s="120"/>
      <c r="DM173" s="120"/>
      <c r="DN173" s="209"/>
      <c r="DO173" s="205"/>
      <c r="DP173" s="205">
        <f t="shared" si="1432"/>
        <v>0</v>
      </c>
      <c r="DQ173" s="120"/>
      <c r="DR173" s="120"/>
      <c r="DS173" s="120"/>
      <c r="DT173" s="120"/>
      <c r="DU173" s="120"/>
      <c r="DV173" s="209"/>
      <c r="DW173" s="205"/>
      <c r="DX173" s="205">
        <f t="shared" si="1433"/>
        <v>0</v>
      </c>
      <c r="DY173" s="120"/>
      <c r="DZ173" s="120"/>
      <c r="EA173" s="120"/>
      <c r="EB173" s="120"/>
      <c r="EC173" s="120"/>
      <c r="ED173" s="209"/>
      <c r="EE173" s="205"/>
      <c r="EF173" s="205">
        <f t="shared" si="1434"/>
        <v>0</v>
      </c>
      <c r="EG173" s="120"/>
      <c r="EH173" s="120"/>
      <c r="EI173" s="120"/>
      <c r="EJ173" s="205"/>
      <c r="EK173" s="205"/>
      <c r="EL173" s="209"/>
      <c r="EM173" s="205"/>
      <c r="EN173" s="205">
        <f t="shared" si="1435"/>
        <v>0</v>
      </c>
      <c r="EO173" s="205">
        <f t="shared" si="1429"/>
        <v>0</v>
      </c>
      <c r="EP173" s="120"/>
      <c r="EQ173" s="120"/>
      <c r="ER173" s="120"/>
      <c r="ES173" s="120"/>
      <c r="ET173" s="120"/>
      <c r="EU173" s="209"/>
      <c r="EV173" s="205"/>
      <c r="EW173" s="205">
        <f t="shared" si="1436"/>
        <v>0</v>
      </c>
      <c r="EX173" s="120"/>
      <c r="EY173" s="120"/>
      <c r="EZ173" s="120"/>
      <c r="FA173" s="120"/>
      <c r="FB173" s="120"/>
      <c r="FC173" s="209"/>
      <c r="FD173" s="205"/>
      <c r="FE173" s="205">
        <f t="shared" si="1437"/>
        <v>0</v>
      </c>
      <c r="FF173" s="120"/>
      <c r="FG173" s="120"/>
      <c r="FH173" s="120"/>
      <c r="FI173" s="120"/>
      <c r="FJ173" s="120"/>
      <c r="FK173" s="209"/>
      <c r="FL173" s="205"/>
      <c r="FM173" s="205">
        <f t="shared" si="1438"/>
        <v>0</v>
      </c>
      <c r="FN173" s="120"/>
      <c r="FO173" s="120"/>
      <c r="FP173" s="120"/>
      <c r="FQ173" s="120"/>
      <c r="FR173" s="205"/>
      <c r="FS173" s="209"/>
      <c r="FT173" s="205"/>
      <c r="FU173" s="205">
        <f t="shared" si="1439"/>
        <v>0</v>
      </c>
      <c r="FV173" s="205">
        <f t="shared" si="1430"/>
        <v>0</v>
      </c>
      <c r="FW173" s="120"/>
      <c r="FX173" s="120"/>
      <c r="FY173" s="120"/>
      <c r="FZ173" s="120"/>
      <c r="GA173" s="120"/>
      <c r="GB173" s="209"/>
      <c r="GC173" s="205"/>
      <c r="GD173" s="205">
        <f t="shared" si="1440"/>
        <v>0</v>
      </c>
      <c r="GE173" s="120"/>
      <c r="GF173" s="120"/>
      <c r="GG173" s="120"/>
      <c r="GH173" s="120"/>
      <c r="GI173" s="120"/>
      <c r="GJ173" s="209"/>
      <c r="GK173" s="205"/>
      <c r="GL173" s="205">
        <f t="shared" si="1441"/>
        <v>0</v>
      </c>
      <c r="GM173" s="120"/>
      <c r="GN173" s="120"/>
      <c r="GO173" s="120"/>
      <c r="GP173" s="120"/>
      <c r="GQ173" s="120"/>
      <c r="GR173" s="209"/>
      <c r="GS173" s="205"/>
      <c r="GT173" s="205">
        <f t="shared" si="1442"/>
        <v>0</v>
      </c>
      <c r="GU173" s="120"/>
      <c r="GV173" s="120"/>
      <c r="GW173" s="120"/>
      <c r="GX173" s="120"/>
      <c r="GY173" s="120"/>
      <c r="GZ173" s="209"/>
      <c r="HA173" s="205"/>
      <c r="HB173" s="205">
        <f t="shared" si="1443"/>
        <v>0</v>
      </c>
      <c r="HC173" s="120"/>
      <c r="HD173" s="120"/>
      <c r="HE173" s="120"/>
      <c r="HF173" s="120"/>
      <c r="HG173" s="120"/>
      <c r="HH173" s="209"/>
      <c r="HI173" s="205"/>
      <c r="HJ173" s="205">
        <f t="shared" si="1444"/>
        <v>0</v>
      </c>
      <c r="HK173" s="205">
        <f t="shared" si="1431"/>
        <v>0</v>
      </c>
      <c r="HL173" s="124"/>
      <c r="HM173" s="120"/>
      <c r="HN173" s="120"/>
      <c r="HO173" s="120"/>
      <c r="HP173" s="120"/>
      <c r="HQ173" s="205"/>
      <c r="HR173" s="205"/>
      <c r="HS173" s="205">
        <f t="shared" si="1445"/>
        <v>0</v>
      </c>
      <c r="HT173" s="120"/>
      <c r="HU173" s="120"/>
      <c r="HV173" s="120"/>
      <c r="HW173" s="120"/>
      <c r="HX173" s="120"/>
      <c r="HY173" s="205"/>
      <c r="HZ173" s="205"/>
      <c r="IA173" s="205">
        <f t="shared" si="1446"/>
        <v>0</v>
      </c>
      <c r="IB173" s="120"/>
      <c r="IC173" s="120"/>
      <c r="ID173" s="120"/>
      <c r="IE173" s="120"/>
      <c r="IF173" s="120"/>
      <c r="IG173" s="205"/>
      <c r="IH173" s="205"/>
      <c r="II173" s="205">
        <f t="shared" si="1447"/>
        <v>0</v>
      </c>
      <c r="IJ173" s="120"/>
      <c r="IK173" s="120"/>
      <c r="IL173" s="120"/>
      <c r="IM173" s="120"/>
      <c r="IN173" s="120"/>
      <c r="IO173" s="205"/>
      <c r="IP173" s="205"/>
      <c r="IQ173" s="205">
        <f t="shared" si="1448"/>
        <v>0</v>
      </c>
      <c r="IR173" s="205">
        <f t="shared" si="1449"/>
        <v>0</v>
      </c>
      <c r="IS173" s="120"/>
      <c r="IT173" s="120"/>
      <c r="IU173" s="120"/>
      <c r="IV173" s="120"/>
      <c r="IW173" s="120"/>
      <c r="IX173" s="205"/>
      <c r="IY173" s="205"/>
      <c r="IZ173" s="205">
        <f t="shared" si="1450"/>
        <v>0</v>
      </c>
      <c r="JA173" s="120"/>
      <c r="JB173" s="120"/>
      <c r="JC173" s="120"/>
      <c r="JD173" s="120"/>
      <c r="JE173" s="120"/>
      <c r="JF173" s="205"/>
      <c r="JG173" s="205"/>
      <c r="JH173" s="205">
        <f t="shared" si="1451"/>
        <v>0</v>
      </c>
      <c r="JI173" s="120"/>
      <c r="JJ173" s="120"/>
      <c r="JK173" s="120"/>
      <c r="JL173" s="120"/>
      <c r="JM173" s="120"/>
      <c r="JN173" s="205"/>
      <c r="JO173" s="205"/>
      <c r="JP173" s="205">
        <f t="shared" si="1452"/>
        <v>0</v>
      </c>
      <c r="JQ173" s="120"/>
      <c r="JR173" s="120"/>
      <c r="JS173" s="120"/>
      <c r="JT173" s="120"/>
      <c r="JU173" s="120"/>
      <c r="JV173" s="205"/>
      <c r="JW173" s="205"/>
      <c r="JX173" s="205">
        <f t="shared" si="1453"/>
        <v>0</v>
      </c>
      <c r="JY173" s="205">
        <f t="shared" si="1454"/>
        <v>0</v>
      </c>
      <c r="JZ173" s="120"/>
      <c r="KA173" s="120"/>
      <c r="KB173" s="120"/>
      <c r="KC173" s="120"/>
      <c r="KD173" s="120"/>
      <c r="KE173" s="205"/>
      <c r="KF173" s="205"/>
      <c r="KG173" s="205">
        <f t="shared" si="1455"/>
        <v>0</v>
      </c>
      <c r="KH173" s="120"/>
      <c r="KI173" s="120"/>
      <c r="KJ173" s="120"/>
      <c r="KK173" s="120"/>
      <c r="KL173" s="120"/>
      <c r="KM173" s="205"/>
      <c r="KN173" s="205"/>
      <c r="KO173" s="205">
        <f t="shared" si="1456"/>
        <v>0</v>
      </c>
      <c r="KP173" s="120"/>
      <c r="KQ173" s="120"/>
      <c r="KR173" s="120"/>
      <c r="KS173" s="120"/>
      <c r="KT173" s="120"/>
      <c r="KU173" s="205"/>
      <c r="KV173" s="205"/>
      <c r="KW173" s="205">
        <f t="shared" si="1457"/>
        <v>0</v>
      </c>
      <c r="KX173" s="120"/>
      <c r="KY173" s="120"/>
      <c r="KZ173" s="120"/>
      <c r="LA173" s="120"/>
      <c r="LB173" s="120"/>
      <c r="LC173" s="205"/>
      <c r="LD173" s="205"/>
      <c r="LE173" s="205">
        <f t="shared" si="1458"/>
        <v>0</v>
      </c>
      <c r="LF173" s="205"/>
      <c r="LG173" s="120"/>
      <c r="LH173" s="120"/>
      <c r="LI173" s="120"/>
      <c r="LJ173" s="120"/>
      <c r="LK173" s="205"/>
      <c r="LL173" s="205"/>
      <c r="LM173" s="205">
        <f t="shared" si="1459"/>
        <v>0</v>
      </c>
      <c r="LN173" s="205">
        <f t="shared" si="1460"/>
        <v>0</v>
      </c>
      <c r="LO173" s="205"/>
      <c r="LP173" s="120"/>
      <c r="LQ173" s="120"/>
      <c r="LR173" s="120"/>
      <c r="LS173" s="205"/>
      <c r="LT173" s="205"/>
      <c r="LU173" s="205"/>
      <c r="LV173" s="205">
        <f t="shared" si="1461"/>
        <v>0</v>
      </c>
      <c r="LW173" s="120"/>
      <c r="LX173" s="120"/>
      <c r="LY173" s="120"/>
      <c r="LZ173" s="120"/>
      <c r="MA173" s="120"/>
      <c r="MB173" s="205"/>
      <c r="MC173" s="205"/>
      <c r="MD173" s="205">
        <f t="shared" si="1462"/>
        <v>0</v>
      </c>
      <c r="ME173" s="120"/>
      <c r="MF173" s="120"/>
      <c r="MG173" s="120"/>
      <c r="MH173" s="120"/>
      <c r="MI173" s="205"/>
      <c r="MJ173" s="205"/>
      <c r="MK173" s="205"/>
      <c r="ML173" s="205">
        <f t="shared" si="1463"/>
        <v>0</v>
      </c>
      <c r="MM173" s="120"/>
      <c r="MN173" s="120"/>
      <c r="MO173" s="120"/>
      <c r="MP173" s="120"/>
      <c r="MQ173" s="120"/>
      <c r="MR173" s="205"/>
      <c r="MS173" s="205"/>
      <c r="MT173" s="205">
        <f t="shared" si="1464"/>
        <v>0</v>
      </c>
      <c r="MU173" s="205">
        <f t="shared" si="1465"/>
        <v>0</v>
      </c>
      <c r="MV173" s="120"/>
      <c r="MW173" s="120"/>
      <c r="MX173" s="120"/>
      <c r="MY173" s="120"/>
      <c r="MZ173" s="120"/>
      <c r="NA173" s="205"/>
      <c r="NB173" s="205"/>
      <c r="NC173" s="205">
        <f t="shared" si="1466"/>
        <v>0</v>
      </c>
      <c r="ND173" s="120"/>
      <c r="NE173" s="120"/>
      <c r="NF173" s="120"/>
      <c r="NG173" s="120"/>
      <c r="NH173" s="120"/>
      <c r="NI173" s="205"/>
      <c r="NJ173" s="205"/>
      <c r="NK173" s="205">
        <f t="shared" si="1467"/>
        <v>0</v>
      </c>
      <c r="NL173" s="120"/>
      <c r="NM173" s="120"/>
      <c r="NN173" s="120"/>
      <c r="NO173" s="120"/>
      <c r="NP173" s="120"/>
      <c r="NQ173" s="205"/>
      <c r="NR173" s="205"/>
      <c r="NS173" s="205">
        <f t="shared" si="1468"/>
        <v>0</v>
      </c>
      <c r="NT173" s="120"/>
      <c r="NU173" s="120"/>
      <c r="NV173" s="120"/>
      <c r="NW173" s="120"/>
      <c r="NX173" s="120"/>
      <c r="NY173" s="205"/>
      <c r="NZ173" s="205"/>
      <c r="OA173" s="205">
        <f t="shared" si="1469"/>
        <v>0</v>
      </c>
      <c r="OB173" s="205">
        <f t="shared" si="1470"/>
        <v>0</v>
      </c>
      <c r="OC173" s="120"/>
      <c r="OD173" s="120"/>
      <c r="OE173" s="120"/>
      <c r="OF173" s="120"/>
      <c r="OG173" s="120"/>
      <c r="OH173" s="205"/>
      <c r="OI173" s="205"/>
      <c r="OJ173" s="205">
        <f t="shared" si="1471"/>
        <v>0</v>
      </c>
      <c r="OK173" s="120"/>
      <c r="OL173" s="120"/>
      <c r="OM173" s="120"/>
      <c r="ON173" s="120"/>
      <c r="OO173" s="120"/>
      <c r="OP173" s="205"/>
      <c r="OQ173" s="205"/>
      <c r="OR173" s="205">
        <f t="shared" si="1472"/>
        <v>0</v>
      </c>
      <c r="OS173" s="120"/>
      <c r="OT173" s="120"/>
      <c r="OU173" s="120"/>
      <c r="OV173" s="120"/>
      <c r="OW173" s="120"/>
      <c r="OX173" s="205"/>
      <c r="OY173" s="205"/>
      <c r="OZ173" s="205">
        <f t="shared" si="1473"/>
        <v>0</v>
      </c>
      <c r="PA173" s="120"/>
      <c r="PB173" s="120"/>
      <c r="PC173" s="120"/>
      <c r="PD173" s="205"/>
      <c r="PE173" s="217"/>
      <c r="PF173" s="205"/>
      <c r="PG173" s="205"/>
      <c r="PH173" s="205">
        <f t="shared" si="1474"/>
        <v>0</v>
      </c>
      <c r="PI173" s="120"/>
      <c r="PJ173" s="120"/>
      <c r="PK173" s="120"/>
      <c r="PL173" s="205"/>
      <c r="PM173" s="217"/>
      <c r="PN173" s="205"/>
      <c r="PO173" s="205"/>
      <c r="PP173" s="205">
        <f t="shared" si="1475"/>
        <v>0</v>
      </c>
      <c r="PQ173" s="205">
        <f t="shared" si="1476"/>
        <v>0</v>
      </c>
      <c r="PR173" s="207"/>
      <c r="PS173" s="207"/>
      <c r="PT173" s="207"/>
      <c r="PU173" s="207"/>
      <c r="PV173" s="207"/>
      <c r="PW173" s="272"/>
      <c r="PX173" s="272"/>
      <c r="PY173" s="205">
        <f t="shared" si="1477"/>
        <v>0</v>
      </c>
      <c r="PZ173" s="207"/>
      <c r="QA173" s="207"/>
      <c r="QB173" s="207"/>
      <c r="QC173" s="207"/>
      <c r="QD173" s="207"/>
      <c r="QE173" s="272"/>
      <c r="QF173" s="272"/>
      <c r="QG173" s="205">
        <f t="shared" si="1478"/>
        <v>0</v>
      </c>
      <c r="QH173" s="207"/>
      <c r="QI173" s="207"/>
      <c r="QJ173" s="294"/>
      <c r="QK173" s="207"/>
      <c r="QL173" s="207"/>
      <c r="QM173" s="272"/>
      <c r="QN173" s="272"/>
      <c r="QO173" s="205">
        <f t="shared" si="1479"/>
        <v>0</v>
      </c>
      <c r="QP173" s="207"/>
      <c r="QQ173" s="207"/>
      <c r="QR173" s="207"/>
      <c r="QS173" s="207"/>
      <c r="QT173" s="207"/>
      <c r="QU173" s="272"/>
      <c r="QV173" s="272"/>
      <c r="QW173" s="205">
        <f t="shared" si="1480"/>
        <v>0</v>
      </c>
      <c r="QX173" s="205">
        <f t="shared" si="1481"/>
        <v>0</v>
      </c>
      <c r="QY173" s="207"/>
      <c r="QZ173" s="207"/>
      <c r="RA173" s="207"/>
      <c r="RB173" s="207"/>
      <c r="RC173" s="207"/>
      <c r="RD173" s="272"/>
      <c r="RE173" s="272"/>
      <c r="RF173" s="205">
        <f t="shared" si="1482"/>
        <v>0</v>
      </c>
      <c r="RG173" s="207"/>
      <c r="RH173" s="207"/>
      <c r="RI173" s="207"/>
      <c r="RJ173" s="207"/>
      <c r="RK173" s="207"/>
      <c r="RL173" s="272"/>
      <c r="RM173" s="272"/>
      <c r="RN173" s="205">
        <f t="shared" si="1483"/>
        <v>0</v>
      </c>
      <c r="RO173" s="272"/>
      <c r="RP173" s="272"/>
      <c r="RQ173" s="272"/>
      <c r="RR173" s="272"/>
      <c r="RS173" s="272"/>
      <c r="RT173" s="272"/>
      <c r="RU173" s="272"/>
      <c r="RV173" s="205">
        <f t="shared" si="1484"/>
        <v>0</v>
      </c>
      <c r="RW173" s="207"/>
      <c r="RX173" s="207"/>
      <c r="RY173" s="207"/>
      <c r="RZ173" s="207"/>
      <c r="SA173" s="272"/>
      <c r="SB173" s="272"/>
      <c r="SC173" s="272"/>
      <c r="SD173" s="205">
        <f t="shared" si="1485"/>
        <v>0</v>
      </c>
      <c r="SE173" s="205">
        <f t="shared" si="1486"/>
        <v>0</v>
      </c>
      <c r="SF173" s="207"/>
      <c r="SG173" s="207"/>
      <c r="SH173" s="120"/>
      <c r="SI173" s="120"/>
      <c r="SJ173" s="120"/>
      <c r="SK173" s="272"/>
      <c r="SL173" s="272"/>
      <c r="SM173" s="205">
        <f t="shared" si="1487"/>
        <v>0</v>
      </c>
      <c r="SN173" s="207"/>
      <c r="SO173" s="207"/>
      <c r="SP173" s="207"/>
      <c r="SQ173" s="207"/>
      <c r="SR173" s="207"/>
      <c r="SS173" s="272"/>
      <c r="ST173" s="272"/>
      <c r="SU173" s="205">
        <f t="shared" si="1488"/>
        <v>0</v>
      </c>
      <c r="SV173" s="207"/>
      <c r="SW173" s="207"/>
      <c r="SX173" s="207"/>
      <c r="SY173" s="207"/>
      <c r="SZ173" s="207"/>
      <c r="TA173" s="272"/>
      <c r="TB173" s="272"/>
      <c r="TC173" s="205">
        <f t="shared" si="1489"/>
        <v>0</v>
      </c>
      <c r="TD173" s="207"/>
      <c r="TE173" s="207"/>
      <c r="TF173" s="207"/>
      <c r="TG173" s="207"/>
      <c r="TH173" s="207"/>
      <c r="TI173" s="272"/>
      <c r="TJ173" s="272"/>
      <c r="TK173" s="205">
        <f t="shared" si="1490"/>
        <v>0</v>
      </c>
      <c r="TL173" s="207"/>
      <c r="TM173" s="207"/>
      <c r="TN173" s="207"/>
      <c r="TO173" s="207"/>
      <c r="TP173" s="272"/>
      <c r="TQ173" s="272"/>
      <c r="TR173" s="272"/>
      <c r="TS173" s="205">
        <f t="shared" si="1491"/>
        <v>0</v>
      </c>
      <c r="TT173" s="205">
        <f t="shared" si="1492"/>
        <v>0</v>
      </c>
      <c r="TU173" s="272"/>
      <c r="TV173" s="207"/>
      <c r="TW173" s="207"/>
      <c r="TX173" s="207"/>
      <c r="TY173" s="207"/>
      <c r="TZ173" s="272"/>
      <c r="UA173" s="272"/>
      <c r="UB173" s="205">
        <f t="shared" si="1493"/>
        <v>0</v>
      </c>
      <c r="UC173" s="207"/>
      <c r="UD173" s="207"/>
      <c r="UE173" s="207"/>
      <c r="UF173" s="207"/>
      <c r="UG173" s="207"/>
      <c r="UH173" s="272"/>
      <c r="UI173" s="272"/>
      <c r="UJ173" s="205">
        <f t="shared" si="1494"/>
        <v>0</v>
      </c>
      <c r="UK173" s="207"/>
      <c r="UL173" s="207"/>
      <c r="UM173" s="207"/>
      <c r="UN173" s="207"/>
      <c r="UO173" s="207"/>
      <c r="UP173" s="272"/>
      <c r="UQ173" s="272"/>
      <c r="UR173" s="205">
        <f t="shared" si="1495"/>
        <v>0</v>
      </c>
      <c r="US173" s="207"/>
      <c r="UT173" s="207"/>
      <c r="UU173" s="207"/>
      <c r="UV173" s="207"/>
      <c r="UW173" s="272"/>
      <c r="UX173" s="272"/>
      <c r="UY173" s="272"/>
      <c r="UZ173" s="205">
        <f t="shared" si="1496"/>
        <v>0</v>
      </c>
      <c r="VA173" s="205">
        <f t="shared" si="1497"/>
        <v>0</v>
      </c>
      <c r="VB173" s="207"/>
      <c r="VC173" s="207"/>
      <c r="VD173" s="207"/>
      <c r="VE173" s="207"/>
      <c r="VF173" s="207"/>
      <c r="VG173" s="272"/>
      <c r="VH173" s="272"/>
      <c r="VI173" s="205">
        <f t="shared" si="1498"/>
        <v>0</v>
      </c>
      <c r="VJ173" s="207"/>
      <c r="VK173" s="207"/>
      <c r="VL173" s="207"/>
      <c r="VM173" s="207"/>
      <c r="VN173" s="207"/>
      <c r="VO173" s="272"/>
      <c r="VP173" s="272"/>
      <c r="VQ173" s="205">
        <f t="shared" si="1499"/>
        <v>0</v>
      </c>
      <c r="VR173" s="207"/>
      <c r="VS173" s="207"/>
      <c r="VT173" s="207"/>
      <c r="VU173" s="207"/>
      <c r="VV173" s="207"/>
      <c r="VW173" s="272"/>
      <c r="VX173" s="272"/>
      <c r="VY173" s="205">
        <f t="shared" si="1500"/>
        <v>0</v>
      </c>
      <c r="VZ173" s="207"/>
      <c r="WA173" s="207"/>
      <c r="WB173" s="207"/>
      <c r="WC173" s="207"/>
      <c r="WD173" s="207"/>
      <c r="WE173" s="272"/>
      <c r="WF173" s="272"/>
      <c r="WG173" s="205">
        <f t="shared" si="1501"/>
        <v>0</v>
      </c>
      <c r="WH173" s="205">
        <f t="shared" si="1502"/>
        <v>0</v>
      </c>
      <c r="WI173" s="207"/>
      <c r="WJ173" s="207"/>
      <c r="WK173" s="207"/>
      <c r="WL173" s="207"/>
      <c r="WM173" s="207"/>
      <c r="WN173" s="272"/>
      <c r="WO173" s="272"/>
      <c r="WP173" s="205">
        <f t="shared" si="1503"/>
        <v>0</v>
      </c>
      <c r="WQ173" s="207"/>
      <c r="WR173" s="207"/>
      <c r="WS173" s="207"/>
      <c r="WT173" s="207"/>
      <c r="WU173" s="207"/>
      <c r="WV173" s="272"/>
      <c r="WW173" s="272"/>
      <c r="WX173" s="205">
        <f t="shared" si="1504"/>
        <v>0</v>
      </c>
      <c r="WY173" s="207"/>
      <c r="WZ173" s="207"/>
      <c r="XA173" s="207"/>
      <c r="XB173" s="207"/>
      <c r="XC173" s="272"/>
      <c r="XD173" s="272"/>
      <c r="XE173" s="272"/>
      <c r="XF173" s="205">
        <f t="shared" si="1505"/>
        <v>0</v>
      </c>
      <c r="XG173" s="207"/>
      <c r="XH173" s="207"/>
      <c r="XI173" s="207"/>
      <c r="XJ173" s="207"/>
      <c r="XK173" s="207"/>
      <c r="XL173" s="272"/>
      <c r="XM173" s="272"/>
      <c r="XN173" s="205">
        <f t="shared" si="1506"/>
        <v>0</v>
      </c>
      <c r="XO173" s="207"/>
      <c r="XP173" s="207"/>
      <c r="XQ173" s="207"/>
      <c r="XR173" s="207"/>
      <c r="XS173" s="207"/>
      <c r="XT173" s="272"/>
      <c r="XU173" s="272"/>
      <c r="XV173" s="205">
        <f t="shared" si="1507"/>
        <v>0</v>
      </c>
      <c r="XW173" s="205">
        <f t="shared" si="1508"/>
        <v>0</v>
      </c>
      <c r="XX173" s="207"/>
      <c r="XY173" s="207"/>
      <c r="XZ173" s="207"/>
      <c r="YA173" s="207"/>
      <c r="YB173" s="207"/>
      <c r="YC173" s="272"/>
      <c r="YD173" s="272"/>
      <c r="YE173" s="205">
        <f t="shared" si="1509"/>
        <v>0</v>
      </c>
      <c r="YF173" s="207"/>
      <c r="YG173" s="207"/>
      <c r="YH173" s="207"/>
      <c r="YI173" s="207"/>
      <c r="YJ173" s="207"/>
      <c r="YK173" s="272"/>
      <c r="YL173" s="272"/>
      <c r="YM173" s="205">
        <f t="shared" si="1510"/>
        <v>0</v>
      </c>
      <c r="YN173" s="207"/>
      <c r="YO173" s="207"/>
      <c r="YP173" s="207"/>
      <c r="YQ173" s="207"/>
      <c r="YR173" s="207"/>
      <c r="YS173" s="272"/>
      <c r="YT173" s="272"/>
      <c r="YU173" s="205">
        <f t="shared" si="1511"/>
        <v>0</v>
      </c>
      <c r="YV173" s="207"/>
      <c r="YW173" s="207"/>
      <c r="YX173" s="207"/>
      <c r="YY173" s="207"/>
      <c r="YZ173" s="207"/>
      <c r="ZA173" s="272"/>
      <c r="ZB173" s="272"/>
      <c r="ZC173" s="205">
        <f t="shared" si="1512"/>
        <v>0</v>
      </c>
      <c r="ZD173" s="205">
        <f t="shared" si="1513"/>
        <v>0</v>
      </c>
      <c r="ZE173" s="207"/>
      <c r="ZF173" s="207"/>
      <c r="ZG173" s="207"/>
      <c r="ZH173" s="207"/>
      <c r="ZI173" s="207"/>
      <c r="ZJ173" s="272"/>
      <c r="ZK173" s="272"/>
      <c r="ZL173" s="205">
        <f t="shared" si="1514"/>
        <v>0</v>
      </c>
      <c r="ZM173" s="207"/>
      <c r="ZN173" s="207"/>
      <c r="ZO173" s="207"/>
      <c r="ZP173" s="207"/>
      <c r="ZQ173" s="207"/>
      <c r="ZR173" s="272"/>
      <c r="ZS173" s="272"/>
      <c r="ZT173" s="205">
        <f t="shared" si="1515"/>
        <v>0</v>
      </c>
      <c r="ZU173" s="207"/>
      <c r="ZV173" s="207"/>
      <c r="ZW173" s="207"/>
      <c r="ZX173" s="207"/>
      <c r="ZY173" s="207"/>
      <c r="ZZ173" s="272"/>
      <c r="AAA173" s="272"/>
      <c r="AAB173" s="205">
        <f t="shared" si="1516"/>
        <v>0</v>
      </c>
      <c r="AAC173" s="207"/>
      <c r="AAD173" s="207"/>
      <c r="AAE173" s="207"/>
      <c r="AAF173" s="207"/>
      <c r="AAG173" s="207"/>
      <c r="AAH173" s="272"/>
      <c r="AAI173" s="272"/>
      <c r="AAJ173" s="205">
        <f t="shared" si="1517"/>
        <v>0</v>
      </c>
      <c r="AAK173" s="207"/>
      <c r="AAL173" s="207"/>
      <c r="AAM173" s="207"/>
      <c r="AAN173" s="207"/>
      <c r="AAO173" s="207"/>
      <c r="AAP173" s="272"/>
      <c r="AAQ173" s="272"/>
      <c r="AAR173" s="205">
        <f t="shared" si="1518"/>
        <v>0</v>
      </c>
      <c r="AAS173" s="205">
        <f t="shared" si="1519"/>
        <v>0</v>
      </c>
    </row>
    <row r="174" spans="2:721" ht="69.95" customHeight="1">
      <c r="B174" s="211" t="s">
        <v>595</v>
      </c>
      <c r="C174" s="344" t="s">
        <v>888</v>
      </c>
      <c r="D174" s="229" t="s">
        <v>537</v>
      </c>
      <c r="E174" s="130" t="s">
        <v>4</v>
      </c>
      <c r="F174" s="120"/>
      <c r="G174" s="120"/>
      <c r="H174" s="120"/>
      <c r="I174" s="120"/>
      <c r="J174" s="120"/>
      <c r="K174" s="209"/>
      <c r="L174" s="205"/>
      <c r="M174" s="205">
        <f t="shared" si="1520"/>
        <v>0</v>
      </c>
      <c r="N174" s="120"/>
      <c r="O174" s="120"/>
      <c r="P174" s="120"/>
      <c r="Q174" s="120"/>
      <c r="R174" s="120"/>
      <c r="S174" s="209"/>
      <c r="T174" s="205"/>
      <c r="U174" s="205">
        <f t="shared" si="1521"/>
        <v>0</v>
      </c>
      <c r="V174" s="120"/>
      <c r="W174" s="120"/>
      <c r="X174" s="120"/>
      <c r="Y174" s="120"/>
      <c r="Z174" s="120"/>
      <c r="AA174" s="209"/>
      <c r="AB174" s="205"/>
      <c r="AC174" s="205">
        <f t="shared" si="1522"/>
        <v>0</v>
      </c>
      <c r="AD174" s="205"/>
      <c r="AE174" s="205"/>
      <c r="AF174" s="205"/>
      <c r="AG174" s="205"/>
      <c r="AH174" s="205"/>
      <c r="AI174" s="209"/>
      <c r="AJ174" s="205"/>
      <c r="AK174" s="205">
        <f t="shared" si="1523"/>
        <v>0</v>
      </c>
      <c r="AL174" s="205" t="e">
        <f>SUM(#REF!,M174,U174,AC174,AD174:AH174)</f>
        <v>#REF!</v>
      </c>
      <c r="AM174" s="120"/>
      <c r="AN174" s="120"/>
      <c r="AO174" s="120"/>
      <c r="AP174" s="120"/>
      <c r="AQ174" s="120"/>
      <c r="AR174" s="209"/>
      <c r="AS174" s="205"/>
      <c r="AT174" s="205">
        <f t="shared" si="1524"/>
        <v>0</v>
      </c>
      <c r="AU174" s="201">
        <v>500</v>
      </c>
      <c r="AV174" s="120"/>
      <c r="AW174" s="120"/>
      <c r="AX174" s="120"/>
      <c r="AY174" s="120"/>
      <c r="AZ174" s="209"/>
      <c r="BA174" s="205"/>
      <c r="BB174" s="205">
        <f t="shared" si="1525"/>
        <v>500</v>
      </c>
      <c r="BC174" s="120"/>
      <c r="BD174" s="120"/>
      <c r="BE174" s="120"/>
      <c r="BF174" s="120"/>
      <c r="BG174" s="120"/>
      <c r="BH174" s="209"/>
      <c r="BI174" s="205"/>
      <c r="BJ174" s="205">
        <f t="shared" si="1526"/>
        <v>0</v>
      </c>
      <c r="BK174" s="120"/>
      <c r="BL174" s="120"/>
      <c r="BM174" s="120"/>
      <c r="BN174" s="120"/>
      <c r="BO174" s="205"/>
      <c r="BP174" s="209"/>
      <c r="BQ174" s="205"/>
      <c r="BR174" s="205">
        <f t="shared" si="1527"/>
        <v>0</v>
      </c>
      <c r="BS174" s="205">
        <f t="shared" si="1427"/>
        <v>500</v>
      </c>
      <c r="BT174" s="120"/>
      <c r="BU174" s="120"/>
      <c r="BV174" s="120"/>
      <c r="BW174" s="120"/>
      <c r="BX174" s="120"/>
      <c r="BY174" s="209"/>
      <c r="BZ174" s="205"/>
      <c r="CA174" s="205">
        <f t="shared" si="1528"/>
        <v>0</v>
      </c>
      <c r="CB174" s="201">
        <v>500</v>
      </c>
      <c r="CC174" s="120"/>
      <c r="CD174" s="120"/>
      <c r="CE174" s="120"/>
      <c r="CF174" s="120"/>
      <c r="CG174" s="209"/>
      <c r="CH174" s="205"/>
      <c r="CI174" s="205">
        <f t="shared" si="1529"/>
        <v>500</v>
      </c>
      <c r="CJ174" s="120"/>
      <c r="CK174" s="120"/>
      <c r="CL174" s="120"/>
      <c r="CM174" s="120"/>
      <c r="CN174" s="120"/>
      <c r="CO174" s="209"/>
      <c r="CP174" s="205"/>
      <c r="CQ174" s="205">
        <f t="shared" si="1530"/>
        <v>0</v>
      </c>
      <c r="CR174" s="120"/>
      <c r="CS174" s="120"/>
      <c r="CT174" s="120"/>
      <c r="CU174" s="120"/>
      <c r="CV174" s="120"/>
      <c r="CW174" s="209"/>
      <c r="CX174" s="205"/>
      <c r="CY174" s="205">
        <f t="shared" si="1531"/>
        <v>0</v>
      </c>
      <c r="CZ174" s="120"/>
      <c r="DA174" s="120"/>
      <c r="DB174" s="120"/>
      <c r="DC174" s="205"/>
      <c r="DD174" s="205"/>
      <c r="DE174" s="209"/>
      <c r="DF174" s="205"/>
      <c r="DG174" s="205">
        <f t="shared" si="1532"/>
        <v>0</v>
      </c>
      <c r="DH174" s="205">
        <f t="shared" si="1428"/>
        <v>500</v>
      </c>
      <c r="DI174" s="120"/>
      <c r="DJ174" s="120"/>
      <c r="DK174" s="120"/>
      <c r="DL174" s="120"/>
      <c r="DM174" s="120"/>
      <c r="DN174" s="209"/>
      <c r="DO174" s="205"/>
      <c r="DP174" s="205">
        <f t="shared" si="1432"/>
        <v>0</v>
      </c>
      <c r="DQ174" s="120"/>
      <c r="DR174" s="120"/>
      <c r="DS174" s="120"/>
      <c r="DT174" s="120"/>
      <c r="DU174" s="120"/>
      <c r="DV174" s="209"/>
      <c r="DW174" s="205"/>
      <c r="DX174" s="205">
        <f t="shared" si="1433"/>
        <v>0</v>
      </c>
      <c r="DY174" s="120"/>
      <c r="DZ174" s="120"/>
      <c r="EA174" s="120"/>
      <c r="EB174" s="120"/>
      <c r="EC174" s="120"/>
      <c r="ED174" s="209"/>
      <c r="EE174" s="205"/>
      <c r="EF174" s="205">
        <f t="shared" si="1434"/>
        <v>0</v>
      </c>
      <c r="EG174" s="120"/>
      <c r="EH174" s="120"/>
      <c r="EI174" s="120"/>
      <c r="EJ174" s="205"/>
      <c r="EK174" s="205"/>
      <c r="EL174" s="209"/>
      <c r="EM174" s="205"/>
      <c r="EN174" s="205">
        <f t="shared" si="1435"/>
        <v>0</v>
      </c>
      <c r="EO174" s="205">
        <f t="shared" si="1429"/>
        <v>0</v>
      </c>
      <c r="EP174" s="120"/>
      <c r="EQ174" s="120"/>
      <c r="ER174" s="120"/>
      <c r="ES174" s="120"/>
      <c r="ET174" s="120"/>
      <c r="EU174" s="209"/>
      <c r="EV174" s="205"/>
      <c r="EW174" s="205">
        <f t="shared" si="1436"/>
        <v>0</v>
      </c>
      <c r="EX174" s="250">
        <v>500</v>
      </c>
      <c r="EY174" s="250">
        <v>500</v>
      </c>
      <c r="EZ174" s="120"/>
      <c r="FA174" s="120"/>
      <c r="FB174" s="120"/>
      <c r="FC174" s="209"/>
      <c r="FD174" s="205"/>
      <c r="FE174" s="205">
        <f t="shared" si="1437"/>
        <v>1000</v>
      </c>
      <c r="FF174" s="120"/>
      <c r="FG174" s="120"/>
      <c r="FH174" s="120"/>
      <c r="FI174" s="120"/>
      <c r="FJ174" s="120"/>
      <c r="FK174" s="209"/>
      <c r="FL174" s="205"/>
      <c r="FM174" s="205">
        <f t="shared" si="1438"/>
        <v>0</v>
      </c>
      <c r="FN174" s="120"/>
      <c r="FO174" s="120"/>
      <c r="FP174" s="120"/>
      <c r="FQ174" s="120"/>
      <c r="FR174" s="205"/>
      <c r="FS174" s="209"/>
      <c r="FT174" s="205"/>
      <c r="FU174" s="205">
        <f t="shared" si="1439"/>
        <v>0</v>
      </c>
      <c r="FV174" s="205">
        <f t="shared" si="1430"/>
        <v>1000</v>
      </c>
      <c r="FW174" s="120"/>
      <c r="FX174" s="120"/>
      <c r="FY174" s="120"/>
      <c r="FZ174" s="120"/>
      <c r="GA174" s="120"/>
      <c r="GB174" s="209"/>
      <c r="GC174" s="205"/>
      <c r="GD174" s="205">
        <f t="shared" si="1440"/>
        <v>0</v>
      </c>
      <c r="GE174" s="120"/>
      <c r="GF174" s="120"/>
      <c r="GG174" s="120"/>
      <c r="GH174" s="120"/>
      <c r="GI174" s="120"/>
      <c r="GJ174" s="209"/>
      <c r="GK174" s="205"/>
      <c r="GL174" s="205">
        <f t="shared" si="1441"/>
        <v>0</v>
      </c>
      <c r="GM174" s="120"/>
      <c r="GN174" s="120"/>
      <c r="GO174" s="120"/>
      <c r="GP174" s="120"/>
      <c r="GQ174" s="120"/>
      <c r="GR174" s="209"/>
      <c r="GS174" s="205"/>
      <c r="GT174" s="205">
        <f t="shared" si="1442"/>
        <v>0</v>
      </c>
      <c r="GU174" s="201">
        <v>600</v>
      </c>
      <c r="GV174" s="120"/>
      <c r="GW174" s="120"/>
      <c r="GX174" s="120"/>
      <c r="GY174" s="120"/>
      <c r="GZ174" s="209"/>
      <c r="HA174" s="205"/>
      <c r="HB174" s="205">
        <f t="shared" si="1443"/>
        <v>600</v>
      </c>
      <c r="HC174" s="120"/>
      <c r="HD174" s="120"/>
      <c r="HE174" s="120"/>
      <c r="HF174" s="120"/>
      <c r="HG174" s="120"/>
      <c r="HH174" s="209"/>
      <c r="HI174" s="205"/>
      <c r="HJ174" s="205">
        <f t="shared" si="1444"/>
        <v>0</v>
      </c>
      <c r="HK174" s="205">
        <f t="shared" si="1431"/>
        <v>600</v>
      </c>
      <c r="HL174" s="124"/>
      <c r="HM174" s="120"/>
      <c r="HN174" s="120"/>
      <c r="HO174" s="120"/>
      <c r="HP174" s="120"/>
      <c r="HQ174" s="205"/>
      <c r="HR174" s="205"/>
      <c r="HS174" s="205">
        <f t="shared" si="1445"/>
        <v>0</v>
      </c>
      <c r="HT174" s="120"/>
      <c r="HU174" s="120"/>
      <c r="HV174" s="120"/>
      <c r="HW174" s="120"/>
      <c r="HX174" s="120"/>
      <c r="HY174" s="205"/>
      <c r="HZ174" s="205"/>
      <c r="IA174" s="205">
        <f t="shared" si="1446"/>
        <v>0</v>
      </c>
      <c r="IB174" s="120"/>
      <c r="IC174" s="217">
        <v>524</v>
      </c>
      <c r="ID174" s="120"/>
      <c r="IE174" s="120"/>
      <c r="IF174" s="120"/>
      <c r="IG174" s="205"/>
      <c r="IH174" s="205"/>
      <c r="II174" s="205">
        <f t="shared" si="1447"/>
        <v>524</v>
      </c>
      <c r="IJ174" s="120"/>
      <c r="IK174" s="120"/>
      <c r="IL174" s="120"/>
      <c r="IM174" s="120"/>
      <c r="IN174" s="120"/>
      <c r="IO174" s="205"/>
      <c r="IP174" s="205"/>
      <c r="IQ174" s="205">
        <f t="shared" si="1448"/>
        <v>0</v>
      </c>
      <c r="IR174" s="205">
        <f t="shared" si="1449"/>
        <v>524</v>
      </c>
      <c r="IS174" s="120"/>
      <c r="IT174" s="120"/>
      <c r="IU174" s="120"/>
      <c r="IV174" s="120"/>
      <c r="IW174" s="120"/>
      <c r="IX174" s="205"/>
      <c r="IY174" s="205"/>
      <c r="IZ174" s="205">
        <f t="shared" si="1450"/>
        <v>0</v>
      </c>
      <c r="JA174" s="120"/>
      <c r="JB174" s="120"/>
      <c r="JC174" s="120"/>
      <c r="JD174" s="120"/>
      <c r="JE174" s="120"/>
      <c r="JF174" s="205"/>
      <c r="JG174" s="205"/>
      <c r="JH174" s="205">
        <f t="shared" si="1451"/>
        <v>0</v>
      </c>
      <c r="JI174" s="120"/>
      <c r="JJ174" s="120"/>
      <c r="JK174" s="120"/>
      <c r="JL174" s="120"/>
      <c r="JM174" s="120"/>
      <c r="JN174" s="205"/>
      <c r="JO174" s="205"/>
      <c r="JP174" s="205">
        <f t="shared" si="1452"/>
        <v>0</v>
      </c>
      <c r="JQ174" s="120"/>
      <c r="JR174" s="120"/>
      <c r="JS174" s="120"/>
      <c r="JT174" s="120"/>
      <c r="JU174" s="120"/>
      <c r="JV174" s="205"/>
      <c r="JW174" s="205"/>
      <c r="JX174" s="205">
        <f t="shared" si="1453"/>
        <v>0</v>
      </c>
      <c r="JY174" s="205">
        <f t="shared" si="1454"/>
        <v>0</v>
      </c>
      <c r="JZ174" s="120"/>
      <c r="KA174" s="120"/>
      <c r="KB174" s="217">
        <v>500</v>
      </c>
      <c r="KC174" s="120"/>
      <c r="KD174" s="120"/>
      <c r="KE174" s="205"/>
      <c r="KF174" s="205"/>
      <c r="KG174" s="205">
        <f t="shared" si="1455"/>
        <v>500</v>
      </c>
      <c r="KH174" s="120"/>
      <c r="KI174" s="120"/>
      <c r="KJ174" s="120"/>
      <c r="KK174" s="120"/>
      <c r="KL174" s="120"/>
      <c r="KM174" s="205"/>
      <c r="KN174" s="205"/>
      <c r="KO174" s="205">
        <f t="shared" si="1456"/>
        <v>0</v>
      </c>
      <c r="KP174" s="120"/>
      <c r="KQ174" s="120"/>
      <c r="KR174" s="120"/>
      <c r="KS174" s="120"/>
      <c r="KT174" s="120"/>
      <c r="KU174" s="205"/>
      <c r="KV174" s="205"/>
      <c r="KW174" s="205">
        <f t="shared" si="1457"/>
        <v>0</v>
      </c>
      <c r="KX174" s="120"/>
      <c r="KY174" s="120"/>
      <c r="KZ174" s="120"/>
      <c r="LA174" s="120"/>
      <c r="LB174" s="120"/>
      <c r="LC174" s="205"/>
      <c r="LD174" s="205"/>
      <c r="LE174" s="205">
        <f t="shared" si="1458"/>
        <v>0</v>
      </c>
      <c r="LF174" s="205"/>
      <c r="LG174" s="120"/>
      <c r="LH174" s="120"/>
      <c r="LI174" s="120"/>
      <c r="LJ174" s="120"/>
      <c r="LK174" s="205"/>
      <c r="LL174" s="205"/>
      <c r="LM174" s="205">
        <f t="shared" si="1459"/>
        <v>0</v>
      </c>
      <c r="LN174" s="205">
        <f t="shared" si="1460"/>
        <v>500</v>
      </c>
      <c r="LO174" s="205"/>
      <c r="LP174" s="217">
        <v>500</v>
      </c>
      <c r="LQ174" s="120"/>
      <c r="LR174" s="120"/>
      <c r="LS174" s="205"/>
      <c r="LT174" s="205"/>
      <c r="LU174" s="205"/>
      <c r="LV174" s="205">
        <f t="shared" si="1461"/>
        <v>500</v>
      </c>
      <c r="LW174" s="120"/>
      <c r="LX174" s="120"/>
      <c r="LY174" s="120"/>
      <c r="LZ174" s="120"/>
      <c r="MA174" s="120"/>
      <c r="MB174" s="205"/>
      <c r="MC174" s="205"/>
      <c r="MD174" s="205">
        <f t="shared" si="1462"/>
        <v>0</v>
      </c>
      <c r="ME174" s="120"/>
      <c r="MF174" s="120"/>
      <c r="MG174" s="120"/>
      <c r="MH174" s="120"/>
      <c r="MI174" s="205"/>
      <c r="MJ174" s="205"/>
      <c r="MK174" s="205"/>
      <c r="ML174" s="205">
        <f t="shared" si="1463"/>
        <v>0</v>
      </c>
      <c r="MM174" s="120"/>
      <c r="MN174" s="120"/>
      <c r="MO174" s="120"/>
      <c r="MP174" s="120"/>
      <c r="MQ174" s="124">
        <v>500</v>
      </c>
      <c r="MR174" s="205"/>
      <c r="MS174" s="205"/>
      <c r="MT174" s="205">
        <f t="shared" si="1464"/>
        <v>500</v>
      </c>
      <c r="MU174" s="205">
        <f t="shared" si="1465"/>
        <v>1000</v>
      </c>
      <c r="MV174" s="120"/>
      <c r="MW174" s="120"/>
      <c r="MX174" s="120"/>
      <c r="MY174" s="120"/>
      <c r="MZ174" s="120"/>
      <c r="NA174" s="205"/>
      <c r="NB174" s="205"/>
      <c r="NC174" s="205">
        <f t="shared" si="1466"/>
        <v>0</v>
      </c>
      <c r="ND174" s="120"/>
      <c r="NE174" s="120"/>
      <c r="NF174" s="120"/>
      <c r="NG174" s="120"/>
      <c r="NH174" s="120"/>
      <c r="NI174" s="205"/>
      <c r="NJ174" s="205"/>
      <c r="NK174" s="205">
        <f t="shared" si="1467"/>
        <v>0</v>
      </c>
      <c r="NL174" s="120"/>
      <c r="NM174" s="120"/>
      <c r="NN174" s="120"/>
      <c r="NO174" s="120"/>
      <c r="NP174" s="120"/>
      <c r="NQ174" s="205"/>
      <c r="NR174" s="205"/>
      <c r="NS174" s="205">
        <f t="shared" si="1468"/>
        <v>0</v>
      </c>
      <c r="NT174" s="120"/>
      <c r="NU174" s="120"/>
      <c r="NV174" s="120"/>
      <c r="NW174" s="120"/>
      <c r="NX174" s="120"/>
      <c r="NY174" s="205"/>
      <c r="NZ174" s="205"/>
      <c r="OA174" s="205">
        <f t="shared" si="1469"/>
        <v>0</v>
      </c>
      <c r="OB174" s="205">
        <f t="shared" si="1470"/>
        <v>0</v>
      </c>
      <c r="OC174" s="120"/>
      <c r="OD174" s="120"/>
      <c r="OE174" s="120"/>
      <c r="OF174" s="120"/>
      <c r="OG174" s="120"/>
      <c r="OH174" s="205"/>
      <c r="OI174" s="205"/>
      <c r="OJ174" s="205">
        <f t="shared" si="1471"/>
        <v>0</v>
      </c>
      <c r="OK174" s="120"/>
      <c r="OL174" s="120"/>
      <c r="OM174" s="120"/>
      <c r="ON174" s="120"/>
      <c r="OO174" s="120"/>
      <c r="OP174" s="205"/>
      <c r="OQ174" s="205"/>
      <c r="OR174" s="205">
        <f t="shared" si="1472"/>
        <v>0</v>
      </c>
      <c r="OS174" s="124">
        <v>500</v>
      </c>
      <c r="OT174" s="120"/>
      <c r="OU174" s="120"/>
      <c r="OV174" s="120"/>
      <c r="OW174" s="120"/>
      <c r="OX174" s="205"/>
      <c r="OY174" s="205"/>
      <c r="OZ174" s="205">
        <f t="shared" si="1473"/>
        <v>500</v>
      </c>
      <c r="PA174" s="120"/>
      <c r="PB174" s="120"/>
      <c r="PC174" s="120"/>
      <c r="PD174" s="205"/>
      <c r="PE174" s="217"/>
      <c r="PF174" s="205"/>
      <c r="PG174" s="205"/>
      <c r="PH174" s="205">
        <f t="shared" si="1474"/>
        <v>0</v>
      </c>
      <c r="PI174" s="120"/>
      <c r="PJ174" s="120"/>
      <c r="PK174" s="120"/>
      <c r="PL174" s="205"/>
      <c r="PM174" s="217"/>
      <c r="PN174" s="205"/>
      <c r="PO174" s="205"/>
      <c r="PP174" s="205">
        <f t="shared" si="1475"/>
        <v>0</v>
      </c>
      <c r="PQ174" s="205">
        <f t="shared" si="1476"/>
        <v>500</v>
      </c>
      <c r="PR174" s="207"/>
      <c r="PS174" s="207"/>
      <c r="PT174" s="207"/>
      <c r="PU174" s="207"/>
      <c r="PV174" s="195">
        <v>500</v>
      </c>
      <c r="PW174" s="272"/>
      <c r="PX174" s="272"/>
      <c r="PY174" s="205">
        <f t="shared" si="1477"/>
        <v>500</v>
      </c>
      <c r="PZ174" s="207"/>
      <c r="QA174" s="207"/>
      <c r="QB174" s="207"/>
      <c r="QC174" s="207"/>
      <c r="QD174" s="207"/>
      <c r="QE174" s="272"/>
      <c r="QF174" s="272"/>
      <c r="QG174" s="205">
        <f t="shared" si="1478"/>
        <v>0</v>
      </c>
      <c r="QH174" s="207"/>
      <c r="QI174" s="207"/>
      <c r="QJ174" s="294"/>
      <c r="QK174" s="207"/>
      <c r="QL174" s="207"/>
      <c r="QM174" s="272"/>
      <c r="QN174" s="272"/>
      <c r="QO174" s="205">
        <f t="shared" si="1479"/>
        <v>0</v>
      </c>
      <c r="QP174" s="120"/>
      <c r="QQ174" s="207"/>
      <c r="QR174" s="207"/>
      <c r="QS174" s="123">
        <v>550</v>
      </c>
      <c r="QT174" s="207"/>
      <c r="QU174" s="272"/>
      <c r="QV174" s="272"/>
      <c r="QW174" s="205">
        <f t="shared" si="1480"/>
        <v>550</v>
      </c>
      <c r="QX174" s="205">
        <f t="shared" si="1481"/>
        <v>1050</v>
      </c>
      <c r="QY174" s="207"/>
      <c r="QZ174" s="124">
        <v>500</v>
      </c>
      <c r="RA174" s="207"/>
      <c r="RB174" s="207"/>
      <c r="RC174" s="207"/>
      <c r="RD174" s="272"/>
      <c r="RE174" s="272"/>
      <c r="RF174" s="205">
        <f t="shared" si="1482"/>
        <v>500</v>
      </c>
      <c r="RG174" s="207"/>
      <c r="RH174" s="207"/>
      <c r="RI174" s="207"/>
      <c r="RJ174" s="207"/>
      <c r="RK174" s="207"/>
      <c r="RL174" s="272"/>
      <c r="RM174" s="272"/>
      <c r="RN174" s="205">
        <f t="shared" si="1483"/>
        <v>0</v>
      </c>
      <c r="RO174" s="272"/>
      <c r="RP174" s="272"/>
      <c r="RQ174" s="272"/>
      <c r="RR174" s="272"/>
      <c r="RS174" s="272"/>
      <c r="RT174" s="272"/>
      <c r="RU174" s="272"/>
      <c r="RV174" s="205">
        <f t="shared" si="1484"/>
        <v>0</v>
      </c>
      <c r="RW174" s="207"/>
      <c r="RX174" s="207"/>
      <c r="RY174" s="207"/>
      <c r="RZ174" s="207"/>
      <c r="SA174" s="272"/>
      <c r="SB174" s="272"/>
      <c r="SC174" s="272"/>
      <c r="SD174" s="205">
        <f t="shared" si="1485"/>
        <v>0</v>
      </c>
      <c r="SE174" s="205">
        <f t="shared" si="1486"/>
        <v>500</v>
      </c>
      <c r="SF174" s="207"/>
      <c r="SG174" s="207"/>
      <c r="SH174" s="207"/>
      <c r="SI174" s="120"/>
      <c r="SJ174" s="217">
        <v>500</v>
      </c>
      <c r="SK174" s="272"/>
      <c r="SL174" s="272"/>
      <c r="SM174" s="205">
        <f t="shared" si="1487"/>
        <v>500</v>
      </c>
      <c r="SN174" s="207"/>
      <c r="SO174" s="207"/>
      <c r="SP174" s="207"/>
      <c r="SQ174" s="207"/>
      <c r="SR174" s="207"/>
      <c r="SS174" s="272"/>
      <c r="ST174" s="272"/>
      <c r="SU174" s="205">
        <f t="shared" si="1488"/>
        <v>0</v>
      </c>
      <c r="SV174" s="207"/>
      <c r="SW174" s="207"/>
      <c r="SX174" s="207"/>
      <c r="SY174" s="124">
        <v>500</v>
      </c>
      <c r="SZ174" s="207"/>
      <c r="TA174" s="272"/>
      <c r="TB174" s="272"/>
      <c r="TC174" s="205">
        <f t="shared" si="1489"/>
        <v>500</v>
      </c>
      <c r="TD174" s="207"/>
      <c r="TE174" s="207"/>
      <c r="TF174" s="207"/>
      <c r="TG174" s="207"/>
      <c r="TH174" s="207"/>
      <c r="TI174" s="272"/>
      <c r="TJ174" s="272"/>
      <c r="TK174" s="205">
        <f t="shared" si="1490"/>
        <v>0</v>
      </c>
      <c r="TL174" s="207"/>
      <c r="TM174" s="207"/>
      <c r="TN174" s="207"/>
      <c r="TO174" s="207"/>
      <c r="TP174" s="272"/>
      <c r="TQ174" s="272"/>
      <c r="TR174" s="272"/>
      <c r="TS174" s="205">
        <f t="shared" si="1491"/>
        <v>0</v>
      </c>
      <c r="TT174" s="205">
        <f t="shared" si="1492"/>
        <v>1000</v>
      </c>
      <c r="TU174" s="272"/>
      <c r="TV174" s="207"/>
      <c r="TW174" s="207"/>
      <c r="TX174" s="207"/>
      <c r="TY174" s="207"/>
      <c r="TZ174" s="272"/>
      <c r="UA174" s="272"/>
      <c r="UB174" s="205">
        <f t="shared" si="1493"/>
        <v>0</v>
      </c>
      <c r="UC174" s="207"/>
      <c r="UD174" s="207"/>
      <c r="UE174" s="207"/>
      <c r="UF174" s="201">
        <v>500</v>
      </c>
      <c r="UG174" s="207"/>
      <c r="UH174" s="272"/>
      <c r="UI174" s="272"/>
      <c r="UJ174" s="205">
        <f t="shared" si="1494"/>
        <v>500</v>
      </c>
      <c r="UK174" s="207"/>
      <c r="UL174" s="201">
        <v>500</v>
      </c>
      <c r="UM174" s="207"/>
      <c r="UN174" s="207"/>
      <c r="UO174" s="207"/>
      <c r="UP174" s="272"/>
      <c r="UQ174" s="272"/>
      <c r="UR174" s="205">
        <f t="shared" si="1495"/>
        <v>500</v>
      </c>
      <c r="US174" s="207"/>
      <c r="UT174" s="207"/>
      <c r="UU174" s="207"/>
      <c r="UV174" s="207"/>
      <c r="UW174" s="272"/>
      <c r="UX174" s="272"/>
      <c r="UY174" s="272"/>
      <c r="UZ174" s="205">
        <f t="shared" si="1496"/>
        <v>0</v>
      </c>
      <c r="VA174" s="205">
        <f t="shared" si="1497"/>
        <v>1000</v>
      </c>
      <c r="VB174" s="207"/>
      <c r="VC174" s="207"/>
      <c r="VD174" s="207"/>
      <c r="VE174" s="207"/>
      <c r="VF174" s="207"/>
      <c r="VG174" s="272"/>
      <c r="VH174" s="272"/>
      <c r="VI174" s="205">
        <f t="shared" si="1498"/>
        <v>0</v>
      </c>
      <c r="VJ174" s="207"/>
      <c r="VK174" s="207"/>
      <c r="VL174" s="195">
        <v>500</v>
      </c>
      <c r="VM174" s="195">
        <v>500</v>
      </c>
      <c r="VN174" s="207"/>
      <c r="VO174" s="272"/>
      <c r="VP174" s="272"/>
      <c r="VQ174" s="205">
        <f t="shared" si="1499"/>
        <v>1000</v>
      </c>
      <c r="VR174" s="207"/>
      <c r="VS174" s="207"/>
      <c r="VT174" s="207"/>
      <c r="VU174" s="207"/>
      <c r="VV174" s="207"/>
      <c r="VW174" s="272"/>
      <c r="VX174" s="272"/>
      <c r="VY174" s="205">
        <f t="shared" si="1500"/>
        <v>0</v>
      </c>
      <c r="VZ174" s="207"/>
      <c r="WA174" s="207"/>
      <c r="WB174" s="207"/>
      <c r="WC174" s="207"/>
      <c r="WD174" s="207"/>
      <c r="WE174" s="272"/>
      <c r="WF174" s="272"/>
      <c r="WG174" s="205">
        <f>SUM(VZ174:WF174)</f>
        <v>0</v>
      </c>
      <c r="WH174" s="205">
        <f t="shared" si="1502"/>
        <v>1000</v>
      </c>
      <c r="WI174" s="207"/>
      <c r="WJ174" s="207"/>
      <c r="WK174" s="207"/>
      <c r="WL174" s="207"/>
      <c r="WM174" s="207"/>
      <c r="WN174" s="272"/>
      <c r="WO174" s="272"/>
      <c r="WP174" s="205">
        <f t="shared" si="1503"/>
        <v>0</v>
      </c>
      <c r="WQ174" s="207"/>
      <c r="WR174" s="207"/>
      <c r="WS174" s="207"/>
      <c r="WT174" s="207"/>
      <c r="WU174" s="207"/>
      <c r="WV174" s="272"/>
      <c r="WW174" s="272"/>
      <c r="WX174" s="205">
        <f t="shared" si="1504"/>
        <v>0</v>
      </c>
      <c r="WY174" s="207"/>
      <c r="WZ174" s="207"/>
      <c r="XA174" s="207"/>
      <c r="XB174" s="207"/>
      <c r="XC174" s="272"/>
      <c r="XD174" s="272"/>
      <c r="XE174" s="272"/>
      <c r="XF174" s="205">
        <f t="shared" si="1505"/>
        <v>0</v>
      </c>
      <c r="XG174" s="207"/>
      <c r="XH174" s="207"/>
      <c r="XI174" s="207"/>
      <c r="XJ174" s="207"/>
      <c r="XK174" s="207"/>
      <c r="XL174" s="272"/>
      <c r="XM174" s="272"/>
      <c r="XN174" s="205">
        <f t="shared" si="1506"/>
        <v>0</v>
      </c>
      <c r="XO174" s="207"/>
      <c r="XP174" s="207"/>
      <c r="XQ174" s="207"/>
      <c r="XR174" s="207"/>
      <c r="XS174" s="207"/>
      <c r="XT174" s="272"/>
      <c r="XU174" s="272"/>
      <c r="XV174" s="205">
        <f t="shared" si="1507"/>
        <v>0</v>
      </c>
      <c r="XW174" s="205">
        <f t="shared" si="1508"/>
        <v>0</v>
      </c>
      <c r="XX174" s="207"/>
      <c r="XY174" s="207"/>
      <c r="XZ174" s="207"/>
      <c r="YA174" s="207"/>
      <c r="YB174" s="207"/>
      <c r="YC174" s="272"/>
      <c r="YD174" s="272"/>
      <c r="YE174" s="205">
        <f t="shared" si="1509"/>
        <v>0</v>
      </c>
      <c r="YF174" s="207"/>
      <c r="YG174" s="207"/>
      <c r="YH174" s="207"/>
      <c r="YI174" s="207"/>
      <c r="YJ174" s="207"/>
      <c r="YK174" s="272"/>
      <c r="YL174" s="272"/>
      <c r="YM174" s="205">
        <f t="shared" si="1510"/>
        <v>0</v>
      </c>
      <c r="YN174" s="207"/>
      <c r="YO174" s="207"/>
      <c r="YP174" s="207"/>
      <c r="YQ174" s="207"/>
      <c r="YR174" s="207"/>
      <c r="YS174" s="272"/>
      <c r="YT174" s="272"/>
      <c r="YU174" s="205">
        <f t="shared" si="1511"/>
        <v>0</v>
      </c>
      <c r="YV174" s="207"/>
      <c r="YW174" s="207"/>
      <c r="YX174" s="207"/>
      <c r="YY174" s="207"/>
      <c r="YZ174" s="207"/>
      <c r="ZA174" s="272"/>
      <c r="ZB174" s="272"/>
      <c r="ZC174" s="205">
        <f t="shared" si="1512"/>
        <v>0</v>
      </c>
      <c r="ZD174" s="205">
        <f t="shared" si="1513"/>
        <v>0</v>
      </c>
      <c r="ZE174" s="207"/>
      <c r="ZF174" s="207"/>
      <c r="ZG174" s="207"/>
      <c r="ZH174" s="207"/>
      <c r="ZI174" s="207"/>
      <c r="ZJ174" s="272"/>
      <c r="ZK174" s="272"/>
      <c r="ZL174" s="205">
        <f t="shared" si="1514"/>
        <v>0</v>
      </c>
      <c r="ZM174" s="207"/>
      <c r="ZN174" s="207"/>
      <c r="ZO174" s="207"/>
      <c r="ZP174" s="207"/>
      <c r="ZQ174" s="207"/>
      <c r="ZR174" s="272"/>
      <c r="ZS174" s="272"/>
      <c r="ZT174" s="205">
        <f t="shared" si="1515"/>
        <v>0</v>
      </c>
      <c r="ZU174" s="207"/>
      <c r="ZV174" s="207"/>
      <c r="ZW174" s="207"/>
      <c r="ZX174" s="207"/>
      <c r="ZY174" s="207"/>
      <c r="ZZ174" s="272"/>
      <c r="AAA174" s="272"/>
      <c r="AAB174" s="205">
        <f t="shared" si="1516"/>
        <v>0</v>
      </c>
      <c r="AAC174" s="207"/>
      <c r="AAD174" s="207"/>
      <c r="AAE174" s="207"/>
      <c r="AAF174" s="207"/>
      <c r="AAG174" s="207"/>
      <c r="AAH174" s="272"/>
      <c r="AAI174" s="272"/>
      <c r="AAJ174" s="205">
        <f t="shared" si="1517"/>
        <v>0</v>
      </c>
      <c r="AAK174" s="207"/>
      <c r="AAL174" s="207"/>
      <c r="AAM174" s="207"/>
      <c r="AAN174" s="207"/>
      <c r="AAO174" s="207"/>
      <c r="AAP174" s="272"/>
      <c r="AAQ174" s="272"/>
      <c r="AAR174" s="205">
        <f t="shared" si="1518"/>
        <v>0</v>
      </c>
      <c r="AAS174" s="205">
        <f t="shared" si="1519"/>
        <v>0</v>
      </c>
    </row>
    <row r="175" spans="2:721" ht="69.95" customHeight="1">
      <c r="B175" s="211" t="s">
        <v>598</v>
      </c>
      <c r="C175" s="344" t="s">
        <v>888</v>
      </c>
      <c r="D175" s="212" t="s">
        <v>611</v>
      </c>
      <c r="E175" s="130" t="s">
        <v>4</v>
      </c>
      <c r="F175" s="120"/>
      <c r="G175" s="120"/>
      <c r="H175" s="120"/>
      <c r="I175" s="120"/>
      <c r="J175" s="120"/>
      <c r="K175" s="209"/>
      <c r="L175" s="205"/>
      <c r="M175" s="205">
        <f t="shared" si="1520"/>
        <v>0</v>
      </c>
      <c r="N175" s="120"/>
      <c r="O175" s="120"/>
      <c r="P175" s="120"/>
      <c r="Q175" s="120"/>
      <c r="R175" s="120"/>
      <c r="S175" s="209"/>
      <c r="T175" s="205"/>
      <c r="U175" s="205">
        <f t="shared" si="1521"/>
        <v>0</v>
      </c>
      <c r="V175" s="120"/>
      <c r="W175" s="120"/>
      <c r="X175" s="120"/>
      <c r="Y175" s="120"/>
      <c r="Z175" s="120"/>
      <c r="AA175" s="209"/>
      <c r="AB175" s="205"/>
      <c r="AC175" s="205">
        <f t="shared" si="1522"/>
        <v>0</v>
      </c>
      <c r="AD175" s="205"/>
      <c r="AE175" s="205"/>
      <c r="AF175" s="205"/>
      <c r="AG175" s="205"/>
      <c r="AH175" s="205"/>
      <c r="AI175" s="209"/>
      <c r="AJ175" s="205"/>
      <c r="AK175" s="205">
        <f t="shared" si="1523"/>
        <v>0</v>
      </c>
      <c r="AL175" s="205" t="e">
        <f>SUM(#REF!,M175,U175,AC175,AD175:AH175)</f>
        <v>#REF!</v>
      </c>
      <c r="AM175" s="120"/>
      <c r="AN175" s="120"/>
      <c r="AO175" s="120"/>
      <c r="AP175" s="120"/>
      <c r="AQ175" s="120"/>
      <c r="AR175" s="209"/>
      <c r="AS175" s="205"/>
      <c r="AT175" s="205">
        <f t="shared" si="1524"/>
        <v>0</v>
      </c>
      <c r="AU175" s="120"/>
      <c r="AV175" s="120"/>
      <c r="AW175" s="201">
        <v>500</v>
      </c>
      <c r="AX175" s="120"/>
      <c r="AY175" s="120"/>
      <c r="AZ175" s="209"/>
      <c r="BA175" s="205"/>
      <c r="BB175" s="205">
        <f t="shared" si="1525"/>
        <v>500</v>
      </c>
      <c r="BC175" s="120"/>
      <c r="BD175" s="120"/>
      <c r="BE175" s="120"/>
      <c r="BF175" s="120"/>
      <c r="BG175" s="120"/>
      <c r="BH175" s="209"/>
      <c r="BI175" s="205"/>
      <c r="BJ175" s="205">
        <f t="shared" si="1526"/>
        <v>0</v>
      </c>
      <c r="BK175" s="120"/>
      <c r="BL175" s="120"/>
      <c r="BM175" s="120"/>
      <c r="BN175" s="120"/>
      <c r="BO175" s="205"/>
      <c r="BP175" s="209"/>
      <c r="BQ175" s="205"/>
      <c r="BR175" s="205">
        <f t="shared" si="1527"/>
        <v>0</v>
      </c>
      <c r="BS175" s="205">
        <f t="shared" si="1427"/>
        <v>500</v>
      </c>
      <c r="BT175" s="120"/>
      <c r="BU175" s="120"/>
      <c r="BV175" s="120"/>
      <c r="BW175" s="120"/>
      <c r="BX175" s="120"/>
      <c r="BY175" s="209"/>
      <c r="BZ175" s="205"/>
      <c r="CA175" s="205">
        <f t="shared" si="1528"/>
        <v>0</v>
      </c>
      <c r="CB175" s="120"/>
      <c r="CC175" s="120"/>
      <c r="CD175" s="201">
        <v>500</v>
      </c>
      <c r="CE175" s="120"/>
      <c r="CF175" s="120"/>
      <c r="CG175" s="209"/>
      <c r="CH175" s="205"/>
      <c r="CI175" s="205">
        <f t="shared" si="1529"/>
        <v>500</v>
      </c>
      <c r="CJ175" s="120"/>
      <c r="CK175" s="120"/>
      <c r="CL175" s="120"/>
      <c r="CM175" s="120"/>
      <c r="CN175" s="120"/>
      <c r="CO175" s="209"/>
      <c r="CP175" s="205"/>
      <c r="CQ175" s="205">
        <f t="shared" si="1530"/>
        <v>0</v>
      </c>
      <c r="CR175" s="120"/>
      <c r="CS175" s="120"/>
      <c r="CT175" s="120"/>
      <c r="CU175" s="120"/>
      <c r="CV175" s="120"/>
      <c r="CW175" s="209"/>
      <c r="CX175" s="205"/>
      <c r="CY175" s="205">
        <f t="shared" si="1531"/>
        <v>0</v>
      </c>
      <c r="CZ175" s="120"/>
      <c r="DA175" s="120"/>
      <c r="DB175" s="120"/>
      <c r="DC175" s="205"/>
      <c r="DD175" s="205"/>
      <c r="DE175" s="209"/>
      <c r="DF175" s="205"/>
      <c r="DG175" s="205">
        <f t="shared" si="1532"/>
        <v>0</v>
      </c>
      <c r="DH175" s="205">
        <f t="shared" si="1428"/>
        <v>500</v>
      </c>
      <c r="DI175" s="120"/>
      <c r="DJ175" s="120"/>
      <c r="DK175" s="120"/>
      <c r="DL175" s="120"/>
      <c r="DM175" s="120"/>
      <c r="DN175" s="209"/>
      <c r="DO175" s="205"/>
      <c r="DP175" s="205">
        <f t="shared" si="1432"/>
        <v>0</v>
      </c>
      <c r="DQ175" s="120"/>
      <c r="DR175" s="120"/>
      <c r="DS175" s="120"/>
      <c r="DT175" s="120"/>
      <c r="DU175" s="120"/>
      <c r="DV175" s="209"/>
      <c r="DW175" s="205"/>
      <c r="DX175" s="205">
        <f t="shared" si="1433"/>
        <v>0</v>
      </c>
      <c r="DY175" s="120"/>
      <c r="DZ175" s="120"/>
      <c r="EA175" s="120"/>
      <c r="EB175" s="120"/>
      <c r="EC175" s="120"/>
      <c r="ED175" s="209"/>
      <c r="EE175" s="205"/>
      <c r="EF175" s="205">
        <f t="shared" si="1434"/>
        <v>0</v>
      </c>
      <c r="EG175" s="120"/>
      <c r="EH175" s="120"/>
      <c r="EI175" s="120"/>
      <c r="EJ175" s="205"/>
      <c r="EK175" s="205"/>
      <c r="EL175" s="209"/>
      <c r="EM175" s="205"/>
      <c r="EN175" s="205">
        <f t="shared" si="1435"/>
        <v>0</v>
      </c>
      <c r="EO175" s="205">
        <f t="shared" si="1429"/>
        <v>0</v>
      </c>
      <c r="EP175" s="120"/>
      <c r="EQ175" s="120"/>
      <c r="ER175" s="120"/>
      <c r="ES175" s="120"/>
      <c r="ET175" s="120"/>
      <c r="EU175" s="209"/>
      <c r="EV175" s="205"/>
      <c r="EW175" s="205">
        <f t="shared" si="1436"/>
        <v>0</v>
      </c>
      <c r="EX175" s="120"/>
      <c r="EY175" s="120"/>
      <c r="EZ175" s="120"/>
      <c r="FA175" s="250">
        <v>1000</v>
      </c>
      <c r="FB175" s="120"/>
      <c r="FC175" s="209"/>
      <c r="FD175" s="205"/>
      <c r="FE175" s="205">
        <f t="shared" si="1437"/>
        <v>1000</v>
      </c>
      <c r="FF175" s="120"/>
      <c r="FG175" s="120"/>
      <c r="FH175" s="120"/>
      <c r="FI175" s="120"/>
      <c r="FJ175" s="120"/>
      <c r="FK175" s="209"/>
      <c r="FL175" s="205"/>
      <c r="FM175" s="205">
        <f t="shared" si="1438"/>
        <v>0</v>
      </c>
      <c r="FN175" s="120"/>
      <c r="FO175" s="120"/>
      <c r="FP175" s="120"/>
      <c r="FQ175" s="120"/>
      <c r="FR175" s="205"/>
      <c r="FS175" s="209"/>
      <c r="FT175" s="205"/>
      <c r="FU175" s="205">
        <f t="shared" si="1439"/>
        <v>0</v>
      </c>
      <c r="FV175" s="205">
        <f t="shared" si="1430"/>
        <v>1000</v>
      </c>
      <c r="FW175" s="120"/>
      <c r="FX175" s="120"/>
      <c r="FY175" s="120"/>
      <c r="FZ175" s="120"/>
      <c r="GA175" s="120"/>
      <c r="GB175" s="209"/>
      <c r="GC175" s="205"/>
      <c r="GD175" s="205">
        <f t="shared" si="1440"/>
        <v>0</v>
      </c>
      <c r="GE175" s="120"/>
      <c r="GF175" s="120"/>
      <c r="GG175" s="120"/>
      <c r="GH175" s="120"/>
      <c r="GI175" s="120"/>
      <c r="GJ175" s="209"/>
      <c r="GK175" s="205"/>
      <c r="GL175" s="205">
        <f t="shared" si="1441"/>
        <v>0</v>
      </c>
      <c r="GM175" s="120"/>
      <c r="GN175" s="120"/>
      <c r="GO175" s="120"/>
      <c r="GP175" s="120"/>
      <c r="GQ175" s="120"/>
      <c r="GR175" s="209"/>
      <c r="GS175" s="205"/>
      <c r="GT175" s="205">
        <f t="shared" si="1442"/>
        <v>0</v>
      </c>
      <c r="GU175" s="120"/>
      <c r="GV175" s="120"/>
      <c r="GW175" s="201">
        <v>600</v>
      </c>
      <c r="GX175" s="120"/>
      <c r="GY175" s="120"/>
      <c r="GZ175" s="209"/>
      <c r="HA175" s="205"/>
      <c r="HB175" s="205">
        <f t="shared" si="1443"/>
        <v>600</v>
      </c>
      <c r="HC175" s="120"/>
      <c r="HD175" s="120"/>
      <c r="HE175" s="120"/>
      <c r="HF175" s="120"/>
      <c r="HG175" s="120"/>
      <c r="HH175" s="209"/>
      <c r="HI175" s="205"/>
      <c r="HJ175" s="205">
        <f t="shared" si="1444"/>
        <v>0</v>
      </c>
      <c r="HK175" s="205">
        <f t="shared" si="1431"/>
        <v>600</v>
      </c>
      <c r="HL175" s="124"/>
      <c r="HM175" s="120"/>
      <c r="HN175" s="120"/>
      <c r="HO175" s="120"/>
      <c r="HP175" s="120"/>
      <c r="HQ175" s="205"/>
      <c r="HR175" s="205"/>
      <c r="HS175" s="205">
        <f t="shared" si="1445"/>
        <v>0</v>
      </c>
      <c r="HT175" s="120"/>
      <c r="HU175" s="120"/>
      <c r="HV175" s="120"/>
      <c r="HW175" s="120"/>
      <c r="HX175" s="120"/>
      <c r="HY175" s="205"/>
      <c r="HZ175" s="205"/>
      <c r="IA175" s="205">
        <f t="shared" si="1446"/>
        <v>0</v>
      </c>
      <c r="IB175" s="120"/>
      <c r="IC175" s="120"/>
      <c r="ID175" s="120"/>
      <c r="IE175" s="217">
        <v>524</v>
      </c>
      <c r="IF175" s="120"/>
      <c r="IG175" s="205"/>
      <c r="IH175" s="205"/>
      <c r="II175" s="205">
        <f t="shared" si="1447"/>
        <v>524</v>
      </c>
      <c r="IJ175" s="120"/>
      <c r="IK175" s="120"/>
      <c r="IL175" s="120"/>
      <c r="IM175" s="120"/>
      <c r="IN175" s="120"/>
      <c r="IO175" s="205"/>
      <c r="IP175" s="205"/>
      <c r="IQ175" s="205">
        <f t="shared" si="1448"/>
        <v>0</v>
      </c>
      <c r="IR175" s="205">
        <f t="shared" si="1449"/>
        <v>524</v>
      </c>
      <c r="IS175" s="120"/>
      <c r="IT175" s="120"/>
      <c r="IU175" s="120"/>
      <c r="IV175" s="120"/>
      <c r="IW175" s="120"/>
      <c r="IX175" s="205"/>
      <c r="IY175" s="205"/>
      <c r="IZ175" s="205">
        <f>SUM(IS175:IY175)</f>
        <v>0</v>
      </c>
      <c r="JA175" s="120"/>
      <c r="JB175" s="120"/>
      <c r="JC175" s="120"/>
      <c r="JD175" s="120"/>
      <c r="JE175" s="120"/>
      <c r="JF175" s="205"/>
      <c r="JG175" s="205"/>
      <c r="JH175" s="205">
        <f>SUM(JA175:JG175)</f>
        <v>0</v>
      </c>
      <c r="JI175" s="120"/>
      <c r="JJ175" s="120"/>
      <c r="JK175" s="120"/>
      <c r="JL175" s="120"/>
      <c r="JM175" s="120"/>
      <c r="JN175" s="205"/>
      <c r="JO175" s="205"/>
      <c r="JP175" s="205">
        <f>SUM(JI175:JO175)</f>
        <v>0</v>
      </c>
      <c r="JQ175" s="120"/>
      <c r="JR175" s="120"/>
      <c r="JS175" s="120"/>
      <c r="JT175" s="120"/>
      <c r="JU175" s="120"/>
      <c r="JV175" s="205"/>
      <c r="JW175" s="205"/>
      <c r="JX175" s="205">
        <f>SUM(JQ175:JW175)</f>
        <v>0</v>
      </c>
      <c r="JY175" s="205">
        <f>SUM(JX175,JP175,JH175,IZ175,IN175:IP175)</f>
        <v>0</v>
      </c>
      <c r="JZ175" s="120"/>
      <c r="KA175" s="120"/>
      <c r="KB175" s="120"/>
      <c r="KC175" s="120"/>
      <c r="KD175" s="217">
        <v>400</v>
      </c>
      <c r="KE175" s="205"/>
      <c r="KF175" s="205"/>
      <c r="KG175" s="205">
        <f>SUM(JZ175:KF175)</f>
        <v>400</v>
      </c>
      <c r="KH175" s="120"/>
      <c r="KI175" s="120"/>
      <c r="KJ175" s="120"/>
      <c r="KK175" s="120"/>
      <c r="KL175" s="120"/>
      <c r="KM175" s="205"/>
      <c r="KN175" s="205"/>
      <c r="KO175" s="205">
        <f>SUM(KH175:KN175)</f>
        <v>0</v>
      </c>
      <c r="KP175" s="120"/>
      <c r="KQ175" s="120"/>
      <c r="KR175" s="120"/>
      <c r="KS175" s="120"/>
      <c r="KT175" s="120"/>
      <c r="KU175" s="205"/>
      <c r="KV175" s="205"/>
      <c r="KW175" s="205">
        <f>SUM(KP175:KV175)</f>
        <v>0</v>
      </c>
      <c r="KX175" s="120"/>
      <c r="KY175" s="120"/>
      <c r="KZ175" s="120"/>
      <c r="LA175" s="120"/>
      <c r="LB175" s="120"/>
      <c r="LC175" s="205"/>
      <c r="LD175" s="205"/>
      <c r="LE175" s="205">
        <f>SUM(KX175:LD175)</f>
        <v>0</v>
      </c>
      <c r="LF175" s="205"/>
      <c r="LG175" s="120"/>
      <c r="LH175" s="120"/>
      <c r="LI175" s="120"/>
      <c r="LJ175" s="120"/>
      <c r="LK175" s="205"/>
      <c r="LL175" s="205"/>
      <c r="LM175" s="205">
        <f>SUM(LF175:LL175)</f>
        <v>0</v>
      </c>
      <c r="LN175" s="205">
        <f>SUM(LF175:LG175,LE175,KW175,KO175,KG175)</f>
        <v>400</v>
      </c>
      <c r="LO175" s="205"/>
      <c r="LP175" s="120"/>
      <c r="LQ175" s="120"/>
      <c r="LR175" s="217">
        <v>500</v>
      </c>
      <c r="LS175" s="205"/>
      <c r="LT175" s="205"/>
      <c r="LU175" s="205"/>
      <c r="LV175" s="205">
        <f>SUM(LO175:LU175)</f>
        <v>500</v>
      </c>
      <c r="LW175" s="120"/>
      <c r="LX175" s="120"/>
      <c r="LY175" s="120"/>
      <c r="LZ175" s="120"/>
      <c r="MA175" s="120"/>
      <c r="MB175" s="205"/>
      <c r="MC175" s="205"/>
      <c r="MD175" s="205">
        <f>SUM(LW175:MC175)</f>
        <v>0</v>
      </c>
      <c r="ME175" s="120"/>
      <c r="MF175" s="120"/>
      <c r="MG175" s="120"/>
      <c r="MH175" s="120"/>
      <c r="MI175" s="205"/>
      <c r="MJ175" s="205"/>
      <c r="MK175" s="205"/>
      <c r="ML175" s="205">
        <f>SUM(ME175:MK175)</f>
        <v>0</v>
      </c>
      <c r="MM175" s="120"/>
      <c r="MN175" s="120"/>
      <c r="MO175" s="120"/>
      <c r="MP175" s="120"/>
      <c r="MQ175" s="120"/>
      <c r="MR175" s="205"/>
      <c r="MS175" s="205"/>
      <c r="MT175" s="205">
        <f>SUM(MM175:MS175)</f>
        <v>0</v>
      </c>
      <c r="MU175" s="205">
        <f>SUM(LH175:LL175,LV175,MD175,ML175,MM175:MQ175)</f>
        <v>500</v>
      </c>
      <c r="MV175" s="120"/>
      <c r="MW175" s="124">
        <v>400</v>
      </c>
      <c r="MX175" s="120"/>
      <c r="MY175" s="120"/>
      <c r="MZ175" s="120"/>
      <c r="NA175" s="205"/>
      <c r="NB175" s="205"/>
      <c r="NC175" s="205">
        <f>SUM(MV175:NB175)</f>
        <v>400</v>
      </c>
      <c r="ND175" s="120"/>
      <c r="NE175" s="120"/>
      <c r="NF175" s="120"/>
      <c r="NG175" s="120"/>
      <c r="NH175" s="120"/>
      <c r="NI175" s="205"/>
      <c r="NJ175" s="205"/>
      <c r="NK175" s="205">
        <f>SUM(ND175:NJ175)</f>
        <v>0</v>
      </c>
      <c r="NL175" s="120"/>
      <c r="NM175" s="120"/>
      <c r="NN175" s="120"/>
      <c r="NO175" s="120"/>
      <c r="NP175" s="120"/>
      <c r="NQ175" s="205"/>
      <c r="NR175" s="205"/>
      <c r="NS175" s="205">
        <f>SUM(NL175:NR175)</f>
        <v>0</v>
      </c>
      <c r="NT175" s="120"/>
      <c r="NU175" s="120"/>
      <c r="NV175" s="120"/>
      <c r="NW175" s="120"/>
      <c r="NX175" s="120"/>
      <c r="NY175" s="205"/>
      <c r="NZ175" s="205"/>
      <c r="OA175" s="205">
        <f>SUM(NT175:NZ175)</f>
        <v>0</v>
      </c>
      <c r="OB175" s="205">
        <f>SUM(MR175:MS175,NC175,NK175,NS175,OA175)</f>
        <v>400</v>
      </c>
      <c r="OC175" s="120"/>
      <c r="OD175" s="120"/>
      <c r="OE175" s="120"/>
      <c r="OF175" s="120"/>
      <c r="OG175" s="120"/>
      <c r="OH175" s="205"/>
      <c r="OI175" s="205"/>
      <c r="OJ175" s="205">
        <f>SUM(OC175:OI175)</f>
        <v>0</v>
      </c>
      <c r="OK175" s="120"/>
      <c r="OL175" s="120"/>
      <c r="OM175" s="120"/>
      <c r="ON175" s="120"/>
      <c r="OO175" s="120"/>
      <c r="OP175" s="205"/>
      <c r="OQ175" s="205"/>
      <c r="OR175" s="205">
        <f>SUM(OK175:OQ175)</f>
        <v>0</v>
      </c>
      <c r="OS175" s="120"/>
      <c r="OT175" s="120"/>
      <c r="OU175" s="124">
        <v>500</v>
      </c>
      <c r="OV175" s="120"/>
      <c r="OW175" s="120"/>
      <c r="OX175" s="205"/>
      <c r="OY175" s="205"/>
      <c r="OZ175" s="205">
        <f>SUM(OS175:OY175)</f>
        <v>500</v>
      </c>
      <c r="PA175" s="120"/>
      <c r="PB175" s="120"/>
      <c r="PC175" s="120"/>
      <c r="PD175" s="205"/>
      <c r="PE175" s="217"/>
      <c r="PF175" s="205"/>
      <c r="PG175" s="205"/>
      <c r="PH175" s="205">
        <f>SUM(PA175:PG175)</f>
        <v>0</v>
      </c>
      <c r="PI175" s="120"/>
      <c r="PJ175" s="120"/>
      <c r="PK175" s="120"/>
      <c r="PL175" s="205"/>
      <c r="PM175" s="217"/>
      <c r="PN175" s="205"/>
      <c r="PO175" s="205"/>
      <c r="PP175" s="205">
        <f>SUM(PI175:PO175)</f>
        <v>0</v>
      </c>
      <c r="PQ175" s="205">
        <f>SUM(OJ175,OR175,OZ175,PH175,PI175:PK175)</f>
        <v>500</v>
      </c>
      <c r="PR175" s="206">
        <v>110</v>
      </c>
      <c r="PS175" s="207"/>
      <c r="PT175" s="207"/>
      <c r="PU175" s="207"/>
      <c r="PV175" s="207"/>
      <c r="PW175" s="272"/>
      <c r="PX175" s="272"/>
      <c r="PY175" s="205">
        <f t="shared" si="1477"/>
        <v>110</v>
      </c>
      <c r="PZ175" s="207"/>
      <c r="QA175" s="195">
        <v>200</v>
      </c>
      <c r="QB175" s="207"/>
      <c r="QC175" s="207"/>
      <c r="QD175" s="207"/>
      <c r="QE175" s="272"/>
      <c r="QF175" s="272"/>
      <c r="QG175" s="205">
        <f t="shared" si="1478"/>
        <v>200</v>
      </c>
      <c r="QH175" s="207"/>
      <c r="QI175" s="207"/>
      <c r="QJ175" s="294"/>
      <c r="QK175" s="207"/>
      <c r="QL175" s="207"/>
      <c r="QM175" s="272"/>
      <c r="QN175" s="272"/>
      <c r="QO175" s="205">
        <f t="shared" si="1479"/>
        <v>0</v>
      </c>
      <c r="QP175" s="207"/>
      <c r="QQ175" s="207"/>
      <c r="QR175" s="207"/>
      <c r="QS175" s="207"/>
      <c r="QT175" s="207"/>
      <c r="QU175" s="272"/>
      <c r="QV175" s="272"/>
      <c r="QW175" s="205">
        <f t="shared" si="1480"/>
        <v>0</v>
      </c>
      <c r="QX175" s="205">
        <f t="shared" si="1481"/>
        <v>310</v>
      </c>
      <c r="QY175" s="207"/>
      <c r="QZ175" s="207"/>
      <c r="RA175" s="207"/>
      <c r="RB175" s="124">
        <v>500</v>
      </c>
      <c r="RC175" s="207"/>
      <c r="RD175" s="272"/>
      <c r="RE175" s="272"/>
      <c r="RF175" s="205">
        <f t="shared" si="1482"/>
        <v>500</v>
      </c>
      <c r="RG175" s="207"/>
      <c r="RH175" s="207"/>
      <c r="RI175" s="207"/>
      <c r="RJ175" s="207"/>
      <c r="RK175" s="207"/>
      <c r="RL175" s="272"/>
      <c r="RM175" s="272"/>
      <c r="RN175" s="205">
        <f t="shared" si="1483"/>
        <v>0</v>
      </c>
      <c r="RO175" s="272"/>
      <c r="RP175" s="272"/>
      <c r="RQ175" s="272"/>
      <c r="RR175" s="272"/>
      <c r="RS175" s="272"/>
      <c r="RT175" s="272"/>
      <c r="RU175" s="272"/>
      <c r="RV175" s="205">
        <f t="shared" si="1484"/>
        <v>0</v>
      </c>
      <c r="RW175" s="207"/>
      <c r="RX175" s="207"/>
      <c r="RY175" s="207"/>
      <c r="RZ175" s="207"/>
      <c r="SA175" s="272"/>
      <c r="SB175" s="272"/>
      <c r="SC175" s="272"/>
      <c r="SD175" s="205">
        <f t="shared" si="1485"/>
        <v>0</v>
      </c>
      <c r="SE175" s="205">
        <f t="shared" si="1486"/>
        <v>500</v>
      </c>
      <c r="SF175" s="207"/>
      <c r="SG175" s="207"/>
      <c r="SH175" s="207"/>
      <c r="SI175" s="207"/>
      <c r="SJ175" s="207"/>
      <c r="SK175" s="272"/>
      <c r="SL175" s="272"/>
      <c r="SM175" s="205">
        <f t="shared" si="1487"/>
        <v>0</v>
      </c>
      <c r="SN175" s="120"/>
      <c r="SO175" s="195">
        <v>200</v>
      </c>
      <c r="SP175" s="207"/>
      <c r="SQ175" s="207"/>
      <c r="SR175" s="207"/>
      <c r="SS175" s="272"/>
      <c r="ST175" s="272"/>
      <c r="SU175" s="205">
        <f t="shared" si="1488"/>
        <v>200</v>
      </c>
      <c r="SV175" s="207"/>
      <c r="SW175" s="207"/>
      <c r="SX175" s="207"/>
      <c r="SY175" s="207"/>
      <c r="SZ175" s="207"/>
      <c r="TA175" s="272"/>
      <c r="TB175" s="272"/>
      <c r="TC175" s="205">
        <f t="shared" si="1489"/>
        <v>0</v>
      </c>
      <c r="TD175" s="124">
        <v>500</v>
      </c>
      <c r="TE175" s="207"/>
      <c r="TF175" s="207"/>
      <c r="TG175" s="207"/>
      <c r="TH175" s="207"/>
      <c r="TI175" s="272"/>
      <c r="TJ175" s="272"/>
      <c r="TK175" s="205">
        <f t="shared" si="1490"/>
        <v>500</v>
      </c>
      <c r="TL175" s="207"/>
      <c r="TM175" s="207"/>
      <c r="TN175" s="207"/>
      <c r="TO175" s="207"/>
      <c r="TP175" s="272"/>
      <c r="TQ175" s="272"/>
      <c r="TR175" s="272"/>
      <c r="TS175" s="205">
        <f t="shared" si="1491"/>
        <v>0</v>
      </c>
      <c r="TT175" s="205">
        <f t="shared" si="1492"/>
        <v>700</v>
      </c>
      <c r="TU175" s="272"/>
      <c r="TV175" s="207"/>
      <c r="TW175" s="207"/>
      <c r="TX175" s="207"/>
      <c r="TY175" s="207"/>
      <c r="TZ175" s="272"/>
      <c r="UA175" s="272"/>
      <c r="UB175" s="205">
        <f t="shared" si="1493"/>
        <v>0</v>
      </c>
      <c r="UC175" s="207"/>
      <c r="UD175" s="207"/>
      <c r="UE175" s="207"/>
      <c r="UF175" s="207"/>
      <c r="UG175" s="207"/>
      <c r="UH175" s="272"/>
      <c r="UI175" s="272"/>
      <c r="UJ175" s="205">
        <f t="shared" si="1494"/>
        <v>0</v>
      </c>
      <c r="UK175" s="201">
        <v>500</v>
      </c>
      <c r="UL175" s="207"/>
      <c r="UM175" s="207"/>
      <c r="UN175" s="201">
        <v>500</v>
      </c>
      <c r="UO175" s="207"/>
      <c r="UP175" s="272"/>
      <c r="UQ175" s="272"/>
      <c r="UR175" s="205">
        <f t="shared" si="1495"/>
        <v>1000</v>
      </c>
      <c r="US175" s="207"/>
      <c r="UT175" s="207"/>
      <c r="UU175" s="207"/>
      <c r="UV175" s="207"/>
      <c r="UW175" s="272"/>
      <c r="UX175" s="272"/>
      <c r="UY175" s="272"/>
      <c r="UZ175" s="205">
        <f t="shared" si="1496"/>
        <v>0</v>
      </c>
      <c r="VA175" s="205">
        <f t="shared" si="1497"/>
        <v>1000</v>
      </c>
      <c r="VB175" s="207"/>
      <c r="VC175" s="207"/>
      <c r="VD175" s="207"/>
      <c r="VE175" s="207"/>
      <c r="VF175" s="207"/>
      <c r="VG175" s="272"/>
      <c r="VH175" s="272"/>
      <c r="VI175" s="205">
        <f t="shared" si="1498"/>
        <v>0</v>
      </c>
      <c r="VJ175" s="207"/>
      <c r="VK175" s="207"/>
      <c r="VL175" s="207"/>
      <c r="VM175" s="207"/>
      <c r="VN175" s="207"/>
      <c r="VO175" s="272"/>
      <c r="VP175" s="272"/>
      <c r="VQ175" s="205">
        <f t="shared" si="1499"/>
        <v>0</v>
      </c>
      <c r="VR175" s="195">
        <v>700</v>
      </c>
      <c r="VS175" s="207"/>
      <c r="VT175" s="207"/>
      <c r="VU175" s="207"/>
      <c r="VV175" s="207"/>
      <c r="VW175" s="272"/>
      <c r="VX175" s="272"/>
      <c r="VY175" s="205">
        <f t="shared" si="1500"/>
        <v>700</v>
      </c>
      <c r="VZ175" s="207"/>
      <c r="WA175" s="207"/>
      <c r="WB175" s="207"/>
      <c r="WC175" s="207"/>
      <c r="WD175" s="207"/>
      <c r="WE175" s="272"/>
      <c r="WF175" s="272"/>
      <c r="WG175" s="205">
        <f>SUM(VZ175:WF175)</f>
        <v>0</v>
      </c>
      <c r="WH175" s="205">
        <f t="shared" si="1502"/>
        <v>700</v>
      </c>
      <c r="WI175" s="207"/>
      <c r="WJ175" s="207"/>
      <c r="WK175" s="207"/>
      <c r="WL175" s="207"/>
      <c r="WM175" s="207"/>
      <c r="WN175" s="272"/>
      <c r="WO175" s="272"/>
      <c r="WP175" s="205">
        <f t="shared" si="1503"/>
        <v>0</v>
      </c>
      <c r="WQ175" s="207"/>
      <c r="WR175" s="207"/>
      <c r="WS175" s="207"/>
      <c r="WT175" s="207"/>
      <c r="WU175" s="207"/>
      <c r="WV175" s="272"/>
      <c r="WW175" s="272"/>
      <c r="WX175" s="205">
        <f t="shared" si="1504"/>
        <v>0</v>
      </c>
      <c r="WY175" s="207"/>
      <c r="WZ175" s="207"/>
      <c r="XA175" s="207"/>
      <c r="XB175" s="207"/>
      <c r="XC175" s="272"/>
      <c r="XD175" s="272"/>
      <c r="XE175" s="272"/>
      <c r="XF175" s="205">
        <f t="shared" si="1505"/>
        <v>0</v>
      </c>
      <c r="XG175" s="207"/>
      <c r="XH175" s="207"/>
      <c r="XI175" s="207"/>
      <c r="XJ175" s="207"/>
      <c r="XK175" s="207"/>
      <c r="XL175" s="272"/>
      <c r="XM175" s="272"/>
      <c r="XN175" s="205">
        <f t="shared" si="1506"/>
        <v>0</v>
      </c>
      <c r="XO175" s="207"/>
      <c r="XP175" s="207"/>
      <c r="XQ175" s="207"/>
      <c r="XR175" s="207"/>
      <c r="XS175" s="207"/>
      <c r="XT175" s="272"/>
      <c r="XU175" s="272"/>
      <c r="XV175" s="205">
        <f t="shared" si="1507"/>
        <v>0</v>
      </c>
      <c r="XW175" s="205">
        <f t="shared" si="1508"/>
        <v>0</v>
      </c>
      <c r="XX175" s="207"/>
      <c r="XY175" s="207"/>
      <c r="XZ175" s="207"/>
      <c r="YA175" s="207"/>
      <c r="YB175" s="207"/>
      <c r="YC175" s="272"/>
      <c r="YD175" s="272"/>
      <c r="YE175" s="205">
        <f t="shared" si="1509"/>
        <v>0</v>
      </c>
      <c r="YF175" s="207"/>
      <c r="YG175" s="207"/>
      <c r="YH175" s="207"/>
      <c r="YI175" s="207"/>
      <c r="YJ175" s="207"/>
      <c r="YK175" s="272"/>
      <c r="YL175" s="272"/>
      <c r="YM175" s="205">
        <f t="shared" si="1510"/>
        <v>0</v>
      </c>
      <c r="YN175" s="207"/>
      <c r="YO175" s="207"/>
      <c r="YP175" s="207"/>
      <c r="YQ175" s="207"/>
      <c r="YR175" s="207"/>
      <c r="YS175" s="272"/>
      <c r="YT175" s="272"/>
      <c r="YU175" s="205">
        <f t="shared" si="1511"/>
        <v>0</v>
      </c>
      <c r="YV175" s="207"/>
      <c r="YW175" s="207"/>
      <c r="YX175" s="207"/>
      <c r="YY175" s="207"/>
      <c r="YZ175" s="207"/>
      <c r="ZA175" s="272"/>
      <c r="ZB175" s="272"/>
      <c r="ZC175" s="205">
        <f t="shared" si="1512"/>
        <v>0</v>
      </c>
      <c r="ZD175" s="205">
        <f t="shared" si="1513"/>
        <v>0</v>
      </c>
      <c r="ZE175" s="207"/>
      <c r="ZF175" s="207"/>
      <c r="ZG175" s="207"/>
      <c r="ZH175" s="207"/>
      <c r="ZI175" s="207"/>
      <c r="ZJ175" s="272"/>
      <c r="ZK175" s="272"/>
      <c r="ZL175" s="205">
        <f t="shared" si="1514"/>
        <v>0</v>
      </c>
      <c r="ZM175" s="207"/>
      <c r="ZN175" s="207"/>
      <c r="ZO175" s="207"/>
      <c r="ZP175" s="207"/>
      <c r="ZQ175" s="207"/>
      <c r="ZR175" s="272"/>
      <c r="ZS175" s="272"/>
      <c r="ZT175" s="205">
        <f t="shared" si="1515"/>
        <v>0</v>
      </c>
      <c r="ZU175" s="207"/>
      <c r="ZV175" s="207"/>
      <c r="ZW175" s="207"/>
      <c r="ZX175" s="207"/>
      <c r="ZY175" s="207"/>
      <c r="ZZ175" s="272"/>
      <c r="AAA175" s="272"/>
      <c r="AAB175" s="205">
        <f t="shared" si="1516"/>
        <v>0</v>
      </c>
      <c r="AAC175" s="207"/>
      <c r="AAD175" s="207"/>
      <c r="AAE175" s="207"/>
      <c r="AAF175" s="207"/>
      <c r="AAG175" s="207"/>
      <c r="AAH175" s="272"/>
      <c r="AAI175" s="272"/>
      <c r="AAJ175" s="205">
        <f t="shared" si="1517"/>
        <v>0</v>
      </c>
      <c r="AAK175" s="207"/>
      <c r="AAL175" s="207"/>
      <c r="AAM175" s="207"/>
      <c r="AAN175" s="207"/>
      <c r="AAO175" s="207"/>
      <c r="AAP175" s="272"/>
      <c r="AAQ175" s="272"/>
      <c r="AAR175" s="205">
        <f t="shared" si="1518"/>
        <v>0</v>
      </c>
      <c r="AAS175" s="205">
        <f t="shared" si="1519"/>
        <v>0</v>
      </c>
    </row>
    <row r="176" spans="2:721" ht="69.95" customHeight="1">
      <c r="B176" s="211" t="s">
        <v>807</v>
      </c>
      <c r="C176" s="355" t="s">
        <v>889</v>
      </c>
      <c r="D176" s="212" t="s">
        <v>810</v>
      </c>
      <c r="E176" s="130" t="s">
        <v>4</v>
      </c>
      <c r="F176" s="120"/>
      <c r="G176" s="120"/>
      <c r="H176" s="120"/>
      <c r="I176" s="120"/>
      <c r="J176" s="120"/>
      <c r="K176" s="209"/>
      <c r="L176" s="205"/>
      <c r="M176" s="205"/>
      <c r="N176" s="120"/>
      <c r="O176" s="120"/>
      <c r="P176" s="120"/>
      <c r="Q176" s="120"/>
      <c r="R176" s="120"/>
      <c r="S176" s="209"/>
      <c r="T176" s="205"/>
      <c r="U176" s="205"/>
      <c r="V176" s="120"/>
      <c r="W176" s="120"/>
      <c r="X176" s="120"/>
      <c r="Y176" s="120"/>
      <c r="Z176" s="120"/>
      <c r="AA176" s="209"/>
      <c r="AB176" s="205"/>
      <c r="AC176" s="205"/>
      <c r="AD176" s="205"/>
      <c r="AE176" s="205"/>
      <c r="AF176" s="205"/>
      <c r="AG176" s="205"/>
      <c r="AH176" s="205"/>
      <c r="AI176" s="209"/>
      <c r="AJ176" s="205"/>
      <c r="AK176" s="205"/>
      <c r="AL176" s="205"/>
      <c r="AM176" s="120"/>
      <c r="AN176" s="120"/>
      <c r="AO176" s="120"/>
      <c r="AP176" s="120"/>
      <c r="AQ176" s="120"/>
      <c r="AR176" s="209"/>
      <c r="AS176" s="205"/>
      <c r="AT176" s="205"/>
      <c r="AU176" s="120"/>
      <c r="AV176" s="120"/>
      <c r="AW176" s="201"/>
      <c r="AX176" s="120"/>
      <c r="AY176" s="120"/>
      <c r="AZ176" s="209"/>
      <c r="BA176" s="205"/>
      <c r="BB176" s="205"/>
      <c r="BC176" s="120"/>
      <c r="BD176" s="120"/>
      <c r="BE176" s="120"/>
      <c r="BF176" s="120"/>
      <c r="BG176" s="120"/>
      <c r="BH176" s="209"/>
      <c r="BI176" s="205"/>
      <c r="BJ176" s="205"/>
      <c r="BK176" s="120"/>
      <c r="BL176" s="120"/>
      <c r="BM176" s="120"/>
      <c r="BN176" s="120"/>
      <c r="BO176" s="205"/>
      <c r="BP176" s="209"/>
      <c r="BQ176" s="205"/>
      <c r="BR176" s="205"/>
      <c r="BS176" s="205"/>
      <c r="BT176" s="120"/>
      <c r="BU176" s="120"/>
      <c r="BV176" s="120"/>
      <c r="BW176" s="120"/>
      <c r="BX176" s="120"/>
      <c r="BY176" s="209"/>
      <c r="BZ176" s="205"/>
      <c r="CA176" s="205"/>
      <c r="CB176" s="120"/>
      <c r="CC176" s="120"/>
      <c r="CD176" s="201"/>
      <c r="CE176" s="120"/>
      <c r="CF176" s="120"/>
      <c r="CG176" s="209"/>
      <c r="CH176" s="205"/>
      <c r="CI176" s="205"/>
      <c r="CJ176" s="120"/>
      <c r="CK176" s="120"/>
      <c r="CL176" s="120"/>
      <c r="CM176" s="120"/>
      <c r="CN176" s="120"/>
      <c r="CO176" s="209"/>
      <c r="CP176" s="205"/>
      <c r="CQ176" s="205"/>
      <c r="CR176" s="120"/>
      <c r="CS176" s="120"/>
      <c r="CT176" s="120"/>
      <c r="CU176" s="120"/>
      <c r="CV176" s="120"/>
      <c r="CW176" s="209"/>
      <c r="CX176" s="205"/>
      <c r="CY176" s="205"/>
      <c r="CZ176" s="120"/>
      <c r="DA176" s="120"/>
      <c r="DB176" s="120"/>
      <c r="DC176" s="205"/>
      <c r="DD176" s="205"/>
      <c r="DE176" s="209"/>
      <c r="DF176" s="205"/>
      <c r="DG176" s="205"/>
      <c r="DH176" s="205"/>
      <c r="DI176" s="120"/>
      <c r="DJ176" s="120"/>
      <c r="DK176" s="120"/>
      <c r="DL176" s="120"/>
      <c r="DM176" s="120"/>
      <c r="DN176" s="209"/>
      <c r="DO176" s="205"/>
      <c r="DP176" s="205"/>
      <c r="DQ176" s="120"/>
      <c r="DR176" s="120"/>
      <c r="DS176" s="120"/>
      <c r="DT176" s="120"/>
      <c r="DU176" s="120"/>
      <c r="DV176" s="209"/>
      <c r="DW176" s="205"/>
      <c r="DX176" s="205"/>
      <c r="DY176" s="120"/>
      <c r="DZ176" s="120"/>
      <c r="EA176" s="120"/>
      <c r="EB176" s="120"/>
      <c r="EC176" s="120"/>
      <c r="ED176" s="209"/>
      <c r="EE176" s="205"/>
      <c r="EF176" s="205"/>
      <c r="EG176" s="120"/>
      <c r="EH176" s="120"/>
      <c r="EI176" s="120"/>
      <c r="EJ176" s="205"/>
      <c r="EK176" s="205"/>
      <c r="EL176" s="209"/>
      <c r="EM176" s="205"/>
      <c r="EN176" s="205"/>
      <c r="EO176" s="205"/>
      <c r="EP176" s="120"/>
      <c r="EQ176" s="120"/>
      <c r="ER176" s="120"/>
      <c r="ES176" s="120"/>
      <c r="ET176" s="120"/>
      <c r="EU176" s="209"/>
      <c r="EV176" s="205"/>
      <c r="EW176" s="205"/>
      <c r="EX176" s="120"/>
      <c r="EY176" s="120"/>
      <c r="EZ176" s="120"/>
      <c r="FA176" s="250"/>
      <c r="FB176" s="120"/>
      <c r="FC176" s="209"/>
      <c r="FD176" s="205"/>
      <c r="FE176" s="205"/>
      <c r="FF176" s="120"/>
      <c r="FG176" s="120"/>
      <c r="FH176" s="120"/>
      <c r="FI176" s="120"/>
      <c r="FJ176" s="120"/>
      <c r="FK176" s="209"/>
      <c r="FL176" s="205"/>
      <c r="FM176" s="205"/>
      <c r="FN176" s="120"/>
      <c r="FO176" s="120"/>
      <c r="FP176" s="120"/>
      <c r="FQ176" s="120"/>
      <c r="FR176" s="205"/>
      <c r="FS176" s="209"/>
      <c r="FT176" s="205"/>
      <c r="FU176" s="205"/>
      <c r="FV176" s="205"/>
      <c r="FW176" s="120"/>
      <c r="FX176" s="120"/>
      <c r="FY176" s="120"/>
      <c r="FZ176" s="120"/>
      <c r="GA176" s="120"/>
      <c r="GB176" s="209"/>
      <c r="GC176" s="205"/>
      <c r="GD176" s="205"/>
      <c r="GE176" s="120"/>
      <c r="GF176" s="120"/>
      <c r="GG176" s="120"/>
      <c r="GH176" s="120"/>
      <c r="GI176" s="120"/>
      <c r="GJ176" s="209"/>
      <c r="GK176" s="205"/>
      <c r="GL176" s="205"/>
      <c r="GM176" s="120"/>
      <c r="GN176" s="120"/>
      <c r="GO176" s="120"/>
      <c r="GP176" s="120"/>
      <c r="GQ176" s="120"/>
      <c r="GR176" s="209"/>
      <c r="GS176" s="205"/>
      <c r="GT176" s="205"/>
      <c r="GU176" s="120"/>
      <c r="GV176" s="120"/>
      <c r="GW176" s="201"/>
      <c r="GX176" s="120"/>
      <c r="GY176" s="120"/>
      <c r="GZ176" s="209"/>
      <c r="HA176" s="205"/>
      <c r="HB176" s="205"/>
      <c r="HC176" s="120"/>
      <c r="HD176" s="120"/>
      <c r="HE176" s="120"/>
      <c r="HF176" s="120"/>
      <c r="HG176" s="120"/>
      <c r="HH176" s="209"/>
      <c r="HI176" s="205"/>
      <c r="HJ176" s="205"/>
      <c r="HK176" s="205"/>
      <c r="HL176" s="124"/>
      <c r="HM176" s="120"/>
      <c r="HN176" s="120"/>
      <c r="HO176" s="120"/>
      <c r="HP176" s="120"/>
      <c r="HQ176" s="205"/>
      <c r="HR176" s="205"/>
      <c r="HS176" s="205"/>
      <c r="HT176" s="120"/>
      <c r="HU176" s="120"/>
      <c r="HV176" s="120"/>
      <c r="HW176" s="120"/>
      <c r="HX176" s="120"/>
      <c r="HY176" s="205"/>
      <c r="HZ176" s="205"/>
      <c r="IA176" s="205"/>
      <c r="IB176" s="120"/>
      <c r="IC176" s="120"/>
      <c r="ID176" s="120"/>
      <c r="IE176" s="120"/>
      <c r="IF176" s="120"/>
      <c r="IG176" s="205"/>
      <c r="IH176" s="205"/>
      <c r="II176" s="205"/>
      <c r="IJ176" s="120"/>
      <c r="IK176" s="120"/>
      <c r="IL176" s="120"/>
      <c r="IM176" s="120"/>
      <c r="IN176" s="120"/>
      <c r="IO176" s="205"/>
      <c r="IP176" s="205"/>
      <c r="IQ176" s="205"/>
      <c r="IR176" s="205"/>
      <c r="IS176" s="120"/>
      <c r="IT176" s="120"/>
      <c r="IU176" s="120"/>
      <c r="IV176" s="120"/>
      <c r="IW176" s="120"/>
      <c r="IX176" s="205"/>
      <c r="IY176" s="205"/>
      <c r="IZ176" s="205">
        <f>SUM(IS176:IY176)</f>
        <v>0</v>
      </c>
      <c r="JA176" s="120"/>
      <c r="JB176" s="120"/>
      <c r="JC176" s="120"/>
      <c r="JD176" s="120"/>
      <c r="JE176" s="120"/>
      <c r="JF176" s="205"/>
      <c r="JG176" s="205"/>
      <c r="JH176" s="205">
        <f>SUM(JA176:JG176)</f>
        <v>0</v>
      </c>
      <c r="JI176" s="120"/>
      <c r="JJ176" s="120"/>
      <c r="JK176" s="120"/>
      <c r="JL176" s="120"/>
      <c r="JM176" s="120"/>
      <c r="JN176" s="205"/>
      <c r="JO176" s="205"/>
      <c r="JP176" s="205">
        <f>SUM(JI176:JO176)</f>
        <v>0</v>
      </c>
      <c r="JQ176" s="120"/>
      <c r="JR176" s="120"/>
      <c r="JS176" s="120"/>
      <c r="JT176" s="120"/>
      <c r="JU176" s="120"/>
      <c r="JV176" s="205"/>
      <c r="JW176" s="205"/>
      <c r="JX176" s="205">
        <f>SUM(JQ176:JW176)</f>
        <v>0</v>
      </c>
      <c r="JY176" s="205">
        <f>SUM(JX176,JP176,JH176,IZ176,IN176:IP176)</f>
        <v>0</v>
      </c>
      <c r="JZ176" s="120"/>
      <c r="KA176" s="120"/>
      <c r="KB176" s="120"/>
      <c r="KC176" s="120"/>
      <c r="KD176" s="217">
        <v>100</v>
      </c>
      <c r="KE176" s="205"/>
      <c r="KF176" s="205"/>
      <c r="KG176" s="205">
        <f>SUM(JZ176:KF176)</f>
        <v>100</v>
      </c>
      <c r="KH176" s="120"/>
      <c r="KI176" s="120"/>
      <c r="KJ176" s="120"/>
      <c r="KK176" s="120"/>
      <c r="KL176" s="120"/>
      <c r="KM176" s="205"/>
      <c r="KN176" s="205"/>
      <c r="KO176" s="205">
        <f>SUM(KH176:KN176)</f>
        <v>0</v>
      </c>
      <c r="KP176" s="120"/>
      <c r="KQ176" s="120"/>
      <c r="KR176" s="120"/>
      <c r="KS176" s="120"/>
      <c r="KT176" s="120"/>
      <c r="KU176" s="205"/>
      <c r="KV176" s="205"/>
      <c r="KW176" s="205">
        <f>SUM(KP176:KV176)</f>
        <v>0</v>
      </c>
      <c r="KX176" s="120"/>
      <c r="KY176" s="120"/>
      <c r="KZ176" s="120"/>
      <c r="LA176" s="120"/>
      <c r="LB176" s="120"/>
      <c r="LC176" s="205"/>
      <c r="LD176" s="205"/>
      <c r="LE176" s="205">
        <f>SUM(KX176:LD176)</f>
        <v>0</v>
      </c>
      <c r="LF176" s="205"/>
      <c r="LG176" s="120"/>
      <c r="LH176" s="120"/>
      <c r="LI176" s="120"/>
      <c r="LJ176" s="120"/>
      <c r="LK176" s="205"/>
      <c r="LL176" s="205"/>
      <c r="LM176" s="205">
        <f>SUM(LF176:LL176)</f>
        <v>0</v>
      </c>
      <c r="LN176" s="205">
        <f>SUM(LF176:LG176,LE176,KW176,KO176,KG176)</f>
        <v>100</v>
      </c>
      <c r="LO176" s="205"/>
      <c r="LP176" s="120"/>
      <c r="LQ176" s="120"/>
      <c r="LR176" s="120"/>
      <c r="LS176" s="205"/>
      <c r="LT176" s="205"/>
      <c r="LU176" s="205"/>
      <c r="LV176" s="205">
        <f>SUM(LO176:LU176)</f>
        <v>0</v>
      </c>
      <c r="LW176" s="120"/>
      <c r="LX176" s="120"/>
      <c r="LY176" s="120"/>
      <c r="LZ176" s="120"/>
      <c r="MA176" s="120"/>
      <c r="MB176" s="205"/>
      <c r="MC176" s="205"/>
      <c r="MD176" s="205">
        <f>SUM(LW176:MC176)</f>
        <v>0</v>
      </c>
      <c r="ME176" s="120"/>
      <c r="MF176" s="120"/>
      <c r="MG176" s="120"/>
      <c r="MH176" s="120"/>
      <c r="MI176" s="205"/>
      <c r="MJ176" s="205"/>
      <c r="MK176" s="205"/>
      <c r="ML176" s="205">
        <f>SUM(ME176:MK176)</f>
        <v>0</v>
      </c>
      <c r="MM176" s="120"/>
      <c r="MN176" s="120"/>
      <c r="MO176" s="120"/>
      <c r="MP176" s="120"/>
      <c r="MQ176" s="120"/>
      <c r="MR176" s="205"/>
      <c r="MS176" s="205"/>
      <c r="MT176" s="205">
        <f>SUM(MM176:MS176)</f>
        <v>0</v>
      </c>
      <c r="MU176" s="205">
        <f>SUM(LH176:LL176,LV176,MD176,ML176,MM176:MQ176)</f>
        <v>0</v>
      </c>
      <c r="MV176" s="120"/>
      <c r="MW176" s="124">
        <v>100</v>
      </c>
      <c r="MX176" s="120"/>
      <c r="MY176" s="120"/>
      <c r="MZ176" s="120"/>
      <c r="NA176" s="205"/>
      <c r="NB176" s="205"/>
      <c r="NC176" s="205">
        <f>SUM(MV176:NB176)</f>
        <v>100</v>
      </c>
      <c r="ND176" s="120"/>
      <c r="NE176" s="120"/>
      <c r="NF176" s="120"/>
      <c r="NG176" s="120"/>
      <c r="NH176" s="120"/>
      <c r="NI176" s="205"/>
      <c r="NJ176" s="205"/>
      <c r="NK176" s="205">
        <f>SUM(ND176:NJ176)</f>
        <v>0</v>
      </c>
      <c r="NL176" s="120"/>
      <c r="NM176" s="120"/>
      <c r="NN176" s="120"/>
      <c r="NO176" s="120"/>
      <c r="NP176" s="120"/>
      <c r="NQ176" s="205"/>
      <c r="NR176" s="205"/>
      <c r="NS176" s="205">
        <f>SUM(NL176:NR176)</f>
        <v>0</v>
      </c>
      <c r="NT176" s="120"/>
      <c r="NU176" s="120"/>
      <c r="NV176" s="120"/>
      <c r="NW176" s="120"/>
      <c r="NX176" s="120"/>
      <c r="NY176" s="205"/>
      <c r="NZ176" s="205"/>
      <c r="OA176" s="205">
        <f>SUM(NT176:NZ176)</f>
        <v>0</v>
      </c>
      <c r="OB176" s="205">
        <f>SUM(MR176:MS176,NC176,NK176,NS176,OA176)</f>
        <v>100</v>
      </c>
      <c r="OC176" s="120"/>
      <c r="OD176" s="120"/>
      <c r="OE176" s="120"/>
      <c r="OF176" s="120"/>
      <c r="OG176" s="120"/>
      <c r="OH176" s="205"/>
      <c r="OI176" s="205"/>
      <c r="OJ176" s="205">
        <f>SUM(OC176:OI176)</f>
        <v>0</v>
      </c>
      <c r="OK176" s="120"/>
      <c r="OL176" s="120"/>
      <c r="OM176" s="120"/>
      <c r="ON176" s="120"/>
      <c r="OO176" s="120"/>
      <c r="OP176" s="205"/>
      <c r="OQ176" s="205"/>
      <c r="OR176" s="205">
        <f>SUM(OK176:OQ176)</f>
        <v>0</v>
      </c>
      <c r="OS176" s="120"/>
      <c r="OT176" s="120"/>
      <c r="OU176" s="120"/>
      <c r="OV176" s="120"/>
      <c r="OW176" s="120"/>
      <c r="OX176" s="205"/>
      <c r="OY176" s="205"/>
      <c r="OZ176" s="205">
        <f>SUM(OS176:OY176)</f>
        <v>0</v>
      </c>
      <c r="PA176" s="120"/>
      <c r="PB176" s="120"/>
      <c r="PC176" s="120"/>
      <c r="PD176" s="205"/>
      <c r="PE176" s="217"/>
      <c r="PF176" s="205"/>
      <c r="PG176" s="205"/>
      <c r="PH176" s="205">
        <f>SUM(PA176:PG176)</f>
        <v>0</v>
      </c>
      <c r="PI176" s="120"/>
      <c r="PJ176" s="120"/>
      <c r="PK176" s="120"/>
      <c r="PL176" s="205"/>
      <c r="PM176" s="217"/>
      <c r="PN176" s="205"/>
      <c r="PO176" s="205"/>
      <c r="PP176" s="205">
        <f>SUM(PI176:PO176)</f>
        <v>0</v>
      </c>
      <c r="PQ176" s="205">
        <f>SUM(OJ176,OR176,OZ176,PH176,PI176:PK176)</f>
        <v>0</v>
      </c>
      <c r="PR176" s="207"/>
      <c r="PS176" s="207"/>
      <c r="PT176" s="207"/>
      <c r="PU176" s="207"/>
      <c r="PV176" s="207"/>
      <c r="PW176" s="272"/>
      <c r="PX176" s="272"/>
      <c r="PY176" s="205">
        <f t="shared" si="1477"/>
        <v>0</v>
      </c>
      <c r="PZ176" s="207"/>
      <c r="QA176" s="195">
        <v>300</v>
      </c>
      <c r="QB176" s="207"/>
      <c r="QC176" s="207"/>
      <c r="QD176" s="207"/>
      <c r="QE176" s="272"/>
      <c r="QF176" s="272"/>
      <c r="QG176" s="205">
        <f t="shared" si="1478"/>
        <v>300</v>
      </c>
      <c r="QH176" s="207"/>
      <c r="QI176" s="207"/>
      <c r="QJ176" s="294"/>
      <c r="QK176" s="207"/>
      <c r="QL176" s="207"/>
      <c r="QM176" s="272"/>
      <c r="QN176" s="272"/>
      <c r="QO176" s="205">
        <f t="shared" si="1479"/>
        <v>0</v>
      </c>
      <c r="QP176" s="207"/>
      <c r="QQ176" s="207"/>
      <c r="QR176" s="207"/>
      <c r="QS176" s="207"/>
      <c r="QT176" s="207"/>
      <c r="QU176" s="272"/>
      <c r="QV176" s="272"/>
      <c r="QW176" s="205">
        <f t="shared" si="1480"/>
        <v>0</v>
      </c>
      <c r="QX176" s="205">
        <f t="shared" si="1481"/>
        <v>300</v>
      </c>
      <c r="QY176" s="207"/>
      <c r="QZ176" s="207"/>
      <c r="RA176" s="207"/>
      <c r="RB176" s="207"/>
      <c r="RC176" s="207"/>
      <c r="RD176" s="272"/>
      <c r="RE176" s="272"/>
      <c r="RF176" s="205">
        <f t="shared" si="1482"/>
        <v>0</v>
      </c>
      <c r="RG176" s="207"/>
      <c r="RH176" s="207"/>
      <c r="RI176" s="207"/>
      <c r="RJ176" s="207"/>
      <c r="RK176" s="207"/>
      <c r="RL176" s="272"/>
      <c r="RM176" s="272"/>
      <c r="RN176" s="205">
        <f t="shared" si="1483"/>
        <v>0</v>
      </c>
      <c r="RO176" s="272"/>
      <c r="RP176" s="272"/>
      <c r="RQ176" s="272"/>
      <c r="RR176" s="272"/>
      <c r="RS176" s="272"/>
      <c r="RT176" s="272"/>
      <c r="RU176" s="272"/>
      <c r="RV176" s="205">
        <f t="shared" si="1484"/>
        <v>0</v>
      </c>
      <c r="RW176" s="207"/>
      <c r="RX176" s="207"/>
      <c r="RY176" s="207"/>
      <c r="RZ176" s="207"/>
      <c r="SA176" s="272"/>
      <c r="SB176" s="272"/>
      <c r="SC176" s="272"/>
      <c r="SD176" s="205">
        <f t="shared" si="1485"/>
        <v>0</v>
      </c>
      <c r="SE176" s="205">
        <f t="shared" si="1486"/>
        <v>0</v>
      </c>
      <c r="SF176" s="207"/>
      <c r="SG176" s="207"/>
      <c r="SH176" s="207"/>
      <c r="SI176" s="207"/>
      <c r="SJ176" s="207"/>
      <c r="SK176" s="272"/>
      <c r="SL176" s="272"/>
      <c r="SM176" s="205">
        <f t="shared" si="1487"/>
        <v>0</v>
      </c>
      <c r="SN176" s="120"/>
      <c r="SO176" s="195">
        <v>300</v>
      </c>
      <c r="SP176" s="207"/>
      <c r="SQ176" s="207"/>
      <c r="SR176" s="207"/>
      <c r="SS176" s="272"/>
      <c r="ST176" s="272"/>
      <c r="SU176" s="205">
        <f t="shared" si="1488"/>
        <v>300</v>
      </c>
      <c r="SV176" s="207"/>
      <c r="SW176" s="207"/>
      <c r="SX176" s="207"/>
      <c r="SY176" s="207"/>
      <c r="SZ176" s="207"/>
      <c r="TA176" s="272"/>
      <c r="TB176" s="272"/>
      <c r="TC176" s="205">
        <f t="shared" si="1489"/>
        <v>0</v>
      </c>
      <c r="TD176" s="207"/>
      <c r="TE176" s="207"/>
      <c r="TF176" s="207"/>
      <c r="TG176" s="207"/>
      <c r="TH176" s="207"/>
      <c r="TI176" s="272"/>
      <c r="TJ176" s="272"/>
      <c r="TK176" s="205">
        <f t="shared" si="1490"/>
        <v>0</v>
      </c>
      <c r="TL176" s="207"/>
      <c r="TM176" s="207"/>
      <c r="TN176" s="207"/>
      <c r="TO176" s="207"/>
      <c r="TP176" s="272"/>
      <c r="TQ176" s="272"/>
      <c r="TR176" s="272"/>
      <c r="TS176" s="205">
        <f t="shared" si="1491"/>
        <v>0</v>
      </c>
      <c r="TT176" s="205">
        <f t="shared" si="1492"/>
        <v>300</v>
      </c>
      <c r="TU176" s="272"/>
      <c r="TV176" s="207"/>
      <c r="TW176" s="207"/>
      <c r="TX176" s="207"/>
      <c r="TY176" s="207"/>
      <c r="TZ176" s="272"/>
      <c r="UA176" s="272"/>
      <c r="UB176" s="205">
        <f t="shared" si="1493"/>
        <v>0</v>
      </c>
      <c r="UC176" s="207"/>
      <c r="UD176" s="207"/>
      <c r="UE176" s="207"/>
      <c r="UF176" s="207"/>
      <c r="UG176" s="207"/>
      <c r="UH176" s="272"/>
      <c r="UI176" s="272"/>
      <c r="UJ176" s="205">
        <f t="shared" si="1494"/>
        <v>0</v>
      </c>
      <c r="UK176" s="207"/>
      <c r="UL176" s="207"/>
      <c r="UM176" s="207"/>
      <c r="UN176" s="207"/>
      <c r="UO176" s="207"/>
      <c r="UP176" s="272"/>
      <c r="UQ176" s="272"/>
      <c r="UR176" s="205">
        <f t="shared" si="1495"/>
        <v>0</v>
      </c>
      <c r="US176" s="207"/>
      <c r="UT176" s="207"/>
      <c r="UU176" s="207"/>
      <c r="UV176" s="207"/>
      <c r="UW176" s="272"/>
      <c r="UX176" s="272"/>
      <c r="UY176" s="272"/>
      <c r="UZ176" s="205">
        <f t="shared" si="1496"/>
        <v>0</v>
      </c>
      <c r="VA176" s="205">
        <f t="shared" si="1497"/>
        <v>0</v>
      </c>
      <c r="VB176" s="207"/>
      <c r="VC176" s="207"/>
      <c r="VD176" s="207"/>
      <c r="VE176" s="207"/>
      <c r="VF176" s="207"/>
      <c r="VG176" s="272"/>
      <c r="VH176" s="272"/>
      <c r="VI176" s="205">
        <f t="shared" si="1498"/>
        <v>0</v>
      </c>
      <c r="VJ176" s="207"/>
      <c r="VK176" s="207"/>
      <c r="VL176" s="207"/>
      <c r="VM176" s="207"/>
      <c r="VN176" s="207"/>
      <c r="VO176" s="272"/>
      <c r="VP176" s="272"/>
      <c r="VQ176" s="205">
        <f t="shared" si="1499"/>
        <v>0</v>
      </c>
      <c r="VR176" s="195">
        <v>300</v>
      </c>
      <c r="VS176" s="207"/>
      <c r="VT176" s="207"/>
      <c r="VU176" s="207"/>
      <c r="VV176" s="207"/>
      <c r="VW176" s="272"/>
      <c r="VX176" s="272"/>
      <c r="VY176" s="205">
        <f t="shared" si="1500"/>
        <v>300</v>
      </c>
      <c r="VZ176" s="207"/>
      <c r="WA176" s="207"/>
      <c r="WB176" s="207"/>
      <c r="WC176" s="207"/>
      <c r="WD176" s="207"/>
      <c r="WE176" s="272"/>
      <c r="WF176" s="272"/>
      <c r="WG176" s="205">
        <f>SUM(VZ176:WF176)</f>
        <v>0</v>
      </c>
      <c r="WH176" s="205">
        <f t="shared" si="1502"/>
        <v>300</v>
      </c>
      <c r="WI176" s="207"/>
      <c r="WJ176" s="207"/>
      <c r="WK176" s="207"/>
      <c r="WL176" s="207"/>
      <c r="WM176" s="207"/>
      <c r="WN176" s="272"/>
      <c r="WO176" s="272"/>
      <c r="WP176" s="205">
        <f t="shared" si="1503"/>
        <v>0</v>
      </c>
      <c r="WQ176" s="207"/>
      <c r="WR176" s="207"/>
      <c r="WS176" s="207"/>
      <c r="WT176" s="207"/>
      <c r="WU176" s="207"/>
      <c r="WV176" s="272"/>
      <c r="WW176" s="272"/>
      <c r="WX176" s="205">
        <f t="shared" si="1504"/>
        <v>0</v>
      </c>
      <c r="WY176" s="207"/>
      <c r="WZ176" s="207"/>
      <c r="XA176" s="207"/>
      <c r="XB176" s="207"/>
      <c r="XC176" s="272"/>
      <c r="XD176" s="272"/>
      <c r="XE176" s="272"/>
      <c r="XF176" s="205">
        <f t="shared" si="1505"/>
        <v>0</v>
      </c>
      <c r="XG176" s="207"/>
      <c r="XH176" s="207"/>
      <c r="XI176" s="207"/>
      <c r="XJ176" s="207"/>
      <c r="XK176" s="207"/>
      <c r="XL176" s="272"/>
      <c r="XM176" s="272"/>
      <c r="XN176" s="205">
        <f t="shared" si="1506"/>
        <v>0</v>
      </c>
      <c r="XO176" s="207"/>
      <c r="XP176" s="207"/>
      <c r="XQ176" s="207"/>
      <c r="XR176" s="207"/>
      <c r="XS176" s="207"/>
      <c r="XT176" s="272"/>
      <c r="XU176" s="272"/>
      <c r="XV176" s="205">
        <f t="shared" si="1507"/>
        <v>0</v>
      </c>
      <c r="XW176" s="205">
        <f t="shared" si="1508"/>
        <v>0</v>
      </c>
      <c r="XX176" s="207"/>
      <c r="XY176" s="207"/>
      <c r="XZ176" s="207"/>
      <c r="YA176" s="207"/>
      <c r="YB176" s="207"/>
      <c r="YC176" s="272"/>
      <c r="YD176" s="272"/>
      <c r="YE176" s="205">
        <f t="shared" si="1509"/>
        <v>0</v>
      </c>
      <c r="YF176" s="207"/>
      <c r="YG176" s="207"/>
      <c r="YH176" s="207"/>
      <c r="YI176" s="207"/>
      <c r="YJ176" s="207"/>
      <c r="YK176" s="272"/>
      <c r="YL176" s="272"/>
      <c r="YM176" s="205">
        <f t="shared" si="1510"/>
        <v>0</v>
      </c>
      <c r="YN176" s="207"/>
      <c r="YO176" s="207"/>
      <c r="YP176" s="207"/>
      <c r="YQ176" s="207"/>
      <c r="YR176" s="207"/>
      <c r="YS176" s="272"/>
      <c r="YT176" s="272"/>
      <c r="YU176" s="205">
        <f t="shared" si="1511"/>
        <v>0</v>
      </c>
      <c r="YV176" s="207"/>
      <c r="YW176" s="207"/>
      <c r="YX176" s="207"/>
      <c r="YY176" s="207"/>
      <c r="YZ176" s="207"/>
      <c r="ZA176" s="272"/>
      <c r="ZB176" s="272"/>
      <c r="ZC176" s="205">
        <f t="shared" si="1512"/>
        <v>0</v>
      </c>
      <c r="ZD176" s="205">
        <f t="shared" si="1513"/>
        <v>0</v>
      </c>
      <c r="ZE176" s="207"/>
      <c r="ZF176" s="207"/>
      <c r="ZG176" s="207"/>
      <c r="ZH176" s="207"/>
      <c r="ZI176" s="207"/>
      <c r="ZJ176" s="272"/>
      <c r="ZK176" s="272"/>
      <c r="ZL176" s="205">
        <f t="shared" si="1514"/>
        <v>0</v>
      </c>
      <c r="ZM176" s="207"/>
      <c r="ZN176" s="207"/>
      <c r="ZO176" s="207"/>
      <c r="ZP176" s="207"/>
      <c r="ZQ176" s="207"/>
      <c r="ZR176" s="272"/>
      <c r="ZS176" s="272"/>
      <c r="ZT176" s="205">
        <f t="shared" si="1515"/>
        <v>0</v>
      </c>
      <c r="ZU176" s="207"/>
      <c r="ZV176" s="207"/>
      <c r="ZW176" s="207"/>
      <c r="ZX176" s="207"/>
      <c r="ZY176" s="207"/>
      <c r="ZZ176" s="272"/>
      <c r="AAA176" s="272"/>
      <c r="AAB176" s="205">
        <f t="shared" si="1516"/>
        <v>0</v>
      </c>
      <c r="AAC176" s="207"/>
      <c r="AAD176" s="207"/>
      <c r="AAE176" s="207"/>
      <c r="AAF176" s="207"/>
      <c r="AAG176" s="207"/>
      <c r="AAH176" s="272"/>
      <c r="AAI176" s="272"/>
      <c r="AAJ176" s="205">
        <f t="shared" si="1517"/>
        <v>0</v>
      </c>
      <c r="AAK176" s="207"/>
      <c r="AAL176" s="207"/>
      <c r="AAM176" s="207"/>
      <c r="AAN176" s="207"/>
      <c r="AAO176" s="207"/>
      <c r="AAP176" s="272"/>
      <c r="AAQ176" s="272"/>
      <c r="AAR176" s="205">
        <f t="shared" si="1518"/>
        <v>0</v>
      </c>
      <c r="AAS176" s="205">
        <f t="shared" si="1519"/>
        <v>0</v>
      </c>
    </row>
    <row r="177" spans="1:721" ht="69.95" customHeight="1">
      <c r="B177" s="180" t="s">
        <v>613</v>
      </c>
      <c r="C177" s="344" t="s">
        <v>888</v>
      </c>
      <c r="D177" s="212" t="s">
        <v>610</v>
      </c>
      <c r="E177" s="130" t="s">
        <v>4</v>
      </c>
      <c r="F177" s="120"/>
      <c r="G177" s="120"/>
      <c r="H177" s="120"/>
      <c r="I177" s="120"/>
      <c r="J177" s="120"/>
      <c r="K177" s="209"/>
      <c r="L177" s="205"/>
      <c r="M177" s="205">
        <f t="shared" si="1520"/>
        <v>0</v>
      </c>
      <c r="N177" s="120"/>
      <c r="O177" s="120"/>
      <c r="P177" s="120"/>
      <c r="Q177" s="120"/>
      <c r="R177" s="120"/>
      <c r="S177" s="209"/>
      <c r="T177" s="205"/>
      <c r="U177" s="205">
        <f t="shared" si="1521"/>
        <v>0</v>
      </c>
      <c r="V177" s="120"/>
      <c r="W177" s="120"/>
      <c r="X177" s="120"/>
      <c r="Y177" s="120"/>
      <c r="Z177" s="120"/>
      <c r="AA177" s="209"/>
      <c r="AB177" s="205"/>
      <c r="AC177" s="205">
        <f t="shared" si="1522"/>
        <v>0</v>
      </c>
      <c r="AD177" s="205"/>
      <c r="AE177" s="205"/>
      <c r="AF177" s="205"/>
      <c r="AG177" s="205"/>
      <c r="AH177" s="205"/>
      <c r="AI177" s="209"/>
      <c r="AJ177" s="205"/>
      <c r="AK177" s="205">
        <f t="shared" si="1523"/>
        <v>0</v>
      </c>
      <c r="AL177" s="205" t="e">
        <f>SUM(#REF!,M177,U177,AC177,AD177:AH177)</f>
        <v>#REF!</v>
      </c>
      <c r="AM177" s="120"/>
      <c r="AN177" s="120"/>
      <c r="AO177" s="120"/>
      <c r="AP177" s="120"/>
      <c r="AQ177" s="120"/>
      <c r="AR177" s="209"/>
      <c r="AS177" s="205"/>
      <c r="AT177" s="205">
        <f t="shared" si="1524"/>
        <v>0</v>
      </c>
      <c r="AU177" s="120"/>
      <c r="AV177" s="120"/>
      <c r="AW177" s="120"/>
      <c r="AX177" s="120"/>
      <c r="AY177" s="120"/>
      <c r="AZ177" s="209"/>
      <c r="BA177" s="205"/>
      <c r="BB177" s="205">
        <f t="shared" si="1525"/>
        <v>0</v>
      </c>
      <c r="BC177" s="120"/>
      <c r="BD177" s="120"/>
      <c r="BE177" s="120"/>
      <c r="BF177" s="120"/>
      <c r="BG177" s="120"/>
      <c r="BH177" s="209"/>
      <c r="BI177" s="205"/>
      <c r="BJ177" s="205">
        <f t="shared" si="1526"/>
        <v>0</v>
      </c>
      <c r="BK177" s="120"/>
      <c r="BL177" s="120"/>
      <c r="BM177" s="120"/>
      <c r="BN177" s="120"/>
      <c r="BO177" s="205"/>
      <c r="BP177" s="209"/>
      <c r="BQ177" s="205"/>
      <c r="BR177" s="205">
        <f t="shared" si="1527"/>
        <v>0</v>
      </c>
      <c r="BS177" s="205">
        <f t="shared" si="1427"/>
        <v>0</v>
      </c>
      <c r="BT177" s="120"/>
      <c r="BU177" s="120"/>
      <c r="BV177" s="120"/>
      <c r="BW177" s="120"/>
      <c r="BX177" s="120"/>
      <c r="BY177" s="209"/>
      <c r="BZ177" s="205"/>
      <c r="CA177" s="205">
        <f t="shared" si="1528"/>
        <v>0</v>
      </c>
      <c r="CB177" s="120"/>
      <c r="CC177" s="120"/>
      <c r="CD177" s="120"/>
      <c r="CE177" s="120"/>
      <c r="CF177" s="120"/>
      <c r="CG177" s="209"/>
      <c r="CH177" s="205"/>
      <c r="CI177" s="205">
        <f t="shared" si="1529"/>
        <v>0</v>
      </c>
      <c r="CJ177" s="120"/>
      <c r="CK177" s="120"/>
      <c r="CL177" s="120"/>
      <c r="CM177" s="120"/>
      <c r="CN177" s="120"/>
      <c r="CO177" s="209"/>
      <c r="CP177" s="205"/>
      <c r="CQ177" s="205">
        <f t="shared" si="1530"/>
        <v>0</v>
      </c>
      <c r="CR177" s="120"/>
      <c r="CS177" s="120"/>
      <c r="CT177" s="120"/>
      <c r="CU177" s="120"/>
      <c r="CV177" s="120"/>
      <c r="CW177" s="209"/>
      <c r="CX177" s="205"/>
      <c r="CY177" s="205">
        <f t="shared" si="1531"/>
        <v>0</v>
      </c>
      <c r="CZ177" s="120"/>
      <c r="DA177" s="120"/>
      <c r="DB177" s="120"/>
      <c r="DC177" s="205"/>
      <c r="DD177" s="205"/>
      <c r="DE177" s="209"/>
      <c r="DF177" s="205"/>
      <c r="DG177" s="205">
        <f t="shared" si="1532"/>
        <v>0</v>
      </c>
      <c r="DH177" s="205">
        <f t="shared" si="1428"/>
        <v>0</v>
      </c>
      <c r="DI177" s="120"/>
      <c r="DJ177" s="120"/>
      <c r="DK177" s="120"/>
      <c r="DL177" s="120"/>
      <c r="DM177" s="120"/>
      <c r="DN177" s="209"/>
      <c r="DO177" s="205"/>
      <c r="DP177" s="205">
        <f t="shared" si="1432"/>
        <v>0</v>
      </c>
      <c r="DQ177" s="120"/>
      <c r="DR177" s="120"/>
      <c r="DS177" s="120"/>
      <c r="DT177" s="120"/>
      <c r="DU177" s="120"/>
      <c r="DV177" s="209"/>
      <c r="DW177" s="205"/>
      <c r="DX177" s="205">
        <f t="shared" si="1433"/>
        <v>0</v>
      </c>
      <c r="DY177" s="120"/>
      <c r="DZ177" s="120"/>
      <c r="EA177" s="120"/>
      <c r="EB177" s="120"/>
      <c r="EC177" s="120"/>
      <c r="ED177" s="209"/>
      <c r="EE177" s="205"/>
      <c r="EF177" s="205">
        <f t="shared" si="1434"/>
        <v>0</v>
      </c>
      <c r="EG177" s="120"/>
      <c r="EH177" s="120"/>
      <c r="EI177" s="120"/>
      <c r="EJ177" s="205"/>
      <c r="EK177" s="205"/>
      <c r="EL177" s="209"/>
      <c r="EM177" s="205"/>
      <c r="EN177" s="205">
        <f t="shared" si="1435"/>
        <v>0</v>
      </c>
      <c r="EO177" s="205">
        <f t="shared" si="1429"/>
        <v>0</v>
      </c>
      <c r="EP177" s="120"/>
      <c r="EQ177" s="120"/>
      <c r="ER177" s="120"/>
      <c r="ES177" s="120"/>
      <c r="ET177" s="120"/>
      <c r="EU177" s="209"/>
      <c r="EV177" s="205"/>
      <c r="EW177" s="205">
        <f t="shared" si="1436"/>
        <v>0</v>
      </c>
      <c r="EX177" s="120"/>
      <c r="EY177" s="120"/>
      <c r="EZ177" s="120"/>
      <c r="FA177" s="120"/>
      <c r="FB177" s="120"/>
      <c r="FC177" s="209"/>
      <c r="FD177" s="205"/>
      <c r="FE177" s="205">
        <f t="shared" si="1437"/>
        <v>0</v>
      </c>
      <c r="FF177" s="120"/>
      <c r="FG177" s="120"/>
      <c r="FH177" s="120"/>
      <c r="FI177" s="120"/>
      <c r="FJ177" s="120"/>
      <c r="FK177" s="209"/>
      <c r="FL177" s="205"/>
      <c r="FM177" s="205">
        <f t="shared" si="1438"/>
        <v>0</v>
      </c>
      <c r="FN177" s="120"/>
      <c r="FO177" s="120"/>
      <c r="FP177" s="120"/>
      <c r="FQ177" s="120"/>
      <c r="FR177" s="205"/>
      <c r="FS177" s="209"/>
      <c r="FT177" s="205"/>
      <c r="FU177" s="205">
        <f t="shared" si="1439"/>
        <v>0</v>
      </c>
      <c r="FV177" s="205">
        <f t="shared" si="1430"/>
        <v>0</v>
      </c>
      <c r="FW177" s="120"/>
      <c r="FX177" s="120"/>
      <c r="FY177" s="120"/>
      <c r="FZ177" s="120"/>
      <c r="GA177" s="120"/>
      <c r="GB177" s="209"/>
      <c r="GC177" s="205"/>
      <c r="GD177" s="205">
        <f t="shared" si="1440"/>
        <v>0</v>
      </c>
      <c r="GE177" s="120"/>
      <c r="GF177" s="120"/>
      <c r="GG177" s="120"/>
      <c r="GH177" s="120"/>
      <c r="GI177" s="120"/>
      <c r="GJ177" s="209"/>
      <c r="GK177" s="205"/>
      <c r="GL177" s="205">
        <f t="shared" si="1441"/>
        <v>0</v>
      </c>
      <c r="GM177" s="120"/>
      <c r="GN177" s="120"/>
      <c r="GO177" s="120"/>
      <c r="GP177" s="120"/>
      <c r="GQ177" s="120"/>
      <c r="GR177" s="209"/>
      <c r="GS177" s="205"/>
      <c r="GT177" s="205">
        <f t="shared" si="1442"/>
        <v>0</v>
      </c>
      <c r="GU177" s="120"/>
      <c r="GV177" s="120"/>
      <c r="GW177" s="120"/>
      <c r="GX177" s="120"/>
      <c r="GY177" s="120"/>
      <c r="GZ177" s="209"/>
      <c r="HA177" s="205"/>
      <c r="HB177" s="205">
        <f t="shared" si="1443"/>
        <v>0</v>
      </c>
      <c r="HC177" s="120"/>
      <c r="HD177" s="120"/>
      <c r="HE177" s="120"/>
      <c r="HF177" s="120"/>
      <c r="HG177" s="120"/>
      <c r="HH177" s="209"/>
      <c r="HI177" s="205"/>
      <c r="HJ177" s="205">
        <f t="shared" si="1444"/>
        <v>0</v>
      </c>
      <c r="HK177" s="205">
        <f t="shared" si="1431"/>
        <v>0</v>
      </c>
      <c r="HL177" s="124"/>
      <c r="HM177" s="120"/>
      <c r="HN177" s="120"/>
      <c r="HO177" s="120"/>
      <c r="HP177" s="120"/>
      <c r="HQ177" s="205"/>
      <c r="HR177" s="205"/>
      <c r="HS177" s="205">
        <f t="shared" si="1445"/>
        <v>0</v>
      </c>
      <c r="HT177" s="120"/>
      <c r="HU177" s="120"/>
      <c r="HV177" s="120"/>
      <c r="HW177" s="120"/>
      <c r="HX177" s="120"/>
      <c r="HY177" s="205"/>
      <c r="HZ177" s="205"/>
      <c r="IA177" s="205">
        <f t="shared" si="1446"/>
        <v>0</v>
      </c>
      <c r="IB177" s="120"/>
      <c r="IC177" s="120"/>
      <c r="ID177" s="120"/>
      <c r="IE177" s="120"/>
      <c r="IF177" s="120"/>
      <c r="IG177" s="205"/>
      <c r="IH177" s="205"/>
      <c r="II177" s="205">
        <f t="shared" si="1447"/>
        <v>0</v>
      </c>
      <c r="IJ177" s="120"/>
      <c r="IK177" s="120"/>
      <c r="IL177" s="120"/>
      <c r="IM177" s="120"/>
      <c r="IN177" s="120"/>
      <c r="IO177" s="205"/>
      <c r="IP177" s="205"/>
      <c r="IQ177" s="205">
        <f t="shared" si="1448"/>
        <v>0</v>
      </c>
      <c r="IR177" s="205">
        <f t="shared" si="1449"/>
        <v>0</v>
      </c>
      <c r="IS177" s="120"/>
      <c r="IT177" s="120"/>
      <c r="IU177" s="120"/>
      <c r="IV177" s="120" t="s">
        <v>216</v>
      </c>
      <c r="IW177" s="120"/>
      <c r="IX177" s="205"/>
      <c r="IY177" s="205"/>
      <c r="IZ177" s="205">
        <f t="shared" si="1450"/>
        <v>0</v>
      </c>
      <c r="JA177" s="120"/>
      <c r="JB177" s="120"/>
      <c r="JC177" s="120"/>
      <c r="JD177" s="120"/>
      <c r="JE177" s="120"/>
      <c r="JF177" s="205"/>
      <c r="JG177" s="205"/>
      <c r="JH177" s="205">
        <f t="shared" si="1451"/>
        <v>0</v>
      </c>
      <c r="JI177" s="120"/>
      <c r="JJ177" s="120"/>
      <c r="JK177" s="120"/>
      <c r="JL177" s="120"/>
      <c r="JM177" s="120"/>
      <c r="JN177" s="205"/>
      <c r="JO177" s="205"/>
      <c r="JP177" s="205">
        <f t="shared" si="1452"/>
        <v>0</v>
      </c>
      <c r="JQ177" s="120"/>
      <c r="JR177" s="120"/>
      <c r="JS177" s="120"/>
      <c r="JT177" s="120"/>
      <c r="JU177" s="120"/>
      <c r="JV177" s="205"/>
      <c r="JW177" s="205"/>
      <c r="JX177" s="205">
        <f t="shared" si="1453"/>
        <v>0</v>
      </c>
      <c r="JY177" s="205">
        <f t="shared" si="1454"/>
        <v>0</v>
      </c>
      <c r="JZ177" s="120"/>
      <c r="KA177" s="120"/>
      <c r="KB177" s="120"/>
      <c r="KC177" s="120"/>
      <c r="KD177" s="120"/>
      <c r="KE177" s="205"/>
      <c r="KF177" s="205"/>
      <c r="KG177" s="205">
        <f t="shared" si="1455"/>
        <v>0</v>
      </c>
      <c r="KH177" s="120"/>
      <c r="KI177" s="120"/>
      <c r="KJ177" s="120"/>
      <c r="KK177" s="120"/>
      <c r="KL177" s="120"/>
      <c r="KM177" s="205"/>
      <c r="KN177" s="205"/>
      <c r="KO177" s="205">
        <f t="shared" si="1456"/>
        <v>0</v>
      </c>
      <c r="KP177" s="120"/>
      <c r="KQ177" s="120"/>
      <c r="KR177" s="120"/>
      <c r="KS177" s="120"/>
      <c r="KT177" s="120"/>
      <c r="KU177" s="205"/>
      <c r="KV177" s="205"/>
      <c r="KW177" s="205">
        <f t="shared" si="1457"/>
        <v>0</v>
      </c>
      <c r="KX177" s="120"/>
      <c r="KY177" s="120"/>
      <c r="KZ177" s="120"/>
      <c r="LA177" s="120"/>
      <c r="LB177" s="120"/>
      <c r="LC177" s="205"/>
      <c r="LD177" s="205"/>
      <c r="LE177" s="205">
        <f t="shared" si="1458"/>
        <v>0</v>
      </c>
      <c r="LF177" s="205"/>
      <c r="LG177" s="120"/>
      <c r="LH177" s="120"/>
      <c r="LI177" s="120"/>
      <c r="LJ177" s="120"/>
      <c r="LK177" s="205"/>
      <c r="LL177" s="205"/>
      <c r="LM177" s="205">
        <f t="shared" si="1459"/>
        <v>0</v>
      </c>
      <c r="LN177" s="205">
        <f t="shared" si="1460"/>
        <v>0</v>
      </c>
      <c r="LO177" s="205"/>
      <c r="LP177" s="120"/>
      <c r="LQ177" s="120"/>
      <c r="LR177" s="120"/>
      <c r="LS177" s="205"/>
      <c r="LT177" s="205"/>
      <c r="LU177" s="205"/>
      <c r="LV177" s="205">
        <f t="shared" si="1461"/>
        <v>0</v>
      </c>
      <c r="LW177" s="120"/>
      <c r="LX177" s="120"/>
      <c r="LY177" s="120"/>
      <c r="LZ177" s="120"/>
      <c r="MA177" s="120"/>
      <c r="MB177" s="205"/>
      <c r="MC177" s="205"/>
      <c r="MD177" s="205">
        <f t="shared" si="1462"/>
        <v>0</v>
      </c>
      <c r="ME177" s="120"/>
      <c r="MF177" s="120"/>
      <c r="MG177" s="120"/>
      <c r="MH177" s="120"/>
      <c r="MI177" s="205"/>
      <c r="MJ177" s="205"/>
      <c r="MK177" s="205"/>
      <c r="ML177" s="205">
        <f t="shared" si="1463"/>
        <v>0</v>
      </c>
      <c r="MM177" s="120"/>
      <c r="MN177" s="120"/>
      <c r="MO177" s="120"/>
      <c r="MP177" s="120"/>
      <c r="MQ177" s="120"/>
      <c r="MR177" s="205"/>
      <c r="MS177" s="205"/>
      <c r="MT177" s="205">
        <f t="shared" si="1464"/>
        <v>0</v>
      </c>
      <c r="MU177" s="205">
        <f t="shared" si="1465"/>
        <v>0</v>
      </c>
      <c r="MV177" s="120"/>
      <c r="MW177" s="120"/>
      <c r="MX177" s="120"/>
      <c r="MY177" s="120"/>
      <c r="MZ177" s="120"/>
      <c r="NA177" s="205"/>
      <c r="NB177" s="205"/>
      <c r="NC177" s="205">
        <f t="shared" si="1466"/>
        <v>0</v>
      </c>
      <c r="ND177" s="120"/>
      <c r="NE177" s="120"/>
      <c r="NF177" s="120"/>
      <c r="NG177" s="120"/>
      <c r="NH177" s="120"/>
      <c r="NI177" s="205"/>
      <c r="NJ177" s="205"/>
      <c r="NK177" s="205">
        <f t="shared" si="1467"/>
        <v>0</v>
      </c>
      <c r="NL177" s="120"/>
      <c r="NM177" s="120"/>
      <c r="NN177" s="120"/>
      <c r="NO177" s="120"/>
      <c r="NP177" s="120"/>
      <c r="NQ177" s="205"/>
      <c r="NR177" s="205"/>
      <c r="NS177" s="205">
        <f t="shared" si="1468"/>
        <v>0</v>
      </c>
      <c r="NT177" s="120"/>
      <c r="NU177" s="120"/>
      <c r="NV177" s="120"/>
      <c r="NW177" s="120"/>
      <c r="NX177" s="120"/>
      <c r="NY177" s="205"/>
      <c r="NZ177" s="205"/>
      <c r="OA177" s="205">
        <f t="shared" si="1469"/>
        <v>0</v>
      </c>
      <c r="OB177" s="205">
        <f t="shared" si="1470"/>
        <v>0</v>
      </c>
      <c r="OC177" s="120"/>
      <c r="OD177" s="120"/>
      <c r="OE177" s="120"/>
      <c r="OF177" s="120"/>
      <c r="OG177" s="120"/>
      <c r="OH177" s="205"/>
      <c r="OI177" s="205"/>
      <c r="OJ177" s="205">
        <f t="shared" si="1471"/>
        <v>0</v>
      </c>
      <c r="OK177" s="120"/>
      <c r="OL177" s="120"/>
      <c r="OM177" s="120"/>
      <c r="ON177" s="120"/>
      <c r="OO177" s="120"/>
      <c r="OP177" s="205"/>
      <c r="OQ177" s="205"/>
      <c r="OR177" s="205">
        <f t="shared" si="1472"/>
        <v>0</v>
      </c>
      <c r="OS177" s="120"/>
      <c r="OT177" s="120"/>
      <c r="OU177" s="120"/>
      <c r="OV177" s="120"/>
      <c r="OW177" s="120"/>
      <c r="OX177" s="205"/>
      <c r="OY177" s="205"/>
      <c r="OZ177" s="205">
        <f t="shared" si="1473"/>
        <v>0</v>
      </c>
      <c r="PA177" s="120"/>
      <c r="PB177" s="120"/>
      <c r="PC177" s="120"/>
      <c r="PD177" s="205"/>
      <c r="PE177" s="217"/>
      <c r="PF177" s="205"/>
      <c r="PG177" s="205"/>
      <c r="PH177" s="205">
        <f t="shared" si="1474"/>
        <v>0</v>
      </c>
      <c r="PI177" s="120"/>
      <c r="PJ177" s="120"/>
      <c r="PK177" s="120"/>
      <c r="PL177" s="205"/>
      <c r="PM177" s="217"/>
      <c r="PN177" s="205"/>
      <c r="PO177" s="205"/>
      <c r="PP177" s="205">
        <f t="shared" si="1475"/>
        <v>0</v>
      </c>
      <c r="PQ177" s="205">
        <f t="shared" si="1476"/>
        <v>0</v>
      </c>
      <c r="PR177" s="207"/>
      <c r="PS177" s="207"/>
      <c r="PT177" s="207"/>
      <c r="PU177" s="207"/>
      <c r="PV177" s="207"/>
      <c r="PW177" s="272"/>
      <c r="PX177" s="272"/>
      <c r="PY177" s="205">
        <f t="shared" si="1477"/>
        <v>0</v>
      </c>
      <c r="PZ177" s="207"/>
      <c r="QA177" s="207"/>
      <c r="QB177" s="207"/>
      <c r="QC177" s="207"/>
      <c r="QD177" s="207"/>
      <c r="QE177" s="272"/>
      <c r="QF177" s="272"/>
      <c r="QG177" s="205">
        <f t="shared" si="1478"/>
        <v>0</v>
      </c>
      <c r="QH177" s="207"/>
      <c r="QI177" s="207"/>
      <c r="QJ177" s="294"/>
      <c r="QK177" s="207"/>
      <c r="QL177" s="207"/>
      <c r="QM177" s="272"/>
      <c r="QN177" s="272"/>
      <c r="QO177" s="205">
        <f t="shared" si="1479"/>
        <v>0</v>
      </c>
      <c r="QP177" s="207"/>
      <c r="QQ177" s="207"/>
      <c r="QR177" s="207"/>
      <c r="QS177" s="207"/>
      <c r="QT177" s="207"/>
      <c r="QU177" s="272"/>
      <c r="QV177" s="272"/>
      <c r="QW177" s="205">
        <f t="shared" si="1480"/>
        <v>0</v>
      </c>
      <c r="QX177" s="205">
        <f t="shared" si="1481"/>
        <v>0</v>
      </c>
      <c r="QY177" s="207"/>
      <c r="QZ177" s="207"/>
      <c r="RA177" s="207"/>
      <c r="RB177" s="207"/>
      <c r="RC177" s="207"/>
      <c r="RD177" s="272"/>
      <c r="RE177" s="272"/>
      <c r="RF177" s="205">
        <f t="shared" si="1482"/>
        <v>0</v>
      </c>
      <c r="RG177" s="207"/>
      <c r="RH177" s="207"/>
      <c r="RI177" s="207"/>
      <c r="RJ177" s="207"/>
      <c r="RK177" s="207"/>
      <c r="RL177" s="272"/>
      <c r="RM177" s="272"/>
      <c r="RN177" s="205">
        <f t="shared" si="1483"/>
        <v>0</v>
      </c>
      <c r="RO177" s="272"/>
      <c r="RP177" s="272"/>
      <c r="RQ177" s="272"/>
      <c r="RR177" s="272"/>
      <c r="RS177" s="272"/>
      <c r="RT177" s="272"/>
      <c r="RU177" s="272"/>
      <c r="RV177" s="205">
        <f t="shared" si="1484"/>
        <v>0</v>
      </c>
      <c r="RW177" s="207"/>
      <c r="RX177" s="207"/>
      <c r="RY177" s="207"/>
      <c r="RZ177" s="207"/>
      <c r="SA177" s="272"/>
      <c r="SB177" s="272"/>
      <c r="SC177" s="272"/>
      <c r="SD177" s="205">
        <f t="shared" si="1485"/>
        <v>0</v>
      </c>
      <c r="SE177" s="205">
        <f t="shared" si="1486"/>
        <v>0</v>
      </c>
      <c r="SF177" s="207"/>
      <c r="SG177" s="207"/>
      <c r="SH177" s="207"/>
      <c r="SI177" s="207"/>
      <c r="SJ177" s="207"/>
      <c r="SK177" s="272"/>
      <c r="SL177" s="272"/>
      <c r="SM177" s="205">
        <f t="shared" si="1487"/>
        <v>0</v>
      </c>
      <c r="SN177" s="207"/>
      <c r="SO177" s="207"/>
      <c r="SP177" s="207"/>
      <c r="SQ177" s="207"/>
      <c r="SR177" s="207"/>
      <c r="SS177" s="272"/>
      <c r="ST177" s="272"/>
      <c r="SU177" s="205">
        <f t="shared" si="1488"/>
        <v>0</v>
      </c>
      <c r="SV177" s="207"/>
      <c r="SW177" s="207"/>
      <c r="SX177" s="207"/>
      <c r="SY177" s="207"/>
      <c r="SZ177" s="207"/>
      <c r="TA177" s="272"/>
      <c r="TB177" s="272"/>
      <c r="TC177" s="205">
        <f t="shared" si="1489"/>
        <v>0</v>
      </c>
      <c r="TD177" s="207"/>
      <c r="TE177" s="207"/>
      <c r="TF177" s="207"/>
      <c r="TG177" s="207"/>
      <c r="TH177" s="207"/>
      <c r="TI177" s="272"/>
      <c r="TJ177" s="272"/>
      <c r="TK177" s="205">
        <f t="shared" si="1490"/>
        <v>0</v>
      </c>
      <c r="TL177" s="207"/>
      <c r="TM177" s="207"/>
      <c r="TN177" s="207"/>
      <c r="TO177" s="207"/>
      <c r="TP177" s="272"/>
      <c r="TQ177" s="272"/>
      <c r="TR177" s="272"/>
      <c r="TS177" s="205">
        <f t="shared" si="1491"/>
        <v>0</v>
      </c>
      <c r="TT177" s="205">
        <f t="shared" si="1492"/>
        <v>0</v>
      </c>
      <c r="TU177" s="272"/>
      <c r="TV177" s="207"/>
      <c r="TW177" s="207"/>
      <c r="TX177" s="207"/>
      <c r="TY177" s="207"/>
      <c r="TZ177" s="272"/>
      <c r="UA177" s="272"/>
      <c r="UB177" s="205">
        <f t="shared" si="1493"/>
        <v>0</v>
      </c>
      <c r="UC177" s="207"/>
      <c r="UD177" s="207"/>
      <c r="UE177" s="207"/>
      <c r="UF177" s="207"/>
      <c r="UG177" s="207"/>
      <c r="UH177" s="272"/>
      <c r="UI177" s="272"/>
      <c r="UJ177" s="205">
        <f t="shared" si="1494"/>
        <v>0</v>
      </c>
      <c r="UK177" s="207"/>
      <c r="UL177" s="207"/>
      <c r="UM177" s="207"/>
      <c r="UN177" s="207"/>
      <c r="UO177" s="207"/>
      <c r="UP177" s="272"/>
      <c r="UQ177" s="272"/>
      <c r="UR177" s="205">
        <f t="shared" si="1495"/>
        <v>0</v>
      </c>
      <c r="US177" s="207"/>
      <c r="UT177" s="207"/>
      <c r="UU177" s="207"/>
      <c r="UV177" s="207"/>
      <c r="UW177" s="272"/>
      <c r="UX177" s="272"/>
      <c r="UY177" s="272"/>
      <c r="UZ177" s="205">
        <f t="shared" si="1496"/>
        <v>0</v>
      </c>
      <c r="VA177" s="205">
        <f t="shared" si="1497"/>
        <v>0</v>
      </c>
      <c r="VB177" s="207"/>
      <c r="VC177" s="207"/>
      <c r="VD177" s="207"/>
      <c r="VE177" s="207"/>
      <c r="VF177" s="207"/>
      <c r="VG177" s="272"/>
      <c r="VH177" s="272"/>
      <c r="VI177" s="205">
        <f t="shared" si="1498"/>
        <v>0</v>
      </c>
      <c r="VJ177" s="207"/>
      <c r="VK177" s="207"/>
      <c r="VL177" s="207"/>
      <c r="VM177" s="207"/>
      <c r="VN177" s="207"/>
      <c r="VO177" s="272"/>
      <c r="VP177" s="272"/>
      <c r="VQ177" s="205">
        <f t="shared" si="1499"/>
        <v>0</v>
      </c>
      <c r="VR177" s="207"/>
      <c r="VS177" s="207"/>
      <c r="VT177" s="207"/>
      <c r="VU177" s="207"/>
      <c r="VV177" s="207"/>
      <c r="VW177" s="272"/>
      <c r="VX177" s="272"/>
      <c r="VY177" s="205">
        <f t="shared" si="1500"/>
        <v>0</v>
      </c>
      <c r="VZ177" s="207"/>
      <c r="WA177" s="207"/>
      <c r="WB177" s="207"/>
      <c r="WC177" s="207"/>
      <c r="WD177" s="207"/>
      <c r="WE177" s="272"/>
      <c r="WF177" s="272"/>
      <c r="WG177" s="205">
        <f t="shared" si="1501"/>
        <v>0</v>
      </c>
      <c r="WH177" s="205">
        <f t="shared" si="1502"/>
        <v>0</v>
      </c>
      <c r="WI177" s="207"/>
      <c r="WJ177" s="207"/>
      <c r="WK177" s="207"/>
      <c r="WL177" s="207"/>
      <c r="WM177" s="207"/>
      <c r="WN177" s="272"/>
      <c r="WO177" s="272"/>
      <c r="WP177" s="205">
        <f t="shared" si="1503"/>
        <v>0</v>
      </c>
      <c r="WQ177" s="207"/>
      <c r="WR177" s="207"/>
      <c r="WS177" s="207"/>
      <c r="WT177" s="207"/>
      <c r="WU177" s="207"/>
      <c r="WV177" s="272"/>
      <c r="WW177" s="272"/>
      <c r="WX177" s="205">
        <f t="shared" si="1504"/>
        <v>0</v>
      </c>
      <c r="WY177" s="207"/>
      <c r="WZ177" s="207"/>
      <c r="XA177" s="207"/>
      <c r="XB177" s="207"/>
      <c r="XC177" s="272"/>
      <c r="XD177" s="272"/>
      <c r="XE177" s="272"/>
      <c r="XF177" s="205">
        <f t="shared" si="1505"/>
        <v>0</v>
      </c>
      <c r="XG177" s="207"/>
      <c r="XH177" s="207"/>
      <c r="XI177" s="207"/>
      <c r="XJ177" s="207"/>
      <c r="XK177" s="207"/>
      <c r="XL177" s="272"/>
      <c r="XM177" s="272"/>
      <c r="XN177" s="205">
        <f t="shared" si="1506"/>
        <v>0</v>
      </c>
      <c r="XO177" s="207"/>
      <c r="XP177" s="207"/>
      <c r="XQ177" s="207"/>
      <c r="XR177" s="207"/>
      <c r="XS177" s="207"/>
      <c r="XT177" s="272"/>
      <c r="XU177" s="272"/>
      <c r="XV177" s="205">
        <f t="shared" si="1507"/>
        <v>0</v>
      </c>
      <c r="XW177" s="205">
        <f t="shared" si="1508"/>
        <v>0</v>
      </c>
      <c r="XX177" s="207"/>
      <c r="XY177" s="207"/>
      <c r="XZ177" s="207"/>
      <c r="YA177" s="207"/>
      <c r="YB177" s="207"/>
      <c r="YC177" s="272"/>
      <c r="YD177" s="272"/>
      <c r="YE177" s="205">
        <f t="shared" si="1509"/>
        <v>0</v>
      </c>
      <c r="YF177" s="207"/>
      <c r="YG177" s="207"/>
      <c r="YH177" s="207"/>
      <c r="YI177" s="207"/>
      <c r="YJ177" s="207"/>
      <c r="YK177" s="272"/>
      <c r="YL177" s="272"/>
      <c r="YM177" s="205">
        <f t="shared" si="1510"/>
        <v>0</v>
      </c>
      <c r="YN177" s="207"/>
      <c r="YO177" s="207"/>
      <c r="YP177" s="207"/>
      <c r="YQ177" s="207"/>
      <c r="YR177" s="207"/>
      <c r="YS177" s="272"/>
      <c r="YT177" s="272"/>
      <c r="YU177" s="205">
        <f t="shared" si="1511"/>
        <v>0</v>
      </c>
      <c r="YV177" s="207"/>
      <c r="YW177" s="207"/>
      <c r="YX177" s="207"/>
      <c r="YY177" s="207"/>
      <c r="YZ177" s="207"/>
      <c r="ZA177" s="272"/>
      <c r="ZB177" s="272"/>
      <c r="ZC177" s="205">
        <f t="shared" si="1512"/>
        <v>0</v>
      </c>
      <c r="ZD177" s="205">
        <f t="shared" si="1513"/>
        <v>0</v>
      </c>
      <c r="ZE177" s="207"/>
      <c r="ZF177" s="207"/>
      <c r="ZG177" s="207"/>
      <c r="ZH177" s="207"/>
      <c r="ZI177" s="207"/>
      <c r="ZJ177" s="272"/>
      <c r="ZK177" s="272"/>
      <c r="ZL177" s="205">
        <f t="shared" si="1514"/>
        <v>0</v>
      </c>
      <c r="ZM177" s="207"/>
      <c r="ZN177" s="207"/>
      <c r="ZO177" s="207"/>
      <c r="ZP177" s="207"/>
      <c r="ZQ177" s="207"/>
      <c r="ZR177" s="272"/>
      <c r="ZS177" s="272"/>
      <c r="ZT177" s="205">
        <f t="shared" si="1515"/>
        <v>0</v>
      </c>
      <c r="ZU177" s="207"/>
      <c r="ZV177" s="207"/>
      <c r="ZW177" s="207"/>
      <c r="ZX177" s="207"/>
      <c r="ZY177" s="207"/>
      <c r="ZZ177" s="272"/>
      <c r="AAA177" s="272"/>
      <c r="AAB177" s="205">
        <f t="shared" si="1516"/>
        <v>0</v>
      </c>
      <c r="AAC177" s="207"/>
      <c r="AAD177" s="207"/>
      <c r="AAE177" s="207"/>
      <c r="AAF177" s="207"/>
      <c r="AAG177" s="207"/>
      <c r="AAH177" s="272"/>
      <c r="AAI177" s="272"/>
      <c r="AAJ177" s="205">
        <f t="shared" si="1517"/>
        <v>0</v>
      </c>
      <c r="AAK177" s="207"/>
      <c r="AAL177" s="207"/>
      <c r="AAM177" s="207"/>
      <c r="AAN177" s="207"/>
      <c r="AAO177" s="207"/>
      <c r="AAP177" s="272"/>
      <c r="AAQ177" s="272"/>
      <c r="AAR177" s="205">
        <f t="shared" si="1518"/>
        <v>0</v>
      </c>
      <c r="AAS177" s="205">
        <f t="shared" si="1519"/>
        <v>0</v>
      </c>
    </row>
    <row r="178" spans="1:721" ht="69.95" customHeight="1">
      <c r="B178" s="182" t="s">
        <v>497</v>
      </c>
      <c r="C178" s="340" t="s">
        <v>502</v>
      </c>
      <c r="D178" s="184" t="s">
        <v>495</v>
      </c>
      <c r="E178" s="130" t="s">
        <v>4</v>
      </c>
      <c r="F178" s="120"/>
      <c r="G178" s="120"/>
      <c r="H178" s="120"/>
      <c r="I178" s="120"/>
      <c r="J178" s="120"/>
      <c r="K178" s="209"/>
      <c r="L178" s="205"/>
      <c r="M178" s="205">
        <f t="shared" si="1520"/>
        <v>0</v>
      </c>
      <c r="N178" s="120"/>
      <c r="O178" s="120"/>
      <c r="P178" s="120"/>
      <c r="Q178" s="120"/>
      <c r="R178" s="120"/>
      <c r="S178" s="209"/>
      <c r="T178" s="205"/>
      <c r="U178" s="205">
        <f t="shared" si="1521"/>
        <v>0</v>
      </c>
      <c r="V178" s="120"/>
      <c r="W178" s="120"/>
      <c r="X178" s="120"/>
      <c r="Y178" s="120"/>
      <c r="Z178" s="120"/>
      <c r="AA178" s="209"/>
      <c r="AB178" s="205"/>
      <c r="AC178" s="205">
        <f t="shared" si="1522"/>
        <v>0</v>
      </c>
      <c r="AD178" s="205"/>
      <c r="AE178" s="205"/>
      <c r="AF178" s="205"/>
      <c r="AG178" s="205"/>
      <c r="AH178" s="205"/>
      <c r="AI178" s="209"/>
      <c r="AJ178" s="205"/>
      <c r="AK178" s="205">
        <f t="shared" si="1523"/>
        <v>0</v>
      </c>
      <c r="AL178" s="205" t="e">
        <f>SUM(#REF!,M178,U178,AC178,AD178:AH178)</f>
        <v>#REF!</v>
      </c>
      <c r="AM178" s="120"/>
      <c r="AN178" s="120"/>
      <c r="AO178" s="120"/>
      <c r="AP178" s="120"/>
      <c r="AQ178" s="120"/>
      <c r="AR178" s="209"/>
      <c r="AS178" s="205"/>
      <c r="AT178" s="205">
        <f t="shared" si="1524"/>
        <v>0</v>
      </c>
      <c r="AU178" s="120"/>
      <c r="AV178" s="120"/>
      <c r="AW178" s="120"/>
      <c r="AX178" s="120"/>
      <c r="AY178" s="120"/>
      <c r="AZ178" s="209"/>
      <c r="BA178" s="205"/>
      <c r="BB178" s="205">
        <f t="shared" si="1525"/>
        <v>0</v>
      </c>
      <c r="BC178" s="120"/>
      <c r="BD178" s="120"/>
      <c r="BE178" s="120"/>
      <c r="BF178" s="120"/>
      <c r="BG178" s="120"/>
      <c r="BH178" s="209"/>
      <c r="BI178" s="205"/>
      <c r="BJ178" s="205">
        <f t="shared" si="1526"/>
        <v>0</v>
      </c>
      <c r="BK178" s="120"/>
      <c r="BL178" s="120"/>
      <c r="BM178" s="120"/>
      <c r="BN178" s="120"/>
      <c r="BO178" s="205"/>
      <c r="BP178" s="209"/>
      <c r="BQ178" s="205"/>
      <c r="BR178" s="205">
        <f t="shared" si="1527"/>
        <v>0</v>
      </c>
      <c r="BS178" s="205">
        <f t="shared" si="1427"/>
        <v>0</v>
      </c>
      <c r="BT178" s="120"/>
      <c r="BU178" s="120"/>
      <c r="BV178" s="120"/>
      <c r="BW178" s="120"/>
      <c r="BX178" s="120"/>
      <c r="BY178" s="209"/>
      <c r="BZ178" s="205"/>
      <c r="CA178" s="205">
        <f t="shared" si="1528"/>
        <v>0</v>
      </c>
      <c r="CB178" s="120"/>
      <c r="CC178" s="120"/>
      <c r="CD178" s="120"/>
      <c r="CE178" s="120"/>
      <c r="CF178" s="120"/>
      <c r="CG178" s="209"/>
      <c r="CH178" s="205"/>
      <c r="CI178" s="205">
        <f t="shared" si="1529"/>
        <v>0</v>
      </c>
      <c r="CJ178" s="195">
        <v>400</v>
      </c>
      <c r="CK178" s="195">
        <v>400</v>
      </c>
      <c r="CL178" s="120"/>
      <c r="CM178" s="120"/>
      <c r="CN178" s="120"/>
      <c r="CO178" s="209"/>
      <c r="CP178" s="205"/>
      <c r="CQ178" s="205">
        <f t="shared" si="1530"/>
        <v>800</v>
      </c>
      <c r="CR178" s="120"/>
      <c r="CS178" s="120"/>
      <c r="CT178" s="120"/>
      <c r="CU178" s="120"/>
      <c r="CV178" s="120"/>
      <c r="CW178" s="209"/>
      <c r="CX178" s="205"/>
      <c r="CY178" s="205">
        <f t="shared" si="1531"/>
        <v>0</v>
      </c>
      <c r="CZ178" s="120"/>
      <c r="DA178" s="120"/>
      <c r="DB178" s="120"/>
      <c r="DC178" s="205"/>
      <c r="DD178" s="205"/>
      <c r="DE178" s="209"/>
      <c r="DF178" s="205"/>
      <c r="DG178" s="205">
        <f t="shared" si="1532"/>
        <v>0</v>
      </c>
      <c r="DH178" s="205">
        <f t="shared" si="1428"/>
        <v>800</v>
      </c>
      <c r="DI178" s="120"/>
      <c r="DJ178" s="120"/>
      <c r="DK178" s="120"/>
      <c r="DL178" s="120"/>
      <c r="DM178" s="123">
        <v>200</v>
      </c>
      <c r="DN178" s="209"/>
      <c r="DO178" s="205"/>
      <c r="DP178" s="205">
        <f t="shared" si="1432"/>
        <v>200</v>
      </c>
      <c r="DQ178" s="120"/>
      <c r="DR178" s="120"/>
      <c r="DS178" s="120"/>
      <c r="DT178" s="120"/>
      <c r="DU178" s="120"/>
      <c r="DV178" s="209"/>
      <c r="DW178" s="205"/>
      <c r="DX178" s="205">
        <f t="shared" si="1433"/>
        <v>0</v>
      </c>
      <c r="DY178" s="120"/>
      <c r="DZ178" s="120"/>
      <c r="EA178" s="120"/>
      <c r="EB178" s="120"/>
      <c r="EC178" s="120"/>
      <c r="ED178" s="209"/>
      <c r="EE178" s="205"/>
      <c r="EF178" s="205">
        <f t="shared" si="1434"/>
        <v>0</v>
      </c>
      <c r="EG178" s="120"/>
      <c r="EH178" s="120"/>
      <c r="EI178" s="120"/>
      <c r="EJ178" s="205"/>
      <c r="EK178" s="205"/>
      <c r="EL178" s="209"/>
      <c r="EM178" s="205"/>
      <c r="EN178" s="205">
        <f t="shared" si="1435"/>
        <v>0</v>
      </c>
      <c r="EO178" s="205">
        <f t="shared" si="1429"/>
        <v>200</v>
      </c>
      <c r="EP178" s="120"/>
      <c r="EQ178" s="120"/>
      <c r="ER178" s="120"/>
      <c r="ES178" s="120"/>
      <c r="ET178" s="120"/>
      <c r="EU178" s="209"/>
      <c r="EV178" s="205"/>
      <c r="EW178" s="205">
        <f t="shared" si="1436"/>
        <v>0</v>
      </c>
      <c r="EX178" s="120"/>
      <c r="EY178" s="120"/>
      <c r="EZ178" s="120"/>
      <c r="FA178" s="120"/>
      <c r="FB178" s="120"/>
      <c r="FC178" s="209"/>
      <c r="FD178" s="205"/>
      <c r="FE178" s="205">
        <f t="shared" si="1437"/>
        <v>0</v>
      </c>
      <c r="FF178" s="120"/>
      <c r="FG178" s="120"/>
      <c r="FH178" s="120"/>
      <c r="FI178" s="120"/>
      <c r="FJ178" s="120"/>
      <c r="FK178" s="209"/>
      <c r="FL178" s="205"/>
      <c r="FM178" s="205">
        <f t="shared" si="1438"/>
        <v>0</v>
      </c>
      <c r="FN178" s="120"/>
      <c r="FO178" s="120"/>
      <c r="FP178" s="120"/>
      <c r="FQ178" s="120"/>
      <c r="FR178" s="205"/>
      <c r="FS178" s="209"/>
      <c r="FT178" s="205"/>
      <c r="FU178" s="205">
        <f t="shared" si="1439"/>
        <v>0</v>
      </c>
      <c r="FV178" s="205">
        <f t="shared" si="1430"/>
        <v>0</v>
      </c>
      <c r="FW178" s="120"/>
      <c r="FX178" s="120"/>
      <c r="FY178" s="120"/>
      <c r="FZ178" s="120"/>
      <c r="GA178" s="120"/>
      <c r="GB178" s="209"/>
      <c r="GC178" s="205"/>
      <c r="GD178" s="205">
        <f t="shared" si="1440"/>
        <v>0</v>
      </c>
      <c r="GE178" s="120"/>
      <c r="GF178" s="120"/>
      <c r="GG178" s="120"/>
      <c r="GH178" s="120"/>
      <c r="GI178" s="120"/>
      <c r="GJ178" s="209"/>
      <c r="GK178" s="205"/>
      <c r="GL178" s="205">
        <f t="shared" si="1441"/>
        <v>0</v>
      </c>
      <c r="GM178" s="120"/>
      <c r="GN178" s="120"/>
      <c r="GO178" s="120"/>
      <c r="GP178" s="120"/>
      <c r="GQ178" s="120"/>
      <c r="GR178" s="209"/>
      <c r="GS178" s="205"/>
      <c r="GT178" s="205">
        <f t="shared" si="1442"/>
        <v>0</v>
      </c>
      <c r="GU178" s="120"/>
      <c r="GV178" s="120"/>
      <c r="GW178" s="120"/>
      <c r="GX178" s="120"/>
      <c r="GY178" s="120"/>
      <c r="GZ178" s="209"/>
      <c r="HA178" s="205"/>
      <c r="HB178" s="205">
        <f t="shared" si="1443"/>
        <v>0</v>
      </c>
      <c r="HC178" s="120"/>
      <c r="HD178" s="217">
        <v>600</v>
      </c>
      <c r="HE178" s="123">
        <v>200</v>
      </c>
      <c r="HF178" s="120"/>
      <c r="HG178" s="120"/>
      <c r="HH178" s="209"/>
      <c r="HI178" s="205"/>
      <c r="HJ178" s="205">
        <f t="shared" si="1444"/>
        <v>800</v>
      </c>
      <c r="HK178" s="205">
        <f t="shared" si="1431"/>
        <v>0</v>
      </c>
      <c r="HL178" s="124"/>
      <c r="HM178" s="120"/>
      <c r="HN178" s="120"/>
      <c r="HO178" s="120"/>
      <c r="HP178" s="120"/>
      <c r="HQ178" s="205"/>
      <c r="HR178" s="205"/>
      <c r="HS178" s="205">
        <f t="shared" si="1445"/>
        <v>0</v>
      </c>
      <c r="HT178" s="120"/>
      <c r="HU178" s="120"/>
      <c r="HV178" s="120"/>
      <c r="HW178" s="120"/>
      <c r="HX178" s="120"/>
      <c r="HY178" s="205"/>
      <c r="HZ178" s="205"/>
      <c r="IA178" s="205">
        <f t="shared" si="1446"/>
        <v>0</v>
      </c>
      <c r="IB178" s="120"/>
      <c r="IC178" s="120"/>
      <c r="ID178" s="120"/>
      <c r="IE178" s="120"/>
      <c r="IF178" s="120"/>
      <c r="IG178" s="205"/>
      <c r="IH178" s="205"/>
      <c r="II178" s="205">
        <f t="shared" si="1447"/>
        <v>0</v>
      </c>
      <c r="IJ178" s="120"/>
      <c r="IK178" s="120"/>
      <c r="IL178" s="120"/>
      <c r="IM178" s="217">
        <v>500</v>
      </c>
      <c r="IN178" s="120"/>
      <c r="IO178" s="205"/>
      <c r="IP178" s="205"/>
      <c r="IQ178" s="205">
        <f t="shared" si="1448"/>
        <v>500</v>
      </c>
      <c r="IR178" s="205">
        <f t="shared" si="1449"/>
        <v>1300</v>
      </c>
      <c r="IS178" s="120"/>
      <c r="IT178" s="120"/>
      <c r="IU178" s="120"/>
      <c r="IV178" s="120"/>
      <c r="IW178" s="120"/>
      <c r="IX178" s="205"/>
      <c r="IY178" s="205"/>
      <c r="IZ178" s="205">
        <f t="shared" si="1450"/>
        <v>0</v>
      </c>
      <c r="JA178" s="120"/>
      <c r="JB178" s="120"/>
      <c r="JC178" s="120"/>
      <c r="JD178" s="120"/>
      <c r="JE178" s="120"/>
      <c r="JF178" s="205"/>
      <c r="JG178" s="205"/>
      <c r="JH178" s="205">
        <f t="shared" si="1451"/>
        <v>0</v>
      </c>
      <c r="JI178" s="120"/>
      <c r="JJ178" s="120"/>
      <c r="JK178" s="120"/>
      <c r="JL178" s="120"/>
      <c r="JM178" s="120"/>
      <c r="JN178" s="205"/>
      <c r="JO178" s="205"/>
      <c r="JP178" s="205">
        <f t="shared" si="1452"/>
        <v>0</v>
      </c>
      <c r="JQ178" s="120"/>
      <c r="JR178" s="120"/>
      <c r="JS178" s="120"/>
      <c r="JT178" s="120"/>
      <c r="JU178" s="120"/>
      <c r="JV178" s="205"/>
      <c r="JW178" s="205"/>
      <c r="JX178" s="205">
        <f t="shared" si="1453"/>
        <v>0</v>
      </c>
      <c r="JY178" s="205">
        <f t="shared" si="1454"/>
        <v>0</v>
      </c>
      <c r="JZ178" s="120"/>
      <c r="KA178" s="120"/>
      <c r="KB178" s="120"/>
      <c r="KC178" s="120"/>
      <c r="KD178" s="120"/>
      <c r="KE178" s="205"/>
      <c r="KF178" s="205"/>
      <c r="KG178" s="205">
        <f t="shared" si="1455"/>
        <v>0</v>
      </c>
      <c r="KH178" s="120"/>
      <c r="KI178" s="120"/>
      <c r="KJ178" s="120"/>
      <c r="KK178" s="120"/>
      <c r="KL178" s="120"/>
      <c r="KM178" s="205"/>
      <c r="KN178" s="205"/>
      <c r="KO178" s="205">
        <f t="shared" si="1456"/>
        <v>0</v>
      </c>
      <c r="KP178" s="120"/>
      <c r="KQ178" s="120"/>
      <c r="KR178" s="120"/>
      <c r="KS178" s="120"/>
      <c r="KT178" s="120"/>
      <c r="KU178" s="205"/>
      <c r="KV178" s="205"/>
      <c r="KW178" s="205">
        <f t="shared" si="1457"/>
        <v>0</v>
      </c>
      <c r="KX178" s="120"/>
      <c r="KY178" s="120"/>
      <c r="KZ178" s="120"/>
      <c r="LA178" s="120"/>
      <c r="LB178" s="120"/>
      <c r="LC178" s="205"/>
      <c r="LD178" s="205"/>
      <c r="LE178" s="205">
        <f t="shared" si="1458"/>
        <v>0</v>
      </c>
      <c r="LF178" s="205"/>
      <c r="LG178" s="120"/>
      <c r="LH178" s="120"/>
      <c r="LI178" s="120"/>
      <c r="LJ178" s="120"/>
      <c r="LK178" s="205"/>
      <c r="LL178" s="205"/>
      <c r="LM178" s="205">
        <f t="shared" si="1459"/>
        <v>0</v>
      </c>
      <c r="LN178" s="205">
        <f t="shared" si="1460"/>
        <v>0</v>
      </c>
      <c r="LO178" s="205"/>
      <c r="LP178" s="120"/>
      <c r="LQ178" s="217">
        <v>196</v>
      </c>
      <c r="LR178" s="120"/>
      <c r="LS178" s="205"/>
      <c r="LT178" s="205"/>
      <c r="LU178" s="205"/>
      <c r="LV178" s="205">
        <f t="shared" si="1461"/>
        <v>196</v>
      </c>
      <c r="LW178" s="120"/>
      <c r="LX178" s="120"/>
      <c r="LY178" s="120"/>
      <c r="LZ178" s="120"/>
      <c r="MA178" s="120"/>
      <c r="MB178" s="205"/>
      <c r="MC178" s="205"/>
      <c r="MD178" s="205">
        <f t="shared" si="1462"/>
        <v>0</v>
      </c>
      <c r="ME178" s="120"/>
      <c r="MF178" s="120"/>
      <c r="MG178" s="120"/>
      <c r="MH178" s="120"/>
      <c r="MI178" s="205"/>
      <c r="MJ178" s="205"/>
      <c r="MK178" s="205"/>
      <c r="ML178" s="205">
        <f t="shared" si="1463"/>
        <v>0</v>
      </c>
      <c r="MM178" s="120"/>
      <c r="MN178" s="120"/>
      <c r="MO178" s="120"/>
      <c r="MP178" s="120"/>
      <c r="MQ178" s="120"/>
      <c r="MR178" s="205"/>
      <c r="MS178" s="205"/>
      <c r="MT178" s="205">
        <f t="shared" si="1464"/>
        <v>0</v>
      </c>
      <c r="MU178" s="205">
        <f t="shared" si="1465"/>
        <v>196</v>
      </c>
      <c r="MV178" s="120"/>
      <c r="MW178" s="120"/>
      <c r="MX178" s="123">
        <v>500</v>
      </c>
      <c r="MY178" s="120"/>
      <c r="MZ178" s="120"/>
      <c r="NA178" s="205"/>
      <c r="NB178" s="205"/>
      <c r="NC178" s="205">
        <f t="shared" si="1466"/>
        <v>500</v>
      </c>
      <c r="ND178" s="120"/>
      <c r="NE178" s="120"/>
      <c r="NF178" s="120"/>
      <c r="NG178" s="120"/>
      <c r="NH178" s="120"/>
      <c r="NI178" s="205"/>
      <c r="NJ178" s="205"/>
      <c r="NK178" s="205">
        <f t="shared" si="1467"/>
        <v>0</v>
      </c>
      <c r="NL178" s="120"/>
      <c r="NM178" s="120"/>
      <c r="NN178" s="120"/>
      <c r="NO178" s="120"/>
      <c r="NP178" s="120"/>
      <c r="NQ178" s="205"/>
      <c r="NR178" s="205"/>
      <c r="NS178" s="205">
        <f t="shared" si="1468"/>
        <v>0</v>
      </c>
      <c r="NT178" s="120"/>
      <c r="NU178" s="120"/>
      <c r="NV178" s="120"/>
      <c r="NW178" s="120"/>
      <c r="NX178" s="120"/>
      <c r="NY178" s="205"/>
      <c r="NZ178" s="205"/>
      <c r="OA178" s="205">
        <f t="shared" si="1469"/>
        <v>0</v>
      </c>
      <c r="OB178" s="205">
        <f t="shared" si="1470"/>
        <v>500</v>
      </c>
      <c r="OC178" s="120"/>
      <c r="OD178" s="120"/>
      <c r="OE178" s="120"/>
      <c r="OF178" s="120"/>
      <c r="OG178" s="120"/>
      <c r="OH178" s="205"/>
      <c r="OI178" s="205"/>
      <c r="OJ178" s="205">
        <f t="shared" si="1471"/>
        <v>0</v>
      </c>
      <c r="OK178" s="120"/>
      <c r="OL178" s="120"/>
      <c r="OM178" s="120"/>
      <c r="ON178" s="120"/>
      <c r="OO178" s="120"/>
      <c r="OP178" s="205"/>
      <c r="OQ178" s="205"/>
      <c r="OR178" s="205">
        <f t="shared" si="1472"/>
        <v>0</v>
      </c>
      <c r="OS178" s="120"/>
      <c r="OT178" s="120"/>
      <c r="OU178" s="120"/>
      <c r="OV178" s="120"/>
      <c r="OW178" s="120"/>
      <c r="OX178" s="205"/>
      <c r="OY178" s="205"/>
      <c r="OZ178" s="205">
        <f t="shared" si="1473"/>
        <v>0</v>
      </c>
      <c r="PA178" s="120"/>
      <c r="PB178" s="120"/>
      <c r="PC178" s="120"/>
      <c r="PD178" s="205"/>
      <c r="PE178" s="217"/>
      <c r="PF178" s="205"/>
      <c r="PG178" s="205"/>
      <c r="PH178" s="205">
        <f t="shared" si="1474"/>
        <v>0</v>
      </c>
      <c r="PI178" s="120"/>
      <c r="PJ178" s="120"/>
      <c r="PK178" s="120"/>
      <c r="PL178" s="205"/>
      <c r="PM178" s="217"/>
      <c r="PN178" s="205"/>
      <c r="PO178" s="205"/>
      <c r="PP178" s="205">
        <f t="shared" si="1475"/>
        <v>0</v>
      </c>
      <c r="PQ178" s="205">
        <f t="shared" si="1476"/>
        <v>0</v>
      </c>
      <c r="PR178" s="207"/>
      <c r="PS178" s="207"/>
      <c r="PT178" s="207"/>
      <c r="PU178" s="207"/>
      <c r="PV178" s="207"/>
      <c r="PW178" s="272"/>
      <c r="PX178" s="272"/>
      <c r="PY178" s="205">
        <f t="shared" si="1477"/>
        <v>0</v>
      </c>
      <c r="PZ178" s="207"/>
      <c r="QA178" s="207"/>
      <c r="QB178" s="207"/>
      <c r="QC178" s="207"/>
      <c r="QD178" s="207"/>
      <c r="QE178" s="272"/>
      <c r="QF178" s="272"/>
      <c r="QG178" s="205">
        <f t="shared" si="1478"/>
        <v>0</v>
      </c>
      <c r="QH178" s="207"/>
      <c r="QI178" s="207"/>
      <c r="QJ178" s="294"/>
      <c r="QK178" s="207"/>
      <c r="QL178" s="207"/>
      <c r="QM178" s="272"/>
      <c r="QN178" s="272"/>
      <c r="QO178" s="205">
        <f t="shared" si="1479"/>
        <v>0</v>
      </c>
      <c r="QP178" s="207"/>
      <c r="QQ178" s="207"/>
      <c r="QR178" s="207"/>
      <c r="QS178" s="207"/>
      <c r="QT178" s="207"/>
      <c r="QU178" s="272"/>
      <c r="QV178" s="272"/>
      <c r="QW178" s="205">
        <f t="shared" si="1480"/>
        <v>0</v>
      </c>
      <c r="QX178" s="205">
        <f t="shared" si="1481"/>
        <v>0</v>
      </c>
      <c r="QY178" s="207"/>
      <c r="QZ178" s="207"/>
      <c r="RA178" s="207"/>
      <c r="RB178" s="207"/>
      <c r="RC178" s="207"/>
      <c r="RD178" s="272"/>
      <c r="RE178" s="272"/>
      <c r="RF178" s="205">
        <f t="shared" si="1482"/>
        <v>0</v>
      </c>
      <c r="RG178" s="207"/>
      <c r="RH178" s="207"/>
      <c r="RI178" s="207"/>
      <c r="RJ178" s="207"/>
      <c r="RK178" s="207"/>
      <c r="RL178" s="272"/>
      <c r="RM178" s="272"/>
      <c r="RN178" s="205">
        <f t="shared" si="1483"/>
        <v>0</v>
      </c>
      <c r="RO178" s="272"/>
      <c r="RP178" s="272"/>
      <c r="RQ178" s="272"/>
      <c r="RR178" s="272"/>
      <c r="RS178" s="272"/>
      <c r="RT178" s="272"/>
      <c r="RU178" s="272"/>
      <c r="RV178" s="205">
        <f t="shared" si="1484"/>
        <v>0</v>
      </c>
      <c r="RW178" s="207"/>
      <c r="RX178" s="207"/>
      <c r="RY178" s="207"/>
      <c r="RZ178" s="207"/>
      <c r="SA178" s="272"/>
      <c r="SB178" s="272"/>
      <c r="SC178" s="272"/>
      <c r="SD178" s="205">
        <f t="shared" si="1485"/>
        <v>0</v>
      </c>
      <c r="SE178" s="205">
        <f t="shared" si="1486"/>
        <v>0</v>
      </c>
      <c r="SF178" s="207"/>
      <c r="SG178" s="207"/>
      <c r="SH178" s="207"/>
      <c r="SI178" s="207"/>
      <c r="SJ178" s="207"/>
      <c r="SK178" s="272"/>
      <c r="SL178" s="272"/>
      <c r="SM178" s="205">
        <f t="shared" si="1487"/>
        <v>0</v>
      </c>
      <c r="SN178" s="207"/>
      <c r="SO178" s="207"/>
      <c r="SP178" s="207"/>
      <c r="SQ178" s="207"/>
      <c r="SR178" s="207"/>
      <c r="SS178" s="272"/>
      <c r="ST178" s="272"/>
      <c r="SU178" s="205">
        <f t="shared" si="1488"/>
        <v>0</v>
      </c>
      <c r="SV178" s="207"/>
      <c r="SW178" s="207"/>
      <c r="SX178" s="207"/>
      <c r="SY178" s="207"/>
      <c r="SZ178" s="207"/>
      <c r="TA178" s="272"/>
      <c r="TB178" s="272"/>
      <c r="TC178" s="205">
        <f t="shared" si="1489"/>
        <v>0</v>
      </c>
      <c r="TD178" s="207"/>
      <c r="TE178" s="207"/>
      <c r="TF178" s="207"/>
      <c r="TG178" s="207"/>
      <c r="TH178" s="207"/>
      <c r="TI178" s="272"/>
      <c r="TJ178" s="272"/>
      <c r="TK178" s="205">
        <f t="shared" si="1490"/>
        <v>0</v>
      </c>
      <c r="TL178" s="207"/>
      <c r="TM178" s="207"/>
      <c r="TN178" s="207"/>
      <c r="TO178" s="207"/>
      <c r="TP178" s="272"/>
      <c r="TQ178" s="272"/>
      <c r="TR178" s="272"/>
      <c r="TS178" s="205">
        <f t="shared" si="1491"/>
        <v>0</v>
      </c>
      <c r="TT178" s="205">
        <f t="shared" si="1492"/>
        <v>0</v>
      </c>
      <c r="TU178" s="272"/>
      <c r="TV178" s="207"/>
      <c r="TW178" s="207"/>
      <c r="TX178" s="207"/>
      <c r="TY178" s="207"/>
      <c r="TZ178" s="272"/>
      <c r="UA178" s="272"/>
      <c r="UB178" s="205">
        <f t="shared" si="1493"/>
        <v>0</v>
      </c>
      <c r="UC178" s="207"/>
      <c r="UD178" s="207"/>
      <c r="UE178" s="207"/>
      <c r="UF178" s="207"/>
      <c r="UG178" s="207"/>
      <c r="UH178" s="272"/>
      <c r="UI178" s="272"/>
      <c r="UJ178" s="205">
        <f t="shared" si="1494"/>
        <v>0</v>
      </c>
      <c r="UK178" s="207"/>
      <c r="UL178" s="207"/>
      <c r="UM178" s="207"/>
      <c r="UN178" s="207"/>
      <c r="UO178" s="207"/>
      <c r="UP178" s="272"/>
      <c r="UQ178" s="272"/>
      <c r="UR178" s="205">
        <f t="shared" si="1495"/>
        <v>0</v>
      </c>
      <c r="US178" s="207"/>
      <c r="UT178" s="207"/>
      <c r="UU178" s="207"/>
      <c r="UV178" s="207"/>
      <c r="UW178" s="272"/>
      <c r="UX178" s="272"/>
      <c r="UY178" s="272"/>
      <c r="UZ178" s="205">
        <f t="shared" si="1496"/>
        <v>0</v>
      </c>
      <c r="VA178" s="205">
        <f t="shared" si="1497"/>
        <v>0</v>
      </c>
      <c r="VB178" s="123">
        <v>600</v>
      </c>
      <c r="VC178" s="207"/>
      <c r="VD178" s="207"/>
      <c r="VE178" s="207"/>
      <c r="VF178" s="207"/>
      <c r="VG178" s="272"/>
      <c r="VH178" s="272"/>
      <c r="VI178" s="205">
        <f t="shared" si="1498"/>
        <v>600</v>
      </c>
      <c r="VJ178" s="207"/>
      <c r="VK178" s="207"/>
      <c r="VL178" s="207"/>
      <c r="VM178" s="207"/>
      <c r="VN178" s="207"/>
      <c r="VO178" s="272"/>
      <c r="VP178" s="272"/>
      <c r="VQ178" s="205">
        <f t="shared" si="1499"/>
        <v>0</v>
      </c>
      <c r="VR178" s="207"/>
      <c r="VS178" s="207"/>
      <c r="VT178" s="207"/>
      <c r="VU178" s="207"/>
      <c r="VV178" s="207"/>
      <c r="VW178" s="272"/>
      <c r="VX178" s="272"/>
      <c r="VY178" s="205">
        <f t="shared" si="1500"/>
        <v>0</v>
      </c>
      <c r="VZ178" s="207"/>
      <c r="WA178" s="207"/>
      <c r="WB178" s="207"/>
      <c r="WC178" s="207"/>
      <c r="WD178" s="207"/>
      <c r="WE178" s="272"/>
      <c r="WF178" s="272"/>
      <c r="WG178" s="205">
        <f t="shared" si="1501"/>
        <v>0</v>
      </c>
      <c r="WH178" s="205">
        <f t="shared" si="1502"/>
        <v>600</v>
      </c>
      <c r="WI178" s="207"/>
      <c r="WJ178" s="207"/>
      <c r="WK178" s="207"/>
      <c r="WL178" s="207"/>
      <c r="WM178" s="207"/>
      <c r="WN178" s="272"/>
      <c r="WO178" s="272"/>
      <c r="WP178" s="205">
        <f t="shared" si="1503"/>
        <v>0</v>
      </c>
      <c r="WQ178" s="207"/>
      <c r="WR178" s="207"/>
      <c r="WS178" s="207"/>
      <c r="WT178" s="207"/>
      <c r="WU178" s="207"/>
      <c r="WV178" s="272"/>
      <c r="WW178" s="272"/>
      <c r="WX178" s="205">
        <f t="shared" si="1504"/>
        <v>0</v>
      </c>
      <c r="WY178" s="207"/>
      <c r="WZ178" s="207"/>
      <c r="XA178" s="207"/>
      <c r="XB178" s="207"/>
      <c r="XC178" s="272"/>
      <c r="XD178" s="272"/>
      <c r="XE178" s="272"/>
      <c r="XF178" s="205">
        <f t="shared" si="1505"/>
        <v>0</v>
      </c>
      <c r="XG178" s="207"/>
      <c r="XH178" s="207"/>
      <c r="XI178" s="207"/>
      <c r="XJ178" s="207"/>
      <c r="XK178" s="207"/>
      <c r="XL178" s="272"/>
      <c r="XM178" s="272"/>
      <c r="XN178" s="205">
        <f t="shared" si="1506"/>
        <v>0</v>
      </c>
      <c r="XO178" s="207"/>
      <c r="XP178" s="207"/>
      <c r="XQ178" s="207"/>
      <c r="XR178" s="207"/>
      <c r="XS178" s="207"/>
      <c r="XT178" s="272"/>
      <c r="XU178" s="272"/>
      <c r="XV178" s="205">
        <f t="shared" si="1507"/>
        <v>0</v>
      </c>
      <c r="XW178" s="205">
        <f t="shared" si="1508"/>
        <v>0</v>
      </c>
      <c r="XX178" s="207"/>
      <c r="XY178" s="207"/>
      <c r="XZ178" s="207"/>
      <c r="YA178" s="207"/>
      <c r="YB178" s="207"/>
      <c r="YC178" s="272"/>
      <c r="YD178" s="272"/>
      <c r="YE178" s="205">
        <f t="shared" si="1509"/>
        <v>0</v>
      </c>
      <c r="YF178" s="207"/>
      <c r="YG178" s="207"/>
      <c r="YH178" s="207"/>
      <c r="YI178" s="207"/>
      <c r="YJ178" s="207"/>
      <c r="YK178" s="272"/>
      <c r="YL178" s="272"/>
      <c r="YM178" s="205">
        <f t="shared" si="1510"/>
        <v>0</v>
      </c>
      <c r="YN178" s="207"/>
      <c r="YO178" s="207"/>
      <c r="YP178" s="207"/>
      <c r="YQ178" s="207"/>
      <c r="YR178" s="207"/>
      <c r="YS178" s="272"/>
      <c r="YT178" s="272"/>
      <c r="YU178" s="205">
        <f t="shared" si="1511"/>
        <v>0</v>
      </c>
      <c r="YV178" s="207"/>
      <c r="YW178" s="207"/>
      <c r="YX178" s="207"/>
      <c r="YY178" s="207"/>
      <c r="YZ178" s="207"/>
      <c r="ZA178" s="272"/>
      <c r="ZB178" s="272"/>
      <c r="ZC178" s="205">
        <f t="shared" si="1512"/>
        <v>0</v>
      </c>
      <c r="ZD178" s="205">
        <f t="shared" si="1513"/>
        <v>0</v>
      </c>
      <c r="ZE178" s="207"/>
      <c r="ZF178" s="207"/>
      <c r="ZG178" s="207"/>
      <c r="ZH178" s="207"/>
      <c r="ZI178" s="207"/>
      <c r="ZJ178" s="272"/>
      <c r="ZK178" s="272"/>
      <c r="ZL178" s="205">
        <f t="shared" si="1514"/>
        <v>0</v>
      </c>
      <c r="ZM178" s="207"/>
      <c r="ZN178" s="207"/>
      <c r="ZO178" s="207"/>
      <c r="ZP178" s="207"/>
      <c r="ZQ178" s="207"/>
      <c r="ZR178" s="272"/>
      <c r="ZS178" s="272"/>
      <c r="ZT178" s="205">
        <f t="shared" si="1515"/>
        <v>0</v>
      </c>
      <c r="ZU178" s="207"/>
      <c r="ZV178" s="207"/>
      <c r="ZW178" s="207"/>
      <c r="ZX178" s="207"/>
      <c r="ZY178" s="207"/>
      <c r="ZZ178" s="272"/>
      <c r="AAA178" s="272"/>
      <c r="AAB178" s="205">
        <f t="shared" si="1516"/>
        <v>0</v>
      </c>
      <c r="AAC178" s="207"/>
      <c r="AAD178" s="207"/>
      <c r="AAE178" s="207"/>
      <c r="AAF178" s="207"/>
      <c r="AAG178" s="207"/>
      <c r="AAH178" s="272"/>
      <c r="AAI178" s="272"/>
      <c r="AAJ178" s="205">
        <f t="shared" si="1517"/>
        <v>0</v>
      </c>
      <c r="AAK178" s="207"/>
      <c r="AAL178" s="207"/>
      <c r="AAM178" s="207"/>
      <c r="AAN178" s="207"/>
      <c r="AAO178" s="207"/>
      <c r="AAP178" s="272"/>
      <c r="AAQ178" s="272"/>
      <c r="AAR178" s="205">
        <f t="shared" si="1518"/>
        <v>0</v>
      </c>
      <c r="AAS178" s="205">
        <f t="shared" si="1519"/>
        <v>0</v>
      </c>
    </row>
    <row r="179" spans="1:721" ht="69.95" customHeight="1">
      <c r="B179" s="182" t="s">
        <v>498</v>
      </c>
      <c r="C179" s="340" t="s">
        <v>503</v>
      </c>
      <c r="D179" s="184" t="s">
        <v>500</v>
      </c>
      <c r="E179" s="130" t="s">
        <v>4</v>
      </c>
      <c r="F179" s="120"/>
      <c r="G179" s="120"/>
      <c r="H179" s="120"/>
      <c r="I179" s="120"/>
      <c r="J179" s="120"/>
      <c r="K179" s="209"/>
      <c r="L179" s="205"/>
      <c r="M179" s="205">
        <f t="shared" si="1520"/>
        <v>0</v>
      </c>
      <c r="N179" s="120"/>
      <c r="O179" s="120"/>
      <c r="P179" s="120"/>
      <c r="Q179" s="120"/>
      <c r="R179" s="120"/>
      <c r="S179" s="209"/>
      <c r="T179" s="205"/>
      <c r="U179" s="205">
        <f t="shared" si="1521"/>
        <v>0</v>
      </c>
      <c r="V179" s="120"/>
      <c r="W179" s="120"/>
      <c r="X179" s="120" t="s">
        <v>617</v>
      </c>
      <c r="Y179" s="120"/>
      <c r="Z179" s="120"/>
      <c r="AA179" s="209"/>
      <c r="AB179" s="205"/>
      <c r="AC179" s="205">
        <f t="shared" si="1522"/>
        <v>0</v>
      </c>
      <c r="AD179" s="205"/>
      <c r="AE179" s="205"/>
      <c r="AF179" s="205"/>
      <c r="AG179" s="205"/>
      <c r="AH179" s="205"/>
      <c r="AI179" s="209"/>
      <c r="AJ179" s="205"/>
      <c r="AK179" s="205">
        <f t="shared" si="1523"/>
        <v>0</v>
      </c>
      <c r="AL179" s="205" t="e">
        <f>SUM(#REF!,M179,U179,AC179,AD179:AH179)</f>
        <v>#REF!</v>
      </c>
      <c r="AM179" s="120"/>
      <c r="AN179" s="120"/>
      <c r="AO179" s="120"/>
      <c r="AP179" s="120"/>
      <c r="AQ179" s="120"/>
      <c r="AR179" s="209"/>
      <c r="AS179" s="205"/>
      <c r="AT179" s="205">
        <f t="shared" si="1524"/>
        <v>0</v>
      </c>
      <c r="AU179" s="120"/>
      <c r="AV179" s="120"/>
      <c r="AW179" s="120"/>
      <c r="AX179" s="120"/>
      <c r="AY179" s="120"/>
      <c r="AZ179" s="209"/>
      <c r="BA179" s="205"/>
      <c r="BB179" s="205">
        <f t="shared" si="1525"/>
        <v>0</v>
      </c>
      <c r="BC179" s="120"/>
      <c r="BD179" s="120"/>
      <c r="BE179" s="120"/>
      <c r="BF179" s="120"/>
      <c r="BG179" s="120"/>
      <c r="BH179" s="209"/>
      <c r="BI179" s="205"/>
      <c r="BJ179" s="205">
        <f t="shared" si="1526"/>
        <v>0</v>
      </c>
      <c r="BK179" s="120"/>
      <c r="BL179" s="120"/>
      <c r="BM179" s="120"/>
      <c r="BN179" s="120"/>
      <c r="BO179" s="205"/>
      <c r="BP179" s="209"/>
      <c r="BQ179" s="205"/>
      <c r="BR179" s="205">
        <f t="shared" si="1527"/>
        <v>0</v>
      </c>
      <c r="BS179" s="205">
        <f t="shared" si="1427"/>
        <v>0</v>
      </c>
      <c r="BT179" s="120"/>
      <c r="BU179" s="120"/>
      <c r="BV179" s="120"/>
      <c r="BW179" s="120"/>
      <c r="BX179" s="120"/>
      <c r="BY179" s="209"/>
      <c r="BZ179" s="205"/>
      <c r="CA179" s="205">
        <f t="shared" si="1528"/>
        <v>0</v>
      </c>
      <c r="CB179" s="120"/>
      <c r="CC179" s="120"/>
      <c r="CD179" s="120"/>
      <c r="CE179" s="120"/>
      <c r="CF179" s="120"/>
      <c r="CG179" s="209"/>
      <c r="CH179" s="205"/>
      <c r="CI179" s="205">
        <f t="shared" si="1529"/>
        <v>0</v>
      </c>
      <c r="CJ179" s="120"/>
      <c r="CK179" s="120"/>
      <c r="CL179" s="120"/>
      <c r="CM179" s="120"/>
      <c r="CN179" s="120"/>
      <c r="CO179" s="209"/>
      <c r="CP179" s="205"/>
      <c r="CQ179" s="205">
        <f t="shared" si="1530"/>
        <v>0</v>
      </c>
      <c r="CR179" s="120"/>
      <c r="CS179" s="120"/>
      <c r="CT179" s="120"/>
      <c r="CU179" s="120"/>
      <c r="CV179" s="120"/>
      <c r="CW179" s="209"/>
      <c r="CX179" s="205"/>
      <c r="CY179" s="205">
        <f t="shared" si="1531"/>
        <v>0</v>
      </c>
      <c r="CZ179" s="120"/>
      <c r="DA179" s="120"/>
      <c r="DB179" s="120"/>
      <c r="DC179" s="205"/>
      <c r="DD179" s="205"/>
      <c r="DE179" s="209"/>
      <c r="DF179" s="205"/>
      <c r="DG179" s="205">
        <f t="shared" si="1532"/>
        <v>0</v>
      </c>
      <c r="DH179" s="205">
        <f t="shared" si="1428"/>
        <v>0</v>
      </c>
      <c r="DI179" s="120"/>
      <c r="DJ179" s="120"/>
      <c r="DK179" s="120"/>
      <c r="DL179" s="120"/>
      <c r="DM179" s="120"/>
      <c r="DN179" s="209"/>
      <c r="DO179" s="205"/>
      <c r="DP179" s="205">
        <f t="shared" si="1432"/>
        <v>0</v>
      </c>
      <c r="DQ179" s="120"/>
      <c r="DR179" s="120"/>
      <c r="DS179" s="120"/>
      <c r="DT179" s="120"/>
      <c r="DU179" s="120"/>
      <c r="DV179" s="209"/>
      <c r="DW179" s="205"/>
      <c r="DX179" s="205">
        <f t="shared" si="1433"/>
        <v>0</v>
      </c>
      <c r="DY179" s="120"/>
      <c r="DZ179" s="120"/>
      <c r="EA179" s="120"/>
      <c r="EB179" s="120"/>
      <c r="EC179" s="120"/>
      <c r="ED179" s="209"/>
      <c r="EE179" s="205"/>
      <c r="EF179" s="205">
        <f t="shared" si="1434"/>
        <v>0</v>
      </c>
      <c r="EG179" s="120"/>
      <c r="EH179" s="120"/>
      <c r="EI179" s="120"/>
      <c r="EJ179" s="205"/>
      <c r="EK179" s="205"/>
      <c r="EL179" s="209"/>
      <c r="EM179" s="205"/>
      <c r="EN179" s="205">
        <f t="shared" si="1435"/>
        <v>0</v>
      </c>
      <c r="EO179" s="205">
        <f t="shared" si="1429"/>
        <v>0</v>
      </c>
      <c r="EP179" s="120"/>
      <c r="EQ179" s="120"/>
      <c r="ER179" s="120"/>
      <c r="ES179" s="120"/>
      <c r="ET179" s="120"/>
      <c r="EU179" s="209"/>
      <c r="EV179" s="205"/>
      <c r="EW179" s="205">
        <f t="shared" si="1436"/>
        <v>0</v>
      </c>
      <c r="EX179" s="120"/>
      <c r="EY179" s="120"/>
      <c r="EZ179" s="120"/>
      <c r="FA179" s="120"/>
      <c r="FB179" s="120"/>
      <c r="FC179" s="209"/>
      <c r="FD179" s="205"/>
      <c r="FE179" s="205">
        <f t="shared" si="1437"/>
        <v>0</v>
      </c>
      <c r="FF179" s="120"/>
      <c r="FG179" s="120"/>
      <c r="FH179" s="120"/>
      <c r="FI179" s="120"/>
      <c r="FJ179" s="120"/>
      <c r="FK179" s="209"/>
      <c r="FL179" s="205"/>
      <c r="FM179" s="205">
        <f t="shared" si="1438"/>
        <v>0</v>
      </c>
      <c r="FN179" s="120"/>
      <c r="FO179" s="120"/>
      <c r="FP179" s="120"/>
      <c r="FQ179" s="120"/>
      <c r="FR179" s="205"/>
      <c r="FS179" s="209"/>
      <c r="FT179" s="205"/>
      <c r="FU179" s="205">
        <f t="shared" si="1439"/>
        <v>0</v>
      </c>
      <c r="FV179" s="205">
        <f t="shared" si="1430"/>
        <v>0</v>
      </c>
      <c r="FW179" s="120"/>
      <c r="FX179" s="120"/>
      <c r="FY179" s="120"/>
      <c r="FZ179" s="120"/>
      <c r="GA179" s="120"/>
      <c r="GB179" s="209"/>
      <c r="GC179" s="205"/>
      <c r="GD179" s="205">
        <f t="shared" si="1440"/>
        <v>0</v>
      </c>
      <c r="GE179" s="120"/>
      <c r="GF179" s="120"/>
      <c r="GG179" s="120"/>
      <c r="GH179" s="120"/>
      <c r="GI179" s="120"/>
      <c r="GJ179" s="209"/>
      <c r="GK179" s="205"/>
      <c r="GL179" s="205">
        <f t="shared" si="1441"/>
        <v>0</v>
      </c>
      <c r="GM179" s="120"/>
      <c r="GN179" s="120"/>
      <c r="GO179" s="120"/>
      <c r="GP179" s="120"/>
      <c r="GQ179" s="120"/>
      <c r="GR179" s="209"/>
      <c r="GS179" s="205"/>
      <c r="GT179" s="205">
        <f t="shared" si="1442"/>
        <v>0</v>
      </c>
      <c r="GU179" s="120"/>
      <c r="GV179" s="120"/>
      <c r="GW179" s="120"/>
      <c r="GX179" s="120"/>
      <c r="GY179" s="120"/>
      <c r="GZ179" s="209"/>
      <c r="HA179" s="205"/>
      <c r="HB179" s="205">
        <f t="shared" si="1443"/>
        <v>0</v>
      </c>
      <c r="HC179" s="120"/>
      <c r="HD179" s="120"/>
      <c r="HE179" s="120"/>
      <c r="HF179" s="120"/>
      <c r="HG179" s="120"/>
      <c r="HH179" s="209"/>
      <c r="HI179" s="205"/>
      <c r="HJ179" s="205">
        <f t="shared" si="1444"/>
        <v>0</v>
      </c>
      <c r="HK179" s="205">
        <f t="shared" si="1431"/>
        <v>0</v>
      </c>
      <c r="HL179" s="124"/>
      <c r="HM179" s="120"/>
      <c r="HN179" s="120"/>
      <c r="HO179" s="120"/>
      <c r="HP179" s="120"/>
      <c r="HQ179" s="205"/>
      <c r="HR179" s="205"/>
      <c r="HS179" s="205">
        <f t="shared" si="1445"/>
        <v>0</v>
      </c>
      <c r="HT179" s="120"/>
      <c r="HU179" s="120"/>
      <c r="HV179" s="120"/>
      <c r="HW179" s="120"/>
      <c r="HX179" s="120"/>
      <c r="HY179" s="205"/>
      <c r="HZ179" s="205"/>
      <c r="IA179" s="205">
        <f t="shared" si="1446"/>
        <v>0</v>
      </c>
      <c r="IB179" s="120"/>
      <c r="IC179" s="120"/>
      <c r="ID179" s="120"/>
      <c r="IE179" s="120"/>
      <c r="IF179" s="120"/>
      <c r="IG179" s="205"/>
      <c r="IH179" s="205"/>
      <c r="II179" s="205">
        <f t="shared" si="1447"/>
        <v>0</v>
      </c>
      <c r="IJ179" s="120"/>
      <c r="IK179" s="120"/>
      <c r="IL179" s="120"/>
      <c r="IM179" s="120"/>
      <c r="IN179" s="120"/>
      <c r="IO179" s="205"/>
      <c r="IP179" s="205"/>
      <c r="IQ179" s="205">
        <f t="shared" si="1448"/>
        <v>0</v>
      </c>
      <c r="IR179" s="205">
        <f t="shared" si="1449"/>
        <v>0</v>
      </c>
      <c r="IS179" s="120"/>
      <c r="IT179" s="120"/>
      <c r="IU179" s="120"/>
      <c r="IV179" s="120"/>
      <c r="IW179" s="120"/>
      <c r="IX179" s="205"/>
      <c r="IY179" s="205"/>
      <c r="IZ179" s="205">
        <f t="shared" si="1450"/>
        <v>0</v>
      </c>
      <c r="JA179" s="120"/>
      <c r="JB179" s="120"/>
      <c r="JC179" s="120"/>
      <c r="JD179" s="120"/>
      <c r="JE179" s="120"/>
      <c r="JF179" s="205"/>
      <c r="JG179" s="205"/>
      <c r="JH179" s="205">
        <f t="shared" si="1451"/>
        <v>0</v>
      </c>
      <c r="JI179" s="120"/>
      <c r="JJ179" s="120"/>
      <c r="JK179" s="120"/>
      <c r="JL179" s="120"/>
      <c r="JM179" s="120"/>
      <c r="JN179" s="205"/>
      <c r="JO179" s="205"/>
      <c r="JP179" s="205">
        <f t="shared" si="1452"/>
        <v>0</v>
      </c>
      <c r="JQ179" s="120"/>
      <c r="JR179" s="120"/>
      <c r="JS179" s="120"/>
      <c r="JT179" s="120"/>
      <c r="JU179" s="120"/>
      <c r="JV179" s="205"/>
      <c r="JW179" s="205"/>
      <c r="JX179" s="205">
        <f t="shared" si="1453"/>
        <v>0</v>
      </c>
      <c r="JY179" s="205">
        <f t="shared" si="1454"/>
        <v>0</v>
      </c>
      <c r="JZ179" s="120"/>
      <c r="KA179" s="120"/>
      <c r="KB179" s="120"/>
      <c r="KC179" s="120"/>
      <c r="KD179" s="120"/>
      <c r="KE179" s="205"/>
      <c r="KF179" s="205"/>
      <c r="KG179" s="205">
        <f t="shared" si="1455"/>
        <v>0</v>
      </c>
      <c r="KH179" s="120"/>
      <c r="KI179" s="120"/>
      <c r="KJ179" s="120"/>
      <c r="KK179" s="120"/>
      <c r="KL179" s="120"/>
      <c r="KM179" s="205"/>
      <c r="KN179" s="205"/>
      <c r="KO179" s="205">
        <f t="shared" si="1456"/>
        <v>0</v>
      </c>
      <c r="KP179" s="120"/>
      <c r="KQ179" s="120"/>
      <c r="KR179" s="120"/>
      <c r="KS179" s="120"/>
      <c r="KT179" s="120"/>
      <c r="KU179" s="205"/>
      <c r="KV179" s="205"/>
      <c r="KW179" s="205">
        <f t="shared" si="1457"/>
        <v>0</v>
      </c>
      <c r="KX179" s="120"/>
      <c r="KY179" s="120"/>
      <c r="KZ179" s="120"/>
      <c r="LA179" s="120"/>
      <c r="LB179" s="120"/>
      <c r="LC179" s="205"/>
      <c r="LD179" s="205"/>
      <c r="LE179" s="205">
        <f t="shared" si="1458"/>
        <v>0</v>
      </c>
      <c r="LF179" s="205"/>
      <c r="LG179" s="120"/>
      <c r="LH179" s="120"/>
      <c r="LI179" s="120"/>
      <c r="LJ179" s="120"/>
      <c r="LK179" s="205"/>
      <c r="LL179" s="205"/>
      <c r="LM179" s="205">
        <f t="shared" si="1459"/>
        <v>0</v>
      </c>
      <c r="LN179" s="205">
        <f t="shared" si="1460"/>
        <v>0</v>
      </c>
      <c r="LO179" s="205"/>
      <c r="LP179" s="120"/>
      <c r="LQ179" s="120"/>
      <c r="LR179" s="120"/>
      <c r="LS179" s="205"/>
      <c r="LT179" s="205"/>
      <c r="LU179" s="205"/>
      <c r="LV179" s="205">
        <f t="shared" si="1461"/>
        <v>0</v>
      </c>
      <c r="LW179" s="120"/>
      <c r="LX179" s="120"/>
      <c r="LY179" s="120"/>
      <c r="LZ179" s="120"/>
      <c r="MA179" s="120"/>
      <c r="MB179" s="205"/>
      <c r="MC179" s="205"/>
      <c r="MD179" s="205">
        <f t="shared" si="1462"/>
        <v>0</v>
      </c>
      <c r="ME179" s="120"/>
      <c r="MF179" s="120"/>
      <c r="MG179" s="120"/>
      <c r="MH179" s="120"/>
      <c r="MI179" s="205"/>
      <c r="MJ179" s="205"/>
      <c r="MK179" s="205"/>
      <c r="ML179" s="205">
        <f t="shared" si="1463"/>
        <v>0</v>
      </c>
      <c r="MM179" s="120"/>
      <c r="MN179" s="120"/>
      <c r="MO179" s="120"/>
      <c r="MP179" s="120"/>
      <c r="MQ179" s="120"/>
      <c r="MR179" s="205"/>
      <c r="MS179" s="205"/>
      <c r="MT179" s="205">
        <f t="shared" si="1464"/>
        <v>0</v>
      </c>
      <c r="MU179" s="205">
        <f t="shared" si="1465"/>
        <v>0</v>
      </c>
      <c r="MV179" s="120"/>
      <c r="MW179" s="120"/>
      <c r="MX179" s="120"/>
      <c r="MY179" s="120"/>
      <c r="MZ179" s="120"/>
      <c r="NA179" s="205"/>
      <c r="NB179" s="205"/>
      <c r="NC179" s="205">
        <f t="shared" si="1466"/>
        <v>0</v>
      </c>
      <c r="ND179" s="120"/>
      <c r="NE179" s="120"/>
      <c r="NF179" s="120"/>
      <c r="NG179" s="120"/>
      <c r="NH179" s="120"/>
      <c r="NI179" s="205"/>
      <c r="NJ179" s="205"/>
      <c r="NK179" s="205">
        <f t="shared" si="1467"/>
        <v>0</v>
      </c>
      <c r="NL179" s="120"/>
      <c r="NM179" s="120"/>
      <c r="NN179" s="120"/>
      <c r="NO179" s="120"/>
      <c r="NP179" s="120"/>
      <c r="NQ179" s="205"/>
      <c r="NR179" s="205"/>
      <c r="NS179" s="205">
        <f t="shared" si="1468"/>
        <v>0</v>
      </c>
      <c r="NT179" s="120"/>
      <c r="NU179" s="120"/>
      <c r="NV179" s="120"/>
      <c r="NW179" s="120"/>
      <c r="NX179" s="120"/>
      <c r="NY179" s="205"/>
      <c r="NZ179" s="205"/>
      <c r="OA179" s="205">
        <f t="shared" si="1469"/>
        <v>0</v>
      </c>
      <c r="OB179" s="205">
        <f t="shared" si="1470"/>
        <v>0</v>
      </c>
      <c r="OC179" s="120"/>
      <c r="OD179" s="120"/>
      <c r="OE179" s="120"/>
      <c r="OF179" s="120"/>
      <c r="OG179" s="120"/>
      <c r="OH179" s="205"/>
      <c r="OI179" s="205"/>
      <c r="OJ179" s="205">
        <f t="shared" si="1471"/>
        <v>0</v>
      </c>
      <c r="OK179" s="120"/>
      <c r="OL179" s="120"/>
      <c r="OM179" s="120"/>
      <c r="ON179" s="120"/>
      <c r="OO179" s="120"/>
      <c r="OP179" s="205"/>
      <c r="OQ179" s="205"/>
      <c r="OR179" s="205">
        <f t="shared" si="1472"/>
        <v>0</v>
      </c>
      <c r="OS179" s="120"/>
      <c r="OT179" s="120"/>
      <c r="OU179" s="120"/>
      <c r="OV179" s="120"/>
      <c r="OW179" s="120"/>
      <c r="OX179" s="205"/>
      <c r="OY179" s="205"/>
      <c r="OZ179" s="205">
        <f t="shared" si="1473"/>
        <v>0</v>
      </c>
      <c r="PA179" s="120"/>
      <c r="PB179" s="120"/>
      <c r="PC179" s="120"/>
      <c r="PD179" s="205"/>
      <c r="PE179" s="217"/>
      <c r="PF179" s="205"/>
      <c r="PG179" s="205"/>
      <c r="PH179" s="205">
        <f t="shared" si="1474"/>
        <v>0</v>
      </c>
      <c r="PI179" s="120"/>
      <c r="PJ179" s="120"/>
      <c r="PK179" s="120"/>
      <c r="PL179" s="205"/>
      <c r="PM179" s="217"/>
      <c r="PN179" s="205"/>
      <c r="PO179" s="205"/>
      <c r="PP179" s="205">
        <f t="shared" si="1475"/>
        <v>0</v>
      </c>
      <c r="PQ179" s="205">
        <f t="shared" si="1476"/>
        <v>0</v>
      </c>
      <c r="PR179" s="207"/>
      <c r="PS179" s="207"/>
      <c r="PT179" s="207"/>
      <c r="PU179" s="207"/>
      <c r="PV179" s="207"/>
      <c r="PW179" s="272"/>
      <c r="PX179" s="272"/>
      <c r="PY179" s="205">
        <f t="shared" si="1477"/>
        <v>0</v>
      </c>
      <c r="PZ179" s="207"/>
      <c r="QA179" s="207"/>
      <c r="QB179" s="207"/>
      <c r="QC179" s="207"/>
      <c r="QD179" s="207"/>
      <c r="QE179" s="272"/>
      <c r="QF179" s="272"/>
      <c r="QG179" s="205">
        <f t="shared" si="1478"/>
        <v>0</v>
      </c>
      <c r="QH179" s="207"/>
      <c r="QI179" s="207"/>
      <c r="QJ179" s="294"/>
      <c r="QK179" s="207"/>
      <c r="QL179" s="207"/>
      <c r="QM179" s="272"/>
      <c r="QN179" s="272"/>
      <c r="QO179" s="205">
        <f t="shared" si="1479"/>
        <v>0</v>
      </c>
      <c r="QP179" s="207"/>
      <c r="QQ179" s="207"/>
      <c r="QR179" s="207"/>
      <c r="QS179" s="207"/>
      <c r="QT179" s="207"/>
      <c r="QU179" s="272"/>
      <c r="QV179" s="272"/>
      <c r="QW179" s="205">
        <f t="shared" si="1480"/>
        <v>0</v>
      </c>
      <c r="QX179" s="205">
        <f t="shared" si="1481"/>
        <v>0</v>
      </c>
      <c r="QY179" s="207"/>
      <c r="QZ179" s="207"/>
      <c r="RA179" s="207"/>
      <c r="RB179" s="207"/>
      <c r="RC179" s="207"/>
      <c r="RD179" s="272"/>
      <c r="RE179" s="272"/>
      <c r="RF179" s="205">
        <f t="shared" si="1482"/>
        <v>0</v>
      </c>
      <c r="RG179" s="207"/>
      <c r="RH179" s="207"/>
      <c r="RI179" s="207"/>
      <c r="RJ179" s="207"/>
      <c r="RK179" s="207"/>
      <c r="RL179" s="272"/>
      <c r="RM179" s="272"/>
      <c r="RN179" s="205">
        <f t="shared" si="1483"/>
        <v>0</v>
      </c>
      <c r="RO179" s="272"/>
      <c r="RP179" s="272"/>
      <c r="RQ179" s="272"/>
      <c r="RR179" s="272"/>
      <c r="RS179" s="272"/>
      <c r="RT179" s="272"/>
      <c r="RU179" s="272"/>
      <c r="RV179" s="205">
        <f t="shared" si="1484"/>
        <v>0</v>
      </c>
      <c r="RW179" s="207"/>
      <c r="RX179" s="207"/>
      <c r="RY179" s="207"/>
      <c r="RZ179" s="207"/>
      <c r="SA179" s="272"/>
      <c r="SB179" s="272"/>
      <c r="SC179" s="272"/>
      <c r="SD179" s="205">
        <f t="shared" si="1485"/>
        <v>0</v>
      </c>
      <c r="SE179" s="205">
        <f t="shared" si="1486"/>
        <v>0</v>
      </c>
      <c r="SF179" s="207"/>
      <c r="SG179" s="207"/>
      <c r="SH179" s="207"/>
      <c r="SI179" s="207"/>
      <c r="SJ179" s="207"/>
      <c r="SK179" s="272"/>
      <c r="SL179" s="272"/>
      <c r="SM179" s="205">
        <f t="shared" si="1487"/>
        <v>0</v>
      </c>
      <c r="SN179" s="207"/>
      <c r="SO179" s="207"/>
      <c r="SP179" s="207"/>
      <c r="SQ179" s="207"/>
      <c r="SR179" s="207"/>
      <c r="SS179" s="272"/>
      <c r="ST179" s="272"/>
      <c r="SU179" s="205">
        <f t="shared" si="1488"/>
        <v>0</v>
      </c>
      <c r="SV179" s="207"/>
      <c r="SW179" s="207"/>
      <c r="SX179" s="207"/>
      <c r="SY179" s="207"/>
      <c r="SZ179" s="207"/>
      <c r="TA179" s="272"/>
      <c r="TB179" s="272"/>
      <c r="TC179" s="205">
        <f t="shared" si="1489"/>
        <v>0</v>
      </c>
      <c r="TD179" s="207"/>
      <c r="TE179" s="207"/>
      <c r="TF179" s="207"/>
      <c r="TG179" s="207"/>
      <c r="TH179" s="207"/>
      <c r="TI179" s="272"/>
      <c r="TJ179" s="272"/>
      <c r="TK179" s="205">
        <f t="shared" si="1490"/>
        <v>0</v>
      </c>
      <c r="TL179" s="207"/>
      <c r="TM179" s="207"/>
      <c r="TN179" s="207"/>
      <c r="TO179" s="207"/>
      <c r="TP179" s="272"/>
      <c r="TQ179" s="272"/>
      <c r="TR179" s="272"/>
      <c r="TS179" s="205">
        <f t="shared" si="1491"/>
        <v>0</v>
      </c>
      <c r="TT179" s="205">
        <f t="shared" si="1492"/>
        <v>0</v>
      </c>
      <c r="TU179" s="272"/>
      <c r="TV179" s="207"/>
      <c r="TW179" s="207"/>
      <c r="TX179" s="207"/>
      <c r="TY179" s="207"/>
      <c r="TZ179" s="272"/>
      <c r="UA179" s="272"/>
      <c r="UB179" s="205">
        <f t="shared" si="1493"/>
        <v>0</v>
      </c>
      <c r="UC179" s="207"/>
      <c r="UD179" s="207"/>
      <c r="UE179" s="207"/>
      <c r="UF179" s="207"/>
      <c r="UG179" s="207"/>
      <c r="UH179" s="272"/>
      <c r="UI179" s="272"/>
      <c r="UJ179" s="205">
        <f t="shared" si="1494"/>
        <v>0</v>
      </c>
      <c r="UK179" s="207"/>
      <c r="UL179" s="207"/>
      <c r="UM179" s="207"/>
      <c r="UN179" s="207"/>
      <c r="UO179" s="207"/>
      <c r="UP179" s="272"/>
      <c r="UQ179" s="272"/>
      <c r="UR179" s="205">
        <f t="shared" si="1495"/>
        <v>0</v>
      </c>
      <c r="US179" s="207"/>
      <c r="UT179" s="207"/>
      <c r="UU179" s="207"/>
      <c r="UV179" s="207"/>
      <c r="UW179" s="272"/>
      <c r="UX179" s="272"/>
      <c r="UY179" s="272"/>
      <c r="UZ179" s="205">
        <f t="shared" si="1496"/>
        <v>0</v>
      </c>
      <c r="VA179" s="205">
        <f t="shared" si="1497"/>
        <v>0</v>
      </c>
      <c r="VB179" s="207"/>
      <c r="VC179" s="207"/>
      <c r="VD179" s="207"/>
      <c r="VE179" s="207"/>
      <c r="VF179" s="207"/>
      <c r="VG179" s="272"/>
      <c r="VH179" s="272"/>
      <c r="VI179" s="205">
        <f t="shared" si="1498"/>
        <v>0</v>
      </c>
      <c r="VJ179" s="207"/>
      <c r="VK179" s="207"/>
      <c r="VL179" s="207"/>
      <c r="VM179" s="207"/>
      <c r="VN179" s="207"/>
      <c r="VO179" s="272"/>
      <c r="VP179" s="272"/>
      <c r="VQ179" s="205">
        <f t="shared" si="1499"/>
        <v>0</v>
      </c>
      <c r="VR179" s="207"/>
      <c r="VS179" s="207"/>
      <c r="VT179" s="207"/>
      <c r="VU179" s="207"/>
      <c r="VV179" s="207"/>
      <c r="VW179" s="272"/>
      <c r="VX179" s="272"/>
      <c r="VY179" s="205">
        <f t="shared" si="1500"/>
        <v>0</v>
      </c>
      <c r="VZ179" s="207"/>
      <c r="WA179" s="207"/>
      <c r="WB179" s="207"/>
      <c r="WC179" s="207"/>
      <c r="WD179" s="207"/>
      <c r="WE179" s="272"/>
      <c r="WF179" s="272"/>
      <c r="WG179" s="205">
        <f t="shared" si="1501"/>
        <v>0</v>
      </c>
      <c r="WH179" s="205">
        <f t="shared" si="1502"/>
        <v>0</v>
      </c>
      <c r="WI179" s="207"/>
      <c r="WJ179" s="207"/>
      <c r="WK179" s="207"/>
      <c r="WL179" s="207"/>
      <c r="WM179" s="207"/>
      <c r="WN179" s="272"/>
      <c r="WO179" s="272"/>
      <c r="WP179" s="205">
        <f t="shared" si="1503"/>
        <v>0</v>
      </c>
      <c r="WQ179" s="207"/>
      <c r="WR179" s="207"/>
      <c r="WS179" s="207"/>
      <c r="WT179" s="207"/>
      <c r="WU179" s="207"/>
      <c r="WV179" s="272"/>
      <c r="WW179" s="272"/>
      <c r="WX179" s="205">
        <f t="shared" si="1504"/>
        <v>0</v>
      </c>
      <c r="WY179" s="207"/>
      <c r="WZ179" s="207"/>
      <c r="XA179" s="207"/>
      <c r="XB179" s="207"/>
      <c r="XC179" s="272"/>
      <c r="XD179" s="272"/>
      <c r="XE179" s="272"/>
      <c r="XF179" s="205">
        <f t="shared" si="1505"/>
        <v>0</v>
      </c>
      <c r="XG179" s="207"/>
      <c r="XH179" s="207"/>
      <c r="XI179" s="207"/>
      <c r="XJ179" s="207"/>
      <c r="XK179" s="207"/>
      <c r="XL179" s="272"/>
      <c r="XM179" s="272"/>
      <c r="XN179" s="205">
        <f t="shared" si="1506"/>
        <v>0</v>
      </c>
      <c r="XO179" s="207"/>
      <c r="XP179" s="207"/>
      <c r="XQ179" s="207"/>
      <c r="XR179" s="207"/>
      <c r="XS179" s="207"/>
      <c r="XT179" s="272"/>
      <c r="XU179" s="272"/>
      <c r="XV179" s="205">
        <f t="shared" si="1507"/>
        <v>0</v>
      </c>
      <c r="XW179" s="205">
        <f t="shared" si="1508"/>
        <v>0</v>
      </c>
      <c r="XX179" s="207"/>
      <c r="XY179" s="207"/>
      <c r="XZ179" s="207"/>
      <c r="YA179" s="207"/>
      <c r="YB179" s="207"/>
      <c r="YC179" s="272"/>
      <c r="YD179" s="272"/>
      <c r="YE179" s="205">
        <f t="shared" si="1509"/>
        <v>0</v>
      </c>
      <c r="YF179" s="207"/>
      <c r="YG179" s="207"/>
      <c r="YH179" s="207"/>
      <c r="YI179" s="207"/>
      <c r="YJ179" s="207"/>
      <c r="YK179" s="272"/>
      <c r="YL179" s="272"/>
      <c r="YM179" s="205">
        <f t="shared" si="1510"/>
        <v>0</v>
      </c>
      <c r="YN179" s="207"/>
      <c r="YO179" s="207"/>
      <c r="YP179" s="207"/>
      <c r="YQ179" s="207"/>
      <c r="YR179" s="207"/>
      <c r="YS179" s="272"/>
      <c r="YT179" s="272"/>
      <c r="YU179" s="205">
        <f t="shared" si="1511"/>
        <v>0</v>
      </c>
      <c r="YV179" s="207"/>
      <c r="YW179" s="207"/>
      <c r="YX179" s="207"/>
      <c r="YY179" s="207"/>
      <c r="YZ179" s="207"/>
      <c r="ZA179" s="272"/>
      <c r="ZB179" s="272"/>
      <c r="ZC179" s="205">
        <f t="shared" si="1512"/>
        <v>0</v>
      </c>
      <c r="ZD179" s="205">
        <f t="shared" si="1513"/>
        <v>0</v>
      </c>
      <c r="ZE179" s="207"/>
      <c r="ZF179" s="207"/>
      <c r="ZG179" s="207"/>
      <c r="ZH179" s="207"/>
      <c r="ZI179" s="207"/>
      <c r="ZJ179" s="272"/>
      <c r="ZK179" s="272"/>
      <c r="ZL179" s="205">
        <f t="shared" si="1514"/>
        <v>0</v>
      </c>
      <c r="ZM179" s="207"/>
      <c r="ZN179" s="207"/>
      <c r="ZO179" s="207"/>
      <c r="ZP179" s="207"/>
      <c r="ZQ179" s="207"/>
      <c r="ZR179" s="272"/>
      <c r="ZS179" s="272"/>
      <c r="ZT179" s="205">
        <f t="shared" si="1515"/>
        <v>0</v>
      </c>
      <c r="ZU179" s="207"/>
      <c r="ZV179" s="207"/>
      <c r="ZW179" s="207"/>
      <c r="ZX179" s="207"/>
      <c r="ZY179" s="207"/>
      <c r="ZZ179" s="272"/>
      <c r="AAA179" s="272"/>
      <c r="AAB179" s="205">
        <f t="shared" si="1516"/>
        <v>0</v>
      </c>
      <c r="AAC179" s="207"/>
      <c r="AAD179" s="207"/>
      <c r="AAE179" s="207"/>
      <c r="AAF179" s="207"/>
      <c r="AAG179" s="207"/>
      <c r="AAH179" s="272"/>
      <c r="AAI179" s="272"/>
      <c r="AAJ179" s="205">
        <f t="shared" si="1517"/>
        <v>0</v>
      </c>
      <c r="AAK179" s="207"/>
      <c r="AAL179" s="207"/>
      <c r="AAM179" s="207"/>
      <c r="AAN179" s="207"/>
      <c r="AAO179" s="207"/>
      <c r="AAP179" s="272"/>
      <c r="AAQ179" s="272"/>
      <c r="AAR179" s="205">
        <f t="shared" si="1518"/>
        <v>0</v>
      </c>
      <c r="AAS179" s="205">
        <f t="shared" si="1519"/>
        <v>0</v>
      </c>
    </row>
    <row r="180" spans="1:721" ht="69.95" customHeight="1">
      <c r="B180" s="182" t="s">
        <v>499</v>
      </c>
      <c r="C180" s="340" t="s">
        <v>504</v>
      </c>
      <c r="D180" s="184" t="s">
        <v>501</v>
      </c>
      <c r="E180" s="130" t="s">
        <v>4</v>
      </c>
      <c r="F180" s="120"/>
      <c r="G180" s="120"/>
      <c r="H180" s="120"/>
      <c r="I180" s="120"/>
      <c r="J180" s="120"/>
      <c r="K180" s="209"/>
      <c r="L180" s="205"/>
      <c r="M180" s="205">
        <f t="shared" si="1520"/>
        <v>0</v>
      </c>
      <c r="N180" s="120"/>
      <c r="O180" s="120"/>
      <c r="P180" s="120"/>
      <c r="Q180" s="120"/>
      <c r="R180" s="120"/>
      <c r="S180" s="209"/>
      <c r="T180" s="205"/>
      <c r="U180" s="205">
        <f t="shared" si="1521"/>
        <v>0</v>
      </c>
      <c r="V180" s="120"/>
      <c r="W180" s="120"/>
      <c r="X180" s="120"/>
      <c r="Y180" s="120"/>
      <c r="Z180" s="120"/>
      <c r="AA180" s="209"/>
      <c r="AB180" s="205"/>
      <c r="AC180" s="205">
        <f t="shared" si="1522"/>
        <v>0</v>
      </c>
      <c r="AD180" s="205"/>
      <c r="AE180" s="205"/>
      <c r="AF180" s="205"/>
      <c r="AG180" s="205"/>
      <c r="AH180" s="205"/>
      <c r="AI180" s="209"/>
      <c r="AJ180" s="205"/>
      <c r="AK180" s="205">
        <f t="shared" si="1523"/>
        <v>0</v>
      </c>
      <c r="AL180" s="205" t="e">
        <f>SUM(#REF!,M180,U180,AC180,AD180:AH180)</f>
        <v>#REF!</v>
      </c>
      <c r="AM180" s="120"/>
      <c r="AN180" s="120"/>
      <c r="AO180" s="120"/>
      <c r="AP180" s="120"/>
      <c r="AQ180" s="120"/>
      <c r="AR180" s="209"/>
      <c r="AS180" s="205"/>
      <c r="AT180" s="205">
        <f t="shared" si="1524"/>
        <v>0</v>
      </c>
      <c r="AU180" s="120"/>
      <c r="AV180" s="120"/>
      <c r="AW180" s="120"/>
      <c r="AX180" s="120"/>
      <c r="AY180" s="120"/>
      <c r="AZ180" s="209"/>
      <c r="BA180" s="205"/>
      <c r="BB180" s="205">
        <f t="shared" si="1525"/>
        <v>0</v>
      </c>
      <c r="BC180" s="120"/>
      <c r="BD180" s="120"/>
      <c r="BE180" s="120"/>
      <c r="BF180" s="120"/>
      <c r="BG180" s="120"/>
      <c r="BH180" s="209"/>
      <c r="BI180" s="205"/>
      <c r="BJ180" s="205">
        <f t="shared" si="1526"/>
        <v>0</v>
      </c>
      <c r="BK180" s="120"/>
      <c r="BL180" s="120"/>
      <c r="BM180" s="120"/>
      <c r="BN180" s="120"/>
      <c r="BO180" s="205"/>
      <c r="BP180" s="209"/>
      <c r="BQ180" s="205"/>
      <c r="BR180" s="205">
        <f t="shared" si="1527"/>
        <v>0</v>
      </c>
      <c r="BS180" s="205">
        <f t="shared" si="1427"/>
        <v>0</v>
      </c>
      <c r="BT180" s="120"/>
      <c r="BU180" s="120"/>
      <c r="BV180" s="120"/>
      <c r="BW180" s="120"/>
      <c r="BX180" s="120"/>
      <c r="BY180" s="209"/>
      <c r="BZ180" s="205"/>
      <c r="CA180" s="205">
        <f t="shared" si="1528"/>
        <v>0</v>
      </c>
      <c r="CB180" s="120"/>
      <c r="CC180" s="120"/>
      <c r="CD180" s="120"/>
      <c r="CE180" s="120"/>
      <c r="CF180" s="120"/>
      <c r="CG180" s="209"/>
      <c r="CH180" s="205"/>
      <c r="CI180" s="205">
        <f t="shared" si="1529"/>
        <v>0</v>
      </c>
      <c r="CJ180" s="120"/>
      <c r="CK180" s="120"/>
      <c r="CL180" s="120"/>
      <c r="CM180" s="120"/>
      <c r="CN180" s="120"/>
      <c r="CO180" s="209"/>
      <c r="CP180" s="205"/>
      <c r="CQ180" s="205">
        <f t="shared" si="1530"/>
        <v>0</v>
      </c>
      <c r="CR180" s="120"/>
      <c r="CS180" s="120"/>
      <c r="CT180" s="120"/>
      <c r="CU180" s="120"/>
      <c r="CV180" s="120"/>
      <c r="CW180" s="209"/>
      <c r="CX180" s="205"/>
      <c r="CY180" s="205">
        <f t="shared" si="1531"/>
        <v>0</v>
      </c>
      <c r="CZ180" s="120"/>
      <c r="DA180" s="120"/>
      <c r="DB180" s="120"/>
      <c r="DC180" s="205"/>
      <c r="DD180" s="205"/>
      <c r="DE180" s="209"/>
      <c r="DF180" s="205"/>
      <c r="DG180" s="205">
        <f t="shared" si="1532"/>
        <v>0</v>
      </c>
      <c r="DH180" s="205">
        <f t="shared" si="1428"/>
        <v>0</v>
      </c>
      <c r="DI180" s="120"/>
      <c r="DJ180" s="120"/>
      <c r="DK180" s="120"/>
      <c r="DL180" s="120"/>
      <c r="DM180" s="120"/>
      <c r="DN180" s="209"/>
      <c r="DO180" s="205"/>
      <c r="DP180" s="205">
        <f t="shared" si="1432"/>
        <v>0</v>
      </c>
      <c r="DQ180" s="120"/>
      <c r="DR180" s="120"/>
      <c r="DS180" s="120"/>
      <c r="DT180" s="120"/>
      <c r="DU180" s="120"/>
      <c r="DV180" s="209"/>
      <c r="DW180" s="205"/>
      <c r="DX180" s="205">
        <f t="shared" si="1433"/>
        <v>0</v>
      </c>
      <c r="DY180" s="120"/>
      <c r="DZ180" s="120"/>
      <c r="EA180" s="120"/>
      <c r="EB180" s="120"/>
      <c r="EC180" s="120"/>
      <c r="ED180" s="209"/>
      <c r="EE180" s="205"/>
      <c r="EF180" s="205">
        <f t="shared" si="1434"/>
        <v>0</v>
      </c>
      <c r="EG180" s="120"/>
      <c r="EH180" s="120"/>
      <c r="EI180" s="120"/>
      <c r="EJ180" s="205"/>
      <c r="EK180" s="205"/>
      <c r="EL180" s="209"/>
      <c r="EM180" s="205"/>
      <c r="EN180" s="205">
        <f t="shared" si="1435"/>
        <v>0</v>
      </c>
      <c r="EO180" s="205">
        <f t="shared" si="1429"/>
        <v>0</v>
      </c>
      <c r="EP180" s="120"/>
      <c r="EQ180" s="120"/>
      <c r="ER180" s="120"/>
      <c r="ES180" s="120"/>
      <c r="ET180" s="120"/>
      <c r="EU180" s="209"/>
      <c r="EV180" s="205"/>
      <c r="EW180" s="205">
        <f t="shared" si="1436"/>
        <v>0</v>
      </c>
      <c r="EX180" s="120"/>
      <c r="EY180" s="120"/>
      <c r="EZ180" s="120"/>
      <c r="FA180" s="120"/>
      <c r="FB180" s="120"/>
      <c r="FC180" s="209"/>
      <c r="FD180" s="205"/>
      <c r="FE180" s="205">
        <f t="shared" si="1437"/>
        <v>0</v>
      </c>
      <c r="FF180" s="120"/>
      <c r="FG180" s="120"/>
      <c r="FH180" s="120"/>
      <c r="FI180" s="120"/>
      <c r="FJ180" s="120"/>
      <c r="FK180" s="209"/>
      <c r="FL180" s="205"/>
      <c r="FM180" s="205">
        <f t="shared" si="1438"/>
        <v>0</v>
      </c>
      <c r="FN180" s="120"/>
      <c r="FO180" s="120"/>
      <c r="FP180" s="120"/>
      <c r="FQ180" s="120"/>
      <c r="FR180" s="205"/>
      <c r="FS180" s="209"/>
      <c r="FT180" s="205"/>
      <c r="FU180" s="205">
        <f t="shared" si="1439"/>
        <v>0</v>
      </c>
      <c r="FV180" s="205">
        <f t="shared" si="1430"/>
        <v>0</v>
      </c>
      <c r="FW180" s="120"/>
      <c r="FX180" s="120"/>
      <c r="FY180" s="120"/>
      <c r="FZ180" s="120"/>
      <c r="GA180" s="120"/>
      <c r="GB180" s="209"/>
      <c r="GC180" s="205"/>
      <c r="GD180" s="205">
        <f t="shared" si="1440"/>
        <v>0</v>
      </c>
      <c r="GE180" s="120"/>
      <c r="GF180" s="120"/>
      <c r="GG180" s="120"/>
      <c r="GH180" s="120"/>
      <c r="GI180" s="120"/>
      <c r="GJ180" s="209"/>
      <c r="GK180" s="205"/>
      <c r="GL180" s="205">
        <f t="shared" si="1441"/>
        <v>0</v>
      </c>
      <c r="GM180" s="120"/>
      <c r="GN180" s="120"/>
      <c r="GO180" s="120"/>
      <c r="GP180" s="120"/>
      <c r="GQ180" s="120"/>
      <c r="GR180" s="209"/>
      <c r="GS180" s="205"/>
      <c r="GT180" s="205">
        <f t="shared" si="1442"/>
        <v>0</v>
      </c>
      <c r="GU180" s="120"/>
      <c r="GV180" s="120"/>
      <c r="GW180" s="120"/>
      <c r="GX180" s="120"/>
      <c r="GY180" s="120"/>
      <c r="GZ180" s="209"/>
      <c r="HA180" s="205"/>
      <c r="HB180" s="205">
        <f t="shared" si="1443"/>
        <v>0</v>
      </c>
      <c r="HC180" s="120"/>
      <c r="HD180" s="120"/>
      <c r="HE180" s="120"/>
      <c r="HF180" s="120"/>
      <c r="HG180" s="120"/>
      <c r="HH180" s="209"/>
      <c r="HI180" s="205"/>
      <c r="HJ180" s="205">
        <f t="shared" si="1444"/>
        <v>0</v>
      </c>
      <c r="HK180" s="205">
        <f t="shared" si="1431"/>
        <v>0</v>
      </c>
      <c r="HL180" s="124"/>
      <c r="HM180" s="120"/>
      <c r="HN180" s="120"/>
      <c r="HO180" s="120"/>
      <c r="HP180" s="120"/>
      <c r="HQ180" s="205"/>
      <c r="HR180" s="205"/>
      <c r="HS180" s="205">
        <f t="shared" si="1445"/>
        <v>0</v>
      </c>
      <c r="HT180" s="120"/>
      <c r="HU180" s="120"/>
      <c r="HV180" s="120"/>
      <c r="HW180" s="120"/>
      <c r="HX180" s="120"/>
      <c r="HY180" s="205"/>
      <c r="HZ180" s="205"/>
      <c r="IA180" s="205">
        <f t="shared" si="1446"/>
        <v>0</v>
      </c>
      <c r="IB180" s="120"/>
      <c r="IC180" s="120"/>
      <c r="ID180" s="120"/>
      <c r="IE180" s="120"/>
      <c r="IF180" s="120"/>
      <c r="IG180" s="205"/>
      <c r="IH180" s="205"/>
      <c r="II180" s="205">
        <f t="shared" si="1447"/>
        <v>0</v>
      </c>
      <c r="IJ180" s="120"/>
      <c r="IK180" s="120"/>
      <c r="IL180" s="120"/>
      <c r="IM180" s="120"/>
      <c r="IN180" s="120"/>
      <c r="IO180" s="205"/>
      <c r="IP180" s="205"/>
      <c r="IQ180" s="205">
        <f t="shared" si="1448"/>
        <v>0</v>
      </c>
      <c r="IR180" s="205">
        <f t="shared" si="1449"/>
        <v>0</v>
      </c>
      <c r="IS180" s="120"/>
      <c r="IT180" s="120"/>
      <c r="IU180" s="120"/>
      <c r="IV180" s="120"/>
      <c r="IW180" s="120"/>
      <c r="IX180" s="205"/>
      <c r="IY180" s="205"/>
      <c r="IZ180" s="205">
        <f t="shared" si="1450"/>
        <v>0</v>
      </c>
      <c r="JA180" s="120"/>
      <c r="JB180" s="120"/>
      <c r="JC180" s="120"/>
      <c r="JD180" s="120"/>
      <c r="JE180" s="120"/>
      <c r="JF180" s="205"/>
      <c r="JG180" s="205"/>
      <c r="JH180" s="205">
        <f t="shared" si="1451"/>
        <v>0</v>
      </c>
      <c r="JI180" s="120"/>
      <c r="JJ180" s="120"/>
      <c r="JK180" s="120"/>
      <c r="JL180" s="120"/>
      <c r="JM180" s="120"/>
      <c r="JN180" s="205"/>
      <c r="JO180" s="205"/>
      <c r="JP180" s="205">
        <f t="shared" si="1452"/>
        <v>0</v>
      </c>
      <c r="JQ180" s="120"/>
      <c r="JR180" s="120"/>
      <c r="JS180" s="120"/>
      <c r="JT180" s="120"/>
      <c r="JU180" s="120"/>
      <c r="JV180" s="205"/>
      <c r="JW180" s="205"/>
      <c r="JX180" s="205">
        <f t="shared" si="1453"/>
        <v>0</v>
      </c>
      <c r="JY180" s="205">
        <f t="shared" si="1454"/>
        <v>0</v>
      </c>
      <c r="JZ180" s="120"/>
      <c r="KA180" s="120"/>
      <c r="KB180" s="120"/>
      <c r="KC180" s="120"/>
      <c r="KD180" s="120"/>
      <c r="KE180" s="205"/>
      <c r="KF180" s="205"/>
      <c r="KG180" s="205">
        <f t="shared" si="1455"/>
        <v>0</v>
      </c>
      <c r="KH180" s="120"/>
      <c r="KI180" s="120"/>
      <c r="KJ180" s="120"/>
      <c r="KK180" s="120"/>
      <c r="KL180" s="120"/>
      <c r="KM180" s="205"/>
      <c r="KN180" s="205"/>
      <c r="KO180" s="205">
        <f t="shared" si="1456"/>
        <v>0</v>
      </c>
      <c r="KP180" s="120"/>
      <c r="KQ180" s="120"/>
      <c r="KR180" s="120"/>
      <c r="KS180" s="120"/>
      <c r="KT180" s="120"/>
      <c r="KU180" s="205"/>
      <c r="KV180" s="205"/>
      <c r="KW180" s="205">
        <f t="shared" si="1457"/>
        <v>0</v>
      </c>
      <c r="KX180" s="120"/>
      <c r="KY180" s="120"/>
      <c r="KZ180" s="120"/>
      <c r="LA180" s="120"/>
      <c r="LB180" s="120"/>
      <c r="LC180" s="205"/>
      <c r="LD180" s="205"/>
      <c r="LE180" s="205">
        <f t="shared" si="1458"/>
        <v>0</v>
      </c>
      <c r="LF180" s="205"/>
      <c r="LG180" s="120"/>
      <c r="LH180" s="120"/>
      <c r="LI180" s="120"/>
      <c r="LJ180" s="120"/>
      <c r="LK180" s="205"/>
      <c r="LL180" s="205"/>
      <c r="LM180" s="205">
        <f t="shared" si="1459"/>
        <v>0</v>
      </c>
      <c r="LN180" s="205">
        <f t="shared" si="1460"/>
        <v>0</v>
      </c>
      <c r="LO180" s="205"/>
      <c r="LP180" s="120"/>
      <c r="LQ180" s="120"/>
      <c r="LR180" s="120"/>
      <c r="LS180" s="205"/>
      <c r="LT180" s="205"/>
      <c r="LU180" s="205"/>
      <c r="LV180" s="205">
        <f t="shared" si="1461"/>
        <v>0</v>
      </c>
      <c r="LW180" s="120"/>
      <c r="LX180" s="120"/>
      <c r="LY180" s="120"/>
      <c r="LZ180" s="120"/>
      <c r="MA180" s="120"/>
      <c r="MB180" s="205"/>
      <c r="MC180" s="205"/>
      <c r="MD180" s="205">
        <f t="shared" si="1462"/>
        <v>0</v>
      </c>
      <c r="ME180" s="120"/>
      <c r="MF180" s="120"/>
      <c r="MG180" s="120"/>
      <c r="MH180" s="120"/>
      <c r="MI180" s="205"/>
      <c r="MJ180" s="205"/>
      <c r="MK180" s="205"/>
      <c r="ML180" s="205">
        <f t="shared" si="1463"/>
        <v>0</v>
      </c>
      <c r="MM180" s="120"/>
      <c r="MN180" s="120"/>
      <c r="MO180" s="120"/>
      <c r="MP180" s="120"/>
      <c r="MQ180" s="120"/>
      <c r="MR180" s="205"/>
      <c r="MS180" s="205"/>
      <c r="MT180" s="205">
        <f t="shared" si="1464"/>
        <v>0</v>
      </c>
      <c r="MU180" s="205">
        <f t="shared" si="1465"/>
        <v>0</v>
      </c>
      <c r="MV180" s="120"/>
      <c r="MW180" s="120"/>
      <c r="MX180" s="120"/>
      <c r="MY180" s="120"/>
      <c r="MZ180" s="120"/>
      <c r="NA180" s="205"/>
      <c r="NB180" s="205"/>
      <c r="NC180" s="205">
        <f t="shared" si="1466"/>
        <v>0</v>
      </c>
      <c r="ND180" s="120"/>
      <c r="NE180" s="120"/>
      <c r="NF180" s="120"/>
      <c r="NG180" s="120"/>
      <c r="NH180" s="120"/>
      <c r="NI180" s="205"/>
      <c r="NJ180" s="205"/>
      <c r="NK180" s="205">
        <f t="shared" si="1467"/>
        <v>0</v>
      </c>
      <c r="NL180" s="120"/>
      <c r="NM180" s="120"/>
      <c r="NN180" s="120"/>
      <c r="NO180" s="120"/>
      <c r="NP180" s="120"/>
      <c r="NQ180" s="205"/>
      <c r="NR180" s="205"/>
      <c r="NS180" s="205">
        <f t="shared" si="1468"/>
        <v>0</v>
      </c>
      <c r="NT180" s="120"/>
      <c r="NU180" s="120"/>
      <c r="NV180" s="120"/>
      <c r="NW180" s="120"/>
      <c r="NX180" s="120"/>
      <c r="NY180" s="205"/>
      <c r="NZ180" s="205"/>
      <c r="OA180" s="205">
        <f t="shared" si="1469"/>
        <v>0</v>
      </c>
      <c r="OB180" s="205">
        <f t="shared" si="1470"/>
        <v>0</v>
      </c>
      <c r="OC180" s="120"/>
      <c r="OD180" s="120"/>
      <c r="OE180" s="120"/>
      <c r="OF180" s="120"/>
      <c r="OG180" s="120"/>
      <c r="OH180" s="205"/>
      <c r="OI180" s="205"/>
      <c r="OJ180" s="205">
        <f t="shared" si="1471"/>
        <v>0</v>
      </c>
      <c r="OK180" s="120"/>
      <c r="OL180" s="120"/>
      <c r="OM180" s="120"/>
      <c r="ON180" s="120"/>
      <c r="OO180" s="120"/>
      <c r="OP180" s="205"/>
      <c r="OQ180" s="205"/>
      <c r="OR180" s="205">
        <f t="shared" si="1472"/>
        <v>0</v>
      </c>
      <c r="OS180" s="120"/>
      <c r="OT180" s="120"/>
      <c r="OU180" s="120"/>
      <c r="OV180" s="120"/>
      <c r="OW180" s="120"/>
      <c r="OX180" s="205"/>
      <c r="OY180" s="205"/>
      <c r="OZ180" s="205">
        <f t="shared" si="1473"/>
        <v>0</v>
      </c>
      <c r="PA180" s="120"/>
      <c r="PB180" s="120"/>
      <c r="PC180" s="120"/>
      <c r="PD180" s="205"/>
      <c r="PE180" s="217"/>
      <c r="PF180" s="205"/>
      <c r="PG180" s="205"/>
      <c r="PH180" s="205">
        <f t="shared" si="1474"/>
        <v>0</v>
      </c>
      <c r="PI180" s="120"/>
      <c r="PJ180" s="120"/>
      <c r="PK180" s="120"/>
      <c r="PL180" s="205"/>
      <c r="PM180" s="217"/>
      <c r="PN180" s="205"/>
      <c r="PO180" s="205"/>
      <c r="PP180" s="205">
        <f t="shared" si="1475"/>
        <v>0</v>
      </c>
      <c r="PQ180" s="205">
        <f t="shared" si="1476"/>
        <v>0</v>
      </c>
      <c r="PR180" s="207"/>
      <c r="PS180" s="207"/>
      <c r="PT180" s="207"/>
      <c r="PU180" s="207"/>
      <c r="PV180" s="207"/>
      <c r="PW180" s="272"/>
      <c r="PX180" s="272"/>
      <c r="PY180" s="205">
        <f t="shared" si="1477"/>
        <v>0</v>
      </c>
      <c r="PZ180" s="207"/>
      <c r="QA180" s="207"/>
      <c r="QB180" s="207"/>
      <c r="QC180" s="207"/>
      <c r="QD180" s="207"/>
      <c r="QE180" s="272"/>
      <c r="QF180" s="272"/>
      <c r="QG180" s="205">
        <f t="shared" si="1478"/>
        <v>0</v>
      </c>
      <c r="QH180" s="207"/>
      <c r="QI180" s="207"/>
      <c r="QJ180" s="294"/>
      <c r="QK180" s="207"/>
      <c r="QL180" s="207"/>
      <c r="QM180" s="272"/>
      <c r="QN180" s="272"/>
      <c r="QO180" s="205">
        <f t="shared" si="1479"/>
        <v>0</v>
      </c>
      <c r="QP180" s="207"/>
      <c r="QQ180" s="207"/>
      <c r="QR180" s="207"/>
      <c r="QS180" s="207"/>
      <c r="QT180" s="207"/>
      <c r="QU180" s="272"/>
      <c r="QV180" s="272"/>
      <c r="QW180" s="205">
        <f t="shared" si="1480"/>
        <v>0</v>
      </c>
      <c r="QX180" s="205">
        <f t="shared" si="1481"/>
        <v>0</v>
      </c>
      <c r="QY180" s="207"/>
      <c r="QZ180" s="207"/>
      <c r="RA180" s="207"/>
      <c r="RB180" s="207"/>
      <c r="RC180" s="207"/>
      <c r="RD180" s="272"/>
      <c r="RE180" s="272"/>
      <c r="RF180" s="205">
        <f t="shared" si="1482"/>
        <v>0</v>
      </c>
      <c r="RG180" s="207"/>
      <c r="RH180" s="207"/>
      <c r="RI180" s="207"/>
      <c r="RJ180" s="207"/>
      <c r="RK180" s="207"/>
      <c r="RL180" s="272"/>
      <c r="RM180" s="272"/>
      <c r="RN180" s="205">
        <f t="shared" si="1483"/>
        <v>0</v>
      </c>
      <c r="RO180" s="272"/>
      <c r="RP180" s="272"/>
      <c r="RQ180" s="272"/>
      <c r="RR180" s="272"/>
      <c r="RS180" s="272"/>
      <c r="RT180" s="272"/>
      <c r="RU180" s="272"/>
      <c r="RV180" s="205">
        <f t="shared" si="1484"/>
        <v>0</v>
      </c>
      <c r="RW180" s="207"/>
      <c r="RX180" s="207"/>
      <c r="RY180" s="207"/>
      <c r="RZ180" s="207"/>
      <c r="SA180" s="272"/>
      <c r="SB180" s="272"/>
      <c r="SC180" s="272"/>
      <c r="SD180" s="205">
        <f t="shared" si="1485"/>
        <v>0</v>
      </c>
      <c r="SE180" s="205">
        <f t="shared" si="1486"/>
        <v>0</v>
      </c>
      <c r="SF180" s="207"/>
      <c r="SG180" s="207"/>
      <c r="SH180" s="207"/>
      <c r="SI180" s="207"/>
      <c r="SJ180" s="207"/>
      <c r="SK180" s="272"/>
      <c r="SL180" s="272"/>
      <c r="SM180" s="205">
        <f t="shared" si="1487"/>
        <v>0</v>
      </c>
      <c r="SN180" s="207"/>
      <c r="SO180" s="207"/>
      <c r="SP180" s="207"/>
      <c r="SQ180" s="207"/>
      <c r="SR180" s="207"/>
      <c r="SS180" s="272"/>
      <c r="ST180" s="272"/>
      <c r="SU180" s="205">
        <f t="shared" si="1488"/>
        <v>0</v>
      </c>
      <c r="SV180" s="207"/>
      <c r="SW180" s="207"/>
      <c r="SX180" s="207"/>
      <c r="SY180" s="207"/>
      <c r="SZ180" s="207"/>
      <c r="TA180" s="272"/>
      <c r="TB180" s="272"/>
      <c r="TC180" s="205">
        <f t="shared" si="1489"/>
        <v>0</v>
      </c>
      <c r="TD180" s="207"/>
      <c r="TE180" s="207"/>
      <c r="TF180" s="207"/>
      <c r="TG180" s="207"/>
      <c r="TH180" s="207"/>
      <c r="TI180" s="272"/>
      <c r="TJ180" s="272"/>
      <c r="TK180" s="205">
        <f t="shared" si="1490"/>
        <v>0</v>
      </c>
      <c r="TL180" s="207"/>
      <c r="TM180" s="207"/>
      <c r="TN180" s="207"/>
      <c r="TO180" s="207"/>
      <c r="TP180" s="272"/>
      <c r="TQ180" s="272"/>
      <c r="TR180" s="272"/>
      <c r="TS180" s="205">
        <f t="shared" si="1491"/>
        <v>0</v>
      </c>
      <c r="TT180" s="205">
        <f t="shared" si="1492"/>
        <v>0</v>
      </c>
      <c r="TU180" s="272"/>
      <c r="TV180" s="207"/>
      <c r="TW180" s="207"/>
      <c r="TX180" s="207"/>
      <c r="TY180" s="207"/>
      <c r="TZ180" s="272"/>
      <c r="UA180" s="272"/>
      <c r="UB180" s="205">
        <f t="shared" si="1493"/>
        <v>0</v>
      </c>
      <c r="UC180" s="207"/>
      <c r="UD180" s="207"/>
      <c r="UE180" s="207"/>
      <c r="UF180" s="207"/>
      <c r="UG180" s="207"/>
      <c r="UH180" s="272"/>
      <c r="UI180" s="272"/>
      <c r="UJ180" s="205">
        <f t="shared" si="1494"/>
        <v>0</v>
      </c>
      <c r="UK180" s="207"/>
      <c r="UL180" s="207"/>
      <c r="UM180" s="207"/>
      <c r="UN180" s="207"/>
      <c r="UO180" s="207"/>
      <c r="UP180" s="272"/>
      <c r="UQ180" s="272"/>
      <c r="UR180" s="205">
        <f t="shared" si="1495"/>
        <v>0</v>
      </c>
      <c r="US180" s="207"/>
      <c r="UT180" s="207"/>
      <c r="UU180" s="207"/>
      <c r="UV180" s="207"/>
      <c r="UW180" s="272"/>
      <c r="UX180" s="272"/>
      <c r="UY180" s="272"/>
      <c r="UZ180" s="205">
        <f t="shared" si="1496"/>
        <v>0</v>
      </c>
      <c r="VA180" s="205">
        <f t="shared" si="1497"/>
        <v>0</v>
      </c>
      <c r="VB180" s="207"/>
      <c r="VC180" s="207"/>
      <c r="VD180" s="207"/>
      <c r="VE180" s="207"/>
      <c r="VF180" s="207"/>
      <c r="VG180" s="272"/>
      <c r="VH180" s="272"/>
      <c r="VI180" s="205">
        <f t="shared" si="1498"/>
        <v>0</v>
      </c>
      <c r="VJ180" s="207"/>
      <c r="VK180" s="207"/>
      <c r="VL180" s="207"/>
      <c r="VM180" s="207"/>
      <c r="VN180" s="207"/>
      <c r="VO180" s="272"/>
      <c r="VP180" s="272"/>
      <c r="VQ180" s="205">
        <f t="shared" si="1499"/>
        <v>0</v>
      </c>
      <c r="VR180" s="207"/>
      <c r="VS180" s="207"/>
      <c r="VT180" s="207"/>
      <c r="VU180" s="207"/>
      <c r="VV180" s="207"/>
      <c r="VW180" s="272"/>
      <c r="VX180" s="272"/>
      <c r="VY180" s="205">
        <f t="shared" si="1500"/>
        <v>0</v>
      </c>
      <c r="VZ180" s="207"/>
      <c r="WA180" s="207"/>
      <c r="WB180" s="207"/>
      <c r="WC180" s="207"/>
      <c r="WD180" s="207"/>
      <c r="WE180" s="272"/>
      <c r="WF180" s="272"/>
      <c r="WG180" s="205">
        <f t="shared" si="1501"/>
        <v>0</v>
      </c>
      <c r="WH180" s="205">
        <f t="shared" si="1502"/>
        <v>0</v>
      </c>
      <c r="WI180" s="207"/>
      <c r="WJ180" s="207"/>
      <c r="WK180" s="207"/>
      <c r="WL180" s="207"/>
      <c r="WM180" s="207"/>
      <c r="WN180" s="272"/>
      <c r="WO180" s="272"/>
      <c r="WP180" s="205">
        <f t="shared" si="1503"/>
        <v>0</v>
      </c>
      <c r="WQ180" s="207"/>
      <c r="WR180" s="207"/>
      <c r="WS180" s="207"/>
      <c r="WT180" s="207"/>
      <c r="WU180" s="207"/>
      <c r="WV180" s="272"/>
      <c r="WW180" s="272"/>
      <c r="WX180" s="205">
        <f t="shared" si="1504"/>
        <v>0</v>
      </c>
      <c r="WY180" s="207"/>
      <c r="WZ180" s="207"/>
      <c r="XA180" s="207"/>
      <c r="XB180" s="207"/>
      <c r="XC180" s="272"/>
      <c r="XD180" s="272"/>
      <c r="XE180" s="272"/>
      <c r="XF180" s="205">
        <f t="shared" si="1505"/>
        <v>0</v>
      </c>
      <c r="XG180" s="207"/>
      <c r="XH180" s="207"/>
      <c r="XI180" s="207"/>
      <c r="XJ180" s="207"/>
      <c r="XK180" s="207"/>
      <c r="XL180" s="272"/>
      <c r="XM180" s="272"/>
      <c r="XN180" s="205">
        <f t="shared" si="1506"/>
        <v>0</v>
      </c>
      <c r="XO180" s="207"/>
      <c r="XP180" s="207"/>
      <c r="XQ180" s="207"/>
      <c r="XR180" s="207"/>
      <c r="XS180" s="207"/>
      <c r="XT180" s="272"/>
      <c r="XU180" s="272"/>
      <c r="XV180" s="205">
        <f t="shared" si="1507"/>
        <v>0</v>
      </c>
      <c r="XW180" s="205">
        <f t="shared" si="1508"/>
        <v>0</v>
      </c>
      <c r="XX180" s="207"/>
      <c r="XY180" s="207"/>
      <c r="XZ180" s="207"/>
      <c r="YA180" s="207"/>
      <c r="YB180" s="207"/>
      <c r="YC180" s="272"/>
      <c r="YD180" s="272"/>
      <c r="YE180" s="205">
        <f t="shared" si="1509"/>
        <v>0</v>
      </c>
      <c r="YF180" s="207"/>
      <c r="YG180" s="207"/>
      <c r="YH180" s="207"/>
      <c r="YI180" s="207"/>
      <c r="YJ180" s="207"/>
      <c r="YK180" s="272"/>
      <c r="YL180" s="272"/>
      <c r="YM180" s="205">
        <f t="shared" si="1510"/>
        <v>0</v>
      </c>
      <c r="YN180" s="207"/>
      <c r="YO180" s="207"/>
      <c r="YP180" s="207"/>
      <c r="YQ180" s="207"/>
      <c r="YR180" s="207"/>
      <c r="YS180" s="272"/>
      <c r="YT180" s="272"/>
      <c r="YU180" s="205">
        <f t="shared" si="1511"/>
        <v>0</v>
      </c>
      <c r="YV180" s="207"/>
      <c r="YW180" s="207"/>
      <c r="YX180" s="207"/>
      <c r="YY180" s="207"/>
      <c r="YZ180" s="207"/>
      <c r="ZA180" s="272"/>
      <c r="ZB180" s="272"/>
      <c r="ZC180" s="205">
        <f t="shared" si="1512"/>
        <v>0</v>
      </c>
      <c r="ZD180" s="205">
        <f t="shared" si="1513"/>
        <v>0</v>
      </c>
      <c r="ZE180" s="207"/>
      <c r="ZF180" s="207"/>
      <c r="ZG180" s="207"/>
      <c r="ZH180" s="207"/>
      <c r="ZI180" s="207"/>
      <c r="ZJ180" s="272"/>
      <c r="ZK180" s="272"/>
      <c r="ZL180" s="205">
        <f t="shared" si="1514"/>
        <v>0</v>
      </c>
      <c r="ZM180" s="207"/>
      <c r="ZN180" s="207"/>
      <c r="ZO180" s="207"/>
      <c r="ZP180" s="207"/>
      <c r="ZQ180" s="207"/>
      <c r="ZR180" s="272"/>
      <c r="ZS180" s="272"/>
      <c r="ZT180" s="205">
        <f t="shared" si="1515"/>
        <v>0</v>
      </c>
      <c r="ZU180" s="207"/>
      <c r="ZV180" s="207"/>
      <c r="ZW180" s="207"/>
      <c r="ZX180" s="207"/>
      <c r="ZY180" s="207"/>
      <c r="ZZ180" s="272"/>
      <c r="AAA180" s="272"/>
      <c r="AAB180" s="205">
        <f t="shared" si="1516"/>
        <v>0</v>
      </c>
      <c r="AAC180" s="207"/>
      <c r="AAD180" s="207"/>
      <c r="AAE180" s="207"/>
      <c r="AAF180" s="207"/>
      <c r="AAG180" s="207"/>
      <c r="AAH180" s="272"/>
      <c r="AAI180" s="272"/>
      <c r="AAJ180" s="205">
        <f t="shared" si="1517"/>
        <v>0</v>
      </c>
      <c r="AAK180" s="207"/>
      <c r="AAL180" s="207"/>
      <c r="AAM180" s="207"/>
      <c r="AAN180" s="207"/>
      <c r="AAO180" s="207"/>
      <c r="AAP180" s="272"/>
      <c r="AAQ180" s="272"/>
      <c r="AAR180" s="205">
        <f t="shared" si="1518"/>
        <v>0</v>
      </c>
      <c r="AAS180" s="205">
        <f t="shared" si="1519"/>
        <v>0</v>
      </c>
    </row>
    <row r="181" spans="1:721" ht="69.95" customHeight="1">
      <c r="B181" s="274" t="s">
        <v>526</v>
      </c>
      <c r="C181" s="341" t="s">
        <v>504</v>
      </c>
      <c r="D181" s="275" t="s">
        <v>829</v>
      </c>
      <c r="E181" s="130" t="s">
        <v>4</v>
      </c>
      <c r="F181" s="120"/>
      <c r="G181" s="120"/>
      <c r="H181" s="120"/>
      <c r="I181" s="120"/>
      <c r="J181" s="120"/>
      <c r="K181" s="209"/>
      <c r="L181" s="205"/>
      <c r="M181" s="205">
        <f t="shared" si="1520"/>
        <v>0</v>
      </c>
      <c r="N181" s="120"/>
      <c r="O181" s="120"/>
      <c r="P181" s="120"/>
      <c r="Q181" s="120"/>
      <c r="R181" s="120"/>
      <c r="S181" s="209"/>
      <c r="T181" s="205"/>
      <c r="U181" s="205">
        <f t="shared" si="1521"/>
        <v>0</v>
      </c>
      <c r="V181" s="120"/>
      <c r="W181" s="120"/>
      <c r="X181" s="120"/>
      <c r="Y181" s="120"/>
      <c r="Z181" s="120"/>
      <c r="AA181" s="209"/>
      <c r="AB181" s="205"/>
      <c r="AC181" s="205">
        <f t="shared" si="1522"/>
        <v>0</v>
      </c>
      <c r="AD181" s="205"/>
      <c r="AE181" s="205"/>
      <c r="AF181" s="205"/>
      <c r="AG181" s="205"/>
      <c r="AH181" s="205"/>
      <c r="AI181" s="209"/>
      <c r="AJ181" s="205"/>
      <c r="AK181" s="205">
        <f t="shared" si="1523"/>
        <v>0</v>
      </c>
      <c r="AL181" s="205" t="e">
        <f>SUM(#REF!,M181,U181,AC181,AD181:AH181)</f>
        <v>#REF!</v>
      </c>
      <c r="AM181" s="120"/>
      <c r="AN181" s="120"/>
      <c r="AO181" s="120"/>
      <c r="AP181" s="120"/>
      <c r="AQ181" s="120"/>
      <c r="AR181" s="209"/>
      <c r="AS181" s="205"/>
      <c r="AT181" s="205">
        <f t="shared" si="1524"/>
        <v>0</v>
      </c>
      <c r="AU181" s="120"/>
      <c r="AV181" s="120"/>
      <c r="AW181" s="120"/>
      <c r="AX181" s="120"/>
      <c r="AY181" s="120"/>
      <c r="AZ181" s="209"/>
      <c r="BA181" s="205"/>
      <c r="BB181" s="205">
        <f t="shared" si="1525"/>
        <v>0</v>
      </c>
      <c r="BC181" s="120"/>
      <c r="BD181" s="120"/>
      <c r="BE181" s="120"/>
      <c r="BF181" s="120"/>
      <c r="BG181" s="120"/>
      <c r="BH181" s="209"/>
      <c r="BI181" s="205"/>
      <c r="BJ181" s="205">
        <f t="shared" si="1526"/>
        <v>0</v>
      </c>
      <c r="BK181" s="120"/>
      <c r="BL181" s="120"/>
      <c r="BM181" s="120"/>
      <c r="BN181" s="120"/>
      <c r="BO181" s="205"/>
      <c r="BP181" s="209"/>
      <c r="BQ181" s="205"/>
      <c r="BR181" s="205">
        <f t="shared" si="1527"/>
        <v>0</v>
      </c>
      <c r="BS181" s="205">
        <f t="shared" si="1427"/>
        <v>0</v>
      </c>
      <c r="BT181" s="120"/>
      <c r="BU181" s="120"/>
      <c r="BV181" s="120"/>
      <c r="BW181" s="120"/>
      <c r="BX181" s="120"/>
      <c r="BY181" s="209"/>
      <c r="BZ181" s="205"/>
      <c r="CA181" s="205">
        <f t="shared" si="1528"/>
        <v>0</v>
      </c>
      <c r="CB181" s="120"/>
      <c r="CC181" s="120"/>
      <c r="CD181" s="120"/>
      <c r="CE181" s="120"/>
      <c r="CF181" s="120"/>
      <c r="CG181" s="209"/>
      <c r="CH181" s="205"/>
      <c r="CI181" s="205">
        <f t="shared" si="1529"/>
        <v>0</v>
      </c>
      <c r="CJ181" s="120"/>
      <c r="CK181" s="120"/>
      <c r="CL181" s="120"/>
      <c r="CM181" s="120"/>
      <c r="CN181" s="120"/>
      <c r="CO181" s="209"/>
      <c r="CP181" s="205"/>
      <c r="CQ181" s="205">
        <f t="shared" si="1530"/>
        <v>0</v>
      </c>
      <c r="CR181" s="120"/>
      <c r="CS181" s="120"/>
      <c r="CT181" s="120"/>
      <c r="CU181" s="120"/>
      <c r="CV181" s="120"/>
      <c r="CW181" s="209"/>
      <c r="CX181" s="205"/>
      <c r="CY181" s="205">
        <f t="shared" si="1531"/>
        <v>0</v>
      </c>
      <c r="CZ181" s="120"/>
      <c r="DA181" s="120"/>
      <c r="DB181" s="120"/>
      <c r="DC181" s="205"/>
      <c r="DD181" s="205"/>
      <c r="DE181" s="209"/>
      <c r="DF181" s="205"/>
      <c r="DG181" s="205">
        <f t="shared" si="1532"/>
        <v>0</v>
      </c>
      <c r="DH181" s="205">
        <f t="shared" si="1428"/>
        <v>0</v>
      </c>
      <c r="DI181" s="120"/>
      <c r="DJ181" s="120"/>
      <c r="DK181" s="120"/>
      <c r="DL181" s="120"/>
      <c r="DM181" s="120"/>
      <c r="DN181" s="209"/>
      <c r="DO181" s="205"/>
      <c r="DP181" s="205">
        <f t="shared" si="1432"/>
        <v>0</v>
      </c>
      <c r="DQ181" s="120"/>
      <c r="DR181" s="120"/>
      <c r="DS181" s="120"/>
      <c r="DT181" s="120"/>
      <c r="DU181" s="120"/>
      <c r="DV181" s="209"/>
      <c r="DW181" s="205"/>
      <c r="DX181" s="205">
        <f t="shared" si="1433"/>
        <v>0</v>
      </c>
      <c r="DY181" s="120"/>
      <c r="DZ181" s="123">
        <v>50</v>
      </c>
      <c r="EA181" s="120"/>
      <c r="EB181" s="120"/>
      <c r="EC181" s="120"/>
      <c r="ED181" s="209"/>
      <c r="EE181" s="205"/>
      <c r="EF181" s="205">
        <f t="shared" si="1434"/>
        <v>50</v>
      </c>
      <c r="EG181" s="120"/>
      <c r="EH181" s="120"/>
      <c r="EI181" s="120"/>
      <c r="EJ181" s="205"/>
      <c r="EK181" s="205"/>
      <c r="EL181" s="209"/>
      <c r="EM181" s="205"/>
      <c r="EN181" s="205">
        <f t="shared" si="1435"/>
        <v>0</v>
      </c>
      <c r="EO181" s="205">
        <f t="shared" si="1429"/>
        <v>50</v>
      </c>
      <c r="EP181" s="120"/>
      <c r="EQ181" s="120"/>
      <c r="ER181" s="120"/>
      <c r="ES181" s="120"/>
      <c r="ET181" s="120"/>
      <c r="EU181" s="209"/>
      <c r="EV181" s="205"/>
      <c r="EW181" s="205">
        <f t="shared" si="1436"/>
        <v>0</v>
      </c>
      <c r="EX181" s="120"/>
      <c r="EY181" s="120"/>
      <c r="EZ181" s="120"/>
      <c r="FA181" s="120"/>
      <c r="FB181" s="120"/>
      <c r="FC181" s="209"/>
      <c r="FD181" s="205"/>
      <c r="FE181" s="205">
        <f t="shared" si="1437"/>
        <v>0</v>
      </c>
      <c r="FF181" s="120"/>
      <c r="FG181" s="120"/>
      <c r="FH181" s="120"/>
      <c r="FI181" s="120"/>
      <c r="FJ181" s="120"/>
      <c r="FK181" s="209"/>
      <c r="FL181" s="205"/>
      <c r="FM181" s="205">
        <f t="shared" si="1438"/>
        <v>0</v>
      </c>
      <c r="FN181" s="120"/>
      <c r="FO181" s="120"/>
      <c r="FP181" s="120"/>
      <c r="FQ181" s="120"/>
      <c r="FR181" s="205"/>
      <c r="FS181" s="209"/>
      <c r="FT181" s="205"/>
      <c r="FU181" s="205">
        <f t="shared" si="1439"/>
        <v>0</v>
      </c>
      <c r="FV181" s="205">
        <f t="shared" si="1430"/>
        <v>0</v>
      </c>
      <c r="FW181" s="120"/>
      <c r="FX181" s="120"/>
      <c r="FY181" s="120"/>
      <c r="FZ181" s="120"/>
      <c r="GA181" s="120"/>
      <c r="GB181" s="209"/>
      <c r="GC181" s="205"/>
      <c r="GD181" s="205">
        <f t="shared" si="1440"/>
        <v>0</v>
      </c>
      <c r="GE181" s="120"/>
      <c r="GF181" s="120"/>
      <c r="GG181" s="120"/>
      <c r="GH181" s="120"/>
      <c r="GI181" s="120"/>
      <c r="GJ181" s="209"/>
      <c r="GK181" s="205"/>
      <c r="GL181" s="205">
        <f t="shared" si="1441"/>
        <v>0</v>
      </c>
      <c r="GM181" s="120"/>
      <c r="GN181" s="120"/>
      <c r="GO181" s="120"/>
      <c r="GP181" s="120"/>
      <c r="GQ181" s="120"/>
      <c r="GR181" s="209"/>
      <c r="GS181" s="205"/>
      <c r="GT181" s="205">
        <f t="shared" si="1442"/>
        <v>0</v>
      </c>
      <c r="GU181" s="120"/>
      <c r="GV181" s="120"/>
      <c r="GW181" s="120"/>
      <c r="GX181" s="120"/>
      <c r="GY181" s="120"/>
      <c r="GZ181" s="209"/>
      <c r="HA181" s="205"/>
      <c r="HB181" s="205">
        <f t="shared" si="1443"/>
        <v>0</v>
      </c>
      <c r="HC181" s="120"/>
      <c r="HD181" s="120"/>
      <c r="HE181" s="120"/>
      <c r="HF181" s="120"/>
      <c r="HG181" s="120"/>
      <c r="HH181" s="209"/>
      <c r="HI181" s="205"/>
      <c r="HJ181" s="205">
        <f t="shared" si="1444"/>
        <v>0</v>
      </c>
      <c r="HK181" s="205">
        <f t="shared" si="1431"/>
        <v>0</v>
      </c>
      <c r="HL181" s="124"/>
      <c r="HM181" s="120"/>
      <c r="HN181" s="120"/>
      <c r="HO181" s="120"/>
      <c r="HP181" s="120"/>
      <c r="HQ181" s="205"/>
      <c r="HR181" s="205"/>
      <c r="HS181" s="205">
        <f t="shared" si="1445"/>
        <v>0</v>
      </c>
      <c r="HT181" s="120"/>
      <c r="HU181" s="120"/>
      <c r="HV181" s="120"/>
      <c r="HW181" s="120"/>
      <c r="HX181" s="120"/>
      <c r="HY181" s="205"/>
      <c r="HZ181" s="205"/>
      <c r="IA181" s="205">
        <f t="shared" si="1446"/>
        <v>0</v>
      </c>
      <c r="IB181" s="120"/>
      <c r="IC181" s="120"/>
      <c r="ID181" s="120"/>
      <c r="IE181" s="120"/>
      <c r="IF181" s="120"/>
      <c r="IG181" s="205"/>
      <c r="IH181" s="205"/>
      <c r="II181" s="205">
        <f t="shared" si="1447"/>
        <v>0</v>
      </c>
      <c r="IJ181" s="120"/>
      <c r="IK181" s="120"/>
      <c r="IL181" s="120"/>
      <c r="IM181" s="120"/>
      <c r="IN181" s="120"/>
      <c r="IO181" s="205"/>
      <c r="IP181" s="205"/>
      <c r="IQ181" s="205">
        <f t="shared" si="1448"/>
        <v>0</v>
      </c>
      <c r="IR181" s="205">
        <f t="shared" si="1449"/>
        <v>0</v>
      </c>
      <c r="IS181" s="120"/>
      <c r="IT181" s="120"/>
      <c r="IU181" s="120"/>
      <c r="IV181" s="120"/>
      <c r="IW181" s="120"/>
      <c r="IX181" s="205"/>
      <c r="IY181" s="205"/>
      <c r="IZ181" s="205">
        <f t="shared" si="1450"/>
        <v>0</v>
      </c>
      <c r="JA181" s="120"/>
      <c r="JB181" s="120"/>
      <c r="JC181" s="120"/>
      <c r="JD181" s="120"/>
      <c r="JE181" s="120"/>
      <c r="JF181" s="205"/>
      <c r="JG181" s="205"/>
      <c r="JH181" s="205">
        <f t="shared" si="1451"/>
        <v>0</v>
      </c>
      <c r="JI181" s="120"/>
      <c r="JJ181" s="120"/>
      <c r="JK181" s="120"/>
      <c r="JL181" s="120"/>
      <c r="JM181" s="120"/>
      <c r="JN181" s="205"/>
      <c r="JO181" s="205"/>
      <c r="JP181" s="205">
        <f t="shared" si="1452"/>
        <v>0</v>
      </c>
      <c r="JQ181" s="120"/>
      <c r="JR181" s="120"/>
      <c r="JS181" s="120"/>
      <c r="JT181" s="120"/>
      <c r="JU181" s="120"/>
      <c r="JV181" s="205"/>
      <c r="JW181" s="205"/>
      <c r="JX181" s="205">
        <f t="shared" si="1453"/>
        <v>0</v>
      </c>
      <c r="JY181" s="205">
        <f t="shared" si="1454"/>
        <v>0</v>
      </c>
      <c r="JZ181" s="120"/>
      <c r="KA181" s="120"/>
      <c r="KB181" s="120"/>
      <c r="KC181" s="120"/>
      <c r="KD181" s="120"/>
      <c r="KE181" s="205"/>
      <c r="KF181" s="205"/>
      <c r="KG181" s="205">
        <f t="shared" si="1455"/>
        <v>0</v>
      </c>
      <c r="KH181" s="120"/>
      <c r="KI181" s="120"/>
      <c r="KJ181" s="120"/>
      <c r="KK181" s="120"/>
      <c r="KL181" s="120"/>
      <c r="KM181" s="205"/>
      <c r="KN181" s="205"/>
      <c r="KO181" s="205">
        <f t="shared" si="1456"/>
        <v>0</v>
      </c>
      <c r="KP181" s="120"/>
      <c r="KQ181" s="120"/>
      <c r="KR181" s="123">
        <v>200</v>
      </c>
      <c r="KS181" s="120"/>
      <c r="KT181" s="120"/>
      <c r="KU181" s="205"/>
      <c r="KV181" s="205"/>
      <c r="KW181" s="205">
        <f t="shared" si="1457"/>
        <v>200</v>
      </c>
      <c r="KX181" s="120"/>
      <c r="KY181" s="120"/>
      <c r="KZ181" s="120"/>
      <c r="LA181" s="120"/>
      <c r="LB181" s="120"/>
      <c r="LC181" s="205"/>
      <c r="LD181" s="205"/>
      <c r="LE181" s="205">
        <f t="shared" si="1458"/>
        <v>0</v>
      </c>
      <c r="LF181" s="205"/>
      <c r="LG181" s="120"/>
      <c r="LH181" s="120"/>
      <c r="LI181" s="120"/>
      <c r="LJ181" s="120"/>
      <c r="LK181" s="205"/>
      <c r="LL181" s="205"/>
      <c r="LM181" s="205">
        <f t="shared" si="1459"/>
        <v>0</v>
      </c>
      <c r="LN181" s="205">
        <f t="shared" si="1460"/>
        <v>200</v>
      </c>
      <c r="LO181" s="205"/>
      <c r="LP181" s="120"/>
      <c r="LQ181" s="120"/>
      <c r="LR181" s="120"/>
      <c r="LS181" s="205"/>
      <c r="LT181" s="205"/>
      <c r="LU181" s="205"/>
      <c r="LV181" s="205">
        <f t="shared" si="1461"/>
        <v>0</v>
      </c>
      <c r="LW181" s="120"/>
      <c r="LX181" s="120"/>
      <c r="LY181" s="120"/>
      <c r="LZ181" s="120"/>
      <c r="MA181" s="120"/>
      <c r="MB181" s="205"/>
      <c r="MC181" s="205"/>
      <c r="MD181" s="205">
        <f t="shared" si="1462"/>
        <v>0</v>
      </c>
      <c r="ME181" s="120"/>
      <c r="MF181" s="120"/>
      <c r="MG181" s="120"/>
      <c r="MH181" s="120"/>
      <c r="MI181" s="205"/>
      <c r="MJ181" s="205"/>
      <c r="MK181" s="205"/>
      <c r="ML181" s="205">
        <f t="shared" si="1463"/>
        <v>0</v>
      </c>
      <c r="MM181" s="120"/>
      <c r="MN181" s="120"/>
      <c r="MO181" s="120"/>
      <c r="MP181" s="120"/>
      <c r="MQ181" s="120"/>
      <c r="MR181" s="205"/>
      <c r="MS181" s="205"/>
      <c r="MT181" s="205">
        <f t="shared" si="1464"/>
        <v>0</v>
      </c>
      <c r="MU181" s="205">
        <f t="shared" si="1465"/>
        <v>0</v>
      </c>
      <c r="MV181" s="120"/>
      <c r="MW181" s="120"/>
      <c r="MX181" s="120"/>
      <c r="MY181" s="120"/>
      <c r="MZ181" s="120"/>
      <c r="NA181" s="205"/>
      <c r="NB181" s="205"/>
      <c r="NC181" s="205">
        <f t="shared" si="1466"/>
        <v>0</v>
      </c>
      <c r="ND181" s="120"/>
      <c r="NE181" s="120"/>
      <c r="NF181" s="120"/>
      <c r="NG181" s="120"/>
      <c r="NH181" s="120"/>
      <c r="NI181" s="205"/>
      <c r="NJ181" s="205"/>
      <c r="NK181" s="205">
        <f t="shared" si="1467"/>
        <v>0</v>
      </c>
      <c r="NL181" s="120"/>
      <c r="NM181" s="120"/>
      <c r="NN181" s="120"/>
      <c r="NO181" s="120"/>
      <c r="NP181" s="120"/>
      <c r="NQ181" s="205"/>
      <c r="NR181" s="205"/>
      <c r="NS181" s="205">
        <f t="shared" si="1468"/>
        <v>0</v>
      </c>
      <c r="NT181" s="120"/>
      <c r="NU181" s="120"/>
      <c r="NV181" s="120"/>
      <c r="NW181" s="120"/>
      <c r="NX181" s="120"/>
      <c r="NY181" s="205"/>
      <c r="NZ181" s="205"/>
      <c r="OA181" s="205">
        <f t="shared" si="1469"/>
        <v>0</v>
      </c>
      <c r="OB181" s="205">
        <f t="shared" si="1470"/>
        <v>0</v>
      </c>
      <c r="OC181" s="120"/>
      <c r="OD181" s="120"/>
      <c r="OE181" s="120"/>
      <c r="OF181" s="120"/>
      <c r="OG181" s="120"/>
      <c r="OH181" s="205"/>
      <c r="OI181" s="205"/>
      <c r="OJ181" s="205">
        <f t="shared" si="1471"/>
        <v>0</v>
      </c>
      <c r="OK181" s="120"/>
      <c r="OL181" s="120"/>
      <c r="OM181" s="120"/>
      <c r="ON181" s="120"/>
      <c r="OO181" s="120"/>
      <c r="OP181" s="205"/>
      <c r="OQ181" s="205"/>
      <c r="OR181" s="205">
        <f t="shared" si="1472"/>
        <v>0</v>
      </c>
      <c r="OS181" s="120"/>
      <c r="OT181" s="120"/>
      <c r="OU181" s="120"/>
      <c r="OV181" s="120"/>
      <c r="OW181" s="120"/>
      <c r="OX181" s="205"/>
      <c r="OY181" s="205"/>
      <c r="OZ181" s="205">
        <f t="shared" si="1473"/>
        <v>0</v>
      </c>
      <c r="PA181" s="120"/>
      <c r="PB181" s="120"/>
      <c r="PC181" s="120"/>
      <c r="PD181" s="205"/>
      <c r="PE181" s="217"/>
      <c r="PF181" s="205"/>
      <c r="PG181" s="205"/>
      <c r="PH181" s="205">
        <f t="shared" si="1474"/>
        <v>0</v>
      </c>
      <c r="PI181" s="120"/>
      <c r="PJ181" s="120"/>
      <c r="PK181" s="120"/>
      <c r="PL181" s="205"/>
      <c r="PM181" s="217"/>
      <c r="PN181" s="205"/>
      <c r="PO181" s="205"/>
      <c r="PP181" s="205">
        <f t="shared" si="1475"/>
        <v>0</v>
      </c>
      <c r="PQ181" s="205">
        <f t="shared" si="1476"/>
        <v>0</v>
      </c>
      <c r="PR181" s="207"/>
      <c r="PS181" s="206">
        <v>168</v>
      </c>
      <c r="PT181" s="207"/>
      <c r="PU181" s="207"/>
      <c r="PV181" s="207"/>
      <c r="PW181" s="272"/>
      <c r="PX181" s="272"/>
      <c r="PY181" s="205">
        <f t="shared" si="1477"/>
        <v>168</v>
      </c>
      <c r="PZ181" s="207"/>
      <c r="QA181" s="207"/>
      <c r="QB181" s="207"/>
      <c r="QC181" s="207"/>
      <c r="QD181" s="207"/>
      <c r="QE181" s="272"/>
      <c r="QF181" s="272"/>
      <c r="QG181" s="205">
        <f t="shared" si="1478"/>
        <v>0</v>
      </c>
      <c r="QH181" s="207"/>
      <c r="QI181" s="207"/>
      <c r="QJ181" s="294"/>
      <c r="QK181" s="207"/>
      <c r="QL181" s="207"/>
      <c r="QM181" s="272"/>
      <c r="QN181" s="272"/>
      <c r="QO181" s="205">
        <f t="shared" si="1479"/>
        <v>0</v>
      </c>
      <c r="QP181" s="207"/>
      <c r="QQ181" s="207"/>
      <c r="QR181" s="207"/>
      <c r="QS181" s="207"/>
      <c r="QT181" s="207"/>
      <c r="QU181" s="272"/>
      <c r="QV181" s="272"/>
      <c r="QW181" s="205">
        <f t="shared" si="1480"/>
        <v>0</v>
      </c>
      <c r="QX181" s="205">
        <f t="shared" si="1481"/>
        <v>168</v>
      </c>
      <c r="QY181" s="207"/>
      <c r="QZ181" s="207"/>
      <c r="RA181" s="207"/>
      <c r="RB181" s="207"/>
      <c r="RC181" s="207"/>
      <c r="RD181" s="272"/>
      <c r="RE181" s="272"/>
      <c r="RF181" s="205">
        <f t="shared" si="1482"/>
        <v>0</v>
      </c>
      <c r="RG181" s="207"/>
      <c r="RH181" s="207"/>
      <c r="RI181" s="207"/>
      <c r="RJ181" s="207"/>
      <c r="RK181" s="207"/>
      <c r="RL181" s="272"/>
      <c r="RM181" s="272"/>
      <c r="RN181" s="205">
        <f t="shared" si="1483"/>
        <v>0</v>
      </c>
      <c r="RO181" s="272"/>
      <c r="RP181" s="272"/>
      <c r="RQ181" s="272"/>
      <c r="RR181" s="272"/>
      <c r="RS181" s="272"/>
      <c r="RT181" s="272"/>
      <c r="RU181" s="272"/>
      <c r="RV181" s="205">
        <f t="shared" si="1484"/>
        <v>0</v>
      </c>
      <c r="RW181" s="207"/>
      <c r="RX181" s="207"/>
      <c r="RY181" s="207"/>
      <c r="RZ181" s="207"/>
      <c r="SA181" s="272"/>
      <c r="SB181" s="272"/>
      <c r="SC181" s="272"/>
      <c r="SD181" s="205">
        <f t="shared" si="1485"/>
        <v>0</v>
      </c>
      <c r="SE181" s="205">
        <f t="shared" si="1486"/>
        <v>0</v>
      </c>
      <c r="SF181" s="207"/>
      <c r="SG181" s="207"/>
      <c r="SH181" s="207"/>
      <c r="SI181" s="207"/>
      <c r="SJ181" s="207"/>
      <c r="SK181" s="272"/>
      <c r="SL181" s="272"/>
      <c r="SM181" s="205">
        <f t="shared" si="1487"/>
        <v>0</v>
      </c>
      <c r="SN181" s="207"/>
      <c r="SO181" s="207"/>
      <c r="SP181" s="207"/>
      <c r="SQ181" s="207"/>
      <c r="SR181" s="207"/>
      <c r="SS181" s="272"/>
      <c r="ST181" s="272"/>
      <c r="SU181" s="205">
        <f t="shared" si="1488"/>
        <v>0</v>
      </c>
      <c r="SV181" s="207"/>
      <c r="SW181" s="207"/>
      <c r="SX181" s="207"/>
      <c r="SY181" s="207"/>
      <c r="SZ181" s="207"/>
      <c r="TA181" s="272"/>
      <c r="TB181" s="272"/>
      <c r="TC181" s="205">
        <f t="shared" si="1489"/>
        <v>0</v>
      </c>
      <c r="TD181" s="207"/>
      <c r="TE181" s="207"/>
      <c r="TF181" s="207"/>
      <c r="TG181" s="207"/>
      <c r="TH181" s="207"/>
      <c r="TI181" s="272"/>
      <c r="TJ181" s="272"/>
      <c r="TK181" s="205">
        <f t="shared" si="1490"/>
        <v>0</v>
      </c>
      <c r="TL181" s="207"/>
      <c r="TM181" s="207"/>
      <c r="TN181" s="207"/>
      <c r="TO181" s="207"/>
      <c r="TP181" s="272"/>
      <c r="TQ181" s="272"/>
      <c r="TR181" s="272"/>
      <c r="TS181" s="205">
        <f t="shared" si="1491"/>
        <v>0</v>
      </c>
      <c r="TT181" s="205">
        <f t="shared" si="1492"/>
        <v>0</v>
      </c>
      <c r="TU181" s="272"/>
      <c r="TV181" s="207"/>
      <c r="TW181" s="207"/>
      <c r="TX181" s="207"/>
      <c r="TY181" s="207"/>
      <c r="TZ181" s="272"/>
      <c r="UA181" s="272"/>
      <c r="UB181" s="205">
        <f t="shared" si="1493"/>
        <v>0</v>
      </c>
      <c r="UC181" s="207"/>
      <c r="UD181" s="207"/>
      <c r="UE181" s="207"/>
      <c r="UF181" s="207"/>
      <c r="UG181" s="207"/>
      <c r="UH181" s="272"/>
      <c r="UI181" s="272"/>
      <c r="UJ181" s="205">
        <f t="shared" si="1494"/>
        <v>0</v>
      </c>
      <c r="UK181" s="207"/>
      <c r="UL181" s="207"/>
      <c r="UM181" s="207"/>
      <c r="UN181" s="207"/>
      <c r="UO181" s="207"/>
      <c r="UP181" s="272"/>
      <c r="UQ181" s="272"/>
      <c r="UR181" s="205">
        <f t="shared" si="1495"/>
        <v>0</v>
      </c>
      <c r="US181" s="207"/>
      <c r="UT181" s="207"/>
      <c r="UU181" s="207"/>
      <c r="UV181" s="207"/>
      <c r="UW181" s="272"/>
      <c r="UX181" s="272"/>
      <c r="UY181" s="272"/>
      <c r="UZ181" s="205">
        <f t="shared" si="1496"/>
        <v>0</v>
      </c>
      <c r="VA181" s="205">
        <f t="shared" si="1497"/>
        <v>0</v>
      </c>
      <c r="VB181" s="207"/>
      <c r="VC181" s="207"/>
      <c r="VD181" s="207"/>
      <c r="VE181" s="207"/>
      <c r="VF181" s="207"/>
      <c r="VG181" s="272"/>
      <c r="VH181" s="272"/>
      <c r="VI181" s="205">
        <f t="shared" si="1498"/>
        <v>0</v>
      </c>
      <c r="VJ181" s="207"/>
      <c r="VK181" s="207"/>
      <c r="VL181" s="207"/>
      <c r="VM181" s="207"/>
      <c r="VN181" s="207"/>
      <c r="VO181" s="272"/>
      <c r="VP181" s="272"/>
      <c r="VQ181" s="205">
        <f t="shared" si="1499"/>
        <v>0</v>
      </c>
      <c r="VR181" s="207"/>
      <c r="VS181" s="207"/>
      <c r="VT181" s="207"/>
      <c r="VU181" s="207"/>
      <c r="VV181" s="207"/>
      <c r="VW181" s="272"/>
      <c r="VX181" s="272"/>
      <c r="VY181" s="205">
        <f t="shared" si="1500"/>
        <v>0</v>
      </c>
      <c r="VZ181" s="207"/>
      <c r="WA181" s="207"/>
      <c r="WB181" s="207"/>
      <c r="WC181" s="207"/>
      <c r="WD181" s="207"/>
      <c r="WE181" s="272"/>
      <c r="WF181" s="272"/>
      <c r="WG181" s="205">
        <f t="shared" si="1501"/>
        <v>0</v>
      </c>
      <c r="WH181" s="205">
        <f t="shared" si="1502"/>
        <v>0</v>
      </c>
      <c r="WI181" s="207"/>
      <c r="WJ181" s="207"/>
      <c r="WK181" s="207"/>
      <c r="WL181" s="207"/>
      <c r="WM181" s="207"/>
      <c r="WN181" s="272"/>
      <c r="WO181" s="272"/>
      <c r="WP181" s="205">
        <f t="shared" si="1503"/>
        <v>0</v>
      </c>
      <c r="WQ181" s="207"/>
      <c r="WR181" s="207"/>
      <c r="WS181" s="207"/>
      <c r="WT181" s="207"/>
      <c r="WU181" s="207"/>
      <c r="WV181" s="272"/>
      <c r="WW181" s="272"/>
      <c r="WX181" s="205">
        <f t="shared" si="1504"/>
        <v>0</v>
      </c>
      <c r="WY181" s="207"/>
      <c r="WZ181" s="207"/>
      <c r="XA181" s="207"/>
      <c r="XB181" s="207"/>
      <c r="XC181" s="272"/>
      <c r="XD181" s="272"/>
      <c r="XE181" s="272"/>
      <c r="XF181" s="205">
        <f t="shared" si="1505"/>
        <v>0</v>
      </c>
      <c r="XG181" s="207"/>
      <c r="XH181" s="207"/>
      <c r="XI181" s="207"/>
      <c r="XJ181" s="207"/>
      <c r="XK181" s="207"/>
      <c r="XL181" s="272"/>
      <c r="XM181" s="272"/>
      <c r="XN181" s="205">
        <f t="shared" si="1506"/>
        <v>0</v>
      </c>
      <c r="XO181" s="207"/>
      <c r="XP181" s="207"/>
      <c r="XQ181" s="207"/>
      <c r="XR181" s="207"/>
      <c r="XS181" s="207"/>
      <c r="XT181" s="272"/>
      <c r="XU181" s="272"/>
      <c r="XV181" s="205">
        <f t="shared" si="1507"/>
        <v>0</v>
      </c>
      <c r="XW181" s="205">
        <f t="shared" si="1508"/>
        <v>0</v>
      </c>
      <c r="XX181" s="207"/>
      <c r="XY181" s="207"/>
      <c r="XZ181" s="207"/>
      <c r="YA181" s="207"/>
      <c r="YB181" s="207"/>
      <c r="YC181" s="272"/>
      <c r="YD181" s="272"/>
      <c r="YE181" s="205">
        <f t="shared" si="1509"/>
        <v>0</v>
      </c>
      <c r="YF181" s="207"/>
      <c r="YG181" s="207"/>
      <c r="YH181" s="207"/>
      <c r="YI181" s="207"/>
      <c r="YJ181" s="207"/>
      <c r="YK181" s="272"/>
      <c r="YL181" s="272"/>
      <c r="YM181" s="205">
        <f t="shared" si="1510"/>
        <v>0</v>
      </c>
      <c r="YN181" s="207"/>
      <c r="YO181" s="207"/>
      <c r="YP181" s="207"/>
      <c r="YQ181" s="207"/>
      <c r="YR181" s="207"/>
      <c r="YS181" s="272"/>
      <c r="YT181" s="272"/>
      <c r="YU181" s="205">
        <f t="shared" si="1511"/>
        <v>0</v>
      </c>
      <c r="YV181" s="207"/>
      <c r="YW181" s="207"/>
      <c r="YX181" s="207"/>
      <c r="YY181" s="207"/>
      <c r="YZ181" s="207"/>
      <c r="ZA181" s="272"/>
      <c r="ZB181" s="272"/>
      <c r="ZC181" s="205">
        <f t="shared" si="1512"/>
        <v>0</v>
      </c>
      <c r="ZD181" s="205">
        <f t="shared" si="1513"/>
        <v>0</v>
      </c>
      <c r="ZE181" s="207"/>
      <c r="ZF181" s="207"/>
      <c r="ZG181" s="207"/>
      <c r="ZH181" s="207"/>
      <c r="ZI181" s="207"/>
      <c r="ZJ181" s="272"/>
      <c r="ZK181" s="272"/>
      <c r="ZL181" s="205">
        <f t="shared" si="1514"/>
        <v>0</v>
      </c>
      <c r="ZM181" s="207"/>
      <c r="ZN181" s="207"/>
      <c r="ZO181" s="207"/>
      <c r="ZP181" s="207"/>
      <c r="ZQ181" s="207"/>
      <c r="ZR181" s="272"/>
      <c r="ZS181" s="272"/>
      <c r="ZT181" s="205">
        <f t="shared" si="1515"/>
        <v>0</v>
      </c>
      <c r="ZU181" s="207"/>
      <c r="ZV181" s="207"/>
      <c r="ZW181" s="207"/>
      <c r="ZX181" s="207"/>
      <c r="ZY181" s="207"/>
      <c r="ZZ181" s="272"/>
      <c r="AAA181" s="272"/>
      <c r="AAB181" s="205">
        <f t="shared" si="1516"/>
        <v>0</v>
      </c>
      <c r="AAC181" s="207"/>
      <c r="AAD181" s="207"/>
      <c r="AAE181" s="207"/>
      <c r="AAF181" s="207"/>
      <c r="AAG181" s="207"/>
      <c r="AAH181" s="272"/>
      <c r="AAI181" s="272"/>
      <c r="AAJ181" s="205">
        <f t="shared" si="1517"/>
        <v>0</v>
      </c>
      <c r="AAK181" s="207"/>
      <c r="AAL181" s="207"/>
      <c r="AAM181" s="207"/>
      <c r="AAN181" s="207"/>
      <c r="AAO181" s="207"/>
      <c r="AAP181" s="272"/>
      <c r="AAQ181" s="272"/>
      <c r="AAR181" s="205">
        <f t="shared" si="1518"/>
        <v>0</v>
      </c>
      <c r="AAS181" s="205">
        <f t="shared" si="1519"/>
        <v>0</v>
      </c>
    </row>
    <row r="182" spans="1:721" ht="69.95" customHeight="1">
      <c r="A182" s="117">
        <v>96</v>
      </c>
      <c r="B182" s="274" t="s">
        <v>522</v>
      </c>
      <c r="C182" s="341" t="s">
        <v>504</v>
      </c>
      <c r="D182" s="275" t="s">
        <v>527</v>
      </c>
      <c r="E182" s="130" t="s">
        <v>4</v>
      </c>
      <c r="F182" s="120"/>
      <c r="G182" s="120"/>
      <c r="H182" s="120"/>
      <c r="I182" s="120"/>
      <c r="J182" s="120"/>
      <c r="K182" s="209"/>
      <c r="L182" s="205"/>
      <c r="M182" s="205">
        <f t="shared" si="1520"/>
        <v>0</v>
      </c>
      <c r="N182" s="120"/>
      <c r="O182" s="120"/>
      <c r="P182" s="120"/>
      <c r="Q182" s="120"/>
      <c r="R182" s="120"/>
      <c r="S182" s="209"/>
      <c r="T182" s="205"/>
      <c r="U182" s="205">
        <f t="shared" si="1521"/>
        <v>0</v>
      </c>
      <c r="V182" s="120"/>
      <c r="W182" s="120"/>
      <c r="X182" s="120"/>
      <c r="Y182" s="120"/>
      <c r="Z182" s="120"/>
      <c r="AA182" s="209"/>
      <c r="AB182" s="205"/>
      <c r="AC182" s="205">
        <f t="shared" si="1522"/>
        <v>0</v>
      </c>
      <c r="AD182" s="205"/>
      <c r="AE182" s="205"/>
      <c r="AF182" s="205"/>
      <c r="AG182" s="205"/>
      <c r="AH182" s="205"/>
      <c r="AI182" s="209"/>
      <c r="AJ182" s="205"/>
      <c r="AK182" s="205">
        <f t="shared" si="1523"/>
        <v>0</v>
      </c>
      <c r="AL182" s="205" t="e">
        <f>SUM(#REF!,M182,U182,AC182,AD182:AH182)</f>
        <v>#REF!</v>
      </c>
      <c r="AM182" s="120"/>
      <c r="AN182" s="120"/>
      <c r="AO182" s="120"/>
      <c r="AP182" s="120"/>
      <c r="AQ182" s="120"/>
      <c r="AR182" s="209"/>
      <c r="AS182" s="205"/>
      <c r="AT182" s="205">
        <f t="shared" si="1524"/>
        <v>0</v>
      </c>
      <c r="AU182" s="120"/>
      <c r="AV182" s="120"/>
      <c r="AW182" s="120"/>
      <c r="AX182" s="120"/>
      <c r="AY182" s="120"/>
      <c r="AZ182" s="209"/>
      <c r="BA182" s="205"/>
      <c r="BB182" s="205">
        <f t="shared" si="1525"/>
        <v>0</v>
      </c>
      <c r="BC182" s="120"/>
      <c r="BD182" s="120"/>
      <c r="BE182" s="120"/>
      <c r="BF182" s="120"/>
      <c r="BG182" s="120"/>
      <c r="BH182" s="209"/>
      <c r="BI182" s="205"/>
      <c r="BJ182" s="205">
        <f t="shared" si="1526"/>
        <v>0</v>
      </c>
      <c r="BK182" s="120"/>
      <c r="BL182" s="120"/>
      <c r="BM182" s="120"/>
      <c r="BN182" s="120"/>
      <c r="BO182" s="205"/>
      <c r="BP182" s="209"/>
      <c r="BQ182" s="205"/>
      <c r="BR182" s="205">
        <f t="shared" si="1527"/>
        <v>0</v>
      </c>
      <c r="BS182" s="205">
        <f t="shared" si="1427"/>
        <v>0</v>
      </c>
      <c r="BT182" s="120"/>
      <c r="BU182" s="120"/>
      <c r="BV182" s="120"/>
      <c r="BW182" s="120"/>
      <c r="BX182" s="120"/>
      <c r="BY182" s="209"/>
      <c r="BZ182" s="205"/>
      <c r="CA182" s="205">
        <f t="shared" si="1528"/>
        <v>0</v>
      </c>
      <c r="CB182" s="120"/>
      <c r="CC182" s="120"/>
      <c r="CD182" s="120"/>
      <c r="CE182" s="120"/>
      <c r="CF182" s="120"/>
      <c r="CG182" s="209"/>
      <c r="CH182" s="205"/>
      <c r="CI182" s="205">
        <f t="shared" si="1529"/>
        <v>0</v>
      </c>
      <c r="CJ182" s="120"/>
      <c r="CK182" s="120"/>
      <c r="CL182" s="120"/>
      <c r="CM182" s="120"/>
      <c r="CN182" s="120"/>
      <c r="CO182" s="209"/>
      <c r="CP182" s="205"/>
      <c r="CQ182" s="205">
        <f t="shared" si="1530"/>
        <v>0</v>
      </c>
      <c r="CR182" s="120"/>
      <c r="CS182" s="120"/>
      <c r="CT182" s="120"/>
      <c r="CU182" s="120"/>
      <c r="CV182" s="120"/>
      <c r="CW182" s="209"/>
      <c r="CX182" s="205"/>
      <c r="CY182" s="205">
        <f t="shared" si="1531"/>
        <v>0</v>
      </c>
      <c r="CZ182" s="120"/>
      <c r="DA182" s="120"/>
      <c r="DB182" s="120"/>
      <c r="DC182" s="205"/>
      <c r="DD182" s="205"/>
      <c r="DE182" s="209"/>
      <c r="DF182" s="205"/>
      <c r="DG182" s="205">
        <f t="shared" si="1532"/>
        <v>0</v>
      </c>
      <c r="DH182" s="205">
        <f t="shared" si="1428"/>
        <v>0</v>
      </c>
      <c r="DI182" s="120"/>
      <c r="DJ182" s="120"/>
      <c r="DK182" s="120"/>
      <c r="DL182" s="120"/>
      <c r="DM182" s="120"/>
      <c r="DN182" s="209"/>
      <c r="DO182" s="205"/>
      <c r="DP182" s="205">
        <f t="shared" si="1432"/>
        <v>0</v>
      </c>
      <c r="DQ182" s="120"/>
      <c r="DR182" s="120"/>
      <c r="DS182" s="120"/>
      <c r="DT182" s="120"/>
      <c r="DU182" s="120"/>
      <c r="DV182" s="209"/>
      <c r="DW182" s="205"/>
      <c r="DX182" s="205">
        <f t="shared" si="1433"/>
        <v>0</v>
      </c>
      <c r="DY182" s="120"/>
      <c r="DZ182" s="250">
        <v>50</v>
      </c>
      <c r="EA182" s="120"/>
      <c r="EB182" s="120"/>
      <c r="EC182" s="120"/>
      <c r="ED182" s="209"/>
      <c r="EE182" s="205"/>
      <c r="EF182" s="205">
        <f t="shared" si="1434"/>
        <v>50</v>
      </c>
      <c r="EG182" s="120"/>
      <c r="EH182" s="120"/>
      <c r="EI182" s="120"/>
      <c r="EJ182" s="205"/>
      <c r="EK182" s="205"/>
      <c r="EL182" s="209"/>
      <c r="EM182" s="205"/>
      <c r="EN182" s="205">
        <f t="shared" si="1435"/>
        <v>0</v>
      </c>
      <c r="EO182" s="205">
        <f t="shared" si="1429"/>
        <v>50</v>
      </c>
      <c r="EP182" s="120"/>
      <c r="EQ182" s="120"/>
      <c r="ER182" s="120"/>
      <c r="ES182" s="120"/>
      <c r="ET182" s="120"/>
      <c r="EU182" s="209"/>
      <c r="EV182" s="205"/>
      <c r="EW182" s="205">
        <f t="shared" si="1436"/>
        <v>0</v>
      </c>
      <c r="EX182" s="120"/>
      <c r="EY182" s="120"/>
      <c r="EZ182" s="120"/>
      <c r="FA182" s="120"/>
      <c r="FB182" s="120"/>
      <c r="FC182" s="209"/>
      <c r="FD182" s="205"/>
      <c r="FE182" s="205">
        <f t="shared" si="1437"/>
        <v>0</v>
      </c>
      <c r="FF182" s="120"/>
      <c r="FG182" s="120"/>
      <c r="FH182" s="120"/>
      <c r="FI182" s="120"/>
      <c r="FJ182" s="120"/>
      <c r="FK182" s="209"/>
      <c r="FL182" s="205"/>
      <c r="FM182" s="205">
        <f t="shared" si="1438"/>
        <v>0</v>
      </c>
      <c r="FN182" s="120"/>
      <c r="FO182" s="120"/>
      <c r="FP182" s="120"/>
      <c r="FQ182" s="120"/>
      <c r="FR182" s="205"/>
      <c r="FS182" s="209"/>
      <c r="FT182" s="205"/>
      <c r="FU182" s="205">
        <f t="shared" si="1439"/>
        <v>0</v>
      </c>
      <c r="FV182" s="205">
        <f t="shared" si="1430"/>
        <v>0</v>
      </c>
      <c r="FW182" s="120"/>
      <c r="FX182" s="120"/>
      <c r="FY182" s="120"/>
      <c r="FZ182" s="120"/>
      <c r="GA182" s="120"/>
      <c r="GB182" s="209"/>
      <c r="GC182" s="205"/>
      <c r="GD182" s="205">
        <f t="shared" si="1440"/>
        <v>0</v>
      </c>
      <c r="GE182" s="120"/>
      <c r="GF182" s="120"/>
      <c r="GG182" s="120"/>
      <c r="GH182" s="120"/>
      <c r="GI182" s="120"/>
      <c r="GJ182" s="209"/>
      <c r="GK182" s="205"/>
      <c r="GL182" s="205">
        <f t="shared" si="1441"/>
        <v>0</v>
      </c>
      <c r="GM182" s="120"/>
      <c r="GN182" s="120"/>
      <c r="GO182" s="120"/>
      <c r="GP182" s="120"/>
      <c r="GQ182" s="120"/>
      <c r="GR182" s="209"/>
      <c r="GS182" s="205"/>
      <c r="GT182" s="205">
        <f t="shared" si="1442"/>
        <v>0</v>
      </c>
      <c r="GU182" s="120"/>
      <c r="GV182" s="120"/>
      <c r="GW182" s="120"/>
      <c r="GX182" s="120"/>
      <c r="GY182" s="120"/>
      <c r="GZ182" s="209"/>
      <c r="HA182" s="205"/>
      <c r="HB182" s="205">
        <f t="shared" si="1443"/>
        <v>0</v>
      </c>
      <c r="HC182" s="120"/>
      <c r="HD182" s="120"/>
      <c r="HE182" s="120"/>
      <c r="HF182" s="120"/>
      <c r="HG182" s="120"/>
      <c r="HH182" s="209"/>
      <c r="HI182" s="205"/>
      <c r="HJ182" s="205">
        <f t="shared" si="1444"/>
        <v>0</v>
      </c>
      <c r="HK182" s="205">
        <f t="shared" si="1431"/>
        <v>0</v>
      </c>
      <c r="HL182" s="124"/>
      <c r="HM182" s="120"/>
      <c r="HN182" s="120"/>
      <c r="HO182" s="120"/>
      <c r="HP182" s="120"/>
      <c r="HQ182" s="205"/>
      <c r="HR182" s="205"/>
      <c r="HS182" s="205">
        <f t="shared" si="1445"/>
        <v>0</v>
      </c>
      <c r="HT182" s="120"/>
      <c r="HU182" s="120"/>
      <c r="HV182" s="120"/>
      <c r="HW182" s="120"/>
      <c r="HX182" s="120"/>
      <c r="HY182" s="205"/>
      <c r="HZ182" s="205"/>
      <c r="IA182" s="205">
        <f t="shared" si="1446"/>
        <v>0</v>
      </c>
      <c r="IB182" s="120"/>
      <c r="IC182" s="120"/>
      <c r="ID182" s="120"/>
      <c r="IE182" s="120"/>
      <c r="IF182" s="120"/>
      <c r="IG182" s="205"/>
      <c r="IH182" s="205"/>
      <c r="II182" s="205">
        <f t="shared" si="1447"/>
        <v>0</v>
      </c>
      <c r="IJ182" s="120"/>
      <c r="IK182" s="120"/>
      <c r="IL182" s="120"/>
      <c r="IM182" s="120"/>
      <c r="IN182" s="120"/>
      <c r="IO182" s="205"/>
      <c r="IP182" s="205"/>
      <c r="IQ182" s="205">
        <f t="shared" si="1448"/>
        <v>0</v>
      </c>
      <c r="IR182" s="205">
        <f t="shared" si="1449"/>
        <v>0</v>
      </c>
      <c r="IS182" s="120"/>
      <c r="IT182" s="120"/>
      <c r="IU182" s="120"/>
      <c r="IV182" s="120"/>
      <c r="IW182" s="120"/>
      <c r="IX182" s="205"/>
      <c r="IY182" s="205"/>
      <c r="IZ182" s="205">
        <f t="shared" si="1450"/>
        <v>0</v>
      </c>
      <c r="JA182" s="120"/>
      <c r="JB182" s="120"/>
      <c r="JC182" s="120"/>
      <c r="JD182" s="120"/>
      <c r="JE182" s="120"/>
      <c r="JF182" s="205"/>
      <c r="JG182" s="205"/>
      <c r="JH182" s="205">
        <f t="shared" si="1451"/>
        <v>0</v>
      </c>
      <c r="JI182" s="120"/>
      <c r="JJ182" s="120"/>
      <c r="JK182" s="120"/>
      <c r="JL182" s="120"/>
      <c r="JM182" s="120"/>
      <c r="JN182" s="205"/>
      <c r="JO182" s="205"/>
      <c r="JP182" s="205">
        <f t="shared" si="1452"/>
        <v>0</v>
      </c>
      <c r="JQ182" s="120"/>
      <c r="JR182" s="120"/>
      <c r="JS182" s="120"/>
      <c r="JT182" s="120"/>
      <c r="JU182" s="120"/>
      <c r="JV182" s="205"/>
      <c r="JW182" s="205"/>
      <c r="JX182" s="205">
        <f t="shared" si="1453"/>
        <v>0</v>
      </c>
      <c r="JY182" s="205">
        <f t="shared" si="1454"/>
        <v>0</v>
      </c>
      <c r="JZ182" s="120"/>
      <c r="KA182" s="120"/>
      <c r="KB182" s="120"/>
      <c r="KC182" s="120"/>
      <c r="KD182" s="120"/>
      <c r="KE182" s="205"/>
      <c r="KF182" s="205"/>
      <c r="KG182" s="205">
        <f t="shared" si="1455"/>
        <v>0</v>
      </c>
      <c r="KH182" s="120"/>
      <c r="KI182" s="120"/>
      <c r="KJ182" s="120"/>
      <c r="KK182" s="120"/>
      <c r="KL182" s="120"/>
      <c r="KM182" s="205"/>
      <c r="KN182" s="205"/>
      <c r="KO182" s="205">
        <f t="shared" si="1456"/>
        <v>0</v>
      </c>
      <c r="KP182" s="120"/>
      <c r="KQ182" s="120"/>
      <c r="KR182" s="123">
        <v>200</v>
      </c>
      <c r="KS182" s="120"/>
      <c r="KT182" s="120"/>
      <c r="KU182" s="205"/>
      <c r="KV182" s="205"/>
      <c r="KW182" s="205">
        <f t="shared" si="1457"/>
        <v>200</v>
      </c>
      <c r="KX182" s="120"/>
      <c r="KY182" s="120"/>
      <c r="KZ182" s="120"/>
      <c r="LA182" s="120"/>
      <c r="LB182" s="120"/>
      <c r="LC182" s="205"/>
      <c r="LD182" s="205"/>
      <c r="LE182" s="205">
        <f t="shared" si="1458"/>
        <v>0</v>
      </c>
      <c r="LF182" s="205"/>
      <c r="LG182" s="120"/>
      <c r="LH182" s="120"/>
      <c r="LI182" s="120"/>
      <c r="LJ182" s="120"/>
      <c r="LK182" s="205"/>
      <c r="LL182" s="205"/>
      <c r="LM182" s="205">
        <f t="shared" si="1459"/>
        <v>0</v>
      </c>
      <c r="LN182" s="205">
        <f t="shared" si="1460"/>
        <v>200</v>
      </c>
      <c r="LO182" s="205"/>
      <c r="LP182" s="120"/>
      <c r="LQ182" s="120"/>
      <c r="LR182" s="120"/>
      <c r="LS182" s="205"/>
      <c r="LT182" s="205"/>
      <c r="LU182" s="205"/>
      <c r="LV182" s="205">
        <f t="shared" si="1461"/>
        <v>0</v>
      </c>
      <c r="LW182" s="120"/>
      <c r="LX182" s="120"/>
      <c r="LY182" s="120"/>
      <c r="LZ182" s="120"/>
      <c r="MA182" s="120"/>
      <c r="MB182" s="205"/>
      <c r="MC182" s="205"/>
      <c r="MD182" s="205">
        <f t="shared" si="1462"/>
        <v>0</v>
      </c>
      <c r="ME182" s="120"/>
      <c r="MF182" s="120"/>
      <c r="MG182" s="120"/>
      <c r="MH182" s="120"/>
      <c r="MI182" s="205"/>
      <c r="MJ182" s="205"/>
      <c r="MK182" s="205"/>
      <c r="ML182" s="205">
        <f t="shared" si="1463"/>
        <v>0</v>
      </c>
      <c r="MM182" s="120"/>
      <c r="MN182" s="120"/>
      <c r="MO182" s="120"/>
      <c r="MP182" s="120"/>
      <c r="MQ182" s="120"/>
      <c r="MR182" s="205"/>
      <c r="MS182" s="205"/>
      <c r="MT182" s="205">
        <f t="shared" si="1464"/>
        <v>0</v>
      </c>
      <c r="MU182" s="205">
        <f t="shared" si="1465"/>
        <v>0</v>
      </c>
      <c r="MV182" s="120"/>
      <c r="MW182" s="120"/>
      <c r="MX182" s="120"/>
      <c r="MY182" s="120"/>
      <c r="MZ182" s="120"/>
      <c r="NA182" s="205"/>
      <c r="NB182" s="205"/>
      <c r="NC182" s="205">
        <f t="shared" si="1466"/>
        <v>0</v>
      </c>
      <c r="ND182" s="120"/>
      <c r="NE182" s="120"/>
      <c r="NF182" s="120"/>
      <c r="NG182" s="120"/>
      <c r="NH182" s="120"/>
      <c r="NI182" s="205"/>
      <c r="NJ182" s="205"/>
      <c r="NK182" s="205">
        <f t="shared" si="1467"/>
        <v>0</v>
      </c>
      <c r="NL182" s="120"/>
      <c r="NM182" s="120"/>
      <c r="NN182" s="120"/>
      <c r="NO182" s="120"/>
      <c r="NP182" s="120"/>
      <c r="NQ182" s="205"/>
      <c r="NR182" s="205"/>
      <c r="NS182" s="205">
        <f t="shared" si="1468"/>
        <v>0</v>
      </c>
      <c r="NT182" s="120"/>
      <c r="NU182" s="120"/>
      <c r="NV182" s="120"/>
      <c r="NW182" s="120"/>
      <c r="NX182" s="120"/>
      <c r="NY182" s="205"/>
      <c r="NZ182" s="205"/>
      <c r="OA182" s="205">
        <f t="shared" si="1469"/>
        <v>0</v>
      </c>
      <c r="OB182" s="205">
        <f t="shared" si="1470"/>
        <v>0</v>
      </c>
      <c r="OC182" s="120"/>
      <c r="OD182" s="120"/>
      <c r="OE182" s="120"/>
      <c r="OF182" s="120"/>
      <c r="OG182" s="120"/>
      <c r="OH182" s="205"/>
      <c r="OI182" s="205"/>
      <c r="OJ182" s="205">
        <f t="shared" si="1471"/>
        <v>0</v>
      </c>
      <c r="OK182" s="120"/>
      <c r="OL182" s="120"/>
      <c r="OM182" s="120"/>
      <c r="ON182" s="120"/>
      <c r="OO182" s="120"/>
      <c r="OP182" s="205"/>
      <c r="OQ182" s="205"/>
      <c r="OR182" s="205">
        <f t="shared" si="1472"/>
        <v>0</v>
      </c>
      <c r="OS182" s="120"/>
      <c r="OT182" s="120"/>
      <c r="OU182" s="120"/>
      <c r="OV182" s="120"/>
      <c r="OW182" s="120"/>
      <c r="OX182" s="205"/>
      <c r="OY182" s="205"/>
      <c r="OZ182" s="205">
        <f t="shared" si="1473"/>
        <v>0</v>
      </c>
      <c r="PA182" s="120"/>
      <c r="PB182" s="120"/>
      <c r="PC182" s="120"/>
      <c r="PD182" s="205"/>
      <c r="PE182" s="217"/>
      <c r="PF182" s="205"/>
      <c r="PG182" s="205"/>
      <c r="PH182" s="205">
        <f t="shared" si="1474"/>
        <v>0</v>
      </c>
      <c r="PI182" s="120"/>
      <c r="PJ182" s="120"/>
      <c r="PK182" s="120"/>
      <c r="PL182" s="205"/>
      <c r="PM182" s="217"/>
      <c r="PN182" s="205"/>
      <c r="PO182" s="205"/>
      <c r="PP182" s="205">
        <f t="shared" si="1475"/>
        <v>0</v>
      </c>
      <c r="PQ182" s="205">
        <f t="shared" si="1476"/>
        <v>0</v>
      </c>
      <c r="PR182" s="207"/>
      <c r="PS182" s="206">
        <v>168</v>
      </c>
      <c r="PT182" s="207"/>
      <c r="PU182" s="207"/>
      <c r="PV182" s="207"/>
      <c r="PW182" s="272"/>
      <c r="PX182" s="272"/>
      <c r="PY182" s="205">
        <f t="shared" si="1477"/>
        <v>168</v>
      </c>
      <c r="PZ182" s="207"/>
      <c r="QA182" s="207"/>
      <c r="QB182" s="207"/>
      <c r="QC182" s="207"/>
      <c r="QD182" s="207"/>
      <c r="QE182" s="272"/>
      <c r="QF182" s="272"/>
      <c r="QG182" s="205">
        <f t="shared" si="1478"/>
        <v>0</v>
      </c>
      <c r="QH182" s="207"/>
      <c r="QI182" s="207"/>
      <c r="QJ182" s="294"/>
      <c r="QK182" s="207"/>
      <c r="QL182" s="207"/>
      <c r="QM182" s="272"/>
      <c r="QN182" s="272"/>
      <c r="QO182" s="205">
        <f t="shared" si="1479"/>
        <v>0</v>
      </c>
      <c r="QP182" s="207"/>
      <c r="QQ182" s="207"/>
      <c r="QR182" s="207"/>
      <c r="QS182" s="207"/>
      <c r="QT182" s="207"/>
      <c r="QU182" s="272"/>
      <c r="QV182" s="272"/>
      <c r="QW182" s="205">
        <f t="shared" si="1480"/>
        <v>0</v>
      </c>
      <c r="QX182" s="205">
        <f t="shared" si="1481"/>
        <v>168</v>
      </c>
      <c r="QY182" s="207"/>
      <c r="QZ182" s="207"/>
      <c r="RA182" s="207"/>
      <c r="RB182" s="207"/>
      <c r="RC182" s="207"/>
      <c r="RD182" s="272"/>
      <c r="RE182" s="272"/>
      <c r="RF182" s="205">
        <f t="shared" si="1482"/>
        <v>0</v>
      </c>
      <c r="RG182" s="207"/>
      <c r="RH182" s="207"/>
      <c r="RI182" s="207"/>
      <c r="RJ182" s="207"/>
      <c r="RK182" s="207"/>
      <c r="RL182" s="272"/>
      <c r="RM182" s="272"/>
      <c r="RN182" s="205">
        <f t="shared" si="1483"/>
        <v>0</v>
      </c>
      <c r="RO182" s="272"/>
      <c r="RP182" s="272"/>
      <c r="RQ182" s="272"/>
      <c r="RR182" s="272"/>
      <c r="RS182" s="272"/>
      <c r="RT182" s="272"/>
      <c r="RU182" s="272"/>
      <c r="RV182" s="205">
        <f t="shared" si="1484"/>
        <v>0</v>
      </c>
      <c r="RW182" s="207"/>
      <c r="RX182" s="207"/>
      <c r="RY182" s="207"/>
      <c r="RZ182" s="207"/>
      <c r="SA182" s="272"/>
      <c r="SB182" s="272"/>
      <c r="SC182" s="272"/>
      <c r="SD182" s="205">
        <f t="shared" si="1485"/>
        <v>0</v>
      </c>
      <c r="SE182" s="205">
        <f t="shared" si="1486"/>
        <v>0</v>
      </c>
      <c r="SF182" s="207"/>
      <c r="SG182" s="207"/>
      <c r="SH182" s="207"/>
      <c r="SI182" s="207"/>
      <c r="SJ182" s="207"/>
      <c r="SK182" s="272"/>
      <c r="SL182" s="272"/>
      <c r="SM182" s="205">
        <f t="shared" si="1487"/>
        <v>0</v>
      </c>
      <c r="SN182" s="207"/>
      <c r="SO182" s="207"/>
      <c r="SP182" s="207"/>
      <c r="SQ182" s="207"/>
      <c r="SR182" s="207"/>
      <c r="SS182" s="272"/>
      <c r="ST182" s="272"/>
      <c r="SU182" s="205">
        <f t="shared" si="1488"/>
        <v>0</v>
      </c>
      <c r="SV182" s="207"/>
      <c r="SW182" s="207"/>
      <c r="SX182" s="207"/>
      <c r="SY182" s="207"/>
      <c r="SZ182" s="207"/>
      <c r="TA182" s="272"/>
      <c r="TB182" s="272"/>
      <c r="TC182" s="205">
        <f t="shared" si="1489"/>
        <v>0</v>
      </c>
      <c r="TD182" s="207"/>
      <c r="TE182" s="207"/>
      <c r="TF182" s="207"/>
      <c r="TG182" s="207"/>
      <c r="TH182" s="207"/>
      <c r="TI182" s="272"/>
      <c r="TJ182" s="272"/>
      <c r="TK182" s="205">
        <f t="shared" si="1490"/>
        <v>0</v>
      </c>
      <c r="TL182" s="207"/>
      <c r="TM182" s="207"/>
      <c r="TN182" s="207"/>
      <c r="TO182" s="207"/>
      <c r="TP182" s="272"/>
      <c r="TQ182" s="272"/>
      <c r="TR182" s="272"/>
      <c r="TS182" s="205">
        <f t="shared" si="1491"/>
        <v>0</v>
      </c>
      <c r="TT182" s="205">
        <f t="shared" si="1492"/>
        <v>0</v>
      </c>
      <c r="TU182" s="272"/>
      <c r="TV182" s="207"/>
      <c r="TW182" s="207"/>
      <c r="TX182" s="207"/>
      <c r="TY182" s="207"/>
      <c r="TZ182" s="272"/>
      <c r="UA182" s="272"/>
      <c r="UB182" s="205">
        <f t="shared" si="1493"/>
        <v>0</v>
      </c>
      <c r="UC182" s="207"/>
      <c r="UD182" s="207"/>
      <c r="UE182" s="207"/>
      <c r="UF182" s="207"/>
      <c r="UG182" s="207"/>
      <c r="UH182" s="272"/>
      <c r="UI182" s="272"/>
      <c r="UJ182" s="205">
        <f t="shared" si="1494"/>
        <v>0</v>
      </c>
      <c r="UK182" s="207"/>
      <c r="UL182" s="207"/>
      <c r="UM182" s="207"/>
      <c r="UN182" s="207"/>
      <c r="UO182" s="207"/>
      <c r="UP182" s="272"/>
      <c r="UQ182" s="272"/>
      <c r="UR182" s="205">
        <f t="shared" si="1495"/>
        <v>0</v>
      </c>
      <c r="US182" s="207"/>
      <c r="UT182" s="207"/>
      <c r="UU182" s="207"/>
      <c r="UV182" s="207"/>
      <c r="UW182" s="272"/>
      <c r="UX182" s="272"/>
      <c r="UY182" s="272"/>
      <c r="UZ182" s="205">
        <f t="shared" si="1496"/>
        <v>0</v>
      </c>
      <c r="VA182" s="205">
        <f t="shared" si="1497"/>
        <v>0</v>
      </c>
      <c r="VB182" s="207"/>
      <c r="VC182" s="207"/>
      <c r="VD182" s="207"/>
      <c r="VE182" s="207"/>
      <c r="VF182" s="207"/>
      <c r="VG182" s="272"/>
      <c r="VH182" s="272"/>
      <c r="VI182" s="205">
        <f t="shared" si="1498"/>
        <v>0</v>
      </c>
      <c r="VJ182" s="207"/>
      <c r="VK182" s="207"/>
      <c r="VL182" s="207"/>
      <c r="VM182" s="207"/>
      <c r="VN182" s="207"/>
      <c r="VO182" s="272"/>
      <c r="VP182" s="272"/>
      <c r="VQ182" s="205">
        <f t="shared" si="1499"/>
        <v>0</v>
      </c>
      <c r="VR182" s="207"/>
      <c r="VS182" s="207"/>
      <c r="VT182" s="207"/>
      <c r="VU182" s="207"/>
      <c r="VV182" s="207"/>
      <c r="VW182" s="272"/>
      <c r="VX182" s="272"/>
      <c r="VY182" s="205">
        <f t="shared" si="1500"/>
        <v>0</v>
      </c>
      <c r="VZ182" s="207"/>
      <c r="WA182" s="207"/>
      <c r="WB182" s="207"/>
      <c r="WC182" s="207"/>
      <c r="WD182" s="207"/>
      <c r="WE182" s="272"/>
      <c r="WF182" s="272"/>
      <c r="WG182" s="205">
        <f t="shared" si="1501"/>
        <v>0</v>
      </c>
      <c r="WH182" s="205">
        <f t="shared" si="1502"/>
        <v>0</v>
      </c>
      <c r="WI182" s="207"/>
      <c r="WJ182" s="207"/>
      <c r="WK182" s="207"/>
      <c r="WL182" s="207"/>
      <c r="WM182" s="207"/>
      <c r="WN182" s="272"/>
      <c r="WO182" s="272"/>
      <c r="WP182" s="205">
        <f t="shared" si="1503"/>
        <v>0</v>
      </c>
      <c r="WQ182" s="207"/>
      <c r="WR182" s="207"/>
      <c r="WS182" s="207"/>
      <c r="WT182" s="207"/>
      <c r="WU182" s="207"/>
      <c r="WV182" s="272"/>
      <c r="WW182" s="272"/>
      <c r="WX182" s="205">
        <f t="shared" si="1504"/>
        <v>0</v>
      </c>
      <c r="WY182" s="207"/>
      <c r="WZ182" s="207"/>
      <c r="XA182" s="207"/>
      <c r="XB182" s="207"/>
      <c r="XC182" s="272"/>
      <c r="XD182" s="272"/>
      <c r="XE182" s="272"/>
      <c r="XF182" s="205">
        <f t="shared" si="1505"/>
        <v>0</v>
      </c>
      <c r="XG182" s="207"/>
      <c r="XH182" s="207"/>
      <c r="XI182" s="207"/>
      <c r="XJ182" s="207"/>
      <c r="XK182" s="207"/>
      <c r="XL182" s="272"/>
      <c r="XM182" s="272"/>
      <c r="XN182" s="205">
        <f t="shared" si="1506"/>
        <v>0</v>
      </c>
      <c r="XO182" s="207"/>
      <c r="XP182" s="207"/>
      <c r="XQ182" s="207"/>
      <c r="XR182" s="207"/>
      <c r="XS182" s="207"/>
      <c r="XT182" s="272"/>
      <c r="XU182" s="272"/>
      <c r="XV182" s="205">
        <f t="shared" si="1507"/>
        <v>0</v>
      </c>
      <c r="XW182" s="205">
        <f t="shared" si="1508"/>
        <v>0</v>
      </c>
      <c r="XX182" s="207"/>
      <c r="XY182" s="207"/>
      <c r="XZ182" s="207"/>
      <c r="YA182" s="207"/>
      <c r="YB182" s="207"/>
      <c r="YC182" s="272"/>
      <c r="YD182" s="272"/>
      <c r="YE182" s="205">
        <f t="shared" si="1509"/>
        <v>0</v>
      </c>
      <c r="YF182" s="207"/>
      <c r="YG182" s="207"/>
      <c r="YH182" s="207"/>
      <c r="YI182" s="207"/>
      <c r="YJ182" s="207"/>
      <c r="YK182" s="272"/>
      <c r="YL182" s="272"/>
      <c r="YM182" s="205">
        <f t="shared" si="1510"/>
        <v>0</v>
      </c>
      <c r="YN182" s="207"/>
      <c r="YO182" s="207"/>
      <c r="YP182" s="207"/>
      <c r="YQ182" s="207"/>
      <c r="YR182" s="207"/>
      <c r="YS182" s="272"/>
      <c r="YT182" s="272"/>
      <c r="YU182" s="205">
        <f t="shared" si="1511"/>
        <v>0</v>
      </c>
      <c r="YV182" s="207"/>
      <c r="YW182" s="207"/>
      <c r="YX182" s="207"/>
      <c r="YY182" s="207"/>
      <c r="YZ182" s="207"/>
      <c r="ZA182" s="272"/>
      <c r="ZB182" s="272"/>
      <c r="ZC182" s="205">
        <f t="shared" si="1512"/>
        <v>0</v>
      </c>
      <c r="ZD182" s="205">
        <f t="shared" si="1513"/>
        <v>0</v>
      </c>
      <c r="ZE182" s="207"/>
      <c r="ZF182" s="207"/>
      <c r="ZG182" s="207"/>
      <c r="ZH182" s="207"/>
      <c r="ZI182" s="207"/>
      <c r="ZJ182" s="272"/>
      <c r="ZK182" s="272"/>
      <c r="ZL182" s="205">
        <f t="shared" si="1514"/>
        <v>0</v>
      </c>
      <c r="ZM182" s="207"/>
      <c r="ZN182" s="207"/>
      <c r="ZO182" s="207"/>
      <c r="ZP182" s="207"/>
      <c r="ZQ182" s="207"/>
      <c r="ZR182" s="272"/>
      <c r="ZS182" s="272"/>
      <c r="ZT182" s="205">
        <f t="shared" si="1515"/>
        <v>0</v>
      </c>
      <c r="ZU182" s="207"/>
      <c r="ZV182" s="207"/>
      <c r="ZW182" s="207"/>
      <c r="ZX182" s="207"/>
      <c r="ZY182" s="207"/>
      <c r="ZZ182" s="272"/>
      <c r="AAA182" s="272"/>
      <c r="AAB182" s="205">
        <f t="shared" si="1516"/>
        <v>0</v>
      </c>
      <c r="AAC182" s="207"/>
      <c r="AAD182" s="207"/>
      <c r="AAE182" s="207"/>
      <c r="AAF182" s="207"/>
      <c r="AAG182" s="207"/>
      <c r="AAH182" s="272"/>
      <c r="AAI182" s="272"/>
      <c r="AAJ182" s="205">
        <f t="shared" si="1517"/>
        <v>0</v>
      </c>
      <c r="AAK182" s="207"/>
      <c r="AAL182" s="207"/>
      <c r="AAM182" s="207"/>
      <c r="AAN182" s="207"/>
      <c r="AAO182" s="207"/>
      <c r="AAP182" s="272"/>
      <c r="AAQ182" s="272"/>
      <c r="AAR182" s="205">
        <f t="shared" si="1518"/>
        <v>0</v>
      </c>
      <c r="AAS182" s="205">
        <f t="shared" si="1519"/>
        <v>0</v>
      </c>
    </row>
    <row r="183" spans="1:721" ht="69.95" customHeight="1">
      <c r="A183" s="117">
        <v>132</v>
      </c>
      <c r="B183" s="274" t="s">
        <v>523</v>
      </c>
      <c r="C183" s="341" t="s">
        <v>338</v>
      </c>
      <c r="D183" s="275" t="s">
        <v>528</v>
      </c>
      <c r="E183" s="130" t="s">
        <v>4</v>
      </c>
      <c r="F183" s="120"/>
      <c r="G183" s="120"/>
      <c r="H183" s="120"/>
      <c r="I183" s="120"/>
      <c r="J183" s="120"/>
      <c r="K183" s="209"/>
      <c r="L183" s="205"/>
      <c r="M183" s="205">
        <f t="shared" si="1520"/>
        <v>0</v>
      </c>
      <c r="N183" s="120"/>
      <c r="O183" s="120"/>
      <c r="P183" s="120"/>
      <c r="Q183" s="120"/>
      <c r="R183" s="120"/>
      <c r="S183" s="209"/>
      <c r="T183" s="205"/>
      <c r="U183" s="205">
        <f t="shared" si="1521"/>
        <v>0</v>
      </c>
      <c r="V183" s="120"/>
      <c r="W183" s="120"/>
      <c r="X183" s="120"/>
      <c r="Y183" s="120"/>
      <c r="Z183" s="120"/>
      <c r="AA183" s="209"/>
      <c r="AB183" s="205"/>
      <c r="AC183" s="205">
        <f t="shared" si="1522"/>
        <v>0</v>
      </c>
      <c r="AD183" s="205"/>
      <c r="AE183" s="205"/>
      <c r="AF183" s="205"/>
      <c r="AG183" s="205"/>
      <c r="AH183" s="205"/>
      <c r="AI183" s="209"/>
      <c r="AJ183" s="205"/>
      <c r="AK183" s="205">
        <f t="shared" si="1523"/>
        <v>0</v>
      </c>
      <c r="AL183" s="205" t="e">
        <f>SUM(#REF!,M183,U183,AC183,AD183:AH183)</f>
        <v>#REF!</v>
      </c>
      <c r="AM183" s="120"/>
      <c r="AN183" s="120"/>
      <c r="AO183" s="120"/>
      <c r="AP183" s="120"/>
      <c r="AQ183" s="120"/>
      <c r="AR183" s="209"/>
      <c r="AS183" s="205"/>
      <c r="AT183" s="205">
        <f t="shared" si="1524"/>
        <v>0</v>
      </c>
      <c r="AU183" s="120"/>
      <c r="AV183" s="120"/>
      <c r="AW183" s="120"/>
      <c r="AX183" s="120"/>
      <c r="AY183" s="120"/>
      <c r="AZ183" s="209"/>
      <c r="BA183" s="205"/>
      <c r="BB183" s="205">
        <f t="shared" si="1525"/>
        <v>0</v>
      </c>
      <c r="BC183" s="120"/>
      <c r="BD183" s="120"/>
      <c r="BE183" s="120"/>
      <c r="BF183" s="120"/>
      <c r="BG183" s="120"/>
      <c r="BH183" s="209"/>
      <c r="BI183" s="205"/>
      <c r="BJ183" s="205">
        <f t="shared" si="1526"/>
        <v>0</v>
      </c>
      <c r="BK183" s="120"/>
      <c r="BL183" s="120"/>
      <c r="BM183" s="120"/>
      <c r="BN183" s="120"/>
      <c r="BO183" s="205"/>
      <c r="BP183" s="209"/>
      <c r="BQ183" s="205"/>
      <c r="BR183" s="205">
        <f t="shared" si="1527"/>
        <v>0</v>
      </c>
      <c r="BS183" s="205">
        <f t="shared" si="1427"/>
        <v>0</v>
      </c>
      <c r="BT183" s="120"/>
      <c r="BU183" s="120"/>
      <c r="BV183" s="120"/>
      <c r="BW183" s="120"/>
      <c r="BX183" s="120"/>
      <c r="BY183" s="209"/>
      <c r="BZ183" s="205"/>
      <c r="CA183" s="205">
        <f t="shared" si="1528"/>
        <v>0</v>
      </c>
      <c r="CB183" s="120"/>
      <c r="CC183" s="120"/>
      <c r="CD183" s="120"/>
      <c r="CE183" s="120"/>
      <c r="CF183" s="120"/>
      <c r="CG183" s="209"/>
      <c r="CH183" s="205"/>
      <c r="CI183" s="205">
        <f t="shared" si="1529"/>
        <v>0</v>
      </c>
      <c r="CJ183" s="120"/>
      <c r="CK183" s="120"/>
      <c r="CL183" s="120"/>
      <c r="CM183" s="120"/>
      <c r="CN183" s="120"/>
      <c r="CO183" s="209"/>
      <c r="CP183" s="205"/>
      <c r="CQ183" s="205">
        <f t="shared" si="1530"/>
        <v>0</v>
      </c>
      <c r="CR183" s="120"/>
      <c r="CS183" s="120"/>
      <c r="CT183" s="120"/>
      <c r="CU183" s="120"/>
      <c r="CV183" s="120"/>
      <c r="CW183" s="209"/>
      <c r="CX183" s="205"/>
      <c r="CY183" s="205">
        <f t="shared" si="1531"/>
        <v>0</v>
      </c>
      <c r="CZ183" s="120"/>
      <c r="DA183" s="120"/>
      <c r="DB183" s="120"/>
      <c r="DC183" s="205"/>
      <c r="DD183" s="205"/>
      <c r="DE183" s="209"/>
      <c r="DF183" s="205"/>
      <c r="DG183" s="205">
        <f t="shared" si="1532"/>
        <v>0</v>
      </c>
      <c r="DH183" s="205">
        <f t="shared" si="1428"/>
        <v>0</v>
      </c>
      <c r="DI183" s="120"/>
      <c r="DJ183" s="120"/>
      <c r="DK183" s="120"/>
      <c r="DL183" s="120"/>
      <c r="DM183" s="120"/>
      <c r="DN183" s="209"/>
      <c r="DO183" s="205"/>
      <c r="DP183" s="205">
        <f t="shared" si="1432"/>
        <v>0</v>
      </c>
      <c r="DQ183" s="120"/>
      <c r="DR183" s="120"/>
      <c r="DS183" s="120"/>
      <c r="DT183" s="120"/>
      <c r="DU183" s="120"/>
      <c r="DV183" s="209"/>
      <c r="DW183" s="205"/>
      <c r="DX183" s="205">
        <f t="shared" si="1433"/>
        <v>0</v>
      </c>
      <c r="DY183" s="120"/>
      <c r="DZ183" s="250">
        <v>50</v>
      </c>
      <c r="EA183" s="120"/>
      <c r="EB183" s="120"/>
      <c r="EC183" s="120"/>
      <c r="ED183" s="209"/>
      <c r="EE183" s="205"/>
      <c r="EF183" s="205">
        <f t="shared" si="1434"/>
        <v>50</v>
      </c>
      <c r="EG183" s="120"/>
      <c r="EH183" s="120"/>
      <c r="EI183" s="120"/>
      <c r="EJ183" s="205"/>
      <c r="EK183" s="205"/>
      <c r="EL183" s="209"/>
      <c r="EM183" s="205"/>
      <c r="EN183" s="205">
        <f t="shared" si="1435"/>
        <v>0</v>
      </c>
      <c r="EO183" s="205">
        <f t="shared" si="1429"/>
        <v>50</v>
      </c>
      <c r="EP183" s="120"/>
      <c r="EQ183" s="120"/>
      <c r="ER183" s="120"/>
      <c r="ES183" s="120"/>
      <c r="ET183" s="120"/>
      <c r="EU183" s="209"/>
      <c r="EV183" s="205"/>
      <c r="EW183" s="205">
        <f t="shared" si="1436"/>
        <v>0</v>
      </c>
      <c r="EX183" s="120"/>
      <c r="EY183" s="120"/>
      <c r="EZ183" s="120"/>
      <c r="FA183" s="120"/>
      <c r="FB183" s="120"/>
      <c r="FC183" s="209"/>
      <c r="FD183" s="205"/>
      <c r="FE183" s="205">
        <f t="shared" si="1437"/>
        <v>0</v>
      </c>
      <c r="FF183" s="120"/>
      <c r="FG183" s="120"/>
      <c r="FH183" s="120"/>
      <c r="FI183" s="120"/>
      <c r="FJ183" s="120"/>
      <c r="FK183" s="209"/>
      <c r="FL183" s="205"/>
      <c r="FM183" s="205">
        <f t="shared" si="1438"/>
        <v>0</v>
      </c>
      <c r="FN183" s="120"/>
      <c r="FO183" s="120"/>
      <c r="FP183" s="120"/>
      <c r="FQ183" s="120"/>
      <c r="FR183" s="205"/>
      <c r="FS183" s="209"/>
      <c r="FT183" s="205"/>
      <c r="FU183" s="205">
        <f t="shared" si="1439"/>
        <v>0</v>
      </c>
      <c r="FV183" s="205">
        <f t="shared" si="1430"/>
        <v>0</v>
      </c>
      <c r="FW183" s="120"/>
      <c r="FX183" s="120"/>
      <c r="FY183" s="120"/>
      <c r="FZ183" s="120"/>
      <c r="GA183" s="120"/>
      <c r="GB183" s="209"/>
      <c r="GC183" s="205"/>
      <c r="GD183" s="205">
        <f t="shared" si="1440"/>
        <v>0</v>
      </c>
      <c r="GE183" s="120"/>
      <c r="GF183" s="120"/>
      <c r="GG183" s="120"/>
      <c r="GH183" s="120"/>
      <c r="GI183" s="120"/>
      <c r="GJ183" s="209"/>
      <c r="GK183" s="205"/>
      <c r="GL183" s="205">
        <f t="shared" si="1441"/>
        <v>0</v>
      </c>
      <c r="GM183" s="120"/>
      <c r="GN183" s="120"/>
      <c r="GO183" s="120"/>
      <c r="GP183" s="120"/>
      <c r="GQ183" s="120"/>
      <c r="GR183" s="209"/>
      <c r="GS183" s="205"/>
      <c r="GT183" s="205">
        <f t="shared" si="1442"/>
        <v>0</v>
      </c>
      <c r="GU183" s="120"/>
      <c r="GV183" s="120"/>
      <c r="GW183" s="120"/>
      <c r="GX183" s="120"/>
      <c r="GY183" s="120"/>
      <c r="GZ183" s="209"/>
      <c r="HA183" s="205"/>
      <c r="HB183" s="205">
        <f t="shared" si="1443"/>
        <v>0</v>
      </c>
      <c r="HC183" s="120"/>
      <c r="HD183" s="120"/>
      <c r="HE183" s="120"/>
      <c r="HF183" s="120"/>
      <c r="HG183" s="120"/>
      <c r="HH183" s="209"/>
      <c r="HI183" s="205"/>
      <c r="HJ183" s="205">
        <f t="shared" si="1444"/>
        <v>0</v>
      </c>
      <c r="HK183" s="205">
        <f t="shared" si="1431"/>
        <v>0</v>
      </c>
      <c r="HL183" s="124"/>
      <c r="HM183" s="120"/>
      <c r="HN183" s="120"/>
      <c r="HO183" s="120"/>
      <c r="HP183" s="120"/>
      <c r="HQ183" s="205"/>
      <c r="HR183" s="205"/>
      <c r="HS183" s="205">
        <f t="shared" si="1445"/>
        <v>0</v>
      </c>
      <c r="HT183" s="120"/>
      <c r="HU183" s="120"/>
      <c r="HV183" s="120"/>
      <c r="HW183" s="120"/>
      <c r="HX183" s="120"/>
      <c r="HY183" s="205"/>
      <c r="HZ183" s="205"/>
      <c r="IA183" s="205">
        <f t="shared" si="1446"/>
        <v>0</v>
      </c>
      <c r="IB183" s="120"/>
      <c r="IC183" s="120"/>
      <c r="ID183" s="120"/>
      <c r="IE183" s="120"/>
      <c r="IF183" s="120"/>
      <c r="IG183" s="205"/>
      <c r="IH183" s="205"/>
      <c r="II183" s="205">
        <f t="shared" si="1447"/>
        <v>0</v>
      </c>
      <c r="IJ183" s="120"/>
      <c r="IK183" s="120"/>
      <c r="IL183" s="120"/>
      <c r="IM183" s="120"/>
      <c r="IN183" s="120"/>
      <c r="IO183" s="205"/>
      <c r="IP183" s="205"/>
      <c r="IQ183" s="205">
        <f t="shared" si="1448"/>
        <v>0</v>
      </c>
      <c r="IR183" s="205">
        <f t="shared" si="1449"/>
        <v>0</v>
      </c>
      <c r="IS183" s="120"/>
      <c r="IT183" s="120"/>
      <c r="IU183" s="120"/>
      <c r="IV183" s="120"/>
      <c r="IW183" s="120"/>
      <c r="IX183" s="205"/>
      <c r="IY183" s="205"/>
      <c r="IZ183" s="205">
        <f t="shared" si="1450"/>
        <v>0</v>
      </c>
      <c r="JA183" s="120"/>
      <c r="JB183" s="120"/>
      <c r="JC183" s="120"/>
      <c r="JD183" s="120"/>
      <c r="JE183" s="120"/>
      <c r="JF183" s="205"/>
      <c r="JG183" s="205"/>
      <c r="JH183" s="205">
        <f t="shared" si="1451"/>
        <v>0</v>
      </c>
      <c r="JI183" s="120"/>
      <c r="JJ183" s="120"/>
      <c r="JK183" s="120"/>
      <c r="JL183" s="120"/>
      <c r="JM183" s="120"/>
      <c r="JN183" s="205"/>
      <c r="JO183" s="205"/>
      <c r="JP183" s="205">
        <f t="shared" si="1452"/>
        <v>0</v>
      </c>
      <c r="JQ183" s="120"/>
      <c r="JR183" s="120"/>
      <c r="JS183" s="120"/>
      <c r="JT183" s="120"/>
      <c r="JU183" s="120"/>
      <c r="JV183" s="205"/>
      <c r="JW183" s="205"/>
      <c r="JX183" s="205">
        <f t="shared" si="1453"/>
        <v>0</v>
      </c>
      <c r="JY183" s="205">
        <f t="shared" si="1454"/>
        <v>0</v>
      </c>
      <c r="JZ183" s="120"/>
      <c r="KA183" s="120"/>
      <c r="KB183" s="120"/>
      <c r="KC183" s="120"/>
      <c r="KD183" s="120"/>
      <c r="KE183" s="205"/>
      <c r="KF183" s="205"/>
      <c r="KG183" s="205">
        <f t="shared" si="1455"/>
        <v>0</v>
      </c>
      <c r="KH183" s="120"/>
      <c r="KI183" s="120"/>
      <c r="KJ183" s="120"/>
      <c r="KK183" s="120"/>
      <c r="KL183" s="120"/>
      <c r="KM183" s="205"/>
      <c r="KN183" s="205"/>
      <c r="KO183" s="205">
        <f t="shared" si="1456"/>
        <v>0</v>
      </c>
      <c r="KP183" s="120"/>
      <c r="KQ183" s="120"/>
      <c r="KR183" s="120"/>
      <c r="KS183" s="120"/>
      <c r="KT183" s="120"/>
      <c r="KU183" s="205"/>
      <c r="KV183" s="205"/>
      <c r="KW183" s="205">
        <f t="shared" si="1457"/>
        <v>0</v>
      </c>
      <c r="KX183" s="120"/>
      <c r="KY183" s="120"/>
      <c r="KZ183" s="120"/>
      <c r="LA183" s="120"/>
      <c r="LB183" s="120"/>
      <c r="LC183" s="205"/>
      <c r="LD183" s="205"/>
      <c r="LE183" s="205">
        <f t="shared" si="1458"/>
        <v>0</v>
      </c>
      <c r="LF183" s="205"/>
      <c r="LG183" s="120"/>
      <c r="LH183" s="120"/>
      <c r="LI183" s="120"/>
      <c r="LJ183" s="120"/>
      <c r="LK183" s="205"/>
      <c r="LL183" s="205"/>
      <c r="LM183" s="205">
        <f t="shared" si="1459"/>
        <v>0</v>
      </c>
      <c r="LN183" s="205">
        <f t="shared" si="1460"/>
        <v>0</v>
      </c>
      <c r="LO183" s="205"/>
      <c r="LP183" s="120"/>
      <c r="LQ183" s="120"/>
      <c r="LR183" s="120"/>
      <c r="LS183" s="205"/>
      <c r="LT183" s="205"/>
      <c r="LU183" s="205"/>
      <c r="LV183" s="205">
        <f t="shared" si="1461"/>
        <v>0</v>
      </c>
      <c r="LW183" s="120"/>
      <c r="LX183" s="120"/>
      <c r="LY183" s="120"/>
      <c r="LZ183" s="120"/>
      <c r="MA183" s="120"/>
      <c r="MB183" s="205"/>
      <c r="MC183" s="205"/>
      <c r="MD183" s="205">
        <f t="shared" si="1462"/>
        <v>0</v>
      </c>
      <c r="ME183" s="120"/>
      <c r="MF183" s="120"/>
      <c r="MG183" s="120"/>
      <c r="MH183" s="120"/>
      <c r="MI183" s="205"/>
      <c r="MJ183" s="205"/>
      <c r="MK183" s="205"/>
      <c r="ML183" s="205">
        <f t="shared" si="1463"/>
        <v>0</v>
      </c>
      <c r="MM183" s="120"/>
      <c r="MN183" s="120"/>
      <c r="MO183" s="120"/>
      <c r="MP183" s="120"/>
      <c r="MQ183" s="120"/>
      <c r="MR183" s="205"/>
      <c r="MS183" s="205"/>
      <c r="MT183" s="205">
        <f t="shared" si="1464"/>
        <v>0</v>
      </c>
      <c r="MU183" s="205">
        <f t="shared" si="1465"/>
        <v>0</v>
      </c>
      <c r="MV183" s="120"/>
      <c r="MW183" s="120"/>
      <c r="MX183" s="120"/>
      <c r="MY183" s="120"/>
      <c r="MZ183" s="120"/>
      <c r="NA183" s="205"/>
      <c r="NB183" s="205"/>
      <c r="NC183" s="205">
        <f t="shared" si="1466"/>
        <v>0</v>
      </c>
      <c r="ND183" s="120"/>
      <c r="NE183" s="120"/>
      <c r="NF183" s="120"/>
      <c r="NG183" s="120"/>
      <c r="NH183" s="120"/>
      <c r="NI183" s="205"/>
      <c r="NJ183" s="205"/>
      <c r="NK183" s="205">
        <f t="shared" si="1467"/>
        <v>0</v>
      </c>
      <c r="NL183" s="120"/>
      <c r="NM183" s="120"/>
      <c r="NN183" s="120"/>
      <c r="NO183" s="120"/>
      <c r="NP183" s="120"/>
      <c r="NQ183" s="205"/>
      <c r="NR183" s="205"/>
      <c r="NS183" s="205">
        <f t="shared" si="1468"/>
        <v>0</v>
      </c>
      <c r="NT183" s="120"/>
      <c r="NU183" s="120"/>
      <c r="NV183" s="120"/>
      <c r="NW183" s="120"/>
      <c r="NX183" s="120"/>
      <c r="NY183" s="205"/>
      <c r="NZ183" s="205"/>
      <c r="OA183" s="205">
        <f t="shared" si="1469"/>
        <v>0</v>
      </c>
      <c r="OB183" s="205">
        <f t="shared" si="1470"/>
        <v>0</v>
      </c>
      <c r="OC183" s="120"/>
      <c r="OD183" s="120"/>
      <c r="OE183" s="120"/>
      <c r="OF183" s="120"/>
      <c r="OG183" s="120"/>
      <c r="OH183" s="205"/>
      <c r="OI183" s="205"/>
      <c r="OJ183" s="205">
        <f t="shared" si="1471"/>
        <v>0</v>
      </c>
      <c r="OK183" s="120"/>
      <c r="OL183" s="120"/>
      <c r="OM183" s="120"/>
      <c r="ON183" s="120"/>
      <c r="OO183" s="120"/>
      <c r="OP183" s="205"/>
      <c r="OQ183" s="205"/>
      <c r="OR183" s="205">
        <f t="shared" si="1472"/>
        <v>0</v>
      </c>
      <c r="OS183" s="120"/>
      <c r="OT183" s="120"/>
      <c r="OU183" s="120"/>
      <c r="OV183" s="120"/>
      <c r="OW183" s="120"/>
      <c r="OX183" s="205"/>
      <c r="OY183" s="205"/>
      <c r="OZ183" s="205">
        <f t="shared" si="1473"/>
        <v>0</v>
      </c>
      <c r="PA183" s="120"/>
      <c r="PB183" s="120"/>
      <c r="PC183" s="120"/>
      <c r="PD183" s="205"/>
      <c r="PE183" s="217"/>
      <c r="PF183" s="205"/>
      <c r="PG183" s="205"/>
      <c r="PH183" s="205">
        <f t="shared" si="1474"/>
        <v>0</v>
      </c>
      <c r="PI183" s="120"/>
      <c r="PJ183" s="120"/>
      <c r="PK183" s="120"/>
      <c r="PL183" s="205"/>
      <c r="PM183" s="217"/>
      <c r="PN183" s="205"/>
      <c r="PO183" s="205"/>
      <c r="PP183" s="205">
        <f t="shared" si="1475"/>
        <v>0</v>
      </c>
      <c r="PQ183" s="205">
        <f t="shared" si="1476"/>
        <v>0</v>
      </c>
      <c r="PR183" s="207"/>
      <c r="PS183" s="207"/>
      <c r="PT183" s="207"/>
      <c r="PU183" s="207"/>
      <c r="PV183" s="207"/>
      <c r="PW183" s="272"/>
      <c r="PX183" s="272"/>
      <c r="PY183" s="205">
        <f t="shared" si="1477"/>
        <v>0</v>
      </c>
      <c r="PZ183" s="207"/>
      <c r="QA183" s="207"/>
      <c r="QB183" s="207"/>
      <c r="QC183" s="207"/>
      <c r="QD183" s="207"/>
      <c r="QE183" s="272"/>
      <c r="QF183" s="272"/>
      <c r="QG183" s="205">
        <f t="shared" si="1478"/>
        <v>0</v>
      </c>
      <c r="QH183" s="207"/>
      <c r="QI183" s="207"/>
      <c r="QJ183" s="294"/>
      <c r="QK183" s="207"/>
      <c r="QL183" s="207"/>
      <c r="QM183" s="272"/>
      <c r="QN183" s="272"/>
      <c r="QO183" s="205">
        <f t="shared" si="1479"/>
        <v>0</v>
      </c>
      <c r="QP183" s="207"/>
      <c r="QQ183" s="207"/>
      <c r="QR183" s="207"/>
      <c r="QS183" s="207"/>
      <c r="QT183" s="207"/>
      <c r="QU183" s="272"/>
      <c r="QV183" s="272"/>
      <c r="QW183" s="205">
        <f t="shared" si="1480"/>
        <v>0</v>
      </c>
      <c r="QX183" s="205">
        <f t="shared" si="1481"/>
        <v>0</v>
      </c>
      <c r="QY183" s="207"/>
      <c r="QZ183" s="207"/>
      <c r="RA183" s="207"/>
      <c r="RB183" s="207"/>
      <c r="RC183" s="207"/>
      <c r="RD183" s="272"/>
      <c r="RE183" s="272"/>
      <c r="RF183" s="205">
        <f t="shared" si="1482"/>
        <v>0</v>
      </c>
      <c r="RG183" s="207"/>
      <c r="RH183" s="207"/>
      <c r="RI183" s="207"/>
      <c r="RJ183" s="207"/>
      <c r="RK183" s="207"/>
      <c r="RL183" s="272"/>
      <c r="RM183" s="272"/>
      <c r="RN183" s="205">
        <f t="shared" si="1483"/>
        <v>0</v>
      </c>
      <c r="RO183" s="272"/>
      <c r="RP183" s="272"/>
      <c r="RQ183" s="272"/>
      <c r="RR183" s="272"/>
      <c r="RS183" s="272"/>
      <c r="RT183" s="272"/>
      <c r="RU183" s="272"/>
      <c r="RV183" s="205">
        <f t="shared" si="1484"/>
        <v>0</v>
      </c>
      <c r="RW183" s="207"/>
      <c r="RX183" s="207"/>
      <c r="RY183" s="207"/>
      <c r="RZ183" s="207"/>
      <c r="SA183" s="272"/>
      <c r="SB183" s="272"/>
      <c r="SC183" s="272"/>
      <c r="SD183" s="205">
        <f t="shared" si="1485"/>
        <v>0</v>
      </c>
      <c r="SE183" s="205">
        <f t="shared" si="1486"/>
        <v>0</v>
      </c>
      <c r="SF183" s="207"/>
      <c r="SG183" s="207"/>
      <c r="SH183" s="207"/>
      <c r="SI183" s="207"/>
      <c r="SJ183" s="207"/>
      <c r="SK183" s="272"/>
      <c r="SL183" s="272"/>
      <c r="SM183" s="205">
        <f t="shared" si="1487"/>
        <v>0</v>
      </c>
      <c r="SN183" s="207"/>
      <c r="SO183" s="207"/>
      <c r="SP183" s="207"/>
      <c r="SQ183" s="207"/>
      <c r="SR183" s="207"/>
      <c r="SS183" s="272"/>
      <c r="ST183" s="272"/>
      <c r="SU183" s="205">
        <f t="shared" si="1488"/>
        <v>0</v>
      </c>
      <c r="SV183" s="207"/>
      <c r="SW183" s="207"/>
      <c r="SX183" s="207"/>
      <c r="SY183" s="207"/>
      <c r="SZ183" s="207"/>
      <c r="TA183" s="272"/>
      <c r="TB183" s="272"/>
      <c r="TC183" s="205">
        <f t="shared" si="1489"/>
        <v>0</v>
      </c>
      <c r="TD183" s="207"/>
      <c r="TE183" s="207"/>
      <c r="TF183" s="207"/>
      <c r="TG183" s="207"/>
      <c r="TH183" s="207"/>
      <c r="TI183" s="272"/>
      <c r="TJ183" s="272"/>
      <c r="TK183" s="205">
        <f t="shared" si="1490"/>
        <v>0</v>
      </c>
      <c r="TL183" s="207"/>
      <c r="TM183" s="207"/>
      <c r="TN183" s="207"/>
      <c r="TO183" s="207"/>
      <c r="TP183" s="272"/>
      <c r="TQ183" s="272"/>
      <c r="TR183" s="272"/>
      <c r="TS183" s="205">
        <f t="shared" si="1491"/>
        <v>0</v>
      </c>
      <c r="TT183" s="205">
        <f t="shared" si="1492"/>
        <v>0</v>
      </c>
      <c r="TU183" s="272"/>
      <c r="TV183" s="207"/>
      <c r="TW183" s="207"/>
      <c r="TX183" s="207"/>
      <c r="TY183" s="207"/>
      <c r="TZ183" s="272"/>
      <c r="UA183" s="272"/>
      <c r="UB183" s="205">
        <f t="shared" si="1493"/>
        <v>0</v>
      </c>
      <c r="UC183" s="207"/>
      <c r="UD183" s="207"/>
      <c r="UE183" s="207"/>
      <c r="UF183" s="207"/>
      <c r="UG183" s="207"/>
      <c r="UH183" s="272"/>
      <c r="UI183" s="272"/>
      <c r="UJ183" s="205">
        <f t="shared" si="1494"/>
        <v>0</v>
      </c>
      <c r="UK183" s="207"/>
      <c r="UL183" s="207"/>
      <c r="UM183" s="207"/>
      <c r="UN183" s="207"/>
      <c r="UO183" s="207"/>
      <c r="UP183" s="272"/>
      <c r="UQ183" s="272"/>
      <c r="UR183" s="205">
        <f t="shared" si="1495"/>
        <v>0</v>
      </c>
      <c r="US183" s="207"/>
      <c r="UT183" s="207"/>
      <c r="UU183" s="207"/>
      <c r="UV183" s="207"/>
      <c r="UW183" s="272"/>
      <c r="UX183" s="272"/>
      <c r="UY183" s="272"/>
      <c r="UZ183" s="205">
        <f t="shared" si="1496"/>
        <v>0</v>
      </c>
      <c r="VA183" s="205">
        <f t="shared" si="1497"/>
        <v>0</v>
      </c>
      <c r="VB183" s="207"/>
      <c r="VC183" s="207"/>
      <c r="VD183" s="207"/>
      <c r="VE183" s="207"/>
      <c r="VF183" s="207"/>
      <c r="VG183" s="272"/>
      <c r="VH183" s="272"/>
      <c r="VI183" s="205">
        <f t="shared" si="1498"/>
        <v>0</v>
      </c>
      <c r="VJ183" s="207"/>
      <c r="VK183" s="207"/>
      <c r="VL183" s="207"/>
      <c r="VM183" s="207"/>
      <c r="VN183" s="207"/>
      <c r="VO183" s="272"/>
      <c r="VP183" s="272"/>
      <c r="VQ183" s="205">
        <f t="shared" si="1499"/>
        <v>0</v>
      </c>
      <c r="VR183" s="207"/>
      <c r="VS183" s="207"/>
      <c r="VT183" s="207"/>
      <c r="VU183" s="207"/>
      <c r="VV183" s="207"/>
      <c r="VW183" s="272"/>
      <c r="VX183" s="272"/>
      <c r="VY183" s="205">
        <f t="shared" si="1500"/>
        <v>0</v>
      </c>
      <c r="VZ183" s="207"/>
      <c r="WA183" s="207"/>
      <c r="WB183" s="207"/>
      <c r="WC183" s="207"/>
      <c r="WD183" s="207"/>
      <c r="WE183" s="272"/>
      <c r="WF183" s="272"/>
      <c r="WG183" s="205">
        <f t="shared" si="1501"/>
        <v>0</v>
      </c>
      <c r="WH183" s="205">
        <f t="shared" si="1502"/>
        <v>0</v>
      </c>
      <c r="WI183" s="207"/>
      <c r="WJ183" s="207"/>
      <c r="WK183" s="207"/>
      <c r="WL183" s="207"/>
      <c r="WM183" s="207"/>
      <c r="WN183" s="272"/>
      <c r="WO183" s="272"/>
      <c r="WP183" s="205">
        <f t="shared" si="1503"/>
        <v>0</v>
      </c>
      <c r="WQ183" s="207"/>
      <c r="WR183" s="207"/>
      <c r="WS183" s="207"/>
      <c r="WT183" s="207"/>
      <c r="WU183" s="207"/>
      <c r="WV183" s="272"/>
      <c r="WW183" s="272"/>
      <c r="WX183" s="205">
        <f t="shared" si="1504"/>
        <v>0</v>
      </c>
      <c r="WY183" s="207"/>
      <c r="WZ183" s="207"/>
      <c r="XA183" s="207"/>
      <c r="XB183" s="207"/>
      <c r="XC183" s="272"/>
      <c r="XD183" s="272"/>
      <c r="XE183" s="272"/>
      <c r="XF183" s="205">
        <f t="shared" si="1505"/>
        <v>0</v>
      </c>
      <c r="XG183" s="207"/>
      <c r="XH183" s="207"/>
      <c r="XI183" s="207"/>
      <c r="XJ183" s="207"/>
      <c r="XK183" s="207"/>
      <c r="XL183" s="272"/>
      <c r="XM183" s="272"/>
      <c r="XN183" s="205">
        <f t="shared" si="1506"/>
        <v>0</v>
      </c>
      <c r="XO183" s="207"/>
      <c r="XP183" s="207"/>
      <c r="XQ183" s="207"/>
      <c r="XR183" s="207"/>
      <c r="XS183" s="207"/>
      <c r="XT183" s="272"/>
      <c r="XU183" s="272"/>
      <c r="XV183" s="205">
        <f t="shared" si="1507"/>
        <v>0</v>
      </c>
      <c r="XW183" s="205">
        <f t="shared" si="1508"/>
        <v>0</v>
      </c>
      <c r="XX183" s="207"/>
      <c r="XY183" s="207"/>
      <c r="XZ183" s="207"/>
      <c r="YA183" s="207"/>
      <c r="YB183" s="207"/>
      <c r="YC183" s="272"/>
      <c r="YD183" s="272"/>
      <c r="YE183" s="205">
        <f t="shared" si="1509"/>
        <v>0</v>
      </c>
      <c r="YF183" s="207"/>
      <c r="YG183" s="207"/>
      <c r="YH183" s="207"/>
      <c r="YI183" s="207"/>
      <c r="YJ183" s="207"/>
      <c r="YK183" s="272"/>
      <c r="YL183" s="272"/>
      <c r="YM183" s="205">
        <f t="shared" si="1510"/>
        <v>0</v>
      </c>
      <c r="YN183" s="207"/>
      <c r="YO183" s="207"/>
      <c r="YP183" s="207"/>
      <c r="YQ183" s="207"/>
      <c r="YR183" s="207"/>
      <c r="YS183" s="272"/>
      <c r="YT183" s="272"/>
      <c r="YU183" s="205">
        <f t="shared" si="1511"/>
        <v>0</v>
      </c>
      <c r="YV183" s="207"/>
      <c r="YW183" s="207"/>
      <c r="YX183" s="207"/>
      <c r="YY183" s="207"/>
      <c r="YZ183" s="207"/>
      <c r="ZA183" s="272"/>
      <c r="ZB183" s="272"/>
      <c r="ZC183" s="205">
        <f t="shared" si="1512"/>
        <v>0</v>
      </c>
      <c r="ZD183" s="205">
        <f t="shared" si="1513"/>
        <v>0</v>
      </c>
      <c r="ZE183" s="207"/>
      <c r="ZF183" s="207"/>
      <c r="ZG183" s="207"/>
      <c r="ZH183" s="207"/>
      <c r="ZI183" s="207"/>
      <c r="ZJ183" s="272"/>
      <c r="ZK183" s="272"/>
      <c r="ZL183" s="205">
        <f t="shared" si="1514"/>
        <v>0</v>
      </c>
      <c r="ZM183" s="207"/>
      <c r="ZN183" s="207"/>
      <c r="ZO183" s="207"/>
      <c r="ZP183" s="207"/>
      <c r="ZQ183" s="207"/>
      <c r="ZR183" s="272"/>
      <c r="ZS183" s="272"/>
      <c r="ZT183" s="205">
        <f t="shared" si="1515"/>
        <v>0</v>
      </c>
      <c r="ZU183" s="207"/>
      <c r="ZV183" s="207"/>
      <c r="ZW183" s="207"/>
      <c r="ZX183" s="207"/>
      <c r="ZY183" s="207"/>
      <c r="ZZ183" s="272"/>
      <c r="AAA183" s="272"/>
      <c r="AAB183" s="205">
        <f t="shared" si="1516"/>
        <v>0</v>
      </c>
      <c r="AAC183" s="207"/>
      <c r="AAD183" s="207"/>
      <c r="AAE183" s="207"/>
      <c r="AAF183" s="207"/>
      <c r="AAG183" s="207"/>
      <c r="AAH183" s="272"/>
      <c r="AAI183" s="272"/>
      <c r="AAJ183" s="205">
        <f t="shared" si="1517"/>
        <v>0</v>
      </c>
      <c r="AAK183" s="207"/>
      <c r="AAL183" s="207"/>
      <c r="AAM183" s="207"/>
      <c r="AAN183" s="207"/>
      <c r="AAO183" s="207"/>
      <c r="AAP183" s="272"/>
      <c r="AAQ183" s="272"/>
      <c r="AAR183" s="205">
        <f t="shared" si="1518"/>
        <v>0</v>
      </c>
      <c r="AAS183" s="205">
        <f t="shared" si="1519"/>
        <v>0</v>
      </c>
    </row>
    <row r="184" spans="1:721" ht="69.95" customHeight="1">
      <c r="A184" s="117">
        <v>122</v>
      </c>
      <c r="B184" s="276" t="s">
        <v>525</v>
      </c>
      <c r="C184" s="342" t="s">
        <v>502</v>
      </c>
      <c r="D184" s="197" t="s">
        <v>529</v>
      </c>
      <c r="E184" s="130" t="s">
        <v>4</v>
      </c>
      <c r="F184" s="120"/>
      <c r="G184" s="120"/>
      <c r="H184" s="120"/>
      <c r="I184" s="120"/>
      <c r="J184" s="124">
        <v>200</v>
      </c>
      <c r="K184" s="209"/>
      <c r="L184" s="205"/>
      <c r="M184" s="205">
        <f t="shared" si="1520"/>
        <v>200</v>
      </c>
      <c r="N184" s="120"/>
      <c r="O184" s="120"/>
      <c r="P184" s="123">
        <v>200</v>
      </c>
      <c r="Q184" s="120"/>
      <c r="R184" s="120"/>
      <c r="S184" s="209"/>
      <c r="T184" s="205"/>
      <c r="U184" s="205">
        <f t="shared" si="1521"/>
        <v>200</v>
      </c>
      <c r="V184" s="120"/>
      <c r="W184" s="120"/>
      <c r="X184" s="120"/>
      <c r="Y184" s="120"/>
      <c r="Z184" s="120"/>
      <c r="AA184" s="209"/>
      <c r="AB184" s="205"/>
      <c r="AC184" s="205">
        <f t="shared" si="1522"/>
        <v>0</v>
      </c>
      <c r="AD184" s="205"/>
      <c r="AE184" s="205"/>
      <c r="AF184" s="205"/>
      <c r="AG184" s="205"/>
      <c r="AH184" s="205"/>
      <c r="AI184" s="209"/>
      <c r="AJ184" s="205"/>
      <c r="AK184" s="205">
        <f t="shared" si="1523"/>
        <v>0</v>
      </c>
      <c r="AL184" s="205" t="e">
        <f>SUM(#REF!,M184,U184,AC184,AD184:AH184)</f>
        <v>#REF!</v>
      </c>
      <c r="AM184" s="120"/>
      <c r="AN184" s="120"/>
      <c r="AO184" s="120"/>
      <c r="AP184" s="120"/>
      <c r="AQ184" s="120"/>
      <c r="AR184" s="209"/>
      <c r="AS184" s="205"/>
      <c r="AT184" s="205">
        <f t="shared" si="1524"/>
        <v>0</v>
      </c>
      <c r="AU184" s="120"/>
      <c r="AV184" s="120"/>
      <c r="AW184" s="120"/>
      <c r="AX184" s="120"/>
      <c r="AY184" s="120"/>
      <c r="AZ184" s="209"/>
      <c r="BA184" s="205"/>
      <c r="BB184" s="205">
        <f t="shared" si="1525"/>
        <v>0</v>
      </c>
      <c r="BC184" s="120"/>
      <c r="BD184" s="120"/>
      <c r="BE184" s="120"/>
      <c r="BF184" s="120"/>
      <c r="BG184" s="120"/>
      <c r="BH184" s="209"/>
      <c r="BI184" s="205"/>
      <c r="BJ184" s="205">
        <f t="shared" si="1526"/>
        <v>0</v>
      </c>
      <c r="BK184" s="120"/>
      <c r="BL184" s="120"/>
      <c r="BM184" s="120"/>
      <c r="BN184" s="120"/>
      <c r="BO184" s="205"/>
      <c r="BP184" s="209"/>
      <c r="BQ184" s="205"/>
      <c r="BR184" s="205">
        <f t="shared" si="1527"/>
        <v>0</v>
      </c>
      <c r="BS184" s="205">
        <f t="shared" si="1427"/>
        <v>0</v>
      </c>
      <c r="BT184" s="120"/>
      <c r="BU184" s="120"/>
      <c r="BV184" s="120"/>
      <c r="BW184" s="120"/>
      <c r="BX184" s="120"/>
      <c r="BY184" s="209"/>
      <c r="BZ184" s="205"/>
      <c r="CA184" s="205">
        <f t="shared" si="1528"/>
        <v>0</v>
      </c>
      <c r="CB184" s="120"/>
      <c r="CC184" s="120"/>
      <c r="CD184" s="120"/>
      <c r="CE184" s="120"/>
      <c r="CF184" s="120"/>
      <c r="CG184" s="209"/>
      <c r="CH184" s="205"/>
      <c r="CI184" s="205">
        <f t="shared" si="1529"/>
        <v>0</v>
      </c>
      <c r="CJ184" s="120"/>
      <c r="CK184" s="120"/>
      <c r="CL184" s="120"/>
      <c r="CM184" s="120"/>
      <c r="CN184" s="120"/>
      <c r="CO184" s="209"/>
      <c r="CP184" s="205"/>
      <c r="CQ184" s="205">
        <f t="shared" si="1530"/>
        <v>0</v>
      </c>
      <c r="CR184" s="120"/>
      <c r="CS184" s="120"/>
      <c r="CT184" s="120"/>
      <c r="CU184" s="120"/>
      <c r="CV184" s="120"/>
      <c r="CW184" s="209"/>
      <c r="CX184" s="205"/>
      <c r="CY184" s="205">
        <f t="shared" si="1531"/>
        <v>0</v>
      </c>
      <c r="CZ184" s="120"/>
      <c r="DA184" s="120"/>
      <c r="DB184" s="120"/>
      <c r="DC184" s="205"/>
      <c r="DD184" s="205"/>
      <c r="DE184" s="209"/>
      <c r="DF184" s="205"/>
      <c r="DG184" s="205">
        <f t="shared" si="1532"/>
        <v>0</v>
      </c>
      <c r="DH184" s="205">
        <f t="shared" si="1428"/>
        <v>0</v>
      </c>
      <c r="DI184" s="120"/>
      <c r="DJ184" s="120"/>
      <c r="DK184" s="123">
        <v>200</v>
      </c>
      <c r="DL184" s="120"/>
      <c r="DM184" s="120"/>
      <c r="DN184" s="209"/>
      <c r="DO184" s="205"/>
      <c r="DP184" s="205">
        <f t="shared" si="1432"/>
        <v>200</v>
      </c>
      <c r="DQ184" s="120"/>
      <c r="DR184" s="120"/>
      <c r="DS184" s="120"/>
      <c r="DT184" s="120"/>
      <c r="DU184" s="120"/>
      <c r="DV184" s="209"/>
      <c r="DW184" s="205"/>
      <c r="DX184" s="205">
        <f t="shared" si="1433"/>
        <v>0</v>
      </c>
      <c r="DY184" s="120"/>
      <c r="DZ184" s="120"/>
      <c r="EA184" s="120"/>
      <c r="EB184" s="120"/>
      <c r="EC184" s="120"/>
      <c r="ED184" s="209"/>
      <c r="EE184" s="205"/>
      <c r="EF184" s="205">
        <f t="shared" si="1434"/>
        <v>0</v>
      </c>
      <c r="EG184" s="250">
        <v>50</v>
      </c>
      <c r="EH184" s="120"/>
      <c r="EI184" s="120"/>
      <c r="EJ184" s="205"/>
      <c r="EK184" s="205"/>
      <c r="EL184" s="209"/>
      <c r="EM184" s="205"/>
      <c r="EN184" s="205">
        <f t="shared" si="1435"/>
        <v>50</v>
      </c>
      <c r="EO184" s="205">
        <f t="shared" si="1429"/>
        <v>250</v>
      </c>
      <c r="EP184" s="120"/>
      <c r="EQ184" s="120"/>
      <c r="ER184" s="120"/>
      <c r="ES184" s="120"/>
      <c r="ET184" s="120"/>
      <c r="EU184" s="209"/>
      <c r="EV184" s="205"/>
      <c r="EW184" s="205">
        <f t="shared" si="1436"/>
        <v>0</v>
      </c>
      <c r="EX184" s="120"/>
      <c r="EY184" s="120"/>
      <c r="EZ184" s="120"/>
      <c r="FA184" s="120"/>
      <c r="FB184" s="120"/>
      <c r="FC184" s="209"/>
      <c r="FD184" s="205"/>
      <c r="FE184" s="205">
        <f t="shared" si="1437"/>
        <v>0</v>
      </c>
      <c r="FF184" s="120"/>
      <c r="FG184" s="120"/>
      <c r="FH184" s="120"/>
      <c r="FI184" s="120"/>
      <c r="FJ184" s="120"/>
      <c r="FK184" s="209"/>
      <c r="FL184" s="205"/>
      <c r="FM184" s="205">
        <f t="shared" si="1438"/>
        <v>0</v>
      </c>
      <c r="FN184" s="120"/>
      <c r="FO184" s="120"/>
      <c r="FP184" s="120"/>
      <c r="FQ184" s="120"/>
      <c r="FR184" s="205"/>
      <c r="FS184" s="209"/>
      <c r="FT184" s="205"/>
      <c r="FU184" s="205">
        <f t="shared" si="1439"/>
        <v>0</v>
      </c>
      <c r="FV184" s="205">
        <f t="shared" si="1430"/>
        <v>0</v>
      </c>
      <c r="FW184" s="120"/>
      <c r="FX184" s="120"/>
      <c r="FY184" s="120"/>
      <c r="FZ184" s="120"/>
      <c r="GA184" s="120"/>
      <c r="GB184" s="209"/>
      <c r="GC184" s="205"/>
      <c r="GD184" s="205">
        <f t="shared" si="1440"/>
        <v>0</v>
      </c>
      <c r="GE184" s="120"/>
      <c r="GF184" s="120"/>
      <c r="GG184" s="120"/>
      <c r="GH184" s="120"/>
      <c r="GI184" s="120"/>
      <c r="GJ184" s="209"/>
      <c r="GK184" s="205"/>
      <c r="GL184" s="205">
        <f t="shared" si="1441"/>
        <v>0</v>
      </c>
      <c r="GM184" s="120"/>
      <c r="GN184" s="120"/>
      <c r="GO184" s="120"/>
      <c r="GP184" s="120"/>
      <c r="GQ184" s="120"/>
      <c r="GR184" s="209"/>
      <c r="GS184" s="205"/>
      <c r="GT184" s="205">
        <f t="shared" si="1442"/>
        <v>0</v>
      </c>
      <c r="GU184" s="120"/>
      <c r="GV184" s="120"/>
      <c r="GW184" s="120"/>
      <c r="GX184" s="120"/>
      <c r="GY184" s="120"/>
      <c r="GZ184" s="209"/>
      <c r="HA184" s="205"/>
      <c r="HB184" s="205">
        <f t="shared" si="1443"/>
        <v>0</v>
      </c>
      <c r="HC184" s="120"/>
      <c r="HD184" s="120"/>
      <c r="HE184" s="120"/>
      <c r="HF184" s="120"/>
      <c r="HG184" s="120"/>
      <c r="HH184" s="209"/>
      <c r="HI184" s="205"/>
      <c r="HJ184" s="205">
        <f t="shared" si="1444"/>
        <v>0</v>
      </c>
      <c r="HK184" s="205">
        <f t="shared" si="1431"/>
        <v>0</v>
      </c>
      <c r="HL184" s="124"/>
      <c r="HM184" s="120"/>
      <c r="HN184" s="120"/>
      <c r="HO184" s="120"/>
      <c r="HP184" s="120"/>
      <c r="HQ184" s="205"/>
      <c r="HR184" s="205"/>
      <c r="HS184" s="205">
        <f t="shared" si="1445"/>
        <v>0</v>
      </c>
      <c r="HT184" s="120"/>
      <c r="HU184" s="120"/>
      <c r="HV184" s="120"/>
      <c r="HW184" s="120"/>
      <c r="HX184" s="120"/>
      <c r="HY184" s="205"/>
      <c r="HZ184" s="205"/>
      <c r="IA184" s="205">
        <f t="shared" si="1446"/>
        <v>0</v>
      </c>
      <c r="IB184" s="120"/>
      <c r="IC184" s="120"/>
      <c r="ID184" s="120"/>
      <c r="IE184" s="120"/>
      <c r="IF184" s="120"/>
      <c r="IG184" s="205"/>
      <c r="IH184" s="205"/>
      <c r="II184" s="205">
        <f t="shared" si="1447"/>
        <v>0</v>
      </c>
      <c r="IJ184" s="120"/>
      <c r="IK184" s="120"/>
      <c r="IL184" s="120"/>
      <c r="IM184" s="120"/>
      <c r="IN184" s="120"/>
      <c r="IO184" s="205"/>
      <c r="IP184" s="205"/>
      <c r="IQ184" s="205">
        <f t="shared" si="1448"/>
        <v>0</v>
      </c>
      <c r="IR184" s="205">
        <f t="shared" si="1449"/>
        <v>0</v>
      </c>
      <c r="IS184" s="217">
        <v>100</v>
      </c>
      <c r="IT184" s="120"/>
      <c r="IU184" s="120"/>
      <c r="IV184" s="120"/>
      <c r="IW184" s="120"/>
      <c r="IX184" s="205"/>
      <c r="IY184" s="205"/>
      <c r="IZ184" s="205">
        <f t="shared" si="1450"/>
        <v>100</v>
      </c>
      <c r="JA184" s="120"/>
      <c r="JB184" s="120"/>
      <c r="JC184" s="120"/>
      <c r="JD184" s="120"/>
      <c r="JE184" s="120"/>
      <c r="JF184" s="205"/>
      <c r="JG184" s="205"/>
      <c r="JH184" s="205">
        <f t="shared" si="1451"/>
        <v>0</v>
      </c>
      <c r="JI184" s="120"/>
      <c r="JJ184" s="120"/>
      <c r="JK184" s="120"/>
      <c r="JL184" s="120"/>
      <c r="JM184" s="120"/>
      <c r="JN184" s="205"/>
      <c r="JO184" s="205"/>
      <c r="JP184" s="205">
        <f t="shared" si="1452"/>
        <v>0</v>
      </c>
      <c r="JQ184" s="120"/>
      <c r="JR184" s="120"/>
      <c r="JS184" s="120"/>
      <c r="JT184" s="120"/>
      <c r="JU184" s="120"/>
      <c r="JV184" s="205"/>
      <c r="JW184" s="205"/>
      <c r="JX184" s="205">
        <f t="shared" si="1453"/>
        <v>0</v>
      </c>
      <c r="JY184" s="205">
        <f t="shared" si="1454"/>
        <v>100</v>
      </c>
      <c r="JZ184" s="120"/>
      <c r="KA184" s="120"/>
      <c r="KB184" s="120"/>
      <c r="KC184" s="120"/>
      <c r="KD184" s="120"/>
      <c r="KE184" s="205"/>
      <c r="KF184" s="205"/>
      <c r="KG184" s="205">
        <f t="shared" si="1455"/>
        <v>0</v>
      </c>
      <c r="KH184" s="120"/>
      <c r="KI184" s="120"/>
      <c r="KJ184" s="120"/>
      <c r="KK184" s="120"/>
      <c r="KL184" s="120"/>
      <c r="KM184" s="205"/>
      <c r="KN184" s="205"/>
      <c r="KO184" s="205">
        <f t="shared" si="1456"/>
        <v>0</v>
      </c>
      <c r="KP184" s="120"/>
      <c r="KQ184" s="120"/>
      <c r="KR184" s="120"/>
      <c r="KS184" s="120"/>
      <c r="KT184" s="120"/>
      <c r="KU184" s="205"/>
      <c r="KV184" s="205"/>
      <c r="KW184" s="205">
        <f t="shared" si="1457"/>
        <v>0</v>
      </c>
      <c r="KX184" s="120"/>
      <c r="KY184" s="120"/>
      <c r="KZ184" s="120"/>
      <c r="LA184" s="120"/>
      <c r="LB184" s="120"/>
      <c r="LC184" s="205"/>
      <c r="LD184" s="205"/>
      <c r="LE184" s="205">
        <f t="shared" si="1458"/>
        <v>0</v>
      </c>
      <c r="LF184" s="205"/>
      <c r="LG184" s="120"/>
      <c r="LH184" s="120"/>
      <c r="LI184" s="120"/>
      <c r="LJ184" s="120"/>
      <c r="LK184" s="205"/>
      <c r="LL184" s="205"/>
      <c r="LM184" s="205">
        <f t="shared" si="1459"/>
        <v>0</v>
      </c>
      <c r="LN184" s="205">
        <f t="shared" si="1460"/>
        <v>0</v>
      </c>
      <c r="LO184" s="205"/>
      <c r="LP184" s="120"/>
      <c r="LQ184" s="120"/>
      <c r="LR184" s="120"/>
      <c r="LS184" s="205"/>
      <c r="LT184" s="205"/>
      <c r="LU184" s="205"/>
      <c r="LV184" s="205">
        <f t="shared" si="1461"/>
        <v>0</v>
      </c>
      <c r="LW184" s="120"/>
      <c r="LX184" s="123">
        <v>200</v>
      </c>
      <c r="LY184" s="120"/>
      <c r="LZ184" s="120"/>
      <c r="MA184" s="120"/>
      <c r="MB184" s="205"/>
      <c r="MC184" s="205"/>
      <c r="MD184" s="205">
        <f t="shared" si="1462"/>
        <v>200</v>
      </c>
      <c r="ME184" s="120"/>
      <c r="MF184" s="120"/>
      <c r="MG184" s="120"/>
      <c r="MH184" s="120"/>
      <c r="MI184" s="205"/>
      <c r="MJ184" s="205"/>
      <c r="MK184" s="205"/>
      <c r="ML184" s="205">
        <f t="shared" si="1463"/>
        <v>0</v>
      </c>
      <c r="MM184" s="120"/>
      <c r="MN184" s="120"/>
      <c r="MO184" s="120"/>
      <c r="MP184" s="120"/>
      <c r="MQ184" s="120"/>
      <c r="MR184" s="205"/>
      <c r="MS184" s="205"/>
      <c r="MT184" s="205">
        <f t="shared" si="1464"/>
        <v>0</v>
      </c>
      <c r="MU184" s="205">
        <f t="shared" si="1465"/>
        <v>200</v>
      </c>
      <c r="MV184" s="120"/>
      <c r="MW184" s="120"/>
      <c r="MX184" s="120"/>
      <c r="MY184" s="120"/>
      <c r="MZ184" s="120"/>
      <c r="NA184" s="205"/>
      <c r="NB184" s="205"/>
      <c r="NC184" s="205">
        <f t="shared" si="1466"/>
        <v>0</v>
      </c>
      <c r="ND184" s="120"/>
      <c r="NE184" s="120"/>
      <c r="NF184" s="120"/>
      <c r="NG184" s="120"/>
      <c r="NH184" s="120"/>
      <c r="NI184" s="205"/>
      <c r="NJ184" s="205"/>
      <c r="NK184" s="205">
        <f t="shared" si="1467"/>
        <v>0</v>
      </c>
      <c r="NL184" s="120"/>
      <c r="NM184" s="120"/>
      <c r="NN184" s="120"/>
      <c r="NO184" s="120"/>
      <c r="NP184" s="120"/>
      <c r="NQ184" s="205"/>
      <c r="NR184" s="205"/>
      <c r="NS184" s="205">
        <f t="shared" si="1468"/>
        <v>0</v>
      </c>
      <c r="NT184" s="120"/>
      <c r="NU184" s="120"/>
      <c r="NV184" s="120"/>
      <c r="NW184" s="120"/>
      <c r="NX184" s="120"/>
      <c r="NY184" s="205"/>
      <c r="NZ184" s="205"/>
      <c r="OA184" s="205">
        <f t="shared" si="1469"/>
        <v>0</v>
      </c>
      <c r="OB184" s="205">
        <f t="shared" si="1470"/>
        <v>0</v>
      </c>
      <c r="OC184" s="120"/>
      <c r="OD184" s="120"/>
      <c r="OE184" s="120"/>
      <c r="OF184" s="120"/>
      <c r="OG184" s="120"/>
      <c r="OH184" s="205"/>
      <c r="OI184" s="205"/>
      <c r="OJ184" s="205">
        <f t="shared" si="1471"/>
        <v>0</v>
      </c>
      <c r="OK184" s="120"/>
      <c r="OL184" s="120"/>
      <c r="OM184" s="120"/>
      <c r="ON184" s="120"/>
      <c r="OO184" s="120"/>
      <c r="OP184" s="205"/>
      <c r="OQ184" s="205"/>
      <c r="OR184" s="205">
        <f t="shared" si="1472"/>
        <v>0</v>
      </c>
      <c r="OS184" s="120"/>
      <c r="OT184" s="120"/>
      <c r="OU184" s="120"/>
      <c r="OV184" s="120"/>
      <c r="OW184" s="120"/>
      <c r="OX184" s="205"/>
      <c r="OY184" s="205"/>
      <c r="OZ184" s="205">
        <f t="shared" si="1473"/>
        <v>0</v>
      </c>
      <c r="PA184" s="120"/>
      <c r="PB184" s="120"/>
      <c r="PC184" s="120"/>
      <c r="PD184" s="205"/>
      <c r="PE184" s="217"/>
      <c r="PF184" s="205"/>
      <c r="PG184" s="205"/>
      <c r="PH184" s="205">
        <f t="shared" si="1474"/>
        <v>0</v>
      </c>
      <c r="PI184" s="120"/>
      <c r="PJ184" s="120"/>
      <c r="PK184" s="123">
        <v>152</v>
      </c>
      <c r="PL184" s="205"/>
      <c r="PM184" s="217"/>
      <c r="PN184" s="205"/>
      <c r="PO184" s="205"/>
      <c r="PP184" s="205">
        <f t="shared" si="1475"/>
        <v>152</v>
      </c>
      <c r="PQ184" s="205">
        <f t="shared" si="1476"/>
        <v>152</v>
      </c>
      <c r="PR184" s="207"/>
      <c r="PS184" s="207"/>
      <c r="PT184" s="207"/>
      <c r="PU184" s="207"/>
      <c r="PV184" s="207"/>
      <c r="PW184" s="272"/>
      <c r="PX184" s="272"/>
      <c r="PY184" s="205">
        <f t="shared" si="1477"/>
        <v>0</v>
      </c>
      <c r="PZ184" s="207"/>
      <c r="QA184" s="207"/>
      <c r="QB184" s="207"/>
      <c r="QC184" s="207"/>
      <c r="QD184" s="207"/>
      <c r="QE184" s="272"/>
      <c r="QF184" s="272"/>
      <c r="QG184" s="205">
        <f t="shared" si="1478"/>
        <v>0</v>
      </c>
      <c r="QH184" s="207"/>
      <c r="QI184" s="207"/>
      <c r="QJ184" s="294"/>
      <c r="QK184" s="207"/>
      <c r="QL184" s="207"/>
      <c r="QM184" s="272"/>
      <c r="QN184" s="272"/>
      <c r="QO184" s="205">
        <f t="shared" si="1479"/>
        <v>0</v>
      </c>
      <c r="QP184" s="207"/>
      <c r="QQ184" s="207"/>
      <c r="QR184" s="207"/>
      <c r="QS184" s="207"/>
      <c r="QT184" s="207"/>
      <c r="QU184" s="272"/>
      <c r="QV184" s="272"/>
      <c r="QW184" s="205">
        <f t="shared" si="1480"/>
        <v>0</v>
      </c>
      <c r="QX184" s="205">
        <f t="shared" si="1481"/>
        <v>0</v>
      </c>
      <c r="QY184" s="207"/>
      <c r="QZ184" s="207"/>
      <c r="RA184" s="207"/>
      <c r="RB184" s="207"/>
      <c r="RC184" s="207"/>
      <c r="RD184" s="272"/>
      <c r="RE184" s="272"/>
      <c r="RF184" s="205">
        <f t="shared" si="1482"/>
        <v>0</v>
      </c>
      <c r="RG184" s="207"/>
      <c r="RH184" s="207"/>
      <c r="RI184" s="207"/>
      <c r="RJ184" s="207"/>
      <c r="RK184" s="207"/>
      <c r="RL184" s="272"/>
      <c r="RM184" s="272"/>
      <c r="RN184" s="205">
        <f t="shared" si="1483"/>
        <v>0</v>
      </c>
      <c r="RO184" s="272"/>
      <c r="RP184" s="272"/>
      <c r="RQ184" s="272"/>
      <c r="RR184" s="272"/>
      <c r="RS184" s="272"/>
      <c r="RT184" s="272"/>
      <c r="RU184" s="272"/>
      <c r="RV184" s="205">
        <f t="shared" si="1484"/>
        <v>0</v>
      </c>
      <c r="RW184" s="207"/>
      <c r="RX184" s="207"/>
      <c r="RY184" s="207"/>
      <c r="RZ184" s="207"/>
      <c r="SA184" s="272"/>
      <c r="SB184" s="272"/>
      <c r="SC184" s="272"/>
      <c r="SD184" s="205">
        <f t="shared" si="1485"/>
        <v>0</v>
      </c>
      <c r="SE184" s="205">
        <f t="shared" si="1486"/>
        <v>0</v>
      </c>
      <c r="SF184" s="207"/>
      <c r="SG184" s="207"/>
      <c r="SH184" s="207"/>
      <c r="SI184" s="207"/>
      <c r="SJ184" s="207"/>
      <c r="SK184" s="272"/>
      <c r="SL184" s="272"/>
      <c r="SM184" s="205">
        <f t="shared" si="1487"/>
        <v>0</v>
      </c>
      <c r="SN184" s="207"/>
      <c r="SO184" s="207"/>
      <c r="SP184" s="207"/>
      <c r="SQ184" s="207"/>
      <c r="SR184" s="207"/>
      <c r="SS184" s="272"/>
      <c r="ST184" s="272"/>
      <c r="SU184" s="205">
        <f t="shared" si="1488"/>
        <v>0</v>
      </c>
      <c r="SV184" s="207"/>
      <c r="SW184" s="207"/>
      <c r="SX184" s="207"/>
      <c r="SY184" s="207"/>
      <c r="SZ184" s="207"/>
      <c r="TA184" s="272"/>
      <c r="TB184" s="272"/>
      <c r="TC184" s="205">
        <f t="shared" si="1489"/>
        <v>0</v>
      </c>
      <c r="TD184" s="207"/>
      <c r="TE184" s="207"/>
      <c r="TF184" s="207"/>
      <c r="TG184" s="207"/>
      <c r="TH184" s="207"/>
      <c r="TI184" s="272"/>
      <c r="TJ184" s="272"/>
      <c r="TK184" s="205">
        <f t="shared" si="1490"/>
        <v>0</v>
      </c>
      <c r="TL184" s="207"/>
      <c r="TM184" s="207"/>
      <c r="TN184" s="207"/>
      <c r="TO184" s="207"/>
      <c r="TP184" s="272"/>
      <c r="TQ184" s="272"/>
      <c r="TR184" s="272"/>
      <c r="TS184" s="205">
        <f t="shared" si="1491"/>
        <v>0</v>
      </c>
      <c r="TT184" s="205">
        <f t="shared" si="1492"/>
        <v>0</v>
      </c>
      <c r="TU184" s="272"/>
      <c r="TV184" s="207"/>
      <c r="TW184" s="207"/>
      <c r="TX184" s="207"/>
      <c r="TY184" s="207"/>
      <c r="TZ184" s="272"/>
      <c r="UA184" s="272"/>
      <c r="UB184" s="205">
        <f t="shared" si="1493"/>
        <v>0</v>
      </c>
      <c r="UC184" s="207"/>
      <c r="UD184" s="207"/>
      <c r="UE184" s="207"/>
      <c r="UF184" s="207"/>
      <c r="UG184" s="207"/>
      <c r="UH184" s="272"/>
      <c r="UI184" s="272"/>
      <c r="UJ184" s="205">
        <f t="shared" si="1494"/>
        <v>0</v>
      </c>
      <c r="UK184" s="207"/>
      <c r="UL184" s="207"/>
      <c r="UM184" s="207"/>
      <c r="UN184" s="207"/>
      <c r="UO184" s="207"/>
      <c r="UP184" s="272"/>
      <c r="UQ184" s="272"/>
      <c r="UR184" s="205">
        <f t="shared" si="1495"/>
        <v>0</v>
      </c>
      <c r="US184" s="207"/>
      <c r="UT184" s="207"/>
      <c r="UU184" s="207"/>
      <c r="UV184" s="207"/>
      <c r="UW184" s="272"/>
      <c r="UX184" s="272"/>
      <c r="UY184" s="272"/>
      <c r="UZ184" s="205">
        <f t="shared" si="1496"/>
        <v>0</v>
      </c>
      <c r="VA184" s="205">
        <f t="shared" si="1497"/>
        <v>0</v>
      </c>
      <c r="VB184" s="207"/>
      <c r="VC184" s="207"/>
      <c r="VD184" s="207"/>
      <c r="VE184" s="207"/>
      <c r="VF184" s="207"/>
      <c r="VG184" s="272"/>
      <c r="VH184" s="272"/>
      <c r="VI184" s="205">
        <f t="shared" si="1498"/>
        <v>0</v>
      </c>
      <c r="VJ184" s="207"/>
      <c r="VK184" s="207"/>
      <c r="VL184" s="207"/>
      <c r="VM184" s="207"/>
      <c r="VN184" s="207"/>
      <c r="VO184" s="272"/>
      <c r="VP184" s="272"/>
      <c r="VQ184" s="205">
        <f t="shared" si="1499"/>
        <v>0</v>
      </c>
      <c r="VR184" s="207"/>
      <c r="VS184" s="207"/>
      <c r="VT184" s="207"/>
      <c r="VU184" s="207"/>
      <c r="VV184" s="207"/>
      <c r="VW184" s="272"/>
      <c r="VX184" s="272"/>
      <c r="VY184" s="205">
        <f t="shared" si="1500"/>
        <v>0</v>
      </c>
      <c r="VZ184" s="207"/>
      <c r="WA184" s="207"/>
      <c r="WB184" s="207"/>
      <c r="WC184" s="207"/>
      <c r="WD184" s="207"/>
      <c r="WE184" s="272"/>
      <c r="WF184" s="272"/>
      <c r="WG184" s="205">
        <f t="shared" si="1501"/>
        <v>0</v>
      </c>
      <c r="WH184" s="205">
        <f t="shared" si="1502"/>
        <v>0</v>
      </c>
      <c r="WI184" s="207"/>
      <c r="WJ184" s="207"/>
      <c r="WK184" s="207"/>
      <c r="WL184" s="207"/>
      <c r="WM184" s="207"/>
      <c r="WN184" s="272"/>
      <c r="WO184" s="272"/>
      <c r="WP184" s="205">
        <f t="shared" si="1503"/>
        <v>0</v>
      </c>
      <c r="WQ184" s="207"/>
      <c r="WR184" s="207"/>
      <c r="WS184" s="207"/>
      <c r="WT184" s="207"/>
      <c r="WU184" s="207"/>
      <c r="WV184" s="272"/>
      <c r="WW184" s="272"/>
      <c r="WX184" s="205">
        <f t="shared" si="1504"/>
        <v>0</v>
      </c>
      <c r="WY184" s="207"/>
      <c r="WZ184" s="207"/>
      <c r="XA184" s="207"/>
      <c r="XB184" s="207"/>
      <c r="XC184" s="272"/>
      <c r="XD184" s="272"/>
      <c r="XE184" s="272"/>
      <c r="XF184" s="205">
        <f t="shared" si="1505"/>
        <v>0</v>
      </c>
      <c r="XG184" s="207"/>
      <c r="XH184" s="207"/>
      <c r="XI184" s="207"/>
      <c r="XJ184" s="207"/>
      <c r="XK184" s="207"/>
      <c r="XL184" s="272"/>
      <c r="XM184" s="272"/>
      <c r="XN184" s="205">
        <f t="shared" si="1506"/>
        <v>0</v>
      </c>
      <c r="XO184" s="207"/>
      <c r="XP184" s="207"/>
      <c r="XQ184" s="207"/>
      <c r="XR184" s="207"/>
      <c r="XS184" s="207"/>
      <c r="XT184" s="272"/>
      <c r="XU184" s="272"/>
      <c r="XV184" s="205">
        <f t="shared" si="1507"/>
        <v>0</v>
      </c>
      <c r="XW184" s="205">
        <f t="shared" si="1508"/>
        <v>0</v>
      </c>
      <c r="XX184" s="207"/>
      <c r="XY184" s="207"/>
      <c r="XZ184" s="207"/>
      <c r="YA184" s="207"/>
      <c r="YB184" s="207"/>
      <c r="YC184" s="272"/>
      <c r="YD184" s="272"/>
      <c r="YE184" s="205">
        <f t="shared" si="1509"/>
        <v>0</v>
      </c>
      <c r="YF184" s="207"/>
      <c r="YG184" s="207"/>
      <c r="YH184" s="207"/>
      <c r="YI184" s="207"/>
      <c r="YJ184" s="207"/>
      <c r="YK184" s="272"/>
      <c r="YL184" s="272"/>
      <c r="YM184" s="205">
        <f t="shared" si="1510"/>
        <v>0</v>
      </c>
      <c r="YN184" s="207"/>
      <c r="YO184" s="207"/>
      <c r="YP184" s="207"/>
      <c r="YQ184" s="207"/>
      <c r="YR184" s="207"/>
      <c r="YS184" s="272"/>
      <c r="YT184" s="272"/>
      <c r="YU184" s="205">
        <f t="shared" si="1511"/>
        <v>0</v>
      </c>
      <c r="YV184" s="207"/>
      <c r="YW184" s="207"/>
      <c r="YX184" s="207"/>
      <c r="YY184" s="207"/>
      <c r="YZ184" s="207"/>
      <c r="ZA184" s="272"/>
      <c r="ZB184" s="272"/>
      <c r="ZC184" s="205">
        <f t="shared" si="1512"/>
        <v>0</v>
      </c>
      <c r="ZD184" s="205">
        <f t="shared" si="1513"/>
        <v>0</v>
      </c>
      <c r="ZE184" s="207"/>
      <c r="ZF184" s="207"/>
      <c r="ZG184" s="207"/>
      <c r="ZH184" s="207"/>
      <c r="ZI184" s="207"/>
      <c r="ZJ184" s="272"/>
      <c r="ZK184" s="272"/>
      <c r="ZL184" s="205">
        <f t="shared" si="1514"/>
        <v>0</v>
      </c>
      <c r="ZM184" s="207"/>
      <c r="ZN184" s="207"/>
      <c r="ZO184" s="207"/>
      <c r="ZP184" s="207"/>
      <c r="ZQ184" s="207"/>
      <c r="ZR184" s="272"/>
      <c r="ZS184" s="272"/>
      <c r="ZT184" s="205">
        <f t="shared" si="1515"/>
        <v>0</v>
      </c>
      <c r="ZU184" s="207"/>
      <c r="ZV184" s="207"/>
      <c r="ZW184" s="207"/>
      <c r="ZX184" s="207"/>
      <c r="ZY184" s="207"/>
      <c r="ZZ184" s="272"/>
      <c r="AAA184" s="272"/>
      <c r="AAB184" s="205">
        <f t="shared" si="1516"/>
        <v>0</v>
      </c>
      <c r="AAC184" s="207"/>
      <c r="AAD184" s="207"/>
      <c r="AAE184" s="207"/>
      <c r="AAF184" s="207"/>
      <c r="AAG184" s="207"/>
      <c r="AAH184" s="272"/>
      <c r="AAI184" s="272"/>
      <c r="AAJ184" s="205">
        <f t="shared" si="1517"/>
        <v>0</v>
      </c>
      <c r="AAK184" s="207"/>
      <c r="AAL184" s="207"/>
      <c r="AAM184" s="207"/>
      <c r="AAN184" s="207"/>
      <c r="AAO184" s="207"/>
      <c r="AAP184" s="272"/>
      <c r="AAQ184" s="272"/>
      <c r="AAR184" s="205">
        <f t="shared" si="1518"/>
        <v>0</v>
      </c>
      <c r="AAS184" s="205">
        <f t="shared" si="1519"/>
        <v>0</v>
      </c>
    </row>
    <row r="185" spans="1:721" ht="69.95" customHeight="1">
      <c r="B185" s="276" t="s">
        <v>524</v>
      </c>
      <c r="C185" s="342" t="s">
        <v>502</v>
      </c>
      <c r="D185" s="197" t="s">
        <v>530</v>
      </c>
      <c r="E185" s="130" t="s">
        <v>4</v>
      </c>
      <c r="F185" s="120"/>
      <c r="G185" s="120"/>
      <c r="H185" s="120"/>
      <c r="I185" s="120"/>
      <c r="J185" s="120"/>
      <c r="K185" s="209"/>
      <c r="L185" s="205"/>
      <c r="M185" s="205">
        <f t="shared" si="1520"/>
        <v>0</v>
      </c>
      <c r="N185" s="120"/>
      <c r="O185" s="120"/>
      <c r="P185" s="120"/>
      <c r="Q185" s="120"/>
      <c r="R185" s="120"/>
      <c r="S185" s="209"/>
      <c r="T185" s="205"/>
      <c r="U185" s="205">
        <f t="shared" si="1521"/>
        <v>0</v>
      </c>
      <c r="V185" s="120"/>
      <c r="W185" s="120"/>
      <c r="X185" s="120"/>
      <c r="Y185" s="120"/>
      <c r="Z185" s="120"/>
      <c r="AA185" s="209"/>
      <c r="AB185" s="205"/>
      <c r="AC185" s="205">
        <f t="shared" si="1522"/>
        <v>0</v>
      </c>
      <c r="AD185" s="205"/>
      <c r="AE185" s="205"/>
      <c r="AF185" s="205"/>
      <c r="AG185" s="205"/>
      <c r="AH185" s="205"/>
      <c r="AI185" s="209"/>
      <c r="AJ185" s="205"/>
      <c r="AK185" s="205">
        <f t="shared" si="1523"/>
        <v>0</v>
      </c>
      <c r="AL185" s="205" t="e">
        <f>SUM(#REF!,M185,U185,AC185,AD185:AH185)</f>
        <v>#REF!</v>
      </c>
      <c r="AM185" s="120"/>
      <c r="AN185" s="120"/>
      <c r="AO185" s="120"/>
      <c r="AP185" s="120"/>
      <c r="AQ185" s="120"/>
      <c r="AR185" s="209"/>
      <c r="AS185" s="205"/>
      <c r="AT185" s="205">
        <f t="shared" si="1524"/>
        <v>0</v>
      </c>
      <c r="AU185" s="120"/>
      <c r="AV185" s="120"/>
      <c r="AW185" s="120"/>
      <c r="AX185" s="120"/>
      <c r="AY185" s="120"/>
      <c r="AZ185" s="209"/>
      <c r="BA185" s="205"/>
      <c r="BB185" s="205">
        <f t="shared" si="1525"/>
        <v>0</v>
      </c>
      <c r="BC185" s="120"/>
      <c r="BD185" s="120"/>
      <c r="BE185" s="120"/>
      <c r="BF185" s="120"/>
      <c r="BG185" s="120"/>
      <c r="BH185" s="209"/>
      <c r="BI185" s="205"/>
      <c r="BJ185" s="205">
        <f t="shared" si="1526"/>
        <v>0</v>
      </c>
      <c r="BK185" s="120"/>
      <c r="BL185" s="120"/>
      <c r="BM185" s="120"/>
      <c r="BN185" s="120"/>
      <c r="BO185" s="205"/>
      <c r="BP185" s="209"/>
      <c r="BQ185" s="205"/>
      <c r="BR185" s="205">
        <f t="shared" si="1527"/>
        <v>0</v>
      </c>
      <c r="BS185" s="205">
        <f t="shared" si="1427"/>
        <v>0</v>
      </c>
      <c r="BT185" s="120"/>
      <c r="BU185" s="120"/>
      <c r="BV185" s="120"/>
      <c r="BW185" s="120"/>
      <c r="BX185" s="120"/>
      <c r="BY185" s="209"/>
      <c r="BZ185" s="205"/>
      <c r="CA185" s="205">
        <f t="shared" si="1528"/>
        <v>0</v>
      </c>
      <c r="CB185" s="120"/>
      <c r="CC185" s="120"/>
      <c r="CD185" s="120"/>
      <c r="CE185" s="120"/>
      <c r="CF185" s="120"/>
      <c r="CG185" s="209"/>
      <c r="CH185" s="205"/>
      <c r="CI185" s="205">
        <f t="shared" si="1529"/>
        <v>0</v>
      </c>
      <c r="CJ185" s="120"/>
      <c r="CK185" s="120"/>
      <c r="CL185" s="120"/>
      <c r="CM185" s="120"/>
      <c r="CN185" s="120"/>
      <c r="CO185" s="209"/>
      <c r="CP185" s="205"/>
      <c r="CQ185" s="205">
        <f t="shared" si="1530"/>
        <v>0</v>
      </c>
      <c r="CR185" s="120"/>
      <c r="CS185" s="120"/>
      <c r="CT185" s="120"/>
      <c r="CU185" s="120"/>
      <c r="CV185" s="120"/>
      <c r="CW185" s="209"/>
      <c r="CX185" s="205"/>
      <c r="CY185" s="205">
        <f t="shared" si="1531"/>
        <v>0</v>
      </c>
      <c r="CZ185" s="120"/>
      <c r="DA185" s="120"/>
      <c r="DB185" s="120"/>
      <c r="DC185" s="205"/>
      <c r="DD185" s="205"/>
      <c r="DE185" s="209"/>
      <c r="DF185" s="205"/>
      <c r="DG185" s="205">
        <f t="shared" si="1532"/>
        <v>0</v>
      </c>
      <c r="DH185" s="205">
        <f t="shared" si="1428"/>
        <v>0</v>
      </c>
      <c r="DI185" s="120"/>
      <c r="DJ185" s="120"/>
      <c r="DK185" s="120"/>
      <c r="DL185" s="120"/>
      <c r="DM185" s="120"/>
      <c r="DN185" s="209"/>
      <c r="DO185" s="205"/>
      <c r="DP185" s="205">
        <f t="shared" si="1432"/>
        <v>0</v>
      </c>
      <c r="DQ185" s="120"/>
      <c r="DR185" s="120"/>
      <c r="DS185" s="120"/>
      <c r="DT185" s="120"/>
      <c r="DU185" s="120"/>
      <c r="DV185" s="209"/>
      <c r="DW185" s="205"/>
      <c r="DX185" s="205">
        <f t="shared" si="1433"/>
        <v>0</v>
      </c>
      <c r="DY185" s="120"/>
      <c r="DZ185" s="120"/>
      <c r="EA185" s="120"/>
      <c r="EB185" s="120"/>
      <c r="EC185" s="120"/>
      <c r="ED185" s="209"/>
      <c r="EE185" s="205"/>
      <c r="EF185" s="205">
        <f t="shared" si="1434"/>
        <v>0</v>
      </c>
      <c r="EG185" s="250">
        <v>50</v>
      </c>
      <c r="EH185" s="120"/>
      <c r="EI185" s="120"/>
      <c r="EJ185" s="205"/>
      <c r="EK185" s="205"/>
      <c r="EL185" s="209"/>
      <c r="EM185" s="205"/>
      <c r="EN185" s="205">
        <f t="shared" si="1435"/>
        <v>50</v>
      </c>
      <c r="EO185" s="205">
        <f t="shared" si="1429"/>
        <v>50</v>
      </c>
      <c r="EP185" s="120"/>
      <c r="EQ185" s="120"/>
      <c r="ER185" s="120"/>
      <c r="ES185" s="120"/>
      <c r="ET185" s="120"/>
      <c r="EU185" s="209"/>
      <c r="EV185" s="205"/>
      <c r="EW185" s="205">
        <f t="shared" si="1436"/>
        <v>0</v>
      </c>
      <c r="EX185" s="120"/>
      <c r="EY185" s="120"/>
      <c r="EZ185" s="120"/>
      <c r="FA185" s="120"/>
      <c r="FB185" s="120"/>
      <c r="FC185" s="209"/>
      <c r="FD185" s="205"/>
      <c r="FE185" s="205">
        <f t="shared" si="1437"/>
        <v>0</v>
      </c>
      <c r="FF185" s="120"/>
      <c r="FG185" s="120"/>
      <c r="FH185" s="120"/>
      <c r="FI185" s="120"/>
      <c r="FJ185" s="120"/>
      <c r="FK185" s="209"/>
      <c r="FL185" s="205"/>
      <c r="FM185" s="205">
        <f t="shared" si="1438"/>
        <v>0</v>
      </c>
      <c r="FN185" s="120"/>
      <c r="FO185" s="120"/>
      <c r="FP185" s="120"/>
      <c r="FQ185" s="120"/>
      <c r="FR185" s="205"/>
      <c r="FS185" s="209"/>
      <c r="FT185" s="205"/>
      <c r="FU185" s="205">
        <f t="shared" si="1439"/>
        <v>0</v>
      </c>
      <c r="FV185" s="205">
        <f t="shared" si="1430"/>
        <v>0</v>
      </c>
      <c r="FW185" s="120"/>
      <c r="FX185" s="120"/>
      <c r="FY185" s="120"/>
      <c r="FZ185" s="120"/>
      <c r="GA185" s="120"/>
      <c r="GB185" s="209"/>
      <c r="GC185" s="205"/>
      <c r="GD185" s="205">
        <f t="shared" si="1440"/>
        <v>0</v>
      </c>
      <c r="GE185" s="120"/>
      <c r="GF185" s="120"/>
      <c r="GG185" s="120"/>
      <c r="GH185" s="120"/>
      <c r="GI185" s="120"/>
      <c r="GJ185" s="209"/>
      <c r="GK185" s="205"/>
      <c r="GL185" s="205">
        <f t="shared" si="1441"/>
        <v>0</v>
      </c>
      <c r="GM185" s="120"/>
      <c r="GN185" s="120"/>
      <c r="GO185" s="120"/>
      <c r="GP185" s="120"/>
      <c r="GQ185" s="120"/>
      <c r="GR185" s="209"/>
      <c r="GS185" s="205"/>
      <c r="GT185" s="205">
        <f t="shared" si="1442"/>
        <v>0</v>
      </c>
      <c r="GU185" s="120"/>
      <c r="GV185" s="120"/>
      <c r="GW185" s="120"/>
      <c r="GX185" s="120"/>
      <c r="GY185" s="120"/>
      <c r="GZ185" s="209"/>
      <c r="HA185" s="205"/>
      <c r="HB185" s="205">
        <f t="shared" si="1443"/>
        <v>0</v>
      </c>
      <c r="HC185" s="120"/>
      <c r="HD185" s="120"/>
      <c r="HE185" s="120"/>
      <c r="HF185" s="120"/>
      <c r="HG185" s="120"/>
      <c r="HH185" s="209"/>
      <c r="HI185" s="205"/>
      <c r="HJ185" s="205">
        <f t="shared" si="1444"/>
        <v>0</v>
      </c>
      <c r="HK185" s="205">
        <f t="shared" si="1431"/>
        <v>0</v>
      </c>
      <c r="HL185" s="124"/>
      <c r="HM185" s="120"/>
      <c r="HN185" s="120"/>
      <c r="HO185" s="120"/>
      <c r="HP185" s="120"/>
      <c r="HQ185" s="205"/>
      <c r="HR185" s="205"/>
      <c r="HS185" s="205">
        <f t="shared" si="1445"/>
        <v>0</v>
      </c>
      <c r="HT185" s="120"/>
      <c r="HU185" s="120"/>
      <c r="HV185" s="120"/>
      <c r="HW185" s="120"/>
      <c r="HX185" s="120"/>
      <c r="HY185" s="205"/>
      <c r="HZ185" s="205"/>
      <c r="IA185" s="205">
        <f t="shared" si="1446"/>
        <v>0</v>
      </c>
      <c r="IB185" s="120"/>
      <c r="IC185" s="120"/>
      <c r="ID185" s="120"/>
      <c r="IE185" s="120"/>
      <c r="IF185" s="120"/>
      <c r="IG185" s="205"/>
      <c r="IH185" s="205"/>
      <c r="II185" s="205">
        <f t="shared" si="1447"/>
        <v>0</v>
      </c>
      <c r="IJ185" s="120"/>
      <c r="IK185" s="120"/>
      <c r="IL185" s="120"/>
      <c r="IM185" s="120"/>
      <c r="IN185" s="120"/>
      <c r="IO185" s="205"/>
      <c r="IP185" s="205"/>
      <c r="IQ185" s="205">
        <f t="shared" si="1448"/>
        <v>0</v>
      </c>
      <c r="IR185" s="205">
        <f t="shared" si="1449"/>
        <v>0</v>
      </c>
      <c r="IS185" s="120"/>
      <c r="IT185" s="120"/>
      <c r="IU185" s="120"/>
      <c r="IV185" s="120"/>
      <c r="IW185" s="120"/>
      <c r="IX185" s="205"/>
      <c r="IY185" s="205"/>
      <c r="IZ185" s="205">
        <f t="shared" si="1450"/>
        <v>0</v>
      </c>
      <c r="JA185" s="120"/>
      <c r="JB185" s="120"/>
      <c r="JC185" s="120"/>
      <c r="JD185" s="120"/>
      <c r="JE185" s="120"/>
      <c r="JF185" s="205"/>
      <c r="JG185" s="205"/>
      <c r="JH185" s="205">
        <f t="shared" si="1451"/>
        <v>0</v>
      </c>
      <c r="JI185" s="120"/>
      <c r="JJ185" s="120"/>
      <c r="JK185" s="120"/>
      <c r="JL185" s="120"/>
      <c r="JM185" s="120"/>
      <c r="JN185" s="205"/>
      <c r="JO185" s="205"/>
      <c r="JP185" s="205">
        <f t="shared" si="1452"/>
        <v>0</v>
      </c>
      <c r="JQ185" s="120"/>
      <c r="JR185" s="120"/>
      <c r="JS185" s="120"/>
      <c r="JT185" s="120"/>
      <c r="JU185" s="120"/>
      <c r="JV185" s="205"/>
      <c r="JW185" s="205"/>
      <c r="JX185" s="205">
        <f t="shared" si="1453"/>
        <v>0</v>
      </c>
      <c r="JY185" s="205">
        <f t="shared" si="1454"/>
        <v>0</v>
      </c>
      <c r="JZ185" s="120"/>
      <c r="KA185" s="120"/>
      <c r="KB185" s="120"/>
      <c r="KC185" s="120"/>
      <c r="KD185" s="120"/>
      <c r="KE185" s="205"/>
      <c r="KF185" s="205"/>
      <c r="KG185" s="205">
        <f t="shared" si="1455"/>
        <v>0</v>
      </c>
      <c r="KH185" s="120"/>
      <c r="KI185" s="120"/>
      <c r="KJ185" s="120"/>
      <c r="KK185" s="120"/>
      <c r="KL185" s="120"/>
      <c r="KM185" s="205"/>
      <c r="KN185" s="205"/>
      <c r="KO185" s="205">
        <f t="shared" si="1456"/>
        <v>0</v>
      </c>
      <c r="KP185" s="120"/>
      <c r="KQ185" s="120"/>
      <c r="KR185" s="120"/>
      <c r="KS185" s="120"/>
      <c r="KT185" s="120"/>
      <c r="KU185" s="205"/>
      <c r="KV185" s="205"/>
      <c r="KW185" s="205">
        <f t="shared" si="1457"/>
        <v>0</v>
      </c>
      <c r="KX185" s="120"/>
      <c r="KY185" s="120"/>
      <c r="KZ185" s="120"/>
      <c r="LA185" s="120"/>
      <c r="LB185" s="120"/>
      <c r="LC185" s="205"/>
      <c r="LD185" s="205"/>
      <c r="LE185" s="205">
        <f t="shared" si="1458"/>
        <v>0</v>
      </c>
      <c r="LF185" s="205"/>
      <c r="LG185" s="120"/>
      <c r="LH185" s="120"/>
      <c r="LI185" s="120"/>
      <c r="LJ185" s="120"/>
      <c r="LK185" s="205"/>
      <c r="LL185" s="205"/>
      <c r="LM185" s="205">
        <f t="shared" si="1459"/>
        <v>0</v>
      </c>
      <c r="LN185" s="205">
        <f t="shared" si="1460"/>
        <v>0</v>
      </c>
      <c r="LO185" s="205"/>
      <c r="LP185" s="120"/>
      <c r="LQ185" s="120"/>
      <c r="LR185" s="120"/>
      <c r="LS185" s="205"/>
      <c r="LT185" s="205"/>
      <c r="LU185" s="205"/>
      <c r="LV185" s="205">
        <f t="shared" si="1461"/>
        <v>0</v>
      </c>
      <c r="LW185" s="120"/>
      <c r="LX185" s="120"/>
      <c r="LY185" s="120"/>
      <c r="LZ185" s="120"/>
      <c r="MA185" s="120"/>
      <c r="MB185" s="205"/>
      <c r="MC185" s="205"/>
      <c r="MD185" s="205">
        <f t="shared" si="1462"/>
        <v>0</v>
      </c>
      <c r="ME185" s="120"/>
      <c r="MF185" s="120"/>
      <c r="MG185" s="120"/>
      <c r="MH185" s="120"/>
      <c r="MI185" s="205"/>
      <c r="MJ185" s="205"/>
      <c r="MK185" s="205"/>
      <c r="ML185" s="205">
        <f t="shared" si="1463"/>
        <v>0</v>
      </c>
      <c r="MM185" s="120"/>
      <c r="MN185" s="120"/>
      <c r="MO185" s="120"/>
      <c r="MP185" s="120"/>
      <c r="MQ185" s="120"/>
      <c r="MR185" s="205"/>
      <c r="MS185" s="205"/>
      <c r="MT185" s="205">
        <f t="shared" si="1464"/>
        <v>0</v>
      </c>
      <c r="MU185" s="205">
        <f t="shared" si="1465"/>
        <v>0</v>
      </c>
      <c r="MV185" s="120"/>
      <c r="MW185" s="120"/>
      <c r="MX185" s="120"/>
      <c r="MY185" s="120"/>
      <c r="MZ185" s="120"/>
      <c r="NA185" s="205"/>
      <c r="NB185" s="205"/>
      <c r="NC185" s="205">
        <f t="shared" si="1466"/>
        <v>0</v>
      </c>
      <c r="ND185" s="120"/>
      <c r="NE185" s="120"/>
      <c r="NF185" s="120"/>
      <c r="NG185" s="120"/>
      <c r="NH185" s="120"/>
      <c r="NI185" s="205"/>
      <c r="NJ185" s="205"/>
      <c r="NK185" s="205">
        <f t="shared" si="1467"/>
        <v>0</v>
      </c>
      <c r="NL185" s="120"/>
      <c r="NM185" s="120"/>
      <c r="NN185" s="120"/>
      <c r="NO185" s="120"/>
      <c r="NP185" s="120"/>
      <c r="NQ185" s="205"/>
      <c r="NR185" s="205"/>
      <c r="NS185" s="205">
        <f t="shared" si="1468"/>
        <v>0</v>
      </c>
      <c r="NT185" s="120"/>
      <c r="NU185" s="120"/>
      <c r="NV185" s="120"/>
      <c r="NW185" s="120"/>
      <c r="NX185" s="120"/>
      <c r="NY185" s="205"/>
      <c r="NZ185" s="205"/>
      <c r="OA185" s="205">
        <f t="shared" si="1469"/>
        <v>0</v>
      </c>
      <c r="OB185" s="205">
        <f t="shared" si="1470"/>
        <v>0</v>
      </c>
      <c r="OC185" s="120"/>
      <c r="OD185" s="120"/>
      <c r="OE185" s="120"/>
      <c r="OF185" s="120"/>
      <c r="OG185" s="120"/>
      <c r="OH185" s="205"/>
      <c r="OI185" s="205"/>
      <c r="OJ185" s="205">
        <f t="shared" si="1471"/>
        <v>0</v>
      </c>
      <c r="OK185" s="120"/>
      <c r="OL185" s="120"/>
      <c r="OM185" s="120"/>
      <c r="ON185" s="120"/>
      <c r="OO185" s="120"/>
      <c r="OP185" s="205"/>
      <c r="OQ185" s="205"/>
      <c r="OR185" s="205">
        <f t="shared" si="1472"/>
        <v>0</v>
      </c>
      <c r="OS185" s="120"/>
      <c r="OT185" s="120"/>
      <c r="OU185" s="120"/>
      <c r="OV185" s="120"/>
      <c r="OW185" s="120"/>
      <c r="OX185" s="205"/>
      <c r="OY185" s="205"/>
      <c r="OZ185" s="205">
        <f t="shared" si="1473"/>
        <v>0</v>
      </c>
      <c r="PA185" s="120"/>
      <c r="PB185" s="120"/>
      <c r="PC185" s="120"/>
      <c r="PD185" s="205"/>
      <c r="PE185" s="217"/>
      <c r="PF185" s="205"/>
      <c r="PG185" s="205"/>
      <c r="PH185" s="205">
        <f t="shared" si="1474"/>
        <v>0</v>
      </c>
      <c r="PI185" s="120"/>
      <c r="PJ185" s="120"/>
      <c r="PK185" s="120"/>
      <c r="PL185" s="205"/>
      <c r="PM185" s="217"/>
      <c r="PN185" s="205"/>
      <c r="PO185" s="205"/>
      <c r="PP185" s="205">
        <f t="shared" si="1475"/>
        <v>0</v>
      </c>
      <c r="PQ185" s="205">
        <f t="shared" si="1476"/>
        <v>0</v>
      </c>
      <c r="PR185" s="207"/>
      <c r="PS185" s="207"/>
      <c r="PT185" s="207"/>
      <c r="PU185" s="207"/>
      <c r="PV185" s="207"/>
      <c r="PW185" s="272"/>
      <c r="PX185" s="272"/>
      <c r="PY185" s="205">
        <f t="shared" si="1477"/>
        <v>0</v>
      </c>
      <c r="PZ185" s="207"/>
      <c r="QA185" s="207"/>
      <c r="QB185" s="207"/>
      <c r="QC185" s="207"/>
      <c r="QD185" s="207"/>
      <c r="QE185" s="272"/>
      <c r="QF185" s="272"/>
      <c r="QG185" s="205">
        <f t="shared" si="1478"/>
        <v>0</v>
      </c>
      <c r="QH185" s="207"/>
      <c r="QI185" s="207"/>
      <c r="QJ185" s="294"/>
      <c r="QK185" s="207"/>
      <c r="QL185" s="207"/>
      <c r="QM185" s="272"/>
      <c r="QN185" s="272"/>
      <c r="QO185" s="205">
        <f t="shared" si="1479"/>
        <v>0</v>
      </c>
      <c r="QP185" s="207"/>
      <c r="QQ185" s="207"/>
      <c r="QR185" s="207"/>
      <c r="QS185" s="207"/>
      <c r="QT185" s="207"/>
      <c r="QU185" s="272"/>
      <c r="QV185" s="272"/>
      <c r="QW185" s="205">
        <f t="shared" si="1480"/>
        <v>0</v>
      </c>
      <c r="QX185" s="205">
        <f t="shared" si="1481"/>
        <v>0</v>
      </c>
      <c r="QY185" s="207"/>
      <c r="QZ185" s="207"/>
      <c r="RA185" s="207"/>
      <c r="RB185" s="207"/>
      <c r="RC185" s="207"/>
      <c r="RD185" s="272"/>
      <c r="RE185" s="272"/>
      <c r="RF185" s="205">
        <f t="shared" si="1482"/>
        <v>0</v>
      </c>
      <c r="RG185" s="207"/>
      <c r="RH185" s="207"/>
      <c r="RI185" s="207"/>
      <c r="RJ185" s="207"/>
      <c r="RK185" s="207"/>
      <c r="RL185" s="272"/>
      <c r="RM185" s="272"/>
      <c r="RN185" s="205">
        <f t="shared" si="1483"/>
        <v>0</v>
      </c>
      <c r="RO185" s="272"/>
      <c r="RP185" s="272"/>
      <c r="RQ185" s="272"/>
      <c r="RR185" s="272"/>
      <c r="RS185" s="272"/>
      <c r="RT185" s="272"/>
      <c r="RU185" s="272"/>
      <c r="RV185" s="205">
        <f t="shared" si="1484"/>
        <v>0</v>
      </c>
      <c r="RW185" s="207"/>
      <c r="RX185" s="207"/>
      <c r="RY185" s="207"/>
      <c r="RZ185" s="207"/>
      <c r="SA185" s="272"/>
      <c r="SB185" s="272"/>
      <c r="SC185" s="272"/>
      <c r="SD185" s="205">
        <f t="shared" si="1485"/>
        <v>0</v>
      </c>
      <c r="SE185" s="205">
        <f t="shared" si="1486"/>
        <v>0</v>
      </c>
      <c r="SF185" s="207"/>
      <c r="SG185" s="207"/>
      <c r="SH185" s="207"/>
      <c r="SI185" s="207"/>
      <c r="SJ185" s="207"/>
      <c r="SK185" s="272"/>
      <c r="SL185" s="272"/>
      <c r="SM185" s="205">
        <f t="shared" si="1487"/>
        <v>0</v>
      </c>
      <c r="SN185" s="207"/>
      <c r="SO185" s="207"/>
      <c r="SP185" s="207"/>
      <c r="SQ185" s="207"/>
      <c r="SR185" s="207"/>
      <c r="SS185" s="272"/>
      <c r="ST185" s="272"/>
      <c r="SU185" s="205">
        <f t="shared" si="1488"/>
        <v>0</v>
      </c>
      <c r="SV185" s="207"/>
      <c r="SW185" s="207"/>
      <c r="SX185" s="207"/>
      <c r="SY185" s="207"/>
      <c r="SZ185" s="207"/>
      <c r="TA185" s="272"/>
      <c r="TB185" s="272"/>
      <c r="TC185" s="205">
        <f t="shared" si="1489"/>
        <v>0</v>
      </c>
      <c r="TD185" s="207"/>
      <c r="TE185" s="207"/>
      <c r="TF185" s="207"/>
      <c r="TG185" s="207"/>
      <c r="TH185" s="207"/>
      <c r="TI185" s="272"/>
      <c r="TJ185" s="272"/>
      <c r="TK185" s="205">
        <f t="shared" si="1490"/>
        <v>0</v>
      </c>
      <c r="TL185" s="207"/>
      <c r="TM185" s="207"/>
      <c r="TN185" s="207"/>
      <c r="TO185" s="207"/>
      <c r="TP185" s="272"/>
      <c r="TQ185" s="272"/>
      <c r="TR185" s="272"/>
      <c r="TS185" s="205">
        <f t="shared" si="1491"/>
        <v>0</v>
      </c>
      <c r="TT185" s="205">
        <f t="shared" si="1492"/>
        <v>0</v>
      </c>
      <c r="TU185" s="272"/>
      <c r="TV185" s="207"/>
      <c r="TW185" s="207"/>
      <c r="TX185" s="207"/>
      <c r="TY185" s="207"/>
      <c r="TZ185" s="272"/>
      <c r="UA185" s="272"/>
      <c r="UB185" s="205">
        <f t="shared" si="1493"/>
        <v>0</v>
      </c>
      <c r="UC185" s="207"/>
      <c r="UD185" s="207"/>
      <c r="UE185" s="207"/>
      <c r="UF185" s="207"/>
      <c r="UG185" s="207"/>
      <c r="UH185" s="272"/>
      <c r="UI185" s="272"/>
      <c r="UJ185" s="205">
        <f t="shared" si="1494"/>
        <v>0</v>
      </c>
      <c r="UK185" s="207"/>
      <c r="UL185" s="207"/>
      <c r="UM185" s="207"/>
      <c r="UN185" s="207"/>
      <c r="UO185" s="207"/>
      <c r="UP185" s="272"/>
      <c r="UQ185" s="272"/>
      <c r="UR185" s="205">
        <f t="shared" si="1495"/>
        <v>0</v>
      </c>
      <c r="US185" s="207"/>
      <c r="UT185" s="207"/>
      <c r="UU185" s="207"/>
      <c r="UV185" s="207"/>
      <c r="UW185" s="272"/>
      <c r="UX185" s="272"/>
      <c r="UY185" s="272"/>
      <c r="UZ185" s="205">
        <f t="shared" si="1496"/>
        <v>0</v>
      </c>
      <c r="VA185" s="205">
        <f t="shared" si="1497"/>
        <v>0</v>
      </c>
      <c r="VB185" s="207"/>
      <c r="VC185" s="207"/>
      <c r="VD185" s="207"/>
      <c r="VE185" s="207"/>
      <c r="VF185" s="207"/>
      <c r="VG185" s="272"/>
      <c r="VH185" s="272"/>
      <c r="VI185" s="205">
        <f t="shared" si="1498"/>
        <v>0</v>
      </c>
      <c r="VJ185" s="207"/>
      <c r="VK185" s="207"/>
      <c r="VL185" s="207"/>
      <c r="VM185" s="207"/>
      <c r="VN185" s="207"/>
      <c r="VO185" s="272"/>
      <c r="VP185" s="272"/>
      <c r="VQ185" s="205">
        <f t="shared" si="1499"/>
        <v>0</v>
      </c>
      <c r="VR185" s="207"/>
      <c r="VS185" s="207"/>
      <c r="VT185" s="207"/>
      <c r="VU185" s="207"/>
      <c r="VV185" s="207"/>
      <c r="VW185" s="272"/>
      <c r="VX185" s="272"/>
      <c r="VY185" s="205">
        <f t="shared" si="1500"/>
        <v>0</v>
      </c>
      <c r="VZ185" s="207"/>
      <c r="WA185" s="207"/>
      <c r="WB185" s="207"/>
      <c r="WC185" s="207"/>
      <c r="WD185" s="207"/>
      <c r="WE185" s="272"/>
      <c r="WF185" s="272"/>
      <c r="WG185" s="205">
        <f t="shared" si="1501"/>
        <v>0</v>
      </c>
      <c r="WH185" s="205">
        <f t="shared" si="1502"/>
        <v>0</v>
      </c>
      <c r="WI185" s="207"/>
      <c r="WJ185" s="207"/>
      <c r="WK185" s="207"/>
      <c r="WL185" s="207"/>
      <c r="WM185" s="207"/>
      <c r="WN185" s="272"/>
      <c r="WO185" s="272"/>
      <c r="WP185" s="205">
        <f t="shared" si="1503"/>
        <v>0</v>
      </c>
      <c r="WQ185" s="207"/>
      <c r="WR185" s="207"/>
      <c r="WS185" s="207"/>
      <c r="WT185" s="207"/>
      <c r="WU185" s="207"/>
      <c r="WV185" s="272"/>
      <c r="WW185" s="272"/>
      <c r="WX185" s="205">
        <f t="shared" si="1504"/>
        <v>0</v>
      </c>
      <c r="WY185" s="207"/>
      <c r="WZ185" s="207"/>
      <c r="XA185" s="207"/>
      <c r="XB185" s="207"/>
      <c r="XC185" s="272"/>
      <c r="XD185" s="272"/>
      <c r="XE185" s="272"/>
      <c r="XF185" s="205">
        <f t="shared" si="1505"/>
        <v>0</v>
      </c>
      <c r="XG185" s="207"/>
      <c r="XH185" s="207"/>
      <c r="XI185" s="207"/>
      <c r="XJ185" s="207"/>
      <c r="XK185" s="207"/>
      <c r="XL185" s="272"/>
      <c r="XM185" s="272"/>
      <c r="XN185" s="205">
        <f t="shared" si="1506"/>
        <v>0</v>
      </c>
      <c r="XO185" s="207"/>
      <c r="XP185" s="207"/>
      <c r="XQ185" s="207"/>
      <c r="XR185" s="207"/>
      <c r="XS185" s="207"/>
      <c r="XT185" s="272"/>
      <c r="XU185" s="272"/>
      <c r="XV185" s="205">
        <f t="shared" si="1507"/>
        <v>0</v>
      </c>
      <c r="XW185" s="205">
        <f t="shared" si="1508"/>
        <v>0</v>
      </c>
      <c r="XX185" s="207"/>
      <c r="XY185" s="207"/>
      <c r="XZ185" s="207"/>
      <c r="YA185" s="207"/>
      <c r="YB185" s="207"/>
      <c r="YC185" s="272"/>
      <c r="YD185" s="272"/>
      <c r="YE185" s="205">
        <f t="shared" si="1509"/>
        <v>0</v>
      </c>
      <c r="YF185" s="207"/>
      <c r="YG185" s="207"/>
      <c r="YH185" s="207"/>
      <c r="YI185" s="207"/>
      <c r="YJ185" s="207"/>
      <c r="YK185" s="272"/>
      <c r="YL185" s="272"/>
      <c r="YM185" s="205">
        <f t="shared" si="1510"/>
        <v>0</v>
      </c>
      <c r="YN185" s="207"/>
      <c r="YO185" s="207"/>
      <c r="YP185" s="207"/>
      <c r="YQ185" s="207"/>
      <c r="YR185" s="207"/>
      <c r="YS185" s="272"/>
      <c r="YT185" s="272"/>
      <c r="YU185" s="205">
        <f t="shared" si="1511"/>
        <v>0</v>
      </c>
      <c r="YV185" s="207"/>
      <c r="YW185" s="207"/>
      <c r="YX185" s="207"/>
      <c r="YY185" s="207"/>
      <c r="YZ185" s="207"/>
      <c r="ZA185" s="272"/>
      <c r="ZB185" s="272"/>
      <c r="ZC185" s="205">
        <f t="shared" si="1512"/>
        <v>0</v>
      </c>
      <c r="ZD185" s="205">
        <f t="shared" si="1513"/>
        <v>0</v>
      </c>
      <c r="ZE185" s="207"/>
      <c r="ZF185" s="207"/>
      <c r="ZG185" s="207"/>
      <c r="ZH185" s="207"/>
      <c r="ZI185" s="207"/>
      <c r="ZJ185" s="272"/>
      <c r="ZK185" s="272"/>
      <c r="ZL185" s="205">
        <f t="shared" si="1514"/>
        <v>0</v>
      </c>
      <c r="ZM185" s="207"/>
      <c r="ZN185" s="207"/>
      <c r="ZO185" s="207"/>
      <c r="ZP185" s="207"/>
      <c r="ZQ185" s="207"/>
      <c r="ZR185" s="272"/>
      <c r="ZS185" s="272"/>
      <c r="ZT185" s="205">
        <f t="shared" si="1515"/>
        <v>0</v>
      </c>
      <c r="ZU185" s="207"/>
      <c r="ZV185" s="207"/>
      <c r="ZW185" s="207"/>
      <c r="ZX185" s="207"/>
      <c r="ZY185" s="207"/>
      <c r="ZZ185" s="272"/>
      <c r="AAA185" s="272"/>
      <c r="AAB185" s="205">
        <f t="shared" si="1516"/>
        <v>0</v>
      </c>
      <c r="AAC185" s="207"/>
      <c r="AAD185" s="207"/>
      <c r="AAE185" s="207"/>
      <c r="AAF185" s="207"/>
      <c r="AAG185" s="207"/>
      <c r="AAH185" s="272"/>
      <c r="AAI185" s="272"/>
      <c r="AAJ185" s="205">
        <f t="shared" si="1517"/>
        <v>0</v>
      </c>
      <c r="AAK185" s="207"/>
      <c r="AAL185" s="207"/>
      <c r="AAM185" s="207"/>
      <c r="AAN185" s="207"/>
      <c r="AAO185" s="207"/>
      <c r="AAP185" s="272"/>
      <c r="AAQ185" s="272"/>
      <c r="AAR185" s="205">
        <f t="shared" si="1518"/>
        <v>0</v>
      </c>
      <c r="AAS185" s="205">
        <f t="shared" si="1519"/>
        <v>0</v>
      </c>
    </row>
    <row r="186" spans="1:721" ht="69.95" customHeight="1">
      <c r="B186" s="268" t="s">
        <v>811</v>
      </c>
      <c r="C186" s="341" t="s">
        <v>517</v>
      </c>
      <c r="D186" s="185" t="s">
        <v>536</v>
      </c>
      <c r="E186" s="130" t="s">
        <v>4</v>
      </c>
      <c r="F186" s="120"/>
      <c r="G186" s="120"/>
      <c r="H186" s="120"/>
      <c r="I186" s="120"/>
      <c r="J186" s="120"/>
      <c r="K186" s="209"/>
      <c r="L186" s="205"/>
      <c r="M186" s="205">
        <f t="shared" si="1520"/>
        <v>0</v>
      </c>
      <c r="N186" s="120"/>
      <c r="O186" s="120"/>
      <c r="P186" s="120"/>
      <c r="Q186" s="120"/>
      <c r="R186" s="120"/>
      <c r="S186" s="209"/>
      <c r="T186" s="205"/>
      <c r="U186" s="205">
        <f t="shared" si="1521"/>
        <v>0</v>
      </c>
      <c r="V186" s="120"/>
      <c r="W186" s="120"/>
      <c r="X186" s="120"/>
      <c r="Y186" s="120"/>
      <c r="Z186" s="120"/>
      <c r="AA186" s="209"/>
      <c r="AB186" s="205"/>
      <c r="AC186" s="205">
        <f t="shared" si="1522"/>
        <v>0</v>
      </c>
      <c r="AD186" s="205"/>
      <c r="AE186" s="205"/>
      <c r="AF186" s="205"/>
      <c r="AG186" s="205"/>
      <c r="AH186" s="205"/>
      <c r="AI186" s="209"/>
      <c r="AJ186" s="205"/>
      <c r="AK186" s="205">
        <f t="shared" si="1523"/>
        <v>0</v>
      </c>
      <c r="AL186" s="205" t="e">
        <f>SUM(#REF!,M186,U186,AC186,AD186:AH186)</f>
        <v>#REF!</v>
      </c>
      <c r="AM186" s="120"/>
      <c r="AN186" s="120"/>
      <c r="AO186" s="120"/>
      <c r="AP186" s="120"/>
      <c r="AQ186" s="120"/>
      <c r="AR186" s="209"/>
      <c r="AS186" s="205"/>
      <c r="AT186" s="205">
        <f t="shared" si="1524"/>
        <v>0</v>
      </c>
      <c r="AU186" s="120"/>
      <c r="AV186" s="120"/>
      <c r="AW186" s="120"/>
      <c r="AX186" s="120"/>
      <c r="AY186" s="120"/>
      <c r="AZ186" s="209"/>
      <c r="BA186" s="205"/>
      <c r="BB186" s="205">
        <f t="shared" si="1525"/>
        <v>0</v>
      </c>
      <c r="BC186" s="120"/>
      <c r="BD186" s="120"/>
      <c r="BE186" s="120"/>
      <c r="BF186" s="120"/>
      <c r="BG186" s="120"/>
      <c r="BH186" s="209"/>
      <c r="BI186" s="205"/>
      <c r="BJ186" s="205">
        <f t="shared" si="1526"/>
        <v>0</v>
      </c>
      <c r="BK186" s="120"/>
      <c r="BL186" s="120"/>
      <c r="BM186" s="120"/>
      <c r="BN186" s="120"/>
      <c r="BO186" s="205"/>
      <c r="BP186" s="209"/>
      <c r="BQ186" s="205"/>
      <c r="BR186" s="205">
        <f t="shared" si="1527"/>
        <v>0</v>
      </c>
      <c r="BS186" s="205">
        <f t="shared" si="1427"/>
        <v>0</v>
      </c>
      <c r="BT186" s="120"/>
      <c r="BU186" s="120"/>
      <c r="BV186" s="120"/>
      <c r="BW186" s="120"/>
      <c r="BX186" s="120"/>
      <c r="BY186" s="209"/>
      <c r="BZ186" s="205"/>
      <c r="CA186" s="205">
        <f t="shared" si="1528"/>
        <v>0</v>
      </c>
      <c r="CB186" s="120"/>
      <c r="CC186" s="120"/>
      <c r="CD186" s="120"/>
      <c r="CE186" s="120"/>
      <c r="CF186" s="120"/>
      <c r="CG186" s="209"/>
      <c r="CH186" s="205"/>
      <c r="CI186" s="205">
        <f t="shared" si="1529"/>
        <v>0</v>
      </c>
      <c r="CJ186" s="120"/>
      <c r="CK186" s="120"/>
      <c r="CL186" s="120"/>
      <c r="CM186" s="120"/>
      <c r="CN186" s="120"/>
      <c r="CO186" s="209"/>
      <c r="CP186" s="205"/>
      <c r="CQ186" s="205">
        <f t="shared" si="1530"/>
        <v>0</v>
      </c>
      <c r="CR186" s="120"/>
      <c r="CS186" s="120"/>
      <c r="CT186" s="120"/>
      <c r="CU186" s="120"/>
      <c r="CV186" s="120"/>
      <c r="CW186" s="209"/>
      <c r="CX186" s="205"/>
      <c r="CY186" s="205">
        <f t="shared" si="1531"/>
        <v>0</v>
      </c>
      <c r="CZ186" s="123">
        <v>500</v>
      </c>
      <c r="DA186" s="120"/>
      <c r="DB186" s="120"/>
      <c r="DC186" s="205"/>
      <c r="DD186" s="205"/>
      <c r="DE186" s="209"/>
      <c r="DF186" s="205"/>
      <c r="DG186" s="205">
        <f t="shared" si="1532"/>
        <v>500</v>
      </c>
      <c r="DH186" s="205">
        <f t="shared" si="1428"/>
        <v>500</v>
      </c>
      <c r="DI186" s="120"/>
      <c r="DJ186" s="120"/>
      <c r="DK186" s="120"/>
      <c r="DL186" s="120"/>
      <c r="DM186" s="120"/>
      <c r="DN186" s="209"/>
      <c r="DO186" s="205"/>
      <c r="DP186" s="205">
        <f t="shared" si="1432"/>
        <v>0</v>
      </c>
      <c r="DQ186" s="120"/>
      <c r="DR186" s="120"/>
      <c r="DS186" s="120"/>
      <c r="DT186" s="120"/>
      <c r="DU186" s="120"/>
      <c r="DV186" s="209"/>
      <c r="DW186" s="205"/>
      <c r="DX186" s="205">
        <f t="shared" si="1433"/>
        <v>0</v>
      </c>
      <c r="DY186" s="120"/>
      <c r="DZ186" s="120"/>
      <c r="EA186" s="120"/>
      <c r="EB186" s="120"/>
      <c r="EC186" s="120"/>
      <c r="ED186" s="209"/>
      <c r="EE186" s="205"/>
      <c r="EF186" s="205">
        <f t="shared" si="1434"/>
        <v>0</v>
      </c>
      <c r="EG186" s="120"/>
      <c r="EH186" s="120"/>
      <c r="EI186" s="120"/>
      <c r="EJ186" s="205"/>
      <c r="EK186" s="205"/>
      <c r="EL186" s="209"/>
      <c r="EM186" s="205"/>
      <c r="EN186" s="205">
        <f t="shared" si="1435"/>
        <v>0</v>
      </c>
      <c r="EO186" s="205">
        <f t="shared" si="1429"/>
        <v>0</v>
      </c>
      <c r="EP186" s="120"/>
      <c r="EQ186" s="120"/>
      <c r="ER186" s="120"/>
      <c r="ES186" s="120"/>
      <c r="ET186" s="120"/>
      <c r="EU186" s="209"/>
      <c r="EV186" s="205"/>
      <c r="EW186" s="205">
        <f t="shared" si="1436"/>
        <v>0</v>
      </c>
      <c r="EX186" s="120"/>
      <c r="EY186" s="120"/>
      <c r="EZ186" s="120"/>
      <c r="FA186" s="120"/>
      <c r="FB186" s="120"/>
      <c r="FC186" s="209"/>
      <c r="FD186" s="205"/>
      <c r="FE186" s="205">
        <f t="shared" si="1437"/>
        <v>0</v>
      </c>
      <c r="FF186" s="120"/>
      <c r="FG186" s="120"/>
      <c r="FH186" s="120"/>
      <c r="FI186" s="120"/>
      <c r="FJ186" s="120"/>
      <c r="FK186" s="209"/>
      <c r="FL186" s="205"/>
      <c r="FM186" s="205">
        <f t="shared" si="1438"/>
        <v>0</v>
      </c>
      <c r="FN186" s="120"/>
      <c r="FO186" s="120"/>
      <c r="FP186" s="120"/>
      <c r="FQ186" s="120"/>
      <c r="FR186" s="205"/>
      <c r="FS186" s="209"/>
      <c r="FT186" s="205"/>
      <c r="FU186" s="205">
        <f t="shared" si="1439"/>
        <v>0</v>
      </c>
      <c r="FV186" s="205">
        <f t="shared" si="1430"/>
        <v>0</v>
      </c>
      <c r="FW186" s="120"/>
      <c r="FX186" s="120"/>
      <c r="FY186" s="120"/>
      <c r="FZ186" s="120"/>
      <c r="GA186" s="120"/>
      <c r="GB186" s="209"/>
      <c r="GC186" s="205"/>
      <c r="GD186" s="205">
        <f t="shared" si="1440"/>
        <v>0</v>
      </c>
      <c r="GE186" s="120"/>
      <c r="GF186" s="120"/>
      <c r="GG186" s="120"/>
      <c r="GH186" s="120"/>
      <c r="GI186" s="120"/>
      <c r="GJ186" s="209"/>
      <c r="GK186" s="205"/>
      <c r="GL186" s="205">
        <f t="shared" si="1441"/>
        <v>0</v>
      </c>
      <c r="GM186" s="120"/>
      <c r="GN186" s="120"/>
      <c r="GO186" s="120"/>
      <c r="GP186" s="120"/>
      <c r="GQ186" s="120"/>
      <c r="GR186" s="209"/>
      <c r="GS186" s="205"/>
      <c r="GT186" s="205">
        <f t="shared" si="1442"/>
        <v>0</v>
      </c>
      <c r="GU186" s="120"/>
      <c r="GV186" s="120"/>
      <c r="GW186" s="120"/>
      <c r="GX186" s="120"/>
      <c r="GY186" s="120"/>
      <c r="GZ186" s="209"/>
      <c r="HA186" s="205"/>
      <c r="HB186" s="205">
        <f t="shared" si="1443"/>
        <v>0</v>
      </c>
      <c r="HC186" s="120"/>
      <c r="HD186" s="120"/>
      <c r="HE186" s="120"/>
      <c r="HF186" s="120"/>
      <c r="HG186" s="120"/>
      <c r="HH186" s="209"/>
      <c r="HI186" s="205"/>
      <c r="HJ186" s="205">
        <f t="shared" si="1444"/>
        <v>0</v>
      </c>
      <c r="HK186" s="205">
        <f t="shared" si="1431"/>
        <v>0</v>
      </c>
      <c r="HL186" s="124"/>
      <c r="HM186" s="120"/>
      <c r="HN186" s="120"/>
      <c r="HO186" s="120"/>
      <c r="HP186" s="120"/>
      <c r="HQ186" s="205"/>
      <c r="HR186" s="205"/>
      <c r="HS186" s="205">
        <f t="shared" si="1445"/>
        <v>0</v>
      </c>
      <c r="HT186" s="120"/>
      <c r="HU186" s="120"/>
      <c r="HV186" s="120"/>
      <c r="HW186" s="120"/>
      <c r="HX186" s="120"/>
      <c r="HY186" s="205"/>
      <c r="HZ186" s="205"/>
      <c r="IA186" s="205">
        <f t="shared" si="1446"/>
        <v>0</v>
      </c>
      <c r="IB186" s="120"/>
      <c r="IC186" s="120"/>
      <c r="ID186" s="120"/>
      <c r="IE186" s="120"/>
      <c r="IF186" s="120"/>
      <c r="IG186" s="205"/>
      <c r="IH186" s="205"/>
      <c r="II186" s="205">
        <f t="shared" si="1447"/>
        <v>0</v>
      </c>
      <c r="IJ186" s="120"/>
      <c r="IK186" s="120"/>
      <c r="IL186" s="120"/>
      <c r="IM186" s="120"/>
      <c r="IN186" s="120"/>
      <c r="IO186" s="205"/>
      <c r="IP186" s="205"/>
      <c r="IQ186" s="205">
        <f t="shared" si="1448"/>
        <v>0</v>
      </c>
      <c r="IR186" s="205">
        <f t="shared" si="1449"/>
        <v>0</v>
      </c>
      <c r="IS186" s="120"/>
      <c r="IT186" s="120"/>
      <c r="IU186" s="120"/>
      <c r="IV186" s="120"/>
      <c r="IW186" s="120"/>
      <c r="IX186" s="205"/>
      <c r="IY186" s="205"/>
      <c r="IZ186" s="205">
        <f t="shared" si="1450"/>
        <v>0</v>
      </c>
      <c r="JA186" s="120"/>
      <c r="JB186" s="120"/>
      <c r="JC186" s="120"/>
      <c r="JD186" s="120"/>
      <c r="JE186" s="120"/>
      <c r="JF186" s="205"/>
      <c r="JG186" s="205"/>
      <c r="JH186" s="205">
        <f t="shared" si="1451"/>
        <v>0</v>
      </c>
      <c r="JI186" s="120"/>
      <c r="JJ186" s="120"/>
      <c r="JK186" s="120"/>
      <c r="JL186" s="120"/>
      <c r="JM186" s="120"/>
      <c r="JN186" s="205"/>
      <c r="JO186" s="205"/>
      <c r="JP186" s="205">
        <f t="shared" si="1452"/>
        <v>0</v>
      </c>
      <c r="JQ186" s="120"/>
      <c r="JR186" s="120"/>
      <c r="JS186" s="120"/>
      <c r="JT186" s="120"/>
      <c r="JU186" s="120"/>
      <c r="JV186" s="205"/>
      <c r="JW186" s="205"/>
      <c r="JX186" s="205">
        <f t="shared" si="1453"/>
        <v>0</v>
      </c>
      <c r="JY186" s="205">
        <f t="shared" si="1454"/>
        <v>0</v>
      </c>
      <c r="JZ186" s="120"/>
      <c r="KA186" s="120"/>
      <c r="KB186" s="120"/>
      <c r="KC186" s="120"/>
      <c r="KD186" s="120"/>
      <c r="KE186" s="205"/>
      <c r="KF186" s="205"/>
      <c r="KG186" s="205">
        <f t="shared" si="1455"/>
        <v>0</v>
      </c>
      <c r="KH186" s="120"/>
      <c r="KI186" s="120"/>
      <c r="KJ186" s="120"/>
      <c r="KK186" s="120"/>
      <c r="KL186" s="120"/>
      <c r="KM186" s="205"/>
      <c r="KN186" s="205"/>
      <c r="KO186" s="205">
        <f t="shared" si="1456"/>
        <v>0</v>
      </c>
      <c r="KP186" s="120"/>
      <c r="KQ186" s="120"/>
      <c r="KR186" s="120"/>
      <c r="KS186" s="120"/>
      <c r="KT186" s="120"/>
      <c r="KU186" s="205"/>
      <c r="KV186" s="205"/>
      <c r="KW186" s="205">
        <f t="shared" si="1457"/>
        <v>0</v>
      </c>
      <c r="KX186" s="120"/>
      <c r="KY186" s="120"/>
      <c r="KZ186" s="120"/>
      <c r="LA186" s="120"/>
      <c r="LB186" s="120"/>
      <c r="LC186" s="205"/>
      <c r="LD186" s="205"/>
      <c r="LE186" s="205">
        <f t="shared" si="1458"/>
        <v>0</v>
      </c>
      <c r="LF186" s="205"/>
      <c r="LG186" s="120"/>
      <c r="LH186" s="120"/>
      <c r="LI186" s="120"/>
      <c r="LJ186" s="120"/>
      <c r="LK186" s="205"/>
      <c r="LL186" s="205"/>
      <c r="LM186" s="205">
        <f t="shared" si="1459"/>
        <v>0</v>
      </c>
      <c r="LN186" s="205">
        <f t="shared" si="1460"/>
        <v>0</v>
      </c>
      <c r="LO186" s="205"/>
      <c r="LP186" s="120"/>
      <c r="LQ186" s="120"/>
      <c r="LR186" s="120"/>
      <c r="LS186" s="205"/>
      <c r="LT186" s="205"/>
      <c r="LU186" s="205"/>
      <c r="LV186" s="205">
        <f t="shared" si="1461"/>
        <v>0</v>
      </c>
      <c r="LW186" s="120"/>
      <c r="LX186" s="120"/>
      <c r="LY186" s="120"/>
      <c r="LZ186" s="120"/>
      <c r="MA186" s="120"/>
      <c r="MB186" s="205"/>
      <c r="MC186" s="205"/>
      <c r="MD186" s="205">
        <f t="shared" si="1462"/>
        <v>0</v>
      </c>
      <c r="ME186" s="120"/>
      <c r="MF186" s="120"/>
      <c r="MG186" s="120"/>
      <c r="MH186" s="120"/>
      <c r="MI186" s="205"/>
      <c r="MJ186" s="205"/>
      <c r="MK186" s="205"/>
      <c r="ML186" s="205">
        <f t="shared" si="1463"/>
        <v>0</v>
      </c>
      <c r="MM186" s="120"/>
      <c r="MN186" s="120"/>
      <c r="MO186" s="120"/>
      <c r="MP186" s="120"/>
      <c r="MQ186" s="120"/>
      <c r="MR186" s="205"/>
      <c r="MS186" s="205"/>
      <c r="MT186" s="205">
        <f t="shared" si="1464"/>
        <v>0</v>
      </c>
      <c r="MU186" s="205">
        <f t="shared" si="1465"/>
        <v>0</v>
      </c>
      <c r="MV186" s="120"/>
      <c r="MW186" s="120"/>
      <c r="MX186" s="120"/>
      <c r="MY186" s="120"/>
      <c r="MZ186" s="120"/>
      <c r="NA186" s="205"/>
      <c r="NB186" s="205"/>
      <c r="NC186" s="205">
        <f t="shared" si="1466"/>
        <v>0</v>
      </c>
      <c r="ND186" s="120"/>
      <c r="NE186" s="120"/>
      <c r="NF186" s="120"/>
      <c r="NG186" s="120"/>
      <c r="NH186" s="120"/>
      <c r="NI186" s="205"/>
      <c r="NJ186" s="205"/>
      <c r="NK186" s="205">
        <f t="shared" si="1467"/>
        <v>0</v>
      </c>
      <c r="NL186" s="120"/>
      <c r="NM186" s="120"/>
      <c r="NN186" s="120"/>
      <c r="NO186" s="120"/>
      <c r="NP186" s="120"/>
      <c r="NQ186" s="205"/>
      <c r="NR186" s="205"/>
      <c r="NS186" s="205">
        <f t="shared" si="1468"/>
        <v>0</v>
      </c>
      <c r="NT186" s="120"/>
      <c r="NU186" s="120"/>
      <c r="NV186" s="120"/>
      <c r="NW186" s="120"/>
      <c r="NX186" s="120"/>
      <c r="NY186" s="205"/>
      <c r="NZ186" s="205"/>
      <c r="OA186" s="205">
        <f t="shared" si="1469"/>
        <v>0</v>
      </c>
      <c r="OB186" s="205">
        <f t="shared" si="1470"/>
        <v>0</v>
      </c>
      <c r="OC186" s="120"/>
      <c r="OD186" s="120"/>
      <c r="OE186" s="120"/>
      <c r="OF186" s="120"/>
      <c r="OG186" s="120"/>
      <c r="OH186" s="205"/>
      <c r="OI186" s="205"/>
      <c r="OJ186" s="205">
        <f t="shared" si="1471"/>
        <v>0</v>
      </c>
      <c r="OK186" s="120"/>
      <c r="OL186" s="120"/>
      <c r="OM186" s="120"/>
      <c r="ON186" s="120"/>
      <c r="OO186" s="120"/>
      <c r="OP186" s="205"/>
      <c r="OQ186" s="205"/>
      <c r="OR186" s="205">
        <f t="shared" si="1472"/>
        <v>0</v>
      </c>
      <c r="OS186" s="120"/>
      <c r="OT186" s="120"/>
      <c r="OU186" s="120"/>
      <c r="OV186" s="120"/>
      <c r="OW186" s="120"/>
      <c r="OX186" s="205"/>
      <c r="OY186" s="205"/>
      <c r="OZ186" s="205">
        <f t="shared" si="1473"/>
        <v>0</v>
      </c>
      <c r="PA186" s="120"/>
      <c r="PB186" s="120"/>
      <c r="PC186" s="120"/>
      <c r="PD186" s="205"/>
      <c r="PE186" s="217"/>
      <c r="PF186" s="205"/>
      <c r="PG186" s="205"/>
      <c r="PH186" s="205">
        <f t="shared" si="1474"/>
        <v>0</v>
      </c>
      <c r="PI186" s="120"/>
      <c r="PJ186" s="120"/>
      <c r="PK186" s="120"/>
      <c r="PL186" s="205"/>
      <c r="PM186" s="217"/>
      <c r="PN186" s="205"/>
      <c r="PO186" s="205"/>
      <c r="PP186" s="205">
        <f t="shared" si="1475"/>
        <v>0</v>
      </c>
      <c r="PQ186" s="205">
        <f t="shared" si="1476"/>
        <v>0</v>
      </c>
      <c r="PR186" s="207"/>
      <c r="PS186" s="207"/>
      <c r="PT186" s="207"/>
      <c r="PU186" s="207"/>
      <c r="PV186" s="207"/>
      <c r="PW186" s="272"/>
      <c r="PX186" s="272"/>
      <c r="PY186" s="205">
        <f t="shared" si="1477"/>
        <v>0</v>
      </c>
      <c r="PZ186" s="207"/>
      <c r="QA186" s="207"/>
      <c r="QB186" s="207"/>
      <c r="QC186" s="207"/>
      <c r="QD186" s="207"/>
      <c r="QE186" s="272"/>
      <c r="QF186" s="272"/>
      <c r="QG186" s="205">
        <f t="shared" si="1478"/>
        <v>0</v>
      </c>
      <c r="QH186" s="207"/>
      <c r="QI186" s="207"/>
      <c r="QJ186" s="294"/>
      <c r="QK186" s="207"/>
      <c r="QL186" s="207"/>
      <c r="QM186" s="272"/>
      <c r="QN186" s="272"/>
      <c r="QO186" s="205">
        <f t="shared" si="1479"/>
        <v>0</v>
      </c>
      <c r="QP186" s="207"/>
      <c r="QQ186" s="207"/>
      <c r="QR186" s="207"/>
      <c r="QS186" s="207"/>
      <c r="QT186" s="207"/>
      <c r="QU186" s="272"/>
      <c r="QV186" s="272"/>
      <c r="QW186" s="205">
        <f t="shared" si="1480"/>
        <v>0</v>
      </c>
      <c r="QX186" s="205">
        <f t="shared" si="1481"/>
        <v>0</v>
      </c>
      <c r="QY186" s="207"/>
      <c r="QZ186" s="207"/>
      <c r="RA186" s="207"/>
      <c r="RB186" s="207"/>
      <c r="RC186" s="207"/>
      <c r="RD186" s="272"/>
      <c r="RE186" s="272"/>
      <c r="RF186" s="205">
        <f t="shared" si="1482"/>
        <v>0</v>
      </c>
      <c r="RG186" s="207"/>
      <c r="RH186" s="207"/>
      <c r="RI186" s="207"/>
      <c r="RJ186" s="207"/>
      <c r="RK186" s="207"/>
      <c r="RL186" s="272"/>
      <c r="RM186" s="272"/>
      <c r="RN186" s="205">
        <f t="shared" si="1483"/>
        <v>0</v>
      </c>
      <c r="RO186" s="272"/>
      <c r="RP186" s="272"/>
      <c r="RQ186" s="272"/>
      <c r="RR186" s="272"/>
      <c r="RS186" s="272"/>
      <c r="RT186" s="272"/>
      <c r="RU186" s="272"/>
      <c r="RV186" s="205">
        <f t="shared" si="1484"/>
        <v>0</v>
      </c>
      <c r="RW186" s="207"/>
      <c r="RX186" s="207"/>
      <c r="RY186" s="207"/>
      <c r="RZ186" s="207"/>
      <c r="SA186" s="272"/>
      <c r="SB186" s="272"/>
      <c r="SC186" s="272"/>
      <c r="SD186" s="205">
        <f t="shared" si="1485"/>
        <v>0</v>
      </c>
      <c r="SE186" s="205">
        <f t="shared" si="1486"/>
        <v>0</v>
      </c>
      <c r="SF186" s="207"/>
      <c r="SG186" s="207"/>
      <c r="SH186" s="207"/>
      <c r="SI186" s="207"/>
      <c r="SJ186" s="207"/>
      <c r="SK186" s="272"/>
      <c r="SL186" s="272"/>
      <c r="SM186" s="205">
        <f t="shared" si="1487"/>
        <v>0</v>
      </c>
      <c r="SN186" s="207"/>
      <c r="SO186" s="207"/>
      <c r="SP186" s="207"/>
      <c r="SQ186" s="207"/>
      <c r="SR186" s="207"/>
      <c r="SS186" s="272"/>
      <c r="ST186" s="272"/>
      <c r="SU186" s="205">
        <f t="shared" si="1488"/>
        <v>0</v>
      </c>
      <c r="SV186" s="207"/>
      <c r="SW186" s="207"/>
      <c r="SX186" s="207"/>
      <c r="SY186" s="207"/>
      <c r="SZ186" s="207"/>
      <c r="TA186" s="272"/>
      <c r="TB186" s="272"/>
      <c r="TC186" s="205">
        <f t="shared" si="1489"/>
        <v>0</v>
      </c>
      <c r="TD186" s="207"/>
      <c r="TE186" s="207"/>
      <c r="TF186" s="207"/>
      <c r="TG186" s="207"/>
      <c r="TH186" s="207"/>
      <c r="TI186" s="272"/>
      <c r="TJ186" s="272"/>
      <c r="TK186" s="205">
        <f t="shared" si="1490"/>
        <v>0</v>
      </c>
      <c r="TL186" s="207"/>
      <c r="TM186" s="207"/>
      <c r="TN186" s="207"/>
      <c r="TO186" s="207"/>
      <c r="TP186" s="272"/>
      <c r="TQ186" s="272"/>
      <c r="TR186" s="272"/>
      <c r="TS186" s="205">
        <f t="shared" si="1491"/>
        <v>0</v>
      </c>
      <c r="TT186" s="205">
        <f t="shared" si="1492"/>
        <v>0</v>
      </c>
      <c r="TU186" s="272"/>
      <c r="TV186" s="207"/>
      <c r="TW186" s="207"/>
      <c r="TX186" s="207"/>
      <c r="TY186" s="207"/>
      <c r="TZ186" s="272"/>
      <c r="UA186" s="272"/>
      <c r="UB186" s="205">
        <f t="shared" si="1493"/>
        <v>0</v>
      </c>
      <c r="UC186" s="207"/>
      <c r="UD186" s="207"/>
      <c r="UE186" s="207"/>
      <c r="UF186" s="207"/>
      <c r="UG186" s="207"/>
      <c r="UH186" s="272"/>
      <c r="UI186" s="272"/>
      <c r="UJ186" s="205">
        <f t="shared" si="1494"/>
        <v>0</v>
      </c>
      <c r="UK186" s="207"/>
      <c r="UL186" s="207"/>
      <c r="UM186" s="207"/>
      <c r="UN186" s="207"/>
      <c r="UO186" s="207"/>
      <c r="UP186" s="272"/>
      <c r="UQ186" s="272"/>
      <c r="UR186" s="205">
        <f t="shared" si="1495"/>
        <v>0</v>
      </c>
      <c r="US186" s="207"/>
      <c r="UT186" s="207"/>
      <c r="UU186" s="207"/>
      <c r="UV186" s="207"/>
      <c r="UW186" s="272"/>
      <c r="UX186" s="272"/>
      <c r="UY186" s="272"/>
      <c r="UZ186" s="205">
        <f t="shared" si="1496"/>
        <v>0</v>
      </c>
      <c r="VA186" s="205">
        <f t="shared" si="1497"/>
        <v>0</v>
      </c>
      <c r="VB186" s="207"/>
      <c r="VC186" s="207"/>
      <c r="VD186" s="207"/>
      <c r="VE186" s="207"/>
      <c r="VF186" s="207"/>
      <c r="VG186" s="272"/>
      <c r="VH186" s="272"/>
      <c r="VI186" s="205">
        <f t="shared" si="1498"/>
        <v>0</v>
      </c>
      <c r="VJ186" s="207"/>
      <c r="VK186" s="207"/>
      <c r="VL186" s="207"/>
      <c r="VM186" s="207"/>
      <c r="VN186" s="207"/>
      <c r="VO186" s="272"/>
      <c r="VP186" s="272"/>
      <c r="VQ186" s="205">
        <f t="shared" si="1499"/>
        <v>0</v>
      </c>
      <c r="VR186" s="207"/>
      <c r="VS186" s="207"/>
      <c r="VT186" s="207"/>
      <c r="VU186" s="207"/>
      <c r="VV186" s="207"/>
      <c r="VW186" s="272"/>
      <c r="VX186" s="272"/>
      <c r="VY186" s="205">
        <f t="shared" si="1500"/>
        <v>0</v>
      </c>
      <c r="VZ186" s="207"/>
      <c r="WA186" s="207"/>
      <c r="WB186" s="207"/>
      <c r="WC186" s="207"/>
      <c r="WD186" s="207"/>
      <c r="WE186" s="272"/>
      <c r="WF186" s="272"/>
      <c r="WG186" s="205">
        <f t="shared" si="1501"/>
        <v>0</v>
      </c>
      <c r="WH186" s="205">
        <f t="shared" si="1502"/>
        <v>0</v>
      </c>
      <c r="WI186" s="207"/>
      <c r="WJ186" s="207"/>
      <c r="WK186" s="207"/>
      <c r="WL186" s="207"/>
      <c r="WM186" s="207"/>
      <c r="WN186" s="272"/>
      <c r="WO186" s="272"/>
      <c r="WP186" s="205">
        <f t="shared" si="1503"/>
        <v>0</v>
      </c>
      <c r="WQ186" s="207"/>
      <c r="WR186" s="207"/>
      <c r="WS186" s="207"/>
      <c r="WT186" s="207"/>
      <c r="WU186" s="207"/>
      <c r="WV186" s="272"/>
      <c r="WW186" s="272"/>
      <c r="WX186" s="205">
        <f t="shared" si="1504"/>
        <v>0</v>
      </c>
      <c r="WY186" s="207"/>
      <c r="WZ186" s="207"/>
      <c r="XA186" s="207"/>
      <c r="XB186" s="207"/>
      <c r="XC186" s="272"/>
      <c r="XD186" s="272"/>
      <c r="XE186" s="272"/>
      <c r="XF186" s="205">
        <f t="shared" si="1505"/>
        <v>0</v>
      </c>
      <c r="XG186" s="207"/>
      <c r="XH186" s="207"/>
      <c r="XI186" s="207"/>
      <c r="XJ186" s="207"/>
      <c r="XK186" s="207"/>
      <c r="XL186" s="272"/>
      <c r="XM186" s="272"/>
      <c r="XN186" s="205">
        <f t="shared" si="1506"/>
        <v>0</v>
      </c>
      <c r="XO186" s="207"/>
      <c r="XP186" s="207"/>
      <c r="XQ186" s="207"/>
      <c r="XR186" s="207"/>
      <c r="XS186" s="207"/>
      <c r="XT186" s="272"/>
      <c r="XU186" s="272"/>
      <c r="XV186" s="205">
        <f t="shared" si="1507"/>
        <v>0</v>
      </c>
      <c r="XW186" s="205">
        <f t="shared" si="1508"/>
        <v>0</v>
      </c>
      <c r="XX186" s="207"/>
      <c r="XY186" s="207"/>
      <c r="XZ186" s="207"/>
      <c r="YA186" s="207"/>
      <c r="YB186" s="207"/>
      <c r="YC186" s="272"/>
      <c r="YD186" s="272"/>
      <c r="YE186" s="205">
        <f t="shared" si="1509"/>
        <v>0</v>
      </c>
      <c r="YF186" s="207"/>
      <c r="YG186" s="207"/>
      <c r="YH186" s="207"/>
      <c r="YI186" s="207"/>
      <c r="YJ186" s="207"/>
      <c r="YK186" s="272"/>
      <c r="YL186" s="272"/>
      <c r="YM186" s="205">
        <f t="shared" si="1510"/>
        <v>0</v>
      </c>
      <c r="YN186" s="207"/>
      <c r="YO186" s="207"/>
      <c r="YP186" s="207"/>
      <c r="YQ186" s="207"/>
      <c r="YR186" s="207"/>
      <c r="YS186" s="272"/>
      <c r="YT186" s="272"/>
      <c r="YU186" s="205">
        <f t="shared" si="1511"/>
        <v>0</v>
      </c>
      <c r="YV186" s="207"/>
      <c r="YW186" s="207"/>
      <c r="YX186" s="207"/>
      <c r="YY186" s="207"/>
      <c r="YZ186" s="207"/>
      <c r="ZA186" s="272"/>
      <c r="ZB186" s="272"/>
      <c r="ZC186" s="205">
        <f t="shared" si="1512"/>
        <v>0</v>
      </c>
      <c r="ZD186" s="205">
        <f t="shared" si="1513"/>
        <v>0</v>
      </c>
      <c r="ZE186" s="207"/>
      <c r="ZF186" s="207"/>
      <c r="ZG186" s="207"/>
      <c r="ZH186" s="207"/>
      <c r="ZI186" s="207"/>
      <c r="ZJ186" s="272"/>
      <c r="ZK186" s="272"/>
      <c r="ZL186" s="205">
        <f t="shared" si="1514"/>
        <v>0</v>
      </c>
      <c r="ZM186" s="207"/>
      <c r="ZN186" s="207"/>
      <c r="ZO186" s="207"/>
      <c r="ZP186" s="207"/>
      <c r="ZQ186" s="207"/>
      <c r="ZR186" s="272"/>
      <c r="ZS186" s="272"/>
      <c r="ZT186" s="205">
        <f t="shared" si="1515"/>
        <v>0</v>
      </c>
      <c r="ZU186" s="207"/>
      <c r="ZV186" s="207"/>
      <c r="ZW186" s="207"/>
      <c r="ZX186" s="207"/>
      <c r="ZY186" s="207"/>
      <c r="ZZ186" s="272"/>
      <c r="AAA186" s="272"/>
      <c r="AAB186" s="205">
        <f t="shared" si="1516"/>
        <v>0</v>
      </c>
      <c r="AAC186" s="207"/>
      <c r="AAD186" s="207"/>
      <c r="AAE186" s="207"/>
      <c r="AAF186" s="207"/>
      <c r="AAG186" s="207"/>
      <c r="AAH186" s="272"/>
      <c r="AAI186" s="272"/>
      <c r="AAJ186" s="205">
        <f t="shared" si="1517"/>
        <v>0</v>
      </c>
      <c r="AAK186" s="207"/>
      <c r="AAL186" s="207"/>
      <c r="AAM186" s="207"/>
      <c r="AAN186" s="207"/>
      <c r="AAO186" s="207"/>
      <c r="AAP186" s="272"/>
      <c r="AAQ186" s="272"/>
      <c r="AAR186" s="205">
        <f t="shared" si="1518"/>
        <v>0</v>
      </c>
      <c r="AAS186" s="205">
        <f t="shared" si="1519"/>
        <v>0</v>
      </c>
    </row>
    <row r="187" spans="1:721" ht="69.95" customHeight="1">
      <c r="B187" s="268" t="s">
        <v>812</v>
      </c>
      <c r="C187" s="341" t="s">
        <v>517</v>
      </c>
      <c r="D187" s="185" t="s">
        <v>538</v>
      </c>
      <c r="E187" s="130" t="s">
        <v>4</v>
      </c>
      <c r="F187" s="120"/>
      <c r="G187" s="120"/>
      <c r="H187" s="120"/>
      <c r="I187" s="120"/>
      <c r="J187" s="120"/>
      <c r="K187" s="209"/>
      <c r="L187" s="205"/>
      <c r="M187" s="205">
        <f t="shared" si="1520"/>
        <v>0</v>
      </c>
      <c r="N187" s="120"/>
      <c r="O187" s="120"/>
      <c r="P187" s="120"/>
      <c r="Q187" s="120"/>
      <c r="R187" s="120"/>
      <c r="S187" s="209"/>
      <c r="T187" s="205"/>
      <c r="U187" s="205">
        <f t="shared" si="1521"/>
        <v>0</v>
      </c>
      <c r="V187" s="120"/>
      <c r="W187" s="120"/>
      <c r="X187" s="120"/>
      <c r="Y187" s="120"/>
      <c r="Z187" s="120"/>
      <c r="AA187" s="209"/>
      <c r="AB187" s="205"/>
      <c r="AC187" s="205">
        <f t="shared" si="1522"/>
        <v>0</v>
      </c>
      <c r="AD187" s="205"/>
      <c r="AE187" s="205"/>
      <c r="AF187" s="205"/>
      <c r="AG187" s="205"/>
      <c r="AH187" s="205"/>
      <c r="AI187" s="209"/>
      <c r="AJ187" s="205"/>
      <c r="AK187" s="205">
        <f t="shared" si="1523"/>
        <v>0</v>
      </c>
      <c r="AL187" s="205" t="e">
        <f>SUM(#REF!,M187,U187,AC187,AD187:AH187)</f>
        <v>#REF!</v>
      </c>
      <c r="AM187" s="120"/>
      <c r="AN187" s="120"/>
      <c r="AO187" s="120"/>
      <c r="AP187" s="120"/>
      <c r="AQ187" s="120"/>
      <c r="AR187" s="209"/>
      <c r="AS187" s="205"/>
      <c r="AT187" s="205">
        <f t="shared" si="1524"/>
        <v>0</v>
      </c>
      <c r="AU187" s="120"/>
      <c r="AV187" s="120"/>
      <c r="AW187" s="120"/>
      <c r="AX187" s="120"/>
      <c r="AY187" s="120"/>
      <c r="AZ187" s="209"/>
      <c r="BA187" s="205"/>
      <c r="BB187" s="205">
        <f t="shared" si="1525"/>
        <v>0</v>
      </c>
      <c r="BC187" s="120"/>
      <c r="BD187" s="120"/>
      <c r="BE187" s="120"/>
      <c r="BF187" s="120"/>
      <c r="BG187" s="120"/>
      <c r="BH187" s="209"/>
      <c r="BI187" s="205"/>
      <c r="BJ187" s="205">
        <f t="shared" si="1526"/>
        <v>0</v>
      </c>
      <c r="BK187" s="120"/>
      <c r="BL187" s="120"/>
      <c r="BM187" s="120"/>
      <c r="BN187" s="120"/>
      <c r="BO187" s="205"/>
      <c r="BP187" s="209"/>
      <c r="BQ187" s="205"/>
      <c r="BR187" s="205">
        <f t="shared" si="1527"/>
        <v>0</v>
      </c>
      <c r="BS187" s="205">
        <f t="shared" si="1427"/>
        <v>0</v>
      </c>
      <c r="BT187" s="120"/>
      <c r="BU187" s="120"/>
      <c r="BV187" s="120"/>
      <c r="BW187" s="120"/>
      <c r="BX187" s="120"/>
      <c r="BY187" s="209"/>
      <c r="BZ187" s="205"/>
      <c r="CA187" s="205">
        <f t="shared" si="1528"/>
        <v>0</v>
      </c>
      <c r="CB187" s="120"/>
      <c r="CC187" s="120"/>
      <c r="CD187" s="120"/>
      <c r="CE187" s="120"/>
      <c r="CF187" s="120"/>
      <c r="CG187" s="209"/>
      <c r="CH187" s="205"/>
      <c r="CI187" s="205">
        <f t="shared" si="1529"/>
        <v>0</v>
      </c>
      <c r="CJ187" s="120"/>
      <c r="CK187" s="120"/>
      <c r="CL187" s="120"/>
      <c r="CM187" s="120"/>
      <c r="CN187" s="120"/>
      <c r="CO187" s="209"/>
      <c r="CP187" s="205"/>
      <c r="CQ187" s="205">
        <f t="shared" si="1530"/>
        <v>0</v>
      </c>
      <c r="CR187" s="120"/>
      <c r="CS187" s="120"/>
      <c r="CT187" s="120"/>
      <c r="CU187" s="120"/>
      <c r="CV187" s="120"/>
      <c r="CW187" s="209"/>
      <c r="CX187" s="205"/>
      <c r="CY187" s="205">
        <f t="shared" si="1531"/>
        <v>0</v>
      </c>
      <c r="CZ187" s="120"/>
      <c r="DA187" s="120"/>
      <c r="DB187" s="120"/>
      <c r="DC187" s="205"/>
      <c r="DD187" s="205"/>
      <c r="DE187" s="209"/>
      <c r="DF187" s="205"/>
      <c r="DG187" s="205">
        <f t="shared" si="1532"/>
        <v>0</v>
      </c>
      <c r="DH187" s="205">
        <f t="shared" si="1428"/>
        <v>0</v>
      </c>
      <c r="DI187" s="120"/>
      <c r="DJ187" s="120"/>
      <c r="DK187" s="120"/>
      <c r="DL187" s="120"/>
      <c r="DM187" s="120"/>
      <c r="DN187" s="209"/>
      <c r="DO187" s="205"/>
      <c r="DP187" s="205">
        <f t="shared" si="1432"/>
        <v>0</v>
      </c>
      <c r="DQ187" s="120"/>
      <c r="DR187" s="120"/>
      <c r="DS187" s="120"/>
      <c r="DT187" s="120"/>
      <c r="DU187" s="120"/>
      <c r="DV187" s="209"/>
      <c r="DW187" s="205"/>
      <c r="DX187" s="205">
        <f t="shared" si="1433"/>
        <v>0</v>
      </c>
      <c r="DY187" s="120"/>
      <c r="DZ187" s="120"/>
      <c r="EA187" s="120"/>
      <c r="EB187" s="120"/>
      <c r="EC187" s="120"/>
      <c r="ED187" s="209"/>
      <c r="EE187" s="205"/>
      <c r="EF187" s="205">
        <f t="shared" si="1434"/>
        <v>0</v>
      </c>
      <c r="EG187" s="120"/>
      <c r="EH187" s="120"/>
      <c r="EI187" s="120"/>
      <c r="EJ187" s="205"/>
      <c r="EK187" s="205"/>
      <c r="EL187" s="209"/>
      <c r="EM187" s="205"/>
      <c r="EN187" s="205">
        <f t="shared" si="1435"/>
        <v>0</v>
      </c>
      <c r="EO187" s="205">
        <f t="shared" si="1429"/>
        <v>0</v>
      </c>
      <c r="EP187" s="120"/>
      <c r="EQ187" s="120"/>
      <c r="ER187" s="120"/>
      <c r="ES187" s="120"/>
      <c r="ET187" s="120"/>
      <c r="EU187" s="209"/>
      <c r="EV187" s="205"/>
      <c r="EW187" s="205">
        <f t="shared" si="1436"/>
        <v>0</v>
      </c>
      <c r="EX187" s="120"/>
      <c r="EY187" s="120"/>
      <c r="EZ187" s="120"/>
      <c r="FA187" s="120"/>
      <c r="FB187" s="120"/>
      <c r="FC187" s="209"/>
      <c r="FD187" s="205"/>
      <c r="FE187" s="205">
        <f t="shared" si="1437"/>
        <v>0</v>
      </c>
      <c r="FF187" s="120"/>
      <c r="FG187" s="120"/>
      <c r="FH187" s="120"/>
      <c r="FI187" s="120"/>
      <c r="FJ187" s="120"/>
      <c r="FK187" s="209"/>
      <c r="FL187" s="205"/>
      <c r="FM187" s="205">
        <f t="shared" si="1438"/>
        <v>0</v>
      </c>
      <c r="FN187" s="120"/>
      <c r="FO187" s="120"/>
      <c r="FP187" s="120"/>
      <c r="FQ187" s="120"/>
      <c r="FR187" s="205"/>
      <c r="FS187" s="209"/>
      <c r="FT187" s="205"/>
      <c r="FU187" s="205">
        <f t="shared" si="1439"/>
        <v>0</v>
      </c>
      <c r="FV187" s="205">
        <f t="shared" si="1430"/>
        <v>0</v>
      </c>
      <c r="FW187" s="120"/>
      <c r="FX187" s="120"/>
      <c r="FY187" s="120"/>
      <c r="FZ187" s="120"/>
      <c r="GA187" s="120"/>
      <c r="GB187" s="209"/>
      <c r="GC187" s="205"/>
      <c r="GD187" s="205">
        <f t="shared" si="1440"/>
        <v>0</v>
      </c>
      <c r="GE187" s="120"/>
      <c r="GF187" s="120"/>
      <c r="GG187" s="120"/>
      <c r="GH187" s="120"/>
      <c r="GI187" s="120"/>
      <c r="GJ187" s="209"/>
      <c r="GK187" s="205"/>
      <c r="GL187" s="205">
        <f t="shared" si="1441"/>
        <v>0</v>
      </c>
      <c r="GM187" s="120"/>
      <c r="GN187" s="120"/>
      <c r="GO187" s="120"/>
      <c r="GP187" s="120"/>
      <c r="GQ187" s="120"/>
      <c r="GR187" s="209"/>
      <c r="GS187" s="205"/>
      <c r="GT187" s="205">
        <f t="shared" si="1442"/>
        <v>0</v>
      </c>
      <c r="GU187" s="120"/>
      <c r="GV187" s="120"/>
      <c r="GW187" s="120"/>
      <c r="GX187" s="120"/>
      <c r="GY187" s="120"/>
      <c r="GZ187" s="209"/>
      <c r="HA187" s="205"/>
      <c r="HB187" s="205">
        <f t="shared" si="1443"/>
        <v>0</v>
      </c>
      <c r="HC187" s="120"/>
      <c r="HD187" s="120"/>
      <c r="HE187" s="120"/>
      <c r="HF187" s="120"/>
      <c r="HG187" s="120"/>
      <c r="HH187" s="209"/>
      <c r="HI187" s="205"/>
      <c r="HJ187" s="205">
        <f t="shared" si="1444"/>
        <v>0</v>
      </c>
      <c r="HK187" s="205">
        <f t="shared" si="1431"/>
        <v>0</v>
      </c>
      <c r="HL187" s="124"/>
      <c r="HM187" s="120"/>
      <c r="HN187" s="120"/>
      <c r="HO187" s="120"/>
      <c r="HP187" s="120"/>
      <c r="HQ187" s="205"/>
      <c r="HR187" s="205"/>
      <c r="HS187" s="205">
        <f t="shared" si="1445"/>
        <v>0</v>
      </c>
      <c r="HT187" s="120"/>
      <c r="HU187" s="120"/>
      <c r="HV187" s="120"/>
      <c r="HW187" s="120"/>
      <c r="HX187" s="120"/>
      <c r="HY187" s="205"/>
      <c r="HZ187" s="205"/>
      <c r="IA187" s="205">
        <f t="shared" si="1446"/>
        <v>0</v>
      </c>
      <c r="IB187" s="120"/>
      <c r="IC187" s="120"/>
      <c r="ID187" s="120"/>
      <c r="IE187" s="120"/>
      <c r="IF187" s="120"/>
      <c r="IG187" s="205"/>
      <c r="IH187" s="205"/>
      <c r="II187" s="205">
        <f t="shared" si="1447"/>
        <v>0</v>
      </c>
      <c r="IJ187" s="120"/>
      <c r="IK187" s="120"/>
      <c r="IL187" s="120"/>
      <c r="IM187" s="120"/>
      <c r="IN187" s="120"/>
      <c r="IO187" s="205"/>
      <c r="IP187" s="205"/>
      <c r="IQ187" s="205">
        <f t="shared" si="1448"/>
        <v>0</v>
      </c>
      <c r="IR187" s="205">
        <f t="shared" si="1449"/>
        <v>0</v>
      </c>
      <c r="IS187" s="120"/>
      <c r="IT187" s="120"/>
      <c r="IU187" s="120"/>
      <c r="IV187" s="120"/>
      <c r="IW187" s="120"/>
      <c r="IX187" s="205"/>
      <c r="IY187" s="205"/>
      <c r="IZ187" s="205">
        <f t="shared" si="1450"/>
        <v>0</v>
      </c>
      <c r="JA187" s="120"/>
      <c r="JB187" s="120"/>
      <c r="JC187" s="120"/>
      <c r="JD187" s="120"/>
      <c r="JE187" s="120"/>
      <c r="JF187" s="205"/>
      <c r="JG187" s="205"/>
      <c r="JH187" s="205">
        <f t="shared" si="1451"/>
        <v>0</v>
      </c>
      <c r="JI187" s="120"/>
      <c r="JJ187" s="120"/>
      <c r="JK187" s="120"/>
      <c r="JL187" s="120"/>
      <c r="JM187" s="120"/>
      <c r="JN187" s="205"/>
      <c r="JO187" s="205"/>
      <c r="JP187" s="205">
        <f t="shared" si="1452"/>
        <v>0</v>
      </c>
      <c r="JQ187" s="120"/>
      <c r="JR187" s="120"/>
      <c r="JS187" s="120"/>
      <c r="JT187" s="120"/>
      <c r="JU187" s="120"/>
      <c r="JV187" s="205"/>
      <c r="JW187" s="205"/>
      <c r="JX187" s="205">
        <f t="shared" si="1453"/>
        <v>0</v>
      </c>
      <c r="JY187" s="205">
        <f t="shared" si="1454"/>
        <v>0</v>
      </c>
      <c r="JZ187" s="120"/>
      <c r="KA187" s="120"/>
      <c r="KB187" s="120"/>
      <c r="KC187" s="120"/>
      <c r="KD187" s="120"/>
      <c r="KE187" s="205"/>
      <c r="KF187" s="205"/>
      <c r="KG187" s="205">
        <f t="shared" si="1455"/>
        <v>0</v>
      </c>
      <c r="KH187" s="120"/>
      <c r="KI187" s="120"/>
      <c r="KJ187" s="120"/>
      <c r="KK187" s="120"/>
      <c r="KL187" s="120"/>
      <c r="KM187" s="205"/>
      <c r="KN187" s="205"/>
      <c r="KO187" s="205">
        <f t="shared" si="1456"/>
        <v>0</v>
      </c>
      <c r="KP187" s="120"/>
      <c r="KQ187" s="120"/>
      <c r="KR187" s="120"/>
      <c r="KS187" s="120"/>
      <c r="KT187" s="120"/>
      <c r="KU187" s="205"/>
      <c r="KV187" s="205"/>
      <c r="KW187" s="205">
        <f t="shared" si="1457"/>
        <v>0</v>
      </c>
      <c r="KX187" s="120"/>
      <c r="KY187" s="120"/>
      <c r="KZ187" s="120"/>
      <c r="LA187" s="120"/>
      <c r="LB187" s="120"/>
      <c r="LC187" s="205"/>
      <c r="LD187" s="205"/>
      <c r="LE187" s="205">
        <f t="shared" si="1458"/>
        <v>0</v>
      </c>
      <c r="LF187" s="205"/>
      <c r="LG187" s="120"/>
      <c r="LH187" s="120"/>
      <c r="LI187" s="120"/>
      <c r="LJ187" s="120"/>
      <c r="LK187" s="205"/>
      <c r="LL187" s="205"/>
      <c r="LM187" s="205">
        <f t="shared" si="1459"/>
        <v>0</v>
      </c>
      <c r="LN187" s="205">
        <f t="shared" si="1460"/>
        <v>0</v>
      </c>
      <c r="LO187" s="205"/>
      <c r="LP187" s="120"/>
      <c r="LQ187" s="120"/>
      <c r="LR187" s="120"/>
      <c r="LS187" s="205"/>
      <c r="LT187" s="205"/>
      <c r="LU187" s="205"/>
      <c r="LV187" s="205">
        <f t="shared" si="1461"/>
        <v>0</v>
      </c>
      <c r="LW187" s="120"/>
      <c r="LX187" s="120"/>
      <c r="LY187" s="120"/>
      <c r="LZ187" s="120"/>
      <c r="MA187" s="120"/>
      <c r="MB187" s="205"/>
      <c r="MC187" s="205"/>
      <c r="MD187" s="205">
        <f t="shared" si="1462"/>
        <v>0</v>
      </c>
      <c r="ME187" s="120"/>
      <c r="MF187" s="120"/>
      <c r="MG187" s="120"/>
      <c r="MH187" s="120"/>
      <c r="MI187" s="205"/>
      <c r="MJ187" s="205"/>
      <c r="MK187" s="205"/>
      <c r="ML187" s="205">
        <f t="shared" si="1463"/>
        <v>0</v>
      </c>
      <c r="MM187" s="120"/>
      <c r="MN187" s="120"/>
      <c r="MO187" s="120"/>
      <c r="MP187" s="120"/>
      <c r="MQ187" s="120"/>
      <c r="MR187" s="205"/>
      <c r="MS187" s="205"/>
      <c r="MT187" s="205">
        <f t="shared" si="1464"/>
        <v>0</v>
      </c>
      <c r="MU187" s="205">
        <f t="shared" si="1465"/>
        <v>0</v>
      </c>
      <c r="MV187" s="120"/>
      <c r="MW187" s="120"/>
      <c r="MX187" s="120"/>
      <c r="MY187" s="120"/>
      <c r="MZ187" s="120"/>
      <c r="NA187" s="205"/>
      <c r="NB187" s="205"/>
      <c r="NC187" s="205">
        <f t="shared" si="1466"/>
        <v>0</v>
      </c>
      <c r="ND187" s="120"/>
      <c r="NE187" s="120"/>
      <c r="NF187" s="120"/>
      <c r="NG187" s="120"/>
      <c r="NH187" s="120"/>
      <c r="NI187" s="205"/>
      <c r="NJ187" s="205"/>
      <c r="NK187" s="205">
        <f t="shared" si="1467"/>
        <v>0</v>
      </c>
      <c r="NL187" s="120"/>
      <c r="NM187" s="120"/>
      <c r="NN187" s="120"/>
      <c r="NO187" s="120"/>
      <c r="NP187" s="120"/>
      <c r="NQ187" s="205"/>
      <c r="NR187" s="205"/>
      <c r="NS187" s="205">
        <f t="shared" si="1468"/>
        <v>0</v>
      </c>
      <c r="NT187" s="120"/>
      <c r="NU187" s="120"/>
      <c r="NV187" s="120"/>
      <c r="NW187" s="120"/>
      <c r="NX187" s="120"/>
      <c r="NY187" s="205"/>
      <c r="NZ187" s="205"/>
      <c r="OA187" s="205">
        <f t="shared" si="1469"/>
        <v>0</v>
      </c>
      <c r="OB187" s="205">
        <f t="shared" si="1470"/>
        <v>0</v>
      </c>
      <c r="OC187" s="120"/>
      <c r="OD187" s="120"/>
      <c r="OE187" s="120"/>
      <c r="OF187" s="120"/>
      <c r="OG187" s="120"/>
      <c r="OH187" s="205"/>
      <c r="OI187" s="205"/>
      <c r="OJ187" s="205">
        <f t="shared" si="1471"/>
        <v>0</v>
      </c>
      <c r="OK187" s="120"/>
      <c r="OL187" s="120"/>
      <c r="OM187" s="120"/>
      <c r="ON187" s="120"/>
      <c r="OO187" s="120"/>
      <c r="OP187" s="205"/>
      <c r="OQ187" s="205"/>
      <c r="OR187" s="205">
        <f t="shared" si="1472"/>
        <v>0</v>
      </c>
      <c r="OS187" s="120"/>
      <c r="OT187" s="120"/>
      <c r="OU187" s="120"/>
      <c r="OV187" s="120"/>
      <c r="OW187" s="120"/>
      <c r="OX187" s="205"/>
      <c r="OY187" s="205"/>
      <c r="OZ187" s="205">
        <f t="shared" si="1473"/>
        <v>0</v>
      </c>
      <c r="PA187" s="120"/>
      <c r="PB187" s="120"/>
      <c r="PC187" s="120"/>
      <c r="PD187" s="205"/>
      <c r="PE187" s="217"/>
      <c r="PF187" s="205"/>
      <c r="PG187" s="205"/>
      <c r="PH187" s="205">
        <f t="shared" si="1474"/>
        <v>0</v>
      </c>
      <c r="PI187" s="120"/>
      <c r="PJ187" s="120"/>
      <c r="PK187" s="120"/>
      <c r="PL187" s="205"/>
      <c r="PM187" s="217"/>
      <c r="PN187" s="205"/>
      <c r="PO187" s="205"/>
      <c r="PP187" s="205">
        <f t="shared" si="1475"/>
        <v>0</v>
      </c>
      <c r="PQ187" s="205">
        <f t="shared" si="1476"/>
        <v>0</v>
      </c>
      <c r="PR187" s="207"/>
      <c r="PS187" s="207"/>
      <c r="PT187" s="207"/>
      <c r="PU187" s="207"/>
      <c r="PV187" s="207"/>
      <c r="PW187" s="272"/>
      <c r="PX187" s="272"/>
      <c r="PY187" s="205">
        <f t="shared" si="1477"/>
        <v>0</v>
      </c>
      <c r="PZ187" s="207"/>
      <c r="QA187" s="207"/>
      <c r="QB187" s="207"/>
      <c r="QC187" s="207"/>
      <c r="QD187" s="207"/>
      <c r="QE187" s="272"/>
      <c r="QF187" s="272"/>
      <c r="QG187" s="205">
        <f t="shared" si="1478"/>
        <v>0</v>
      </c>
      <c r="QH187" s="207"/>
      <c r="QI187" s="207"/>
      <c r="QJ187" s="294"/>
      <c r="QK187" s="207"/>
      <c r="QL187" s="207"/>
      <c r="QM187" s="272"/>
      <c r="QN187" s="272"/>
      <c r="QO187" s="205">
        <f t="shared" si="1479"/>
        <v>0</v>
      </c>
      <c r="QP187" s="207"/>
      <c r="QQ187" s="207"/>
      <c r="QR187" s="207"/>
      <c r="QS187" s="207"/>
      <c r="QT187" s="207"/>
      <c r="QU187" s="272"/>
      <c r="QV187" s="272"/>
      <c r="QW187" s="205">
        <f t="shared" si="1480"/>
        <v>0</v>
      </c>
      <c r="QX187" s="205">
        <f t="shared" si="1481"/>
        <v>0</v>
      </c>
      <c r="QY187" s="207"/>
      <c r="QZ187" s="207"/>
      <c r="RA187" s="207"/>
      <c r="RB187" s="207"/>
      <c r="RC187" s="207"/>
      <c r="RD187" s="272"/>
      <c r="RE187" s="272"/>
      <c r="RF187" s="205">
        <f t="shared" si="1482"/>
        <v>0</v>
      </c>
      <c r="RG187" s="207"/>
      <c r="RH187" s="207"/>
      <c r="RI187" s="207"/>
      <c r="RJ187" s="207"/>
      <c r="RK187" s="207"/>
      <c r="RL187" s="272"/>
      <c r="RM187" s="272"/>
      <c r="RN187" s="205">
        <f t="shared" si="1483"/>
        <v>0</v>
      </c>
      <c r="RO187" s="272"/>
      <c r="RP187" s="272"/>
      <c r="RQ187" s="272"/>
      <c r="RR187" s="272"/>
      <c r="RS187" s="272"/>
      <c r="RT187" s="272"/>
      <c r="RU187" s="272"/>
      <c r="RV187" s="205">
        <f t="shared" si="1484"/>
        <v>0</v>
      </c>
      <c r="RW187" s="207"/>
      <c r="RX187" s="207"/>
      <c r="RY187" s="207"/>
      <c r="RZ187" s="207"/>
      <c r="SA187" s="272"/>
      <c r="SB187" s="272"/>
      <c r="SC187" s="272"/>
      <c r="SD187" s="205">
        <f t="shared" si="1485"/>
        <v>0</v>
      </c>
      <c r="SE187" s="205">
        <f t="shared" si="1486"/>
        <v>0</v>
      </c>
      <c r="SF187" s="207"/>
      <c r="SG187" s="207"/>
      <c r="SH187" s="207"/>
      <c r="SI187" s="207"/>
      <c r="SJ187" s="207"/>
      <c r="SK187" s="272"/>
      <c r="SL187" s="272"/>
      <c r="SM187" s="205">
        <f t="shared" si="1487"/>
        <v>0</v>
      </c>
      <c r="SN187" s="207"/>
      <c r="SO187" s="207"/>
      <c r="SP187" s="207"/>
      <c r="SQ187" s="207"/>
      <c r="SR187" s="207"/>
      <c r="SS187" s="272"/>
      <c r="ST187" s="272"/>
      <c r="SU187" s="205">
        <f t="shared" si="1488"/>
        <v>0</v>
      </c>
      <c r="SV187" s="207"/>
      <c r="SW187" s="207"/>
      <c r="SX187" s="207"/>
      <c r="SY187" s="207"/>
      <c r="SZ187" s="207"/>
      <c r="TA187" s="272"/>
      <c r="TB187" s="272"/>
      <c r="TC187" s="205">
        <f t="shared" si="1489"/>
        <v>0</v>
      </c>
      <c r="TD187" s="207"/>
      <c r="TE187" s="207"/>
      <c r="TF187" s="207"/>
      <c r="TG187" s="207"/>
      <c r="TH187" s="207"/>
      <c r="TI187" s="272"/>
      <c r="TJ187" s="272"/>
      <c r="TK187" s="205">
        <f t="shared" si="1490"/>
        <v>0</v>
      </c>
      <c r="TL187" s="207"/>
      <c r="TM187" s="207"/>
      <c r="TN187" s="207"/>
      <c r="TO187" s="207"/>
      <c r="TP187" s="272"/>
      <c r="TQ187" s="272"/>
      <c r="TR187" s="272"/>
      <c r="TS187" s="205">
        <f t="shared" si="1491"/>
        <v>0</v>
      </c>
      <c r="TT187" s="205">
        <f t="shared" si="1492"/>
        <v>0</v>
      </c>
      <c r="TU187" s="272"/>
      <c r="TV187" s="207"/>
      <c r="TW187" s="207"/>
      <c r="TX187" s="207"/>
      <c r="TY187" s="207"/>
      <c r="TZ187" s="272"/>
      <c r="UA187" s="272"/>
      <c r="UB187" s="205">
        <f t="shared" si="1493"/>
        <v>0</v>
      </c>
      <c r="UC187" s="207"/>
      <c r="UD187" s="207"/>
      <c r="UE187" s="207"/>
      <c r="UF187" s="207"/>
      <c r="UG187" s="207"/>
      <c r="UH187" s="272"/>
      <c r="UI187" s="272"/>
      <c r="UJ187" s="205">
        <f t="shared" si="1494"/>
        <v>0</v>
      </c>
      <c r="UK187" s="207"/>
      <c r="UL187" s="207"/>
      <c r="UM187" s="207"/>
      <c r="UN187" s="207"/>
      <c r="UO187" s="207"/>
      <c r="UP187" s="272"/>
      <c r="UQ187" s="272"/>
      <c r="UR187" s="205">
        <f t="shared" si="1495"/>
        <v>0</v>
      </c>
      <c r="US187" s="207"/>
      <c r="UT187" s="207"/>
      <c r="UU187" s="207"/>
      <c r="UV187" s="207"/>
      <c r="UW187" s="272"/>
      <c r="UX187" s="272"/>
      <c r="UY187" s="272"/>
      <c r="UZ187" s="205">
        <f t="shared" si="1496"/>
        <v>0</v>
      </c>
      <c r="VA187" s="205">
        <f t="shared" si="1497"/>
        <v>0</v>
      </c>
      <c r="VB187" s="207"/>
      <c r="VC187" s="207"/>
      <c r="VD187" s="207"/>
      <c r="VE187" s="207"/>
      <c r="VF187" s="207"/>
      <c r="VG187" s="272"/>
      <c r="VH187" s="272"/>
      <c r="VI187" s="205">
        <f t="shared" si="1498"/>
        <v>0</v>
      </c>
      <c r="VJ187" s="207"/>
      <c r="VK187" s="207"/>
      <c r="VL187" s="207"/>
      <c r="VM187" s="207"/>
      <c r="VN187" s="207"/>
      <c r="VO187" s="272"/>
      <c r="VP187" s="272"/>
      <c r="VQ187" s="205">
        <f t="shared" si="1499"/>
        <v>0</v>
      </c>
      <c r="VR187" s="207"/>
      <c r="VS187" s="207"/>
      <c r="VT187" s="207"/>
      <c r="VU187" s="207"/>
      <c r="VV187" s="207"/>
      <c r="VW187" s="272"/>
      <c r="VX187" s="272"/>
      <c r="VY187" s="205">
        <f t="shared" si="1500"/>
        <v>0</v>
      </c>
      <c r="VZ187" s="207"/>
      <c r="WA187" s="207"/>
      <c r="WB187" s="207"/>
      <c r="WC187" s="207"/>
      <c r="WD187" s="207"/>
      <c r="WE187" s="272"/>
      <c r="WF187" s="272"/>
      <c r="WG187" s="205">
        <f t="shared" si="1501"/>
        <v>0</v>
      </c>
      <c r="WH187" s="205">
        <f t="shared" si="1502"/>
        <v>0</v>
      </c>
      <c r="WI187" s="207"/>
      <c r="WJ187" s="207"/>
      <c r="WK187" s="207"/>
      <c r="WL187" s="207"/>
      <c r="WM187" s="207"/>
      <c r="WN187" s="272"/>
      <c r="WO187" s="272"/>
      <c r="WP187" s="205">
        <f t="shared" si="1503"/>
        <v>0</v>
      </c>
      <c r="WQ187" s="207"/>
      <c r="WR187" s="207"/>
      <c r="WS187" s="207"/>
      <c r="WT187" s="207"/>
      <c r="WU187" s="207"/>
      <c r="WV187" s="272"/>
      <c r="WW187" s="272"/>
      <c r="WX187" s="205">
        <f t="shared" si="1504"/>
        <v>0</v>
      </c>
      <c r="WY187" s="207"/>
      <c r="WZ187" s="207"/>
      <c r="XA187" s="207"/>
      <c r="XB187" s="207"/>
      <c r="XC187" s="272"/>
      <c r="XD187" s="272"/>
      <c r="XE187" s="272"/>
      <c r="XF187" s="205">
        <f t="shared" si="1505"/>
        <v>0</v>
      </c>
      <c r="XG187" s="207"/>
      <c r="XH187" s="207"/>
      <c r="XI187" s="207"/>
      <c r="XJ187" s="207"/>
      <c r="XK187" s="207"/>
      <c r="XL187" s="272"/>
      <c r="XM187" s="272"/>
      <c r="XN187" s="205">
        <f t="shared" si="1506"/>
        <v>0</v>
      </c>
      <c r="XO187" s="207"/>
      <c r="XP187" s="207"/>
      <c r="XQ187" s="207"/>
      <c r="XR187" s="207"/>
      <c r="XS187" s="207"/>
      <c r="XT187" s="272"/>
      <c r="XU187" s="272"/>
      <c r="XV187" s="205">
        <f t="shared" si="1507"/>
        <v>0</v>
      </c>
      <c r="XW187" s="205">
        <f t="shared" si="1508"/>
        <v>0</v>
      </c>
      <c r="XX187" s="207"/>
      <c r="XY187" s="207"/>
      <c r="XZ187" s="207"/>
      <c r="YA187" s="207"/>
      <c r="YB187" s="207"/>
      <c r="YC187" s="272"/>
      <c r="YD187" s="272"/>
      <c r="YE187" s="205">
        <f t="shared" si="1509"/>
        <v>0</v>
      </c>
      <c r="YF187" s="207"/>
      <c r="YG187" s="207"/>
      <c r="YH187" s="207"/>
      <c r="YI187" s="207"/>
      <c r="YJ187" s="207"/>
      <c r="YK187" s="272"/>
      <c r="YL187" s="272"/>
      <c r="YM187" s="205">
        <f t="shared" si="1510"/>
        <v>0</v>
      </c>
      <c r="YN187" s="207"/>
      <c r="YO187" s="207"/>
      <c r="YP187" s="207"/>
      <c r="YQ187" s="207"/>
      <c r="YR187" s="207"/>
      <c r="YS187" s="272"/>
      <c r="YT187" s="272"/>
      <c r="YU187" s="205">
        <f t="shared" si="1511"/>
        <v>0</v>
      </c>
      <c r="YV187" s="207"/>
      <c r="YW187" s="207"/>
      <c r="YX187" s="207"/>
      <c r="YY187" s="207"/>
      <c r="YZ187" s="207"/>
      <c r="ZA187" s="272"/>
      <c r="ZB187" s="272"/>
      <c r="ZC187" s="205">
        <f t="shared" si="1512"/>
        <v>0</v>
      </c>
      <c r="ZD187" s="205">
        <f t="shared" si="1513"/>
        <v>0</v>
      </c>
      <c r="ZE187" s="207"/>
      <c r="ZF187" s="207"/>
      <c r="ZG187" s="207"/>
      <c r="ZH187" s="207"/>
      <c r="ZI187" s="207"/>
      <c r="ZJ187" s="272"/>
      <c r="ZK187" s="272"/>
      <c r="ZL187" s="205">
        <f t="shared" si="1514"/>
        <v>0</v>
      </c>
      <c r="ZM187" s="207"/>
      <c r="ZN187" s="207"/>
      <c r="ZO187" s="207"/>
      <c r="ZP187" s="207"/>
      <c r="ZQ187" s="207"/>
      <c r="ZR187" s="272"/>
      <c r="ZS187" s="272"/>
      <c r="ZT187" s="205">
        <f t="shared" si="1515"/>
        <v>0</v>
      </c>
      <c r="ZU187" s="207"/>
      <c r="ZV187" s="207"/>
      <c r="ZW187" s="207"/>
      <c r="ZX187" s="207"/>
      <c r="ZY187" s="207"/>
      <c r="ZZ187" s="272"/>
      <c r="AAA187" s="272"/>
      <c r="AAB187" s="205">
        <f t="shared" si="1516"/>
        <v>0</v>
      </c>
      <c r="AAC187" s="207"/>
      <c r="AAD187" s="207"/>
      <c r="AAE187" s="207"/>
      <c r="AAF187" s="207"/>
      <c r="AAG187" s="207"/>
      <c r="AAH187" s="272"/>
      <c r="AAI187" s="272"/>
      <c r="AAJ187" s="205">
        <f t="shared" si="1517"/>
        <v>0</v>
      </c>
      <c r="AAK187" s="207"/>
      <c r="AAL187" s="207"/>
      <c r="AAM187" s="207"/>
      <c r="AAN187" s="207"/>
      <c r="AAO187" s="207"/>
      <c r="AAP187" s="272"/>
      <c r="AAQ187" s="272"/>
      <c r="AAR187" s="205">
        <f t="shared" si="1518"/>
        <v>0</v>
      </c>
      <c r="AAS187" s="205">
        <f t="shared" si="1519"/>
        <v>0</v>
      </c>
    </row>
    <row r="188" spans="1:721" ht="69.95" customHeight="1">
      <c r="B188" s="186">
        <v>5711500199</v>
      </c>
      <c r="C188" s="343"/>
      <c r="D188" s="187" t="s">
        <v>31</v>
      </c>
      <c r="E188" s="130" t="s">
        <v>4</v>
      </c>
      <c r="F188" s="120"/>
      <c r="G188" s="120"/>
      <c r="H188" s="120"/>
      <c r="I188" s="120"/>
      <c r="J188" s="120"/>
      <c r="K188" s="209"/>
      <c r="L188" s="205"/>
      <c r="M188" s="205">
        <f t="shared" si="1520"/>
        <v>0</v>
      </c>
      <c r="N188" s="120"/>
      <c r="O188" s="120"/>
      <c r="P188" s="120"/>
      <c r="Q188" s="120"/>
      <c r="R188" s="120"/>
      <c r="S188" s="209"/>
      <c r="T188" s="205"/>
      <c r="U188" s="205">
        <f t="shared" si="1521"/>
        <v>0</v>
      </c>
      <c r="V188" s="120"/>
      <c r="W188" s="120"/>
      <c r="X188" s="120"/>
      <c r="Y188" s="120"/>
      <c r="Z188" s="120"/>
      <c r="AA188" s="209"/>
      <c r="AB188" s="205"/>
      <c r="AC188" s="205">
        <f t="shared" si="1522"/>
        <v>0</v>
      </c>
      <c r="AD188" s="205"/>
      <c r="AE188" s="205"/>
      <c r="AF188" s="205"/>
      <c r="AG188" s="205"/>
      <c r="AH188" s="205"/>
      <c r="AI188" s="209"/>
      <c r="AJ188" s="205"/>
      <c r="AK188" s="205">
        <f t="shared" si="1523"/>
        <v>0</v>
      </c>
      <c r="AL188" s="205" t="e">
        <f>SUM(#REF!,M188,U188,AC188,AD188:AH188)</f>
        <v>#REF!</v>
      </c>
      <c r="AM188" s="120"/>
      <c r="AN188" s="120"/>
      <c r="AO188" s="120"/>
      <c r="AP188" s="120"/>
      <c r="AQ188" s="120"/>
      <c r="AR188" s="209"/>
      <c r="AS188" s="205"/>
      <c r="AT188" s="205">
        <f t="shared" si="1524"/>
        <v>0</v>
      </c>
      <c r="AU188" s="120"/>
      <c r="AV188" s="120"/>
      <c r="AW188" s="120"/>
      <c r="AX188" s="120"/>
      <c r="AY188" s="120"/>
      <c r="AZ188" s="209"/>
      <c r="BA188" s="205"/>
      <c r="BB188" s="205">
        <f t="shared" si="1525"/>
        <v>0</v>
      </c>
      <c r="BC188" s="120"/>
      <c r="BD188" s="120"/>
      <c r="BE188" s="120"/>
      <c r="BF188" s="120"/>
      <c r="BG188" s="120"/>
      <c r="BH188" s="209"/>
      <c r="BI188" s="205"/>
      <c r="BJ188" s="205">
        <f t="shared" si="1526"/>
        <v>0</v>
      </c>
      <c r="BK188" s="120"/>
      <c r="BL188" s="120"/>
      <c r="BM188" s="120"/>
      <c r="BN188" s="120"/>
      <c r="BO188" s="205"/>
      <c r="BP188" s="209"/>
      <c r="BQ188" s="205"/>
      <c r="BR188" s="205">
        <f t="shared" si="1527"/>
        <v>0</v>
      </c>
      <c r="BS188" s="205">
        <f t="shared" si="1427"/>
        <v>0</v>
      </c>
      <c r="BT188" s="250">
        <v>2000</v>
      </c>
      <c r="BU188" s="250">
        <v>2000</v>
      </c>
      <c r="BV188" s="120"/>
      <c r="BW188" s="120"/>
      <c r="BX188" s="120"/>
      <c r="BY188" s="209"/>
      <c r="BZ188" s="205"/>
      <c r="CA188" s="205">
        <f t="shared" si="1528"/>
        <v>4000</v>
      </c>
      <c r="CB188" s="120"/>
      <c r="CC188" s="120"/>
      <c r="CD188" s="120"/>
      <c r="CE188" s="120"/>
      <c r="CF188" s="120"/>
      <c r="CG188" s="209"/>
      <c r="CH188" s="205"/>
      <c r="CI188" s="205">
        <f t="shared" si="1529"/>
        <v>0</v>
      </c>
      <c r="CJ188" s="120"/>
      <c r="CK188" s="120"/>
      <c r="CL188" s="120"/>
      <c r="CM188" s="120"/>
      <c r="CN188" s="120"/>
      <c r="CO188" s="209"/>
      <c r="CP188" s="205"/>
      <c r="CQ188" s="205">
        <f t="shared" si="1530"/>
        <v>0</v>
      </c>
      <c r="CR188" s="120"/>
      <c r="CS188" s="120"/>
      <c r="CT188" s="120"/>
      <c r="CU188" s="120"/>
      <c r="CV188" s="120"/>
      <c r="CW188" s="209"/>
      <c r="CX188" s="205"/>
      <c r="CY188" s="205">
        <f t="shared" si="1531"/>
        <v>0</v>
      </c>
      <c r="CZ188" s="120"/>
      <c r="DA188" s="120"/>
      <c r="DB188" s="120"/>
      <c r="DC188" s="205"/>
      <c r="DD188" s="205"/>
      <c r="DE188" s="209"/>
      <c r="DF188" s="205"/>
      <c r="DG188" s="205">
        <f t="shared" si="1532"/>
        <v>0</v>
      </c>
      <c r="DH188" s="205">
        <f t="shared" si="1428"/>
        <v>4000</v>
      </c>
      <c r="DI188" s="250">
        <v>2000</v>
      </c>
      <c r="DJ188" s="120"/>
      <c r="DK188" s="120"/>
      <c r="DL188" s="120"/>
      <c r="DM188" s="120"/>
      <c r="DN188" s="209"/>
      <c r="DO188" s="205"/>
      <c r="DP188" s="205">
        <f t="shared" si="1432"/>
        <v>2000</v>
      </c>
      <c r="DQ188" s="250">
        <v>2000</v>
      </c>
      <c r="DR188" s="120"/>
      <c r="DS188" s="120"/>
      <c r="DT188" s="120"/>
      <c r="DU188" s="120"/>
      <c r="DV188" s="209"/>
      <c r="DW188" s="205"/>
      <c r="DX188" s="205">
        <f t="shared" si="1433"/>
        <v>2000</v>
      </c>
      <c r="DY188" s="250">
        <v>2000</v>
      </c>
      <c r="DZ188" s="120"/>
      <c r="EA188" s="250">
        <v>2000</v>
      </c>
      <c r="EB188" s="120"/>
      <c r="EC188" s="120"/>
      <c r="ED188" s="209"/>
      <c r="EE188" s="205"/>
      <c r="EF188" s="205">
        <f t="shared" si="1434"/>
        <v>4000</v>
      </c>
      <c r="EG188" s="250">
        <v>2000</v>
      </c>
      <c r="EH188" s="250">
        <v>2000</v>
      </c>
      <c r="EI188" s="120"/>
      <c r="EJ188" s="205"/>
      <c r="EK188" s="205"/>
      <c r="EL188" s="209"/>
      <c r="EM188" s="205"/>
      <c r="EN188" s="205">
        <f t="shared" si="1435"/>
        <v>4000</v>
      </c>
      <c r="EO188" s="205">
        <f t="shared" si="1429"/>
        <v>12000</v>
      </c>
      <c r="EP188" s="250">
        <v>2000</v>
      </c>
      <c r="EQ188" s="250">
        <v>2000</v>
      </c>
      <c r="ER188" s="120"/>
      <c r="ES188" s="120"/>
      <c r="ET188" s="120"/>
      <c r="EU188" s="209"/>
      <c r="EV188" s="205"/>
      <c r="EW188" s="205">
        <f t="shared" si="1436"/>
        <v>4000</v>
      </c>
      <c r="EX188" s="250">
        <v>2000</v>
      </c>
      <c r="EY188" s="250">
        <v>2000</v>
      </c>
      <c r="EZ188" s="120"/>
      <c r="FA188" s="120"/>
      <c r="FB188" s="120"/>
      <c r="FC188" s="209"/>
      <c r="FD188" s="205"/>
      <c r="FE188" s="205">
        <f t="shared" si="1437"/>
        <v>4000</v>
      </c>
      <c r="FF188" s="195">
        <v>2000</v>
      </c>
      <c r="FG188" s="195">
        <v>2000</v>
      </c>
      <c r="FH188" s="120"/>
      <c r="FI188" s="120"/>
      <c r="FJ188" s="120"/>
      <c r="FK188" s="209"/>
      <c r="FL188" s="205"/>
      <c r="FM188" s="205">
        <f t="shared" si="1438"/>
        <v>4000</v>
      </c>
      <c r="FN188" s="124">
        <v>2000</v>
      </c>
      <c r="FO188" s="120"/>
      <c r="FP188" s="120"/>
      <c r="FQ188" s="120"/>
      <c r="FR188" s="205"/>
      <c r="FS188" s="209"/>
      <c r="FT188" s="205"/>
      <c r="FU188" s="205">
        <f t="shared" si="1439"/>
        <v>2000</v>
      </c>
      <c r="FV188" s="205">
        <f t="shared" si="1430"/>
        <v>14000</v>
      </c>
      <c r="FW188" s="201">
        <v>2000</v>
      </c>
      <c r="FX188" s="120"/>
      <c r="FY188" s="120"/>
      <c r="FZ188" s="120"/>
      <c r="GA188" s="120"/>
      <c r="GB188" s="209"/>
      <c r="GC188" s="205"/>
      <c r="GD188" s="205">
        <f t="shared" si="1440"/>
        <v>2000</v>
      </c>
      <c r="GE188" s="250">
        <v>2000</v>
      </c>
      <c r="GF188" s="120"/>
      <c r="GG188" s="120"/>
      <c r="GH188" s="120"/>
      <c r="GI188" s="120"/>
      <c r="GJ188" s="209"/>
      <c r="GK188" s="205"/>
      <c r="GL188" s="205">
        <f t="shared" si="1441"/>
        <v>2000</v>
      </c>
      <c r="GM188" s="120"/>
      <c r="GN188" s="120"/>
      <c r="GO188" s="120"/>
      <c r="GP188" s="120"/>
      <c r="GQ188" s="120"/>
      <c r="GR188" s="209"/>
      <c r="GS188" s="205"/>
      <c r="GT188" s="205">
        <f t="shared" si="1442"/>
        <v>0</v>
      </c>
      <c r="GU188" s="120"/>
      <c r="GV188" s="120"/>
      <c r="GW188" s="120"/>
      <c r="GX188" s="120"/>
      <c r="GY188" s="120"/>
      <c r="GZ188" s="209"/>
      <c r="HA188" s="205"/>
      <c r="HB188" s="205">
        <f t="shared" si="1443"/>
        <v>0</v>
      </c>
      <c r="HC188" s="120"/>
      <c r="HD188" s="120"/>
      <c r="HE188" s="120"/>
      <c r="HF188" s="120"/>
      <c r="HG188" s="120"/>
      <c r="HH188" s="209"/>
      <c r="HI188" s="205"/>
      <c r="HJ188" s="205">
        <f t="shared" si="1444"/>
        <v>0</v>
      </c>
      <c r="HK188" s="205">
        <f t="shared" si="1431"/>
        <v>4000</v>
      </c>
      <c r="HL188" s="124"/>
      <c r="HM188" s="123">
        <v>1500</v>
      </c>
      <c r="HN188" s="120"/>
      <c r="HO188" s="120"/>
      <c r="HP188" s="120"/>
      <c r="HQ188" s="205"/>
      <c r="HR188" s="205"/>
      <c r="HS188" s="205">
        <f t="shared" si="1445"/>
        <v>1500</v>
      </c>
      <c r="HT188" s="120"/>
      <c r="HU188" s="120"/>
      <c r="HV188" s="120"/>
      <c r="HW188" s="120"/>
      <c r="HX188" s="120"/>
      <c r="HY188" s="205"/>
      <c r="HZ188" s="205"/>
      <c r="IA188" s="205">
        <f t="shared" si="1446"/>
        <v>0</v>
      </c>
      <c r="IB188" s="120"/>
      <c r="IC188" s="120"/>
      <c r="ID188" s="120"/>
      <c r="IE188" s="120"/>
      <c r="IF188" s="120"/>
      <c r="IG188" s="205"/>
      <c r="IH188" s="205"/>
      <c r="II188" s="205">
        <f t="shared" si="1447"/>
        <v>0</v>
      </c>
      <c r="IJ188" s="120"/>
      <c r="IK188" s="120"/>
      <c r="IL188" s="120"/>
      <c r="IM188" s="120"/>
      <c r="IN188" s="120"/>
      <c r="IO188" s="205"/>
      <c r="IP188" s="205"/>
      <c r="IQ188" s="205">
        <f t="shared" si="1448"/>
        <v>0</v>
      </c>
      <c r="IR188" s="205">
        <f t="shared" si="1449"/>
        <v>1500</v>
      </c>
      <c r="IS188" s="120"/>
      <c r="IT188" s="120"/>
      <c r="IU188" s="120"/>
      <c r="IV188" s="120"/>
      <c r="IW188" s="120"/>
      <c r="IX188" s="205"/>
      <c r="IY188" s="205"/>
      <c r="IZ188" s="205">
        <f t="shared" si="1450"/>
        <v>0</v>
      </c>
      <c r="JA188" s="120"/>
      <c r="JB188" s="120"/>
      <c r="JC188" s="120"/>
      <c r="JD188" s="120"/>
      <c r="JE188" s="120"/>
      <c r="JF188" s="205"/>
      <c r="JG188" s="205"/>
      <c r="JH188" s="205">
        <f t="shared" si="1451"/>
        <v>0</v>
      </c>
      <c r="JI188" s="120"/>
      <c r="JJ188" s="120"/>
      <c r="JK188" s="120"/>
      <c r="JL188" s="120"/>
      <c r="JM188" s="120"/>
      <c r="JN188" s="205"/>
      <c r="JO188" s="205"/>
      <c r="JP188" s="205">
        <f t="shared" si="1452"/>
        <v>0</v>
      </c>
      <c r="JQ188" s="120"/>
      <c r="JR188" s="120"/>
      <c r="JS188" s="120"/>
      <c r="JT188" s="120"/>
      <c r="JU188" s="120"/>
      <c r="JV188" s="205"/>
      <c r="JW188" s="205"/>
      <c r="JX188" s="205">
        <f t="shared" si="1453"/>
        <v>0</v>
      </c>
      <c r="JY188" s="205">
        <f t="shared" si="1454"/>
        <v>0</v>
      </c>
      <c r="JZ188" s="120"/>
      <c r="KA188" s="120"/>
      <c r="KB188" s="120"/>
      <c r="KC188" s="120"/>
      <c r="KD188" s="120"/>
      <c r="KE188" s="205"/>
      <c r="KF188" s="205"/>
      <c r="KG188" s="205">
        <f t="shared" si="1455"/>
        <v>0</v>
      </c>
      <c r="KH188" s="120"/>
      <c r="KI188" s="120"/>
      <c r="KJ188" s="120"/>
      <c r="KK188" s="120"/>
      <c r="KL188" s="120"/>
      <c r="KM188" s="205"/>
      <c r="KN188" s="205"/>
      <c r="KO188" s="205">
        <f t="shared" si="1456"/>
        <v>0</v>
      </c>
      <c r="KP188" s="120"/>
      <c r="KQ188" s="120"/>
      <c r="KR188" s="120"/>
      <c r="KS188" s="120"/>
      <c r="KT188" s="120"/>
      <c r="KU188" s="205"/>
      <c r="KV188" s="205"/>
      <c r="KW188" s="205">
        <f t="shared" si="1457"/>
        <v>0</v>
      </c>
      <c r="KX188" s="120"/>
      <c r="KY188" s="120"/>
      <c r="KZ188" s="120"/>
      <c r="LA188" s="120"/>
      <c r="LB188" s="120"/>
      <c r="LC188" s="205"/>
      <c r="LD188" s="205"/>
      <c r="LE188" s="205">
        <f t="shared" si="1458"/>
        <v>0</v>
      </c>
      <c r="LF188" s="205"/>
      <c r="LG188" s="120"/>
      <c r="LH188" s="120"/>
      <c r="LI188" s="120"/>
      <c r="LJ188" s="120"/>
      <c r="LK188" s="205"/>
      <c r="LL188" s="205"/>
      <c r="LM188" s="205">
        <f t="shared" si="1459"/>
        <v>0</v>
      </c>
      <c r="LN188" s="205">
        <f t="shared" si="1460"/>
        <v>0</v>
      </c>
      <c r="LO188" s="205"/>
      <c r="LP188" s="120"/>
      <c r="LQ188" s="120"/>
      <c r="LR188" s="120"/>
      <c r="LS188" s="205"/>
      <c r="LT188" s="205"/>
      <c r="LU188" s="205"/>
      <c r="LV188" s="205">
        <f t="shared" si="1461"/>
        <v>0</v>
      </c>
      <c r="LW188" s="120"/>
      <c r="LX188" s="120"/>
      <c r="LY188" s="120"/>
      <c r="LZ188" s="120"/>
      <c r="MA188" s="120"/>
      <c r="MB188" s="205"/>
      <c r="MC188" s="205"/>
      <c r="MD188" s="205">
        <f t="shared" si="1462"/>
        <v>0</v>
      </c>
      <c r="ME188" s="120"/>
      <c r="MF188" s="120"/>
      <c r="MG188" s="120"/>
      <c r="MH188" s="120"/>
      <c r="MI188" s="205"/>
      <c r="MJ188" s="205"/>
      <c r="MK188" s="205"/>
      <c r="ML188" s="205">
        <f t="shared" si="1463"/>
        <v>0</v>
      </c>
      <c r="MM188" s="120"/>
      <c r="MN188" s="120"/>
      <c r="MO188" s="120"/>
      <c r="MP188" s="120"/>
      <c r="MQ188" s="120"/>
      <c r="MR188" s="205"/>
      <c r="MS188" s="205"/>
      <c r="MT188" s="205">
        <f t="shared" si="1464"/>
        <v>0</v>
      </c>
      <c r="MU188" s="205">
        <f t="shared" si="1465"/>
        <v>0</v>
      </c>
      <c r="MV188" s="120"/>
      <c r="MW188" s="120"/>
      <c r="MX188" s="120"/>
      <c r="MY188" s="120"/>
      <c r="MZ188" s="120"/>
      <c r="NA188" s="205"/>
      <c r="NB188" s="205"/>
      <c r="NC188" s="205">
        <f t="shared" si="1466"/>
        <v>0</v>
      </c>
      <c r="ND188" s="120"/>
      <c r="NE188" s="120"/>
      <c r="NF188" s="120"/>
      <c r="NG188" s="120"/>
      <c r="NH188" s="120"/>
      <c r="NI188" s="205"/>
      <c r="NJ188" s="205"/>
      <c r="NK188" s="205">
        <f t="shared" si="1467"/>
        <v>0</v>
      </c>
      <c r="NL188" s="120"/>
      <c r="NM188" s="120"/>
      <c r="NN188" s="120"/>
      <c r="NO188" s="120"/>
      <c r="NP188" s="120"/>
      <c r="NQ188" s="205"/>
      <c r="NR188" s="205"/>
      <c r="NS188" s="205">
        <f t="shared" si="1468"/>
        <v>0</v>
      </c>
      <c r="NT188" s="120"/>
      <c r="NU188" s="120"/>
      <c r="NV188" s="120"/>
      <c r="NW188" s="120"/>
      <c r="NX188" s="120"/>
      <c r="NY188" s="205"/>
      <c r="NZ188" s="205"/>
      <c r="OA188" s="205">
        <f t="shared" si="1469"/>
        <v>0</v>
      </c>
      <c r="OB188" s="205">
        <f t="shared" si="1470"/>
        <v>0</v>
      </c>
      <c r="OC188" s="120"/>
      <c r="OD188" s="120"/>
      <c r="OE188" s="120"/>
      <c r="OF188" s="120"/>
      <c r="OG188" s="120"/>
      <c r="OH188" s="205"/>
      <c r="OI188" s="205"/>
      <c r="OJ188" s="205">
        <f t="shared" si="1471"/>
        <v>0</v>
      </c>
      <c r="OK188" s="120"/>
      <c r="OL188" s="120"/>
      <c r="OM188" s="120"/>
      <c r="ON188" s="120"/>
      <c r="OO188" s="120"/>
      <c r="OP188" s="205"/>
      <c r="OQ188" s="205"/>
      <c r="OR188" s="205">
        <f t="shared" si="1472"/>
        <v>0</v>
      </c>
      <c r="OS188" s="120"/>
      <c r="OT188" s="120"/>
      <c r="OU188" s="120"/>
      <c r="OV188" s="120"/>
      <c r="OW188" s="120"/>
      <c r="OX188" s="205"/>
      <c r="OY188" s="205"/>
      <c r="OZ188" s="205">
        <f t="shared" si="1473"/>
        <v>0</v>
      </c>
      <c r="PA188" s="120"/>
      <c r="PB188" s="120"/>
      <c r="PC188" s="120"/>
      <c r="PD188" s="205"/>
      <c r="PE188" s="217"/>
      <c r="PF188" s="205"/>
      <c r="PG188" s="205"/>
      <c r="PH188" s="205">
        <f t="shared" si="1474"/>
        <v>0</v>
      </c>
      <c r="PI188" s="120"/>
      <c r="PJ188" s="120"/>
      <c r="PK188" s="120"/>
      <c r="PL188" s="205"/>
      <c r="PM188" s="217"/>
      <c r="PN188" s="205"/>
      <c r="PO188" s="205"/>
      <c r="PP188" s="205">
        <f t="shared" si="1475"/>
        <v>0</v>
      </c>
      <c r="PQ188" s="205">
        <f t="shared" si="1476"/>
        <v>0</v>
      </c>
      <c r="PR188" s="207"/>
      <c r="PS188" s="207"/>
      <c r="PT188" s="207"/>
      <c r="PU188" s="207"/>
      <c r="PV188" s="207"/>
      <c r="PW188" s="272"/>
      <c r="PX188" s="272"/>
      <c r="PY188" s="205">
        <f t="shared" si="1477"/>
        <v>0</v>
      </c>
      <c r="PZ188" s="207"/>
      <c r="QA188" s="207"/>
      <c r="QB188" s="207"/>
      <c r="QC188" s="207"/>
      <c r="QD188" s="207"/>
      <c r="QE188" s="272"/>
      <c r="QF188" s="272"/>
      <c r="QG188" s="205">
        <f t="shared" si="1478"/>
        <v>0</v>
      </c>
      <c r="QH188" s="207"/>
      <c r="QI188" s="207"/>
      <c r="QJ188" s="294"/>
      <c r="QK188" s="207"/>
      <c r="QL188" s="207"/>
      <c r="QM188" s="272"/>
      <c r="QN188" s="272"/>
      <c r="QO188" s="205">
        <f t="shared" si="1479"/>
        <v>0</v>
      </c>
      <c r="QP188" s="207"/>
      <c r="QQ188" s="207"/>
      <c r="QR188" s="207"/>
      <c r="QS188" s="207"/>
      <c r="QT188" s="207"/>
      <c r="QU188" s="272"/>
      <c r="QV188" s="272"/>
      <c r="QW188" s="205">
        <f t="shared" si="1480"/>
        <v>0</v>
      </c>
      <c r="QX188" s="205">
        <f t="shared" si="1481"/>
        <v>0</v>
      </c>
      <c r="QY188" s="207"/>
      <c r="QZ188" s="207"/>
      <c r="RA188" s="207"/>
      <c r="RB188" s="207"/>
      <c r="RC188" s="207"/>
      <c r="RD188" s="272"/>
      <c r="RE188" s="272"/>
      <c r="RF188" s="205">
        <f t="shared" si="1482"/>
        <v>0</v>
      </c>
      <c r="RG188" s="207"/>
      <c r="RH188" s="207"/>
      <c r="RI188" s="207"/>
      <c r="RJ188" s="207"/>
      <c r="RK188" s="207"/>
      <c r="RL188" s="272"/>
      <c r="RM188" s="272"/>
      <c r="RN188" s="205">
        <f t="shared" si="1483"/>
        <v>0</v>
      </c>
      <c r="RO188" s="272"/>
      <c r="RP188" s="272"/>
      <c r="RQ188" s="272"/>
      <c r="RR188" s="272"/>
      <c r="RS188" s="272"/>
      <c r="RT188" s="272"/>
      <c r="RU188" s="272"/>
      <c r="RV188" s="205">
        <f t="shared" si="1484"/>
        <v>0</v>
      </c>
      <c r="RW188" s="207"/>
      <c r="RX188" s="207"/>
      <c r="RY188" s="207"/>
      <c r="RZ188" s="207"/>
      <c r="SA188" s="272"/>
      <c r="SB188" s="272"/>
      <c r="SC188" s="272"/>
      <c r="SD188" s="205">
        <f t="shared" si="1485"/>
        <v>0</v>
      </c>
      <c r="SE188" s="205">
        <f t="shared" si="1486"/>
        <v>0</v>
      </c>
      <c r="SF188" s="207"/>
      <c r="SG188" s="207"/>
      <c r="SH188" s="207"/>
      <c r="SI188" s="207"/>
      <c r="SJ188" s="207"/>
      <c r="SK188" s="272"/>
      <c r="SL188" s="272"/>
      <c r="SM188" s="205">
        <f t="shared" si="1487"/>
        <v>0</v>
      </c>
      <c r="SN188" s="207"/>
      <c r="SO188" s="207"/>
      <c r="SP188" s="207"/>
      <c r="SQ188" s="207"/>
      <c r="SR188" s="207"/>
      <c r="SS188" s="272"/>
      <c r="ST188" s="272"/>
      <c r="SU188" s="205">
        <f t="shared" si="1488"/>
        <v>0</v>
      </c>
      <c r="SV188" s="207"/>
      <c r="SW188" s="207"/>
      <c r="SX188" s="207"/>
      <c r="SY188" s="207"/>
      <c r="SZ188" s="207"/>
      <c r="TA188" s="272"/>
      <c r="TB188" s="272"/>
      <c r="TC188" s="205">
        <f t="shared" si="1489"/>
        <v>0</v>
      </c>
      <c r="TD188" s="207"/>
      <c r="TE188" s="207"/>
      <c r="TF188" s="207"/>
      <c r="TG188" s="207"/>
      <c r="TH188" s="207"/>
      <c r="TI188" s="272"/>
      <c r="TJ188" s="272"/>
      <c r="TK188" s="205">
        <f t="shared" si="1490"/>
        <v>0</v>
      </c>
      <c r="TL188" s="207"/>
      <c r="TM188" s="207"/>
      <c r="TN188" s="207"/>
      <c r="TO188" s="207"/>
      <c r="TP188" s="272"/>
      <c r="TQ188" s="272"/>
      <c r="TR188" s="272"/>
      <c r="TS188" s="205">
        <f t="shared" si="1491"/>
        <v>0</v>
      </c>
      <c r="TT188" s="205">
        <f t="shared" si="1492"/>
        <v>0</v>
      </c>
      <c r="TU188" s="272"/>
      <c r="TV188" s="207"/>
      <c r="TW188" s="207"/>
      <c r="TX188" s="207"/>
      <c r="TY188" s="207"/>
      <c r="TZ188" s="272"/>
      <c r="UA188" s="272"/>
      <c r="UB188" s="205">
        <f t="shared" si="1493"/>
        <v>0</v>
      </c>
      <c r="UC188" s="207"/>
      <c r="UD188" s="207"/>
      <c r="UE188" s="207"/>
      <c r="UF188" s="207"/>
      <c r="UG188" s="207"/>
      <c r="UH188" s="272"/>
      <c r="UI188" s="272"/>
      <c r="UJ188" s="205">
        <f t="shared" si="1494"/>
        <v>0</v>
      </c>
      <c r="UK188" s="207"/>
      <c r="UL188" s="207"/>
      <c r="UM188" s="207"/>
      <c r="UN188" s="207"/>
      <c r="UO188" s="207"/>
      <c r="UP188" s="272"/>
      <c r="UQ188" s="272"/>
      <c r="UR188" s="205">
        <f t="shared" si="1495"/>
        <v>0</v>
      </c>
      <c r="US188" s="207"/>
      <c r="UT188" s="207"/>
      <c r="UU188" s="207"/>
      <c r="UV188" s="207"/>
      <c r="UW188" s="272"/>
      <c r="UX188" s="272"/>
      <c r="UY188" s="272"/>
      <c r="UZ188" s="205">
        <f t="shared" si="1496"/>
        <v>0</v>
      </c>
      <c r="VA188" s="205">
        <f t="shared" si="1497"/>
        <v>0</v>
      </c>
      <c r="VB188" s="207"/>
      <c r="VC188" s="207"/>
      <c r="VD188" s="207"/>
      <c r="VE188" s="207"/>
      <c r="VF188" s="207"/>
      <c r="VG188" s="272"/>
      <c r="VH188" s="272"/>
      <c r="VI188" s="205">
        <f t="shared" si="1498"/>
        <v>0</v>
      </c>
      <c r="VJ188" s="207"/>
      <c r="VK188" s="207"/>
      <c r="VL188" s="207"/>
      <c r="VM188" s="207"/>
      <c r="VN188" s="207"/>
      <c r="VO188" s="272"/>
      <c r="VP188" s="272"/>
      <c r="VQ188" s="205">
        <f t="shared" si="1499"/>
        <v>0</v>
      </c>
      <c r="VR188" s="207"/>
      <c r="VS188" s="207"/>
      <c r="VT188" s="207"/>
      <c r="VU188" s="207"/>
      <c r="VV188" s="207"/>
      <c r="VW188" s="272"/>
      <c r="VX188" s="272"/>
      <c r="VY188" s="205">
        <f t="shared" si="1500"/>
        <v>0</v>
      </c>
      <c r="VZ188" s="207"/>
      <c r="WA188" s="207"/>
      <c r="WB188" s="207"/>
      <c r="WC188" s="207"/>
      <c r="WD188" s="207"/>
      <c r="WE188" s="272"/>
      <c r="WF188" s="272"/>
      <c r="WG188" s="205">
        <f t="shared" si="1501"/>
        <v>0</v>
      </c>
      <c r="WH188" s="205">
        <f t="shared" si="1502"/>
        <v>0</v>
      </c>
      <c r="WI188" s="207"/>
      <c r="WJ188" s="207"/>
      <c r="WK188" s="207"/>
      <c r="WL188" s="207"/>
      <c r="WM188" s="207"/>
      <c r="WN188" s="272"/>
      <c r="WO188" s="272"/>
      <c r="WP188" s="205">
        <f t="shared" si="1503"/>
        <v>0</v>
      </c>
      <c r="WQ188" s="207"/>
      <c r="WR188" s="207"/>
      <c r="WS188" s="207"/>
      <c r="WT188" s="207"/>
      <c r="WU188" s="207"/>
      <c r="WV188" s="272"/>
      <c r="WW188" s="272"/>
      <c r="WX188" s="205">
        <f t="shared" si="1504"/>
        <v>0</v>
      </c>
      <c r="WY188" s="207"/>
      <c r="WZ188" s="207"/>
      <c r="XA188" s="207"/>
      <c r="XB188" s="207"/>
      <c r="XC188" s="272"/>
      <c r="XD188" s="272"/>
      <c r="XE188" s="272"/>
      <c r="XF188" s="205">
        <f t="shared" si="1505"/>
        <v>0</v>
      </c>
      <c r="XG188" s="207"/>
      <c r="XH188" s="207"/>
      <c r="XI188" s="207"/>
      <c r="XJ188" s="207"/>
      <c r="XK188" s="207"/>
      <c r="XL188" s="272"/>
      <c r="XM188" s="272"/>
      <c r="XN188" s="205">
        <f t="shared" si="1506"/>
        <v>0</v>
      </c>
      <c r="XO188" s="207"/>
      <c r="XP188" s="207"/>
      <c r="XQ188" s="207"/>
      <c r="XR188" s="207"/>
      <c r="XS188" s="207"/>
      <c r="XT188" s="272"/>
      <c r="XU188" s="272"/>
      <c r="XV188" s="205">
        <f t="shared" si="1507"/>
        <v>0</v>
      </c>
      <c r="XW188" s="205">
        <f t="shared" si="1508"/>
        <v>0</v>
      </c>
      <c r="XX188" s="207"/>
      <c r="XY188" s="207"/>
      <c r="XZ188" s="207"/>
      <c r="YA188" s="207"/>
      <c r="YB188" s="207"/>
      <c r="YC188" s="272"/>
      <c r="YD188" s="272"/>
      <c r="YE188" s="205">
        <f t="shared" si="1509"/>
        <v>0</v>
      </c>
      <c r="YF188" s="207"/>
      <c r="YG188" s="207"/>
      <c r="YH188" s="207"/>
      <c r="YI188" s="207"/>
      <c r="YJ188" s="207"/>
      <c r="YK188" s="272"/>
      <c r="YL188" s="272"/>
      <c r="YM188" s="205">
        <f t="shared" si="1510"/>
        <v>0</v>
      </c>
      <c r="YN188" s="207"/>
      <c r="YO188" s="207"/>
      <c r="YP188" s="207"/>
      <c r="YQ188" s="207"/>
      <c r="YR188" s="207"/>
      <c r="YS188" s="272"/>
      <c r="YT188" s="272"/>
      <c r="YU188" s="205">
        <f t="shared" si="1511"/>
        <v>0</v>
      </c>
      <c r="YV188" s="207"/>
      <c r="YW188" s="207"/>
      <c r="YX188" s="207"/>
      <c r="YY188" s="207"/>
      <c r="YZ188" s="207"/>
      <c r="ZA188" s="272"/>
      <c r="ZB188" s="272"/>
      <c r="ZC188" s="205">
        <f t="shared" si="1512"/>
        <v>0</v>
      </c>
      <c r="ZD188" s="205">
        <f t="shared" si="1513"/>
        <v>0</v>
      </c>
      <c r="ZE188" s="207"/>
      <c r="ZF188" s="207"/>
      <c r="ZG188" s="207"/>
      <c r="ZH188" s="207"/>
      <c r="ZI188" s="207"/>
      <c r="ZJ188" s="272"/>
      <c r="ZK188" s="272"/>
      <c r="ZL188" s="205">
        <f t="shared" si="1514"/>
        <v>0</v>
      </c>
      <c r="ZM188" s="207"/>
      <c r="ZN188" s="207"/>
      <c r="ZO188" s="207"/>
      <c r="ZP188" s="207"/>
      <c r="ZQ188" s="207"/>
      <c r="ZR188" s="272"/>
      <c r="ZS188" s="272"/>
      <c r="ZT188" s="205">
        <f t="shared" si="1515"/>
        <v>0</v>
      </c>
      <c r="ZU188" s="207"/>
      <c r="ZV188" s="207"/>
      <c r="ZW188" s="207"/>
      <c r="ZX188" s="207"/>
      <c r="ZY188" s="207"/>
      <c r="ZZ188" s="272"/>
      <c r="AAA188" s="272"/>
      <c r="AAB188" s="205">
        <f t="shared" si="1516"/>
        <v>0</v>
      </c>
      <c r="AAC188" s="207"/>
      <c r="AAD188" s="207"/>
      <c r="AAE188" s="207"/>
      <c r="AAF188" s="207"/>
      <c r="AAG188" s="207"/>
      <c r="AAH188" s="272"/>
      <c r="AAI188" s="272"/>
      <c r="AAJ188" s="205">
        <f t="shared" si="1517"/>
        <v>0</v>
      </c>
      <c r="AAK188" s="207"/>
      <c r="AAL188" s="207"/>
      <c r="AAM188" s="207"/>
      <c r="AAN188" s="207"/>
      <c r="AAO188" s="207"/>
      <c r="AAP188" s="272"/>
      <c r="AAQ188" s="272"/>
      <c r="AAR188" s="205">
        <f t="shared" si="1518"/>
        <v>0</v>
      </c>
      <c r="AAS188" s="205">
        <f t="shared" si="1519"/>
        <v>0</v>
      </c>
    </row>
    <row r="189" spans="1:721" s="127" customFormat="1" ht="69.95" customHeight="1">
      <c r="A189" s="128"/>
      <c r="B189" s="136">
        <v>3621101602</v>
      </c>
      <c r="C189" s="334" t="s">
        <v>513</v>
      </c>
      <c r="D189" s="188" t="s">
        <v>570</v>
      </c>
      <c r="E189" s="130" t="s">
        <v>4</v>
      </c>
      <c r="F189" s="120"/>
      <c r="G189" s="120"/>
      <c r="H189" s="120"/>
      <c r="I189" s="120"/>
      <c r="J189" s="120"/>
      <c r="K189" s="209"/>
      <c r="L189" s="205"/>
      <c r="M189" s="205">
        <f t="shared" si="1520"/>
        <v>0</v>
      </c>
      <c r="N189" s="120"/>
      <c r="O189" s="120"/>
      <c r="P189" s="120"/>
      <c r="Q189" s="120"/>
      <c r="R189" s="120"/>
      <c r="S189" s="209"/>
      <c r="T189" s="205"/>
      <c r="U189" s="205">
        <f t="shared" si="1521"/>
        <v>0</v>
      </c>
      <c r="V189" s="120"/>
      <c r="W189" s="120"/>
      <c r="X189" s="120"/>
      <c r="Y189" s="120"/>
      <c r="Z189" s="120"/>
      <c r="AA189" s="209"/>
      <c r="AB189" s="205"/>
      <c r="AC189" s="205">
        <f t="shared" si="1522"/>
        <v>0</v>
      </c>
      <c r="AD189" s="205"/>
      <c r="AE189" s="205"/>
      <c r="AF189" s="205"/>
      <c r="AG189" s="205"/>
      <c r="AH189" s="205"/>
      <c r="AI189" s="209"/>
      <c r="AJ189" s="205"/>
      <c r="AK189" s="205">
        <f t="shared" si="1523"/>
        <v>0</v>
      </c>
      <c r="AL189" s="205" t="e">
        <f>SUM(#REF!,M189,U189,AC189,AD189:AH189)</f>
        <v>#REF!</v>
      </c>
      <c r="AM189" s="120"/>
      <c r="AN189" s="120"/>
      <c r="AO189" s="120"/>
      <c r="AP189" s="120"/>
      <c r="AQ189" s="120"/>
      <c r="AR189" s="209"/>
      <c r="AS189" s="205"/>
      <c r="AT189" s="205">
        <f t="shared" si="1524"/>
        <v>0</v>
      </c>
      <c r="AU189" s="120"/>
      <c r="AV189" s="120"/>
      <c r="AW189" s="120"/>
      <c r="AX189" s="120"/>
      <c r="AY189" s="120"/>
      <c r="AZ189" s="209"/>
      <c r="BA189" s="205"/>
      <c r="BB189" s="205">
        <f t="shared" si="1525"/>
        <v>0</v>
      </c>
      <c r="BC189" s="120"/>
      <c r="BD189" s="120"/>
      <c r="BE189" s="120"/>
      <c r="BF189" s="120"/>
      <c r="BG189" s="120"/>
      <c r="BH189" s="209"/>
      <c r="BI189" s="205"/>
      <c r="BJ189" s="205">
        <f t="shared" si="1526"/>
        <v>0</v>
      </c>
      <c r="BK189" s="120"/>
      <c r="BL189" s="120"/>
      <c r="BM189" s="120"/>
      <c r="BN189" s="120"/>
      <c r="BO189" s="205"/>
      <c r="BP189" s="209"/>
      <c r="BQ189" s="205"/>
      <c r="BR189" s="205">
        <f t="shared" si="1527"/>
        <v>0</v>
      </c>
      <c r="BS189" s="205">
        <f t="shared" si="1427"/>
        <v>0</v>
      </c>
      <c r="BT189" s="120"/>
      <c r="BU189" s="120"/>
      <c r="BV189" s="217">
        <v>420</v>
      </c>
      <c r="BW189" s="120"/>
      <c r="BX189" s="120"/>
      <c r="BY189" s="209"/>
      <c r="BZ189" s="205"/>
      <c r="CA189" s="205">
        <f t="shared" si="1528"/>
        <v>420</v>
      </c>
      <c r="CB189" s="120"/>
      <c r="CC189" s="120"/>
      <c r="CD189" s="120"/>
      <c r="CE189" s="120"/>
      <c r="CF189" s="120"/>
      <c r="CG189" s="209"/>
      <c r="CH189" s="205"/>
      <c r="CI189" s="205">
        <f t="shared" si="1529"/>
        <v>0</v>
      </c>
      <c r="CJ189" s="120"/>
      <c r="CK189" s="120"/>
      <c r="CL189" s="120"/>
      <c r="CM189" s="120"/>
      <c r="CN189" s="120"/>
      <c r="CO189" s="209"/>
      <c r="CP189" s="205"/>
      <c r="CQ189" s="205">
        <f t="shared" si="1530"/>
        <v>0</v>
      </c>
      <c r="CR189" s="120"/>
      <c r="CS189" s="120"/>
      <c r="CT189" s="120"/>
      <c r="CU189" s="120"/>
      <c r="CV189" s="120"/>
      <c r="CW189" s="209"/>
      <c r="CX189" s="205"/>
      <c r="CY189" s="205">
        <f t="shared" si="1531"/>
        <v>0</v>
      </c>
      <c r="CZ189" s="120"/>
      <c r="DA189" s="120"/>
      <c r="DB189" s="120"/>
      <c r="DC189" s="205"/>
      <c r="DD189" s="205"/>
      <c r="DE189" s="209"/>
      <c r="DF189" s="205"/>
      <c r="DG189" s="205">
        <f t="shared" si="1532"/>
        <v>0</v>
      </c>
      <c r="DH189" s="205">
        <f t="shared" si="1428"/>
        <v>420</v>
      </c>
      <c r="DI189" s="120"/>
      <c r="DJ189" s="120"/>
      <c r="DK189" s="120"/>
      <c r="DL189" s="120"/>
      <c r="DM189" s="120"/>
      <c r="DN189" s="209"/>
      <c r="DO189" s="205"/>
      <c r="DP189" s="205">
        <f t="shared" si="1432"/>
        <v>0</v>
      </c>
      <c r="DQ189" s="120"/>
      <c r="DR189" s="120"/>
      <c r="DS189" s="120"/>
      <c r="DT189" s="120"/>
      <c r="DU189" s="120"/>
      <c r="DV189" s="209"/>
      <c r="DW189" s="205"/>
      <c r="DX189" s="205">
        <f t="shared" si="1433"/>
        <v>0</v>
      </c>
      <c r="DY189" s="120"/>
      <c r="DZ189" s="120"/>
      <c r="EA189" s="120"/>
      <c r="EB189" s="120"/>
      <c r="EC189" s="120"/>
      <c r="ED189" s="209"/>
      <c r="EE189" s="205"/>
      <c r="EF189" s="205">
        <f t="shared" si="1434"/>
        <v>0</v>
      </c>
      <c r="EG189" s="120"/>
      <c r="EH189" s="120"/>
      <c r="EI189" s="120"/>
      <c r="EJ189" s="205"/>
      <c r="EK189" s="205"/>
      <c r="EL189" s="209"/>
      <c r="EM189" s="205"/>
      <c r="EN189" s="205">
        <f t="shared" si="1435"/>
        <v>0</v>
      </c>
      <c r="EO189" s="205">
        <f t="shared" si="1429"/>
        <v>0</v>
      </c>
      <c r="EP189" s="120"/>
      <c r="EQ189" s="120"/>
      <c r="ER189" s="120"/>
      <c r="ES189" s="120"/>
      <c r="ET189" s="120"/>
      <c r="EU189" s="209"/>
      <c r="EV189" s="205"/>
      <c r="EW189" s="205">
        <f t="shared" si="1436"/>
        <v>0</v>
      </c>
      <c r="EX189" s="120"/>
      <c r="EY189" s="120"/>
      <c r="EZ189" s="120"/>
      <c r="FA189" s="250">
        <v>1260</v>
      </c>
      <c r="FB189" s="120"/>
      <c r="FC189" s="209"/>
      <c r="FD189" s="205"/>
      <c r="FE189" s="205">
        <f t="shared" si="1437"/>
        <v>1260</v>
      </c>
      <c r="FF189" s="120"/>
      <c r="FG189" s="120"/>
      <c r="FH189" s="195">
        <v>2000</v>
      </c>
      <c r="FI189" s="195">
        <v>2000</v>
      </c>
      <c r="FJ189" s="120"/>
      <c r="FK189" s="209"/>
      <c r="FL189" s="205"/>
      <c r="FM189" s="205">
        <f t="shared" si="1438"/>
        <v>4000</v>
      </c>
      <c r="FN189" s="120"/>
      <c r="FO189" s="120"/>
      <c r="FP189" s="124">
        <v>2000</v>
      </c>
      <c r="FQ189" s="120"/>
      <c r="FR189" s="205"/>
      <c r="FS189" s="209"/>
      <c r="FT189" s="205"/>
      <c r="FU189" s="205">
        <f t="shared" si="1439"/>
        <v>2000</v>
      </c>
      <c r="FV189" s="205">
        <f t="shared" si="1430"/>
        <v>7260</v>
      </c>
      <c r="FW189" s="120"/>
      <c r="FX189" s="120"/>
      <c r="FY189" s="201">
        <v>2000</v>
      </c>
      <c r="FZ189" s="120"/>
      <c r="GA189" s="120"/>
      <c r="GB189" s="209"/>
      <c r="GC189" s="205"/>
      <c r="GD189" s="205">
        <f t="shared" si="1440"/>
        <v>2000</v>
      </c>
      <c r="GE189" s="120"/>
      <c r="GF189" s="120"/>
      <c r="GG189" s="250">
        <v>1116</v>
      </c>
      <c r="GH189" s="120"/>
      <c r="GI189" s="120"/>
      <c r="GJ189" s="209"/>
      <c r="GK189" s="205"/>
      <c r="GL189" s="205">
        <f t="shared" si="1441"/>
        <v>1116</v>
      </c>
      <c r="GM189" s="120"/>
      <c r="GN189" s="120"/>
      <c r="GO189" s="120"/>
      <c r="GP189" s="120"/>
      <c r="GQ189" s="120"/>
      <c r="GR189" s="209"/>
      <c r="GS189" s="205"/>
      <c r="GT189" s="205">
        <f t="shared" si="1442"/>
        <v>0</v>
      </c>
      <c r="GU189" s="120"/>
      <c r="GV189" s="120"/>
      <c r="GW189" s="120"/>
      <c r="GX189" s="120"/>
      <c r="GY189" s="120"/>
      <c r="GZ189" s="209"/>
      <c r="HA189" s="205"/>
      <c r="HB189" s="205">
        <f t="shared" si="1443"/>
        <v>0</v>
      </c>
      <c r="HC189" s="120"/>
      <c r="HD189" s="120"/>
      <c r="HE189" s="120"/>
      <c r="HF189" s="120"/>
      <c r="HG189" s="120"/>
      <c r="HH189" s="209"/>
      <c r="HI189" s="205"/>
      <c r="HJ189" s="205">
        <f t="shared" si="1444"/>
        <v>0</v>
      </c>
      <c r="HK189" s="205">
        <f t="shared" si="1431"/>
        <v>3116</v>
      </c>
      <c r="HL189" s="124"/>
      <c r="HM189" s="120"/>
      <c r="HN189" s="120"/>
      <c r="HO189" s="120"/>
      <c r="HP189" s="120"/>
      <c r="HQ189" s="205"/>
      <c r="HR189" s="205"/>
      <c r="HS189" s="205">
        <f t="shared" si="1445"/>
        <v>0</v>
      </c>
      <c r="HT189" s="120"/>
      <c r="HU189" s="120"/>
      <c r="HV189" s="120"/>
      <c r="HW189" s="120"/>
      <c r="HX189" s="120"/>
      <c r="HY189" s="205"/>
      <c r="HZ189" s="205"/>
      <c r="IA189" s="205">
        <f t="shared" si="1446"/>
        <v>0</v>
      </c>
      <c r="IB189" s="120"/>
      <c r="IC189" s="120"/>
      <c r="ID189" s="120"/>
      <c r="IE189" s="120"/>
      <c r="IF189" s="120"/>
      <c r="IG189" s="205"/>
      <c r="IH189" s="205"/>
      <c r="II189" s="205">
        <f t="shared" si="1447"/>
        <v>0</v>
      </c>
      <c r="IJ189" s="120"/>
      <c r="IK189" s="120"/>
      <c r="IL189" s="120"/>
      <c r="IM189" s="120"/>
      <c r="IN189" s="120"/>
      <c r="IO189" s="205"/>
      <c r="IP189" s="205"/>
      <c r="IQ189" s="205">
        <f t="shared" si="1448"/>
        <v>0</v>
      </c>
      <c r="IR189" s="205">
        <f t="shared" si="1449"/>
        <v>0</v>
      </c>
      <c r="IS189" s="120"/>
      <c r="IT189" s="120"/>
      <c r="IU189" s="120"/>
      <c r="IV189" s="120"/>
      <c r="IW189" s="120"/>
      <c r="IX189" s="205"/>
      <c r="IY189" s="205"/>
      <c r="IZ189" s="205">
        <f t="shared" si="1450"/>
        <v>0</v>
      </c>
      <c r="JA189" s="120"/>
      <c r="JB189" s="120"/>
      <c r="JC189" s="120"/>
      <c r="JD189" s="120"/>
      <c r="JE189" s="120"/>
      <c r="JF189" s="205"/>
      <c r="JG189" s="205"/>
      <c r="JH189" s="205">
        <f t="shared" si="1451"/>
        <v>0</v>
      </c>
      <c r="JI189" s="120"/>
      <c r="JJ189" s="120"/>
      <c r="JK189" s="120"/>
      <c r="JL189" s="120"/>
      <c r="JM189" s="120"/>
      <c r="JN189" s="205"/>
      <c r="JO189" s="205"/>
      <c r="JP189" s="205">
        <f t="shared" si="1452"/>
        <v>0</v>
      </c>
      <c r="JQ189" s="120"/>
      <c r="JR189" s="120"/>
      <c r="JS189" s="120"/>
      <c r="JT189" s="120"/>
      <c r="JU189" s="120"/>
      <c r="JV189" s="205"/>
      <c r="JW189" s="205"/>
      <c r="JX189" s="205">
        <f t="shared" si="1453"/>
        <v>0</v>
      </c>
      <c r="JY189" s="205">
        <f t="shared" si="1454"/>
        <v>0</v>
      </c>
      <c r="JZ189" s="120"/>
      <c r="KA189" s="120"/>
      <c r="KB189" s="120"/>
      <c r="KC189" s="120"/>
      <c r="KD189" s="120"/>
      <c r="KE189" s="205"/>
      <c r="KF189" s="205"/>
      <c r="KG189" s="205">
        <f t="shared" si="1455"/>
        <v>0</v>
      </c>
      <c r="KH189" s="120"/>
      <c r="KI189" s="120"/>
      <c r="KJ189" s="120"/>
      <c r="KK189" s="120"/>
      <c r="KL189" s="120"/>
      <c r="KM189" s="205"/>
      <c r="KN189" s="205"/>
      <c r="KO189" s="205">
        <f t="shared" si="1456"/>
        <v>0</v>
      </c>
      <c r="KP189" s="120"/>
      <c r="KQ189" s="120"/>
      <c r="KR189" s="120"/>
      <c r="KS189" s="120"/>
      <c r="KT189" s="120"/>
      <c r="KU189" s="205"/>
      <c r="KV189" s="205"/>
      <c r="KW189" s="205">
        <f t="shared" si="1457"/>
        <v>0</v>
      </c>
      <c r="KX189" s="120"/>
      <c r="KY189" s="120"/>
      <c r="KZ189" s="120"/>
      <c r="LA189" s="120"/>
      <c r="LB189" s="120"/>
      <c r="LC189" s="205"/>
      <c r="LD189" s="205"/>
      <c r="LE189" s="205">
        <f t="shared" si="1458"/>
        <v>0</v>
      </c>
      <c r="LF189" s="205"/>
      <c r="LG189" s="120"/>
      <c r="LH189" s="120"/>
      <c r="LI189" s="120"/>
      <c r="LJ189" s="120"/>
      <c r="LK189" s="205"/>
      <c r="LL189" s="205"/>
      <c r="LM189" s="205">
        <f t="shared" si="1459"/>
        <v>0</v>
      </c>
      <c r="LN189" s="205">
        <f t="shared" si="1460"/>
        <v>0</v>
      </c>
      <c r="LO189" s="205"/>
      <c r="LP189" s="120"/>
      <c r="LQ189" s="120"/>
      <c r="LR189" s="120"/>
      <c r="LS189" s="205"/>
      <c r="LT189" s="205"/>
      <c r="LU189" s="205"/>
      <c r="LV189" s="205">
        <f t="shared" si="1461"/>
        <v>0</v>
      </c>
      <c r="LW189" s="120"/>
      <c r="LX189" s="120"/>
      <c r="LY189" s="120"/>
      <c r="LZ189" s="120"/>
      <c r="MA189" s="120"/>
      <c r="MB189" s="205"/>
      <c r="MC189" s="205"/>
      <c r="MD189" s="205">
        <f t="shared" si="1462"/>
        <v>0</v>
      </c>
      <c r="ME189" s="120"/>
      <c r="MF189" s="120"/>
      <c r="MG189" s="120"/>
      <c r="MH189" s="120"/>
      <c r="MI189" s="205"/>
      <c r="MJ189" s="205"/>
      <c r="MK189" s="205"/>
      <c r="ML189" s="205">
        <f t="shared" si="1463"/>
        <v>0</v>
      </c>
      <c r="MM189" s="120"/>
      <c r="MN189" s="120"/>
      <c r="MO189" s="120"/>
      <c r="MP189" s="120"/>
      <c r="MQ189" s="120"/>
      <c r="MR189" s="205"/>
      <c r="MS189" s="205"/>
      <c r="MT189" s="205">
        <f t="shared" si="1464"/>
        <v>0</v>
      </c>
      <c r="MU189" s="205">
        <f t="shared" si="1465"/>
        <v>0</v>
      </c>
      <c r="MV189" s="120"/>
      <c r="MW189" s="120"/>
      <c r="MX189" s="120"/>
      <c r="MY189" s="120"/>
      <c r="MZ189" s="120"/>
      <c r="NA189" s="205"/>
      <c r="NB189" s="205"/>
      <c r="NC189" s="205">
        <f t="shared" si="1466"/>
        <v>0</v>
      </c>
      <c r="ND189" s="120"/>
      <c r="NE189" s="120"/>
      <c r="NF189" s="120"/>
      <c r="NG189" s="120"/>
      <c r="NH189" s="120"/>
      <c r="NI189" s="205"/>
      <c r="NJ189" s="205"/>
      <c r="NK189" s="205">
        <f t="shared" si="1467"/>
        <v>0</v>
      </c>
      <c r="NL189" s="120"/>
      <c r="NM189" s="120"/>
      <c r="NN189" s="120"/>
      <c r="NO189" s="120"/>
      <c r="NP189" s="120"/>
      <c r="NQ189" s="205"/>
      <c r="NR189" s="205"/>
      <c r="NS189" s="205">
        <f t="shared" si="1468"/>
        <v>0</v>
      </c>
      <c r="NT189" s="120"/>
      <c r="NU189" s="120"/>
      <c r="NV189" s="120"/>
      <c r="NW189" s="120"/>
      <c r="NX189" s="120"/>
      <c r="NY189" s="205"/>
      <c r="NZ189" s="205"/>
      <c r="OA189" s="205">
        <f t="shared" si="1469"/>
        <v>0</v>
      </c>
      <c r="OB189" s="205">
        <f t="shared" si="1470"/>
        <v>0</v>
      </c>
      <c r="OC189" s="120"/>
      <c r="OD189" s="120"/>
      <c r="OE189" s="120"/>
      <c r="OF189" s="120"/>
      <c r="OG189" s="120"/>
      <c r="OH189" s="205"/>
      <c r="OI189" s="205"/>
      <c r="OJ189" s="205">
        <f t="shared" si="1471"/>
        <v>0</v>
      </c>
      <c r="OK189" s="120"/>
      <c r="OL189" s="120"/>
      <c r="OM189" s="120"/>
      <c r="ON189" s="120"/>
      <c r="OO189" s="120"/>
      <c r="OP189" s="205"/>
      <c r="OQ189" s="205"/>
      <c r="OR189" s="205">
        <f t="shared" si="1472"/>
        <v>0</v>
      </c>
      <c r="OS189" s="120"/>
      <c r="OT189" s="120"/>
      <c r="OU189" s="120"/>
      <c r="OV189" s="120"/>
      <c r="OW189" s="120"/>
      <c r="OX189" s="205"/>
      <c r="OY189" s="205"/>
      <c r="OZ189" s="205">
        <f t="shared" si="1473"/>
        <v>0</v>
      </c>
      <c r="PA189" s="120"/>
      <c r="PB189" s="120"/>
      <c r="PC189" s="120"/>
      <c r="PD189" s="205"/>
      <c r="PE189" s="217"/>
      <c r="PF189" s="205"/>
      <c r="PG189" s="205"/>
      <c r="PH189" s="205">
        <f t="shared" si="1474"/>
        <v>0</v>
      </c>
      <c r="PI189" s="120"/>
      <c r="PJ189" s="120"/>
      <c r="PK189" s="120"/>
      <c r="PL189" s="205"/>
      <c r="PM189" s="217"/>
      <c r="PN189" s="205"/>
      <c r="PO189" s="205"/>
      <c r="PP189" s="205">
        <f t="shared" si="1475"/>
        <v>0</v>
      </c>
      <c r="PQ189" s="205">
        <f t="shared" si="1476"/>
        <v>0</v>
      </c>
      <c r="PR189" s="207"/>
      <c r="PS189" s="207"/>
      <c r="PT189" s="207"/>
      <c r="PU189" s="207"/>
      <c r="PV189" s="207"/>
      <c r="PW189" s="272"/>
      <c r="PX189" s="272"/>
      <c r="PY189" s="205">
        <f t="shared" si="1477"/>
        <v>0</v>
      </c>
      <c r="PZ189" s="207"/>
      <c r="QA189" s="207"/>
      <c r="QB189" s="207"/>
      <c r="QC189" s="207"/>
      <c r="QD189" s="207"/>
      <c r="QE189" s="272"/>
      <c r="QF189" s="272"/>
      <c r="QG189" s="205">
        <f t="shared" si="1478"/>
        <v>0</v>
      </c>
      <c r="QH189" s="207"/>
      <c r="QI189" s="207"/>
      <c r="QJ189" s="294"/>
      <c r="QK189" s="207"/>
      <c r="QL189" s="207"/>
      <c r="QM189" s="272"/>
      <c r="QN189" s="272"/>
      <c r="QO189" s="205">
        <f t="shared" si="1479"/>
        <v>0</v>
      </c>
      <c r="QP189" s="207"/>
      <c r="QQ189" s="207"/>
      <c r="QR189" s="207"/>
      <c r="QS189" s="207"/>
      <c r="QT189" s="207"/>
      <c r="QU189" s="272"/>
      <c r="QV189" s="272"/>
      <c r="QW189" s="205">
        <f t="shared" si="1480"/>
        <v>0</v>
      </c>
      <c r="QX189" s="205">
        <f t="shared" si="1481"/>
        <v>0</v>
      </c>
      <c r="QY189" s="207"/>
      <c r="QZ189" s="207"/>
      <c r="RA189" s="207"/>
      <c r="RB189" s="207"/>
      <c r="RC189" s="207"/>
      <c r="RD189" s="272"/>
      <c r="RE189" s="272"/>
      <c r="RF189" s="205">
        <f t="shared" si="1482"/>
        <v>0</v>
      </c>
      <c r="RG189" s="207"/>
      <c r="RH189" s="207"/>
      <c r="RI189" s="207"/>
      <c r="RJ189" s="207"/>
      <c r="RK189" s="207"/>
      <c r="RL189" s="272"/>
      <c r="RM189" s="272"/>
      <c r="RN189" s="205">
        <f t="shared" si="1483"/>
        <v>0</v>
      </c>
      <c r="RO189" s="272"/>
      <c r="RP189" s="272"/>
      <c r="RQ189" s="272"/>
      <c r="RR189" s="272"/>
      <c r="RS189" s="272"/>
      <c r="RT189" s="272"/>
      <c r="RU189" s="272"/>
      <c r="RV189" s="205">
        <f t="shared" si="1484"/>
        <v>0</v>
      </c>
      <c r="RW189" s="207"/>
      <c r="RX189" s="207"/>
      <c r="RY189" s="207"/>
      <c r="RZ189" s="207"/>
      <c r="SA189" s="272"/>
      <c r="SB189" s="272"/>
      <c r="SC189" s="272"/>
      <c r="SD189" s="205">
        <f t="shared" si="1485"/>
        <v>0</v>
      </c>
      <c r="SE189" s="205">
        <f t="shared" si="1486"/>
        <v>0</v>
      </c>
      <c r="SF189" s="207"/>
      <c r="SG189" s="207"/>
      <c r="SH189" s="207"/>
      <c r="SI189" s="207"/>
      <c r="SJ189" s="207"/>
      <c r="SK189" s="272"/>
      <c r="SL189" s="272"/>
      <c r="SM189" s="205">
        <f t="shared" si="1487"/>
        <v>0</v>
      </c>
      <c r="SN189" s="207"/>
      <c r="SO189" s="207"/>
      <c r="SP189" s="207"/>
      <c r="SQ189" s="207"/>
      <c r="SR189" s="207"/>
      <c r="SS189" s="272"/>
      <c r="ST189" s="272"/>
      <c r="SU189" s="205">
        <f t="shared" si="1488"/>
        <v>0</v>
      </c>
      <c r="SV189" s="207"/>
      <c r="SW189" s="207"/>
      <c r="SX189" s="207"/>
      <c r="SY189" s="207"/>
      <c r="SZ189" s="207"/>
      <c r="TA189" s="272"/>
      <c r="TB189" s="272"/>
      <c r="TC189" s="205">
        <f t="shared" si="1489"/>
        <v>0</v>
      </c>
      <c r="TD189" s="207"/>
      <c r="TE189" s="207"/>
      <c r="TF189" s="207"/>
      <c r="TG189" s="207"/>
      <c r="TH189" s="207"/>
      <c r="TI189" s="272"/>
      <c r="TJ189" s="272"/>
      <c r="TK189" s="205">
        <f t="shared" si="1490"/>
        <v>0</v>
      </c>
      <c r="TL189" s="207"/>
      <c r="TM189" s="207"/>
      <c r="TN189" s="207"/>
      <c r="TO189" s="207"/>
      <c r="TP189" s="272"/>
      <c r="TQ189" s="272"/>
      <c r="TR189" s="272"/>
      <c r="TS189" s="205">
        <f t="shared" si="1491"/>
        <v>0</v>
      </c>
      <c r="TT189" s="205">
        <f t="shared" si="1492"/>
        <v>0</v>
      </c>
      <c r="TU189" s="272"/>
      <c r="TV189" s="207"/>
      <c r="TW189" s="207"/>
      <c r="TX189" s="207"/>
      <c r="TY189" s="207"/>
      <c r="TZ189" s="272"/>
      <c r="UA189" s="272"/>
      <c r="UB189" s="205">
        <f t="shared" si="1493"/>
        <v>0</v>
      </c>
      <c r="UC189" s="207"/>
      <c r="UD189" s="207"/>
      <c r="UE189" s="207"/>
      <c r="UF189" s="207"/>
      <c r="UG189" s="207"/>
      <c r="UH189" s="272"/>
      <c r="UI189" s="272"/>
      <c r="UJ189" s="205">
        <f t="shared" si="1494"/>
        <v>0</v>
      </c>
      <c r="UK189" s="207"/>
      <c r="UL189" s="207"/>
      <c r="UM189" s="207"/>
      <c r="UN189" s="207"/>
      <c r="UO189" s="207"/>
      <c r="UP189" s="272"/>
      <c r="UQ189" s="272"/>
      <c r="UR189" s="205">
        <f t="shared" si="1495"/>
        <v>0</v>
      </c>
      <c r="US189" s="207"/>
      <c r="UT189" s="207"/>
      <c r="UU189" s="207"/>
      <c r="UV189" s="207"/>
      <c r="UW189" s="272"/>
      <c r="UX189" s="272"/>
      <c r="UY189" s="272"/>
      <c r="UZ189" s="205">
        <f t="shared" si="1496"/>
        <v>0</v>
      </c>
      <c r="VA189" s="205">
        <f t="shared" si="1497"/>
        <v>0</v>
      </c>
      <c r="VB189" s="207"/>
      <c r="VC189" s="207"/>
      <c r="VD189" s="207"/>
      <c r="VE189" s="207"/>
      <c r="VF189" s="207"/>
      <c r="VG189" s="272"/>
      <c r="VH189" s="272"/>
      <c r="VI189" s="205">
        <f t="shared" si="1498"/>
        <v>0</v>
      </c>
      <c r="VJ189" s="207"/>
      <c r="VK189" s="207"/>
      <c r="VL189" s="207"/>
      <c r="VM189" s="207"/>
      <c r="VN189" s="207"/>
      <c r="VO189" s="272"/>
      <c r="VP189" s="272"/>
      <c r="VQ189" s="205">
        <f t="shared" si="1499"/>
        <v>0</v>
      </c>
      <c r="VR189" s="207"/>
      <c r="VS189" s="207"/>
      <c r="VT189" s="207"/>
      <c r="VU189" s="207"/>
      <c r="VV189" s="207"/>
      <c r="VW189" s="272"/>
      <c r="VX189" s="272"/>
      <c r="VY189" s="205">
        <f t="shared" si="1500"/>
        <v>0</v>
      </c>
      <c r="VZ189" s="207"/>
      <c r="WA189" s="207"/>
      <c r="WB189" s="207"/>
      <c r="WC189" s="207"/>
      <c r="WD189" s="207"/>
      <c r="WE189" s="272"/>
      <c r="WF189" s="272"/>
      <c r="WG189" s="205">
        <f t="shared" si="1501"/>
        <v>0</v>
      </c>
      <c r="WH189" s="205">
        <f t="shared" si="1502"/>
        <v>0</v>
      </c>
      <c r="WI189" s="207"/>
      <c r="WJ189" s="207"/>
      <c r="WK189" s="207"/>
      <c r="WL189" s="207"/>
      <c r="WM189" s="207"/>
      <c r="WN189" s="272"/>
      <c r="WO189" s="272"/>
      <c r="WP189" s="205">
        <f t="shared" si="1503"/>
        <v>0</v>
      </c>
      <c r="WQ189" s="207"/>
      <c r="WR189" s="207"/>
      <c r="WS189" s="207"/>
      <c r="WT189" s="207"/>
      <c r="WU189" s="207"/>
      <c r="WV189" s="272"/>
      <c r="WW189" s="272"/>
      <c r="WX189" s="205">
        <f t="shared" si="1504"/>
        <v>0</v>
      </c>
      <c r="WY189" s="207"/>
      <c r="WZ189" s="207"/>
      <c r="XA189" s="207"/>
      <c r="XB189" s="207"/>
      <c r="XC189" s="272"/>
      <c r="XD189" s="272"/>
      <c r="XE189" s="272"/>
      <c r="XF189" s="205">
        <f t="shared" si="1505"/>
        <v>0</v>
      </c>
      <c r="XG189" s="207"/>
      <c r="XH189" s="207"/>
      <c r="XI189" s="207"/>
      <c r="XJ189" s="207"/>
      <c r="XK189" s="207"/>
      <c r="XL189" s="272"/>
      <c r="XM189" s="272"/>
      <c r="XN189" s="205">
        <f t="shared" si="1506"/>
        <v>0</v>
      </c>
      <c r="XO189" s="207"/>
      <c r="XP189" s="207"/>
      <c r="XQ189" s="207"/>
      <c r="XR189" s="207"/>
      <c r="XS189" s="207"/>
      <c r="XT189" s="272"/>
      <c r="XU189" s="272"/>
      <c r="XV189" s="205">
        <f t="shared" si="1507"/>
        <v>0</v>
      </c>
      <c r="XW189" s="205">
        <f t="shared" si="1508"/>
        <v>0</v>
      </c>
      <c r="XX189" s="207"/>
      <c r="XY189" s="207"/>
      <c r="XZ189" s="207"/>
      <c r="YA189" s="207"/>
      <c r="YB189" s="207"/>
      <c r="YC189" s="272"/>
      <c r="YD189" s="272"/>
      <c r="YE189" s="205">
        <f t="shared" ref="YE189:YE190" si="1568">SUM(XX189:YD189)</f>
        <v>0</v>
      </c>
      <c r="YF189" s="207"/>
      <c r="YG189" s="207"/>
      <c r="YH189" s="207"/>
      <c r="YI189" s="207"/>
      <c r="YJ189" s="207"/>
      <c r="YK189" s="272"/>
      <c r="YL189" s="272"/>
      <c r="YM189" s="205">
        <f t="shared" ref="YM189:YM190" si="1569">SUM(YF189:YL189)</f>
        <v>0</v>
      </c>
      <c r="YN189" s="207"/>
      <c r="YO189" s="207"/>
      <c r="YP189" s="207"/>
      <c r="YQ189" s="207"/>
      <c r="YR189" s="207"/>
      <c r="YS189" s="272"/>
      <c r="YT189" s="272"/>
      <c r="YU189" s="205">
        <f t="shared" ref="YU189:YU190" si="1570">SUM(YN189:YT189)</f>
        <v>0</v>
      </c>
      <c r="YV189" s="207"/>
      <c r="YW189" s="207"/>
      <c r="YX189" s="207"/>
      <c r="YY189" s="207"/>
      <c r="YZ189" s="207"/>
      <c r="ZA189" s="272"/>
      <c r="ZB189" s="272"/>
      <c r="ZC189" s="205">
        <f t="shared" ref="ZC189:ZC190" si="1571">SUM(YV189:ZB189)</f>
        <v>0</v>
      </c>
      <c r="ZD189" s="205">
        <f t="shared" ref="ZD189:ZD190" si="1572">SUM(YV189:YW189,YU189,YM189,YE189,XW189)</f>
        <v>0</v>
      </c>
      <c r="ZE189" s="207"/>
      <c r="ZF189" s="207"/>
      <c r="ZG189" s="207"/>
      <c r="ZH189" s="207"/>
      <c r="ZI189" s="207"/>
      <c r="ZJ189" s="272"/>
      <c r="ZK189" s="272"/>
      <c r="ZL189" s="205">
        <f t="shared" ref="ZL189:ZL190" si="1573">SUM(ZE189:ZK189)</f>
        <v>0</v>
      </c>
      <c r="ZM189" s="207"/>
      <c r="ZN189" s="207"/>
      <c r="ZO189" s="207"/>
      <c r="ZP189" s="207"/>
      <c r="ZQ189" s="207"/>
      <c r="ZR189" s="272"/>
      <c r="ZS189" s="272"/>
      <c r="ZT189" s="205">
        <f t="shared" ref="ZT189:ZT190" si="1574">SUM(ZM189:ZS189)</f>
        <v>0</v>
      </c>
      <c r="ZU189" s="207"/>
      <c r="ZV189" s="207"/>
      <c r="ZW189" s="207"/>
      <c r="ZX189" s="207"/>
      <c r="ZY189" s="207"/>
      <c r="ZZ189" s="272"/>
      <c r="AAA189" s="272"/>
      <c r="AAB189" s="205">
        <f t="shared" ref="AAB189:AAB190" si="1575">SUM(ZU189:AAA189)</f>
        <v>0</v>
      </c>
      <c r="AAC189" s="207"/>
      <c r="AAD189" s="207"/>
      <c r="AAE189" s="207"/>
      <c r="AAF189" s="207"/>
      <c r="AAG189" s="207"/>
      <c r="AAH189" s="272"/>
      <c r="AAI189" s="272"/>
      <c r="AAJ189" s="205">
        <f t="shared" ref="AAJ189:AAJ190" si="1576">SUM(AAC189:AAI189)</f>
        <v>0</v>
      </c>
      <c r="AAK189" s="207"/>
      <c r="AAL189" s="207"/>
      <c r="AAM189" s="207"/>
      <c r="AAN189" s="207"/>
      <c r="AAO189" s="207"/>
      <c r="AAP189" s="272"/>
      <c r="AAQ189" s="272"/>
      <c r="AAR189" s="205">
        <f t="shared" ref="AAR189:AAR190" si="1577">SUM(AAK189:AAQ189)</f>
        <v>0</v>
      </c>
      <c r="AAS189" s="205">
        <f t="shared" ref="AAS189:AAS190" si="1578">SUM(AAK189:AAL189,AAJ189,AAB189,ZT189,ZL189)</f>
        <v>0</v>
      </c>
    </row>
    <row r="190" spans="1:721" s="127" customFormat="1" ht="69.95" customHeight="1">
      <c r="A190" s="128"/>
      <c r="B190" s="130">
        <v>3621101608</v>
      </c>
      <c r="C190" s="146"/>
      <c r="D190" s="188" t="s">
        <v>77</v>
      </c>
      <c r="E190" s="130" t="s">
        <v>4</v>
      </c>
      <c r="F190" s="120"/>
      <c r="G190" s="120"/>
      <c r="H190" s="120"/>
      <c r="I190" s="120"/>
      <c r="J190" s="120"/>
      <c r="K190" s="209"/>
      <c r="L190" s="205"/>
      <c r="M190" s="205">
        <f t="shared" si="1520"/>
        <v>0</v>
      </c>
      <c r="N190" s="120"/>
      <c r="O190" s="120"/>
      <c r="P190" s="120"/>
      <c r="Q190" s="120"/>
      <c r="R190" s="120"/>
      <c r="S190" s="209"/>
      <c r="T190" s="205"/>
      <c r="U190" s="205">
        <f t="shared" si="1521"/>
        <v>0</v>
      </c>
      <c r="V190" s="120"/>
      <c r="W190" s="120"/>
      <c r="X190" s="120"/>
      <c r="Y190" s="120"/>
      <c r="Z190" s="120"/>
      <c r="AA190" s="209"/>
      <c r="AB190" s="205"/>
      <c r="AC190" s="205">
        <f t="shared" si="1522"/>
        <v>0</v>
      </c>
      <c r="AD190" s="205"/>
      <c r="AE190" s="205"/>
      <c r="AF190" s="205"/>
      <c r="AG190" s="205"/>
      <c r="AH190" s="205"/>
      <c r="AI190" s="209"/>
      <c r="AJ190" s="205"/>
      <c r="AK190" s="205">
        <f t="shared" si="1523"/>
        <v>0</v>
      </c>
      <c r="AL190" s="205" t="e">
        <f>SUM(#REF!,M190,U190,AC190,AD190:AH190)</f>
        <v>#REF!</v>
      </c>
      <c r="AM190" s="120"/>
      <c r="AN190" s="120"/>
      <c r="AO190" s="120"/>
      <c r="AP190" s="120"/>
      <c r="AQ190" s="120"/>
      <c r="AR190" s="209"/>
      <c r="AS190" s="205"/>
      <c r="AT190" s="205">
        <f t="shared" si="1524"/>
        <v>0</v>
      </c>
      <c r="AU190" s="120"/>
      <c r="AV190" s="120"/>
      <c r="AW190" s="120"/>
      <c r="AX190" s="120"/>
      <c r="AY190" s="120"/>
      <c r="AZ190" s="209"/>
      <c r="BA190" s="205"/>
      <c r="BB190" s="205">
        <f t="shared" si="1525"/>
        <v>0</v>
      </c>
      <c r="BC190" s="120"/>
      <c r="BD190" s="120"/>
      <c r="BE190" s="120"/>
      <c r="BF190" s="120"/>
      <c r="BG190" s="120"/>
      <c r="BH190" s="209"/>
      <c r="BI190" s="205"/>
      <c r="BJ190" s="205">
        <f t="shared" si="1526"/>
        <v>0</v>
      </c>
      <c r="BK190" s="120"/>
      <c r="BL190" s="120"/>
      <c r="BM190" s="120"/>
      <c r="BN190" s="120"/>
      <c r="BO190" s="205"/>
      <c r="BP190" s="209"/>
      <c r="BQ190" s="205"/>
      <c r="BR190" s="205">
        <f t="shared" si="1527"/>
        <v>0</v>
      </c>
      <c r="BS190" s="205">
        <f t="shared" si="1427"/>
        <v>0</v>
      </c>
      <c r="BT190" s="120"/>
      <c r="BU190" s="120"/>
      <c r="BV190" s="217">
        <v>1580</v>
      </c>
      <c r="BW190" s="217">
        <v>2000</v>
      </c>
      <c r="BX190" s="120"/>
      <c r="BY190" s="209"/>
      <c r="BZ190" s="205"/>
      <c r="CA190" s="205">
        <f t="shared" si="1528"/>
        <v>3580</v>
      </c>
      <c r="CB190" s="120"/>
      <c r="CC190" s="120"/>
      <c r="CD190" s="120"/>
      <c r="CE190" s="120"/>
      <c r="CF190" s="120"/>
      <c r="CG190" s="209"/>
      <c r="CH190" s="205"/>
      <c r="CI190" s="205">
        <f t="shared" si="1529"/>
        <v>0</v>
      </c>
      <c r="CJ190" s="120"/>
      <c r="CK190" s="120"/>
      <c r="CL190" s="120"/>
      <c r="CM190" s="120"/>
      <c r="CN190" s="120"/>
      <c r="CO190" s="209"/>
      <c r="CP190" s="205"/>
      <c r="CQ190" s="205">
        <f t="shared" si="1530"/>
        <v>0</v>
      </c>
      <c r="CR190" s="120"/>
      <c r="CS190" s="120"/>
      <c r="CT190" s="120"/>
      <c r="CU190" s="120"/>
      <c r="CV190" s="120"/>
      <c r="CW190" s="209"/>
      <c r="CX190" s="205"/>
      <c r="CY190" s="205">
        <f t="shared" si="1531"/>
        <v>0</v>
      </c>
      <c r="CZ190" s="120"/>
      <c r="DA190" s="120"/>
      <c r="DB190" s="120"/>
      <c r="DC190" s="205"/>
      <c r="DD190" s="205"/>
      <c r="DE190" s="209"/>
      <c r="DF190" s="205"/>
      <c r="DG190" s="205">
        <f t="shared" si="1532"/>
        <v>0</v>
      </c>
      <c r="DH190" s="205">
        <f t="shared" si="1428"/>
        <v>3580</v>
      </c>
      <c r="DI190" s="120"/>
      <c r="DJ190" s="120"/>
      <c r="DK190" s="250">
        <v>2000</v>
      </c>
      <c r="DL190" s="120"/>
      <c r="DM190" s="120"/>
      <c r="DN190" s="209"/>
      <c r="DO190" s="205"/>
      <c r="DP190" s="205">
        <f t="shared" si="1432"/>
        <v>2000</v>
      </c>
      <c r="DQ190" s="120"/>
      <c r="DR190" s="120"/>
      <c r="DS190" s="250">
        <v>2000</v>
      </c>
      <c r="DT190" s="120"/>
      <c r="DU190" s="120"/>
      <c r="DV190" s="209"/>
      <c r="DW190" s="205"/>
      <c r="DX190" s="205">
        <f t="shared" si="1433"/>
        <v>2000</v>
      </c>
      <c r="DY190" s="120"/>
      <c r="DZ190" s="120"/>
      <c r="EA190" s="250">
        <v>2000</v>
      </c>
      <c r="EB190" s="120"/>
      <c r="EC190" s="250">
        <v>2000</v>
      </c>
      <c r="ED190" s="209"/>
      <c r="EE190" s="205"/>
      <c r="EF190" s="205">
        <f t="shared" si="1434"/>
        <v>4000</v>
      </c>
      <c r="EG190" s="120"/>
      <c r="EH190" s="120"/>
      <c r="EI190" s="120"/>
      <c r="EJ190" s="205"/>
      <c r="EK190" s="205"/>
      <c r="EL190" s="209"/>
      <c r="EM190" s="205"/>
      <c r="EN190" s="205">
        <f t="shared" si="1435"/>
        <v>0</v>
      </c>
      <c r="EO190" s="205">
        <f t="shared" si="1429"/>
        <v>8000</v>
      </c>
      <c r="EP190" s="250">
        <v>2000</v>
      </c>
      <c r="EQ190" s="120"/>
      <c r="ER190" s="250">
        <v>2000</v>
      </c>
      <c r="ES190" s="250">
        <v>2000</v>
      </c>
      <c r="ET190" s="120"/>
      <c r="EU190" s="209"/>
      <c r="EV190" s="205"/>
      <c r="EW190" s="205">
        <f t="shared" si="1436"/>
        <v>6000</v>
      </c>
      <c r="EX190" s="120"/>
      <c r="EY190" s="120"/>
      <c r="EZ190" s="250">
        <v>2000</v>
      </c>
      <c r="FA190" s="250">
        <v>740</v>
      </c>
      <c r="FB190" s="120"/>
      <c r="FC190" s="209"/>
      <c r="FD190" s="205"/>
      <c r="FE190" s="205">
        <f t="shared" si="1437"/>
        <v>2740</v>
      </c>
      <c r="FF190" s="120"/>
      <c r="FG190" s="120"/>
      <c r="FH190" s="120"/>
      <c r="FI190" s="120"/>
      <c r="FJ190" s="120"/>
      <c r="FK190" s="209"/>
      <c r="FL190" s="205"/>
      <c r="FM190" s="205">
        <f t="shared" si="1438"/>
        <v>0</v>
      </c>
      <c r="FN190" s="120"/>
      <c r="FO190" s="120"/>
      <c r="FP190" s="120"/>
      <c r="FQ190" s="120"/>
      <c r="FR190" s="205"/>
      <c r="FS190" s="209"/>
      <c r="FT190" s="205"/>
      <c r="FU190" s="205">
        <f t="shared" si="1439"/>
        <v>0</v>
      </c>
      <c r="FV190" s="205">
        <f t="shared" si="1430"/>
        <v>8740</v>
      </c>
      <c r="FW190" s="120"/>
      <c r="FX190" s="120"/>
      <c r="FY190" s="120"/>
      <c r="FZ190" s="120"/>
      <c r="GA190" s="120"/>
      <c r="GB190" s="209"/>
      <c r="GC190" s="205"/>
      <c r="GD190" s="205">
        <f t="shared" si="1440"/>
        <v>0</v>
      </c>
      <c r="GE190" s="120"/>
      <c r="GF190" s="120"/>
      <c r="GG190" s="250">
        <v>884</v>
      </c>
      <c r="GH190" s="120"/>
      <c r="GI190" s="120"/>
      <c r="GJ190" s="209"/>
      <c r="GK190" s="205"/>
      <c r="GL190" s="205">
        <f t="shared" si="1441"/>
        <v>884</v>
      </c>
      <c r="GM190" s="120"/>
      <c r="GN190" s="120"/>
      <c r="GO190" s="120"/>
      <c r="GP190" s="120"/>
      <c r="GQ190" s="120"/>
      <c r="GR190" s="209"/>
      <c r="GS190" s="205"/>
      <c r="GT190" s="205">
        <f t="shared" si="1442"/>
        <v>0</v>
      </c>
      <c r="GU190" s="120"/>
      <c r="GV190" s="120"/>
      <c r="GW190" s="120"/>
      <c r="GX190" s="120"/>
      <c r="GY190" s="120"/>
      <c r="GZ190" s="209"/>
      <c r="HA190" s="205"/>
      <c r="HB190" s="205">
        <f t="shared" si="1443"/>
        <v>0</v>
      </c>
      <c r="HC190" s="120"/>
      <c r="HD190" s="120"/>
      <c r="HE190" s="120"/>
      <c r="HF190" s="120"/>
      <c r="HG190" s="120"/>
      <c r="HH190" s="209"/>
      <c r="HI190" s="205"/>
      <c r="HJ190" s="205">
        <f t="shared" si="1444"/>
        <v>0</v>
      </c>
      <c r="HK190" s="205">
        <f t="shared" si="1431"/>
        <v>884</v>
      </c>
      <c r="HL190" s="124"/>
      <c r="HM190" s="120"/>
      <c r="HN190" s="120"/>
      <c r="HO190" s="217">
        <v>1500</v>
      </c>
      <c r="HP190" s="120"/>
      <c r="HQ190" s="205"/>
      <c r="HR190" s="205"/>
      <c r="HS190" s="205">
        <f t="shared" si="1445"/>
        <v>1500</v>
      </c>
      <c r="HT190" s="120"/>
      <c r="HU190" s="120"/>
      <c r="HV190" s="120"/>
      <c r="HW190" s="120"/>
      <c r="HX190" s="120"/>
      <c r="HY190" s="205"/>
      <c r="HZ190" s="205"/>
      <c r="IA190" s="205">
        <f t="shared" si="1446"/>
        <v>0</v>
      </c>
      <c r="IB190" s="120"/>
      <c r="IC190" s="120"/>
      <c r="ID190" s="120"/>
      <c r="IE190" s="120"/>
      <c r="IF190" s="120"/>
      <c r="IG190" s="205"/>
      <c r="IH190" s="205"/>
      <c r="II190" s="205">
        <f t="shared" si="1447"/>
        <v>0</v>
      </c>
      <c r="IJ190" s="120"/>
      <c r="IK190" s="120"/>
      <c r="IL190" s="120"/>
      <c r="IM190" s="120"/>
      <c r="IN190" s="120"/>
      <c r="IO190" s="205"/>
      <c r="IP190" s="205"/>
      <c r="IQ190" s="205">
        <f t="shared" si="1448"/>
        <v>0</v>
      </c>
      <c r="IR190" s="205">
        <f t="shared" si="1449"/>
        <v>1500</v>
      </c>
      <c r="IS190" s="120"/>
      <c r="IT190" s="120"/>
      <c r="IU190" s="120"/>
      <c r="IV190" s="120"/>
      <c r="IW190" s="120"/>
      <c r="IX190" s="205"/>
      <c r="IY190" s="205"/>
      <c r="IZ190" s="205">
        <f t="shared" si="1450"/>
        <v>0</v>
      </c>
      <c r="JA190" s="120"/>
      <c r="JB190" s="120"/>
      <c r="JC190" s="120"/>
      <c r="JD190" s="120"/>
      <c r="JE190" s="120"/>
      <c r="JF190" s="205"/>
      <c r="JG190" s="205"/>
      <c r="JH190" s="205">
        <f t="shared" si="1451"/>
        <v>0</v>
      </c>
      <c r="JI190" s="120"/>
      <c r="JJ190" s="120"/>
      <c r="JK190" s="120"/>
      <c r="JL190" s="120"/>
      <c r="JM190" s="120"/>
      <c r="JN190" s="205"/>
      <c r="JO190" s="205"/>
      <c r="JP190" s="205">
        <f t="shared" si="1452"/>
        <v>0</v>
      </c>
      <c r="JQ190" s="120"/>
      <c r="JR190" s="120"/>
      <c r="JS190" s="120"/>
      <c r="JT190" s="120"/>
      <c r="JU190" s="120"/>
      <c r="JV190" s="205"/>
      <c r="JW190" s="205"/>
      <c r="JX190" s="205">
        <f t="shared" si="1453"/>
        <v>0</v>
      </c>
      <c r="JY190" s="205">
        <f t="shared" si="1454"/>
        <v>0</v>
      </c>
      <c r="JZ190" s="120"/>
      <c r="KA190" s="120"/>
      <c r="KB190" s="120"/>
      <c r="KC190" s="120"/>
      <c r="KD190" s="120"/>
      <c r="KE190" s="205"/>
      <c r="KF190" s="205"/>
      <c r="KG190" s="205">
        <f t="shared" si="1455"/>
        <v>0</v>
      </c>
      <c r="KH190" s="120"/>
      <c r="KI190" s="120"/>
      <c r="KJ190" s="120"/>
      <c r="KK190" s="120"/>
      <c r="KL190" s="120"/>
      <c r="KM190" s="205"/>
      <c r="KN190" s="205"/>
      <c r="KO190" s="205">
        <f t="shared" si="1456"/>
        <v>0</v>
      </c>
      <c r="KP190" s="120"/>
      <c r="KQ190" s="120"/>
      <c r="KR190" s="120"/>
      <c r="KS190" s="120"/>
      <c r="KT190" s="120"/>
      <c r="KU190" s="205"/>
      <c r="KV190" s="205"/>
      <c r="KW190" s="205">
        <f t="shared" si="1457"/>
        <v>0</v>
      </c>
      <c r="KX190" s="120"/>
      <c r="KY190" s="120"/>
      <c r="KZ190" s="120"/>
      <c r="LA190" s="120"/>
      <c r="LB190" s="120"/>
      <c r="LC190" s="205"/>
      <c r="LD190" s="205"/>
      <c r="LE190" s="205">
        <f t="shared" si="1458"/>
        <v>0</v>
      </c>
      <c r="LF190" s="205"/>
      <c r="LG190" s="120"/>
      <c r="LH190" s="120"/>
      <c r="LI190" s="120"/>
      <c r="LJ190" s="120"/>
      <c r="LK190" s="205"/>
      <c r="LL190" s="205"/>
      <c r="LM190" s="205">
        <f t="shared" si="1459"/>
        <v>0</v>
      </c>
      <c r="LN190" s="205">
        <f t="shared" si="1460"/>
        <v>0</v>
      </c>
      <c r="LO190" s="205"/>
      <c r="LP190" s="120"/>
      <c r="LQ190" s="120"/>
      <c r="LR190" s="120"/>
      <c r="LS190" s="205"/>
      <c r="LT190" s="205"/>
      <c r="LU190" s="205"/>
      <c r="LV190" s="205">
        <f t="shared" si="1461"/>
        <v>0</v>
      </c>
      <c r="LW190" s="120"/>
      <c r="LX190" s="120"/>
      <c r="LY190" s="120"/>
      <c r="LZ190" s="120"/>
      <c r="MA190" s="120"/>
      <c r="MB190" s="205"/>
      <c r="MC190" s="205"/>
      <c r="MD190" s="205">
        <f t="shared" si="1462"/>
        <v>0</v>
      </c>
      <c r="ME190" s="120"/>
      <c r="MF190" s="120"/>
      <c r="MG190" s="120"/>
      <c r="MH190" s="120"/>
      <c r="MI190" s="205"/>
      <c r="MJ190" s="205"/>
      <c r="MK190" s="205"/>
      <c r="ML190" s="205">
        <f t="shared" si="1463"/>
        <v>0</v>
      </c>
      <c r="MM190" s="120"/>
      <c r="MN190" s="120"/>
      <c r="MO190" s="120"/>
      <c r="MP190" s="120"/>
      <c r="MQ190" s="120"/>
      <c r="MR190" s="205"/>
      <c r="MS190" s="205"/>
      <c r="MT190" s="205">
        <f t="shared" si="1464"/>
        <v>0</v>
      </c>
      <c r="MU190" s="205">
        <f t="shared" si="1465"/>
        <v>0</v>
      </c>
      <c r="MV190" s="120"/>
      <c r="MW190" s="120"/>
      <c r="MX190" s="120"/>
      <c r="MY190" s="120"/>
      <c r="MZ190" s="120"/>
      <c r="NA190" s="205"/>
      <c r="NB190" s="205"/>
      <c r="NC190" s="205">
        <f t="shared" si="1466"/>
        <v>0</v>
      </c>
      <c r="ND190" s="120"/>
      <c r="NE190" s="120"/>
      <c r="NF190" s="120"/>
      <c r="NG190" s="120"/>
      <c r="NH190" s="120"/>
      <c r="NI190" s="205"/>
      <c r="NJ190" s="205"/>
      <c r="NK190" s="205">
        <f t="shared" si="1467"/>
        <v>0</v>
      </c>
      <c r="NL190" s="120"/>
      <c r="NM190" s="120"/>
      <c r="NN190" s="120"/>
      <c r="NO190" s="120"/>
      <c r="NP190" s="120"/>
      <c r="NQ190" s="205"/>
      <c r="NR190" s="205"/>
      <c r="NS190" s="205">
        <f t="shared" si="1468"/>
        <v>0</v>
      </c>
      <c r="NT190" s="120"/>
      <c r="NU190" s="120"/>
      <c r="NV190" s="120"/>
      <c r="NW190" s="120"/>
      <c r="NX190" s="120"/>
      <c r="NY190" s="205"/>
      <c r="NZ190" s="205"/>
      <c r="OA190" s="205">
        <f t="shared" si="1469"/>
        <v>0</v>
      </c>
      <c r="OB190" s="205">
        <f t="shared" si="1470"/>
        <v>0</v>
      </c>
      <c r="OC190" s="120"/>
      <c r="OD190" s="120"/>
      <c r="OE190" s="120"/>
      <c r="OF190" s="120"/>
      <c r="OG190" s="120"/>
      <c r="OH190" s="205"/>
      <c r="OI190" s="205"/>
      <c r="OJ190" s="205">
        <f t="shared" si="1471"/>
        <v>0</v>
      </c>
      <c r="OK190" s="120"/>
      <c r="OL190" s="120"/>
      <c r="OM190" s="120"/>
      <c r="ON190" s="120"/>
      <c r="OO190" s="120"/>
      <c r="OP190" s="205"/>
      <c r="OQ190" s="205"/>
      <c r="OR190" s="205">
        <f t="shared" si="1472"/>
        <v>0</v>
      </c>
      <c r="OS190" s="120"/>
      <c r="OT190" s="120"/>
      <c r="OU190" s="120"/>
      <c r="OV190" s="120"/>
      <c r="OW190" s="120"/>
      <c r="OX190" s="205"/>
      <c r="OY190" s="205"/>
      <c r="OZ190" s="205">
        <f t="shared" si="1473"/>
        <v>0</v>
      </c>
      <c r="PA190" s="120"/>
      <c r="PB190" s="120"/>
      <c r="PC190" s="120"/>
      <c r="PD190" s="205"/>
      <c r="PE190" s="217"/>
      <c r="PF190" s="205"/>
      <c r="PG190" s="205"/>
      <c r="PH190" s="205">
        <f t="shared" si="1474"/>
        <v>0</v>
      </c>
      <c r="PI190" s="120"/>
      <c r="PJ190" s="120"/>
      <c r="PK190" s="120"/>
      <c r="PL190" s="205"/>
      <c r="PM190" s="217"/>
      <c r="PN190" s="205"/>
      <c r="PO190" s="205"/>
      <c r="PP190" s="205">
        <f t="shared" si="1475"/>
        <v>0</v>
      </c>
      <c r="PQ190" s="205">
        <f t="shared" si="1476"/>
        <v>0</v>
      </c>
      <c r="PR190" s="207"/>
      <c r="PS190" s="207"/>
      <c r="PT190" s="207"/>
      <c r="PU190" s="207"/>
      <c r="PV190" s="207"/>
      <c r="PW190" s="272"/>
      <c r="PX190" s="272"/>
      <c r="PY190" s="205">
        <f t="shared" ref="PY190" si="1579">SUM(PR190:PX190)</f>
        <v>0</v>
      </c>
      <c r="PZ190" s="207"/>
      <c r="QA190" s="207"/>
      <c r="QB190" s="207"/>
      <c r="QC190" s="207"/>
      <c r="QD190" s="207"/>
      <c r="QE190" s="272"/>
      <c r="QF190" s="272"/>
      <c r="QG190" s="205">
        <f t="shared" ref="QG190" si="1580">SUM(PZ190:QF190)</f>
        <v>0</v>
      </c>
      <c r="QH190" s="207"/>
      <c r="QI190" s="207"/>
      <c r="QJ190" s="294"/>
      <c r="QK190" s="207"/>
      <c r="QL190" s="207"/>
      <c r="QM190" s="272"/>
      <c r="QN190" s="272"/>
      <c r="QO190" s="205">
        <f t="shared" ref="QO190" si="1581">SUM(QH190:QN190)</f>
        <v>0</v>
      </c>
      <c r="QP190" s="207"/>
      <c r="QQ190" s="207"/>
      <c r="QR190" s="207"/>
      <c r="QS190" s="207"/>
      <c r="QT190" s="207"/>
      <c r="QU190" s="272"/>
      <c r="QV190" s="272"/>
      <c r="QW190" s="205">
        <f t="shared" ref="QW190" si="1582">SUM(QP190:QV190)</f>
        <v>0</v>
      </c>
      <c r="QX190" s="205">
        <f t="shared" ref="QX190" si="1583">SUM(QW190,QO190,QG190,PY190,PL190,PM190,PN190,PO190)</f>
        <v>0</v>
      </c>
      <c r="QY190" s="207"/>
      <c r="QZ190" s="207"/>
      <c r="RA190" s="207"/>
      <c r="RB190" s="207"/>
      <c r="RC190" s="207"/>
      <c r="RD190" s="272"/>
      <c r="RE190" s="272"/>
      <c r="RF190" s="205">
        <f t="shared" ref="RF190" si="1584">SUM(QY190:RE190)</f>
        <v>0</v>
      </c>
      <c r="RG190" s="207"/>
      <c r="RH190" s="207"/>
      <c r="RI190" s="207"/>
      <c r="RJ190" s="207"/>
      <c r="RK190" s="207"/>
      <c r="RL190" s="272"/>
      <c r="RM190" s="272"/>
      <c r="RN190" s="205">
        <f t="shared" ref="RN190" si="1585">SUM(RG190:RM190)</f>
        <v>0</v>
      </c>
      <c r="RO190" s="272"/>
      <c r="RP190" s="272"/>
      <c r="RQ190" s="272"/>
      <c r="RR190" s="272"/>
      <c r="RS190" s="272"/>
      <c r="RT190" s="272"/>
      <c r="RU190" s="272"/>
      <c r="RV190" s="205">
        <f t="shared" ref="RV190" si="1586">SUM(RO190:RU190)</f>
        <v>0</v>
      </c>
      <c r="RW190" s="207"/>
      <c r="RX190" s="207"/>
      <c r="RY190" s="207"/>
      <c r="RZ190" s="207"/>
      <c r="SA190" s="272"/>
      <c r="SB190" s="272"/>
      <c r="SC190" s="272"/>
      <c r="SD190" s="205">
        <f t="shared" ref="SD190" si="1587">SUM(RW190:SC190)</f>
        <v>0</v>
      </c>
      <c r="SE190" s="205">
        <f t="shared" ref="SE190" si="1588">SUM(SD190,RV190,RN190,RF190,QV190)</f>
        <v>0</v>
      </c>
      <c r="SF190" s="207"/>
      <c r="SG190" s="207"/>
      <c r="SH190" s="207"/>
      <c r="SI190" s="207"/>
      <c r="SJ190" s="207"/>
      <c r="SK190" s="272"/>
      <c r="SL190" s="272"/>
      <c r="SM190" s="205">
        <f t="shared" ref="SM190" si="1589">SUM(SF190:SL190)</f>
        <v>0</v>
      </c>
      <c r="SN190" s="207"/>
      <c r="SO190" s="207"/>
      <c r="SP190" s="207"/>
      <c r="SQ190" s="207"/>
      <c r="SR190" s="207"/>
      <c r="SS190" s="272"/>
      <c r="ST190" s="272"/>
      <c r="SU190" s="205">
        <f t="shared" ref="SU190" si="1590">SUM(SN190:ST190)</f>
        <v>0</v>
      </c>
      <c r="SV190" s="207"/>
      <c r="SW190" s="207"/>
      <c r="SX190" s="207"/>
      <c r="SY190" s="207"/>
      <c r="SZ190" s="207"/>
      <c r="TA190" s="272"/>
      <c r="TB190" s="272"/>
      <c r="TC190" s="205">
        <f t="shared" ref="TC190" si="1591">SUM(SV190:TB190)</f>
        <v>0</v>
      </c>
      <c r="TD190" s="207"/>
      <c r="TE190" s="207"/>
      <c r="TF190" s="207"/>
      <c r="TG190" s="207"/>
      <c r="TH190" s="207"/>
      <c r="TI190" s="272"/>
      <c r="TJ190" s="272"/>
      <c r="TK190" s="205">
        <f t="shared" ref="TK190" si="1592">SUM(TD190:TJ190)</f>
        <v>0</v>
      </c>
      <c r="TL190" s="207"/>
      <c r="TM190" s="207"/>
      <c r="TN190" s="207"/>
      <c r="TO190" s="207"/>
      <c r="TP190" s="272"/>
      <c r="TQ190" s="272"/>
      <c r="TR190" s="272"/>
      <c r="TS190" s="205">
        <f t="shared" ref="TS190" si="1593">SUM(TL190:TR190)</f>
        <v>0</v>
      </c>
      <c r="TT190" s="205">
        <f t="shared" ref="TT190" si="1594">SUM(TL190:TM190,TK190,TC190,SU190,SM190,SC190)</f>
        <v>0</v>
      </c>
      <c r="TU190" s="272"/>
      <c r="TV190" s="207"/>
      <c r="TW190" s="207"/>
      <c r="TX190" s="207"/>
      <c r="TY190" s="207"/>
      <c r="TZ190" s="272"/>
      <c r="UA190" s="272"/>
      <c r="UB190" s="205">
        <f t="shared" ref="UB190" si="1595">SUM(TU190:UA190)</f>
        <v>0</v>
      </c>
      <c r="UC190" s="207"/>
      <c r="UD190" s="207"/>
      <c r="UE190" s="207"/>
      <c r="UF190" s="207"/>
      <c r="UG190" s="207"/>
      <c r="UH190" s="272"/>
      <c r="UI190" s="272"/>
      <c r="UJ190" s="205">
        <f t="shared" ref="UJ190" si="1596">SUM(UC190:UI190)</f>
        <v>0</v>
      </c>
      <c r="UK190" s="207"/>
      <c r="UL190" s="207"/>
      <c r="UM190" s="207"/>
      <c r="UN190" s="207"/>
      <c r="UO190" s="207"/>
      <c r="UP190" s="272"/>
      <c r="UQ190" s="272"/>
      <c r="UR190" s="205">
        <f t="shared" ref="UR190" si="1597">SUM(UK190:UQ190)</f>
        <v>0</v>
      </c>
      <c r="US190" s="207"/>
      <c r="UT190" s="207"/>
      <c r="UU190" s="207"/>
      <c r="UV190" s="207"/>
      <c r="UW190" s="272"/>
      <c r="UX190" s="272"/>
      <c r="UY190" s="272"/>
      <c r="UZ190" s="205">
        <f t="shared" ref="UZ190" si="1598">SUM(US190:UY190)</f>
        <v>0</v>
      </c>
      <c r="VA190" s="205">
        <f t="shared" ref="VA190" si="1599">SUM(TN190:TR190,UB190,UJ190,UR190,US190:UV190)</f>
        <v>0</v>
      </c>
      <c r="VB190" s="207"/>
      <c r="VC190" s="207"/>
      <c r="VD190" s="207"/>
      <c r="VE190" s="207"/>
      <c r="VF190" s="207"/>
      <c r="VG190" s="272"/>
      <c r="VH190" s="272"/>
      <c r="VI190" s="205">
        <f t="shared" ref="VI190" si="1600">SUM(VB190:VH190)</f>
        <v>0</v>
      </c>
      <c r="VJ190" s="207"/>
      <c r="VK190" s="207"/>
      <c r="VL190" s="207"/>
      <c r="VM190" s="207"/>
      <c r="VN190" s="207"/>
      <c r="VO190" s="272"/>
      <c r="VP190" s="272"/>
      <c r="VQ190" s="205">
        <f t="shared" ref="VQ190" si="1601">SUM(VJ190:VP190)</f>
        <v>0</v>
      </c>
      <c r="VR190" s="207"/>
      <c r="VS190" s="207"/>
      <c r="VT190" s="207"/>
      <c r="VU190" s="207"/>
      <c r="VV190" s="207"/>
      <c r="VW190" s="272"/>
      <c r="VX190" s="272"/>
      <c r="VY190" s="205">
        <f t="shared" ref="VY190" si="1602">SUM(VR190:VX190)</f>
        <v>0</v>
      </c>
      <c r="VZ190" s="207"/>
      <c r="WA190" s="207"/>
      <c r="WB190" s="207"/>
      <c r="WC190" s="207"/>
      <c r="WD190" s="207"/>
      <c r="WE190" s="272"/>
      <c r="WF190" s="272"/>
      <c r="WG190" s="205">
        <f t="shared" ref="WG190" si="1603">SUM(VZ190:WF190)</f>
        <v>0</v>
      </c>
      <c r="WH190" s="205">
        <f t="shared" ref="WH190" si="1604">SUM(WG190,VY190,VQ190,VI190,UW190:UY190)</f>
        <v>0</v>
      </c>
      <c r="WI190" s="207"/>
      <c r="WJ190" s="207"/>
      <c r="WK190" s="207"/>
      <c r="WL190" s="207"/>
      <c r="WM190" s="207"/>
      <c r="WN190" s="272"/>
      <c r="WO190" s="272"/>
      <c r="WP190" s="205">
        <f t="shared" ref="WP190" si="1605">SUM(WI190:WO190)</f>
        <v>0</v>
      </c>
      <c r="WQ190" s="207"/>
      <c r="WR190" s="207"/>
      <c r="WS190" s="207"/>
      <c r="WT190" s="207"/>
      <c r="WU190" s="207"/>
      <c r="WV190" s="272"/>
      <c r="WW190" s="272"/>
      <c r="WX190" s="205">
        <f t="shared" ref="WX190" si="1606">SUM(WQ190:WW190)</f>
        <v>0</v>
      </c>
      <c r="WY190" s="207"/>
      <c r="WZ190" s="207"/>
      <c r="XA190" s="207"/>
      <c r="XB190" s="207"/>
      <c r="XC190" s="272"/>
      <c r="XD190" s="272"/>
      <c r="XE190" s="272"/>
      <c r="XF190" s="205">
        <f t="shared" ref="XF190" si="1607">SUM(WY190:XE190)</f>
        <v>0</v>
      </c>
      <c r="XG190" s="207"/>
      <c r="XH190" s="207"/>
      <c r="XI190" s="207"/>
      <c r="XJ190" s="207"/>
      <c r="XK190" s="207"/>
      <c r="XL190" s="272"/>
      <c r="XM190" s="272"/>
      <c r="XN190" s="205">
        <f t="shared" ref="XN190" si="1608">SUM(XG190:XM190)</f>
        <v>0</v>
      </c>
      <c r="XO190" s="207"/>
      <c r="XP190" s="207"/>
      <c r="XQ190" s="207"/>
      <c r="XR190" s="207"/>
      <c r="XS190" s="207"/>
      <c r="XT190" s="272"/>
      <c r="XU190" s="272"/>
      <c r="XV190" s="205">
        <f t="shared" ref="XV190" si="1609">SUM(XO190:XU190)</f>
        <v>0</v>
      </c>
      <c r="XW190" s="205">
        <f t="shared" ref="XW190" si="1610">SUM(XO190:XP190,XN190,XF190,WX190,WP190)</f>
        <v>0</v>
      </c>
      <c r="XX190" s="207"/>
      <c r="XY190" s="207"/>
      <c r="XZ190" s="207"/>
      <c r="YA190" s="207"/>
      <c r="YB190" s="207"/>
      <c r="YC190" s="272"/>
      <c r="YD190" s="272"/>
      <c r="YE190" s="205">
        <f t="shared" si="1568"/>
        <v>0</v>
      </c>
      <c r="YF190" s="207"/>
      <c r="YG190" s="207"/>
      <c r="YH190" s="207"/>
      <c r="YI190" s="207"/>
      <c r="YJ190" s="207"/>
      <c r="YK190" s="272"/>
      <c r="YL190" s="272"/>
      <c r="YM190" s="205">
        <f t="shared" si="1569"/>
        <v>0</v>
      </c>
      <c r="YN190" s="207"/>
      <c r="YO190" s="207"/>
      <c r="YP190" s="207"/>
      <c r="YQ190" s="207"/>
      <c r="YR190" s="207"/>
      <c r="YS190" s="272"/>
      <c r="YT190" s="272"/>
      <c r="YU190" s="205">
        <f t="shared" si="1570"/>
        <v>0</v>
      </c>
      <c r="YV190" s="207"/>
      <c r="YW190" s="207"/>
      <c r="YX190" s="207"/>
      <c r="YY190" s="207"/>
      <c r="YZ190" s="207"/>
      <c r="ZA190" s="272"/>
      <c r="ZB190" s="272"/>
      <c r="ZC190" s="205">
        <f t="shared" si="1571"/>
        <v>0</v>
      </c>
      <c r="ZD190" s="205">
        <f t="shared" si="1572"/>
        <v>0</v>
      </c>
      <c r="ZE190" s="207"/>
      <c r="ZF190" s="207"/>
      <c r="ZG190" s="207"/>
      <c r="ZH190" s="207"/>
      <c r="ZI190" s="207"/>
      <c r="ZJ190" s="272"/>
      <c r="ZK190" s="272"/>
      <c r="ZL190" s="205">
        <f t="shared" si="1573"/>
        <v>0</v>
      </c>
      <c r="ZM190" s="207"/>
      <c r="ZN190" s="207"/>
      <c r="ZO190" s="207"/>
      <c r="ZP190" s="207"/>
      <c r="ZQ190" s="207"/>
      <c r="ZR190" s="272"/>
      <c r="ZS190" s="272"/>
      <c r="ZT190" s="205">
        <f t="shared" si="1574"/>
        <v>0</v>
      </c>
      <c r="ZU190" s="207"/>
      <c r="ZV190" s="207"/>
      <c r="ZW190" s="207"/>
      <c r="ZX190" s="207"/>
      <c r="ZY190" s="207"/>
      <c r="ZZ190" s="272"/>
      <c r="AAA190" s="272"/>
      <c r="AAB190" s="205">
        <f t="shared" si="1575"/>
        <v>0</v>
      </c>
      <c r="AAC190" s="207"/>
      <c r="AAD190" s="207"/>
      <c r="AAE190" s="207"/>
      <c r="AAF190" s="207"/>
      <c r="AAG190" s="207"/>
      <c r="AAH190" s="272"/>
      <c r="AAI190" s="272"/>
      <c r="AAJ190" s="205">
        <f t="shared" si="1576"/>
        <v>0</v>
      </c>
      <c r="AAK190" s="207"/>
      <c r="AAL190" s="207"/>
      <c r="AAM190" s="207"/>
      <c r="AAN190" s="207"/>
      <c r="AAO190" s="207"/>
      <c r="AAP190" s="272"/>
      <c r="AAQ190" s="272"/>
      <c r="AAR190" s="205">
        <f t="shared" si="1577"/>
        <v>0</v>
      </c>
      <c r="AAS190" s="205">
        <f t="shared" si="1578"/>
        <v>0</v>
      </c>
    </row>
    <row r="191" spans="1:721" s="127" customFormat="1" ht="75.95" customHeight="1">
      <c r="A191" s="128"/>
      <c r="B191" s="189"/>
      <c r="C191" s="132"/>
      <c r="D191" s="150"/>
      <c r="E191" s="150" t="s">
        <v>5</v>
      </c>
      <c r="F191" s="210">
        <f t="shared" ref="F191:BQ191" si="1611">SUMIF($E$124:$E$190,"Plan",F$124:F$190)</f>
        <v>3500</v>
      </c>
      <c r="G191" s="210">
        <f t="shared" si="1611"/>
        <v>2536</v>
      </c>
      <c r="H191" s="210">
        <f t="shared" si="1611"/>
        <v>6000</v>
      </c>
      <c r="I191" s="210">
        <f t="shared" si="1611"/>
        <v>5000</v>
      </c>
      <c r="J191" s="210">
        <f t="shared" si="1611"/>
        <v>3676</v>
      </c>
      <c r="K191" s="210">
        <f t="shared" si="1611"/>
        <v>0</v>
      </c>
      <c r="L191" s="210">
        <f t="shared" si="1611"/>
        <v>0</v>
      </c>
      <c r="M191" s="210">
        <f t="shared" si="1611"/>
        <v>20712</v>
      </c>
      <c r="N191" s="210">
        <f t="shared" si="1611"/>
        <v>3000</v>
      </c>
      <c r="O191" s="210">
        <f t="shared" si="1611"/>
        <v>1140</v>
      </c>
      <c r="P191" s="210">
        <f t="shared" si="1611"/>
        <v>700</v>
      </c>
      <c r="Q191" s="210">
        <f t="shared" si="1611"/>
        <v>0</v>
      </c>
      <c r="R191" s="210">
        <f t="shared" si="1611"/>
        <v>0</v>
      </c>
      <c r="S191" s="210">
        <f t="shared" si="1611"/>
        <v>0</v>
      </c>
      <c r="T191" s="210">
        <f t="shared" si="1611"/>
        <v>0</v>
      </c>
      <c r="U191" s="210">
        <f t="shared" si="1611"/>
        <v>4840</v>
      </c>
      <c r="V191" s="210">
        <f t="shared" si="1611"/>
        <v>0</v>
      </c>
      <c r="W191" s="210">
        <f t="shared" si="1611"/>
        <v>1569</v>
      </c>
      <c r="X191" s="210">
        <f t="shared" si="1611"/>
        <v>500</v>
      </c>
      <c r="Y191" s="210">
        <f t="shared" si="1611"/>
        <v>1409</v>
      </c>
      <c r="Z191" s="210">
        <f t="shared" si="1611"/>
        <v>500</v>
      </c>
      <c r="AA191" s="210">
        <f t="shared" si="1611"/>
        <v>0</v>
      </c>
      <c r="AB191" s="210">
        <f t="shared" si="1611"/>
        <v>0</v>
      </c>
      <c r="AC191" s="210">
        <f t="shared" si="1611"/>
        <v>3978</v>
      </c>
      <c r="AD191" s="210">
        <f t="shared" si="1611"/>
        <v>0</v>
      </c>
      <c r="AE191" s="210">
        <f t="shared" si="1611"/>
        <v>0</v>
      </c>
      <c r="AF191" s="210">
        <f t="shared" si="1611"/>
        <v>0</v>
      </c>
      <c r="AG191" s="210">
        <f t="shared" si="1611"/>
        <v>0</v>
      </c>
      <c r="AH191" s="210">
        <f t="shared" si="1611"/>
        <v>0</v>
      </c>
      <c r="AI191" s="210">
        <f t="shared" si="1611"/>
        <v>0</v>
      </c>
      <c r="AJ191" s="210">
        <f t="shared" si="1611"/>
        <v>0</v>
      </c>
      <c r="AK191" s="210">
        <f t="shared" si="1611"/>
        <v>0</v>
      </c>
      <c r="AL191" s="210" t="e">
        <f t="shared" si="1611"/>
        <v>#REF!</v>
      </c>
      <c r="AM191" s="210">
        <f t="shared" si="1611"/>
        <v>444</v>
      </c>
      <c r="AN191" s="210">
        <f t="shared" si="1611"/>
        <v>4700</v>
      </c>
      <c r="AO191" s="210">
        <f t="shared" si="1611"/>
        <v>444</v>
      </c>
      <c r="AP191" s="210">
        <f t="shared" si="1611"/>
        <v>4700</v>
      </c>
      <c r="AQ191" s="210">
        <f t="shared" si="1611"/>
        <v>0</v>
      </c>
      <c r="AR191" s="210">
        <f t="shared" si="1611"/>
        <v>0</v>
      </c>
      <c r="AS191" s="210">
        <f t="shared" si="1611"/>
        <v>0</v>
      </c>
      <c r="AT191" s="210">
        <f t="shared" si="1611"/>
        <v>10288</v>
      </c>
      <c r="AU191" s="210">
        <f t="shared" si="1611"/>
        <v>2500</v>
      </c>
      <c r="AV191" s="210">
        <f t="shared" si="1611"/>
        <v>300</v>
      </c>
      <c r="AW191" s="210">
        <f t="shared" si="1611"/>
        <v>2800</v>
      </c>
      <c r="AX191" s="210">
        <f t="shared" si="1611"/>
        <v>300</v>
      </c>
      <c r="AY191" s="210">
        <f t="shared" si="1611"/>
        <v>940</v>
      </c>
      <c r="AZ191" s="210">
        <f t="shared" si="1611"/>
        <v>0</v>
      </c>
      <c r="BA191" s="210">
        <f t="shared" si="1611"/>
        <v>0</v>
      </c>
      <c r="BB191" s="210">
        <f t="shared" si="1611"/>
        <v>6840</v>
      </c>
      <c r="BC191" s="210">
        <f t="shared" si="1611"/>
        <v>2000</v>
      </c>
      <c r="BD191" s="210">
        <f t="shared" si="1611"/>
        <v>5440</v>
      </c>
      <c r="BE191" s="210">
        <f t="shared" si="1611"/>
        <v>2300</v>
      </c>
      <c r="BF191" s="210">
        <f t="shared" si="1611"/>
        <v>4200</v>
      </c>
      <c r="BG191" s="210">
        <f t="shared" si="1611"/>
        <v>2000</v>
      </c>
      <c r="BH191" s="210">
        <f t="shared" si="1611"/>
        <v>0</v>
      </c>
      <c r="BI191" s="210">
        <f t="shared" si="1611"/>
        <v>0</v>
      </c>
      <c r="BJ191" s="210">
        <f t="shared" si="1611"/>
        <v>15940</v>
      </c>
      <c r="BK191" s="210">
        <f t="shared" si="1611"/>
        <v>4200</v>
      </c>
      <c r="BL191" s="210">
        <f t="shared" si="1611"/>
        <v>1527</v>
      </c>
      <c r="BM191" s="210">
        <f t="shared" si="1611"/>
        <v>4200</v>
      </c>
      <c r="BN191" s="210">
        <f t="shared" si="1611"/>
        <v>1527</v>
      </c>
      <c r="BO191" s="210">
        <f t="shared" si="1611"/>
        <v>0</v>
      </c>
      <c r="BP191" s="210">
        <f t="shared" si="1611"/>
        <v>0</v>
      </c>
      <c r="BQ191" s="210">
        <f t="shared" si="1611"/>
        <v>0</v>
      </c>
      <c r="BR191" s="210">
        <f t="shared" ref="BR191:DH191" si="1612">SUMIF($E$124:$E$190,"Plan",BR$124:BR$190)</f>
        <v>11454</v>
      </c>
      <c r="BS191" s="210">
        <f t="shared" si="1612"/>
        <v>44522</v>
      </c>
      <c r="BT191" s="210">
        <f t="shared" si="1612"/>
        <v>2800</v>
      </c>
      <c r="BU191" s="210">
        <f t="shared" si="1612"/>
        <v>5000</v>
      </c>
      <c r="BV191" s="210">
        <f t="shared" si="1612"/>
        <v>3300</v>
      </c>
      <c r="BW191" s="210">
        <f t="shared" si="1612"/>
        <v>5500</v>
      </c>
      <c r="BX191" s="210">
        <f t="shared" si="1612"/>
        <v>833</v>
      </c>
      <c r="BY191" s="210">
        <f t="shared" si="1612"/>
        <v>0</v>
      </c>
      <c r="BZ191" s="210">
        <f t="shared" si="1612"/>
        <v>0</v>
      </c>
      <c r="CA191" s="210">
        <f t="shared" si="1612"/>
        <v>17433</v>
      </c>
      <c r="CB191" s="210">
        <f t="shared" si="1612"/>
        <v>9000</v>
      </c>
      <c r="CC191" s="210">
        <f t="shared" si="1612"/>
        <v>4933</v>
      </c>
      <c r="CD191" s="210">
        <f t="shared" si="1612"/>
        <v>6275</v>
      </c>
      <c r="CE191" s="210">
        <f t="shared" si="1612"/>
        <v>500</v>
      </c>
      <c r="CF191" s="210">
        <f t="shared" si="1612"/>
        <v>1675</v>
      </c>
      <c r="CG191" s="210">
        <f t="shared" si="1612"/>
        <v>0</v>
      </c>
      <c r="CH191" s="210">
        <f t="shared" si="1612"/>
        <v>0</v>
      </c>
      <c r="CI191" s="210">
        <f t="shared" si="1612"/>
        <v>22383</v>
      </c>
      <c r="CJ191" s="210">
        <f t="shared" si="1612"/>
        <v>2900</v>
      </c>
      <c r="CK191" s="210">
        <f t="shared" si="1612"/>
        <v>900</v>
      </c>
      <c r="CL191" s="210">
        <f t="shared" si="1612"/>
        <v>2500</v>
      </c>
      <c r="CM191" s="210">
        <f t="shared" si="1612"/>
        <v>0</v>
      </c>
      <c r="CN191" s="210">
        <f t="shared" si="1612"/>
        <v>500</v>
      </c>
      <c r="CO191" s="210">
        <f t="shared" si="1612"/>
        <v>0</v>
      </c>
      <c r="CP191" s="210">
        <f t="shared" si="1612"/>
        <v>0</v>
      </c>
      <c r="CQ191" s="210">
        <f t="shared" si="1612"/>
        <v>6800</v>
      </c>
      <c r="CR191" s="210">
        <f t="shared" si="1612"/>
        <v>1318</v>
      </c>
      <c r="CS191" s="210">
        <f t="shared" si="1612"/>
        <v>500</v>
      </c>
      <c r="CT191" s="210">
        <f t="shared" si="1612"/>
        <v>1668</v>
      </c>
      <c r="CU191" s="210">
        <f t="shared" si="1612"/>
        <v>950</v>
      </c>
      <c r="CV191" s="210">
        <f t="shared" si="1612"/>
        <v>500</v>
      </c>
      <c r="CW191" s="210">
        <f t="shared" si="1612"/>
        <v>0</v>
      </c>
      <c r="CX191" s="210">
        <f t="shared" si="1612"/>
        <v>0</v>
      </c>
      <c r="CY191" s="210">
        <f t="shared" si="1612"/>
        <v>4936</v>
      </c>
      <c r="CZ191" s="210">
        <f t="shared" si="1612"/>
        <v>500</v>
      </c>
      <c r="DA191" s="210">
        <f t="shared" si="1612"/>
        <v>0</v>
      </c>
      <c r="DB191" s="210">
        <f t="shared" si="1612"/>
        <v>0</v>
      </c>
      <c r="DC191" s="210">
        <f t="shared" si="1612"/>
        <v>0</v>
      </c>
      <c r="DD191" s="210">
        <f t="shared" si="1612"/>
        <v>0</v>
      </c>
      <c r="DE191" s="210">
        <f t="shared" si="1612"/>
        <v>0</v>
      </c>
      <c r="DF191" s="210">
        <f t="shared" si="1612"/>
        <v>0</v>
      </c>
      <c r="DG191" s="210">
        <f t="shared" si="1612"/>
        <v>500</v>
      </c>
      <c r="DH191" s="210">
        <f t="shared" si="1612"/>
        <v>52052</v>
      </c>
      <c r="SV191" s="359"/>
      <c r="SW191" s="359"/>
      <c r="SX191" s="359"/>
      <c r="SY191" s="359"/>
      <c r="SZ191" s="359"/>
      <c r="TA191" s="359"/>
    </row>
    <row r="192" spans="1:721" s="127" customFormat="1" ht="78" customHeight="1">
      <c r="A192" s="128"/>
      <c r="B192" s="150" t="s">
        <v>838</v>
      </c>
      <c r="C192" s="132"/>
      <c r="D192" s="150"/>
      <c r="E192" s="150"/>
      <c r="F192" s="210"/>
      <c r="G192" s="210"/>
      <c r="H192" s="210"/>
      <c r="I192" s="210"/>
      <c r="J192" s="210"/>
      <c r="K192" s="210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0"/>
      <c r="AF192" s="210"/>
      <c r="AG192" s="210"/>
      <c r="AH192" s="210"/>
      <c r="AI192" s="210"/>
      <c r="AJ192" s="210"/>
      <c r="AK192" s="210"/>
      <c r="AL192" s="210"/>
      <c r="AM192" s="210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  <c r="BM192" s="210"/>
      <c r="BN192" s="210"/>
      <c r="BO192" s="210"/>
      <c r="BP192" s="210"/>
      <c r="BQ192" s="210"/>
      <c r="BR192" s="210"/>
      <c r="BS192" s="210"/>
      <c r="BT192" s="210"/>
      <c r="BU192" s="210"/>
      <c r="BV192" s="210"/>
      <c r="BW192" s="210"/>
      <c r="BX192" s="210"/>
      <c r="BY192" s="210"/>
      <c r="BZ192" s="210"/>
      <c r="CA192" s="210"/>
      <c r="CB192" s="210"/>
      <c r="CC192" s="210"/>
      <c r="CD192" s="210"/>
      <c r="CE192" s="210"/>
      <c r="CF192" s="210"/>
      <c r="CG192" s="210"/>
      <c r="CH192" s="210"/>
      <c r="CI192" s="210"/>
      <c r="CJ192" s="210"/>
      <c r="CK192" s="210"/>
      <c r="CL192" s="210"/>
      <c r="CM192" s="210"/>
      <c r="CN192" s="210"/>
      <c r="CO192" s="210"/>
      <c r="CP192" s="210"/>
      <c r="CQ192" s="210"/>
      <c r="CR192" s="210"/>
      <c r="CS192" s="210"/>
      <c r="CT192" s="210"/>
      <c r="CU192" s="210"/>
      <c r="CV192" s="210"/>
      <c r="CW192" s="210"/>
      <c r="CX192" s="210"/>
      <c r="CY192" s="210"/>
      <c r="CZ192" s="210"/>
      <c r="DA192" s="210"/>
      <c r="DB192" s="210"/>
      <c r="DC192" s="210"/>
      <c r="DD192" s="210"/>
      <c r="DE192" s="210"/>
      <c r="DF192" s="210"/>
      <c r="DG192" s="210"/>
      <c r="DH192" s="210"/>
      <c r="RW192" s="400" t="s">
        <v>874</v>
      </c>
      <c r="RX192" s="401"/>
      <c r="RY192" s="401"/>
      <c r="RZ192" s="401"/>
      <c r="SN192" s="399" t="s">
        <v>903</v>
      </c>
      <c r="SO192" s="399"/>
      <c r="SP192" s="399"/>
      <c r="SQ192" s="399"/>
      <c r="SR192" s="399"/>
      <c r="SV192" s="395" t="s">
        <v>909</v>
      </c>
      <c r="SW192" s="395"/>
      <c r="SX192" s="395"/>
      <c r="SY192" s="395"/>
      <c r="SZ192" s="395"/>
      <c r="TA192" s="360"/>
      <c r="TG192" s="374" t="s">
        <v>921</v>
      </c>
      <c r="UU192" s="128"/>
    </row>
    <row r="193" spans="1:721" ht="69.95" customHeight="1">
      <c r="B193" s="130" t="s">
        <v>877</v>
      </c>
      <c r="C193" s="146" t="s">
        <v>226</v>
      </c>
      <c r="D193" s="136" t="s">
        <v>0</v>
      </c>
      <c r="E193" s="130" t="s">
        <v>4</v>
      </c>
      <c r="F193" s="121">
        <v>45663</v>
      </c>
      <c r="G193" s="121">
        <v>45664</v>
      </c>
      <c r="H193" s="121">
        <v>45665</v>
      </c>
      <c r="I193" s="121">
        <v>45666</v>
      </c>
      <c r="J193" s="121">
        <v>45667</v>
      </c>
      <c r="K193" s="122">
        <f t="shared" ref="K193" si="1613">J193+1</f>
        <v>45668</v>
      </c>
      <c r="L193" s="122">
        <f t="shared" ref="L193" si="1614">K193+1</f>
        <v>45669</v>
      </c>
      <c r="M193" s="122" t="s">
        <v>615</v>
      </c>
      <c r="N193" s="121">
        <f>L193+1</f>
        <v>45670</v>
      </c>
      <c r="O193" s="121">
        <f t="shared" ref="O193" si="1615">N193+1</f>
        <v>45671</v>
      </c>
      <c r="P193" s="121">
        <f t="shared" ref="P193" si="1616">O193+1</f>
        <v>45672</v>
      </c>
      <c r="Q193" s="121">
        <f t="shared" ref="Q193" si="1617">P193+1</f>
        <v>45673</v>
      </c>
      <c r="R193" s="121">
        <f t="shared" ref="R193" si="1618">Q193+1</f>
        <v>45674</v>
      </c>
      <c r="S193" s="122">
        <f t="shared" ref="S193" si="1619">R193+1</f>
        <v>45675</v>
      </c>
      <c r="T193" s="122">
        <f t="shared" ref="T193" si="1620">S193+1</f>
        <v>45676</v>
      </c>
      <c r="U193" s="122" t="s">
        <v>616</v>
      </c>
      <c r="V193" s="121">
        <f>T193+1</f>
        <v>45677</v>
      </c>
      <c r="W193" s="121">
        <f t="shared" ref="W193" si="1621">V193+1</f>
        <v>45678</v>
      </c>
      <c r="X193" s="121">
        <f t="shared" ref="X193" si="1622">W193+1</f>
        <v>45679</v>
      </c>
      <c r="Y193" s="121">
        <f t="shared" ref="Y193" si="1623">X193+1</f>
        <v>45680</v>
      </c>
      <c r="Z193" s="121">
        <f t="shared" ref="Z193" si="1624">Y193+1</f>
        <v>45681</v>
      </c>
      <c r="AA193" s="122">
        <f t="shared" ref="AA193" si="1625">Z193+1</f>
        <v>45682</v>
      </c>
      <c r="AB193" s="122">
        <f t="shared" ref="AB193" si="1626">AA193+1</f>
        <v>45683</v>
      </c>
      <c r="AC193" s="122" t="s">
        <v>78</v>
      </c>
      <c r="AD193" s="122">
        <f>AB193+1</f>
        <v>45684</v>
      </c>
      <c r="AE193" s="122">
        <f t="shared" ref="AE193" si="1627">AD193+1</f>
        <v>45685</v>
      </c>
      <c r="AF193" s="122">
        <f t="shared" ref="AF193" si="1628">AE193+1</f>
        <v>45686</v>
      </c>
      <c r="AG193" s="122">
        <f t="shared" ref="AG193" si="1629">AF193+1</f>
        <v>45687</v>
      </c>
      <c r="AH193" s="122">
        <f t="shared" ref="AH193" si="1630">AG193+1</f>
        <v>45688</v>
      </c>
      <c r="AI193" s="122">
        <f t="shared" ref="AI193" si="1631">AH193+1</f>
        <v>45689</v>
      </c>
      <c r="AJ193" s="122">
        <f t="shared" ref="AJ193" si="1632">AI193+1</f>
        <v>45690</v>
      </c>
      <c r="AK193" s="122" t="s">
        <v>53</v>
      </c>
      <c r="AL193" s="122" t="s">
        <v>55</v>
      </c>
      <c r="AM193" s="121">
        <f>AJ193+1</f>
        <v>45691</v>
      </c>
      <c r="AN193" s="121">
        <f t="shared" ref="AN193" si="1633">AM193+1</f>
        <v>45692</v>
      </c>
      <c r="AO193" s="121">
        <f t="shared" ref="AO193" si="1634">AN193+1</f>
        <v>45693</v>
      </c>
      <c r="AP193" s="121">
        <f t="shared" ref="AP193" si="1635">AO193+1</f>
        <v>45694</v>
      </c>
      <c r="AQ193" s="121">
        <f t="shared" ref="AQ193" si="1636">AP193+1</f>
        <v>45695</v>
      </c>
      <c r="AR193" s="122">
        <f t="shared" ref="AR193" si="1637">AQ193+1</f>
        <v>45696</v>
      </c>
      <c r="AS193" s="122">
        <f t="shared" ref="AS193" si="1638">AR193+1</f>
        <v>45697</v>
      </c>
      <c r="AT193" s="122" t="s">
        <v>54</v>
      </c>
      <c r="AU193" s="121">
        <f>AS193+1</f>
        <v>45698</v>
      </c>
      <c r="AV193" s="121">
        <f t="shared" ref="AV193" si="1639">AU193+1</f>
        <v>45699</v>
      </c>
      <c r="AW193" s="121">
        <f t="shared" ref="AW193" si="1640">AV193+1</f>
        <v>45700</v>
      </c>
      <c r="AX193" s="121">
        <f t="shared" ref="AX193" si="1641">AW193+1</f>
        <v>45701</v>
      </c>
      <c r="AY193" s="121">
        <f t="shared" ref="AY193" si="1642">AX193+1</f>
        <v>45702</v>
      </c>
      <c r="AZ193" s="122">
        <f t="shared" ref="AZ193" si="1643">AY193+1</f>
        <v>45703</v>
      </c>
      <c r="BA193" s="122">
        <f t="shared" ref="BA193" si="1644">AZ193+1</f>
        <v>45704</v>
      </c>
      <c r="BB193" s="122" t="s">
        <v>81</v>
      </c>
      <c r="BC193" s="121">
        <f>BA193+1</f>
        <v>45705</v>
      </c>
      <c r="BD193" s="121">
        <f t="shared" ref="BD193" si="1645">BC193+1</f>
        <v>45706</v>
      </c>
      <c r="BE193" s="121">
        <f t="shared" ref="BE193" si="1646">BD193+1</f>
        <v>45707</v>
      </c>
      <c r="BF193" s="121">
        <f t="shared" ref="BF193" si="1647">BE193+1</f>
        <v>45708</v>
      </c>
      <c r="BG193" s="219">
        <f t="shared" ref="BG193" si="1648">BF193+1</f>
        <v>45709</v>
      </c>
      <c r="BH193" s="122">
        <f t="shared" ref="BH193" si="1649">BG193+1</f>
        <v>45710</v>
      </c>
      <c r="BI193" s="122">
        <f t="shared" ref="BI193" si="1650">BH193+1</f>
        <v>45711</v>
      </c>
      <c r="BJ193" s="122" t="s">
        <v>82</v>
      </c>
      <c r="BK193" s="121">
        <f>BI193+1</f>
        <v>45712</v>
      </c>
      <c r="BL193" s="121">
        <f t="shared" ref="BL193" si="1651">BK193+1</f>
        <v>45713</v>
      </c>
      <c r="BM193" s="219">
        <f t="shared" ref="BM193" si="1652">BL193+1</f>
        <v>45714</v>
      </c>
      <c r="BN193" s="219">
        <f t="shared" ref="BN193" si="1653">BM193+1</f>
        <v>45715</v>
      </c>
      <c r="BO193" s="122">
        <f t="shared" ref="BO193" si="1654">BN193+1</f>
        <v>45716</v>
      </c>
      <c r="BP193" s="122">
        <f t="shared" ref="BP193" si="1655">BO193+1</f>
        <v>45717</v>
      </c>
      <c r="BQ193" s="122">
        <f t="shared" ref="BQ193" si="1656">BP193+1</f>
        <v>45718</v>
      </c>
      <c r="BR193" s="122" t="s">
        <v>83</v>
      </c>
      <c r="BS193" s="122" t="s">
        <v>56</v>
      </c>
      <c r="BT193" s="121">
        <f>BQ193+1</f>
        <v>45719</v>
      </c>
      <c r="BU193" s="121">
        <f t="shared" ref="BU193" si="1657">BT193+1</f>
        <v>45720</v>
      </c>
      <c r="BV193" s="219">
        <f t="shared" ref="BV193" si="1658">BU193+1</f>
        <v>45721</v>
      </c>
      <c r="BW193" s="219">
        <f t="shared" ref="BW193" si="1659">BV193+1</f>
        <v>45722</v>
      </c>
      <c r="BX193" s="219">
        <f t="shared" ref="BX193" si="1660">BW193+1</f>
        <v>45723</v>
      </c>
      <c r="BY193" s="122">
        <f t="shared" ref="BY193" si="1661">BX193+1</f>
        <v>45724</v>
      </c>
      <c r="BZ193" s="122">
        <f t="shared" ref="BZ193" si="1662">BY193+1</f>
        <v>45725</v>
      </c>
      <c r="CA193" s="122" t="s">
        <v>84</v>
      </c>
      <c r="CB193" s="121">
        <f>BZ193+1</f>
        <v>45726</v>
      </c>
      <c r="CC193" s="121">
        <f t="shared" ref="CC193" si="1663">CB193+1</f>
        <v>45727</v>
      </c>
      <c r="CD193" s="121">
        <f t="shared" ref="CD193" si="1664">CC193+1</f>
        <v>45728</v>
      </c>
      <c r="CE193" s="121">
        <f t="shared" ref="CE193" si="1665">CD193+1</f>
        <v>45729</v>
      </c>
      <c r="CF193" s="121">
        <f t="shared" ref="CF193" si="1666">CE193+1</f>
        <v>45730</v>
      </c>
      <c r="CG193" s="122">
        <f t="shared" ref="CG193" si="1667">CF193+1</f>
        <v>45731</v>
      </c>
      <c r="CH193" s="122">
        <f t="shared" ref="CH193" si="1668">CG193+1</f>
        <v>45732</v>
      </c>
      <c r="CI193" s="122" t="s">
        <v>576</v>
      </c>
      <c r="CJ193" s="121">
        <v>45733</v>
      </c>
      <c r="CK193" s="121">
        <v>45734</v>
      </c>
      <c r="CL193" s="121">
        <v>45735</v>
      </c>
      <c r="CM193" s="121">
        <v>45736</v>
      </c>
      <c r="CN193" s="121">
        <v>45737</v>
      </c>
      <c r="CO193" s="122">
        <f t="shared" ref="CO193" si="1669">CN193+1</f>
        <v>45738</v>
      </c>
      <c r="CP193" s="122">
        <f t="shared" ref="CP193" si="1670">CO193+1</f>
        <v>45739</v>
      </c>
      <c r="CQ193" s="122" t="s">
        <v>575</v>
      </c>
      <c r="CR193" s="121">
        <f>CP193+1</f>
        <v>45740</v>
      </c>
      <c r="CS193" s="121">
        <f t="shared" ref="CS193" si="1671">CR193+1</f>
        <v>45741</v>
      </c>
      <c r="CT193" s="121">
        <f t="shared" ref="CT193" si="1672">CS193+1</f>
        <v>45742</v>
      </c>
      <c r="CU193" s="121">
        <f t="shared" ref="CU193" si="1673">CT193+1</f>
        <v>45743</v>
      </c>
      <c r="CV193" s="121">
        <f t="shared" ref="CV193" si="1674">CU193+1</f>
        <v>45744</v>
      </c>
      <c r="CW193" s="122">
        <f t="shared" ref="CW193" si="1675">CV193+1</f>
        <v>45745</v>
      </c>
      <c r="CX193" s="122">
        <f t="shared" ref="CX193" si="1676">CW193+1</f>
        <v>45746</v>
      </c>
      <c r="CY193" s="122" t="s">
        <v>574</v>
      </c>
      <c r="CZ193" s="254">
        <f>CX193+1</f>
        <v>45747</v>
      </c>
      <c r="DA193" s="121">
        <f t="shared" ref="DA193" si="1677">CZ193+1</f>
        <v>45748</v>
      </c>
      <c r="DB193" s="121">
        <f t="shared" ref="DB193" si="1678">DA193+1</f>
        <v>45749</v>
      </c>
      <c r="DC193" s="122">
        <f t="shared" ref="DC193" si="1679">DB193+1</f>
        <v>45750</v>
      </c>
      <c r="DD193" s="122">
        <f t="shared" ref="DD193" si="1680">DC193+1</f>
        <v>45751</v>
      </c>
      <c r="DE193" s="122">
        <f t="shared" ref="DE193" si="1681">DD193+1</f>
        <v>45752</v>
      </c>
      <c r="DF193" s="122">
        <f t="shared" ref="DF193" si="1682">DE193+1</f>
        <v>45753</v>
      </c>
      <c r="DG193" s="122" t="s">
        <v>573</v>
      </c>
      <c r="DH193" s="122" t="s">
        <v>85</v>
      </c>
      <c r="DI193" s="256">
        <f>DF193+1</f>
        <v>45754</v>
      </c>
      <c r="DJ193" s="121">
        <f t="shared" ref="DJ193" si="1683">DI193+1</f>
        <v>45755</v>
      </c>
      <c r="DK193" s="121">
        <f t="shared" ref="DK193" si="1684">DJ193+1</f>
        <v>45756</v>
      </c>
      <c r="DL193" s="121">
        <f t="shared" ref="DL193" si="1685">DK193+1</f>
        <v>45757</v>
      </c>
      <c r="DM193" s="121">
        <f t="shared" ref="DM193" si="1686">DL193+1</f>
        <v>45758</v>
      </c>
      <c r="DN193" s="122">
        <f t="shared" ref="DN193" si="1687">DM193+1</f>
        <v>45759</v>
      </c>
      <c r="DO193" s="122">
        <f t="shared" ref="DO193" si="1688">DN193+1</f>
        <v>45760</v>
      </c>
      <c r="DP193" s="122" t="s">
        <v>577</v>
      </c>
      <c r="DQ193" s="121">
        <f>DO193+1</f>
        <v>45761</v>
      </c>
      <c r="DR193" s="121">
        <f t="shared" ref="DR193" si="1689">DQ193+1</f>
        <v>45762</v>
      </c>
      <c r="DS193" s="121">
        <f t="shared" ref="DS193" si="1690">DR193+1</f>
        <v>45763</v>
      </c>
      <c r="DT193" s="121">
        <f t="shared" ref="DT193" si="1691">DS193+1</f>
        <v>45764</v>
      </c>
      <c r="DU193" s="121">
        <f t="shared" ref="DU193" si="1692">DT193+1</f>
        <v>45765</v>
      </c>
      <c r="DV193" s="122">
        <f t="shared" ref="DV193" si="1693">DU193+1</f>
        <v>45766</v>
      </c>
      <c r="DW193" s="122">
        <f t="shared" ref="DW193" si="1694">DV193+1</f>
        <v>45767</v>
      </c>
      <c r="DX193" s="122" t="s">
        <v>578</v>
      </c>
      <c r="DY193" s="121">
        <f>DW193+1</f>
        <v>45768</v>
      </c>
      <c r="DZ193" s="121">
        <f t="shared" ref="DZ193" si="1695">DY193+1</f>
        <v>45769</v>
      </c>
      <c r="EA193" s="121">
        <f t="shared" ref="EA193" si="1696">DZ193+1</f>
        <v>45770</v>
      </c>
      <c r="EB193" s="121">
        <f t="shared" ref="EB193" si="1697">EA193+1</f>
        <v>45771</v>
      </c>
      <c r="EC193" s="121">
        <f t="shared" ref="EC193" si="1698">EB193+1</f>
        <v>45772</v>
      </c>
      <c r="ED193" s="122">
        <f t="shared" ref="ED193" si="1699">EC193+1</f>
        <v>45773</v>
      </c>
      <c r="EE193" s="122">
        <f t="shared" ref="EE193" si="1700">ED193+1</f>
        <v>45774</v>
      </c>
      <c r="EF193" s="122" t="s">
        <v>579</v>
      </c>
      <c r="EG193" s="121">
        <f>EE193+1</f>
        <v>45775</v>
      </c>
      <c r="EH193" s="121">
        <f t="shared" ref="EH193" si="1701">EG193+1</f>
        <v>45776</v>
      </c>
      <c r="EI193" s="121">
        <f t="shared" ref="EI193" si="1702">EH193+1</f>
        <v>45777</v>
      </c>
      <c r="EJ193" s="204">
        <f t="shared" ref="EJ193" si="1703">EI193+1</f>
        <v>45778</v>
      </c>
      <c r="EK193" s="204">
        <f t="shared" ref="EK193" si="1704">EJ193+1</f>
        <v>45779</v>
      </c>
      <c r="EL193" s="122">
        <f t="shared" ref="EL193" si="1705">EK193+1</f>
        <v>45780</v>
      </c>
      <c r="EM193" s="122">
        <f t="shared" ref="EM193" si="1706">EL193+1</f>
        <v>45781</v>
      </c>
      <c r="EN193" s="122" t="s">
        <v>580</v>
      </c>
      <c r="EO193" s="122" t="s">
        <v>581</v>
      </c>
      <c r="EP193" s="121">
        <v>45782</v>
      </c>
      <c r="EQ193" s="121">
        <v>45783</v>
      </c>
      <c r="ER193" s="121">
        <v>45784</v>
      </c>
      <c r="ES193" s="121">
        <v>45785</v>
      </c>
      <c r="ET193" s="121">
        <v>45786</v>
      </c>
      <c r="EU193" s="122">
        <f t="shared" ref="EU193" si="1707">ET193+1</f>
        <v>45787</v>
      </c>
      <c r="EV193" s="122">
        <f t="shared" ref="EV193" si="1708">EU193+1</f>
        <v>45788</v>
      </c>
      <c r="EW193" s="122" t="s">
        <v>584</v>
      </c>
      <c r="EX193" s="121">
        <f>EV193+1</f>
        <v>45789</v>
      </c>
      <c r="EY193" s="121">
        <f t="shared" ref="EY193" si="1709">EX193+1</f>
        <v>45790</v>
      </c>
      <c r="EZ193" s="219">
        <f t="shared" ref="EZ193" si="1710">EY193+1</f>
        <v>45791</v>
      </c>
      <c r="FA193" s="121">
        <f t="shared" ref="FA193" si="1711">EZ193+1</f>
        <v>45792</v>
      </c>
      <c r="FB193" s="121">
        <f t="shared" ref="FB193" si="1712">FA193+1</f>
        <v>45793</v>
      </c>
      <c r="FC193" s="122">
        <f t="shared" ref="FC193" si="1713">FB193+1</f>
        <v>45794</v>
      </c>
      <c r="FD193" s="122">
        <f t="shared" ref="FD193" si="1714">FC193+1</f>
        <v>45795</v>
      </c>
      <c r="FE193" s="122" t="s">
        <v>585</v>
      </c>
      <c r="FF193" s="121">
        <f>FD193+1</f>
        <v>45796</v>
      </c>
      <c r="FG193" s="121">
        <f t="shared" ref="FG193" si="1715">FF193+1</f>
        <v>45797</v>
      </c>
      <c r="FH193" s="121">
        <f t="shared" ref="FH193" si="1716">FG193+1</f>
        <v>45798</v>
      </c>
      <c r="FI193" s="121">
        <f t="shared" ref="FI193" si="1717">FH193+1</f>
        <v>45799</v>
      </c>
      <c r="FJ193" s="121">
        <f t="shared" ref="FJ193" si="1718">FI193+1</f>
        <v>45800</v>
      </c>
      <c r="FK193" s="122">
        <f t="shared" ref="FK193" si="1719">FJ193+1</f>
        <v>45801</v>
      </c>
      <c r="FL193" s="122">
        <f t="shared" ref="FL193" si="1720">FK193+1</f>
        <v>45802</v>
      </c>
      <c r="FM193" s="122" t="s">
        <v>586</v>
      </c>
      <c r="FN193" s="121">
        <f>FL193+1</f>
        <v>45803</v>
      </c>
      <c r="FO193" s="121">
        <f t="shared" ref="FO193" si="1721">FN193+1</f>
        <v>45804</v>
      </c>
      <c r="FP193" s="121">
        <f t="shared" ref="FP193" si="1722">FO193+1</f>
        <v>45805</v>
      </c>
      <c r="FQ193" s="121">
        <f t="shared" ref="FQ193" si="1723">FP193+1</f>
        <v>45806</v>
      </c>
      <c r="FR193" s="204">
        <f t="shared" ref="FR193" si="1724">FQ193+1</f>
        <v>45807</v>
      </c>
      <c r="FS193" s="122">
        <f t="shared" ref="FS193" si="1725">FR193+1</f>
        <v>45808</v>
      </c>
      <c r="FT193" s="122">
        <f t="shared" ref="FT193" si="1726">FS193+1</f>
        <v>45809</v>
      </c>
      <c r="FU193" s="122" t="s">
        <v>587</v>
      </c>
      <c r="FV193" s="122" t="s">
        <v>588</v>
      </c>
      <c r="FW193" s="121">
        <f>FT193+1</f>
        <v>45810</v>
      </c>
      <c r="FX193" s="121">
        <f t="shared" ref="FX193" si="1727">FW193+1</f>
        <v>45811</v>
      </c>
      <c r="FY193" s="121">
        <f t="shared" ref="FY193" si="1728">FX193+1</f>
        <v>45812</v>
      </c>
      <c r="FZ193" s="121">
        <f t="shared" ref="FZ193" si="1729">FY193+1</f>
        <v>45813</v>
      </c>
      <c r="GA193" s="260">
        <f t="shared" ref="GA193" si="1730">FZ193+1</f>
        <v>45814</v>
      </c>
      <c r="GB193" s="122">
        <f t="shared" ref="GB193" si="1731">GA193+1</f>
        <v>45815</v>
      </c>
      <c r="GC193" s="122">
        <f t="shared" ref="GC193" si="1732">GB193+1</f>
        <v>45816</v>
      </c>
      <c r="GD193" s="122" t="s">
        <v>589</v>
      </c>
      <c r="GE193" s="260">
        <f>GC193+1</f>
        <v>45817</v>
      </c>
      <c r="GF193" s="260">
        <f t="shared" ref="GF193" si="1733">GE193+1</f>
        <v>45818</v>
      </c>
      <c r="GG193" s="260">
        <f t="shared" ref="GG193" si="1734">GF193+1</f>
        <v>45819</v>
      </c>
      <c r="GH193" s="260">
        <f t="shared" ref="GH193" si="1735">GG193+1</f>
        <v>45820</v>
      </c>
      <c r="GI193" s="121">
        <f t="shared" ref="GI193" si="1736">GH193+1</f>
        <v>45821</v>
      </c>
      <c r="GJ193" s="122">
        <f t="shared" ref="GJ193" si="1737">GI193+1</f>
        <v>45822</v>
      </c>
      <c r="GK193" s="122">
        <f t="shared" ref="GK193" si="1738">GJ193+1</f>
        <v>45823</v>
      </c>
      <c r="GL193" s="122" t="s">
        <v>590</v>
      </c>
      <c r="GM193" s="121">
        <f>GK193+1</f>
        <v>45824</v>
      </c>
      <c r="GN193" s="121">
        <f t="shared" ref="GN193" si="1739">GM193+1</f>
        <v>45825</v>
      </c>
      <c r="GO193" s="121">
        <f t="shared" ref="GO193" si="1740">GN193+1</f>
        <v>45826</v>
      </c>
      <c r="GP193" s="121">
        <f t="shared" ref="GP193" si="1741">GO193+1</f>
        <v>45827</v>
      </c>
      <c r="GQ193" s="121">
        <f t="shared" ref="GQ193" si="1742">GP193+1</f>
        <v>45828</v>
      </c>
      <c r="GR193" s="122">
        <f t="shared" ref="GR193" si="1743">GQ193+1</f>
        <v>45829</v>
      </c>
      <c r="GS193" s="122">
        <f t="shared" ref="GS193" si="1744">GR193+1</f>
        <v>45830</v>
      </c>
      <c r="GT193" s="122" t="s">
        <v>591</v>
      </c>
      <c r="GU193" s="121">
        <f>GS193+1</f>
        <v>45831</v>
      </c>
      <c r="GV193" s="121">
        <f t="shared" ref="GV193" si="1745">GU193+1</f>
        <v>45832</v>
      </c>
      <c r="GW193" s="121">
        <f t="shared" ref="GW193" si="1746">GV193+1</f>
        <v>45833</v>
      </c>
      <c r="GX193" s="121">
        <f t="shared" ref="GX193" si="1747">GW193+1</f>
        <v>45834</v>
      </c>
      <c r="GY193" s="219">
        <f t="shared" ref="GY193" si="1748">GX193+1</f>
        <v>45835</v>
      </c>
      <c r="GZ193" s="122">
        <f t="shared" ref="GZ193" si="1749">GY193+1</f>
        <v>45836</v>
      </c>
      <c r="HA193" s="122">
        <f t="shared" ref="HA193" si="1750">GZ193+1</f>
        <v>45837</v>
      </c>
      <c r="HB193" s="122" t="s">
        <v>592</v>
      </c>
      <c r="HC193" s="219">
        <f>HA193+1</f>
        <v>45838</v>
      </c>
      <c r="HD193" s="121">
        <f t="shared" ref="HD193" si="1751">HC193+1</f>
        <v>45839</v>
      </c>
      <c r="HE193" s="121">
        <f t="shared" ref="HE193" si="1752">HD193+1</f>
        <v>45840</v>
      </c>
      <c r="HF193" s="121">
        <f t="shared" ref="HF193" si="1753">HE193+1</f>
        <v>45841</v>
      </c>
      <c r="HG193" s="121">
        <f t="shared" ref="HG193" si="1754">HF193+1</f>
        <v>45842</v>
      </c>
      <c r="HH193" s="122">
        <f t="shared" ref="HH193" si="1755">HG193+1</f>
        <v>45843</v>
      </c>
      <c r="HI193" s="122">
        <f t="shared" ref="HI193" si="1756">HH193+1</f>
        <v>45844</v>
      </c>
      <c r="HJ193" s="122" t="s">
        <v>599</v>
      </c>
      <c r="HK193" s="122" t="s">
        <v>593</v>
      </c>
      <c r="HL193" s="262">
        <f>HI193+1</f>
        <v>45845</v>
      </c>
      <c r="HM193" s="121">
        <f t="shared" ref="HM193" si="1757">HL193+1</f>
        <v>45846</v>
      </c>
      <c r="HN193" s="121">
        <f t="shared" ref="HN193" si="1758">HM193+1</f>
        <v>45847</v>
      </c>
      <c r="HO193" s="121">
        <f t="shared" ref="HO193" si="1759">HN193+1</f>
        <v>45848</v>
      </c>
      <c r="HP193" s="121">
        <f t="shared" ref="HP193" si="1760">HO193+1</f>
        <v>45849</v>
      </c>
      <c r="HQ193" s="122">
        <f t="shared" ref="HQ193" si="1761">HP193+1</f>
        <v>45850</v>
      </c>
      <c r="HR193" s="122">
        <f t="shared" ref="HR193" si="1762">HQ193+1</f>
        <v>45851</v>
      </c>
      <c r="HS193" s="122" t="s">
        <v>721</v>
      </c>
      <c r="HT193" s="121">
        <f>HR193+1</f>
        <v>45852</v>
      </c>
      <c r="HU193" s="121">
        <f t="shared" ref="HU193" si="1763">HT193+1</f>
        <v>45853</v>
      </c>
      <c r="HV193" s="121">
        <f t="shared" ref="HV193" si="1764">HU193+1</f>
        <v>45854</v>
      </c>
      <c r="HW193" s="121">
        <f t="shared" ref="HW193" si="1765">HV193+1</f>
        <v>45855</v>
      </c>
      <c r="HX193" s="121">
        <f t="shared" ref="HX193" si="1766">HW193+1</f>
        <v>45856</v>
      </c>
      <c r="HY193" s="122">
        <f t="shared" ref="HY193" si="1767">HX193+1</f>
        <v>45857</v>
      </c>
      <c r="HZ193" s="122">
        <f t="shared" ref="HZ193" si="1768">HY193+1</f>
        <v>45858</v>
      </c>
      <c r="IA193" s="122" t="s">
        <v>722</v>
      </c>
      <c r="IB193" s="121">
        <f>HZ193+1</f>
        <v>45859</v>
      </c>
      <c r="IC193" s="121">
        <f t="shared" ref="IC193" si="1769">IB193+1</f>
        <v>45860</v>
      </c>
      <c r="ID193" s="121">
        <f t="shared" ref="ID193" si="1770">IC193+1</f>
        <v>45861</v>
      </c>
      <c r="IE193" s="121">
        <f t="shared" ref="IE193" si="1771">ID193+1</f>
        <v>45862</v>
      </c>
      <c r="IF193" s="121">
        <f t="shared" ref="IF193" si="1772">IE193+1</f>
        <v>45863</v>
      </c>
      <c r="IG193" s="122">
        <f t="shared" ref="IG193" si="1773">IF193+1</f>
        <v>45864</v>
      </c>
      <c r="IH193" s="122">
        <f t="shared" ref="IH193" si="1774">IG193+1</f>
        <v>45865</v>
      </c>
      <c r="II193" s="122" t="s">
        <v>723</v>
      </c>
      <c r="IJ193" s="121">
        <f>IH193+1</f>
        <v>45866</v>
      </c>
      <c r="IK193" s="121">
        <f t="shared" ref="IK193" si="1775">IJ193+1</f>
        <v>45867</v>
      </c>
      <c r="IL193" s="121">
        <f t="shared" ref="IL193" si="1776">IK193+1</f>
        <v>45868</v>
      </c>
      <c r="IM193" s="121">
        <f t="shared" ref="IM193" si="1777">IL193+1</f>
        <v>45869</v>
      </c>
      <c r="IN193" s="121">
        <f t="shared" ref="IN193" si="1778">IM193+1</f>
        <v>45870</v>
      </c>
      <c r="IO193" s="122">
        <f t="shared" ref="IO193" si="1779">IN193+1</f>
        <v>45871</v>
      </c>
      <c r="IP193" s="122">
        <f t="shared" ref="IP193" si="1780">IO193+1</f>
        <v>45872</v>
      </c>
      <c r="IQ193" s="122" t="s">
        <v>724</v>
      </c>
      <c r="IR193" s="122" t="s">
        <v>725</v>
      </c>
      <c r="IS193" s="121">
        <f>IP193+1</f>
        <v>45873</v>
      </c>
      <c r="IT193" s="121">
        <f t="shared" ref="IT193" si="1781">IS193+1</f>
        <v>45874</v>
      </c>
      <c r="IU193" s="121">
        <f t="shared" ref="IU193" si="1782">IT193+1</f>
        <v>45875</v>
      </c>
      <c r="IV193" s="121">
        <f t="shared" ref="IV193" si="1783">IU193+1</f>
        <v>45876</v>
      </c>
      <c r="IW193" s="121">
        <f t="shared" ref="IW193" si="1784">IV193+1</f>
        <v>45877</v>
      </c>
      <c r="IX193" s="122">
        <f t="shared" ref="IX193" si="1785">IW193+1</f>
        <v>45878</v>
      </c>
      <c r="IY193" s="122">
        <f t="shared" ref="IY193" si="1786">IX193+1</f>
        <v>45879</v>
      </c>
      <c r="IZ193" s="122" t="s">
        <v>726</v>
      </c>
      <c r="JA193" s="121">
        <f>IY193+1</f>
        <v>45880</v>
      </c>
      <c r="JB193" s="121">
        <f t="shared" ref="JB193" si="1787">JA193+1</f>
        <v>45881</v>
      </c>
      <c r="JC193" s="121">
        <f t="shared" ref="JC193" si="1788">JB193+1</f>
        <v>45882</v>
      </c>
      <c r="JD193" s="121">
        <f t="shared" ref="JD193" si="1789">JC193+1</f>
        <v>45883</v>
      </c>
      <c r="JE193" s="121">
        <f t="shared" ref="JE193" si="1790">JD193+1</f>
        <v>45884</v>
      </c>
      <c r="JF193" s="122">
        <f t="shared" ref="JF193" si="1791">JE193+1</f>
        <v>45885</v>
      </c>
      <c r="JG193" s="122">
        <f t="shared" ref="JG193" si="1792">JF193+1</f>
        <v>45886</v>
      </c>
      <c r="JH193" s="122" t="s">
        <v>727</v>
      </c>
      <c r="JI193" s="121">
        <f>JG193+1</f>
        <v>45887</v>
      </c>
      <c r="JJ193" s="121">
        <f t="shared" ref="JJ193" si="1793">JI193+1</f>
        <v>45888</v>
      </c>
      <c r="JK193" s="121">
        <f t="shared" ref="JK193" si="1794">JJ193+1</f>
        <v>45889</v>
      </c>
      <c r="JL193" s="219">
        <f t="shared" ref="JL193" si="1795">JK193+1</f>
        <v>45890</v>
      </c>
      <c r="JM193" s="219">
        <f t="shared" ref="JM193" si="1796">JL193+1</f>
        <v>45891</v>
      </c>
      <c r="JN193" s="122">
        <f t="shared" ref="JN193" si="1797">JM193+1</f>
        <v>45892</v>
      </c>
      <c r="JO193" s="122">
        <f t="shared" ref="JO193" si="1798">JN193+1</f>
        <v>45893</v>
      </c>
      <c r="JP193" s="122" t="s">
        <v>728</v>
      </c>
      <c r="JQ193" s="219">
        <f>JO193+1</f>
        <v>45894</v>
      </c>
      <c r="JR193" s="121">
        <f t="shared" ref="JR193" si="1799">JQ193+1</f>
        <v>45895</v>
      </c>
      <c r="JS193" s="121">
        <f t="shared" ref="JS193" si="1800">JR193+1</f>
        <v>45896</v>
      </c>
      <c r="JT193" s="121">
        <f t="shared" ref="JT193" si="1801">JS193+1</f>
        <v>45897</v>
      </c>
      <c r="JU193" s="121">
        <f t="shared" ref="JU193" si="1802">JT193+1</f>
        <v>45898</v>
      </c>
      <c r="JV193" s="122">
        <f t="shared" ref="JV193" si="1803">JU193+1</f>
        <v>45899</v>
      </c>
      <c r="JW193" s="122">
        <f t="shared" ref="JW193" si="1804">JV193+1</f>
        <v>45900</v>
      </c>
      <c r="JX193" s="122" t="s">
        <v>729</v>
      </c>
      <c r="JY193" s="122" t="s">
        <v>730</v>
      </c>
      <c r="JZ193" s="121">
        <f>JW193+1</f>
        <v>45901</v>
      </c>
      <c r="KA193" s="121">
        <f t="shared" ref="KA193" si="1805">JZ193+1</f>
        <v>45902</v>
      </c>
      <c r="KB193" s="121">
        <f t="shared" ref="KB193" si="1806">KA193+1</f>
        <v>45903</v>
      </c>
      <c r="KC193" s="121">
        <f t="shared" ref="KC193" si="1807">KB193+1</f>
        <v>45904</v>
      </c>
      <c r="KD193" s="121">
        <f t="shared" ref="KD193" si="1808">KC193+1</f>
        <v>45905</v>
      </c>
      <c r="KE193" s="122">
        <f t="shared" ref="KE193" si="1809">KD193+1</f>
        <v>45906</v>
      </c>
      <c r="KF193" s="122">
        <f t="shared" ref="KF193" si="1810">KE193+1</f>
        <v>45907</v>
      </c>
      <c r="KG193" s="122" t="s">
        <v>731</v>
      </c>
      <c r="KH193" s="121">
        <f>KF193+1</f>
        <v>45908</v>
      </c>
      <c r="KI193" s="121">
        <f t="shared" ref="KI193" si="1811">KH193+1</f>
        <v>45909</v>
      </c>
      <c r="KJ193" s="121">
        <f t="shared" ref="KJ193" si="1812">KI193+1</f>
        <v>45910</v>
      </c>
      <c r="KK193" s="121">
        <f t="shared" ref="KK193" si="1813">KJ193+1</f>
        <v>45911</v>
      </c>
      <c r="KL193" s="121">
        <f t="shared" ref="KL193" si="1814">KK193+1</f>
        <v>45912</v>
      </c>
      <c r="KM193" s="122">
        <f t="shared" ref="KM193" si="1815">KL193+1</f>
        <v>45913</v>
      </c>
      <c r="KN193" s="122">
        <f t="shared" ref="KN193" si="1816">KM193+1</f>
        <v>45914</v>
      </c>
      <c r="KO193" s="122" t="s">
        <v>732</v>
      </c>
      <c r="KP193" s="121">
        <v>45915</v>
      </c>
      <c r="KQ193" s="121">
        <v>45916</v>
      </c>
      <c r="KR193" s="121">
        <v>45917</v>
      </c>
      <c r="KS193" s="121">
        <v>45918</v>
      </c>
      <c r="KT193" s="121">
        <v>45919</v>
      </c>
      <c r="KU193" s="122">
        <f t="shared" ref="KU193" si="1817">KT193+1</f>
        <v>45920</v>
      </c>
      <c r="KV193" s="122">
        <f t="shared" ref="KV193" si="1818">KU193+1</f>
        <v>45921</v>
      </c>
      <c r="KW193" s="122" t="s">
        <v>733</v>
      </c>
      <c r="KX193" s="121">
        <f>KV193+1</f>
        <v>45922</v>
      </c>
      <c r="KY193" s="121">
        <f t="shared" ref="KY193" si="1819">KX193+1</f>
        <v>45923</v>
      </c>
      <c r="KZ193" s="121">
        <f t="shared" ref="KZ193" si="1820">KY193+1</f>
        <v>45924</v>
      </c>
      <c r="LA193" s="121">
        <f t="shared" ref="LA193" si="1821">KZ193+1</f>
        <v>45925</v>
      </c>
      <c r="LB193" s="121">
        <f t="shared" ref="LB193" si="1822">LA193+1</f>
        <v>45926</v>
      </c>
      <c r="LC193" s="122">
        <f t="shared" ref="LC193" si="1823">LB193+1</f>
        <v>45927</v>
      </c>
      <c r="LD193" s="122">
        <f t="shared" ref="LD193" si="1824">LC193+1</f>
        <v>45928</v>
      </c>
      <c r="LE193" s="122" t="s">
        <v>734</v>
      </c>
      <c r="LF193" s="204">
        <f>LD193+1</f>
        <v>45929</v>
      </c>
      <c r="LG193" s="121">
        <f t="shared" ref="LG193" si="1825">LF193+1</f>
        <v>45930</v>
      </c>
      <c r="LH193" s="121">
        <f t="shared" ref="LH193" si="1826">LG193+1</f>
        <v>45931</v>
      </c>
      <c r="LI193" s="121">
        <f t="shared" ref="LI193" si="1827">LH193+1</f>
        <v>45932</v>
      </c>
      <c r="LJ193" s="121">
        <f t="shared" ref="LJ193" si="1828">LI193+1</f>
        <v>45933</v>
      </c>
      <c r="LK193" s="122">
        <f t="shared" ref="LK193" si="1829">LJ193+1</f>
        <v>45934</v>
      </c>
      <c r="LL193" s="122">
        <f t="shared" ref="LL193" si="1830">LK193+1</f>
        <v>45935</v>
      </c>
      <c r="LM193" s="122" t="s">
        <v>735</v>
      </c>
      <c r="LN193" s="122" t="s">
        <v>736</v>
      </c>
      <c r="LO193" s="204">
        <f>LL193+1</f>
        <v>45936</v>
      </c>
      <c r="LP193" s="121">
        <f t="shared" ref="LP193" si="1831">LO193+1</f>
        <v>45937</v>
      </c>
      <c r="LQ193" s="121">
        <f t="shared" ref="LQ193" si="1832">LP193+1</f>
        <v>45938</v>
      </c>
      <c r="LR193" s="121">
        <f t="shared" ref="LR193" si="1833">LQ193+1</f>
        <v>45939</v>
      </c>
      <c r="LS193" s="204">
        <f t="shared" ref="LS193" si="1834">LR193+1</f>
        <v>45940</v>
      </c>
      <c r="LT193" s="122">
        <f t="shared" ref="LT193" si="1835">LS193+1</f>
        <v>45941</v>
      </c>
      <c r="LU193" s="122">
        <f t="shared" ref="LU193" si="1836">LT193+1</f>
        <v>45942</v>
      </c>
      <c r="LV193" s="122" t="s">
        <v>744</v>
      </c>
      <c r="LW193" s="121">
        <v>45943</v>
      </c>
      <c r="LX193" s="121">
        <f t="shared" ref="LX193" si="1837">LW193+1</f>
        <v>45944</v>
      </c>
      <c r="LY193" s="121">
        <f t="shared" ref="LY193" si="1838">LX193+1</f>
        <v>45945</v>
      </c>
      <c r="LZ193" s="121">
        <f t="shared" ref="LZ193" si="1839">LY193+1</f>
        <v>45946</v>
      </c>
      <c r="MA193" s="121">
        <f t="shared" ref="MA193" si="1840">LZ193+1</f>
        <v>45947</v>
      </c>
      <c r="MB193" s="122">
        <f t="shared" ref="MB193" si="1841">MA193+1</f>
        <v>45948</v>
      </c>
      <c r="MC193" s="122">
        <f t="shared" ref="MC193" si="1842">MB193+1</f>
        <v>45949</v>
      </c>
      <c r="MD193" s="122" t="s">
        <v>745</v>
      </c>
      <c r="ME193" s="121">
        <f>MC193+1</f>
        <v>45950</v>
      </c>
      <c r="MF193" s="121">
        <f t="shared" ref="MF193" si="1843">ME193+1</f>
        <v>45951</v>
      </c>
      <c r="MG193" s="121">
        <f t="shared" ref="MG193" si="1844">MF193+1</f>
        <v>45952</v>
      </c>
      <c r="MH193" s="121">
        <f t="shared" ref="MH193" si="1845">MG193+1</f>
        <v>45953</v>
      </c>
      <c r="MI193" s="204">
        <f t="shared" ref="MI193" si="1846">MH193+1</f>
        <v>45954</v>
      </c>
      <c r="MJ193" s="122">
        <f t="shared" ref="MJ193" si="1847">MI193+1</f>
        <v>45955</v>
      </c>
      <c r="MK193" s="122">
        <f t="shared" ref="MK193" si="1848">MJ193+1</f>
        <v>45956</v>
      </c>
      <c r="ML193" s="122" t="s">
        <v>746</v>
      </c>
      <c r="MM193" s="121">
        <f>MK193+1</f>
        <v>45957</v>
      </c>
      <c r="MN193" s="121">
        <f t="shared" ref="MN193" si="1849">MM193+1</f>
        <v>45958</v>
      </c>
      <c r="MO193" s="121">
        <f t="shared" ref="MO193" si="1850">MN193+1</f>
        <v>45959</v>
      </c>
      <c r="MP193" s="121">
        <f t="shared" ref="MP193" si="1851">MO193+1</f>
        <v>45960</v>
      </c>
      <c r="MQ193" s="121">
        <f t="shared" ref="MQ193" si="1852">MP193+1</f>
        <v>45961</v>
      </c>
      <c r="MR193" s="122">
        <f t="shared" ref="MR193" si="1853">MQ193+1</f>
        <v>45962</v>
      </c>
      <c r="MS193" s="122">
        <f t="shared" ref="MS193" si="1854">MR193+1</f>
        <v>45963</v>
      </c>
      <c r="MT193" s="122" t="s">
        <v>747</v>
      </c>
      <c r="MU193" s="122" t="s">
        <v>512</v>
      </c>
      <c r="MV193" s="121">
        <f>MS193+1</f>
        <v>45964</v>
      </c>
      <c r="MW193" s="121">
        <f t="shared" ref="MW193" si="1855">MV193+1</f>
        <v>45965</v>
      </c>
      <c r="MX193" s="121">
        <f t="shared" ref="MX193" si="1856">MW193+1</f>
        <v>45966</v>
      </c>
      <c r="MY193" s="121">
        <f t="shared" ref="MY193" si="1857">MX193+1</f>
        <v>45967</v>
      </c>
      <c r="MZ193" s="262">
        <f t="shared" ref="MZ193" si="1858">MY193+1</f>
        <v>45968</v>
      </c>
      <c r="NA193" s="122">
        <f t="shared" ref="NA193" si="1859">MZ193+1</f>
        <v>45969</v>
      </c>
      <c r="NB193" s="122">
        <f t="shared" ref="NB193" si="1860">NA193+1</f>
        <v>45970</v>
      </c>
      <c r="NC193" s="122" t="s">
        <v>748</v>
      </c>
      <c r="ND193" s="121">
        <f>NB193+1</f>
        <v>45971</v>
      </c>
      <c r="NE193" s="121">
        <f t="shared" ref="NE193" si="1861">ND193+1</f>
        <v>45972</v>
      </c>
      <c r="NF193" s="121">
        <f t="shared" ref="NF193" si="1862">NE193+1</f>
        <v>45973</v>
      </c>
      <c r="NG193" s="121">
        <f t="shared" ref="NG193" si="1863">NF193+1</f>
        <v>45974</v>
      </c>
      <c r="NH193" s="219">
        <f t="shared" ref="NH193" si="1864">NG193+1</f>
        <v>45975</v>
      </c>
      <c r="NI193" s="122">
        <f t="shared" ref="NI193" si="1865">NH193+1</f>
        <v>45976</v>
      </c>
      <c r="NJ193" s="122">
        <f t="shared" ref="NJ193" si="1866">NI193+1</f>
        <v>45977</v>
      </c>
      <c r="NK193" s="122" t="s">
        <v>749</v>
      </c>
      <c r="NL193" s="121">
        <f>NJ193+1</f>
        <v>45978</v>
      </c>
      <c r="NM193" s="121">
        <f t="shared" ref="NM193" si="1867">NL193+1</f>
        <v>45979</v>
      </c>
      <c r="NN193" s="219">
        <f t="shared" ref="NN193" si="1868">NM193+1</f>
        <v>45980</v>
      </c>
      <c r="NO193" s="219">
        <f t="shared" ref="NO193" si="1869">NN193+1</f>
        <v>45981</v>
      </c>
      <c r="NP193" s="121">
        <f t="shared" ref="NP193" si="1870">NO193+1</f>
        <v>45982</v>
      </c>
      <c r="NQ193" s="122">
        <f t="shared" ref="NQ193" si="1871">NP193+1</f>
        <v>45983</v>
      </c>
      <c r="NR193" s="122">
        <f t="shared" ref="NR193" si="1872">NQ193+1</f>
        <v>45984</v>
      </c>
      <c r="NS193" s="122" t="s">
        <v>750</v>
      </c>
      <c r="NT193" s="121">
        <f>NR193+1</f>
        <v>45985</v>
      </c>
      <c r="NU193" s="121">
        <f t="shared" ref="NU193" si="1873">NT193+1</f>
        <v>45986</v>
      </c>
      <c r="NV193" s="121">
        <f t="shared" ref="NV193" si="1874">NU193+1</f>
        <v>45987</v>
      </c>
      <c r="NW193" s="121">
        <f t="shared" ref="NW193" si="1875">NV193+1</f>
        <v>45988</v>
      </c>
      <c r="NX193" s="121">
        <f t="shared" ref="NX193" si="1876">NW193+1</f>
        <v>45989</v>
      </c>
      <c r="NY193" s="122">
        <f t="shared" ref="NY193" si="1877">NX193+1</f>
        <v>45990</v>
      </c>
      <c r="NZ193" s="122">
        <f t="shared" ref="NZ193" si="1878">NY193+1</f>
        <v>45991</v>
      </c>
      <c r="OA193" s="122" t="s">
        <v>751</v>
      </c>
      <c r="OB193" s="122" t="s">
        <v>514</v>
      </c>
      <c r="OC193" s="121">
        <f>NZ193+1</f>
        <v>45992</v>
      </c>
      <c r="OD193" s="121">
        <f t="shared" ref="OD193" si="1879">OC193+1</f>
        <v>45993</v>
      </c>
      <c r="OE193" s="121">
        <f t="shared" ref="OE193" si="1880">OD193+1</f>
        <v>45994</v>
      </c>
      <c r="OF193" s="121">
        <f t="shared" ref="OF193" si="1881">OE193+1</f>
        <v>45995</v>
      </c>
      <c r="OG193" s="121">
        <f t="shared" ref="OG193" si="1882">OF193+1</f>
        <v>45996</v>
      </c>
      <c r="OH193" s="122">
        <f t="shared" ref="OH193" si="1883">OG193+1</f>
        <v>45997</v>
      </c>
      <c r="OI193" s="122">
        <f t="shared" ref="OI193" si="1884">OH193+1</f>
        <v>45998</v>
      </c>
      <c r="OJ193" s="122" t="s">
        <v>752</v>
      </c>
      <c r="OK193" s="121">
        <f>OI193+1</f>
        <v>45999</v>
      </c>
      <c r="OL193" s="121">
        <f t="shared" ref="OL193" si="1885">OK193+1</f>
        <v>46000</v>
      </c>
      <c r="OM193" s="121">
        <f t="shared" ref="OM193" si="1886">OL193+1</f>
        <v>46001</v>
      </c>
      <c r="ON193" s="121">
        <f t="shared" ref="ON193" si="1887">OM193+1</f>
        <v>46002</v>
      </c>
      <c r="OO193" s="121">
        <f t="shared" ref="OO193" si="1888">ON193+1</f>
        <v>46003</v>
      </c>
      <c r="OP193" s="122">
        <f t="shared" ref="OP193" si="1889">OO193+1</f>
        <v>46004</v>
      </c>
      <c r="OQ193" s="122">
        <f t="shared" ref="OQ193" si="1890">OP193+1</f>
        <v>46005</v>
      </c>
      <c r="OR193" s="122" t="s">
        <v>753</v>
      </c>
      <c r="OS193" s="121">
        <f>OQ193+1</f>
        <v>46006</v>
      </c>
      <c r="OT193" s="121">
        <f t="shared" ref="OT193" si="1891">OS193+1</f>
        <v>46007</v>
      </c>
      <c r="OU193" s="121">
        <f t="shared" ref="OU193" si="1892">OT193+1</f>
        <v>46008</v>
      </c>
      <c r="OV193" s="121">
        <f t="shared" ref="OV193" si="1893">OU193+1</f>
        <v>46009</v>
      </c>
      <c r="OW193" s="219">
        <f t="shared" ref="OW193" si="1894">OV193+1</f>
        <v>46010</v>
      </c>
      <c r="OX193" s="296">
        <f t="shared" ref="OX193" si="1895">OW193+1</f>
        <v>46011</v>
      </c>
      <c r="OY193" s="122">
        <f t="shared" ref="OY193" si="1896">OX193+1</f>
        <v>46012</v>
      </c>
      <c r="OZ193" s="122" t="s">
        <v>754</v>
      </c>
      <c r="PA193" s="262">
        <f>OY193+1</f>
        <v>46013</v>
      </c>
      <c r="PB193" s="121">
        <f t="shared" ref="PB193" si="1897">PA193+1</f>
        <v>46014</v>
      </c>
      <c r="PC193" s="121">
        <f t="shared" ref="PC193" si="1898">PB193+1</f>
        <v>46015</v>
      </c>
      <c r="PD193" s="204">
        <f t="shared" ref="PD193" si="1899">PC193+1</f>
        <v>46016</v>
      </c>
      <c r="PE193" s="256">
        <f t="shared" ref="PE193" si="1900">PD193+1</f>
        <v>46017</v>
      </c>
      <c r="PF193" s="122">
        <f t="shared" ref="PF193" si="1901">PE193+1</f>
        <v>46018</v>
      </c>
      <c r="PG193" s="122">
        <f t="shared" ref="PG193" si="1902">PF193+1</f>
        <v>46019</v>
      </c>
      <c r="PH193" s="122" t="s">
        <v>755</v>
      </c>
      <c r="PI193" s="121">
        <f>PG193+1</f>
        <v>46020</v>
      </c>
      <c r="PJ193" s="121">
        <f t="shared" ref="PJ193" si="1903">PI193+1</f>
        <v>46021</v>
      </c>
      <c r="PK193" s="121">
        <f t="shared" ref="PK193" si="1904">PJ193+1</f>
        <v>46022</v>
      </c>
      <c r="PL193" s="204">
        <f t="shared" ref="PL193" si="1905">PK193+1</f>
        <v>46023</v>
      </c>
      <c r="PM193" s="256">
        <f t="shared" ref="PM193" si="1906">PL193+1</f>
        <v>46024</v>
      </c>
      <c r="PN193" s="122">
        <f t="shared" ref="PN193" si="1907">PM193+1</f>
        <v>46025</v>
      </c>
      <c r="PO193" s="122">
        <f t="shared" ref="PO193" si="1908">PN193+1</f>
        <v>46026</v>
      </c>
      <c r="PP193" s="122" t="s">
        <v>756</v>
      </c>
      <c r="PQ193" s="122" t="s">
        <v>757</v>
      </c>
      <c r="PR193" s="121">
        <v>46027</v>
      </c>
      <c r="PS193" s="121">
        <v>46028</v>
      </c>
      <c r="PT193" s="121">
        <v>46029</v>
      </c>
      <c r="PU193" s="121">
        <v>46030</v>
      </c>
      <c r="PV193" s="121">
        <v>46031</v>
      </c>
      <c r="PW193" s="204">
        <f t="shared" ref="PW193" si="1909">PV193+1</f>
        <v>46032</v>
      </c>
      <c r="PX193" s="204">
        <f>PW193+1</f>
        <v>46033</v>
      </c>
      <c r="PY193" s="122" t="s">
        <v>615</v>
      </c>
      <c r="PZ193" s="121">
        <f>PX193+1</f>
        <v>46034</v>
      </c>
      <c r="QA193" s="121">
        <f>PZ193+1</f>
        <v>46035</v>
      </c>
      <c r="QB193" s="121">
        <f>QA193+1</f>
        <v>46036</v>
      </c>
      <c r="QC193" s="121">
        <f t="shared" ref="QC193" si="1910">QB193+1</f>
        <v>46037</v>
      </c>
      <c r="QD193" s="121">
        <f>QC193+1</f>
        <v>46038</v>
      </c>
      <c r="QE193" s="204">
        <f t="shared" ref="QE193" si="1911">QD193+1</f>
        <v>46039</v>
      </c>
      <c r="QF193" s="204">
        <f>QE193+1</f>
        <v>46040</v>
      </c>
      <c r="QG193" s="122" t="s">
        <v>616</v>
      </c>
      <c r="QH193" s="121">
        <f>QF193+1</f>
        <v>46041</v>
      </c>
      <c r="QI193" s="121">
        <f>QH193+1</f>
        <v>46042</v>
      </c>
      <c r="QJ193" s="254">
        <f>QI193+1</f>
        <v>46043</v>
      </c>
      <c r="QK193" s="121">
        <f t="shared" ref="QK193" si="1912">QJ193+1</f>
        <v>46044</v>
      </c>
      <c r="QL193" s="121">
        <f>QK193+1</f>
        <v>46045</v>
      </c>
      <c r="QM193" s="204">
        <f t="shared" ref="QM193" si="1913">QL193+1</f>
        <v>46046</v>
      </c>
      <c r="QN193" s="204">
        <f>QM193+1</f>
        <v>46047</v>
      </c>
      <c r="QO193" s="122" t="s">
        <v>78</v>
      </c>
      <c r="QP193" s="121">
        <f>QN193+1</f>
        <v>46048</v>
      </c>
      <c r="QQ193" s="121">
        <f>QP193+1</f>
        <v>46049</v>
      </c>
      <c r="QR193" s="121">
        <f>QQ193+1</f>
        <v>46050</v>
      </c>
      <c r="QS193" s="121">
        <f t="shared" ref="QS193" si="1914">QR193+1</f>
        <v>46051</v>
      </c>
      <c r="QT193" s="121">
        <f>QS193+1</f>
        <v>46052</v>
      </c>
      <c r="QU193" s="204">
        <f t="shared" ref="QU193" si="1915">QT193+1</f>
        <v>46053</v>
      </c>
      <c r="QV193" s="204">
        <f>QU193+1</f>
        <v>46054</v>
      </c>
      <c r="QW193" s="122" t="s">
        <v>53</v>
      </c>
      <c r="QX193" s="122" t="s">
        <v>55</v>
      </c>
      <c r="QY193" s="121">
        <f>QV193+1</f>
        <v>46055</v>
      </c>
      <c r="QZ193" s="121">
        <f>QY193+1</f>
        <v>46056</v>
      </c>
      <c r="RA193" s="121">
        <f>QZ193+1</f>
        <v>46057</v>
      </c>
      <c r="RB193" s="121">
        <f t="shared" ref="RB193" si="1916">RA193+1</f>
        <v>46058</v>
      </c>
      <c r="RC193" s="121">
        <f>RB193+1</f>
        <v>46059</v>
      </c>
      <c r="RD193" s="204">
        <f t="shared" ref="RD193" si="1917">RC193+1</f>
        <v>46060</v>
      </c>
      <c r="RE193" s="204">
        <f>RD193+1</f>
        <v>46061</v>
      </c>
      <c r="RF193" s="122" t="s">
        <v>54</v>
      </c>
      <c r="RG193" s="121">
        <f>RE193+1</f>
        <v>46062</v>
      </c>
      <c r="RH193" s="121">
        <f>RG193+1</f>
        <v>46063</v>
      </c>
      <c r="RI193" s="121">
        <f>RH193+1</f>
        <v>46064</v>
      </c>
      <c r="RJ193" s="121">
        <f t="shared" ref="RJ193" si="1918">RI193+1</f>
        <v>46065</v>
      </c>
      <c r="RK193" s="219">
        <f>RJ193+1</f>
        <v>46066</v>
      </c>
      <c r="RL193" s="204">
        <f t="shared" ref="RL193" si="1919">RK193+1</f>
        <v>46067</v>
      </c>
      <c r="RM193" s="204">
        <f>RL193+1</f>
        <v>46068</v>
      </c>
      <c r="RN193" s="122" t="s">
        <v>81</v>
      </c>
      <c r="RO193" s="204">
        <f>RM193+1</f>
        <v>46069</v>
      </c>
      <c r="RP193" s="204">
        <f>RO193+1</f>
        <v>46070</v>
      </c>
      <c r="RQ193" s="204">
        <f>RP193+1</f>
        <v>46071</v>
      </c>
      <c r="RR193" s="204">
        <f t="shared" ref="RR193" si="1920">RQ193+1</f>
        <v>46072</v>
      </c>
      <c r="RS193" s="204">
        <f>RR193+1</f>
        <v>46073</v>
      </c>
      <c r="RT193" s="204">
        <f t="shared" ref="RT193" si="1921">RS193+1</f>
        <v>46074</v>
      </c>
      <c r="RU193" s="204">
        <f>RT193+1</f>
        <v>46075</v>
      </c>
      <c r="RV193" s="122" t="s">
        <v>82</v>
      </c>
      <c r="RW193" s="296">
        <f>RU193+1</f>
        <v>46076</v>
      </c>
      <c r="RX193" s="296">
        <f>RW193+1</f>
        <v>46077</v>
      </c>
      <c r="RY193" s="296">
        <f>RX193+1</f>
        <v>46078</v>
      </c>
      <c r="RZ193" s="296">
        <f t="shared" ref="RZ193" si="1922">RY193+1</f>
        <v>46079</v>
      </c>
      <c r="SA193" s="204">
        <f>RZ193+1</f>
        <v>46080</v>
      </c>
      <c r="SB193" s="204">
        <f t="shared" ref="SB193" si="1923">SA193+1</f>
        <v>46081</v>
      </c>
      <c r="SC193" s="204">
        <f>SB193+1</f>
        <v>46082</v>
      </c>
      <c r="SD193" s="122" t="s">
        <v>83</v>
      </c>
      <c r="SE193" s="122" t="s">
        <v>56</v>
      </c>
      <c r="SF193" s="121">
        <f>SC193+1</f>
        <v>46083</v>
      </c>
      <c r="SG193" s="121">
        <f>SF193+1</f>
        <v>46084</v>
      </c>
      <c r="SH193" s="121">
        <f>SG193+1</f>
        <v>46085</v>
      </c>
      <c r="SI193" s="121">
        <f t="shared" ref="SI193" si="1924">SH193+1</f>
        <v>46086</v>
      </c>
      <c r="SJ193" s="256">
        <f>SI193+1</f>
        <v>46087</v>
      </c>
      <c r="SK193" s="204">
        <f t="shared" ref="SK193" si="1925">SJ193+1</f>
        <v>46088</v>
      </c>
      <c r="SL193" s="204">
        <f>SK193+1</f>
        <v>46089</v>
      </c>
      <c r="SM193" s="122" t="s">
        <v>84</v>
      </c>
      <c r="SN193" s="358">
        <f>SL193+1</f>
        <v>46090</v>
      </c>
      <c r="SO193" s="121">
        <f>SN193+1</f>
        <v>46091</v>
      </c>
      <c r="SP193" s="256">
        <f>SO193+1</f>
        <v>46092</v>
      </c>
      <c r="SQ193" s="121">
        <f t="shared" ref="SQ193" si="1926">SP193+1</f>
        <v>46093</v>
      </c>
      <c r="SR193" s="121">
        <f>SQ193+1</f>
        <v>46094</v>
      </c>
      <c r="SS193" s="204">
        <f t="shared" ref="SS193" si="1927">SR193+1</f>
        <v>46095</v>
      </c>
      <c r="ST193" s="204">
        <f>SS193+1</f>
        <v>46096</v>
      </c>
      <c r="SU193" s="122" t="s">
        <v>576</v>
      </c>
      <c r="SV193" s="121">
        <f>ST193+1</f>
        <v>46097</v>
      </c>
      <c r="SW193" s="121">
        <f>SV193+1</f>
        <v>46098</v>
      </c>
      <c r="SX193" s="121">
        <f>SW193+1</f>
        <v>46099</v>
      </c>
      <c r="SY193" s="121">
        <f t="shared" ref="SY193" si="1928">SX193+1</f>
        <v>46100</v>
      </c>
      <c r="SZ193" s="121">
        <f>SY193+1</f>
        <v>46101</v>
      </c>
      <c r="TA193" s="204">
        <f t="shared" ref="TA193" si="1929">SZ193+1</f>
        <v>46102</v>
      </c>
      <c r="TB193" s="204">
        <f>TA193+1</f>
        <v>46103</v>
      </c>
      <c r="TC193" s="122" t="s">
        <v>575</v>
      </c>
      <c r="TD193" s="121">
        <f>TB193+1</f>
        <v>46104</v>
      </c>
      <c r="TE193" s="121">
        <f>TD193+1</f>
        <v>46105</v>
      </c>
      <c r="TF193" s="121">
        <f>TE193+1</f>
        <v>46106</v>
      </c>
      <c r="TG193" s="373">
        <f t="shared" ref="TG193" si="1930">TF193+1</f>
        <v>46107</v>
      </c>
      <c r="TH193" s="121">
        <f>TG193+1</f>
        <v>46108</v>
      </c>
      <c r="TI193" s="204">
        <f t="shared" ref="TI193" si="1931">TH193+1</f>
        <v>46109</v>
      </c>
      <c r="TJ193" s="204">
        <f>TI193+1</f>
        <v>46110</v>
      </c>
      <c r="TK193" s="122" t="s">
        <v>574</v>
      </c>
      <c r="TL193" s="121">
        <f>TJ193+1</f>
        <v>46111</v>
      </c>
      <c r="TM193" s="121">
        <f>TL193+1</f>
        <v>46112</v>
      </c>
      <c r="TN193" s="121">
        <f>TM193+1</f>
        <v>46113</v>
      </c>
      <c r="TO193" s="121">
        <f t="shared" ref="TO193" si="1932">TN193+1</f>
        <v>46114</v>
      </c>
      <c r="TP193" s="204">
        <f>TO193+1</f>
        <v>46115</v>
      </c>
      <c r="TQ193" s="204">
        <f t="shared" ref="TQ193" si="1933">TP193+1</f>
        <v>46116</v>
      </c>
      <c r="TR193" s="204">
        <f>TQ193+1</f>
        <v>46117</v>
      </c>
      <c r="TS193" s="122" t="s">
        <v>573</v>
      </c>
      <c r="TT193" s="122" t="s">
        <v>85</v>
      </c>
      <c r="TU193" s="204">
        <v>46118</v>
      </c>
      <c r="TV193" s="121">
        <f>TU193+1</f>
        <v>46119</v>
      </c>
      <c r="TW193" s="121">
        <f>TV193+1</f>
        <v>46120</v>
      </c>
      <c r="TX193" s="121">
        <f t="shared" ref="TX193" si="1934">TW193+1</f>
        <v>46121</v>
      </c>
      <c r="TY193" s="121">
        <f>TX193+1</f>
        <v>46122</v>
      </c>
      <c r="TZ193" s="204">
        <f t="shared" ref="TZ193" si="1935">TY193+1</f>
        <v>46123</v>
      </c>
      <c r="UA193" s="204">
        <f>TZ193+1</f>
        <v>46124</v>
      </c>
      <c r="UB193" s="122" t="s">
        <v>577</v>
      </c>
      <c r="UC193" s="121">
        <f>UA193+1</f>
        <v>46125</v>
      </c>
      <c r="UD193" s="121">
        <f>UC193+1</f>
        <v>46126</v>
      </c>
      <c r="UE193" s="121">
        <f>UD193+1</f>
        <v>46127</v>
      </c>
      <c r="UF193" s="121">
        <f t="shared" ref="UF193" si="1936">UE193+1</f>
        <v>46128</v>
      </c>
      <c r="UG193" s="121">
        <f>UF193+1</f>
        <v>46129</v>
      </c>
      <c r="UH193" s="204">
        <f t="shared" ref="UH193" si="1937">UG193+1</f>
        <v>46130</v>
      </c>
      <c r="UI193" s="204">
        <f>UH193+1</f>
        <v>46131</v>
      </c>
      <c r="UJ193" s="122" t="s">
        <v>578</v>
      </c>
      <c r="UK193" s="121">
        <f>UI193+1</f>
        <v>46132</v>
      </c>
      <c r="UL193" s="121">
        <f>UK193+1</f>
        <v>46133</v>
      </c>
      <c r="UM193" s="121">
        <f>UL193+1</f>
        <v>46134</v>
      </c>
      <c r="UN193" s="121">
        <f t="shared" ref="UN193" si="1938">UM193+1</f>
        <v>46135</v>
      </c>
      <c r="UO193" s="121">
        <f>UN193+1</f>
        <v>46136</v>
      </c>
      <c r="UP193" s="204">
        <f t="shared" ref="UP193" si="1939">UO193+1</f>
        <v>46137</v>
      </c>
      <c r="UQ193" s="204">
        <f>UP193+1</f>
        <v>46138</v>
      </c>
      <c r="UR193" s="122" t="s">
        <v>579</v>
      </c>
      <c r="US193" s="121">
        <f>UQ193+1</f>
        <v>46139</v>
      </c>
      <c r="UT193" s="121">
        <f>US193+1</f>
        <v>46140</v>
      </c>
      <c r="UU193" s="121">
        <f>UT193+1</f>
        <v>46141</v>
      </c>
      <c r="UV193" s="121">
        <f t="shared" ref="UV193" si="1940">UU193+1</f>
        <v>46142</v>
      </c>
      <c r="UW193" s="204">
        <f>UV193+1</f>
        <v>46143</v>
      </c>
      <c r="UX193" s="204">
        <f t="shared" ref="UX193" si="1941">UW193+1</f>
        <v>46144</v>
      </c>
      <c r="UY193" s="204">
        <f>UX193+1</f>
        <v>46145</v>
      </c>
      <c r="UZ193" s="122" t="s">
        <v>580</v>
      </c>
      <c r="VA193" s="122" t="s">
        <v>581</v>
      </c>
      <c r="VB193" s="121">
        <f>UY193+1</f>
        <v>46146</v>
      </c>
      <c r="VC193" s="121">
        <f>VB193+1</f>
        <v>46147</v>
      </c>
      <c r="VD193" s="121">
        <f>VC193+1</f>
        <v>46148</v>
      </c>
      <c r="VE193" s="121">
        <f t="shared" ref="VE193" si="1942">VD193+1</f>
        <v>46149</v>
      </c>
      <c r="VF193" s="121">
        <f>VE193+1</f>
        <v>46150</v>
      </c>
      <c r="VG193" s="204">
        <f t="shared" ref="VG193" si="1943">VF193+1</f>
        <v>46151</v>
      </c>
      <c r="VH193" s="204">
        <f>VG193+1</f>
        <v>46152</v>
      </c>
      <c r="VI193" s="122" t="s">
        <v>584</v>
      </c>
      <c r="VJ193" s="121">
        <f>VH193+1</f>
        <v>46153</v>
      </c>
      <c r="VK193" s="121">
        <f>VJ193+1</f>
        <v>46154</v>
      </c>
      <c r="VL193" s="121">
        <f>VK193+1</f>
        <v>46155</v>
      </c>
      <c r="VM193" s="121">
        <f t="shared" ref="VM193" si="1944">VL193+1</f>
        <v>46156</v>
      </c>
      <c r="VN193" s="121">
        <f>VM193+1</f>
        <v>46157</v>
      </c>
      <c r="VO193" s="204">
        <f t="shared" ref="VO193" si="1945">VN193+1</f>
        <v>46158</v>
      </c>
      <c r="VP193" s="204">
        <f>VO193+1</f>
        <v>46159</v>
      </c>
      <c r="VQ193" s="122" t="s">
        <v>585</v>
      </c>
      <c r="VR193" s="121">
        <f>VP193+1</f>
        <v>46160</v>
      </c>
      <c r="VS193" s="121">
        <f>VR193+1</f>
        <v>46161</v>
      </c>
      <c r="VT193" s="121">
        <f>VS193+1</f>
        <v>46162</v>
      </c>
      <c r="VU193" s="121">
        <f t="shared" ref="VU193" si="1946">VT193+1</f>
        <v>46163</v>
      </c>
      <c r="VV193" s="121">
        <f>VU193+1</f>
        <v>46164</v>
      </c>
      <c r="VW193" s="204">
        <f t="shared" ref="VW193" si="1947">VV193+1</f>
        <v>46165</v>
      </c>
      <c r="VX193" s="204">
        <f>VW193+1</f>
        <v>46166</v>
      </c>
      <c r="VY193" s="122" t="s">
        <v>586</v>
      </c>
      <c r="VZ193" s="121">
        <f>VX193+1</f>
        <v>46167</v>
      </c>
      <c r="WA193" s="121">
        <f>VZ193+1</f>
        <v>46168</v>
      </c>
      <c r="WB193" s="121">
        <f>WA193+1</f>
        <v>46169</v>
      </c>
      <c r="WC193" s="121">
        <f t="shared" ref="WC193" si="1948">WB193+1</f>
        <v>46170</v>
      </c>
      <c r="WD193" s="121">
        <f>WC193+1</f>
        <v>46171</v>
      </c>
      <c r="WE193" s="204">
        <f t="shared" ref="WE193" si="1949">WD193+1</f>
        <v>46172</v>
      </c>
      <c r="WF193" s="204">
        <f>WE193+1</f>
        <v>46173</v>
      </c>
      <c r="WG193" s="122" t="s">
        <v>587</v>
      </c>
      <c r="WH193" s="122" t="s">
        <v>588</v>
      </c>
      <c r="WI193" s="121">
        <f>WF193+1</f>
        <v>46174</v>
      </c>
      <c r="WJ193" s="121">
        <f>WI193+1</f>
        <v>46175</v>
      </c>
      <c r="WK193" s="121">
        <f>WJ193+1</f>
        <v>46176</v>
      </c>
      <c r="WL193" s="121">
        <f t="shared" ref="WL193" si="1950">WK193+1</f>
        <v>46177</v>
      </c>
      <c r="WM193" s="121">
        <f>WL193+1</f>
        <v>46178</v>
      </c>
      <c r="WN193" s="204">
        <f t="shared" ref="WN193" si="1951">WM193+1</f>
        <v>46179</v>
      </c>
      <c r="WO193" s="204">
        <f>WN193+1</f>
        <v>46180</v>
      </c>
      <c r="WP193" s="122" t="s">
        <v>589</v>
      </c>
      <c r="WQ193" s="121">
        <f>WO193+1</f>
        <v>46181</v>
      </c>
      <c r="WR193" s="121">
        <f>WQ193+1</f>
        <v>46182</v>
      </c>
      <c r="WS193" s="121">
        <f>WR193+1</f>
        <v>46183</v>
      </c>
      <c r="WT193" s="121">
        <f t="shared" ref="WT193" si="1952">WS193+1</f>
        <v>46184</v>
      </c>
      <c r="WU193" s="121">
        <f>WT193+1</f>
        <v>46185</v>
      </c>
      <c r="WV193" s="204">
        <f t="shared" ref="WV193" si="1953">WU193+1</f>
        <v>46186</v>
      </c>
      <c r="WW193" s="204">
        <f>WV193+1</f>
        <v>46187</v>
      </c>
      <c r="WX193" s="122" t="s">
        <v>590</v>
      </c>
      <c r="WY193" s="121">
        <f>WW193+1</f>
        <v>46188</v>
      </c>
      <c r="WZ193" s="121">
        <f>WY193+1</f>
        <v>46189</v>
      </c>
      <c r="XA193" s="121">
        <f>WZ193+1</f>
        <v>46190</v>
      </c>
      <c r="XB193" s="121">
        <f t="shared" ref="XB193" si="1954">XA193+1</f>
        <v>46191</v>
      </c>
      <c r="XC193" s="204">
        <f>XB193+1</f>
        <v>46192</v>
      </c>
      <c r="XD193" s="204">
        <f t="shared" ref="XD193" si="1955">XC193+1</f>
        <v>46193</v>
      </c>
      <c r="XE193" s="204">
        <f>XD193+1</f>
        <v>46194</v>
      </c>
      <c r="XF193" s="122" t="s">
        <v>591</v>
      </c>
      <c r="XG193" s="121">
        <f>XE193+1</f>
        <v>46195</v>
      </c>
      <c r="XH193" s="121">
        <f>XG193+1</f>
        <v>46196</v>
      </c>
      <c r="XI193" s="121">
        <f>XH193+1</f>
        <v>46197</v>
      </c>
      <c r="XJ193" s="121">
        <f t="shared" ref="XJ193" si="1956">XI193+1</f>
        <v>46198</v>
      </c>
      <c r="XK193" s="121">
        <f>XJ193+1</f>
        <v>46199</v>
      </c>
      <c r="XL193" s="204">
        <f t="shared" ref="XL193" si="1957">XK193+1</f>
        <v>46200</v>
      </c>
      <c r="XM193" s="204">
        <f>XL193+1</f>
        <v>46201</v>
      </c>
      <c r="XN193" s="122" t="s">
        <v>592</v>
      </c>
      <c r="XO193" s="121">
        <f>XM193+1</f>
        <v>46202</v>
      </c>
      <c r="XP193" s="121">
        <f>XO193+1</f>
        <v>46203</v>
      </c>
      <c r="XQ193" s="121">
        <f>XP193+1</f>
        <v>46204</v>
      </c>
      <c r="XR193" s="121">
        <f t="shared" ref="XR193" si="1958">XQ193+1</f>
        <v>46205</v>
      </c>
      <c r="XS193" s="121">
        <f>XR193+1</f>
        <v>46206</v>
      </c>
      <c r="XT193" s="204">
        <f t="shared" ref="XT193" si="1959">XS193+1</f>
        <v>46207</v>
      </c>
      <c r="XU193" s="204">
        <f>XT193+1</f>
        <v>46208</v>
      </c>
      <c r="XV193" s="122" t="s">
        <v>599</v>
      </c>
      <c r="XW193" s="122" t="s">
        <v>593</v>
      </c>
      <c r="XX193" s="121">
        <f>XU193+1</f>
        <v>46209</v>
      </c>
      <c r="XY193" s="121">
        <f>XX193+1</f>
        <v>46210</v>
      </c>
      <c r="XZ193" s="121">
        <f>XY193+1</f>
        <v>46211</v>
      </c>
      <c r="YA193" s="121">
        <f t="shared" ref="YA193" si="1960">XZ193+1</f>
        <v>46212</v>
      </c>
      <c r="YB193" s="121">
        <f>YA193+1</f>
        <v>46213</v>
      </c>
      <c r="YC193" s="204">
        <f t="shared" ref="YC193" si="1961">YB193+1</f>
        <v>46214</v>
      </c>
      <c r="YD193" s="204">
        <f>YC193+1</f>
        <v>46215</v>
      </c>
      <c r="YE193" s="122" t="s">
        <v>721</v>
      </c>
      <c r="YF193" s="121">
        <f>YD193+1</f>
        <v>46216</v>
      </c>
      <c r="YG193" s="121">
        <f>YF193+1</f>
        <v>46217</v>
      </c>
      <c r="YH193" s="121">
        <f>YG193+1</f>
        <v>46218</v>
      </c>
      <c r="YI193" s="121">
        <f t="shared" ref="YI193" si="1962">YH193+1</f>
        <v>46219</v>
      </c>
      <c r="YJ193" s="121">
        <f>YI193+1</f>
        <v>46220</v>
      </c>
      <c r="YK193" s="204">
        <f t="shared" ref="YK193" si="1963">YJ193+1</f>
        <v>46221</v>
      </c>
      <c r="YL193" s="204">
        <f>YK193+1</f>
        <v>46222</v>
      </c>
      <c r="YM193" s="122" t="s">
        <v>722</v>
      </c>
      <c r="YN193" s="121">
        <f>YL193+1</f>
        <v>46223</v>
      </c>
      <c r="YO193" s="121">
        <f>YN193+1</f>
        <v>46224</v>
      </c>
      <c r="YP193" s="121">
        <f>YO193+1</f>
        <v>46225</v>
      </c>
      <c r="YQ193" s="121">
        <f t="shared" ref="YQ193" si="1964">YP193+1</f>
        <v>46226</v>
      </c>
      <c r="YR193" s="121">
        <f>YQ193+1</f>
        <v>46227</v>
      </c>
      <c r="YS193" s="204">
        <f t="shared" ref="YS193" si="1965">YR193+1</f>
        <v>46228</v>
      </c>
      <c r="YT193" s="204">
        <f>YS193+1</f>
        <v>46229</v>
      </c>
      <c r="YU193" s="122" t="s">
        <v>723</v>
      </c>
      <c r="YV193" s="121">
        <f>YT193+1</f>
        <v>46230</v>
      </c>
      <c r="YW193" s="121">
        <f>YV193+1</f>
        <v>46231</v>
      </c>
      <c r="YX193" s="121">
        <f>YW193+1</f>
        <v>46232</v>
      </c>
      <c r="YY193" s="121">
        <f t="shared" ref="YY193" si="1966">YX193+1</f>
        <v>46233</v>
      </c>
      <c r="YZ193" s="121">
        <f>YY193+1</f>
        <v>46234</v>
      </c>
      <c r="ZA193" s="204">
        <f t="shared" ref="ZA193" si="1967">YZ193+1</f>
        <v>46235</v>
      </c>
      <c r="ZB193" s="204">
        <f>ZA193+1</f>
        <v>46236</v>
      </c>
      <c r="ZC193" s="122" t="s">
        <v>724</v>
      </c>
      <c r="ZD193" s="122" t="s">
        <v>725</v>
      </c>
      <c r="ZE193" s="121">
        <f>ZB193+1</f>
        <v>46237</v>
      </c>
      <c r="ZF193" s="121">
        <f>ZE193+1</f>
        <v>46238</v>
      </c>
      <c r="ZG193" s="121">
        <f>ZF193+1</f>
        <v>46239</v>
      </c>
      <c r="ZH193" s="121">
        <f t="shared" ref="ZH193" si="1968">ZG193+1</f>
        <v>46240</v>
      </c>
      <c r="ZI193" s="121">
        <f>ZH193+1</f>
        <v>46241</v>
      </c>
      <c r="ZJ193" s="204">
        <f t="shared" ref="ZJ193" si="1969">ZI193+1</f>
        <v>46242</v>
      </c>
      <c r="ZK193" s="204">
        <f>ZJ193+1</f>
        <v>46243</v>
      </c>
      <c r="ZL193" s="122" t="s">
        <v>726</v>
      </c>
      <c r="ZM193" s="121">
        <f>ZK193+1</f>
        <v>46244</v>
      </c>
      <c r="ZN193" s="121">
        <f>ZM193+1</f>
        <v>46245</v>
      </c>
      <c r="ZO193" s="121">
        <f>ZN193+1</f>
        <v>46246</v>
      </c>
      <c r="ZP193" s="121">
        <f t="shared" ref="ZP193" si="1970">ZO193+1</f>
        <v>46247</v>
      </c>
      <c r="ZQ193" s="121">
        <f>ZP193+1</f>
        <v>46248</v>
      </c>
      <c r="ZR193" s="204">
        <f t="shared" ref="ZR193" si="1971">ZQ193+1</f>
        <v>46249</v>
      </c>
      <c r="ZS193" s="204">
        <f>ZR193+1</f>
        <v>46250</v>
      </c>
      <c r="ZT193" s="122" t="s">
        <v>727</v>
      </c>
      <c r="ZU193" s="121">
        <f>ZS193+1</f>
        <v>46251</v>
      </c>
      <c r="ZV193" s="121">
        <f>ZU193+1</f>
        <v>46252</v>
      </c>
      <c r="ZW193" s="121">
        <f>ZV193+1</f>
        <v>46253</v>
      </c>
      <c r="ZX193" s="121">
        <f t="shared" ref="ZX193" si="1972">ZW193+1</f>
        <v>46254</v>
      </c>
      <c r="ZY193" s="121">
        <f>ZX193+1</f>
        <v>46255</v>
      </c>
      <c r="ZZ193" s="204">
        <f t="shared" ref="ZZ193" si="1973">ZY193+1</f>
        <v>46256</v>
      </c>
      <c r="AAA193" s="204">
        <f>ZZ193+1</f>
        <v>46257</v>
      </c>
      <c r="AAB193" s="122" t="s">
        <v>728</v>
      </c>
      <c r="AAC193" s="121">
        <f>AAA193+1</f>
        <v>46258</v>
      </c>
      <c r="AAD193" s="121">
        <f>AAC193+1</f>
        <v>46259</v>
      </c>
      <c r="AAE193" s="121">
        <f>AAD193+1</f>
        <v>46260</v>
      </c>
      <c r="AAF193" s="121">
        <f t="shared" ref="AAF193" si="1974">AAE193+1</f>
        <v>46261</v>
      </c>
      <c r="AAG193" s="121">
        <f>AAF193+1</f>
        <v>46262</v>
      </c>
      <c r="AAH193" s="204">
        <f t="shared" ref="AAH193" si="1975">AAG193+1</f>
        <v>46263</v>
      </c>
      <c r="AAI193" s="204">
        <f>AAH193+1</f>
        <v>46264</v>
      </c>
      <c r="AAJ193" s="122" t="s">
        <v>729</v>
      </c>
      <c r="AAK193" s="121">
        <f>AAI193+1</f>
        <v>46265</v>
      </c>
      <c r="AAL193" s="121">
        <f>AAK193+1</f>
        <v>46266</v>
      </c>
      <c r="AAM193" s="121">
        <f>AAL193+1</f>
        <v>46267</v>
      </c>
      <c r="AAN193" s="121">
        <f t="shared" ref="AAN193" si="1976">AAM193+1</f>
        <v>46268</v>
      </c>
      <c r="AAO193" s="121">
        <f>AAN193+1</f>
        <v>46269</v>
      </c>
      <c r="AAP193" s="204">
        <f t="shared" ref="AAP193" si="1977">AAO193+1</f>
        <v>46270</v>
      </c>
      <c r="AAQ193" s="204">
        <f>AAP193+1</f>
        <v>46271</v>
      </c>
      <c r="AAR193" s="122" t="s">
        <v>731</v>
      </c>
      <c r="AAS193" s="122" t="s">
        <v>730</v>
      </c>
    </row>
    <row r="194" spans="1:721" ht="78" customHeight="1">
      <c r="A194" s="117">
        <v>10</v>
      </c>
      <c r="B194" s="309" t="s">
        <v>839</v>
      </c>
      <c r="C194" s="362" t="s">
        <v>891</v>
      </c>
      <c r="D194" s="369" t="s">
        <v>862</v>
      </c>
      <c r="E194" s="130" t="s">
        <v>4</v>
      </c>
      <c r="F194" s="120"/>
      <c r="G194" s="120"/>
      <c r="H194" s="120"/>
      <c r="I194" s="120"/>
      <c r="J194" s="120"/>
      <c r="K194" s="209"/>
      <c r="L194" s="205"/>
      <c r="M194" s="205">
        <f t="shared" ref="M194" si="1978">SUM(F194:L194)</f>
        <v>0</v>
      </c>
      <c r="N194" s="120"/>
      <c r="O194" s="120"/>
      <c r="P194" s="120"/>
      <c r="Q194" s="120"/>
      <c r="R194" s="120"/>
      <c r="S194" s="209"/>
      <c r="T194" s="205"/>
      <c r="U194" s="205">
        <f t="shared" ref="U194" si="1979">SUM(N194:T194)</f>
        <v>0</v>
      </c>
      <c r="V194" s="120"/>
      <c r="W194" s="120"/>
      <c r="X194" s="120"/>
      <c r="Y194" s="120"/>
      <c r="Z194" s="120"/>
      <c r="AA194" s="209"/>
      <c r="AB194" s="205"/>
      <c r="AC194" s="205">
        <f t="shared" ref="AC194" si="1980">SUM(V194:AB194)</f>
        <v>0</v>
      </c>
      <c r="AD194" s="205"/>
      <c r="AE194" s="205"/>
      <c r="AF194" s="205"/>
      <c r="AG194" s="205"/>
      <c r="AH194" s="205"/>
      <c r="AI194" s="209"/>
      <c r="AJ194" s="205"/>
      <c r="AK194" s="205">
        <f t="shared" ref="AK194" si="1981">SUM(AD194:AJ194)</f>
        <v>0</v>
      </c>
      <c r="AL194" s="205" t="e">
        <f>SUM(#REF!,M194,U194,AC194,AD194:AH194)</f>
        <v>#REF!</v>
      </c>
      <c r="AM194" s="120"/>
      <c r="AN194" s="120"/>
      <c r="AO194" s="120"/>
      <c r="AP194" s="120"/>
      <c r="AQ194" s="120"/>
      <c r="AR194" s="209"/>
      <c r="AS194" s="205"/>
      <c r="AT194" s="205">
        <f t="shared" ref="AT194" si="1982">SUM(AM194:AS194)</f>
        <v>0</v>
      </c>
      <c r="AU194" s="120"/>
      <c r="AV194" s="120"/>
      <c r="AW194" s="120"/>
      <c r="AX194" s="120"/>
      <c r="AY194" s="120"/>
      <c r="AZ194" s="209"/>
      <c r="BA194" s="205"/>
      <c r="BB194" s="205">
        <f t="shared" ref="BB194" si="1983">SUM(AU194:BA194)</f>
        <v>0</v>
      </c>
      <c r="BC194" s="120"/>
      <c r="BD194" s="120"/>
      <c r="BE194" s="120"/>
      <c r="BF194" s="120"/>
      <c r="BG194" s="120"/>
      <c r="BH194" s="209"/>
      <c r="BI194" s="205"/>
      <c r="BJ194" s="205">
        <f t="shared" ref="BJ194" si="1984">SUM(BC194:BI194)</f>
        <v>0</v>
      </c>
      <c r="BK194" s="120"/>
      <c r="BL194" s="120"/>
      <c r="BM194" s="217">
        <v>3100</v>
      </c>
      <c r="BN194" s="120"/>
      <c r="BO194" s="205"/>
      <c r="BP194" s="209"/>
      <c r="BQ194" s="205"/>
      <c r="BR194" s="205">
        <f t="shared" ref="BR194" si="1985">SUM(BK194:BQ194)</f>
        <v>3100</v>
      </c>
      <c r="BS194" s="205">
        <f t="shared" ref="BS194" si="1986">SUM(AI194:AJ194,AT194,BB194,BJ194,BK194:BO194)</f>
        <v>3100</v>
      </c>
      <c r="BT194" s="120"/>
      <c r="BU194" s="250">
        <v>700</v>
      </c>
      <c r="BV194" s="120"/>
      <c r="BW194" s="120"/>
      <c r="BX194" s="120"/>
      <c r="BY194" s="209"/>
      <c r="BZ194" s="205"/>
      <c r="CA194" s="205">
        <f t="shared" ref="CA194" si="1987">SUM(BT194:BZ194)</f>
        <v>700</v>
      </c>
      <c r="CB194" s="120"/>
      <c r="CC194" s="120"/>
      <c r="CD194" s="120"/>
      <c r="CE194" s="120"/>
      <c r="CF194" s="120"/>
      <c r="CG194" s="209"/>
      <c r="CH194" s="205"/>
      <c r="CI194" s="205">
        <f t="shared" ref="CI194" si="1988">SUM(CB194:CH194)</f>
        <v>0</v>
      </c>
      <c r="CJ194" s="120"/>
      <c r="CK194" s="120"/>
      <c r="CL194" s="250">
        <v>1200</v>
      </c>
      <c r="CM194" s="120"/>
      <c r="CN194" s="120"/>
      <c r="CO194" s="209"/>
      <c r="CP194" s="205"/>
      <c r="CQ194" s="205">
        <f t="shared" ref="CQ194" si="1989">SUM(CJ194:CP194)</f>
        <v>1200</v>
      </c>
      <c r="CR194" s="120" t="s">
        <v>216</v>
      </c>
      <c r="CS194" s="120"/>
      <c r="CT194" s="120"/>
      <c r="CU194" s="120"/>
      <c r="CV194" s="120"/>
      <c r="CW194" s="209"/>
      <c r="CX194" s="205"/>
      <c r="CY194" s="205">
        <f t="shared" ref="CY194" si="1990">SUM(CR194:CX194)</f>
        <v>0</v>
      </c>
      <c r="CZ194" s="120"/>
      <c r="DA194" s="120"/>
      <c r="DB194" s="120"/>
      <c r="DC194" s="205"/>
      <c r="DD194" s="205"/>
      <c r="DE194" s="209"/>
      <c r="DF194" s="205"/>
      <c r="DG194" s="205">
        <f t="shared" ref="DG194" si="1991">SUM(CZ194:DF194)</f>
        <v>0</v>
      </c>
      <c r="DH194" s="205">
        <f>SUM(CA194,CI194,CQ194,CY194,CZ194)</f>
        <v>1900</v>
      </c>
      <c r="DI194" s="120"/>
      <c r="DJ194" s="120"/>
      <c r="DK194" s="120"/>
      <c r="DL194" s="120"/>
      <c r="DM194" s="120"/>
      <c r="DN194" s="209"/>
      <c r="DO194" s="205"/>
      <c r="DP194" s="205">
        <f t="shared" ref="DP194" si="1992">SUM(DI194:DO194)</f>
        <v>0</v>
      </c>
      <c r="DQ194" s="217">
        <v>650</v>
      </c>
      <c r="DR194" s="120"/>
      <c r="DS194" s="120"/>
      <c r="DT194" s="120"/>
      <c r="DU194" s="120"/>
      <c r="DV194" s="209"/>
      <c r="DW194" s="205"/>
      <c r="DX194" s="205">
        <f t="shared" ref="DX194" si="1993">SUM(DQ194:DW194)</f>
        <v>650</v>
      </c>
      <c r="DY194" s="120"/>
      <c r="DZ194" s="120"/>
      <c r="EA194" s="120"/>
      <c r="EB194" s="120"/>
      <c r="EC194" s="120"/>
      <c r="ED194" s="209"/>
      <c r="EE194" s="205"/>
      <c r="EF194" s="205">
        <f t="shared" ref="EF194" si="1994">SUM(DY194:EE194)</f>
        <v>0</v>
      </c>
      <c r="EG194" s="120"/>
      <c r="EH194" s="120"/>
      <c r="EI194" s="120"/>
      <c r="EJ194" s="205"/>
      <c r="EK194" s="205"/>
      <c r="EL194" s="209"/>
      <c r="EM194" s="205"/>
      <c r="EN194" s="205">
        <f t="shared" ref="EN194" si="1995">SUM(EG194:EM194)</f>
        <v>0</v>
      </c>
      <c r="EO194" s="205">
        <f>SUM(DA194:DF194,DP194,DX194,EF194,EG194:EI194)</f>
        <v>650</v>
      </c>
      <c r="EP194" s="120"/>
      <c r="EQ194" s="250">
        <v>500</v>
      </c>
      <c r="ER194" s="120"/>
      <c r="ES194" s="120"/>
      <c r="ET194" s="120"/>
      <c r="EU194" s="209"/>
      <c r="EV194" s="205"/>
      <c r="EW194" s="205">
        <f t="shared" ref="EW194" si="1996">SUM(EP194:EV194)</f>
        <v>500</v>
      </c>
      <c r="EX194" s="120"/>
      <c r="EY194" s="120"/>
      <c r="EZ194" s="120"/>
      <c r="FA194" s="120"/>
      <c r="FB194" s="120"/>
      <c r="FC194" s="209"/>
      <c r="FD194" s="205"/>
      <c r="FE194" s="205">
        <f t="shared" ref="FE194" si="1997">SUM(EX194:FD194)</f>
        <v>0</v>
      </c>
      <c r="FF194" s="120"/>
      <c r="FG194" s="195">
        <v>500</v>
      </c>
      <c r="FH194" s="120"/>
      <c r="FI194" s="120"/>
      <c r="FJ194" s="120"/>
      <c r="FK194" s="209"/>
      <c r="FL194" s="205"/>
      <c r="FM194" s="205">
        <f t="shared" ref="FM194" si="1998">SUM(FF194:FL194)</f>
        <v>500</v>
      </c>
      <c r="FN194" s="120"/>
      <c r="FO194" s="120"/>
      <c r="FP194" s="120"/>
      <c r="FQ194" s="120"/>
      <c r="FR194" s="205"/>
      <c r="FS194" s="209"/>
      <c r="FT194" s="205"/>
      <c r="FU194" s="205">
        <f t="shared" ref="FU194" si="1999">SUM(FN194:FT194)</f>
        <v>0</v>
      </c>
      <c r="FV194" s="205">
        <f>SUM(EJ194:EK194,EW194,FE194,FM194,FU194)</f>
        <v>1000</v>
      </c>
      <c r="FW194" s="120"/>
      <c r="FX194" s="120"/>
      <c r="FY194" s="120"/>
      <c r="FZ194" s="120"/>
      <c r="GA194" s="120"/>
      <c r="GB194" s="209"/>
      <c r="GC194" s="205"/>
      <c r="GD194" s="205">
        <f t="shared" ref="GD194" si="2000">SUM(FW194:GC194)</f>
        <v>0</v>
      </c>
      <c r="GE194" s="120"/>
      <c r="GF194" s="120"/>
      <c r="GG194" s="120"/>
      <c r="GH194" s="120"/>
      <c r="GI194" s="120"/>
      <c r="GJ194" s="209"/>
      <c r="GK194" s="205"/>
      <c r="GL194" s="205">
        <f t="shared" ref="GL194" si="2001">SUM(GE194:GK194)</f>
        <v>0</v>
      </c>
      <c r="GM194" s="120"/>
      <c r="GN194" s="120"/>
      <c r="GO194" s="120"/>
      <c r="GP194" s="120"/>
      <c r="GQ194" s="120"/>
      <c r="GR194" s="209"/>
      <c r="GS194" s="205"/>
      <c r="GT194" s="205">
        <f t="shared" ref="GT194" si="2002">SUM(GM194:GS194)</f>
        <v>0</v>
      </c>
      <c r="GU194" s="120"/>
      <c r="GV194" s="120"/>
      <c r="GW194" s="120"/>
      <c r="GX194" s="120"/>
      <c r="GY194" s="120"/>
      <c r="GZ194" s="209"/>
      <c r="HA194" s="205"/>
      <c r="HB194" s="205">
        <f t="shared" ref="HB194" si="2003">SUM(GU194:HA194)</f>
        <v>0</v>
      </c>
      <c r="HC194" s="120"/>
      <c r="HD194" s="120"/>
      <c r="HE194" s="120"/>
      <c r="HF194" s="120"/>
      <c r="HG194" s="120"/>
      <c r="HH194" s="209"/>
      <c r="HI194" s="205"/>
      <c r="HJ194" s="205">
        <f t="shared" ref="HJ194" si="2004">SUM(HC194:HI194)</f>
        <v>0</v>
      </c>
      <c r="HK194" s="205">
        <f>SUM(GD194,GL194,GT194,HB194,HC194)</f>
        <v>0</v>
      </c>
      <c r="HL194" s="124"/>
      <c r="HM194" s="120"/>
      <c r="HN194" s="120"/>
      <c r="HO194" s="123">
        <v>1750</v>
      </c>
      <c r="HP194" s="120"/>
      <c r="HQ194" s="205"/>
      <c r="HR194" s="205"/>
      <c r="HS194" s="205">
        <f>SUM(HL194:HR194)</f>
        <v>1750</v>
      </c>
      <c r="HT194" s="120"/>
      <c r="HU194" s="120"/>
      <c r="HV194" s="120"/>
      <c r="HW194" s="120"/>
      <c r="HX194" s="120"/>
      <c r="HY194" s="205"/>
      <c r="HZ194" s="205"/>
      <c r="IA194" s="205">
        <f>SUM(HT194:HZ194)</f>
        <v>0</v>
      </c>
      <c r="IB194" s="120"/>
      <c r="IC194" s="120"/>
      <c r="ID194" s="120"/>
      <c r="IE194" s="120"/>
      <c r="IF194" s="120"/>
      <c r="IG194" s="205"/>
      <c r="IH194" s="205"/>
      <c r="II194" s="205">
        <f>SUM(IB194:IH194)</f>
        <v>0</v>
      </c>
      <c r="IJ194" s="120"/>
      <c r="IK194" s="120"/>
      <c r="IL194" s="201">
        <v>1800</v>
      </c>
      <c r="IM194" s="120"/>
      <c r="IN194" s="120"/>
      <c r="IO194" s="205"/>
      <c r="IP194" s="205"/>
      <c r="IQ194" s="205">
        <f>SUM(IJ194:IP194)</f>
        <v>1800</v>
      </c>
      <c r="IR194" s="205">
        <f>SUM(IJ194:IM194,II194,IA194,HS194,HD194:HG194,HH194:HI194)</f>
        <v>3550</v>
      </c>
      <c r="IS194" s="120"/>
      <c r="IT194" s="120"/>
      <c r="IU194" s="120"/>
      <c r="IV194" s="120"/>
      <c r="IW194" s="120"/>
      <c r="IX194" s="205"/>
      <c r="IY194" s="205"/>
      <c r="IZ194" s="205">
        <f>SUM(IS194:IY194)</f>
        <v>0</v>
      </c>
      <c r="JA194" s="120"/>
      <c r="JB194" s="120"/>
      <c r="JC194" s="120"/>
      <c r="JD194" s="120"/>
      <c r="JE194" s="120"/>
      <c r="JF194" s="205"/>
      <c r="JG194" s="205"/>
      <c r="JH194" s="205">
        <f>SUM(JA194:JG194)</f>
        <v>0</v>
      </c>
      <c r="JI194" s="120"/>
      <c r="JJ194" s="120"/>
      <c r="JK194" s="120"/>
      <c r="JL194" s="120"/>
      <c r="JM194" s="120"/>
      <c r="JN194" s="205"/>
      <c r="JO194" s="205"/>
      <c r="JP194" s="205">
        <f>SUM(JI194:JO194)</f>
        <v>0</v>
      </c>
      <c r="JQ194" s="120"/>
      <c r="JR194" s="120"/>
      <c r="JS194" s="120"/>
      <c r="JT194" s="120"/>
      <c r="JU194" s="120"/>
      <c r="JV194" s="205"/>
      <c r="JW194" s="205"/>
      <c r="JX194" s="205">
        <f>SUM(JQ194:JW194)</f>
        <v>0</v>
      </c>
      <c r="JY194" s="205">
        <f>SUM(JX194,JP194,JH194,IZ194,IN194:IP194)</f>
        <v>0</v>
      </c>
      <c r="JZ194" s="120"/>
      <c r="KA194" s="120"/>
      <c r="KB194" s="120"/>
      <c r="KC194" s="120"/>
      <c r="KD194" s="120"/>
      <c r="KE194" s="205"/>
      <c r="KF194" s="205"/>
      <c r="KG194" s="205">
        <f>SUM(JZ194:KF194)</f>
        <v>0</v>
      </c>
      <c r="KH194" s="120"/>
      <c r="KI194" s="120"/>
      <c r="KJ194" s="120"/>
      <c r="KK194" s="206">
        <v>800</v>
      </c>
      <c r="KL194" s="120"/>
      <c r="KM194" s="205"/>
      <c r="KN194" s="205"/>
      <c r="KO194" s="205">
        <f>SUM(KH194:KN194)</f>
        <v>800</v>
      </c>
      <c r="KP194" s="120"/>
      <c r="KQ194" s="120"/>
      <c r="KR194" s="120"/>
      <c r="KS194" s="120"/>
      <c r="KT194" s="120"/>
      <c r="KU194" s="205"/>
      <c r="KV194" s="205"/>
      <c r="KW194" s="205">
        <f>SUM(KP194:KV194)</f>
        <v>0</v>
      </c>
      <c r="KX194" s="120"/>
      <c r="KY194" s="120"/>
      <c r="KZ194" s="120"/>
      <c r="LA194" s="120"/>
      <c r="LB194" s="120"/>
      <c r="LC194" s="205"/>
      <c r="LD194" s="205"/>
      <c r="LE194" s="205">
        <f>SUM(KX194:LD194)</f>
        <v>0</v>
      </c>
      <c r="LF194" s="205"/>
      <c r="LG194" s="120"/>
      <c r="LH194" s="120"/>
      <c r="LI194" s="120"/>
      <c r="LJ194" s="120"/>
      <c r="LK194" s="205"/>
      <c r="LL194" s="205"/>
      <c r="LM194" s="205">
        <f>SUM(LF194:LL194)</f>
        <v>0</v>
      </c>
      <c r="LN194" s="205">
        <f>SUM(LF194:LG194,LE194,KW194,KO194,KG194)</f>
        <v>800</v>
      </c>
      <c r="LO194" s="205"/>
      <c r="LP194" s="120"/>
      <c r="LQ194" s="120"/>
      <c r="LR194" s="120"/>
      <c r="LS194" s="205"/>
      <c r="LT194" s="205"/>
      <c r="LU194" s="205"/>
      <c r="LV194" s="205">
        <f>SUM(LO194:LU194)</f>
        <v>0</v>
      </c>
      <c r="LW194" s="120"/>
      <c r="LX194" s="120"/>
      <c r="LY194" s="124">
        <v>360</v>
      </c>
      <c r="LZ194" s="120"/>
      <c r="MA194" s="120"/>
      <c r="MB194" s="205"/>
      <c r="MC194" s="205"/>
      <c r="MD194" s="205">
        <f>SUM(LW194:MC194)</f>
        <v>360</v>
      </c>
      <c r="ME194" s="120"/>
      <c r="MF194" s="120"/>
      <c r="MG194" s="120"/>
      <c r="MH194" s="201">
        <v>1100</v>
      </c>
      <c r="MI194" s="205"/>
      <c r="MJ194" s="205"/>
      <c r="MK194" s="205"/>
      <c r="ML194" s="205">
        <f>SUM(ME194:MK194)</f>
        <v>1100</v>
      </c>
      <c r="MM194" s="120" t="s">
        <v>712</v>
      </c>
      <c r="MN194" s="120"/>
      <c r="MO194" s="120"/>
      <c r="MP194" s="120"/>
      <c r="MQ194" s="120"/>
      <c r="MR194" s="205"/>
      <c r="MS194" s="205"/>
      <c r="MT194" s="205">
        <f>SUM(MM194:MS194)</f>
        <v>0</v>
      </c>
      <c r="MU194" s="205">
        <f>SUM(LH194:LL194,LV194,MD194,ML194,MM194:MQ194)</f>
        <v>1460</v>
      </c>
      <c r="MV194" s="120"/>
      <c r="MW194" s="120"/>
      <c r="MX194" s="195">
        <v>2000</v>
      </c>
      <c r="MY194" s="120"/>
      <c r="MZ194" s="120"/>
      <c r="NA194" s="205"/>
      <c r="NB194" s="205"/>
      <c r="NC194" s="205">
        <f>SUM(MV194:NB194)</f>
        <v>2000</v>
      </c>
      <c r="ND194" s="120"/>
      <c r="NE194" s="120"/>
      <c r="NF194" s="120"/>
      <c r="NG194" s="120"/>
      <c r="NH194" s="120"/>
      <c r="NI194" s="205"/>
      <c r="NJ194" s="205"/>
      <c r="NK194" s="205">
        <f>SUM(ND194:NJ194)</f>
        <v>0</v>
      </c>
      <c r="NL194" s="120"/>
      <c r="NM194" s="120"/>
      <c r="NN194" s="120"/>
      <c r="NO194" s="120"/>
      <c r="NP194" s="120"/>
      <c r="NQ194" s="205"/>
      <c r="NR194" s="205"/>
      <c r="NS194" s="205">
        <f>SUM(NL194:NR194)</f>
        <v>0</v>
      </c>
      <c r="NT194" s="217">
        <v>1000</v>
      </c>
      <c r="NU194" s="120"/>
      <c r="NV194" s="120"/>
      <c r="NW194" s="120"/>
      <c r="NX194" s="120"/>
      <c r="NY194" s="205"/>
      <c r="NZ194" s="205"/>
      <c r="OA194" s="205">
        <f>SUM(NT194:NZ194)</f>
        <v>1000</v>
      </c>
      <c r="OB194" s="205">
        <f>SUM(MR194:MS194,NC194,NK194,NS194,OA194)</f>
        <v>3000</v>
      </c>
      <c r="OC194" s="120"/>
      <c r="OD194" s="120"/>
      <c r="OE194" s="120"/>
      <c r="OF194" s="120"/>
      <c r="OG194" s="120"/>
      <c r="OH194" s="205"/>
      <c r="OI194" s="205"/>
      <c r="OJ194" s="205">
        <f>SUM(OC194:OI194)</f>
        <v>0</v>
      </c>
      <c r="OK194" s="120"/>
      <c r="OL194" s="120"/>
      <c r="OM194" s="120"/>
      <c r="ON194" s="120"/>
      <c r="OO194" s="120"/>
      <c r="OP194" s="205"/>
      <c r="OQ194" s="205"/>
      <c r="OR194" s="205">
        <f>SUM(OK194:OQ194)</f>
        <v>0</v>
      </c>
      <c r="OS194" s="120"/>
      <c r="OT194" s="120"/>
      <c r="OU194" s="120"/>
      <c r="OV194" s="120"/>
      <c r="OW194" s="120"/>
      <c r="OX194" s="205"/>
      <c r="OY194" s="205"/>
      <c r="OZ194" s="205">
        <f>SUM(OS194:OY194)</f>
        <v>0</v>
      </c>
      <c r="PA194" s="120"/>
      <c r="PB194" s="120"/>
      <c r="PC194" s="120"/>
      <c r="PD194" s="205"/>
      <c r="PE194" s="217"/>
      <c r="PF194" s="205"/>
      <c r="PG194" s="205"/>
      <c r="PH194" s="205">
        <f>SUM(PA194:PG194)</f>
        <v>0</v>
      </c>
      <c r="PI194" s="120"/>
      <c r="PJ194" s="120"/>
      <c r="PK194" s="120"/>
      <c r="PL194" s="205"/>
      <c r="PM194" s="217"/>
      <c r="PN194" s="205"/>
      <c r="PO194" s="205"/>
      <c r="PP194" s="205">
        <f>SUM(PI194:PO194)</f>
        <v>0</v>
      </c>
      <c r="PQ194" s="205">
        <f>SUM(OJ194,OR194,OZ194,PH194,PI194:PK194)</f>
        <v>0</v>
      </c>
      <c r="PR194" s="120"/>
      <c r="PS194" s="207"/>
      <c r="PT194" s="207"/>
      <c r="PU194" s="207"/>
      <c r="PV194" s="207"/>
      <c r="PW194" s="272"/>
      <c r="PX194" s="272"/>
      <c r="PY194" s="205">
        <f>SUM(PR194:PX194)</f>
        <v>0</v>
      </c>
      <c r="PZ194" s="207"/>
      <c r="QA194" s="207"/>
      <c r="QB194" s="207"/>
      <c r="QC194" s="207"/>
      <c r="QD194" s="207"/>
      <c r="QE194" s="272"/>
      <c r="QF194" s="272"/>
      <c r="QG194" s="205">
        <f>SUM(PZ194:QF194)</f>
        <v>0</v>
      </c>
      <c r="QH194" s="207"/>
      <c r="QI194" s="304"/>
      <c r="QJ194" s="294"/>
      <c r="QK194" s="201">
        <v>600</v>
      </c>
      <c r="QL194" s="207"/>
      <c r="QM194" s="272"/>
      <c r="QN194" s="272"/>
      <c r="QO194" s="205">
        <f>SUM(QH194:QN194)</f>
        <v>600</v>
      </c>
      <c r="QP194" s="207"/>
      <c r="QQ194" s="120"/>
      <c r="QR194" s="207"/>
      <c r="QS194" s="207"/>
      <c r="QT194" s="207"/>
      <c r="QU194" s="272"/>
      <c r="QV194" s="272"/>
      <c r="QW194" s="205">
        <f>SUM(QP194:QV194)</f>
        <v>0</v>
      </c>
      <c r="QX194" s="205">
        <f>SUM(QW194,QO194,QG194,PY194,PL194,PM194,PN194,PO194)</f>
        <v>600</v>
      </c>
      <c r="QY194" s="207"/>
      <c r="QZ194" s="207"/>
      <c r="RA194" s="207"/>
      <c r="RB194" s="207"/>
      <c r="RC194" s="207"/>
      <c r="RD194" s="272"/>
      <c r="RE194" s="272"/>
      <c r="RF194" s="205">
        <f>SUM(QY194:RE194)</f>
        <v>0</v>
      </c>
      <c r="RG194" s="207"/>
      <c r="RH194" s="207"/>
      <c r="RI194" s="207"/>
      <c r="RJ194" s="207"/>
      <c r="RK194" s="207"/>
      <c r="RL194" s="272"/>
      <c r="RM194" s="272"/>
      <c r="RN194" s="205">
        <f>SUM(RG194:RM194)</f>
        <v>0</v>
      </c>
      <c r="RO194" s="272"/>
      <c r="RP194" s="272"/>
      <c r="RQ194" s="272"/>
      <c r="RR194" s="272"/>
      <c r="RS194" s="272"/>
      <c r="RT194" s="272"/>
      <c r="RU194" s="272"/>
      <c r="RV194" s="205">
        <f>SUM(RO194:RU194)</f>
        <v>0</v>
      </c>
      <c r="RW194" s="207"/>
      <c r="RX194" s="207"/>
      <c r="RY194" s="207"/>
      <c r="RZ194" s="207"/>
      <c r="SA194" s="272"/>
      <c r="SB194" s="272"/>
      <c r="SC194" s="272"/>
      <c r="SD194" s="205">
        <f>SUM(RW194:SC194)</f>
        <v>0</v>
      </c>
      <c r="SE194" s="205">
        <f>SUM(SD194,RV194,RN194,RF194,QV194)</f>
        <v>0</v>
      </c>
      <c r="SF194" s="207"/>
      <c r="SG194" s="207"/>
      <c r="SH194" s="207"/>
      <c r="SI194" s="207"/>
      <c r="SJ194" s="207"/>
      <c r="SK194" s="272"/>
      <c r="SL194" s="272"/>
      <c r="SM194" s="205">
        <f>SUM(SF194:SL194)</f>
        <v>0</v>
      </c>
      <c r="SN194" s="207"/>
      <c r="SO194" s="207"/>
      <c r="SP194" s="356"/>
      <c r="SQ194" s="207"/>
      <c r="SR194" s="120"/>
      <c r="SS194" s="272"/>
      <c r="ST194" s="272"/>
      <c r="SU194" s="205">
        <f>SUM(SN194:ST194)</f>
        <v>0</v>
      </c>
      <c r="SV194" s="207"/>
      <c r="SW194" s="207"/>
      <c r="SX194" s="207"/>
      <c r="SY194" s="207"/>
      <c r="SZ194" s="207"/>
      <c r="TA194" s="272"/>
      <c r="TB194" s="272"/>
      <c r="TC194" s="205">
        <f>SUM(SV194:TB194)</f>
        <v>0</v>
      </c>
      <c r="TD194" s="207"/>
      <c r="TE194" s="207"/>
      <c r="TF194" s="207"/>
      <c r="TG194" s="207"/>
      <c r="TH194" s="207"/>
      <c r="TI194" s="272"/>
      <c r="TJ194" s="272"/>
      <c r="TK194" s="205">
        <f>SUM(TF194:TJ194)</f>
        <v>0</v>
      </c>
      <c r="TL194" s="207"/>
      <c r="TM194" s="207"/>
      <c r="TN194" s="207"/>
      <c r="TO194" s="207"/>
      <c r="TP194" s="272"/>
      <c r="TQ194" s="272"/>
      <c r="TR194" s="272"/>
      <c r="TS194" s="205">
        <f>SUM(TL194:TR194)</f>
        <v>0</v>
      </c>
      <c r="TT194" s="205">
        <f>SUM(TL194:TM194,TK194,TC194,SU194,SM194,SC194)</f>
        <v>0</v>
      </c>
      <c r="TU194" s="272"/>
      <c r="TV194" s="207"/>
      <c r="TW194" s="207"/>
      <c r="TX194" s="207"/>
      <c r="TY194" s="356"/>
      <c r="TZ194" s="272"/>
      <c r="UA194" s="272"/>
      <c r="UB194" s="205">
        <f>SUM(TU194:UA194)</f>
        <v>0</v>
      </c>
      <c r="UC194" s="356"/>
      <c r="UD194" s="356"/>
      <c r="UE194" s="356"/>
      <c r="UF194" s="356"/>
      <c r="UG194" s="356"/>
      <c r="UH194" s="272"/>
      <c r="UI194" s="272"/>
      <c r="UJ194" s="205">
        <f>SUM(UC194:UI194)</f>
        <v>0</v>
      </c>
      <c r="UK194" s="207"/>
      <c r="UL194" s="207"/>
      <c r="UM194" s="207"/>
      <c r="UN194" s="207"/>
      <c r="UO194" s="201">
        <v>140</v>
      </c>
      <c r="UP194" s="272"/>
      <c r="UQ194" s="272"/>
      <c r="UR194" s="205">
        <f>SUM(UK194:UQ194)</f>
        <v>140</v>
      </c>
      <c r="US194" s="207"/>
      <c r="UT194" s="217">
        <v>3000</v>
      </c>
      <c r="UU194" s="207"/>
      <c r="UV194" s="207"/>
      <c r="UW194" s="272"/>
      <c r="UX194" s="272"/>
      <c r="UY194" s="272"/>
      <c r="UZ194" s="205">
        <f>SUM(UT194:UY194)</f>
        <v>3000</v>
      </c>
      <c r="VA194" s="205">
        <f>SUM(TN194:TR194,UB194,UJ194,UR194,UT194:UT194)</f>
        <v>3140</v>
      </c>
      <c r="VB194" s="207"/>
      <c r="VC194" s="120"/>
      <c r="VD194" s="207"/>
      <c r="VE194" s="207"/>
      <c r="VF194" s="207"/>
      <c r="VG194" s="272"/>
      <c r="VH194" s="272"/>
      <c r="VI194" s="205">
        <f t="shared" ref="VI194:VI243" si="2005">SUM(VB194:VH194)</f>
        <v>0</v>
      </c>
      <c r="VJ194" s="207"/>
      <c r="VK194" s="120"/>
      <c r="VL194" s="207"/>
      <c r="VM194" s="207"/>
      <c r="VN194" s="207"/>
      <c r="VO194" s="272"/>
      <c r="VP194" s="272"/>
      <c r="VQ194" s="205">
        <f>SUM(VJ194:VP194)</f>
        <v>0</v>
      </c>
      <c r="VR194" s="120"/>
      <c r="VS194" s="207"/>
      <c r="VT194" s="120"/>
      <c r="VU194" s="207"/>
      <c r="VV194" s="207"/>
      <c r="VW194" s="272"/>
      <c r="VX194" s="272"/>
      <c r="VY194" s="205">
        <f t="shared" ref="VY194:VY243" si="2006">SUM(VR194:VX194)</f>
        <v>0</v>
      </c>
      <c r="VZ194" s="392">
        <v>140</v>
      </c>
      <c r="WA194" s="207"/>
      <c r="WB194" s="207"/>
      <c r="WC194" s="207"/>
      <c r="WD194" s="207"/>
      <c r="WE194" s="272"/>
      <c r="WF194" s="272"/>
      <c r="WG194" s="205">
        <f t="shared" ref="WG194:WG243" si="2007">SUM(VZ194:WF194)</f>
        <v>140</v>
      </c>
      <c r="WH194" s="205">
        <f t="shared" ref="WH194:WH243" si="2008">SUM(WG194,VY194,VQ194,VI194,UW194:UY194)</f>
        <v>140</v>
      </c>
      <c r="WJ194" s="124">
        <v>2000</v>
      </c>
      <c r="WK194" s="207"/>
      <c r="WL194" s="207"/>
      <c r="WM194" s="207"/>
      <c r="WN194" s="272"/>
      <c r="WO194" s="272"/>
      <c r="WP194" s="205">
        <f>SUM(WJ194:WO194)</f>
        <v>2000</v>
      </c>
      <c r="WQ194" s="207"/>
      <c r="WR194" s="207"/>
      <c r="WS194" s="207"/>
      <c r="WT194" s="207"/>
      <c r="WU194" s="207"/>
      <c r="WV194" s="272"/>
      <c r="WW194" s="272"/>
      <c r="WX194" s="205">
        <f>SUM(WQ194:WW194)</f>
        <v>0</v>
      </c>
      <c r="WY194" s="207"/>
      <c r="WZ194" s="207"/>
      <c r="XA194" s="207"/>
      <c r="XB194" s="207"/>
      <c r="XC194" s="272"/>
      <c r="XD194" s="272"/>
      <c r="XE194" s="272"/>
      <c r="XF194" s="205">
        <f t="shared" ref="XF194:XF243" si="2009">SUM(WY194:XE194)</f>
        <v>0</v>
      </c>
      <c r="XG194" s="207"/>
      <c r="XH194" s="207"/>
      <c r="XI194" s="207"/>
      <c r="XJ194" s="207"/>
      <c r="XK194" s="207"/>
      <c r="XL194" s="272"/>
      <c r="XM194" s="272"/>
      <c r="XN194" s="205">
        <f>SUM(XG194:XM194)</f>
        <v>0</v>
      </c>
      <c r="XO194" s="207"/>
      <c r="XP194" s="207"/>
      <c r="XQ194" s="207"/>
      <c r="XR194" s="207"/>
      <c r="XS194" s="207"/>
      <c r="XT194" s="272"/>
      <c r="XU194" s="272"/>
      <c r="XV194" s="205">
        <f>SUM(XO194:XU194)</f>
        <v>0</v>
      </c>
      <c r="XW194" s="205">
        <f>SUM(XO194:XP194,XN194,XF194,WX194,WP194)</f>
        <v>2000</v>
      </c>
      <c r="XX194" s="207"/>
      <c r="XY194" s="207"/>
      <c r="XZ194" s="207"/>
      <c r="YA194" s="207"/>
      <c r="YB194" s="207"/>
      <c r="YC194" s="272"/>
      <c r="YD194" s="272"/>
      <c r="YE194" s="205">
        <f>SUM(XX194:YD194)</f>
        <v>0</v>
      </c>
      <c r="YF194" s="207"/>
      <c r="YG194" s="207"/>
      <c r="YH194" s="207"/>
      <c r="YI194" s="207"/>
      <c r="YJ194" s="207"/>
      <c r="YK194" s="272"/>
      <c r="YL194" s="272"/>
      <c r="YM194" s="205">
        <f>SUM(YF194:YL194)</f>
        <v>0</v>
      </c>
      <c r="YN194" s="207"/>
      <c r="YO194" s="207"/>
      <c r="YP194" s="207"/>
      <c r="YQ194" s="207"/>
      <c r="YR194" s="207"/>
      <c r="YS194" s="272"/>
      <c r="YT194" s="272"/>
      <c r="YU194" s="205">
        <f>SUM(YN194:YT194)</f>
        <v>0</v>
      </c>
      <c r="YV194" s="207"/>
      <c r="YW194" s="207"/>
      <c r="YX194" s="207"/>
      <c r="YY194" s="207"/>
      <c r="YZ194" s="207"/>
      <c r="ZA194" s="272"/>
      <c r="ZB194" s="272"/>
      <c r="ZC194" s="205">
        <f>SUM(YV194:ZB194)</f>
        <v>0</v>
      </c>
      <c r="ZD194" s="205">
        <f>SUM(YV194:YW194,YU194,YM194,YE194,XW194)</f>
        <v>2000</v>
      </c>
      <c r="ZE194" s="207"/>
      <c r="ZF194" s="207"/>
      <c r="ZG194" s="207"/>
      <c r="ZH194" s="207"/>
      <c r="ZI194" s="207"/>
      <c r="ZJ194" s="272"/>
      <c r="ZK194" s="272"/>
      <c r="ZL194" s="205">
        <f>SUM(ZE194:ZK194)</f>
        <v>0</v>
      </c>
      <c r="ZM194" s="207"/>
      <c r="ZN194" s="207"/>
      <c r="ZO194" s="207"/>
      <c r="ZP194" s="207"/>
      <c r="ZQ194" s="207"/>
      <c r="ZR194" s="272"/>
      <c r="ZS194" s="272"/>
      <c r="ZT194" s="205">
        <f t="shared" ref="ZT194:ZT243" si="2010">SUM(ZM194:ZS194)</f>
        <v>0</v>
      </c>
      <c r="ZU194" s="207"/>
      <c r="ZV194" s="207"/>
      <c r="ZW194" s="207"/>
      <c r="ZX194" s="207"/>
      <c r="ZY194" s="207"/>
      <c r="ZZ194" s="272"/>
      <c r="AAA194" s="272"/>
      <c r="AAB194" s="205">
        <f>SUM(ZU194:AAA194)</f>
        <v>0</v>
      </c>
      <c r="AAC194" s="207"/>
      <c r="AAD194" s="207"/>
      <c r="AAE194" s="207"/>
      <c r="AAF194" s="207"/>
      <c r="AAG194" s="207"/>
      <c r="AAH194" s="272"/>
      <c r="AAI194" s="272"/>
      <c r="AAJ194" s="205">
        <f t="shared" ref="AAJ194:AAJ243" si="2011">SUM(AAC194:AAI194)</f>
        <v>0</v>
      </c>
      <c r="AAK194" s="207"/>
      <c r="AAL194" s="207"/>
      <c r="AAM194" s="207"/>
      <c r="AAN194" s="207"/>
      <c r="AAO194" s="207"/>
      <c r="AAP194" s="272"/>
      <c r="AAQ194" s="272"/>
      <c r="AAR194" s="205">
        <f>SUM(AAK194:AAQ194)</f>
        <v>0</v>
      </c>
      <c r="AAS194" s="205">
        <f>SUM(AAK194:AAL194,AAJ194,AAB194,ZT194,ZL194)</f>
        <v>0</v>
      </c>
    </row>
    <row r="195" spans="1:721" ht="78" hidden="1" customHeight="1">
      <c r="B195" s="309" t="s">
        <v>928</v>
      </c>
      <c r="C195" s="362"/>
      <c r="D195" s="369" t="s">
        <v>929</v>
      </c>
      <c r="E195" s="130"/>
      <c r="F195" s="120"/>
      <c r="G195" s="120"/>
      <c r="H195" s="120"/>
      <c r="I195" s="120"/>
      <c r="J195" s="120"/>
      <c r="K195" s="209"/>
      <c r="L195" s="205"/>
      <c r="M195" s="205"/>
      <c r="N195" s="120"/>
      <c r="O195" s="120"/>
      <c r="P195" s="120"/>
      <c r="Q195" s="120"/>
      <c r="R195" s="120"/>
      <c r="S195" s="209"/>
      <c r="T195" s="205"/>
      <c r="U195" s="205"/>
      <c r="V195" s="120"/>
      <c r="W195" s="120"/>
      <c r="X195" s="120"/>
      <c r="Y195" s="120"/>
      <c r="Z195" s="120"/>
      <c r="AA195" s="209"/>
      <c r="AB195" s="205"/>
      <c r="AC195" s="205"/>
      <c r="AD195" s="205"/>
      <c r="AE195" s="205"/>
      <c r="AF195" s="205"/>
      <c r="AG195" s="205"/>
      <c r="AH195" s="205"/>
      <c r="AI195" s="209"/>
      <c r="AJ195" s="205"/>
      <c r="AK195" s="205"/>
      <c r="AL195" s="205"/>
      <c r="AM195" s="120"/>
      <c r="AN195" s="120"/>
      <c r="AO195" s="120"/>
      <c r="AP195" s="120"/>
      <c r="AQ195" s="120"/>
      <c r="AR195" s="209"/>
      <c r="AS195" s="205"/>
      <c r="AT195" s="205"/>
      <c r="AU195" s="120"/>
      <c r="AV195" s="120"/>
      <c r="AW195" s="120"/>
      <c r="AX195" s="120"/>
      <c r="AY195" s="120"/>
      <c r="AZ195" s="209"/>
      <c r="BA195" s="205"/>
      <c r="BB195" s="205"/>
      <c r="BC195" s="120"/>
      <c r="BD195" s="120"/>
      <c r="BE195" s="120"/>
      <c r="BF195" s="120"/>
      <c r="BG195" s="120"/>
      <c r="BH195" s="209"/>
      <c r="BI195" s="205"/>
      <c r="BJ195" s="205"/>
      <c r="BK195" s="120"/>
      <c r="BL195" s="120"/>
      <c r="BM195" s="217"/>
      <c r="BN195" s="120"/>
      <c r="BO195" s="205"/>
      <c r="BP195" s="209"/>
      <c r="BQ195" s="205"/>
      <c r="BR195" s="205"/>
      <c r="BS195" s="205"/>
      <c r="BT195" s="120"/>
      <c r="BU195" s="250"/>
      <c r="BV195" s="120"/>
      <c r="BW195" s="120"/>
      <c r="BX195" s="120"/>
      <c r="BY195" s="209"/>
      <c r="BZ195" s="205"/>
      <c r="CA195" s="205"/>
      <c r="CB195" s="120"/>
      <c r="CC195" s="120"/>
      <c r="CD195" s="120"/>
      <c r="CE195" s="120"/>
      <c r="CF195" s="120"/>
      <c r="CG195" s="209"/>
      <c r="CH195" s="205"/>
      <c r="CI195" s="205"/>
      <c r="CJ195" s="120"/>
      <c r="CK195" s="120"/>
      <c r="CL195" s="250"/>
      <c r="CM195" s="120"/>
      <c r="CN195" s="120"/>
      <c r="CO195" s="209"/>
      <c r="CP195" s="205"/>
      <c r="CQ195" s="205"/>
      <c r="CR195" s="120"/>
      <c r="CS195" s="120"/>
      <c r="CT195" s="120"/>
      <c r="CU195" s="120"/>
      <c r="CV195" s="120"/>
      <c r="CW195" s="209"/>
      <c r="CX195" s="205"/>
      <c r="CY195" s="205"/>
      <c r="CZ195" s="120"/>
      <c r="DA195" s="120"/>
      <c r="DB195" s="120"/>
      <c r="DC195" s="205"/>
      <c r="DD195" s="205"/>
      <c r="DE195" s="209"/>
      <c r="DF195" s="205"/>
      <c r="DG195" s="205"/>
      <c r="DH195" s="205"/>
      <c r="DI195" s="120"/>
      <c r="DJ195" s="120"/>
      <c r="DK195" s="120"/>
      <c r="DL195" s="120"/>
      <c r="DM195" s="120"/>
      <c r="DN195" s="209"/>
      <c r="DO195" s="205"/>
      <c r="DP195" s="205"/>
      <c r="DQ195" s="217"/>
      <c r="DR195" s="120"/>
      <c r="DS195" s="120"/>
      <c r="DT195" s="120"/>
      <c r="DU195" s="120"/>
      <c r="DV195" s="209"/>
      <c r="DW195" s="205"/>
      <c r="DX195" s="205"/>
      <c r="DY195" s="120"/>
      <c r="DZ195" s="120"/>
      <c r="EA195" s="120"/>
      <c r="EB195" s="120"/>
      <c r="EC195" s="120"/>
      <c r="ED195" s="209"/>
      <c r="EE195" s="205"/>
      <c r="EF195" s="205"/>
      <c r="EG195" s="120"/>
      <c r="EH195" s="120"/>
      <c r="EI195" s="120"/>
      <c r="EJ195" s="205"/>
      <c r="EK195" s="205"/>
      <c r="EL195" s="209"/>
      <c r="EM195" s="205"/>
      <c r="EN195" s="205"/>
      <c r="EO195" s="205"/>
      <c r="EP195" s="120"/>
      <c r="EQ195" s="250"/>
      <c r="ER195" s="120"/>
      <c r="ES195" s="120"/>
      <c r="ET195" s="120"/>
      <c r="EU195" s="209"/>
      <c r="EV195" s="205"/>
      <c r="EW195" s="205"/>
      <c r="EX195" s="120"/>
      <c r="EY195" s="120"/>
      <c r="EZ195" s="120"/>
      <c r="FA195" s="120"/>
      <c r="FB195" s="120"/>
      <c r="FC195" s="209"/>
      <c r="FD195" s="205"/>
      <c r="FE195" s="205"/>
      <c r="FF195" s="120"/>
      <c r="FG195" s="195"/>
      <c r="FH195" s="120"/>
      <c r="FI195" s="120"/>
      <c r="FJ195" s="120"/>
      <c r="FK195" s="209"/>
      <c r="FL195" s="205"/>
      <c r="FM195" s="205"/>
      <c r="FN195" s="120"/>
      <c r="FO195" s="120"/>
      <c r="FP195" s="120"/>
      <c r="FQ195" s="120"/>
      <c r="FR195" s="205"/>
      <c r="FS195" s="209"/>
      <c r="FT195" s="205"/>
      <c r="FU195" s="205"/>
      <c r="FV195" s="205"/>
      <c r="FW195" s="120"/>
      <c r="FX195" s="120"/>
      <c r="FY195" s="120"/>
      <c r="FZ195" s="120"/>
      <c r="GA195" s="120"/>
      <c r="GB195" s="209"/>
      <c r="GC195" s="205"/>
      <c r="GD195" s="205"/>
      <c r="GE195" s="120"/>
      <c r="GF195" s="120"/>
      <c r="GG195" s="120"/>
      <c r="GH195" s="120"/>
      <c r="GI195" s="120"/>
      <c r="GJ195" s="209"/>
      <c r="GK195" s="205"/>
      <c r="GL195" s="205"/>
      <c r="GM195" s="120"/>
      <c r="GN195" s="120"/>
      <c r="GO195" s="120"/>
      <c r="GP195" s="120"/>
      <c r="GQ195" s="120"/>
      <c r="GR195" s="209"/>
      <c r="GS195" s="205"/>
      <c r="GT195" s="205"/>
      <c r="GU195" s="120"/>
      <c r="GV195" s="120"/>
      <c r="GW195" s="120"/>
      <c r="GX195" s="120"/>
      <c r="GY195" s="120"/>
      <c r="GZ195" s="209"/>
      <c r="HA195" s="205"/>
      <c r="HB195" s="205"/>
      <c r="HC195" s="120"/>
      <c r="HD195" s="120"/>
      <c r="HE195" s="120"/>
      <c r="HF195" s="120"/>
      <c r="HG195" s="120"/>
      <c r="HH195" s="209"/>
      <c r="HI195" s="205"/>
      <c r="HJ195" s="205"/>
      <c r="HK195" s="205"/>
      <c r="HL195" s="124"/>
      <c r="HM195" s="120"/>
      <c r="HN195" s="120"/>
      <c r="HO195" s="123"/>
      <c r="HP195" s="120"/>
      <c r="HQ195" s="205"/>
      <c r="HR195" s="205"/>
      <c r="HS195" s="205"/>
      <c r="HT195" s="120"/>
      <c r="HU195" s="120"/>
      <c r="HV195" s="120"/>
      <c r="HW195" s="120"/>
      <c r="HX195" s="120"/>
      <c r="HY195" s="205"/>
      <c r="HZ195" s="205"/>
      <c r="IA195" s="205"/>
      <c r="IB195" s="120"/>
      <c r="IC195" s="120"/>
      <c r="ID195" s="120"/>
      <c r="IE195" s="120"/>
      <c r="IF195" s="120"/>
      <c r="IG195" s="205"/>
      <c r="IH195" s="205"/>
      <c r="II195" s="205"/>
      <c r="IJ195" s="120"/>
      <c r="IK195" s="120"/>
      <c r="IL195" s="201"/>
      <c r="IM195" s="120"/>
      <c r="IN195" s="120"/>
      <c r="IO195" s="205"/>
      <c r="IP195" s="205"/>
      <c r="IQ195" s="205"/>
      <c r="IR195" s="205"/>
      <c r="IS195" s="120"/>
      <c r="IT195" s="120"/>
      <c r="IU195" s="120"/>
      <c r="IV195" s="120"/>
      <c r="IW195" s="120"/>
      <c r="IX195" s="205"/>
      <c r="IY195" s="205"/>
      <c r="IZ195" s="205"/>
      <c r="JA195" s="120"/>
      <c r="JB195" s="120"/>
      <c r="JC195" s="120"/>
      <c r="JD195" s="120"/>
      <c r="JE195" s="120"/>
      <c r="JF195" s="205"/>
      <c r="JG195" s="205"/>
      <c r="JH195" s="205"/>
      <c r="JI195" s="120"/>
      <c r="JJ195" s="120"/>
      <c r="JK195" s="120"/>
      <c r="JL195" s="120"/>
      <c r="JM195" s="120"/>
      <c r="JN195" s="205"/>
      <c r="JO195" s="205"/>
      <c r="JP195" s="205"/>
      <c r="JQ195" s="120"/>
      <c r="JR195" s="120"/>
      <c r="JS195" s="120"/>
      <c r="JT195" s="120"/>
      <c r="JU195" s="120"/>
      <c r="JV195" s="205"/>
      <c r="JW195" s="205"/>
      <c r="JX195" s="205"/>
      <c r="JY195" s="205"/>
      <c r="JZ195" s="120"/>
      <c r="KA195" s="120"/>
      <c r="KB195" s="120"/>
      <c r="KC195" s="120"/>
      <c r="KD195" s="120"/>
      <c r="KE195" s="205"/>
      <c r="KF195" s="205"/>
      <c r="KG195" s="205"/>
      <c r="KH195" s="120"/>
      <c r="KI195" s="120"/>
      <c r="KJ195" s="120"/>
      <c r="KK195" s="206"/>
      <c r="KL195" s="120"/>
      <c r="KM195" s="205"/>
      <c r="KN195" s="205"/>
      <c r="KO195" s="205"/>
      <c r="KP195" s="120"/>
      <c r="KQ195" s="120"/>
      <c r="KR195" s="120"/>
      <c r="KS195" s="120"/>
      <c r="KT195" s="120"/>
      <c r="KU195" s="205"/>
      <c r="KV195" s="205"/>
      <c r="KW195" s="205"/>
      <c r="KX195" s="120"/>
      <c r="KY195" s="120"/>
      <c r="KZ195" s="120"/>
      <c r="LA195" s="120"/>
      <c r="LB195" s="120"/>
      <c r="LC195" s="205"/>
      <c r="LD195" s="205"/>
      <c r="LE195" s="205"/>
      <c r="LF195" s="205"/>
      <c r="LG195" s="120"/>
      <c r="LH195" s="120"/>
      <c r="LI195" s="120"/>
      <c r="LJ195" s="120"/>
      <c r="LK195" s="205"/>
      <c r="LL195" s="205"/>
      <c r="LM195" s="205"/>
      <c r="LN195" s="205"/>
      <c r="LO195" s="205"/>
      <c r="LP195" s="120"/>
      <c r="LQ195" s="120"/>
      <c r="LR195" s="120"/>
      <c r="LS195" s="205"/>
      <c r="LT195" s="205"/>
      <c r="LU195" s="205"/>
      <c r="LV195" s="205"/>
      <c r="LW195" s="120"/>
      <c r="LX195" s="120"/>
      <c r="LY195" s="124"/>
      <c r="LZ195" s="120"/>
      <c r="MA195" s="120"/>
      <c r="MB195" s="205"/>
      <c r="MC195" s="205"/>
      <c r="MD195" s="205"/>
      <c r="ME195" s="120"/>
      <c r="MF195" s="120"/>
      <c r="MG195" s="120"/>
      <c r="MH195" s="201"/>
      <c r="MI195" s="205"/>
      <c r="MJ195" s="205"/>
      <c r="MK195" s="205"/>
      <c r="ML195" s="205"/>
      <c r="MM195" s="120"/>
      <c r="MN195" s="120"/>
      <c r="MO195" s="120"/>
      <c r="MP195" s="120"/>
      <c r="MQ195" s="120"/>
      <c r="MR195" s="205"/>
      <c r="MS195" s="205"/>
      <c r="MT195" s="205"/>
      <c r="MU195" s="205"/>
      <c r="MV195" s="120"/>
      <c r="MW195" s="120"/>
      <c r="MX195" s="195"/>
      <c r="MY195" s="120"/>
      <c r="MZ195" s="120"/>
      <c r="NA195" s="205"/>
      <c r="NB195" s="205"/>
      <c r="NC195" s="205"/>
      <c r="ND195" s="120"/>
      <c r="NE195" s="120"/>
      <c r="NF195" s="120"/>
      <c r="NG195" s="120"/>
      <c r="NH195" s="120"/>
      <c r="NI195" s="205"/>
      <c r="NJ195" s="205"/>
      <c r="NK195" s="205"/>
      <c r="NL195" s="120"/>
      <c r="NM195" s="120"/>
      <c r="NN195" s="120"/>
      <c r="NO195" s="120"/>
      <c r="NP195" s="120"/>
      <c r="NQ195" s="205"/>
      <c r="NR195" s="205"/>
      <c r="NS195" s="205"/>
      <c r="NT195" s="217"/>
      <c r="NU195" s="120"/>
      <c r="NV195" s="120"/>
      <c r="NW195" s="120"/>
      <c r="NX195" s="120"/>
      <c r="NY195" s="205"/>
      <c r="NZ195" s="205"/>
      <c r="OA195" s="205"/>
      <c r="OB195" s="205"/>
      <c r="OC195" s="120"/>
      <c r="OD195" s="120"/>
      <c r="OE195" s="120"/>
      <c r="OF195" s="120"/>
      <c r="OG195" s="120"/>
      <c r="OH195" s="205"/>
      <c r="OI195" s="205"/>
      <c r="OJ195" s="205"/>
      <c r="OK195" s="120"/>
      <c r="OL195" s="120"/>
      <c r="OM195" s="120"/>
      <c r="ON195" s="120"/>
      <c r="OO195" s="120"/>
      <c r="OP195" s="205"/>
      <c r="OQ195" s="205"/>
      <c r="OR195" s="205"/>
      <c r="OS195" s="120"/>
      <c r="OT195" s="120"/>
      <c r="OU195" s="120"/>
      <c r="OV195" s="120"/>
      <c r="OW195" s="120"/>
      <c r="OX195" s="205"/>
      <c r="OY195" s="205"/>
      <c r="OZ195" s="205"/>
      <c r="PA195" s="120"/>
      <c r="PB195" s="120"/>
      <c r="PC195" s="120"/>
      <c r="PD195" s="205"/>
      <c r="PE195" s="217"/>
      <c r="PF195" s="205"/>
      <c r="PG195" s="205"/>
      <c r="PH195" s="205"/>
      <c r="PI195" s="120"/>
      <c r="PJ195" s="120"/>
      <c r="PK195" s="120"/>
      <c r="PL195" s="205"/>
      <c r="PM195" s="217"/>
      <c r="PN195" s="205"/>
      <c r="PO195" s="205"/>
      <c r="PP195" s="205"/>
      <c r="PQ195" s="205"/>
      <c r="PR195" s="120"/>
      <c r="PS195" s="207"/>
      <c r="PT195" s="207"/>
      <c r="PU195" s="207"/>
      <c r="PV195" s="207"/>
      <c r="PW195" s="272"/>
      <c r="PX195" s="272"/>
      <c r="PY195" s="205"/>
      <c r="PZ195" s="207"/>
      <c r="QA195" s="207"/>
      <c r="QB195" s="207"/>
      <c r="QC195" s="207"/>
      <c r="QD195" s="207"/>
      <c r="QE195" s="272"/>
      <c r="QF195" s="272"/>
      <c r="QG195" s="205"/>
      <c r="QH195" s="207"/>
      <c r="QI195" s="304"/>
      <c r="QJ195" s="294"/>
      <c r="QK195" s="201"/>
      <c r="QL195" s="207"/>
      <c r="QM195" s="272"/>
      <c r="QN195" s="272"/>
      <c r="QO195" s="205"/>
      <c r="QP195" s="207"/>
      <c r="QQ195" s="120"/>
      <c r="QR195" s="207"/>
      <c r="QS195" s="207"/>
      <c r="QT195" s="207"/>
      <c r="QU195" s="272"/>
      <c r="QV195" s="272"/>
      <c r="QW195" s="205"/>
      <c r="QX195" s="205"/>
      <c r="QY195" s="207"/>
      <c r="QZ195" s="207"/>
      <c r="RA195" s="207"/>
      <c r="RB195" s="207"/>
      <c r="RC195" s="207"/>
      <c r="RD195" s="272"/>
      <c r="RE195" s="272"/>
      <c r="RF195" s="205"/>
      <c r="RG195" s="207"/>
      <c r="RH195" s="207"/>
      <c r="RI195" s="207"/>
      <c r="RJ195" s="207"/>
      <c r="RK195" s="207"/>
      <c r="RL195" s="272"/>
      <c r="RM195" s="272"/>
      <c r="RN195" s="205"/>
      <c r="RO195" s="272"/>
      <c r="RP195" s="272"/>
      <c r="RQ195" s="272"/>
      <c r="RR195" s="272"/>
      <c r="RS195" s="272"/>
      <c r="RT195" s="272"/>
      <c r="RU195" s="272"/>
      <c r="RV195" s="205"/>
      <c r="RW195" s="207"/>
      <c r="RX195" s="207"/>
      <c r="RY195" s="207"/>
      <c r="RZ195" s="207"/>
      <c r="SA195" s="272"/>
      <c r="SB195" s="272"/>
      <c r="SC195" s="272"/>
      <c r="SD195" s="205"/>
      <c r="SE195" s="205"/>
      <c r="SF195" s="207"/>
      <c r="SG195" s="207"/>
      <c r="SH195" s="207"/>
      <c r="SI195" s="207"/>
      <c r="SJ195" s="207"/>
      <c r="SK195" s="272"/>
      <c r="SL195" s="272"/>
      <c r="SM195" s="205"/>
      <c r="SN195" s="207"/>
      <c r="SO195" s="207"/>
      <c r="SP195" s="356"/>
      <c r="SQ195" s="207"/>
      <c r="SR195" s="120"/>
      <c r="SS195" s="272"/>
      <c r="ST195" s="272"/>
      <c r="SU195" s="205"/>
      <c r="SV195" s="207"/>
      <c r="SW195" s="207"/>
      <c r="SX195" s="207"/>
      <c r="SY195" s="207"/>
      <c r="SZ195" s="207"/>
      <c r="TA195" s="272"/>
      <c r="TB195" s="272"/>
      <c r="TC195" s="205"/>
      <c r="TD195" s="207"/>
      <c r="TE195" s="207"/>
      <c r="TF195" s="207"/>
      <c r="TG195" s="207"/>
      <c r="TH195" s="207"/>
      <c r="TI195" s="272"/>
      <c r="TJ195" s="272"/>
      <c r="TK195" s="205"/>
      <c r="TL195" s="207"/>
      <c r="TM195" s="207"/>
      <c r="TN195" s="207"/>
      <c r="TO195" s="207"/>
      <c r="TP195" s="272"/>
      <c r="TQ195" s="272"/>
      <c r="TR195" s="272"/>
      <c r="TS195" s="205"/>
      <c r="TT195" s="205"/>
      <c r="TU195" s="272"/>
      <c r="TV195" s="207"/>
      <c r="TW195" s="207"/>
      <c r="TX195" s="207"/>
      <c r="TY195" s="356"/>
      <c r="TZ195" s="272"/>
      <c r="UA195" s="272"/>
      <c r="UB195" s="205">
        <f t="shared" ref="UB195:UB243" si="2012">SUM(TU195:UA195)</f>
        <v>0</v>
      </c>
      <c r="UC195" s="356"/>
      <c r="UD195" s="356"/>
      <c r="UE195" s="356"/>
      <c r="UF195" s="356"/>
      <c r="UG195" s="356"/>
      <c r="UH195" s="272"/>
      <c r="UI195" s="272"/>
      <c r="UJ195" s="205">
        <f t="shared" ref="UJ195:UJ243" si="2013">SUM(UC195:UI195)</f>
        <v>0</v>
      </c>
      <c r="UK195" s="207"/>
      <c r="UL195" s="120"/>
      <c r="UM195" s="207"/>
      <c r="UN195" s="120"/>
      <c r="UO195" s="207"/>
      <c r="UP195" s="272"/>
      <c r="UQ195" s="272"/>
      <c r="UR195" s="205">
        <f t="shared" ref="UR195:UR243" si="2014">SUM(UK195:UQ195)</f>
        <v>0</v>
      </c>
      <c r="US195" s="207"/>
      <c r="UT195" s="207"/>
      <c r="UU195" s="207"/>
      <c r="UV195" s="207"/>
      <c r="UW195" s="272"/>
      <c r="UX195" s="272"/>
      <c r="UY195" s="272"/>
      <c r="UZ195" s="205"/>
      <c r="VA195" s="205"/>
      <c r="VB195" s="207"/>
      <c r="VC195" s="120"/>
      <c r="VD195" s="207"/>
      <c r="VE195" s="207"/>
      <c r="VF195" s="207"/>
      <c r="VG195" s="272"/>
      <c r="VH195" s="272"/>
      <c r="VI195" s="205">
        <f t="shared" si="2005"/>
        <v>0</v>
      </c>
      <c r="VJ195" s="207"/>
      <c r="VK195" s="120"/>
      <c r="VL195" s="207"/>
      <c r="VM195" s="207"/>
      <c r="VN195" s="207"/>
      <c r="VO195" s="272"/>
      <c r="VP195" s="272"/>
      <c r="VQ195" s="205">
        <f t="shared" ref="VQ195:VQ243" si="2015">SUM(VJ195:VP195)</f>
        <v>0</v>
      </c>
      <c r="VR195" s="120"/>
      <c r="VS195" s="207"/>
      <c r="VT195" s="120"/>
      <c r="VU195" s="207"/>
      <c r="VV195" s="207"/>
      <c r="VW195" s="272"/>
      <c r="VX195" s="272"/>
      <c r="VY195" s="205">
        <f t="shared" si="2006"/>
        <v>0</v>
      </c>
      <c r="VZ195" s="207"/>
      <c r="WA195" s="207"/>
      <c r="WB195" s="207"/>
      <c r="WC195" s="207"/>
      <c r="WD195" s="207"/>
      <c r="WE195" s="272"/>
      <c r="WF195" s="272"/>
      <c r="WG195" s="205">
        <f t="shared" si="2007"/>
        <v>0</v>
      </c>
      <c r="WH195" s="205">
        <f t="shared" si="2008"/>
        <v>0</v>
      </c>
      <c r="WI195" s="207"/>
      <c r="WJ195" s="207"/>
      <c r="WK195" s="217"/>
      <c r="WL195" s="207"/>
      <c r="WM195" s="207"/>
      <c r="WN195" s="272"/>
      <c r="WO195" s="272"/>
      <c r="WP195" s="205">
        <f t="shared" ref="WP195:WP243" si="2016">SUM(WI195:WO195)</f>
        <v>0</v>
      </c>
      <c r="WQ195" s="207"/>
      <c r="WR195" s="207"/>
      <c r="WS195" s="207"/>
      <c r="WT195" s="207"/>
      <c r="WU195" s="207"/>
      <c r="WV195" s="272"/>
      <c r="WW195" s="272"/>
      <c r="WX195" s="205">
        <f t="shared" ref="WX195:WX243" si="2017">SUM(WQ195:WW195)</f>
        <v>0</v>
      </c>
      <c r="WY195" s="207"/>
      <c r="WZ195" s="207"/>
      <c r="XA195" s="207"/>
      <c r="XB195" s="207"/>
      <c r="XC195" s="272"/>
      <c r="XD195" s="272"/>
      <c r="XE195" s="272"/>
      <c r="XF195" s="205">
        <f t="shared" si="2009"/>
        <v>0</v>
      </c>
      <c r="XG195" s="207"/>
      <c r="XH195" s="207"/>
      <c r="XI195" s="207"/>
      <c r="XJ195" s="207"/>
      <c r="XK195" s="207"/>
      <c r="XL195" s="272"/>
      <c r="XM195" s="272"/>
      <c r="XN195" s="205"/>
      <c r="XO195" s="207"/>
      <c r="XP195" s="207"/>
      <c r="XQ195" s="207"/>
      <c r="XR195" s="207"/>
      <c r="XS195" s="207"/>
      <c r="XT195" s="272"/>
      <c r="XU195" s="272"/>
      <c r="XV195" s="205"/>
      <c r="XW195" s="205"/>
      <c r="XX195" s="207"/>
      <c r="XY195" s="207"/>
      <c r="XZ195" s="207"/>
      <c r="YA195" s="207"/>
      <c r="YB195" s="207"/>
      <c r="YC195" s="272"/>
      <c r="YD195" s="272"/>
      <c r="YE195" s="205">
        <f t="shared" ref="YE195:YE243" si="2018">SUM(XX195:YD195)</f>
        <v>0</v>
      </c>
      <c r="YF195" s="207"/>
      <c r="YG195" s="207"/>
      <c r="YH195" s="207"/>
      <c r="YI195" s="207"/>
      <c r="YJ195" s="207"/>
      <c r="YK195" s="272"/>
      <c r="YL195" s="272"/>
      <c r="YM195" s="205">
        <f t="shared" ref="YM195:YM243" si="2019">SUM(YF195:YL195)</f>
        <v>0</v>
      </c>
      <c r="YN195" s="207"/>
      <c r="YO195" s="207"/>
      <c r="YP195" s="207"/>
      <c r="YQ195" s="207"/>
      <c r="YR195" s="207"/>
      <c r="YS195" s="272"/>
      <c r="YT195" s="272"/>
      <c r="YU195" s="205">
        <f t="shared" ref="YU195:YU243" si="2020">SUM(YN195:YT195)</f>
        <v>0</v>
      </c>
      <c r="YV195" s="207"/>
      <c r="YW195" s="207"/>
      <c r="YX195" s="207"/>
      <c r="YY195" s="207"/>
      <c r="YZ195" s="207"/>
      <c r="ZA195" s="272"/>
      <c r="ZB195" s="272"/>
      <c r="ZC195" s="205">
        <f t="shared" ref="ZC195:ZC243" si="2021">SUM(YV195:ZB195)</f>
        <v>0</v>
      </c>
      <c r="ZD195" s="205">
        <f t="shared" ref="ZD195:ZD243" si="2022">SUM(YV195:YW195,YU195,YM195,YE195,XW195)</f>
        <v>0</v>
      </c>
      <c r="ZE195" s="207"/>
      <c r="ZF195" s="207"/>
      <c r="ZG195" s="207"/>
      <c r="ZH195" s="207"/>
      <c r="ZI195" s="207"/>
      <c r="ZJ195" s="272"/>
      <c r="ZK195" s="272"/>
      <c r="ZL195" s="205">
        <f t="shared" ref="ZL195:ZL243" si="2023">SUM(ZE195:ZK195)</f>
        <v>0</v>
      </c>
      <c r="ZM195" s="207"/>
      <c r="ZN195" s="207"/>
      <c r="ZO195" s="207"/>
      <c r="ZP195" s="207"/>
      <c r="ZQ195" s="207"/>
      <c r="ZR195" s="272"/>
      <c r="ZS195" s="272"/>
      <c r="ZT195" s="205">
        <f t="shared" si="2010"/>
        <v>0</v>
      </c>
      <c r="ZU195" s="207"/>
      <c r="ZV195" s="207"/>
      <c r="ZW195" s="207"/>
      <c r="ZX195" s="207"/>
      <c r="ZY195" s="207"/>
      <c r="ZZ195" s="272"/>
      <c r="AAA195" s="272"/>
      <c r="AAB195" s="205">
        <f t="shared" ref="AAB195:AAB243" si="2024">SUM(ZU195:AAA195)</f>
        <v>0</v>
      </c>
      <c r="AAC195" s="207"/>
      <c r="AAD195" s="207"/>
      <c r="AAE195" s="207"/>
      <c r="AAF195" s="207"/>
      <c r="AAG195" s="207"/>
      <c r="AAH195" s="272"/>
      <c r="AAI195" s="272"/>
      <c r="AAJ195" s="205">
        <f t="shared" si="2011"/>
        <v>0</v>
      </c>
      <c r="AAK195" s="207"/>
      <c r="AAL195" s="207"/>
      <c r="AAM195" s="207"/>
      <c r="AAN195" s="207"/>
      <c r="AAO195" s="207"/>
      <c r="AAP195" s="272"/>
      <c r="AAQ195" s="272"/>
      <c r="AAR195" s="205">
        <f t="shared" ref="AAR195:AAR243" si="2025">SUM(AAK195:AAQ195)</f>
        <v>0</v>
      </c>
      <c r="AAS195" s="205">
        <f t="shared" ref="AAS195:AAS243" si="2026">SUM(AAK195:AAL195,AAJ195,AAB195,ZT195,ZL195)</f>
        <v>0</v>
      </c>
    </row>
    <row r="196" spans="1:721" ht="80.099999999999994" customHeight="1">
      <c r="A196" s="117">
        <v>10</v>
      </c>
      <c r="B196" s="309" t="s">
        <v>840</v>
      </c>
      <c r="C196" s="362" t="s">
        <v>894</v>
      </c>
      <c r="D196" s="368" t="s">
        <v>876</v>
      </c>
      <c r="E196" s="130" t="s">
        <v>4</v>
      </c>
      <c r="F196" s="120"/>
      <c r="G196" s="120"/>
      <c r="H196" s="120"/>
      <c r="I196" s="120"/>
      <c r="J196" s="120"/>
      <c r="K196" s="209"/>
      <c r="L196" s="205"/>
      <c r="M196" s="205">
        <f t="shared" ref="M196:M243" si="2027">SUM(F196:L196)</f>
        <v>0</v>
      </c>
      <c r="N196" s="120"/>
      <c r="O196" s="120"/>
      <c r="P196" s="120"/>
      <c r="Q196" s="120"/>
      <c r="R196" s="120"/>
      <c r="S196" s="209"/>
      <c r="T196" s="205"/>
      <c r="U196" s="205">
        <f t="shared" ref="U196:U243" si="2028">SUM(N196:T196)</f>
        <v>0</v>
      </c>
      <c r="V196" s="120"/>
      <c r="W196" s="120"/>
      <c r="X196" s="120"/>
      <c r="Y196" s="120"/>
      <c r="Z196" s="120"/>
      <c r="AA196" s="209"/>
      <c r="AB196" s="205"/>
      <c r="AC196" s="205">
        <f t="shared" ref="AC196:AC243" si="2029">SUM(V196:AB196)</f>
        <v>0</v>
      </c>
      <c r="AD196" s="205"/>
      <c r="AE196" s="205"/>
      <c r="AF196" s="205"/>
      <c r="AG196" s="205"/>
      <c r="AH196" s="205"/>
      <c r="AI196" s="209"/>
      <c r="AJ196" s="205"/>
      <c r="AK196" s="205">
        <f t="shared" ref="AK196:AK243" si="2030">SUM(AD196:AJ196)</f>
        <v>0</v>
      </c>
      <c r="AL196" s="205" t="e">
        <f>SUM(#REF!,M196,U196,AC196,AD196:AH196)</f>
        <v>#REF!</v>
      </c>
      <c r="AM196" s="120"/>
      <c r="AN196" s="120"/>
      <c r="AO196" s="120"/>
      <c r="AP196" s="120"/>
      <c r="AQ196" s="120"/>
      <c r="AR196" s="209"/>
      <c r="AS196" s="205"/>
      <c r="AT196" s="205">
        <f t="shared" ref="AT196:AT243" si="2031">SUM(AM196:AS196)</f>
        <v>0</v>
      </c>
      <c r="AU196" s="120"/>
      <c r="AV196" s="120"/>
      <c r="AW196" s="120"/>
      <c r="AX196" s="120"/>
      <c r="AY196" s="120"/>
      <c r="AZ196" s="209"/>
      <c r="BA196" s="205"/>
      <c r="BB196" s="205">
        <f t="shared" ref="BB196:BB243" si="2032">SUM(AU196:BA196)</f>
        <v>0</v>
      </c>
      <c r="BC196" s="120"/>
      <c r="BD196" s="120"/>
      <c r="BE196" s="120"/>
      <c r="BF196" s="120"/>
      <c r="BG196" s="120"/>
      <c r="BH196" s="209"/>
      <c r="BI196" s="205"/>
      <c r="BJ196" s="205">
        <f t="shared" ref="BJ196:BJ243" si="2033">SUM(BC196:BI196)</f>
        <v>0</v>
      </c>
      <c r="BK196" s="120"/>
      <c r="BL196" s="120"/>
      <c r="BM196" s="217">
        <v>3101</v>
      </c>
      <c r="BN196" s="120"/>
      <c r="BO196" s="205"/>
      <c r="BP196" s="209"/>
      <c r="BQ196" s="205"/>
      <c r="BR196" s="205">
        <f t="shared" ref="BR196:BR243" si="2034">SUM(BK196:BQ196)</f>
        <v>3101</v>
      </c>
      <c r="BS196" s="205">
        <f t="shared" ref="BS196:BS243" si="2035">SUM(AI196:AJ196,AT196,BB196,BJ196,BK196:BO196)</f>
        <v>3101</v>
      </c>
      <c r="BT196" s="120"/>
      <c r="BU196" s="250">
        <v>701</v>
      </c>
      <c r="BV196" s="120"/>
      <c r="BW196" s="120"/>
      <c r="BX196" s="120"/>
      <c r="BY196" s="209"/>
      <c r="BZ196" s="205"/>
      <c r="CA196" s="205">
        <f t="shared" ref="CA196:CA243" si="2036">SUM(BT196:BZ196)</f>
        <v>701</v>
      </c>
      <c r="CB196" s="120"/>
      <c r="CC196" s="120"/>
      <c r="CD196" s="120"/>
      <c r="CE196" s="120"/>
      <c r="CF196" s="120"/>
      <c r="CG196" s="209"/>
      <c r="CH196" s="205"/>
      <c r="CI196" s="205">
        <f t="shared" ref="CI196:CI243" si="2037">SUM(CB196:CH196)</f>
        <v>0</v>
      </c>
      <c r="CJ196" s="120"/>
      <c r="CK196" s="120"/>
      <c r="CL196" s="250">
        <v>1201</v>
      </c>
      <c r="CM196" s="120"/>
      <c r="CN196" s="120"/>
      <c r="CO196" s="209"/>
      <c r="CP196" s="205"/>
      <c r="CQ196" s="205">
        <f t="shared" ref="CQ196:CQ243" si="2038">SUM(CJ196:CP196)</f>
        <v>1201</v>
      </c>
      <c r="CR196" s="120" t="s">
        <v>216</v>
      </c>
      <c r="CS196" s="120"/>
      <c r="CT196" s="120"/>
      <c r="CU196" s="120"/>
      <c r="CV196" s="120"/>
      <c r="CW196" s="209"/>
      <c r="CX196" s="205"/>
      <c r="CY196" s="205">
        <f t="shared" ref="CY196:CY243" si="2039">SUM(CR196:CX196)</f>
        <v>0</v>
      </c>
      <c r="CZ196" s="120"/>
      <c r="DA196" s="120"/>
      <c r="DB196" s="120"/>
      <c r="DC196" s="205"/>
      <c r="DD196" s="205"/>
      <c r="DE196" s="209"/>
      <c r="DF196" s="205"/>
      <c r="DG196" s="205">
        <f t="shared" ref="DG196:DG243" si="2040">SUM(CZ196:DF196)</f>
        <v>0</v>
      </c>
      <c r="DH196" s="205">
        <f t="shared" ref="DH196:DH243" si="2041">SUM(CA196,CI196,CQ196,CY196,CZ196)</f>
        <v>1902</v>
      </c>
      <c r="DI196" s="120"/>
      <c r="DJ196" s="120"/>
      <c r="DK196" s="120"/>
      <c r="DL196" s="120"/>
      <c r="DM196" s="120"/>
      <c r="DN196" s="209"/>
      <c r="DO196" s="205"/>
      <c r="DP196" s="205">
        <f t="shared" ref="DP196:DP243" si="2042">SUM(DI196:DO196)</f>
        <v>0</v>
      </c>
      <c r="DQ196" s="217">
        <v>651</v>
      </c>
      <c r="DR196" s="120"/>
      <c r="DS196" s="120"/>
      <c r="DT196" s="120"/>
      <c r="DU196" s="120"/>
      <c r="DV196" s="209"/>
      <c r="DW196" s="205"/>
      <c r="DX196" s="205">
        <f t="shared" ref="DX196:DX243" si="2043">SUM(DQ196:DW196)</f>
        <v>651</v>
      </c>
      <c r="DY196" s="120"/>
      <c r="DZ196" s="120"/>
      <c r="EA196" s="120"/>
      <c r="EB196" s="120"/>
      <c r="EC196" s="120"/>
      <c r="ED196" s="209"/>
      <c r="EE196" s="205"/>
      <c r="EF196" s="205">
        <f t="shared" ref="EF196:EF243" si="2044">SUM(DY196:EE196)</f>
        <v>0</v>
      </c>
      <c r="EG196" s="120"/>
      <c r="EH196" s="120"/>
      <c r="EI196" s="120"/>
      <c r="EJ196" s="205"/>
      <c r="EK196" s="205"/>
      <c r="EL196" s="209"/>
      <c r="EM196" s="205"/>
      <c r="EN196" s="205">
        <f t="shared" ref="EN196:EN243" si="2045">SUM(EG196:EM196)</f>
        <v>0</v>
      </c>
      <c r="EO196" s="205">
        <f t="shared" ref="EO196:EO243" si="2046">SUM(DA196:DF196,DP196,DX196,EF196,EG196:EI196)</f>
        <v>651</v>
      </c>
      <c r="EP196" s="120"/>
      <c r="EQ196" s="250">
        <v>501</v>
      </c>
      <c r="ER196" s="120"/>
      <c r="ES196" s="120"/>
      <c r="ET196" s="120"/>
      <c r="EU196" s="209"/>
      <c r="EV196" s="205"/>
      <c r="EW196" s="205">
        <f t="shared" ref="EW196:EW243" si="2047">SUM(EP196:EV196)</f>
        <v>501</v>
      </c>
      <c r="EX196" s="120"/>
      <c r="EY196" s="120"/>
      <c r="EZ196" s="120"/>
      <c r="FA196" s="120"/>
      <c r="FB196" s="120"/>
      <c r="FC196" s="209"/>
      <c r="FD196" s="205"/>
      <c r="FE196" s="205">
        <f t="shared" ref="FE196:FE243" si="2048">SUM(EX196:FD196)</f>
        <v>0</v>
      </c>
      <c r="FF196" s="120"/>
      <c r="FG196" s="195">
        <v>501</v>
      </c>
      <c r="FH196" s="120"/>
      <c r="FI196" s="120"/>
      <c r="FJ196" s="120"/>
      <c r="FK196" s="209"/>
      <c r="FL196" s="205"/>
      <c r="FM196" s="205">
        <f t="shared" ref="FM196:FM243" si="2049">SUM(FF196:FL196)</f>
        <v>501</v>
      </c>
      <c r="FN196" s="120"/>
      <c r="FO196" s="120"/>
      <c r="FP196" s="120"/>
      <c r="FQ196" s="120"/>
      <c r="FR196" s="205"/>
      <c r="FS196" s="209"/>
      <c r="FT196" s="205"/>
      <c r="FU196" s="205">
        <f t="shared" ref="FU196:FU243" si="2050">SUM(FN196:FT196)</f>
        <v>0</v>
      </c>
      <c r="FV196" s="205">
        <f t="shared" ref="FV196:FV243" si="2051">SUM(EJ196:EK196,EW196,FE196,FM196,FU196)</f>
        <v>1002</v>
      </c>
      <c r="FW196" s="120"/>
      <c r="FX196" s="120"/>
      <c r="FY196" s="120"/>
      <c r="FZ196" s="120"/>
      <c r="GA196" s="120"/>
      <c r="GB196" s="209"/>
      <c r="GC196" s="205"/>
      <c r="GD196" s="205">
        <f t="shared" ref="GD196:GD243" si="2052">SUM(FW196:GC196)</f>
        <v>0</v>
      </c>
      <c r="GE196" s="120"/>
      <c r="GF196" s="120"/>
      <c r="GG196" s="120"/>
      <c r="GH196" s="120"/>
      <c r="GI196" s="120"/>
      <c r="GJ196" s="209"/>
      <c r="GK196" s="205"/>
      <c r="GL196" s="205">
        <f t="shared" ref="GL196:GL243" si="2053">SUM(GE196:GK196)</f>
        <v>0</v>
      </c>
      <c r="GM196" s="120"/>
      <c r="GN196" s="120"/>
      <c r="GO196" s="120"/>
      <c r="GP196" s="120"/>
      <c r="GQ196" s="120"/>
      <c r="GR196" s="209"/>
      <c r="GS196" s="205"/>
      <c r="GT196" s="205">
        <f t="shared" ref="GT196:GT243" si="2054">SUM(GM196:GS196)</f>
        <v>0</v>
      </c>
      <c r="GU196" s="120"/>
      <c r="GV196" s="120"/>
      <c r="GW196" s="120"/>
      <c r="GX196" s="120"/>
      <c r="GY196" s="120"/>
      <c r="GZ196" s="209"/>
      <c r="HA196" s="205"/>
      <c r="HB196" s="205">
        <f t="shared" ref="HB196:HB243" si="2055">SUM(GU196:HA196)</f>
        <v>0</v>
      </c>
      <c r="HC196" s="120"/>
      <c r="HD196" s="120"/>
      <c r="HE196" s="120"/>
      <c r="HF196" s="120"/>
      <c r="HG196" s="120"/>
      <c r="HH196" s="209"/>
      <c r="HI196" s="205"/>
      <c r="HJ196" s="205">
        <f t="shared" ref="HJ196:HJ243" si="2056">SUM(HC196:HI196)</f>
        <v>0</v>
      </c>
      <c r="HK196" s="205">
        <f t="shared" ref="HK196:HK243" si="2057">SUM(GD196,GL196,GT196,HB196,HC196)</f>
        <v>0</v>
      </c>
      <c r="HL196" s="124"/>
      <c r="HM196" s="120"/>
      <c r="HN196" s="120"/>
      <c r="HO196" s="123">
        <v>1751</v>
      </c>
      <c r="HP196" s="120"/>
      <c r="HQ196" s="205"/>
      <c r="HR196" s="205"/>
      <c r="HS196" s="205">
        <f t="shared" ref="HS196:HS243" si="2058">SUM(HL196:HR196)</f>
        <v>1751</v>
      </c>
      <c r="HT196" s="120"/>
      <c r="HU196" s="120"/>
      <c r="HV196" s="120"/>
      <c r="HW196" s="120"/>
      <c r="HX196" s="120"/>
      <c r="HY196" s="205"/>
      <c r="HZ196" s="205"/>
      <c r="IA196" s="205">
        <f t="shared" ref="IA196:IA243" si="2059">SUM(HT196:HZ196)</f>
        <v>0</v>
      </c>
      <c r="IB196" s="120"/>
      <c r="IC196" s="120"/>
      <c r="ID196" s="120"/>
      <c r="IE196" s="120"/>
      <c r="IF196" s="120"/>
      <c r="IG196" s="205"/>
      <c r="IH196" s="205"/>
      <c r="II196" s="205">
        <f t="shared" ref="II196:II243" si="2060">SUM(IB196:IH196)</f>
        <v>0</v>
      </c>
      <c r="IJ196" s="120"/>
      <c r="IK196" s="120"/>
      <c r="IL196" s="201">
        <v>1801</v>
      </c>
      <c r="IM196" s="120"/>
      <c r="IN196" s="120"/>
      <c r="IO196" s="205"/>
      <c r="IP196" s="205"/>
      <c r="IQ196" s="205">
        <f t="shared" ref="IQ196:IQ243" si="2061">SUM(IJ196:IP196)</f>
        <v>1801</v>
      </c>
      <c r="IR196" s="205">
        <f t="shared" ref="IR196:IR243" si="2062">SUM(IJ196:IM196,II196,IA196,HS196,HD196:HG196,HH196:HI196)</f>
        <v>3552</v>
      </c>
      <c r="IS196" s="120"/>
      <c r="IT196" s="120"/>
      <c r="IU196" s="120"/>
      <c r="IV196" s="120"/>
      <c r="IW196" s="120"/>
      <c r="IX196" s="205"/>
      <c r="IY196" s="205"/>
      <c r="IZ196" s="205">
        <f t="shared" ref="IZ196:IZ243" si="2063">SUM(IS196:IY196)</f>
        <v>0</v>
      </c>
      <c r="JA196" s="120"/>
      <c r="JB196" s="120"/>
      <c r="JC196" s="120"/>
      <c r="JD196" s="120"/>
      <c r="JE196" s="120"/>
      <c r="JF196" s="205"/>
      <c r="JG196" s="205"/>
      <c r="JH196" s="205">
        <f t="shared" ref="JH196:JH243" si="2064">SUM(JA196:JG196)</f>
        <v>0</v>
      </c>
      <c r="JI196" s="120"/>
      <c r="JJ196" s="120"/>
      <c r="JK196" s="120"/>
      <c r="JL196" s="120"/>
      <c r="JM196" s="120"/>
      <c r="JN196" s="205"/>
      <c r="JO196" s="205"/>
      <c r="JP196" s="205">
        <f t="shared" ref="JP196:JP243" si="2065">SUM(JI196:JO196)</f>
        <v>0</v>
      </c>
      <c r="JQ196" s="120"/>
      <c r="JR196" s="120"/>
      <c r="JS196" s="120"/>
      <c r="JT196" s="120"/>
      <c r="JU196" s="120"/>
      <c r="JV196" s="205"/>
      <c r="JW196" s="205"/>
      <c r="JX196" s="205">
        <f t="shared" ref="JX196:JX243" si="2066">SUM(JQ196:JW196)</f>
        <v>0</v>
      </c>
      <c r="JY196" s="205">
        <f t="shared" ref="JY196:JY243" si="2067">SUM(JX196,JP196,JH196,IZ196,IN196:IP196)</f>
        <v>0</v>
      </c>
      <c r="JZ196" s="120"/>
      <c r="KA196" s="120"/>
      <c r="KB196" s="120"/>
      <c r="KC196" s="120"/>
      <c r="KD196" s="120"/>
      <c r="KE196" s="205"/>
      <c r="KF196" s="205"/>
      <c r="KG196" s="205">
        <f t="shared" ref="KG196:KG243" si="2068">SUM(JZ196:KF196)</f>
        <v>0</v>
      </c>
      <c r="KH196" s="120"/>
      <c r="KI196" s="120"/>
      <c r="KJ196" s="120"/>
      <c r="KK196" s="206">
        <v>801</v>
      </c>
      <c r="KL196" s="120"/>
      <c r="KM196" s="205"/>
      <c r="KN196" s="205"/>
      <c r="KO196" s="205">
        <f t="shared" ref="KO196:KO243" si="2069">SUM(KH196:KN196)</f>
        <v>801</v>
      </c>
      <c r="KP196" s="120"/>
      <c r="KQ196" s="120"/>
      <c r="KR196" s="120"/>
      <c r="KS196" s="120"/>
      <c r="KT196" s="120"/>
      <c r="KU196" s="205"/>
      <c r="KV196" s="205"/>
      <c r="KW196" s="205">
        <f t="shared" ref="KW196:KW243" si="2070">SUM(KP196:KV196)</f>
        <v>0</v>
      </c>
      <c r="KX196" s="120"/>
      <c r="KY196" s="120"/>
      <c r="KZ196" s="120"/>
      <c r="LA196" s="120"/>
      <c r="LB196" s="120"/>
      <c r="LC196" s="205"/>
      <c r="LD196" s="205"/>
      <c r="LE196" s="205">
        <f t="shared" ref="LE196:LE243" si="2071">SUM(KX196:LD196)</f>
        <v>0</v>
      </c>
      <c r="LF196" s="205"/>
      <c r="LG196" s="120"/>
      <c r="LH196" s="120"/>
      <c r="LI196" s="120"/>
      <c r="LJ196" s="120"/>
      <c r="LK196" s="205"/>
      <c r="LL196" s="205"/>
      <c r="LM196" s="205">
        <f t="shared" ref="LM196:LM243" si="2072">SUM(LF196:LL196)</f>
        <v>0</v>
      </c>
      <c r="LN196" s="205">
        <f t="shared" ref="LN196:LN243" si="2073">SUM(LF196:LG196,LE196,KW196,KO196,KG196)</f>
        <v>801</v>
      </c>
      <c r="LO196" s="205"/>
      <c r="LP196" s="120"/>
      <c r="LQ196" s="120"/>
      <c r="LR196" s="120"/>
      <c r="LS196" s="205"/>
      <c r="LT196" s="205"/>
      <c r="LU196" s="205"/>
      <c r="LV196" s="205">
        <f t="shared" ref="LV196:LV243" si="2074">SUM(LO196:LU196)</f>
        <v>0</v>
      </c>
      <c r="LW196" s="120"/>
      <c r="LX196" s="120"/>
      <c r="LY196" s="124">
        <v>361</v>
      </c>
      <c r="LZ196" s="120"/>
      <c r="MA196" s="120"/>
      <c r="MB196" s="205"/>
      <c r="MC196" s="205"/>
      <c r="MD196" s="205">
        <f t="shared" ref="MD196:MD243" si="2075">SUM(LW196:MC196)</f>
        <v>361</v>
      </c>
      <c r="ME196" s="120"/>
      <c r="MF196" s="120"/>
      <c r="MG196" s="120"/>
      <c r="MH196" s="201">
        <v>1101</v>
      </c>
      <c r="MI196" s="205"/>
      <c r="MJ196" s="205"/>
      <c r="MK196" s="205"/>
      <c r="ML196" s="205">
        <f t="shared" ref="ML196:ML243" si="2076">SUM(ME196:MK196)</f>
        <v>1101</v>
      </c>
      <c r="MM196" s="120" t="s">
        <v>712</v>
      </c>
      <c r="MN196" s="120"/>
      <c r="MO196" s="120"/>
      <c r="MP196" s="120"/>
      <c r="MQ196" s="120"/>
      <c r="MR196" s="205"/>
      <c r="MS196" s="205"/>
      <c r="MT196" s="205">
        <f t="shared" ref="MT196:MT243" si="2077">SUM(MM196:MS196)</f>
        <v>0</v>
      </c>
      <c r="MU196" s="205">
        <f t="shared" ref="MU196:MU243" si="2078">SUM(LH196:LL196,LV196,MD196,ML196,MM196:MQ196)</f>
        <v>1462</v>
      </c>
      <c r="MV196" s="120"/>
      <c r="MW196" s="120"/>
      <c r="MX196" s="195">
        <v>2001</v>
      </c>
      <c r="MY196" s="120"/>
      <c r="MZ196" s="120"/>
      <c r="NA196" s="205"/>
      <c r="NB196" s="205"/>
      <c r="NC196" s="205">
        <f t="shared" ref="NC196:NC243" si="2079">SUM(MV196:NB196)</f>
        <v>2001</v>
      </c>
      <c r="ND196" s="120"/>
      <c r="NE196" s="120"/>
      <c r="NF196" s="120"/>
      <c r="NG196" s="120"/>
      <c r="NH196" s="120"/>
      <c r="NI196" s="205"/>
      <c r="NJ196" s="205"/>
      <c r="NK196" s="205">
        <f t="shared" ref="NK196:NK243" si="2080">SUM(ND196:NJ196)</f>
        <v>0</v>
      </c>
      <c r="NL196" s="120"/>
      <c r="NM196" s="120"/>
      <c r="NN196" s="120"/>
      <c r="NO196" s="120"/>
      <c r="NP196" s="120"/>
      <c r="NQ196" s="205"/>
      <c r="NR196" s="205"/>
      <c r="NS196" s="205">
        <f t="shared" ref="NS196:NS243" si="2081">SUM(NL196:NR196)</f>
        <v>0</v>
      </c>
      <c r="NT196" s="217">
        <v>1001</v>
      </c>
      <c r="NU196" s="120"/>
      <c r="NV196" s="120"/>
      <c r="NW196" s="120"/>
      <c r="NX196" s="120"/>
      <c r="NY196" s="205"/>
      <c r="NZ196" s="205"/>
      <c r="OA196" s="205">
        <f t="shared" ref="OA196:OA243" si="2082">SUM(NT196:NZ196)</f>
        <v>1001</v>
      </c>
      <c r="OB196" s="205">
        <f t="shared" ref="OB196:OB243" si="2083">SUM(MR196:MS196,NC196,NK196,NS196,OA196)</f>
        <v>3002</v>
      </c>
      <c r="OC196" s="120"/>
      <c r="OD196" s="120"/>
      <c r="OE196" s="120"/>
      <c r="OF196" s="120"/>
      <c r="OG196" s="120"/>
      <c r="OH196" s="205"/>
      <c r="OI196" s="205"/>
      <c r="OJ196" s="205">
        <f t="shared" ref="OJ196:OJ243" si="2084">SUM(OC196:OI196)</f>
        <v>0</v>
      </c>
      <c r="OK196" s="120"/>
      <c r="OL196" s="120"/>
      <c r="OM196" s="120"/>
      <c r="ON196" s="120"/>
      <c r="OO196" s="120"/>
      <c r="OP196" s="205"/>
      <c r="OQ196" s="205"/>
      <c r="OR196" s="205">
        <f t="shared" ref="OR196:OR243" si="2085">SUM(OK196:OQ196)</f>
        <v>0</v>
      </c>
      <c r="OS196" s="120"/>
      <c r="OT196" s="120"/>
      <c r="OU196" s="120"/>
      <c r="OV196" s="120"/>
      <c r="OW196" s="120"/>
      <c r="OX196" s="205"/>
      <c r="OY196" s="205"/>
      <c r="OZ196" s="205">
        <f t="shared" ref="OZ196:OZ243" si="2086">SUM(OS196:OY196)</f>
        <v>0</v>
      </c>
      <c r="PA196" s="120"/>
      <c r="PB196" s="120"/>
      <c r="PC196" s="120"/>
      <c r="PD196" s="205"/>
      <c r="PE196" s="217"/>
      <c r="PF196" s="205"/>
      <c r="PG196" s="205"/>
      <c r="PH196" s="205">
        <f t="shared" ref="PH196:PH243" si="2087">SUM(PA196:PG196)</f>
        <v>0</v>
      </c>
      <c r="PI196" s="120"/>
      <c r="PJ196" s="120"/>
      <c r="PK196" s="120"/>
      <c r="PL196" s="205"/>
      <c r="PM196" s="217"/>
      <c r="PN196" s="205"/>
      <c r="PO196" s="205"/>
      <c r="PP196" s="205">
        <f t="shared" ref="PP196:PP243" si="2088">SUM(PI196:PO196)</f>
        <v>0</v>
      </c>
      <c r="PQ196" s="205">
        <f t="shared" ref="PQ196:PQ243" si="2089">SUM(OJ196,OR196,OZ196,PH196,PI196:PK196)</f>
        <v>0</v>
      </c>
      <c r="PR196" s="120"/>
      <c r="PS196" s="207"/>
      <c r="PT196" s="207"/>
      <c r="PU196" s="207"/>
      <c r="PV196" s="207"/>
      <c r="PW196" s="272"/>
      <c r="PX196" s="272"/>
      <c r="PY196" s="205">
        <f t="shared" ref="PY196:PY243" si="2090">SUM(PR196:PX196)</f>
        <v>0</v>
      </c>
      <c r="PZ196" s="207"/>
      <c r="QA196" s="207"/>
      <c r="QB196" s="207"/>
      <c r="QC196" s="207"/>
      <c r="QD196" s="207"/>
      <c r="QE196" s="272"/>
      <c r="QF196" s="272"/>
      <c r="QG196" s="205">
        <f t="shared" ref="QG196:QG243" si="2091">SUM(PZ196:QF196)</f>
        <v>0</v>
      </c>
      <c r="QH196" s="207"/>
      <c r="QI196" s="207"/>
      <c r="QJ196" s="294"/>
      <c r="QK196" s="207"/>
      <c r="QL196" s="207"/>
      <c r="QM196" s="272"/>
      <c r="QN196" s="272"/>
      <c r="QO196" s="205">
        <f t="shared" ref="QO196:QO243" si="2092">SUM(QH196:QN196)</f>
        <v>0</v>
      </c>
      <c r="QP196" s="207"/>
      <c r="QQ196" s="120"/>
      <c r="QR196" s="207"/>
      <c r="QS196" s="207"/>
      <c r="QT196" s="207"/>
      <c r="QU196" s="272"/>
      <c r="QV196" s="272"/>
      <c r="QW196" s="205">
        <f t="shared" ref="QW196:QW243" si="2093">SUM(QP196:QV196)</f>
        <v>0</v>
      </c>
      <c r="QX196" s="205">
        <f t="shared" ref="QX196:QX243" si="2094">SUM(QW196,QO196,QG196,PY196,PL196,PM196,PN196,PO196)</f>
        <v>0</v>
      </c>
      <c r="QY196" s="207"/>
      <c r="QZ196" s="207"/>
      <c r="RA196" s="207"/>
      <c r="RB196" s="207"/>
      <c r="RC196" s="207"/>
      <c r="RD196" s="272"/>
      <c r="RE196" s="272"/>
      <c r="RF196" s="205">
        <f t="shared" ref="RF196:RF217" si="2095">SUM(QY196:RE196)</f>
        <v>0</v>
      </c>
      <c r="RG196" s="207"/>
      <c r="RH196" s="207"/>
      <c r="RI196" s="207"/>
      <c r="RJ196" s="207"/>
      <c r="RK196" s="207"/>
      <c r="RL196" s="272"/>
      <c r="RM196" s="272"/>
      <c r="RN196" s="205">
        <f t="shared" ref="RN196:RN243" si="2096">SUM(RG196:RM196)</f>
        <v>0</v>
      </c>
      <c r="RO196" s="272"/>
      <c r="RP196" s="272"/>
      <c r="RQ196" s="272"/>
      <c r="RR196" s="272"/>
      <c r="RS196" s="272"/>
      <c r="RT196" s="272"/>
      <c r="RU196" s="272"/>
      <c r="RV196" s="205">
        <f t="shared" ref="RV196:RV243" si="2097">SUM(RO196:RU196)</f>
        <v>0</v>
      </c>
      <c r="RW196" s="207"/>
      <c r="RX196" s="207"/>
      <c r="RY196" s="207"/>
      <c r="RZ196" s="207"/>
      <c r="SA196" s="272"/>
      <c r="SB196" s="272"/>
      <c r="SC196" s="272"/>
      <c r="SD196" s="205">
        <f t="shared" ref="SD196:SD243" si="2098">SUM(RW196:SC196)</f>
        <v>0</v>
      </c>
      <c r="SE196" s="205">
        <f t="shared" ref="SE196:SE243" si="2099">SUM(SD196,RV196,RN196,RF196,QV196)</f>
        <v>0</v>
      </c>
      <c r="SF196" s="207"/>
      <c r="SG196" s="207"/>
      <c r="SH196" s="207"/>
      <c r="SI196" s="207"/>
      <c r="SJ196" s="207"/>
      <c r="SK196" s="272"/>
      <c r="SL196" s="272"/>
      <c r="SM196" s="205">
        <f t="shared" ref="SM196:SM243" si="2100">SUM(SF196:SL196)</f>
        <v>0</v>
      </c>
      <c r="SN196" s="356"/>
      <c r="SO196" s="207"/>
      <c r="SP196" s="356"/>
      <c r="SQ196" s="207"/>
      <c r="SR196" s="120"/>
      <c r="SS196" s="272"/>
      <c r="ST196" s="272"/>
      <c r="SU196" s="205">
        <f t="shared" ref="SU196:SU243" si="2101">SUM(SN196:ST196)</f>
        <v>0</v>
      </c>
      <c r="SV196" s="207"/>
      <c r="SW196" s="207"/>
      <c r="SX196" s="207"/>
      <c r="SY196" s="207"/>
      <c r="SZ196" s="207"/>
      <c r="TA196" s="272"/>
      <c r="TB196" s="272"/>
      <c r="TC196" s="205">
        <f t="shared" ref="TC196:TC242" si="2102">SUM(SV196:TB196)</f>
        <v>0</v>
      </c>
      <c r="TD196" s="207"/>
      <c r="TE196" s="207"/>
      <c r="TF196" s="207"/>
      <c r="TG196" s="207"/>
      <c r="TH196" s="207"/>
      <c r="TI196" s="272"/>
      <c r="TJ196" s="272"/>
      <c r="TK196" s="205">
        <f>SUM(TF196:TJ196)</f>
        <v>0</v>
      </c>
      <c r="TL196" s="207"/>
      <c r="TM196" s="207"/>
      <c r="TN196" s="207"/>
      <c r="TO196" s="207"/>
      <c r="TP196" s="272"/>
      <c r="TQ196" s="272"/>
      <c r="TR196" s="272"/>
      <c r="TS196" s="205">
        <f t="shared" ref="TS196:TS243" si="2103">SUM(TL196:TR196)</f>
        <v>0</v>
      </c>
      <c r="TT196" s="205">
        <f t="shared" ref="TT196:TT243" si="2104">SUM(TL196:TM196,TK196,TC196,SU196,SM196,SC196)</f>
        <v>0</v>
      </c>
      <c r="TU196" s="272"/>
      <c r="TV196" s="207"/>
      <c r="TW196" s="207"/>
      <c r="TX196" s="207"/>
      <c r="TY196" s="356"/>
      <c r="TZ196" s="272"/>
      <c r="UA196" s="272"/>
      <c r="UB196" s="205">
        <f t="shared" si="2012"/>
        <v>0</v>
      </c>
      <c r="UC196" s="356"/>
      <c r="UD196" s="356"/>
      <c r="UE196" s="356"/>
      <c r="UF196" s="356"/>
      <c r="UG196" s="356"/>
      <c r="UH196" s="272"/>
      <c r="UI196" s="272"/>
      <c r="UJ196" s="205">
        <f t="shared" si="2013"/>
        <v>0</v>
      </c>
      <c r="UK196" s="207"/>
      <c r="UL196" s="124">
        <v>135</v>
      </c>
      <c r="UM196" s="207"/>
      <c r="UN196" s="386">
        <v>1600</v>
      </c>
      <c r="UO196" s="207"/>
      <c r="UP196" s="272"/>
      <c r="UQ196" s="272"/>
      <c r="UR196" s="205">
        <f t="shared" si="2014"/>
        <v>1735</v>
      </c>
      <c r="US196" s="207"/>
      <c r="UT196" s="207"/>
      <c r="UU196" s="207"/>
      <c r="UV196" s="207"/>
      <c r="UW196" s="272"/>
      <c r="UX196" s="272"/>
      <c r="UY196" s="272"/>
      <c r="UZ196" s="205">
        <f>SUM(UU196:UY196)</f>
        <v>0</v>
      </c>
      <c r="VA196" s="205">
        <f>SUM(TN196:TR196,UB196,UJ196,UR196,UU196:UV196)</f>
        <v>1735</v>
      </c>
      <c r="VB196" s="207"/>
      <c r="VC196" s="120"/>
      <c r="VD196" s="207"/>
      <c r="VE196" s="207"/>
      <c r="VF196" s="207"/>
      <c r="VG196" s="272"/>
      <c r="VH196" s="272"/>
      <c r="VI196" s="205">
        <f t="shared" si="2005"/>
        <v>0</v>
      </c>
      <c r="VJ196" s="207"/>
      <c r="VK196" s="120"/>
      <c r="VL196" s="207"/>
      <c r="VM196" s="207"/>
      <c r="VN196" s="207"/>
      <c r="VO196" s="272"/>
      <c r="VP196" s="272"/>
      <c r="VQ196" s="205">
        <f t="shared" si="2015"/>
        <v>0</v>
      </c>
      <c r="VR196" s="120"/>
      <c r="VS196" s="207"/>
      <c r="VT196" s="207"/>
      <c r="VU196" s="207"/>
      <c r="VV196" s="207"/>
      <c r="VW196" s="272"/>
      <c r="VX196" s="272"/>
      <c r="VY196" s="205">
        <f t="shared" si="2006"/>
        <v>0</v>
      </c>
      <c r="VZ196" s="207"/>
      <c r="WA196" s="207"/>
      <c r="WB196" s="207"/>
      <c r="WC196" s="207"/>
      <c r="WD196" s="207"/>
      <c r="WE196" s="272"/>
      <c r="WF196" s="272"/>
      <c r="WG196" s="205">
        <f t="shared" si="2007"/>
        <v>0</v>
      </c>
      <c r="WH196" s="205">
        <f t="shared" si="2008"/>
        <v>0</v>
      </c>
      <c r="WI196" s="207"/>
      <c r="WJ196" s="207"/>
      <c r="WK196" s="207"/>
      <c r="WL196" s="207"/>
      <c r="WM196" s="124">
        <v>135</v>
      </c>
      <c r="WN196" s="272"/>
      <c r="WO196" s="272"/>
      <c r="WP196" s="205">
        <f t="shared" si="2016"/>
        <v>135</v>
      </c>
      <c r="WQ196" s="207"/>
      <c r="WR196" s="207"/>
      <c r="WS196" s="124">
        <v>1600</v>
      </c>
      <c r="WT196" s="207"/>
      <c r="WU196" s="207"/>
      <c r="WV196" s="272"/>
      <c r="WW196" s="272"/>
      <c r="WX196" s="205">
        <f t="shared" si="2017"/>
        <v>1600</v>
      </c>
      <c r="WY196" s="207"/>
      <c r="WZ196" s="207"/>
      <c r="XA196" s="207"/>
      <c r="XB196" s="207"/>
      <c r="XC196" s="272"/>
      <c r="XD196" s="272"/>
      <c r="XE196" s="272"/>
      <c r="XF196" s="205">
        <f t="shared" si="2009"/>
        <v>0</v>
      </c>
      <c r="XG196" s="207"/>
      <c r="XH196" s="207"/>
      <c r="XI196" s="207"/>
      <c r="XJ196" s="207"/>
      <c r="XK196" s="207"/>
      <c r="XL196" s="272"/>
      <c r="XM196" s="272"/>
      <c r="XN196" s="205">
        <f t="shared" ref="XN196:XN243" si="2105">SUM(XG196:XM196)</f>
        <v>0</v>
      </c>
      <c r="XO196" s="207"/>
      <c r="XP196" s="207"/>
      <c r="XQ196" s="207"/>
      <c r="XR196" s="207"/>
      <c r="XS196" s="207"/>
      <c r="XT196" s="272"/>
      <c r="XU196" s="272"/>
      <c r="XV196" s="205">
        <f t="shared" ref="XV196:XV243" si="2106">SUM(XO196:XU196)</f>
        <v>0</v>
      </c>
      <c r="XW196" s="205">
        <f t="shared" ref="XW196:XW243" si="2107">SUM(XO196:XP196,XN196,XF196,WX196,WP196)</f>
        <v>1735</v>
      </c>
      <c r="XX196" s="207"/>
      <c r="XY196" s="207"/>
      <c r="XZ196" s="207"/>
      <c r="YA196" s="207"/>
      <c r="YB196" s="207"/>
      <c r="YC196" s="272"/>
      <c r="YD196" s="272"/>
      <c r="YE196" s="205">
        <f t="shared" si="2018"/>
        <v>0</v>
      </c>
      <c r="YF196" s="207"/>
      <c r="YG196" s="207"/>
      <c r="YH196" s="207"/>
      <c r="YI196" s="207"/>
      <c r="YJ196" s="207"/>
      <c r="YK196" s="272"/>
      <c r="YL196" s="272"/>
      <c r="YM196" s="205">
        <f t="shared" si="2019"/>
        <v>0</v>
      </c>
      <c r="YN196" s="207"/>
      <c r="YO196" s="207"/>
      <c r="YP196" s="207"/>
      <c r="YQ196" s="207"/>
      <c r="YR196" s="207"/>
      <c r="YS196" s="272"/>
      <c r="YT196" s="272"/>
      <c r="YU196" s="205">
        <f t="shared" si="2020"/>
        <v>0</v>
      </c>
      <c r="YV196" s="207"/>
      <c r="YW196" s="207"/>
      <c r="YX196" s="207"/>
      <c r="YY196" s="207"/>
      <c r="YZ196" s="207"/>
      <c r="ZA196" s="272"/>
      <c r="ZB196" s="272"/>
      <c r="ZC196" s="205">
        <f t="shared" si="2021"/>
        <v>0</v>
      </c>
      <c r="ZD196" s="205">
        <f t="shared" si="2022"/>
        <v>1735</v>
      </c>
      <c r="ZE196" s="207"/>
      <c r="ZF196" s="207"/>
      <c r="ZG196" s="207"/>
      <c r="ZH196" s="207"/>
      <c r="ZI196" s="207"/>
      <c r="ZJ196" s="272"/>
      <c r="ZK196" s="272"/>
      <c r="ZL196" s="205">
        <f t="shared" si="2023"/>
        <v>0</v>
      </c>
      <c r="ZM196" s="207"/>
      <c r="ZN196" s="207"/>
      <c r="ZO196" s="207"/>
      <c r="ZP196" s="207"/>
      <c r="ZQ196" s="207"/>
      <c r="ZR196" s="272"/>
      <c r="ZS196" s="272"/>
      <c r="ZT196" s="205">
        <f t="shared" si="2010"/>
        <v>0</v>
      </c>
      <c r="ZU196" s="207"/>
      <c r="ZV196" s="207"/>
      <c r="ZW196" s="207"/>
      <c r="ZX196" s="207"/>
      <c r="ZY196" s="207"/>
      <c r="ZZ196" s="272"/>
      <c r="AAA196" s="272"/>
      <c r="AAB196" s="205">
        <f t="shared" si="2024"/>
        <v>0</v>
      </c>
      <c r="AAC196" s="207"/>
      <c r="AAD196" s="207"/>
      <c r="AAE196" s="207"/>
      <c r="AAF196" s="207"/>
      <c r="AAG196" s="207"/>
      <c r="AAH196" s="272"/>
      <c r="AAI196" s="272"/>
      <c r="AAJ196" s="205">
        <f t="shared" si="2011"/>
        <v>0</v>
      </c>
      <c r="AAK196" s="207"/>
      <c r="AAL196" s="207"/>
      <c r="AAM196" s="207"/>
      <c r="AAN196" s="207"/>
      <c r="AAO196" s="207"/>
      <c r="AAP196" s="272"/>
      <c r="AAQ196" s="272"/>
      <c r="AAR196" s="205">
        <f t="shared" si="2025"/>
        <v>0</v>
      </c>
      <c r="AAS196" s="205">
        <f t="shared" si="2026"/>
        <v>0</v>
      </c>
    </row>
    <row r="197" spans="1:721" ht="80.099999999999994" hidden="1" customHeight="1">
      <c r="B197" s="309" t="s">
        <v>933</v>
      </c>
      <c r="C197" s="362"/>
      <c r="D197" s="368" t="s">
        <v>932</v>
      </c>
      <c r="E197" s="130"/>
      <c r="F197" s="120"/>
      <c r="G197" s="120"/>
      <c r="H197" s="120"/>
      <c r="I197" s="120"/>
      <c r="J197" s="120"/>
      <c r="K197" s="209"/>
      <c r="L197" s="205"/>
      <c r="M197" s="205">
        <f t="shared" ref="M197:M239" si="2108">SUM(F197:L197)</f>
        <v>0</v>
      </c>
      <c r="N197" s="120"/>
      <c r="O197" s="120"/>
      <c r="P197" s="120"/>
      <c r="Q197" s="120"/>
      <c r="R197" s="120"/>
      <c r="S197" s="209"/>
      <c r="T197" s="205"/>
      <c r="U197" s="205"/>
      <c r="V197" s="120"/>
      <c r="W197" s="120"/>
      <c r="X197" s="120"/>
      <c r="Y197" s="120"/>
      <c r="Z197" s="120"/>
      <c r="AA197" s="209"/>
      <c r="AB197" s="205"/>
      <c r="AC197" s="205"/>
      <c r="AD197" s="205"/>
      <c r="AE197" s="205"/>
      <c r="AF197" s="205"/>
      <c r="AG197" s="205"/>
      <c r="AH197" s="205"/>
      <c r="AI197" s="209"/>
      <c r="AJ197" s="205"/>
      <c r="AK197" s="205"/>
      <c r="AL197" s="205"/>
      <c r="AM197" s="120"/>
      <c r="AN197" s="120"/>
      <c r="AO197" s="120"/>
      <c r="AP197" s="120"/>
      <c r="AQ197" s="120"/>
      <c r="AR197" s="209"/>
      <c r="AS197" s="205"/>
      <c r="AT197" s="205"/>
      <c r="AU197" s="120"/>
      <c r="AV197" s="120"/>
      <c r="AW197" s="120"/>
      <c r="AX197" s="120"/>
      <c r="AY197" s="120"/>
      <c r="AZ197" s="209"/>
      <c r="BA197" s="205"/>
      <c r="BB197" s="205"/>
      <c r="BC197" s="120"/>
      <c r="BD197" s="120"/>
      <c r="BE197" s="120"/>
      <c r="BF197" s="120"/>
      <c r="BG197" s="120"/>
      <c r="BH197" s="209"/>
      <c r="BI197" s="205"/>
      <c r="BJ197" s="205"/>
      <c r="BK197" s="120"/>
      <c r="BL197" s="120"/>
      <c r="BM197" s="217"/>
      <c r="BN197" s="120"/>
      <c r="BO197" s="205"/>
      <c r="BP197" s="209"/>
      <c r="BQ197" s="205"/>
      <c r="BR197" s="205"/>
      <c r="BS197" s="205"/>
      <c r="BT197" s="120"/>
      <c r="BU197" s="250"/>
      <c r="BV197" s="120"/>
      <c r="BW197" s="120"/>
      <c r="BX197" s="120"/>
      <c r="BY197" s="209"/>
      <c r="BZ197" s="205"/>
      <c r="CA197" s="205"/>
      <c r="CB197" s="120"/>
      <c r="CC197" s="120"/>
      <c r="CD197" s="120"/>
      <c r="CE197" s="120"/>
      <c r="CF197" s="120"/>
      <c r="CG197" s="209"/>
      <c r="CH197" s="205"/>
      <c r="CI197" s="205"/>
      <c r="CJ197" s="120"/>
      <c r="CK197" s="120"/>
      <c r="CL197" s="250"/>
      <c r="CM197" s="120"/>
      <c r="CN197" s="120"/>
      <c r="CO197" s="209"/>
      <c r="CP197" s="205"/>
      <c r="CQ197" s="205"/>
      <c r="CR197" s="120"/>
      <c r="CS197" s="120"/>
      <c r="CT197" s="120"/>
      <c r="CU197" s="120"/>
      <c r="CV197" s="120"/>
      <c r="CW197" s="209"/>
      <c r="CX197" s="205"/>
      <c r="CY197" s="205"/>
      <c r="CZ197" s="120"/>
      <c r="DA197" s="120"/>
      <c r="DB197" s="120"/>
      <c r="DC197" s="205"/>
      <c r="DD197" s="205"/>
      <c r="DE197" s="209"/>
      <c r="DF197" s="205"/>
      <c r="DG197" s="205"/>
      <c r="DH197" s="205"/>
      <c r="DI197" s="120"/>
      <c r="DJ197" s="120"/>
      <c r="DK197" s="120"/>
      <c r="DL197" s="120"/>
      <c r="DM197" s="120"/>
      <c r="DN197" s="209"/>
      <c r="DO197" s="205"/>
      <c r="DP197" s="205"/>
      <c r="DQ197" s="217"/>
      <c r="DR197" s="120"/>
      <c r="DS197" s="120"/>
      <c r="DT197" s="120"/>
      <c r="DU197" s="120"/>
      <c r="DV197" s="209"/>
      <c r="DW197" s="205"/>
      <c r="DX197" s="205"/>
      <c r="DY197" s="120"/>
      <c r="DZ197" s="120"/>
      <c r="EA197" s="120"/>
      <c r="EB197" s="120"/>
      <c r="EC197" s="120"/>
      <c r="ED197" s="209"/>
      <c r="EE197" s="205"/>
      <c r="EF197" s="205"/>
      <c r="EG197" s="120"/>
      <c r="EH197" s="120"/>
      <c r="EI197" s="120"/>
      <c r="EJ197" s="205"/>
      <c r="EK197" s="205"/>
      <c r="EL197" s="209"/>
      <c r="EM197" s="205"/>
      <c r="EN197" s="205"/>
      <c r="EO197" s="205"/>
      <c r="EP197" s="120"/>
      <c r="EQ197" s="250"/>
      <c r="ER197" s="120"/>
      <c r="ES197" s="120"/>
      <c r="ET197" s="120"/>
      <c r="EU197" s="209"/>
      <c r="EV197" s="205"/>
      <c r="EW197" s="205"/>
      <c r="EX197" s="120"/>
      <c r="EY197" s="120"/>
      <c r="EZ197" s="120"/>
      <c r="FA197" s="120"/>
      <c r="FB197" s="120"/>
      <c r="FC197" s="209"/>
      <c r="FD197" s="205"/>
      <c r="FE197" s="205"/>
      <c r="FF197" s="120"/>
      <c r="FG197" s="195"/>
      <c r="FH197" s="120"/>
      <c r="FI197" s="120"/>
      <c r="FJ197" s="120"/>
      <c r="FK197" s="209"/>
      <c r="FL197" s="205"/>
      <c r="FM197" s="205"/>
      <c r="FN197" s="120"/>
      <c r="FO197" s="120"/>
      <c r="FP197" s="120"/>
      <c r="FQ197" s="120"/>
      <c r="FR197" s="205"/>
      <c r="FS197" s="209"/>
      <c r="FT197" s="205"/>
      <c r="FU197" s="205"/>
      <c r="FV197" s="205"/>
      <c r="FW197" s="120"/>
      <c r="FX197" s="120"/>
      <c r="FY197" s="120"/>
      <c r="FZ197" s="120"/>
      <c r="GA197" s="120"/>
      <c r="GB197" s="209"/>
      <c r="GC197" s="205"/>
      <c r="GD197" s="205"/>
      <c r="GE197" s="120"/>
      <c r="GF197" s="120"/>
      <c r="GG197" s="120"/>
      <c r="GH197" s="120"/>
      <c r="GI197" s="120"/>
      <c r="GJ197" s="209"/>
      <c r="GK197" s="205"/>
      <c r="GL197" s="205"/>
      <c r="GM197" s="120"/>
      <c r="GN197" s="120"/>
      <c r="GO197" s="120"/>
      <c r="GP197" s="120"/>
      <c r="GQ197" s="120"/>
      <c r="GR197" s="209"/>
      <c r="GS197" s="205"/>
      <c r="GT197" s="205"/>
      <c r="GU197" s="120"/>
      <c r="GV197" s="120"/>
      <c r="GW197" s="120"/>
      <c r="GX197" s="120"/>
      <c r="GY197" s="120"/>
      <c r="GZ197" s="209"/>
      <c r="HA197" s="205"/>
      <c r="HB197" s="205"/>
      <c r="HC197" s="120"/>
      <c r="HD197" s="120"/>
      <c r="HE197" s="120"/>
      <c r="HF197" s="120"/>
      <c r="HG197" s="120"/>
      <c r="HH197" s="209"/>
      <c r="HI197" s="205"/>
      <c r="HJ197" s="205"/>
      <c r="HK197" s="205"/>
      <c r="HL197" s="124"/>
      <c r="HM197" s="120"/>
      <c r="HN197" s="120"/>
      <c r="HO197" s="123"/>
      <c r="HP197" s="120"/>
      <c r="HQ197" s="205"/>
      <c r="HR197" s="205"/>
      <c r="HS197" s="205"/>
      <c r="HT197" s="120"/>
      <c r="HU197" s="120"/>
      <c r="HV197" s="120"/>
      <c r="HW197" s="120"/>
      <c r="HX197" s="120"/>
      <c r="HY197" s="205"/>
      <c r="HZ197" s="205"/>
      <c r="IA197" s="205"/>
      <c r="IB197" s="120"/>
      <c r="IC197" s="120"/>
      <c r="ID197" s="120"/>
      <c r="IE197" s="120"/>
      <c r="IF197" s="120"/>
      <c r="IG197" s="205"/>
      <c r="IH197" s="205"/>
      <c r="II197" s="205"/>
      <c r="IJ197" s="120"/>
      <c r="IK197" s="120"/>
      <c r="IL197" s="201"/>
      <c r="IM197" s="120"/>
      <c r="IN197" s="120"/>
      <c r="IO197" s="205"/>
      <c r="IP197" s="205"/>
      <c r="IQ197" s="205"/>
      <c r="IR197" s="205"/>
      <c r="IS197" s="120"/>
      <c r="IT197" s="120"/>
      <c r="IU197" s="120"/>
      <c r="IV197" s="120"/>
      <c r="IW197" s="120"/>
      <c r="IX197" s="205"/>
      <c r="IY197" s="205"/>
      <c r="IZ197" s="205"/>
      <c r="JA197" s="120"/>
      <c r="JB197" s="120"/>
      <c r="JC197" s="120"/>
      <c r="JD197" s="120"/>
      <c r="JE197" s="120"/>
      <c r="JF197" s="205"/>
      <c r="JG197" s="205"/>
      <c r="JH197" s="205"/>
      <c r="JI197" s="120"/>
      <c r="JJ197" s="120"/>
      <c r="JK197" s="120"/>
      <c r="JL197" s="120"/>
      <c r="JM197" s="120"/>
      <c r="JN197" s="205"/>
      <c r="JO197" s="205"/>
      <c r="JP197" s="205"/>
      <c r="JQ197" s="120"/>
      <c r="JR197" s="120"/>
      <c r="JS197" s="120"/>
      <c r="JT197" s="120"/>
      <c r="JU197" s="120"/>
      <c r="JV197" s="205"/>
      <c r="JW197" s="205"/>
      <c r="JX197" s="205"/>
      <c r="JY197" s="205"/>
      <c r="JZ197" s="120"/>
      <c r="KA197" s="120"/>
      <c r="KB197" s="120"/>
      <c r="KC197" s="120"/>
      <c r="KD197" s="120"/>
      <c r="KE197" s="205"/>
      <c r="KF197" s="205"/>
      <c r="KG197" s="205"/>
      <c r="KH197" s="120"/>
      <c r="KI197" s="120"/>
      <c r="KJ197" s="120"/>
      <c r="KK197" s="206"/>
      <c r="KL197" s="120"/>
      <c r="KM197" s="205"/>
      <c r="KN197" s="205"/>
      <c r="KO197" s="205"/>
      <c r="KP197" s="120"/>
      <c r="KQ197" s="120"/>
      <c r="KR197" s="120"/>
      <c r="KS197" s="120"/>
      <c r="KT197" s="120"/>
      <c r="KU197" s="205"/>
      <c r="KV197" s="205"/>
      <c r="KW197" s="205"/>
      <c r="KX197" s="120"/>
      <c r="KY197" s="120"/>
      <c r="KZ197" s="120"/>
      <c r="LA197" s="120"/>
      <c r="LB197" s="120"/>
      <c r="LC197" s="205"/>
      <c r="LD197" s="205"/>
      <c r="LE197" s="205"/>
      <c r="LF197" s="205"/>
      <c r="LG197" s="120"/>
      <c r="LH197" s="120"/>
      <c r="LI197" s="120"/>
      <c r="LJ197" s="120"/>
      <c r="LK197" s="205"/>
      <c r="LL197" s="205"/>
      <c r="LM197" s="205"/>
      <c r="LN197" s="205"/>
      <c r="LO197" s="205"/>
      <c r="LP197" s="120"/>
      <c r="LQ197" s="120"/>
      <c r="LR197" s="120"/>
      <c r="LS197" s="205"/>
      <c r="LT197" s="205"/>
      <c r="LU197" s="205"/>
      <c r="LV197" s="205"/>
      <c r="LW197" s="120"/>
      <c r="LX197" s="120"/>
      <c r="LY197" s="124"/>
      <c r="LZ197" s="120"/>
      <c r="MA197" s="120"/>
      <c r="MB197" s="205"/>
      <c r="MC197" s="205"/>
      <c r="MD197" s="205"/>
      <c r="ME197" s="120"/>
      <c r="MF197" s="120"/>
      <c r="MG197" s="120"/>
      <c r="MH197" s="201"/>
      <c r="MI197" s="205"/>
      <c r="MJ197" s="205"/>
      <c r="MK197" s="205"/>
      <c r="ML197" s="205"/>
      <c r="MM197" s="120"/>
      <c r="MN197" s="120"/>
      <c r="MO197" s="120"/>
      <c r="MP197" s="120"/>
      <c r="MQ197" s="120"/>
      <c r="MR197" s="205"/>
      <c r="MS197" s="205"/>
      <c r="MT197" s="205"/>
      <c r="MU197" s="205"/>
      <c r="MV197" s="120"/>
      <c r="MW197" s="120"/>
      <c r="MX197" s="195"/>
      <c r="MY197" s="120"/>
      <c r="MZ197" s="120"/>
      <c r="NA197" s="205"/>
      <c r="NB197" s="205"/>
      <c r="NC197" s="205"/>
      <c r="ND197" s="120"/>
      <c r="NE197" s="120"/>
      <c r="NF197" s="120"/>
      <c r="NG197" s="120"/>
      <c r="NH197" s="120"/>
      <c r="NI197" s="205"/>
      <c r="NJ197" s="205"/>
      <c r="NK197" s="205"/>
      <c r="NL197" s="120"/>
      <c r="NM197" s="120"/>
      <c r="NN197" s="120"/>
      <c r="NO197" s="120"/>
      <c r="NP197" s="120"/>
      <c r="NQ197" s="205"/>
      <c r="NR197" s="205"/>
      <c r="NS197" s="205"/>
      <c r="NT197" s="217"/>
      <c r="NU197" s="120"/>
      <c r="NV197" s="120"/>
      <c r="NW197" s="120"/>
      <c r="NX197" s="120"/>
      <c r="NY197" s="205"/>
      <c r="NZ197" s="205"/>
      <c r="OA197" s="205">
        <f t="shared" ref="OA197:OA207" si="2109">SUM(NT197:NZ197)</f>
        <v>0</v>
      </c>
      <c r="OB197" s="205">
        <f t="shared" ref="OB197:OB207" si="2110">SUM(MR197:MS197,NC197,NK197,NS197,OA197)</f>
        <v>0</v>
      </c>
      <c r="OC197" s="120"/>
      <c r="OD197" s="120"/>
      <c r="OE197" s="120"/>
      <c r="OF197" s="120"/>
      <c r="OG197" s="120"/>
      <c r="OH197" s="205"/>
      <c r="OI197" s="205"/>
      <c r="OJ197" s="205">
        <f t="shared" ref="OJ197:OJ207" si="2111">SUM(OC197:OI197)</f>
        <v>0</v>
      </c>
      <c r="OK197" s="120"/>
      <c r="OL197" s="120"/>
      <c r="OM197" s="120"/>
      <c r="ON197" s="120"/>
      <c r="OO197" s="120"/>
      <c r="OP197" s="205"/>
      <c r="OQ197" s="205"/>
      <c r="OR197" s="205">
        <f t="shared" ref="OR197:OR207" si="2112">SUM(OK197:OQ197)</f>
        <v>0</v>
      </c>
      <c r="OS197" s="120"/>
      <c r="OT197" s="120"/>
      <c r="OU197" s="120"/>
      <c r="OV197" s="120"/>
      <c r="OW197" s="120"/>
      <c r="OX197" s="205"/>
      <c r="OY197" s="205"/>
      <c r="OZ197" s="205">
        <f t="shared" ref="OZ197:OZ207" si="2113">SUM(OS197:OY197)</f>
        <v>0</v>
      </c>
      <c r="PA197" s="120"/>
      <c r="PB197" s="120"/>
      <c r="PC197" s="120"/>
      <c r="PD197" s="205"/>
      <c r="PE197" s="217"/>
      <c r="PF197" s="205"/>
      <c r="PG197" s="205"/>
      <c r="PH197" s="205">
        <f t="shared" ref="PH197:PH207" si="2114">SUM(PA197:PG197)</f>
        <v>0</v>
      </c>
      <c r="PI197" s="120"/>
      <c r="PJ197" s="120"/>
      <c r="PK197" s="120"/>
      <c r="PL197" s="205"/>
      <c r="PM197" s="217"/>
      <c r="PN197" s="205"/>
      <c r="PO197" s="205"/>
      <c r="PP197" s="205">
        <f t="shared" ref="PP197:PP203" si="2115">SUM(PI197:PO197)</f>
        <v>0</v>
      </c>
      <c r="PQ197" s="205">
        <f t="shared" ref="PQ197:PQ203" si="2116">SUM(OJ197,OR197,OZ197,PH197,PI197:PK197)</f>
        <v>0</v>
      </c>
      <c r="PR197" s="120"/>
      <c r="PS197" s="207"/>
      <c r="PT197" s="207"/>
      <c r="PU197" s="207"/>
      <c r="PV197" s="207"/>
      <c r="PW197" s="272"/>
      <c r="PX197" s="272"/>
      <c r="PY197" s="205">
        <f t="shared" ref="PY197:PY201" si="2117">SUM(PR197:PX197)</f>
        <v>0</v>
      </c>
      <c r="PZ197" s="207"/>
      <c r="QA197" s="207"/>
      <c r="QB197" s="207"/>
      <c r="QC197" s="207"/>
      <c r="QD197" s="207"/>
      <c r="QE197" s="272"/>
      <c r="QF197" s="272"/>
      <c r="QG197" s="205">
        <f t="shared" ref="QG197:QG200" si="2118">SUM(PZ197:QF197)</f>
        <v>0</v>
      </c>
      <c r="QH197" s="207"/>
      <c r="QI197" s="207"/>
      <c r="QJ197" s="294"/>
      <c r="QK197" s="207"/>
      <c r="QL197" s="207"/>
      <c r="QM197" s="272"/>
      <c r="QN197" s="272"/>
      <c r="QO197" s="205">
        <f t="shared" ref="QO197:QO200" si="2119">SUM(QH197:QN197)</f>
        <v>0</v>
      </c>
      <c r="QP197" s="207"/>
      <c r="QQ197" s="120"/>
      <c r="QR197" s="207"/>
      <c r="QS197" s="207"/>
      <c r="QT197" s="207"/>
      <c r="QU197" s="272"/>
      <c r="QV197" s="272"/>
      <c r="QW197" s="205">
        <f t="shared" ref="QW197:QW200" si="2120">SUM(QP197:QV197)</f>
        <v>0</v>
      </c>
      <c r="QX197" s="205">
        <f t="shared" ref="QX197:QX200" si="2121">SUM(QW197,QO197,QG197,PY197,PL197,PM197,PN197,PO197)</f>
        <v>0</v>
      </c>
      <c r="QY197" s="207"/>
      <c r="QZ197" s="207"/>
      <c r="RA197" s="207"/>
      <c r="RB197" s="207"/>
      <c r="RC197" s="207"/>
      <c r="RD197" s="272"/>
      <c r="RE197" s="272"/>
      <c r="RF197" s="205">
        <f t="shared" ref="RF197:RF201" si="2122">SUM(QY197:RE197)</f>
        <v>0</v>
      </c>
      <c r="RG197" s="207"/>
      <c r="RH197" s="207"/>
      <c r="RI197" s="207"/>
      <c r="RJ197" s="207"/>
      <c r="RK197" s="207"/>
      <c r="RL197" s="272"/>
      <c r="RM197" s="272"/>
      <c r="RN197" s="205">
        <f t="shared" ref="RN197:RN201" si="2123">SUM(RG197:RM197)</f>
        <v>0</v>
      </c>
      <c r="RO197" s="272"/>
      <c r="RP197" s="272"/>
      <c r="RQ197" s="272"/>
      <c r="RR197" s="272"/>
      <c r="RS197" s="272"/>
      <c r="RT197" s="272"/>
      <c r="RU197" s="272"/>
      <c r="RV197" s="205">
        <f t="shared" ref="RV197:RV201" si="2124">SUM(RO197:RU197)</f>
        <v>0</v>
      </c>
      <c r="RW197" s="207"/>
      <c r="RX197" s="207"/>
      <c r="RY197" s="207"/>
      <c r="RZ197" s="207"/>
      <c r="SA197" s="272"/>
      <c r="SB197" s="272"/>
      <c r="SC197" s="272"/>
      <c r="SD197" s="205">
        <f t="shared" ref="SD197:SD201" si="2125">SUM(RW197:SC197)</f>
        <v>0</v>
      </c>
      <c r="SE197" s="205">
        <f t="shared" ref="SE197:SE201" si="2126">SUM(SD197,RV197,RN197,RF197,QV197)</f>
        <v>0</v>
      </c>
      <c r="SF197" s="207"/>
      <c r="SG197" s="207"/>
      <c r="SH197" s="207"/>
      <c r="SI197" s="207"/>
      <c r="SJ197" s="207"/>
      <c r="SK197" s="272"/>
      <c r="SL197" s="272"/>
      <c r="SM197" s="205">
        <f t="shared" ref="SM197:SM201" si="2127">SUM(SF197:SL197)</f>
        <v>0</v>
      </c>
      <c r="SN197" s="356"/>
      <c r="SO197" s="207"/>
      <c r="SP197" s="356"/>
      <c r="SQ197" s="207"/>
      <c r="SR197" s="120"/>
      <c r="SS197" s="272"/>
      <c r="ST197" s="272"/>
      <c r="SU197" s="205">
        <f t="shared" ref="SU197:SU201" si="2128">SUM(SN197:ST197)</f>
        <v>0</v>
      </c>
      <c r="SV197" s="207"/>
      <c r="SW197" s="207"/>
      <c r="SX197" s="207"/>
      <c r="SY197" s="207"/>
      <c r="SZ197" s="207"/>
      <c r="TA197" s="272"/>
      <c r="TB197" s="272"/>
      <c r="TC197" s="205">
        <f t="shared" ref="TC197:TC202" si="2129">SUM(SV197:TB197)</f>
        <v>0</v>
      </c>
      <c r="TD197" s="207"/>
      <c r="TE197" s="207"/>
      <c r="TF197" s="207"/>
      <c r="TG197" s="207"/>
      <c r="TH197" s="207"/>
      <c r="TI197" s="272"/>
      <c r="TJ197" s="272"/>
      <c r="TK197" s="205">
        <f t="shared" ref="TK197:TK201" si="2130">SUM(TF197:TJ197)</f>
        <v>0</v>
      </c>
      <c r="TL197" s="207"/>
      <c r="TM197" s="207"/>
      <c r="TN197" s="207"/>
      <c r="TO197" s="207"/>
      <c r="TP197" s="272"/>
      <c r="TQ197" s="272"/>
      <c r="TR197" s="272"/>
      <c r="TS197" s="205">
        <f t="shared" ref="TS197:TS199" si="2131">SUM(TL197:TR197)</f>
        <v>0</v>
      </c>
      <c r="TT197" s="205">
        <f t="shared" ref="TT197:TT199" si="2132">SUM(TL197:TM197,TK197,TC197,SU197,SM197,SC197)</f>
        <v>0</v>
      </c>
      <c r="TU197" s="272"/>
      <c r="TV197" s="207"/>
      <c r="TW197" s="207"/>
      <c r="TX197" s="207"/>
      <c r="TY197" s="356"/>
      <c r="TZ197" s="272"/>
      <c r="UA197" s="272"/>
      <c r="UB197" s="205">
        <f t="shared" ref="UB197:UB201" si="2133">SUM(TU197:UA197)</f>
        <v>0</v>
      </c>
      <c r="UC197" s="356"/>
      <c r="UD197" s="356"/>
      <c r="UE197" s="356"/>
      <c r="UF197" s="356"/>
      <c r="UG197" s="356"/>
      <c r="UH197" s="272"/>
      <c r="UI197" s="272"/>
      <c r="UJ197" s="205">
        <f t="shared" ref="UJ197:UJ200" si="2134">SUM(UC197:UI197)</f>
        <v>0</v>
      </c>
      <c r="UK197" s="207"/>
      <c r="UL197" s="207"/>
      <c r="UM197" s="207"/>
      <c r="UN197" s="120"/>
      <c r="UO197" s="207"/>
      <c r="UP197" s="272"/>
      <c r="UQ197" s="272"/>
      <c r="UR197" s="205">
        <f t="shared" si="2014"/>
        <v>0</v>
      </c>
      <c r="US197" s="207"/>
      <c r="UT197" s="207"/>
      <c r="UU197" s="207"/>
      <c r="UV197" s="207"/>
      <c r="UW197" s="272"/>
      <c r="UX197" s="272"/>
      <c r="UY197" s="272"/>
      <c r="UZ197" s="205"/>
      <c r="VA197" s="205"/>
      <c r="VB197" s="207"/>
      <c r="VC197" s="120"/>
      <c r="VD197" s="207"/>
      <c r="VE197" s="207"/>
      <c r="VF197" s="207"/>
      <c r="VG197" s="272"/>
      <c r="VH197" s="272"/>
      <c r="VI197" s="205">
        <f t="shared" si="2005"/>
        <v>0</v>
      </c>
      <c r="VJ197" s="207"/>
      <c r="VK197" s="120"/>
      <c r="VL197" s="207"/>
      <c r="VM197" s="207"/>
      <c r="VN197" s="207"/>
      <c r="VO197" s="272"/>
      <c r="VP197" s="272"/>
      <c r="VQ197" s="205">
        <f t="shared" si="2015"/>
        <v>0</v>
      </c>
      <c r="VR197" s="120"/>
      <c r="VS197" s="207"/>
      <c r="VT197" s="207"/>
      <c r="VU197" s="207"/>
      <c r="VV197" s="207"/>
      <c r="VW197" s="272"/>
      <c r="VX197" s="272"/>
      <c r="VY197" s="205">
        <f t="shared" si="2006"/>
        <v>0</v>
      </c>
      <c r="VZ197" s="207"/>
      <c r="WA197" s="207"/>
      <c r="WB197" s="207"/>
      <c r="WC197" s="207"/>
      <c r="WD197" s="207"/>
      <c r="WE197" s="272"/>
      <c r="WF197" s="272"/>
      <c r="WG197" s="205">
        <f t="shared" si="2007"/>
        <v>0</v>
      </c>
      <c r="WH197" s="205">
        <f t="shared" si="2008"/>
        <v>0</v>
      </c>
      <c r="WI197" s="207"/>
      <c r="WJ197" s="207"/>
      <c r="WK197" s="207"/>
      <c r="WL197" s="207"/>
      <c r="WM197" s="207"/>
      <c r="WN197" s="272"/>
      <c r="WO197" s="272"/>
      <c r="WP197" s="205">
        <f t="shared" si="2016"/>
        <v>0</v>
      </c>
      <c r="WQ197" s="207"/>
      <c r="WR197" s="207"/>
      <c r="WS197" s="207"/>
      <c r="WT197" s="207"/>
      <c r="WU197" s="207"/>
      <c r="WV197" s="272"/>
      <c r="WW197" s="272"/>
      <c r="WX197" s="205">
        <f t="shared" si="2017"/>
        <v>0</v>
      </c>
      <c r="WY197" s="207"/>
      <c r="WZ197" s="207"/>
      <c r="XA197" s="207"/>
      <c r="XB197" s="207"/>
      <c r="XC197" s="272"/>
      <c r="XD197" s="272"/>
      <c r="XE197" s="272"/>
      <c r="XF197" s="205">
        <f t="shared" si="2009"/>
        <v>0</v>
      </c>
      <c r="XG197" s="207"/>
      <c r="XH197" s="207"/>
      <c r="XI197" s="207"/>
      <c r="XJ197" s="207"/>
      <c r="XK197" s="207"/>
      <c r="XL197" s="272"/>
      <c r="XM197" s="272"/>
      <c r="XN197" s="205"/>
      <c r="XO197" s="207"/>
      <c r="XP197" s="207"/>
      <c r="XQ197" s="207"/>
      <c r="XR197" s="207"/>
      <c r="XS197" s="207"/>
      <c r="XT197" s="272"/>
      <c r="XU197" s="272"/>
      <c r="XV197" s="205"/>
      <c r="XW197" s="205"/>
      <c r="XX197" s="207"/>
      <c r="XY197" s="207"/>
      <c r="XZ197" s="207"/>
      <c r="YA197" s="207"/>
      <c r="YB197" s="207"/>
      <c r="YC197" s="272"/>
      <c r="YD197" s="272"/>
      <c r="YE197" s="205">
        <f t="shared" si="2018"/>
        <v>0</v>
      </c>
      <c r="YF197" s="207"/>
      <c r="YG197" s="207"/>
      <c r="YH197" s="207"/>
      <c r="YI197" s="207"/>
      <c r="YJ197" s="207"/>
      <c r="YK197" s="272"/>
      <c r="YL197" s="272"/>
      <c r="YM197" s="205">
        <f t="shared" si="2019"/>
        <v>0</v>
      </c>
      <c r="YN197" s="207"/>
      <c r="YO197" s="207"/>
      <c r="YP197" s="207"/>
      <c r="YQ197" s="207"/>
      <c r="YR197" s="207"/>
      <c r="YS197" s="272"/>
      <c r="YT197" s="272"/>
      <c r="YU197" s="205">
        <f t="shared" si="2020"/>
        <v>0</v>
      </c>
      <c r="YV197" s="207"/>
      <c r="YW197" s="207"/>
      <c r="YX197" s="207"/>
      <c r="YY197" s="207"/>
      <c r="YZ197" s="207"/>
      <c r="ZA197" s="272"/>
      <c r="ZB197" s="272"/>
      <c r="ZC197" s="205">
        <f t="shared" si="2021"/>
        <v>0</v>
      </c>
      <c r="ZD197" s="205">
        <f t="shared" si="2022"/>
        <v>0</v>
      </c>
      <c r="ZE197" s="207"/>
      <c r="ZF197" s="207"/>
      <c r="ZG197" s="207"/>
      <c r="ZH197" s="207"/>
      <c r="ZI197" s="207"/>
      <c r="ZJ197" s="272"/>
      <c r="ZK197" s="272"/>
      <c r="ZL197" s="205">
        <f t="shared" si="2023"/>
        <v>0</v>
      </c>
      <c r="ZM197" s="207"/>
      <c r="ZN197" s="207"/>
      <c r="ZO197" s="207"/>
      <c r="ZP197" s="207"/>
      <c r="ZQ197" s="207"/>
      <c r="ZR197" s="272"/>
      <c r="ZS197" s="272"/>
      <c r="ZT197" s="205">
        <f t="shared" si="2010"/>
        <v>0</v>
      </c>
      <c r="ZU197" s="207"/>
      <c r="ZV197" s="207"/>
      <c r="ZW197" s="207"/>
      <c r="ZX197" s="207"/>
      <c r="ZY197" s="207"/>
      <c r="ZZ197" s="272"/>
      <c r="AAA197" s="272"/>
      <c r="AAB197" s="205">
        <f t="shared" si="2024"/>
        <v>0</v>
      </c>
      <c r="AAC197" s="207"/>
      <c r="AAD197" s="207"/>
      <c r="AAE197" s="207"/>
      <c r="AAF197" s="207"/>
      <c r="AAG197" s="207"/>
      <c r="AAH197" s="272"/>
      <c r="AAI197" s="272"/>
      <c r="AAJ197" s="205">
        <f t="shared" si="2011"/>
        <v>0</v>
      </c>
      <c r="AAK197" s="207"/>
      <c r="AAL197" s="207"/>
      <c r="AAM197" s="207"/>
      <c r="AAN197" s="207"/>
      <c r="AAO197" s="207"/>
      <c r="AAP197" s="272"/>
      <c r="AAQ197" s="272"/>
      <c r="AAR197" s="205">
        <f t="shared" si="2025"/>
        <v>0</v>
      </c>
      <c r="AAS197" s="205">
        <f t="shared" si="2026"/>
        <v>0</v>
      </c>
    </row>
    <row r="198" spans="1:721" ht="84" customHeight="1">
      <c r="A198" s="117">
        <v>6</v>
      </c>
      <c r="B198" s="309" t="s">
        <v>847</v>
      </c>
      <c r="C198" s="362" t="s">
        <v>918</v>
      </c>
      <c r="D198" s="367" t="s">
        <v>886</v>
      </c>
      <c r="E198" s="130" t="s">
        <v>4</v>
      </c>
      <c r="F198" s="207"/>
      <c r="G198" s="207"/>
      <c r="H198" s="207"/>
      <c r="I198" s="207"/>
      <c r="J198" s="207"/>
      <c r="K198" s="209"/>
      <c r="L198" s="205"/>
      <c r="M198" s="205">
        <f t="shared" si="2108"/>
        <v>0</v>
      </c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  <c r="AA198" s="207"/>
      <c r="AB198" s="207"/>
      <c r="AC198" s="207"/>
      <c r="AD198" s="207"/>
      <c r="AE198" s="207"/>
      <c r="AF198" s="207"/>
      <c r="AG198" s="207"/>
      <c r="AH198" s="207"/>
      <c r="AI198" s="207"/>
      <c r="AJ198" s="207"/>
      <c r="AK198" s="207"/>
      <c r="AL198" s="207"/>
      <c r="AM198" s="207"/>
      <c r="AN198" s="207"/>
      <c r="AO198" s="207"/>
      <c r="AP198" s="207"/>
      <c r="AQ198" s="207"/>
      <c r="AR198" s="207"/>
      <c r="AS198" s="207"/>
      <c r="AT198" s="207"/>
      <c r="AU198" s="207"/>
      <c r="AV198" s="207"/>
      <c r="AW198" s="207"/>
      <c r="AX198" s="207"/>
      <c r="AY198" s="207"/>
      <c r="AZ198" s="207"/>
      <c r="BA198" s="207"/>
      <c r="BB198" s="207"/>
      <c r="BC198" s="207"/>
      <c r="BD198" s="207"/>
      <c r="BE198" s="207"/>
      <c r="BF198" s="207"/>
      <c r="BG198" s="207"/>
      <c r="BH198" s="207"/>
      <c r="BI198" s="207"/>
      <c r="BJ198" s="207"/>
      <c r="BK198" s="207"/>
      <c r="BL198" s="207"/>
      <c r="BM198" s="207"/>
      <c r="BN198" s="207"/>
      <c r="BO198" s="207"/>
      <c r="BP198" s="207"/>
      <c r="BQ198" s="207"/>
      <c r="BR198" s="207"/>
      <c r="BS198" s="207"/>
      <c r="BT198" s="207"/>
      <c r="BU198" s="207"/>
      <c r="BV198" s="207"/>
      <c r="BW198" s="207"/>
      <c r="BX198" s="207"/>
      <c r="BY198" s="207"/>
      <c r="BZ198" s="207"/>
      <c r="CA198" s="207"/>
      <c r="CB198" s="207"/>
      <c r="CC198" s="207"/>
      <c r="CD198" s="207"/>
      <c r="CE198" s="207"/>
      <c r="CF198" s="207"/>
      <c r="CG198" s="207"/>
      <c r="CH198" s="207"/>
      <c r="CI198" s="207"/>
      <c r="CJ198" s="207"/>
      <c r="CK198" s="207"/>
      <c r="CL198" s="207"/>
      <c r="CM198" s="207"/>
      <c r="CN198" s="207"/>
      <c r="CO198" s="207"/>
      <c r="CP198" s="207"/>
      <c r="CQ198" s="207"/>
      <c r="CR198" s="207"/>
      <c r="CS198" s="207"/>
      <c r="CT198" s="207"/>
      <c r="CU198" s="207"/>
      <c r="CV198" s="207"/>
      <c r="CW198" s="207"/>
      <c r="CX198" s="207"/>
      <c r="CY198" s="207"/>
      <c r="CZ198" s="207"/>
      <c r="DA198" s="207"/>
      <c r="DB198" s="120"/>
      <c r="DC198" s="205"/>
      <c r="DD198" s="205"/>
      <c r="DE198" s="209"/>
      <c r="DF198" s="205"/>
      <c r="DG198" s="205"/>
      <c r="DH198" s="205"/>
      <c r="DI198" s="120"/>
      <c r="DJ198" s="120"/>
      <c r="DK198" s="120"/>
      <c r="DL198" s="120"/>
      <c r="DM198" s="120"/>
      <c r="DN198" s="209"/>
      <c r="DO198" s="205"/>
      <c r="DP198" s="205"/>
      <c r="DQ198" s="217"/>
      <c r="DR198" s="120"/>
      <c r="DS198" s="120"/>
      <c r="DT198" s="120"/>
      <c r="DU198" s="120"/>
      <c r="DV198" s="209"/>
      <c r="DW198" s="205"/>
      <c r="DX198" s="205"/>
      <c r="DY198" s="120"/>
      <c r="DZ198" s="120"/>
      <c r="EA198" s="120"/>
      <c r="EB198" s="120"/>
      <c r="EC198" s="120"/>
      <c r="ED198" s="209"/>
      <c r="EE198" s="205"/>
      <c r="EF198" s="205"/>
      <c r="EG198" s="120"/>
      <c r="EH198" s="120"/>
      <c r="EI198" s="120"/>
      <c r="EJ198" s="205"/>
      <c r="EK198" s="205"/>
      <c r="EL198" s="209"/>
      <c r="EM198" s="205"/>
      <c r="EN198" s="205"/>
      <c r="EO198" s="205"/>
      <c r="EP198" s="120"/>
      <c r="EQ198" s="250"/>
      <c r="ER198" s="120"/>
      <c r="ES198" s="120"/>
      <c r="ET198" s="120"/>
      <c r="EU198" s="209"/>
      <c r="EV198" s="205"/>
      <c r="EW198" s="205"/>
      <c r="EX198" s="120"/>
      <c r="EY198" s="120"/>
      <c r="EZ198" s="120"/>
      <c r="FA198" s="120"/>
      <c r="FB198" s="120"/>
      <c r="FC198" s="209"/>
      <c r="FD198" s="205"/>
      <c r="FE198" s="205"/>
      <c r="FF198" s="120"/>
      <c r="FG198" s="195"/>
      <c r="FH198" s="120"/>
      <c r="FI198" s="120"/>
      <c r="FJ198" s="120"/>
      <c r="FK198" s="209"/>
      <c r="FL198" s="205"/>
      <c r="FM198" s="205"/>
      <c r="FN198" s="120"/>
      <c r="FO198" s="120"/>
      <c r="FP198" s="120"/>
      <c r="FQ198" s="120"/>
      <c r="FR198" s="205"/>
      <c r="FS198" s="209"/>
      <c r="FT198" s="205"/>
      <c r="FU198" s="205"/>
      <c r="FV198" s="205"/>
      <c r="FW198" s="207"/>
      <c r="FX198" s="207"/>
      <c r="FY198" s="207"/>
      <c r="FZ198" s="207"/>
      <c r="GA198" s="207"/>
      <c r="GB198" s="209"/>
      <c r="GC198" s="205"/>
      <c r="GD198" s="205"/>
      <c r="GE198" s="120"/>
      <c r="GF198" s="120"/>
      <c r="GG198" s="120"/>
      <c r="GH198" s="120"/>
      <c r="GI198" s="120"/>
      <c r="GJ198" s="209"/>
      <c r="GK198" s="205"/>
      <c r="GL198" s="205"/>
      <c r="GM198" s="120"/>
      <c r="GN198" s="120"/>
      <c r="GO198" s="120"/>
      <c r="GP198" s="120"/>
      <c r="GQ198" s="120"/>
      <c r="GR198" s="209"/>
      <c r="GS198" s="205"/>
      <c r="GT198" s="205"/>
      <c r="GU198" s="120"/>
      <c r="GV198" s="120"/>
      <c r="GW198" s="120"/>
      <c r="GX198" s="120"/>
      <c r="GY198" s="120"/>
      <c r="GZ198" s="209"/>
      <c r="HA198" s="205"/>
      <c r="HB198" s="205"/>
      <c r="HC198" s="120"/>
      <c r="HD198" s="207"/>
      <c r="HE198" s="207"/>
      <c r="HF198" s="207"/>
      <c r="HG198" s="207"/>
      <c r="HH198" s="209"/>
      <c r="HI198" s="205"/>
      <c r="HJ198" s="205"/>
      <c r="HK198" s="205"/>
      <c r="HL198" s="124"/>
      <c r="HM198" s="120"/>
      <c r="HN198" s="120"/>
      <c r="HO198" s="123"/>
      <c r="HP198" s="120"/>
      <c r="HQ198" s="205"/>
      <c r="HR198" s="205"/>
      <c r="HS198" s="205"/>
      <c r="HT198" s="120"/>
      <c r="HU198" s="120"/>
      <c r="HV198" s="120"/>
      <c r="HW198" s="120"/>
      <c r="HX198" s="120"/>
      <c r="HY198" s="205"/>
      <c r="HZ198" s="205"/>
      <c r="IA198" s="205"/>
      <c r="IB198" s="120"/>
      <c r="IC198" s="120"/>
      <c r="ID198" s="120"/>
      <c r="IE198" s="120"/>
      <c r="IF198" s="120"/>
      <c r="IG198" s="205"/>
      <c r="IH198" s="205"/>
      <c r="II198" s="205"/>
      <c r="IJ198" s="120"/>
      <c r="IK198" s="120"/>
      <c r="IL198" s="201"/>
      <c r="IM198" s="120"/>
      <c r="IN198" s="120"/>
      <c r="IO198" s="205"/>
      <c r="IP198" s="205"/>
      <c r="IQ198" s="205"/>
      <c r="IR198" s="205"/>
      <c r="IS198" s="120"/>
      <c r="IT198" s="120"/>
      <c r="IU198" s="120"/>
      <c r="IV198" s="120"/>
      <c r="IW198" s="120"/>
      <c r="IX198" s="205"/>
      <c r="IY198" s="205"/>
      <c r="IZ198" s="205"/>
      <c r="JA198" s="120"/>
      <c r="JB198" s="120"/>
      <c r="JC198" s="120"/>
      <c r="JD198" s="120"/>
      <c r="JE198" s="120"/>
      <c r="JF198" s="205"/>
      <c r="JG198" s="205"/>
      <c r="JH198" s="205"/>
      <c r="JI198" s="120"/>
      <c r="JJ198" s="207"/>
      <c r="JK198" s="207"/>
      <c r="JL198" s="207"/>
      <c r="JM198" s="207"/>
      <c r="JN198" s="205"/>
      <c r="JO198" s="205"/>
      <c r="JP198" s="205"/>
      <c r="JQ198" s="120"/>
      <c r="JR198" s="120"/>
      <c r="JS198" s="120"/>
      <c r="JT198" s="120"/>
      <c r="JU198" s="120"/>
      <c r="JV198" s="205"/>
      <c r="JW198" s="205"/>
      <c r="JX198" s="205"/>
      <c r="JY198" s="205"/>
      <c r="JZ198" s="120"/>
      <c r="KA198" s="120"/>
      <c r="KB198" s="120"/>
      <c r="KC198" s="120"/>
      <c r="KD198" s="120"/>
      <c r="KE198" s="205"/>
      <c r="KF198" s="205"/>
      <c r="KG198" s="205"/>
      <c r="KH198" s="120"/>
      <c r="KI198" s="120"/>
      <c r="KJ198" s="120"/>
      <c r="KK198" s="206"/>
      <c r="KL198" s="120"/>
      <c r="KM198" s="205"/>
      <c r="KN198" s="205"/>
      <c r="KO198" s="205"/>
      <c r="KP198" s="120"/>
      <c r="KQ198" s="120"/>
      <c r="KR198" s="120"/>
      <c r="KS198" s="120"/>
      <c r="KT198" s="120"/>
      <c r="KU198" s="205"/>
      <c r="KV198" s="205"/>
      <c r="KW198" s="205"/>
      <c r="KX198" s="120"/>
      <c r="KY198" s="120"/>
      <c r="KZ198" s="120"/>
      <c r="LA198" s="120"/>
      <c r="LB198" s="120"/>
      <c r="LC198" s="205"/>
      <c r="LD198" s="205"/>
      <c r="LE198" s="205"/>
      <c r="LF198" s="205"/>
      <c r="LG198" s="120"/>
      <c r="LH198" s="120"/>
      <c r="LI198" s="120"/>
      <c r="LJ198" s="120"/>
      <c r="LK198" s="205"/>
      <c r="LL198" s="205"/>
      <c r="LM198" s="205"/>
      <c r="LN198" s="205"/>
      <c r="LO198" s="205"/>
      <c r="LP198" s="120"/>
      <c r="LQ198" s="207"/>
      <c r="LR198" s="207"/>
      <c r="LS198" s="205"/>
      <c r="LT198" s="205"/>
      <c r="LU198" s="205"/>
      <c r="LV198" s="205"/>
      <c r="LW198" s="120"/>
      <c r="LX198" s="120"/>
      <c r="LY198" s="124"/>
      <c r="LZ198" s="120"/>
      <c r="MA198" s="120"/>
      <c r="MB198" s="205"/>
      <c r="MC198" s="205"/>
      <c r="MD198" s="205"/>
      <c r="ME198" s="120"/>
      <c r="MF198" s="120"/>
      <c r="MG198" s="120"/>
      <c r="MH198" s="201"/>
      <c r="MI198" s="205"/>
      <c r="MJ198" s="205"/>
      <c r="MK198" s="205"/>
      <c r="ML198" s="205"/>
      <c r="MM198" s="207"/>
      <c r="MN198" s="207"/>
      <c r="MO198" s="207"/>
      <c r="MP198" s="207"/>
      <c r="MQ198" s="207"/>
      <c r="MR198" s="205"/>
      <c r="MS198" s="205"/>
      <c r="MT198" s="205"/>
      <c r="MU198" s="205"/>
      <c r="MV198" s="120"/>
      <c r="MW198" s="120"/>
      <c r="MX198" s="195"/>
      <c r="MY198" s="120"/>
      <c r="MZ198" s="120"/>
      <c r="NA198" s="205"/>
      <c r="NB198" s="205"/>
      <c r="NC198" s="205"/>
      <c r="ND198" s="120"/>
      <c r="NE198" s="207"/>
      <c r="NF198" s="207"/>
      <c r="NG198" s="207"/>
      <c r="NH198" s="207"/>
      <c r="NI198" s="205"/>
      <c r="NJ198" s="205"/>
      <c r="NK198" s="205"/>
      <c r="NL198" s="120"/>
      <c r="NM198" s="120"/>
      <c r="NN198" s="120"/>
      <c r="NO198" s="120"/>
      <c r="NP198" s="120"/>
      <c r="NQ198" s="205"/>
      <c r="NR198" s="205"/>
      <c r="NS198" s="205"/>
      <c r="NT198" s="217"/>
      <c r="NU198" s="207"/>
      <c r="NV198" s="207"/>
      <c r="NW198" s="207"/>
      <c r="NX198" s="207"/>
      <c r="NY198" s="205"/>
      <c r="NZ198" s="205"/>
      <c r="OA198" s="205">
        <f t="shared" si="2109"/>
        <v>0</v>
      </c>
      <c r="OB198" s="205">
        <f t="shared" si="2110"/>
        <v>0</v>
      </c>
      <c r="OC198" s="120"/>
      <c r="OD198" s="120"/>
      <c r="OE198" s="120"/>
      <c r="OF198" s="120"/>
      <c r="OG198" s="120"/>
      <c r="OH198" s="205"/>
      <c r="OI198" s="205"/>
      <c r="OJ198" s="205">
        <f t="shared" si="2111"/>
        <v>0</v>
      </c>
      <c r="OK198" s="120"/>
      <c r="OL198" s="120"/>
      <c r="OM198" s="120"/>
      <c r="ON198" s="120"/>
      <c r="OO198" s="120"/>
      <c r="OP198" s="205"/>
      <c r="OQ198" s="205"/>
      <c r="OR198" s="205">
        <f t="shared" si="2112"/>
        <v>0</v>
      </c>
      <c r="OS198" s="207"/>
      <c r="OT198" s="207"/>
      <c r="OU198" s="207"/>
      <c r="OV198" s="207"/>
      <c r="OW198" s="207"/>
      <c r="OX198" s="205"/>
      <c r="OY198" s="205"/>
      <c r="OZ198" s="205">
        <f t="shared" si="2113"/>
        <v>0</v>
      </c>
      <c r="PA198" s="120"/>
      <c r="PB198" s="120"/>
      <c r="PC198" s="120"/>
      <c r="PD198" s="205"/>
      <c r="PE198" s="217"/>
      <c r="PF198" s="205"/>
      <c r="PG198" s="205"/>
      <c r="PH198" s="205">
        <f t="shared" si="2114"/>
        <v>0</v>
      </c>
      <c r="PI198" s="207"/>
      <c r="PJ198" s="207"/>
      <c r="PK198" s="207"/>
      <c r="PL198" s="205"/>
      <c r="PM198" s="217"/>
      <c r="PN198" s="205"/>
      <c r="PO198" s="205"/>
      <c r="PP198" s="205">
        <f t="shared" si="2115"/>
        <v>0</v>
      </c>
      <c r="PQ198" s="205">
        <f t="shared" si="2116"/>
        <v>0</v>
      </c>
      <c r="PR198" s="207"/>
      <c r="PS198" s="207"/>
      <c r="PT198" s="207"/>
      <c r="PU198" s="207"/>
      <c r="PV198" s="207"/>
      <c r="PW198" s="272"/>
      <c r="PX198" s="272"/>
      <c r="PY198" s="205">
        <f t="shared" si="2117"/>
        <v>0</v>
      </c>
      <c r="PZ198" s="207"/>
      <c r="QA198" s="207"/>
      <c r="QB198" s="207"/>
      <c r="QC198" s="207"/>
      <c r="QD198" s="207"/>
      <c r="QE198" s="272"/>
      <c r="QF198" s="272"/>
      <c r="QG198" s="205">
        <f t="shared" si="2118"/>
        <v>0</v>
      </c>
      <c r="QH198" s="207"/>
      <c r="QI198" s="207"/>
      <c r="QJ198" s="294"/>
      <c r="QK198" s="207"/>
      <c r="QL198" s="207"/>
      <c r="QM198" s="272"/>
      <c r="QN198" s="272"/>
      <c r="QO198" s="205">
        <f t="shared" si="2119"/>
        <v>0</v>
      </c>
      <c r="QP198" s="207"/>
      <c r="QQ198" s="207"/>
      <c r="QR198" s="207"/>
      <c r="QS198" s="207"/>
      <c r="QT198" s="207"/>
      <c r="QU198" s="272"/>
      <c r="QV198" s="272"/>
      <c r="QW198" s="205">
        <f t="shared" si="2120"/>
        <v>0</v>
      </c>
      <c r="QX198" s="205">
        <f t="shared" si="2121"/>
        <v>0</v>
      </c>
      <c r="QY198" s="207"/>
      <c r="QZ198" s="207"/>
      <c r="RA198" s="207"/>
      <c r="RB198" s="207"/>
      <c r="RC198" s="207"/>
      <c r="RD198" s="272"/>
      <c r="RE198" s="272"/>
      <c r="RF198" s="205">
        <f t="shared" si="2122"/>
        <v>0</v>
      </c>
      <c r="RG198" s="207"/>
      <c r="RH198" s="207"/>
      <c r="RI198" s="207"/>
      <c r="RJ198" s="207"/>
      <c r="RK198" s="207"/>
      <c r="RL198" s="272"/>
      <c r="RM198" s="272"/>
      <c r="RN198" s="205">
        <f t="shared" si="2123"/>
        <v>0</v>
      </c>
      <c r="RO198" s="272"/>
      <c r="RP198" s="272"/>
      <c r="RQ198" s="272"/>
      <c r="RR198" s="272"/>
      <c r="RS198" s="272"/>
      <c r="RT198" s="272"/>
      <c r="RU198" s="272"/>
      <c r="RV198" s="205">
        <f t="shared" si="2124"/>
        <v>0</v>
      </c>
      <c r="RW198" s="207"/>
      <c r="RX198" s="207"/>
      <c r="RY198" s="207"/>
      <c r="RZ198" s="207"/>
      <c r="SA198" s="272"/>
      <c r="SB198" s="272"/>
      <c r="SC198" s="272"/>
      <c r="SD198" s="205">
        <f t="shared" si="2125"/>
        <v>0</v>
      </c>
      <c r="SE198" s="205">
        <f t="shared" si="2126"/>
        <v>0</v>
      </c>
      <c r="SF198" s="207"/>
      <c r="SG198" s="207"/>
      <c r="SH198" s="207"/>
      <c r="SI198" s="207"/>
      <c r="SJ198" s="207"/>
      <c r="SK198" s="272"/>
      <c r="SL198" s="272"/>
      <c r="SM198" s="205">
        <f t="shared" si="2127"/>
        <v>0</v>
      </c>
      <c r="SN198" s="207"/>
      <c r="SO198" s="207"/>
      <c r="SP198" s="207"/>
      <c r="SQ198" s="207"/>
      <c r="SR198" s="207"/>
      <c r="SS198" s="272"/>
      <c r="ST198" s="272"/>
      <c r="SU198" s="205">
        <f t="shared" si="2128"/>
        <v>0</v>
      </c>
      <c r="SV198" s="207"/>
      <c r="SW198" s="207"/>
      <c r="SX198" s="207"/>
      <c r="SY198" s="207"/>
      <c r="SZ198" s="207"/>
      <c r="TA198" s="272"/>
      <c r="TB198" s="272"/>
      <c r="TC198" s="205">
        <f t="shared" si="2129"/>
        <v>0</v>
      </c>
      <c r="TD198" s="207"/>
      <c r="TE198" s="207"/>
      <c r="TF198" s="207"/>
      <c r="TG198" s="207"/>
      <c r="TH198" s="207"/>
      <c r="TI198" s="272"/>
      <c r="TJ198" s="272"/>
      <c r="TK198" s="205">
        <f t="shared" si="2130"/>
        <v>0</v>
      </c>
      <c r="TL198" s="207"/>
      <c r="TM198" s="207"/>
      <c r="TN198" s="207"/>
      <c r="TO198" s="207"/>
      <c r="TP198" s="272"/>
      <c r="TQ198" s="272"/>
      <c r="TR198" s="272"/>
      <c r="TS198" s="205">
        <f t="shared" si="2131"/>
        <v>0</v>
      </c>
      <c r="TT198" s="205">
        <f t="shared" si="2132"/>
        <v>0</v>
      </c>
      <c r="TU198" s="272"/>
      <c r="TV198" s="207"/>
      <c r="TW198" s="207"/>
      <c r="TX198" s="207"/>
      <c r="TY198" s="207"/>
      <c r="TZ198" s="272"/>
      <c r="UA198" s="272"/>
      <c r="UB198" s="205">
        <f t="shared" si="2133"/>
        <v>0</v>
      </c>
      <c r="UC198" s="207"/>
      <c r="UD198" s="207"/>
      <c r="UE198" s="207"/>
      <c r="UF198" s="207"/>
      <c r="UG198" s="207"/>
      <c r="UH198" s="272"/>
      <c r="UI198" s="272"/>
      <c r="UJ198" s="205">
        <f t="shared" si="2134"/>
        <v>0</v>
      </c>
      <c r="UK198" s="207"/>
      <c r="UL198" s="123">
        <v>140</v>
      </c>
      <c r="UM198" s="207"/>
      <c r="UN198" s="207"/>
      <c r="UO198" s="386">
        <v>1420</v>
      </c>
      <c r="UP198" s="272"/>
      <c r="UQ198" s="272"/>
      <c r="UR198" s="205">
        <f>SUM(UL198:UQ198)</f>
        <v>1560</v>
      </c>
      <c r="US198" s="386">
        <v>150</v>
      </c>
      <c r="UU198" s="123">
        <v>1200</v>
      </c>
      <c r="UV198" s="124">
        <v>1350</v>
      </c>
      <c r="UW198" s="272"/>
      <c r="UX198" s="272"/>
      <c r="UY198" s="272"/>
      <c r="UZ198" s="205">
        <f>SUM(US198:UY198)</f>
        <v>2700</v>
      </c>
      <c r="VA198" s="205">
        <f ca="1">SUM(TN198:TR198,UB198,UJ198,UR198,UW198:VC198)</f>
        <v>5810</v>
      </c>
      <c r="VB198" s="123">
        <v>150</v>
      </c>
      <c r="VC198" s="120"/>
      <c r="VD198" s="207"/>
      <c r="VE198" s="123">
        <v>2000</v>
      </c>
      <c r="VF198" s="207"/>
      <c r="VG198" s="272"/>
      <c r="VH198" s="272"/>
      <c r="VI198" s="205">
        <f t="shared" si="2005"/>
        <v>2150</v>
      </c>
      <c r="VJ198" s="207"/>
      <c r="VK198" s="217">
        <v>150</v>
      </c>
      <c r="VL198" s="207"/>
      <c r="VM198" s="120"/>
      <c r="VN198" s="207"/>
      <c r="VO198" s="272"/>
      <c r="VP198" s="272"/>
      <c r="VQ198" s="205">
        <f t="shared" si="2015"/>
        <v>150</v>
      </c>
      <c r="VR198" s="217">
        <v>600</v>
      </c>
      <c r="VS198" s="207"/>
      <c r="VT198" s="207"/>
      <c r="VU198" s="207"/>
      <c r="VV198" s="207"/>
      <c r="VW198" s="272"/>
      <c r="VX198" s="272"/>
      <c r="VY198" s="205">
        <f t="shared" si="2006"/>
        <v>600</v>
      </c>
      <c r="VZ198" s="124">
        <v>150</v>
      </c>
      <c r="WA198" s="207"/>
      <c r="WB198" s="207"/>
      <c r="WC198" s="207"/>
      <c r="WD198" s="207"/>
      <c r="WE198" s="272"/>
      <c r="WF198" s="272"/>
      <c r="WG198" s="205">
        <f t="shared" si="2007"/>
        <v>150</v>
      </c>
      <c r="WH198" s="205">
        <f t="shared" si="2008"/>
        <v>3050</v>
      </c>
      <c r="WI198" s="207"/>
      <c r="WJ198" s="207"/>
      <c r="WK198" s="201">
        <v>2000</v>
      </c>
      <c r="WL198" s="201">
        <v>2000</v>
      </c>
      <c r="WM198" s="207"/>
      <c r="WN198" s="272"/>
      <c r="WO198" s="272"/>
      <c r="WP198" s="205">
        <f>SUM(WL198:WO198)</f>
        <v>2000</v>
      </c>
      <c r="WQ198" s="207"/>
      <c r="WR198" s="207"/>
      <c r="WS198" s="207"/>
      <c r="WT198" s="207"/>
      <c r="WU198" s="207"/>
      <c r="WV198" s="272"/>
      <c r="WW198" s="272"/>
      <c r="WX198" s="205">
        <f t="shared" si="2017"/>
        <v>0</v>
      </c>
      <c r="WY198" s="207"/>
      <c r="WZ198" s="207"/>
      <c r="XA198" s="207"/>
      <c r="XB198" s="207"/>
      <c r="XC198" s="272"/>
      <c r="XD198" s="272"/>
      <c r="XE198" s="272"/>
      <c r="XF198" s="205">
        <f t="shared" si="2009"/>
        <v>0</v>
      </c>
      <c r="XG198" s="207"/>
      <c r="XH198" s="207"/>
      <c r="XI198" s="207"/>
      <c r="XJ198" s="207"/>
      <c r="XK198" s="207"/>
      <c r="XL198" s="272"/>
      <c r="XM198" s="272"/>
      <c r="XN198" s="205">
        <f t="shared" si="2105"/>
        <v>0</v>
      </c>
      <c r="XO198" s="207"/>
      <c r="XP198" s="207"/>
      <c r="XQ198" s="207"/>
      <c r="XR198" s="207"/>
      <c r="XS198" s="207"/>
      <c r="XT198" s="272"/>
      <c r="XU198" s="272"/>
      <c r="XV198" s="205">
        <f t="shared" si="2106"/>
        <v>0</v>
      </c>
      <c r="XW198" s="205">
        <f t="shared" si="2107"/>
        <v>2000</v>
      </c>
      <c r="XX198" s="207"/>
      <c r="XY198" s="207"/>
      <c r="XZ198" s="207"/>
      <c r="YA198" s="207"/>
      <c r="YB198" s="207"/>
      <c r="YC198" s="272"/>
      <c r="YD198" s="272"/>
      <c r="YE198" s="205">
        <f t="shared" si="2018"/>
        <v>0</v>
      </c>
      <c r="YF198" s="207"/>
      <c r="YG198" s="207"/>
      <c r="YH198" s="207"/>
      <c r="YI198" s="207"/>
      <c r="YJ198" s="207"/>
      <c r="YK198" s="272"/>
      <c r="YL198" s="272"/>
      <c r="YM198" s="205">
        <f t="shared" si="2019"/>
        <v>0</v>
      </c>
      <c r="YN198" s="207"/>
      <c r="YO198" s="207"/>
      <c r="YP198" s="207"/>
      <c r="YQ198" s="207"/>
      <c r="YR198" s="207"/>
      <c r="YS198" s="272"/>
      <c r="YT198" s="272"/>
      <c r="YU198" s="205">
        <f t="shared" si="2020"/>
        <v>0</v>
      </c>
      <c r="YV198" s="207"/>
      <c r="YW198" s="207"/>
      <c r="YX198" s="207"/>
      <c r="YY198" s="207"/>
      <c r="YZ198" s="207"/>
      <c r="ZA198" s="272"/>
      <c r="ZB198" s="272"/>
      <c r="ZC198" s="205">
        <f t="shared" si="2021"/>
        <v>0</v>
      </c>
      <c r="ZD198" s="205">
        <f t="shared" si="2022"/>
        <v>2000</v>
      </c>
      <c r="ZE198" s="207"/>
      <c r="ZF198" s="207"/>
      <c r="ZG198" s="207"/>
      <c r="ZH198" s="207"/>
      <c r="ZI198" s="207"/>
      <c r="ZJ198" s="272"/>
      <c r="ZK198" s="272"/>
      <c r="ZL198" s="205">
        <f t="shared" si="2023"/>
        <v>0</v>
      </c>
      <c r="ZM198" s="207"/>
      <c r="ZN198" s="207"/>
      <c r="ZO198" s="207"/>
      <c r="ZP198" s="207"/>
      <c r="ZQ198" s="207"/>
      <c r="ZR198" s="272"/>
      <c r="ZS198" s="272"/>
      <c r="ZT198" s="205">
        <f t="shared" si="2010"/>
        <v>0</v>
      </c>
      <c r="ZU198" s="207"/>
      <c r="ZV198" s="207"/>
      <c r="ZW198" s="207"/>
      <c r="ZX198" s="207"/>
      <c r="ZY198" s="207"/>
      <c r="ZZ198" s="272"/>
      <c r="AAA198" s="272"/>
      <c r="AAB198" s="205">
        <f t="shared" si="2024"/>
        <v>0</v>
      </c>
      <c r="AAC198" s="207"/>
      <c r="AAD198" s="207"/>
      <c r="AAE198" s="207"/>
      <c r="AAF198" s="207"/>
      <c r="AAG198" s="207"/>
      <c r="AAH198" s="272"/>
      <c r="AAI198" s="272"/>
      <c r="AAJ198" s="205">
        <f t="shared" si="2011"/>
        <v>0</v>
      </c>
      <c r="AAK198" s="207"/>
      <c r="AAL198" s="207"/>
      <c r="AAM198" s="207"/>
      <c r="AAN198" s="207"/>
      <c r="AAO198" s="207"/>
      <c r="AAP198" s="272"/>
      <c r="AAQ198" s="272"/>
      <c r="AAR198" s="205">
        <f t="shared" si="2025"/>
        <v>0</v>
      </c>
      <c r="AAS198" s="205">
        <f t="shared" si="2026"/>
        <v>0</v>
      </c>
    </row>
    <row r="199" spans="1:721" ht="84" hidden="1" customHeight="1">
      <c r="B199" s="309" t="s">
        <v>931</v>
      </c>
      <c r="C199" s="362"/>
      <c r="D199" s="367" t="s">
        <v>930</v>
      </c>
      <c r="E199" s="130"/>
      <c r="F199" s="120"/>
      <c r="G199" s="120"/>
      <c r="H199" s="120"/>
      <c r="I199" s="120"/>
      <c r="J199" s="120"/>
      <c r="K199" s="209"/>
      <c r="L199" s="205"/>
      <c r="M199" s="205">
        <f t="shared" si="2108"/>
        <v>0</v>
      </c>
      <c r="N199" s="120"/>
      <c r="O199" s="120"/>
      <c r="P199" s="120"/>
      <c r="Q199" s="120"/>
      <c r="R199" s="120"/>
      <c r="S199" s="209"/>
      <c r="T199" s="205"/>
      <c r="U199" s="205"/>
      <c r="V199" s="120"/>
      <c r="W199" s="120"/>
      <c r="X199" s="120"/>
      <c r="Y199" s="120"/>
      <c r="Z199" s="120"/>
      <c r="AA199" s="209"/>
      <c r="AB199" s="205"/>
      <c r="AC199" s="205"/>
      <c r="AD199" s="205"/>
      <c r="AE199" s="205"/>
      <c r="AF199" s="205"/>
      <c r="AG199" s="205"/>
      <c r="AH199" s="205"/>
      <c r="AI199" s="209"/>
      <c r="AJ199" s="205"/>
      <c r="AK199" s="205"/>
      <c r="AL199" s="205"/>
      <c r="AM199" s="120"/>
      <c r="AN199" s="120"/>
      <c r="AO199" s="120"/>
      <c r="AP199" s="120"/>
      <c r="AQ199" s="120"/>
      <c r="AR199" s="209"/>
      <c r="AS199" s="205"/>
      <c r="AT199" s="205"/>
      <c r="AU199" s="120"/>
      <c r="AV199" s="120"/>
      <c r="AW199" s="120"/>
      <c r="AX199" s="120"/>
      <c r="AY199" s="120"/>
      <c r="AZ199" s="209"/>
      <c r="BA199" s="205"/>
      <c r="BB199" s="205"/>
      <c r="BC199" s="120"/>
      <c r="BD199" s="120"/>
      <c r="BE199" s="120"/>
      <c r="BF199" s="120"/>
      <c r="BG199" s="120"/>
      <c r="BH199" s="209"/>
      <c r="BI199" s="205"/>
      <c r="BJ199" s="205"/>
      <c r="BK199" s="120"/>
      <c r="BL199" s="120"/>
      <c r="BM199" s="217"/>
      <c r="BN199" s="120"/>
      <c r="BO199" s="205"/>
      <c r="BP199" s="209"/>
      <c r="BQ199" s="205"/>
      <c r="BR199" s="205"/>
      <c r="BS199" s="205"/>
      <c r="BT199" s="120"/>
      <c r="BU199" s="250"/>
      <c r="BV199" s="120"/>
      <c r="BW199" s="120"/>
      <c r="BX199" s="120"/>
      <c r="BY199" s="209"/>
      <c r="BZ199" s="205"/>
      <c r="CA199" s="205"/>
      <c r="CB199" s="120"/>
      <c r="CC199" s="120"/>
      <c r="CD199" s="120"/>
      <c r="CE199" s="120"/>
      <c r="CF199" s="120"/>
      <c r="CG199" s="209"/>
      <c r="CH199" s="205"/>
      <c r="CI199" s="205"/>
      <c r="CJ199" s="120"/>
      <c r="CK199" s="120"/>
      <c r="CL199" s="250"/>
      <c r="CM199" s="120"/>
      <c r="CN199" s="120"/>
      <c r="CO199" s="209"/>
      <c r="CP199" s="205"/>
      <c r="CQ199" s="205"/>
      <c r="CR199" s="120"/>
      <c r="CS199" s="120"/>
      <c r="CT199" s="120"/>
      <c r="CU199" s="120"/>
      <c r="CV199" s="120"/>
      <c r="CW199" s="209"/>
      <c r="CX199" s="205"/>
      <c r="CY199" s="205"/>
      <c r="CZ199" s="120"/>
      <c r="DA199" s="120"/>
      <c r="DB199" s="120"/>
      <c r="DC199" s="205"/>
      <c r="DD199" s="205"/>
      <c r="DE199" s="209"/>
      <c r="DF199" s="205"/>
      <c r="DG199" s="205"/>
      <c r="DH199" s="205"/>
      <c r="DI199" s="120"/>
      <c r="DJ199" s="120"/>
      <c r="DK199" s="120"/>
      <c r="DL199" s="120"/>
      <c r="DM199" s="120"/>
      <c r="DN199" s="209"/>
      <c r="DO199" s="205"/>
      <c r="DP199" s="205"/>
      <c r="DQ199" s="217"/>
      <c r="DR199" s="120"/>
      <c r="DS199" s="120"/>
      <c r="DT199" s="120"/>
      <c r="DU199" s="120"/>
      <c r="DV199" s="209"/>
      <c r="DW199" s="205"/>
      <c r="DX199" s="205"/>
      <c r="DY199" s="120"/>
      <c r="DZ199" s="120"/>
      <c r="EA199" s="120"/>
      <c r="EB199" s="120"/>
      <c r="EC199" s="120"/>
      <c r="ED199" s="209"/>
      <c r="EE199" s="205"/>
      <c r="EF199" s="205"/>
      <c r="EG199" s="120"/>
      <c r="EH199" s="120"/>
      <c r="EI199" s="120"/>
      <c r="EJ199" s="205"/>
      <c r="EK199" s="205"/>
      <c r="EL199" s="209"/>
      <c r="EM199" s="205"/>
      <c r="EN199" s="205"/>
      <c r="EO199" s="205"/>
      <c r="EP199" s="120"/>
      <c r="EQ199" s="250"/>
      <c r="ER199" s="120"/>
      <c r="ES199" s="120"/>
      <c r="ET199" s="120"/>
      <c r="EU199" s="209"/>
      <c r="EV199" s="205"/>
      <c r="EW199" s="205"/>
      <c r="EX199" s="120"/>
      <c r="EY199" s="120"/>
      <c r="EZ199" s="120"/>
      <c r="FA199" s="120"/>
      <c r="FB199" s="120"/>
      <c r="FC199" s="209"/>
      <c r="FD199" s="205"/>
      <c r="FE199" s="205"/>
      <c r="FF199" s="120"/>
      <c r="FG199" s="195"/>
      <c r="FH199" s="120"/>
      <c r="FI199" s="120"/>
      <c r="FJ199" s="120"/>
      <c r="FK199" s="209"/>
      <c r="FL199" s="205"/>
      <c r="FM199" s="205"/>
      <c r="FN199" s="120"/>
      <c r="FO199" s="120"/>
      <c r="FP199" s="120"/>
      <c r="FQ199" s="120"/>
      <c r="FR199" s="205"/>
      <c r="FS199" s="209"/>
      <c r="FT199" s="205"/>
      <c r="FU199" s="205"/>
      <c r="FV199" s="205"/>
      <c r="FW199" s="120"/>
      <c r="FX199" s="120"/>
      <c r="FY199" s="120"/>
      <c r="FZ199" s="120"/>
      <c r="GA199" s="120"/>
      <c r="GB199" s="209"/>
      <c r="GC199" s="205"/>
      <c r="GD199" s="205"/>
      <c r="GE199" s="120"/>
      <c r="GF199" s="120"/>
      <c r="GG199" s="120"/>
      <c r="GH199" s="120"/>
      <c r="GI199" s="120"/>
      <c r="GJ199" s="209"/>
      <c r="GK199" s="205"/>
      <c r="GL199" s="205"/>
      <c r="GM199" s="120"/>
      <c r="GN199" s="120"/>
      <c r="GO199" s="120"/>
      <c r="GP199" s="120"/>
      <c r="GQ199" s="120"/>
      <c r="GR199" s="209"/>
      <c r="GS199" s="205"/>
      <c r="GT199" s="205"/>
      <c r="GU199" s="120"/>
      <c r="GV199" s="120"/>
      <c r="GW199" s="120"/>
      <c r="GX199" s="120"/>
      <c r="GY199" s="120"/>
      <c r="GZ199" s="209"/>
      <c r="HA199" s="205"/>
      <c r="HB199" s="205"/>
      <c r="HC199" s="120"/>
      <c r="HD199" s="120"/>
      <c r="HE199" s="120"/>
      <c r="HF199" s="120"/>
      <c r="HG199" s="120"/>
      <c r="HH199" s="209"/>
      <c r="HI199" s="205"/>
      <c r="HJ199" s="205"/>
      <c r="HK199" s="205"/>
      <c r="HL199" s="124"/>
      <c r="HM199" s="120"/>
      <c r="HN199" s="120"/>
      <c r="HO199" s="123"/>
      <c r="HP199" s="120"/>
      <c r="HQ199" s="205"/>
      <c r="HR199" s="205"/>
      <c r="HS199" s="205"/>
      <c r="HT199" s="120"/>
      <c r="HU199" s="120"/>
      <c r="HV199" s="120"/>
      <c r="HW199" s="120"/>
      <c r="HX199" s="120"/>
      <c r="HY199" s="205"/>
      <c r="HZ199" s="205"/>
      <c r="IA199" s="205"/>
      <c r="IB199" s="120"/>
      <c r="IC199" s="120"/>
      <c r="ID199" s="120"/>
      <c r="IE199" s="120"/>
      <c r="IF199" s="120"/>
      <c r="IG199" s="205"/>
      <c r="IH199" s="205"/>
      <c r="II199" s="205"/>
      <c r="IJ199" s="120"/>
      <c r="IK199" s="120"/>
      <c r="IL199" s="201"/>
      <c r="IM199" s="120"/>
      <c r="IN199" s="120"/>
      <c r="IO199" s="205"/>
      <c r="IP199" s="205"/>
      <c r="IQ199" s="205"/>
      <c r="IR199" s="205"/>
      <c r="IS199" s="120"/>
      <c r="IT199" s="120"/>
      <c r="IU199" s="120"/>
      <c r="IV199" s="120"/>
      <c r="IW199" s="120"/>
      <c r="IX199" s="205"/>
      <c r="IY199" s="205"/>
      <c r="IZ199" s="205"/>
      <c r="JA199" s="120"/>
      <c r="JB199" s="120"/>
      <c r="JC199" s="120"/>
      <c r="JD199" s="120"/>
      <c r="JE199" s="120"/>
      <c r="JF199" s="205"/>
      <c r="JG199" s="205"/>
      <c r="JH199" s="205"/>
      <c r="JI199" s="120"/>
      <c r="JJ199" s="120"/>
      <c r="JK199" s="120"/>
      <c r="JL199" s="120"/>
      <c r="JM199" s="120"/>
      <c r="JN199" s="205"/>
      <c r="JO199" s="205"/>
      <c r="JP199" s="205"/>
      <c r="JQ199" s="120"/>
      <c r="JR199" s="120"/>
      <c r="JS199" s="120"/>
      <c r="JT199" s="120"/>
      <c r="JU199" s="120"/>
      <c r="JV199" s="205"/>
      <c r="JW199" s="205"/>
      <c r="JX199" s="205"/>
      <c r="JY199" s="205"/>
      <c r="JZ199" s="120"/>
      <c r="KA199" s="120"/>
      <c r="KB199" s="120"/>
      <c r="KC199" s="120"/>
      <c r="KD199" s="120"/>
      <c r="KE199" s="205"/>
      <c r="KF199" s="205"/>
      <c r="KG199" s="205"/>
      <c r="KH199" s="120"/>
      <c r="KI199" s="120"/>
      <c r="KJ199" s="120"/>
      <c r="KK199" s="206"/>
      <c r="KL199" s="120"/>
      <c r="KM199" s="205"/>
      <c r="KN199" s="205"/>
      <c r="KO199" s="205"/>
      <c r="KP199" s="120"/>
      <c r="KQ199" s="120"/>
      <c r="KR199" s="120"/>
      <c r="KS199" s="120"/>
      <c r="KT199" s="120"/>
      <c r="KU199" s="205"/>
      <c r="KV199" s="205"/>
      <c r="KW199" s="205"/>
      <c r="KX199" s="120"/>
      <c r="KY199" s="120"/>
      <c r="KZ199" s="120"/>
      <c r="LA199" s="120"/>
      <c r="LB199" s="120"/>
      <c r="LC199" s="205"/>
      <c r="LD199" s="205"/>
      <c r="LE199" s="205"/>
      <c r="LF199" s="205"/>
      <c r="LG199" s="120"/>
      <c r="LH199" s="120"/>
      <c r="LI199" s="120"/>
      <c r="LJ199" s="120"/>
      <c r="LK199" s="205"/>
      <c r="LL199" s="205"/>
      <c r="LM199" s="205"/>
      <c r="LN199" s="205"/>
      <c r="LO199" s="205"/>
      <c r="LP199" s="120"/>
      <c r="LQ199" s="120"/>
      <c r="LR199" s="120"/>
      <c r="LS199" s="205"/>
      <c r="LT199" s="205"/>
      <c r="LU199" s="205"/>
      <c r="LV199" s="205"/>
      <c r="LW199" s="120"/>
      <c r="LX199" s="120"/>
      <c r="LY199" s="124"/>
      <c r="LZ199" s="120"/>
      <c r="MA199" s="120"/>
      <c r="MB199" s="205"/>
      <c r="MC199" s="205"/>
      <c r="MD199" s="205"/>
      <c r="ME199" s="120"/>
      <c r="MF199" s="120"/>
      <c r="MG199" s="120"/>
      <c r="MH199" s="201"/>
      <c r="MI199" s="205"/>
      <c r="MJ199" s="205"/>
      <c r="MK199" s="205"/>
      <c r="ML199" s="205"/>
      <c r="MM199" s="120"/>
      <c r="MN199" s="120"/>
      <c r="MO199" s="120"/>
      <c r="MP199" s="120"/>
      <c r="MQ199" s="120"/>
      <c r="MR199" s="205"/>
      <c r="MS199" s="205"/>
      <c r="MT199" s="205"/>
      <c r="MU199" s="205"/>
      <c r="MV199" s="120"/>
      <c r="MW199" s="120"/>
      <c r="MX199" s="195"/>
      <c r="MY199" s="120"/>
      <c r="MZ199" s="120"/>
      <c r="NA199" s="205"/>
      <c r="NB199" s="205"/>
      <c r="NC199" s="205"/>
      <c r="ND199" s="120"/>
      <c r="NE199" s="120"/>
      <c r="NF199" s="120"/>
      <c r="NG199" s="120"/>
      <c r="NH199" s="120"/>
      <c r="NI199" s="205"/>
      <c r="NJ199" s="205"/>
      <c r="NK199" s="205"/>
      <c r="NL199" s="120"/>
      <c r="NM199" s="120"/>
      <c r="NN199" s="120"/>
      <c r="NO199" s="120"/>
      <c r="NP199" s="120"/>
      <c r="NQ199" s="205"/>
      <c r="NR199" s="205"/>
      <c r="NS199" s="205"/>
      <c r="NT199" s="217"/>
      <c r="NU199" s="120"/>
      <c r="NV199" s="120"/>
      <c r="NW199" s="120"/>
      <c r="NX199" s="120"/>
      <c r="NY199" s="205"/>
      <c r="NZ199" s="205"/>
      <c r="OA199" s="205">
        <f t="shared" si="2109"/>
        <v>0</v>
      </c>
      <c r="OB199" s="205">
        <f t="shared" si="2110"/>
        <v>0</v>
      </c>
      <c r="OC199" s="120"/>
      <c r="OD199" s="120"/>
      <c r="OE199" s="120"/>
      <c r="OF199" s="120"/>
      <c r="OG199" s="120"/>
      <c r="OH199" s="205"/>
      <c r="OI199" s="205"/>
      <c r="OJ199" s="205">
        <f t="shared" si="2111"/>
        <v>0</v>
      </c>
      <c r="OK199" s="120"/>
      <c r="OL199" s="120"/>
      <c r="OM199" s="120"/>
      <c r="ON199" s="120"/>
      <c r="OO199" s="120"/>
      <c r="OP199" s="205"/>
      <c r="OQ199" s="205"/>
      <c r="OR199" s="205">
        <f t="shared" si="2112"/>
        <v>0</v>
      </c>
      <c r="OS199" s="120"/>
      <c r="OT199" s="120"/>
      <c r="OU199" s="120"/>
      <c r="OV199" s="120"/>
      <c r="OW199" s="120"/>
      <c r="OX199" s="205"/>
      <c r="OY199" s="205"/>
      <c r="OZ199" s="205">
        <f t="shared" si="2113"/>
        <v>0</v>
      </c>
      <c r="PA199" s="120"/>
      <c r="PB199" s="120"/>
      <c r="PC199" s="120"/>
      <c r="PD199" s="205"/>
      <c r="PE199" s="217"/>
      <c r="PF199" s="205"/>
      <c r="PG199" s="205"/>
      <c r="PH199" s="205">
        <f t="shared" si="2114"/>
        <v>0</v>
      </c>
      <c r="PI199" s="120"/>
      <c r="PJ199" s="120"/>
      <c r="PK199" s="120"/>
      <c r="PL199" s="205"/>
      <c r="PM199" s="217"/>
      <c r="PN199" s="205"/>
      <c r="PO199" s="205"/>
      <c r="PP199" s="205">
        <f t="shared" si="2115"/>
        <v>0</v>
      </c>
      <c r="PQ199" s="205">
        <f t="shared" si="2116"/>
        <v>0</v>
      </c>
      <c r="PR199" s="120"/>
      <c r="PS199" s="207"/>
      <c r="PT199" s="207"/>
      <c r="PU199" s="207"/>
      <c r="PV199" s="207"/>
      <c r="PW199" s="272"/>
      <c r="PX199" s="272"/>
      <c r="PY199" s="205">
        <f t="shared" si="2117"/>
        <v>0</v>
      </c>
      <c r="PZ199" s="207"/>
      <c r="QA199" s="207"/>
      <c r="QB199" s="207"/>
      <c r="QC199" s="207"/>
      <c r="QD199" s="207"/>
      <c r="QE199" s="272"/>
      <c r="QF199" s="272"/>
      <c r="QG199" s="205">
        <f t="shared" si="2118"/>
        <v>0</v>
      </c>
      <c r="QH199" s="207"/>
      <c r="QI199" s="207"/>
      <c r="QJ199" s="294"/>
      <c r="QK199" s="207"/>
      <c r="QL199" s="207"/>
      <c r="QM199" s="272"/>
      <c r="QN199" s="272"/>
      <c r="QO199" s="205">
        <f t="shared" si="2119"/>
        <v>0</v>
      </c>
      <c r="QP199" s="207"/>
      <c r="QQ199" s="120"/>
      <c r="QR199" s="207"/>
      <c r="QS199" s="207"/>
      <c r="QT199" s="207"/>
      <c r="QU199" s="272"/>
      <c r="QV199" s="272"/>
      <c r="QW199" s="205">
        <f t="shared" si="2120"/>
        <v>0</v>
      </c>
      <c r="QX199" s="205">
        <f t="shared" si="2121"/>
        <v>0</v>
      </c>
      <c r="QY199" s="207"/>
      <c r="QZ199" s="120"/>
      <c r="RA199" s="120"/>
      <c r="RB199" s="120"/>
      <c r="RC199" s="120"/>
      <c r="RD199" s="272"/>
      <c r="RE199" s="272"/>
      <c r="RF199" s="205">
        <f t="shared" si="2122"/>
        <v>0</v>
      </c>
      <c r="RG199" s="207"/>
      <c r="RH199" s="207"/>
      <c r="RI199" s="207"/>
      <c r="RJ199" s="207"/>
      <c r="RK199" s="207"/>
      <c r="RL199" s="272"/>
      <c r="RM199" s="272"/>
      <c r="RN199" s="205">
        <f t="shared" si="2123"/>
        <v>0</v>
      </c>
      <c r="RO199" s="272"/>
      <c r="RP199" s="272"/>
      <c r="RQ199" s="272"/>
      <c r="RR199" s="272"/>
      <c r="RS199" s="272"/>
      <c r="RT199" s="272"/>
      <c r="RU199" s="272"/>
      <c r="RV199" s="205">
        <f t="shared" si="2124"/>
        <v>0</v>
      </c>
      <c r="RW199" s="207"/>
      <c r="RX199" s="207"/>
      <c r="RY199" s="207"/>
      <c r="RZ199" s="207"/>
      <c r="SA199" s="272"/>
      <c r="SB199" s="272"/>
      <c r="SC199" s="272"/>
      <c r="SD199" s="205">
        <f t="shared" si="2125"/>
        <v>0</v>
      </c>
      <c r="SE199" s="205">
        <f t="shared" si="2126"/>
        <v>0</v>
      </c>
      <c r="SF199" s="207"/>
      <c r="SG199" s="207"/>
      <c r="SH199" s="207"/>
      <c r="SI199" s="207"/>
      <c r="SJ199" s="207"/>
      <c r="SK199" s="272"/>
      <c r="SL199" s="272"/>
      <c r="SM199" s="205">
        <f t="shared" si="2127"/>
        <v>0</v>
      </c>
      <c r="SN199" s="123"/>
      <c r="SO199" s="207"/>
      <c r="SP199" s="120"/>
      <c r="SQ199" s="123"/>
      <c r="SR199" s="120"/>
      <c r="SS199" s="272"/>
      <c r="ST199" s="272"/>
      <c r="SU199" s="205">
        <f t="shared" si="2128"/>
        <v>0</v>
      </c>
      <c r="SV199" s="207"/>
      <c r="SW199" s="207"/>
      <c r="SX199" s="207"/>
      <c r="SY199" s="207"/>
      <c r="SZ199" s="207"/>
      <c r="TA199" s="272"/>
      <c r="TB199" s="272"/>
      <c r="TC199" s="205">
        <f t="shared" si="2129"/>
        <v>0</v>
      </c>
      <c r="TD199" s="207"/>
      <c r="TE199" s="120"/>
      <c r="TF199" s="120"/>
      <c r="TG199" s="207"/>
      <c r="TH199" s="207"/>
      <c r="TI199" s="272"/>
      <c r="TJ199" s="272"/>
      <c r="TK199" s="205">
        <f t="shared" si="2130"/>
        <v>0</v>
      </c>
      <c r="TL199" s="371"/>
      <c r="TM199" s="207"/>
      <c r="TN199" s="207"/>
      <c r="TO199" s="250"/>
      <c r="TP199" s="272"/>
      <c r="TQ199" s="272"/>
      <c r="TR199" s="272"/>
      <c r="TS199" s="205">
        <f t="shared" si="2131"/>
        <v>0</v>
      </c>
      <c r="TT199" s="205">
        <f t="shared" si="2132"/>
        <v>0</v>
      </c>
      <c r="TU199" s="272"/>
      <c r="TV199" s="207"/>
      <c r="TW199" s="207"/>
      <c r="TX199" s="207"/>
      <c r="TY199" s="356"/>
      <c r="TZ199" s="272"/>
      <c r="UA199" s="272"/>
      <c r="UB199" s="205">
        <f t="shared" si="2133"/>
        <v>0</v>
      </c>
      <c r="UC199" s="356"/>
      <c r="UD199" s="356"/>
      <c r="UE199" s="356"/>
      <c r="UF199" s="356"/>
      <c r="UG199" s="356"/>
      <c r="UH199" s="272"/>
      <c r="UI199" s="272"/>
      <c r="UJ199" s="205">
        <f t="shared" si="2134"/>
        <v>0</v>
      </c>
      <c r="UK199" s="207"/>
      <c r="UL199" s="356"/>
      <c r="UM199" s="207"/>
      <c r="UN199" s="207"/>
      <c r="UO199" s="207"/>
      <c r="UP199" s="272"/>
      <c r="UQ199" s="272"/>
      <c r="UR199" s="205">
        <f t="shared" si="2014"/>
        <v>0</v>
      </c>
      <c r="US199" s="207"/>
      <c r="UT199" s="207"/>
      <c r="UU199" s="207"/>
      <c r="UV199" s="207"/>
      <c r="UW199" s="272"/>
      <c r="UX199" s="272"/>
      <c r="UY199" s="272"/>
      <c r="UZ199" s="205"/>
      <c r="VA199" s="205"/>
      <c r="VB199" s="207"/>
      <c r="VC199" s="120"/>
      <c r="VD199" s="207"/>
      <c r="VE199" s="207"/>
      <c r="VF199" s="207"/>
      <c r="VG199" s="272"/>
      <c r="VH199" s="272"/>
      <c r="VI199" s="205">
        <f t="shared" si="2005"/>
        <v>0</v>
      </c>
      <c r="VJ199" s="207"/>
      <c r="VK199" s="207"/>
      <c r="VL199" s="207"/>
      <c r="VM199" s="120"/>
      <c r="VN199" s="207"/>
      <c r="VO199" s="272"/>
      <c r="VP199" s="272"/>
      <c r="VQ199" s="205">
        <f t="shared" si="2015"/>
        <v>0</v>
      </c>
      <c r="VR199" s="207"/>
      <c r="VS199" s="207"/>
      <c r="VT199" s="207"/>
      <c r="VU199" s="207"/>
      <c r="VV199" s="207"/>
      <c r="VW199" s="272"/>
      <c r="VX199" s="272"/>
      <c r="VY199" s="205">
        <f t="shared" si="2006"/>
        <v>0</v>
      </c>
      <c r="VZ199" s="207"/>
      <c r="WA199" s="207"/>
      <c r="WB199" s="207"/>
      <c r="WC199" s="207"/>
      <c r="WD199" s="207"/>
      <c r="WE199" s="272"/>
      <c r="WF199" s="272"/>
      <c r="WG199" s="205">
        <f t="shared" si="2007"/>
        <v>0</v>
      </c>
      <c r="WH199" s="205">
        <f t="shared" si="2008"/>
        <v>0</v>
      </c>
      <c r="WI199" s="207"/>
      <c r="WJ199" s="207"/>
      <c r="WK199" s="207"/>
      <c r="WL199" s="207"/>
      <c r="WM199" s="207"/>
      <c r="WN199" s="272"/>
      <c r="WO199" s="272"/>
      <c r="WP199" s="205">
        <f t="shared" si="2016"/>
        <v>0</v>
      </c>
      <c r="WQ199" s="207"/>
      <c r="WR199" s="207"/>
      <c r="WS199" s="207"/>
      <c r="WT199" s="207"/>
      <c r="WU199" s="207"/>
      <c r="WV199" s="272"/>
      <c r="WW199" s="272"/>
      <c r="WX199" s="205">
        <f t="shared" si="2017"/>
        <v>0</v>
      </c>
      <c r="WY199" s="207"/>
      <c r="WZ199" s="207"/>
      <c r="XA199" s="207"/>
      <c r="XB199" s="207"/>
      <c r="XC199" s="272"/>
      <c r="XD199" s="272"/>
      <c r="XE199" s="272"/>
      <c r="XF199" s="205">
        <f t="shared" si="2009"/>
        <v>0</v>
      </c>
      <c r="XG199" s="207"/>
      <c r="XH199" s="207"/>
      <c r="XI199" s="207"/>
      <c r="XJ199" s="207"/>
      <c r="XK199" s="207"/>
      <c r="XL199" s="272"/>
      <c r="XM199" s="272"/>
      <c r="XN199" s="205"/>
      <c r="XO199" s="207"/>
      <c r="XP199" s="207"/>
      <c r="XQ199" s="207"/>
      <c r="XR199" s="207"/>
      <c r="XS199" s="207"/>
      <c r="XT199" s="272"/>
      <c r="XU199" s="272"/>
      <c r="XV199" s="205"/>
      <c r="XW199" s="205"/>
      <c r="XX199" s="207"/>
      <c r="XY199" s="207"/>
      <c r="XZ199" s="207"/>
      <c r="YA199" s="207"/>
      <c r="YB199" s="207"/>
      <c r="YC199" s="272"/>
      <c r="YD199" s="272"/>
      <c r="YE199" s="205">
        <f t="shared" si="2018"/>
        <v>0</v>
      </c>
      <c r="YF199" s="207"/>
      <c r="YG199" s="207"/>
      <c r="YH199" s="207"/>
      <c r="YI199" s="207"/>
      <c r="YJ199" s="207"/>
      <c r="YK199" s="272"/>
      <c r="YL199" s="272"/>
      <c r="YM199" s="205">
        <f t="shared" si="2019"/>
        <v>0</v>
      </c>
      <c r="YN199" s="207"/>
      <c r="YO199" s="207"/>
      <c r="YP199" s="207"/>
      <c r="YQ199" s="207"/>
      <c r="YR199" s="207"/>
      <c r="YS199" s="272"/>
      <c r="YT199" s="272"/>
      <c r="YU199" s="205">
        <f t="shared" si="2020"/>
        <v>0</v>
      </c>
      <c r="YV199" s="207"/>
      <c r="YW199" s="207"/>
      <c r="YX199" s="207"/>
      <c r="YY199" s="207"/>
      <c r="YZ199" s="207"/>
      <c r="ZA199" s="272"/>
      <c r="ZB199" s="272"/>
      <c r="ZC199" s="205">
        <f t="shared" si="2021"/>
        <v>0</v>
      </c>
      <c r="ZD199" s="205">
        <f t="shared" si="2022"/>
        <v>0</v>
      </c>
      <c r="ZE199" s="207"/>
      <c r="ZF199" s="207"/>
      <c r="ZG199" s="207"/>
      <c r="ZH199" s="207"/>
      <c r="ZI199" s="207"/>
      <c r="ZJ199" s="272"/>
      <c r="ZK199" s="272"/>
      <c r="ZL199" s="205">
        <f t="shared" si="2023"/>
        <v>0</v>
      </c>
      <c r="ZM199" s="207"/>
      <c r="ZN199" s="207"/>
      <c r="ZO199" s="207"/>
      <c r="ZP199" s="207"/>
      <c r="ZQ199" s="207"/>
      <c r="ZR199" s="272"/>
      <c r="ZS199" s="272"/>
      <c r="ZT199" s="205">
        <f t="shared" si="2010"/>
        <v>0</v>
      </c>
      <c r="ZU199" s="207"/>
      <c r="ZV199" s="207"/>
      <c r="ZW199" s="207"/>
      <c r="ZX199" s="207"/>
      <c r="ZY199" s="207"/>
      <c r="ZZ199" s="272"/>
      <c r="AAA199" s="272"/>
      <c r="AAB199" s="205">
        <f t="shared" si="2024"/>
        <v>0</v>
      </c>
      <c r="AAC199" s="207"/>
      <c r="AAD199" s="207"/>
      <c r="AAE199" s="207"/>
      <c r="AAF199" s="207"/>
      <c r="AAG199" s="207"/>
      <c r="AAH199" s="272"/>
      <c r="AAI199" s="272"/>
      <c r="AAJ199" s="205">
        <f t="shared" si="2011"/>
        <v>0</v>
      </c>
      <c r="AAK199" s="207"/>
      <c r="AAL199" s="207"/>
      <c r="AAM199" s="207"/>
      <c r="AAN199" s="207"/>
      <c r="AAO199" s="207"/>
      <c r="AAP199" s="272"/>
      <c r="AAQ199" s="272"/>
      <c r="AAR199" s="205">
        <f t="shared" si="2025"/>
        <v>0</v>
      </c>
      <c r="AAS199" s="205">
        <f t="shared" si="2026"/>
        <v>0</v>
      </c>
    </row>
    <row r="200" spans="1:721" ht="80.099999999999994" customHeight="1">
      <c r="A200" s="117">
        <v>20</v>
      </c>
      <c r="B200" s="309" t="s">
        <v>913</v>
      </c>
      <c r="C200" s="362" t="s">
        <v>891</v>
      </c>
      <c r="D200" s="368" t="s">
        <v>855</v>
      </c>
      <c r="E200" s="130" t="s">
        <v>4</v>
      </c>
      <c r="F200" s="120"/>
      <c r="G200" s="120"/>
      <c r="H200" s="120"/>
      <c r="I200" s="120"/>
      <c r="J200" s="120"/>
      <c r="K200" s="209"/>
      <c r="L200" s="205"/>
      <c r="M200" s="205">
        <f t="shared" si="2108"/>
        <v>0</v>
      </c>
      <c r="N200" s="120"/>
      <c r="O200" s="120"/>
      <c r="P200" s="120"/>
      <c r="Q200" s="120"/>
      <c r="R200" s="120"/>
      <c r="S200" s="209"/>
      <c r="T200" s="205"/>
      <c r="U200" s="205"/>
      <c r="V200" s="120"/>
      <c r="W200" s="120"/>
      <c r="X200" s="120"/>
      <c r="Y200" s="120"/>
      <c r="Z200" s="120"/>
      <c r="AA200" s="209"/>
      <c r="AB200" s="205"/>
      <c r="AC200" s="205"/>
      <c r="AD200" s="205"/>
      <c r="AE200" s="205"/>
      <c r="AF200" s="205"/>
      <c r="AG200" s="205"/>
      <c r="AH200" s="205"/>
      <c r="AI200" s="209"/>
      <c r="AJ200" s="205"/>
      <c r="AK200" s="205"/>
      <c r="AL200" s="205"/>
      <c r="AM200" s="120"/>
      <c r="AN200" s="120"/>
      <c r="AO200" s="120"/>
      <c r="AP200" s="120"/>
      <c r="AQ200" s="120"/>
      <c r="AR200" s="209"/>
      <c r="AS200" s="205"/>
      <c r="AT200" s="205"/>
      <c r="AU200" s="120"/>
      <c r="AV200" s="120"/>
      <c r="AW200" s="120"/>
      <c r="AX200" s="120"/>
      <c r="AY200" s="120"/>
      <c r="AZ200" s="209"/>
      <c r="BA200" s="205"/>
      <c r="BB200" s="205"/>
      <c r="BC200" s="120"/>
      <c r="BD200" s="120"/>
      <c r="BE200" s="120"/>
      <c r="BF200" s="120"/>
      <c r="BG200" s="120"/>
      <c r="BH200" s="209"/>
      <c r="BI200" s="205"/>
      <c r="BJ200" s="205"/>
      <c r="BK200" s="120"/>
      <c r="BL200" s="120"/>
      <c r="BM200" s="217"/>
      <c r="BN200" s="120"/>
      <c r="BO200" s="205"/>
      <c r="BP200" s="209"/>
      <c r="BQ200" s="205"/>
      <c r="BR200" s="205"/>
      <c r="BS200" s="205"/>
      <c r="BT200" s="120"/>
      <c r="BU200" s="250"/>
      <c r="BV200" s="120"/>
      <c r="BW200" s="120"/>
      <c r="BX200" s="120"/>
      <c r="BY200" s="209"/>
      <c r="BZ200" s="205"/>
      <c r="CA200" s="205"/>
      <c r="CB200" s="120"/>
      <c r="CC200" s="120"/>
      <c r="CD200" s="120"/>
      <c r="CE200" s="120"/>
      <c r="CF200" s="120"/>
      <c r="CG200" s="209"/>
      <c r="CH200" s="205"/>
      <c r="CI200" s="205"/>
      <c r="CJ200" s="120"/>
      <c r="CK200" s="120"/>
      <c r="CL200" s="250"/>
      <c r="CM200" s="120"/>
      <c r="CN200" s="120"/>
      <c r="CO200" s="209"/>
      <c r="CP200" s="205"/>
      <c r="CQ200" s="205"/>
      <c r="CR200" s="120"/>
      <c r="CS200" s="120"/>
      <c r="CT200" s="120"/>
      <c r="CU200" s="120"/>
      <c r="CV200" s="120"/>
      <c r="CW200" s="209"/>
      <c r="CX200" s="205"/>
      <c r="CY200" s="205"/>
      <c r="CZ200" s="120"/>
      <c r="DA200" s="120"/>
      <c r="DB200" s="120"/>
      <c r="DC200" s="205"/>
      <c r="DD200" s="205"/>
      <c r="DE200" s="209"/>
      <c r="DF200" s="205"/>
      <c r="DG200" s="205"/>
      <c r="DH200" s="205"/>
      <c r="DI200" s="120"/>
      <c r="DJ200" s="120"/>
      <c r="DK200" s="120"/>
      <c r="DL200" s="120"/>
      <c r="DM200" s="120"/>
      <c r="DN200" s="209"/>
      <c r="DO200" s="205"/>
      <c r="DP200" s="205"/>
      <c r="DQ200" s="217"/>
      <c r="DR200" s="120"/>
      <c r="DS200" s="120"/>
      <c r="DT200" s="120"/>
      <c r="DU200" s="120"/>
      <c r="DV200" s="209"/>
      <c r="DW200" s="205"/>
      <c r="DX200" s="205"/>
      <c r="DY200" s="120"/>
      <c r="DZ200" s="120"/>
      <c r="EA200" s="120"/>
      <c r="EB200" s="120"/>
      <c r="EC200" s="120"/>
      <c r="ED200" s="209"/>
      <c r="EE200" s="205"/>
      <c r="EF200" s="205"/>
      <c r="EG200" s="120"/>
      <c r="EH200" s="120"/>
      <c r="EI200" s="120"/>
      <c r="EJ200" s="205"/>
      <c r="EK200" s="205"/>
      <c r="EL200" s="209"/>
      <c r="EM200" s="205"/>
      <c r="EN200" s="205"/>
      <c r="EO200" s="205"/>
      <c r="EP200" s="120"/>
      <c r="EQ200" s="250"/>
      <c r="ER200" s="120"/>
      <c r="ES200" s="120"/>
      <c r="ET200" s="120"/>
      <c r="EU200" s="209"/>
      <c r="EV200" s="205"/>
      <c r="EW200" s="205"/>
      <c r="EX200" s="120"/>
      <c r="EY200" s="120"/>
      <c r="EZ200" s="120"/>
      <c r="FA200" s="120"/>
      <c r="FB200" s="120"/>
      <c r="FC200" s="209"/>
      <c r="FD200" s="205"/>
      <c r="FE200" s="205"/>
      <c r="FF200" s="120"/>
      <c r="FG200" s="195"/>
      <c r="FH200" s="120"/>
      <c r="FI200" s="120"/>
      <c r="FJ200" s="120"/>
      <c r="FK200" s="209"/>
      <c r="FL200" s="205"/>
      <c r="FM200" s="205"/>
      <c r="FN200" s="120"/>
      <c r="FO200" s="120"/>
      <c r="FP200" s="120"/>
      <c r="FQ200" s="120"/>
      <c r="FR200" s="205"/>
      <c r="FS200" s="209"/>
      <c r="FT200" s="205"/>
      <c r="FU200" s="205"/>
      <c r="FV200" s="205"/>
      <c r="FW200" s="120"/>
      <c r="FX200" s="120"/>
      <c r="FY200" s="120"/>
      <c r="FZ200" s="120"/>
      <c r="GA200" s="120"/>
      <c r="GB200" s="209"/>
      <c r="GC200" s="205"/>
      <c r="GD200" s="205"/>
      <c r="GE200" s="120"/>
      <c r="GF200" s="120"/>
      <c r="GG200" s="120"/>
      <c r="GH200" s="120"/>
      <c r="GI200" s="120"/>
      <c r="GJ200" s="209"/>
      <c r="GK200" s="205"/>
      <c r="GL200" s="205"/>
      <c r="GM200" s="120"/>
      <c r="GN200" s="120"/>
      <c r="GO200" s="120"/>
      <c r="GP200" s="120"/>
      <c r="GQ200" s="120"/>
      <c r="GR200" s="209"/>
      <c r="GS200" s="205"/>
      <c r="GT200" s="205"/>
      <c r="GU200" s="120"/>
      <c r="GV200" s="120"/>
      <c r="GW200" s="120"/>
      <c r="GX200" s="120"/>
      <c r="GY200" s="120"/>
      <c r="GZ200" s="209"/>
      <c r="HA200" s="205"/>
      <c r="HB200" s="205"/>
      <c r="HC200" s="120"/>
      <c r="HD200" s="120"/>
      <c r="HE200" s="120"/>
      <c r="HF200" s="120"/>
      <c r="HG200" s="120"/>
      <c r="HH200" s="209"/>
      <c r="HI200" s="205"/>
      <c r="HJ200" s="205"/>
      <c r="HK200" s="205"/>
      <c r="HL200" s="124"/>
      <c r="HM200" s="120"/>
      <c r="HN200" s="120"/>
      <c r="HO200" s="123"/>
      <c r="HP200" s="120"/>
      <c r="HQ200" s="205"/>
      <c r="HR200" s="205"/>
      <c r="HS200" s="205"/>
      <c r="HT200" s="120"/>
      <c r="HU200" s="120"/>
      <c r="HV200" s="120"/>
      <c r="HW200" s="120"/>
      <c r="HX200" s="120"/>
      <c r="HY200" s="205"/>
      <c r="HZ200" s="205"/>
      <c r="IA200" s="205"/>
      <c r="IB200" s="120"/>
      <c r="IC200" s="120"/>
      <c r="ID200" s="120"/>
      <c r="IE200" s="120"/>
      <c r="IF200" s="120"/>
      <c r="IG200" s="205"/>
      <c r="IH200" s="205"/>
      <c r="II200" s="205"/>
      <c r="IJ200" s="120"/>
      <c r="IK200" s="120"/>
      <c r="IL200" s="201"/>
      <c r="IM200" s="120"/>
      <c r="IN200" s="120"/>
      <c r="IO200" s="205"/>
      <c r="IP200" s="205"/>
      <c r="IQ200" s="205"/>
      <c r="IR200" s="205"/>
      <c r="IS200" s="120"/>
      <c r="IT200" s="120"/>
      <c r="IU200" s="120"/>
      <c r="IV200" s="120"/>
      <c r="IW200" s="120"/>
      <c r="IX200" s="205"/>
      <c r="IY200" s="205"/>
      <c r="IZ200" s="205"/>
      <c r="JA200" s="120"/>
      <c r="JB200" s="120"/>
      <c r="JC200" s="120"/>
      <c r="JD200" s="120"/>
      <c r="JE200" s="120"/>
      <c r="JF200" s="205"/>
      <c r="JG200" s="205"/>
      <c r="JH200" s="205"/>
      <c r="JI200" s="120"/>
      <c r="JJ200" s="120"/>
      <c r="JK200" s="120"/>
      <c r="JL200" s="120"/>
      <c r="JM200" s="120"/>
      <c r="JN200" s="205"/>
      <c r="JO200" s="205"/>
      <c r="JP200" s="205"/>
      <c r="JQ200" s="120"/>
      <c r="JR200" s="120"/>
      <c r="JS200" s="120"/>
      <c r="JT200" s="120"/>
      <c r="JU200" s="120"/>
      <c r="JV200" s="205"/>
      <c r="JW200" s="205"/>
      <c r="JX200" s="205"/>
      <c r="JY200" s="205"/>
      <c r="JZ200" s="120"/>
      <c r="KA200" s="120"/>
      <c r="KB200" s="120"/>
      <c r="KC200" s="120"/>
      <c r="KD200" s="120"/>
      <c r="KE200" s="205"/>
      <c r="KF200" s="205"/>
      <c r="KG200" s="205"/>
      <c r="KH200" s="120"/>
      <c r="KI200" s="120"/>
      <c r="KJ200" s="120"/>
      <c r="KK200" s="206"/>
      <c r="KL200" s="120"/>
      <c r="KM200" s="205"/>
      <c r="KN200" s="205"/>
      <c r="KO200" s="205"/>
      <c r="KP200" s="120"/>
      <c r="KQ200" s="120"/>
      <c r="KR200" s="120"/>
      <c r="KS200" s="120"/>
      <c r="KT200" s="120"/>
      <c r="KU200" s="205"/>
      <c r="KV200" s="205"/>
      <c r="KW200" s="205"/>
      <c r="KX200" s="120"/>
      <c r="KY200" s="120"/>
      <c r="KZ200" s="120"/>
      <c r="LA200" s="120"/>
      <c r="LB200" s="120"/>
      <c r="LC200" s="205"/>
      <c r="LD200" s="205"/>
      <c r="LE200" s="205"/>
      <c r="LF200" s="205"/>
      <c r="LG200" s="120"/>
      <c r="LH200" s="120"/>
      <c r="LI200" s="120"/>
      <c r="LJ200" s="120"/>
      <c r="LK200" s="205"/>
      <c r="LL200" s="205"/>
      <c r="LM200" s="205"/>
      <c r="LN200" s="205"/>
      <c r="LO200" s="205"/>
      <c r="LP200" s="120"/>
      <c r="LQ200" s="120"/>
      <c r="LR200" s="120"/>
      <c r="LS200" s="205"/>
      <c r="LT200" s="205"/>
      <c r="LU200" s="205"/>
      <c r="LV200" s="205"/>
      <c r="LW200" s="120"/>
      <c r="LX200" s="120"/>
      <c r="LY200" s="124"/>
      <c r="LZ200" s="120"/>
      <c r="MA200" s="120"/>
      <c r="MB200" s="205"/>
      <c r="MC200" s="205"/>
      <c r="MD200" s="205"/>
      <c r="ME200" s="120"/>
      <c r="MF200" s="120"/>
      <c r="MG200" s="120"/>
      <c r="MH200" s="201"/>
      <c r="MI200" s="205"/>
      <c r="MJ200" s="205"/>
      <c r="MK200" s="205"/>
      <c r="ML200" s="205"/>
      <c r="MM200" s="120"/>
      <c r="MN200" s="120"/>
      <c r="MO200" s="120"/>
      <c r="MP200" s="120"/>
      <c r="MQ200" s="120"/>
      <c r="MR200" s="205"/>
      <c r="MS200" s="205"/>
      <c r="MT200" s="205"/>
      <c r="MU200" s="205"/>
      <c r="MV200" s="120"/>
      <c r="MW200" s="120"/>
      <c r="MX200" s="195"/>
      <c r="MY200" s="120"/>
      <c r="MZ200" s="120"/>
      <c r="NA200" s="205"/>
      <c r="NB200" s="205"/>
      <c r="NC200" s="205"/>
      <c r="ND200" s="120"/>
      <c r="NE200" s="120"/>
      <c r="NF200" s="120"/>
      <c r="NG200" s="120"/>
      <c r="NH200" s="120"/>
      <c r="NI200" s="205"/>
      <c r="NJ200" s="205"/>
      <c r="NK200" s="205"/>
      <c r="NL200" s="120"/>
      <c r="NM200" s="120"/>
      <c r="NN200" s="120"/>
      <c r="NO200" s="120"/>
      <c r="NP200" s="120"/>
      <c r="NQ200" s="205"/>
      <c r="NR200" s="205"/>
      <c r="NS200" s="205"/>
      <c r="NT200" s="217"/>
      <c r="NU200" s="120"/>
      <c r="NV200" s="120"/>
      <c r="NW200" s="120"/>
      <c r="NX200" s="120"/>
      <c r="NY200" s="205"/>
      <c r="NZ200" s="205"/>
      <c r="OA200" s="205">
        <f t="shared" si="2109"/>
        <v>0</v>
      </c>
      <c r="OB200" s="205">
        <f t="shared" si="2110"/>
        <v>0</v>
      </c>
      <c r="OC200" s="120"/>
      <c r="OD200" s="120"/>
      <c r="OE200" s="120"/>
      <c r="OF200" s="120"/>
      <c r="OG200" s="120"/>
      <c r="OH200" s="205"/>
      <c r="OI200" s="205"/>
      <c r="OJ200" s="205">
        <f t="shared" si="2111"/>
        <v>0</v>
      </c>
      <c r="OK200" s="120"/>
      <c r="OL200" s="120"/>
      <c r="OM200" s="120"/>
      <c r="ON200" s="120"/>
      <c r="OO200" s="120"/>
      <c r="OP200" s="205"/>
      <c r="OQ200" s="205"/>
      <c r="OR200" s="205">
        <f t="shared" si="2112"/>
        <v>0</v>
      </c>
      <c r="OS200" s="120"/>
      <c r="OT200" s="120"/>
      <c r="OU200" s="120"/>
      <c r="OV200" s="120"/>
      <c r="OW200" s="120"/>
      <c r="OX200" s="205"/>
      <c r="OY200" s="205"/>
      <c r="OZ200" s="205">
        <f t="shared" si="2113"/>
        <v>0</v>
      </c>
      <c r="PA200" s="120"/>
      <c r="PB200" s="120"/>
      <c r="PC200" s="120"/>
      <c r="PD200" s="205"/>
      <c r="PE200" s="217"/>
      <c r="PF200" s="205"/>
      <c r="PG200" s="205"/>
      <c r="PH200" s="205">
        <f t="shared" si="2114"/>
        <v>0</v>
      </c>
      <c r="PI200" s="120"/>
      <c r="PJ200" s="120"/>
      <c r="PK200" s="120"/>
      <c r="PL200" s="205"/>
      <c r="PM200" s="217"/>
      <c r="PN200" s="205"/>
      <c r="PO200" s="205"/>
      <c r="PP200" s="205">
        <f t="shared" si="2115"/>
        <v>0</v>
      </c>
      <c r="PQ200" s="205">
        <f t="shared" si="2116"/>
        <v>0</v>
      </c>
      <c r="PR200" s="120"/>
      <c r="PS200" s="207"/>
      <c r="PT200" s="207"/>
      <c r="PU200" s="207"/>
      <c r="PV200" s="207"/>
      <c r="PW200" s="272"/>
      <c r="PX200" s="272"/>
      <c r="PY200" s="205">
        <f t="shared" si="2117"/>
        <v>0</v>
      </c>
      <c r="PZ200" s="207"/>
      <c r="QA200" s="207"/>
      <c r="QB200" s="207"/>
      <c r="QC200" s="207"/>
      <c r="QD200" s="207"/>
      <c r="QE200" s="272"/>
      <c r="QF200" s="272"/>
      <c r="QG200" s="205">
        <f t="shared" si="2118"/>
        <v>0</v>
      </c>
      <c r="QH200" s="207"/>
      <c r="QI200" s="207"/>
      <c r="QJ200" s="294"/>
      <c r="QK200" s="207"/>
      <c r="QL200" s="207"/>
      <c r="QM200" s="272"/>
      <c r="QN200" s="272"/>
      <c r="QO200" s="205">
        <f t="shared" si="2119"/>
        <v>0</v>
      </c>
      <c r="QP200" s="207"/>
      <c r="QQ200" s="120"/>
      <c r="QR200" s="207"/>
      <c r="QS200" s="207"/>
      <c r="QT200" s="207"/>
      <c r="QU200" s="272"/>
      <c r="QV200" s="272"/>
      <c r="QW200" s="205">
        <f t="shared" si="2120"/>
        <v>0</v>
      </c>
      <c r="QX200" s="205">
        <f t="shared" si="2121"/>
        <v>0</v>
      </c>
      <c r="QY200" s="207"/>
      <c r="QZ200" s="120"/>
      <c r="RA200" s="120"/>
      <c r="RB200" s="120"/>
      <c r="RC200" s="120"/>
      <c r="RD200" s="272"/>
      <c r="RE200" s="272"/>
      <c r="RF200" s="205">
        <f t="shared" si="2122"/>
        <v>0</v>
      </c>
      <c r="RG200" s="207"/>
      <c r="RH200" s="207"/>
      <c r="RI200" s="207"/>
      <c r="RJ200" s="207"/>
      <c r="RK200" s="207"/>
      <c r="RL200" s="272"/>
      <c r="RM200" s="272"/>
      <c r="RN200" s="205">
        <f t="shared" si="2123"/>
        <v>0</v>
      </c>
      <c r="RO200" s="272"/>
      <c r="RP200" s="272"/>
      <c r="RQ200" s="272"/>
      <c r="RR200" s="272"/>
      <c r="RS200" s="272"/>
      <c r="RT200" s="272"/>
      <c r="RU200" s="272"/>
      <c r="RV200" s="205">
        <f t="shared" si="2124"/>
        <v>0</v>
      </c>
      <c r="RW200" s="207"/>
      <c r="RX200" s="207"/>
      <c r="RY200" s="207"/>
      <c r="RZ200" s="207"/>
      <c r="SA200" s="272"/>
      <c r="SB200" s="272"/>
      <c r="SC200" s="272"/>
      <c r="SD200" s="205">
        <f t="shared" si="2125"/>
        <v>0</v>
      </c>
      <c r="SE200" s="205">
        <f t="shared" si="2126"/>
        <v>0</v>
      </c>
      <c r="SF200" s="207"/>
      <c r="SG200" s="207"/>
      <c r="SH200" s="207"/>
      <c r="SI200" s="207"/>
      <c r="SJ200" s="207"/>
      <c r="SK200" s="272"/>
      <c r="SL200" s="272"/>
      <c r="SM200" s="205">
        <f t="shared" si="2127"/>
        <v>0</v>
      </c>
      <c r="SN200" s="207"/>
      <c r="SO200" s="207"/>
      <c r="SP200" s="120"/>
      <c r="SQ200" s="207"/>
      <c r="SR200" s="120"/>
      <c r="SS200" s="272"/>
      <c r="ST200" s="272"/>
      <c r="SU200" s="205">
        <f t="shared" si="2128"/>
        <v>0</v>
      </c>
      <c r="SV200" s="207"/>
      <c r="SW200" s="207"/>
      <c r="SX200" s="207"/>
      <c r="SY200" s="207"/>
      <c r="SZ200" s="207"/>
      <c r="TA200" s="272"/>
      <c r="TB200" s="272"/>
      <c r="TC200" s="205">
        <f t="shared" si="2129"/>
        <v>0</v>
      </c>
      <c r="TD200" s="207"/>
      <c r="TE200" s="207"/>
      <c r="TF200" s="207"/>
      <c r="TG200" s="207"/>
      <c r="TH200" s="207"/>
      <c r="TI200" s="272"/>
      <c r="TJ200" s="272"/>
      <c r="TK200" s="205">
        <f t="shared" si="2130"/>
        <v>0</v>
      </c>
      <c r="TL200" s="207"/>
      <c r="TM200" s="207"/>
      <c r="TN200" s="207"/>
      <c r="TO200" s="207"/>
      <c r="TP200" s="272"/>
      <c r="TQ200" s="272"/>
      <c r="TR200" s="272"/>
      <c r="TS200" s="205">
        <f t="shared" ref="TS200:TS221" si="2135">SUM(TL200:TR200)</f>
        <v>0</v>
      </c>
      <c r="TT200" s="205">
        <f t="shared" ref="TT200:TT221" si="2136">SUM(TL200:TM200,TK200,TC200,SU200,SM200,SC200)</f>
        <v>0</v>
      </c>
      <c r="TU200" s="272"/>
      <c r="TV200" s="207"/>
      <c r="TW200" s="207"/>
      <c r="TX200" s="207"/>
      <c r="TY200" s="356"/>
      <c r="TZ200" s="272"/>
      <c r="UA200" s="272"/>
      <c r="UB200" s="205">
        <f t="shared" si="2133"/>
        <v>0</v>
      </c>
      <c r="UC200" s="356"/>
      <c r="UD200" s="356"/>
      <c r="UE200" s="356"/>
      <c r="UF200" s="356"/>
      <c r="UG200" s="356"/>
      <c r="UH200" s="272"/>
      <c r="UI200" s="272"/>
      <c r="UJ200" s="205">
        <f t="shared" si="2134"/>
        <v>0</v>
      </c>
      <c r="UK200" s="207"/>
      <c r="UL200" s="124">
        <v>140</v>
      </c>
      <c r="UM200" s="207"/>
      <c r="UN200" s="207"/>
      <c r="UO200" s="207"/>
      <c r="UP200" s="272"/>
      <c r="UQ200" s="272"/>
      <c r="UR200" s="205">
        <f t="shared" si="2014"/>
        <v>140</v>
      </c>
      <c r="US200" s="207"/>
      <c r="UT200" s="207"/>
      <c r="UU200" s="207"/>
      <c r="UV200" s="207"/>
      <c r="UW200" s="272"/>
      <c r="UX200" s="272"/>
      <c r="UY200" s="272"/>
      <c r="UZ200" s="205">
        <f>SUM(UN200:UY200)</f>
        <v>140</v>
      </c>
      <c r="VA200" s="205">
        <f>SUM(TN200:TR200,UB200,UJ200,UR200,UN200:UV200)</f>
        <v>280</v>
      </c>
      <c r="VB200" s="207"/>
      <c r="VC200" s="120"/>
      <c r="VD200" s="217">
        <v>2000</v>
      </c>
      <c r="VE200" s="207"/>
      <c r="VF200" s="207"/>
      <c r="VG200" s="272"/>
      <c r="VH200" s="272"/>
      <c r="VI200" s="205">
        <f t="shared" si="2005"/>
        <v>2000</v>
      </c>
      <c r="VJ200" s="207"/>
      <c r="VK200" s="207"/>
      <c r="VL200" s="207"/>
      <c r="VM200" s="120"/>
      <c r="VN200" s="207"/>
      <c r="VO200" s="272"/>
      <c r="VP200" s="272"/>
      <c r="VQ200" s="205">
        <f t="shared" si="2015"/>
        <v>0</v>
      </c>
      <c r="VR200" s="207"/>
      <c r="VS200" s="207"/>
      <c r="VT200" s="207"/>
      <c r="VU200" s="207"/>
      <c r="VV200" s="207"/>
      <c r="VW200" s="272"/>
      <c r="VX200" s="272"/>
      <c r="VY200" s="205">
        <f t="shared" si="2006"/>
        <v>0</v>
      </c>
      <c r="VZ200" s="207"/>
      <c r="WA200" s="392">
        <v>140</v>
      </c>
      <c r="WB200" s="207"/>
      <c r="WC200" s="207"/>
      <c r="WD200" s="207"/>
      <c r="WE200" s="272"/>
      <c r="WF200" s="272"/>
      <c r="WG200" s="205">
        <f t="shared" si="2007"/>
        <v>140</v>
      </c>
      <c r="WH200" s="205">
        <f t="shared" si="2008"/>
        <v>2140</v>
      </c>
      <c r="WI200" s="207"/>
      <c r="WJ200" s="207"/>
      <c r="WK200" s="207"/>
      <c r="WL200" s="207"/>
      <c r="WM200" s="207"/>
      <c r="WN200" s="272"/>
      <c r="WO200" s="272"/>
      <c r="WP200" s="205">
        <f t="shared" si="2016"/>
        <v>0</v>
      </c>
      <c r="WQ200" s="124">
        <v>5000</v>
      </c>
      <c r="WR200" s="124"/>
      <c r="WS200" s="207"/>
      <c r="WT200" s="207"/>
      <c r="WU200" s="207"/>
      <c r="WV200" s="272"/>
      <c r="WW200" s="272"/>
      <c r="WX200" s="205">
        <f t="shared" si="2017"/>
        <v>5000</v>
      </c>
      <c r="WY200" s="207"/>
      <c r="WZ200" s="207"/>
      <c r="XA200" s="207"/>
      <c r="XB200" s="207"/>
      <c r="XC200" s="272"/>
      <c r="XD200" s="272"/>
      <c r="XE200" s="272"/>
      <c r="XF200" s="205">
        <f t="shared" si="2009"/>
        <v>0</v>
      </c>
      <c r="XG200" s="207"/>
      <c r="XH200" s="207"/>
      <c r="XI200" s="207"/>
      <c r="XJ200" s="207"/>
      <c r="XK200" s="207"/>
      <c r="XL200" s="272"/>
      <c r="XM200" s="272"/>
      <c r="XN200" s="205">
        <f t="shared" si="2105"/>
        <v>0</v>
      </c>
      <c r="XO200" s="207"/>
      <c r="XP200" s="207"/>
      <c r="XQ200" s="207"/>
      <c r="XR200" s="207"/>
      <c r="XS200" s="207"/>
      <c r="XT200" s="272"/>
      <c r="XU200" s="272"/>
      <c r="XV200" s="205">
        <f t="shared" ref="XV200:XV223" si="2137">SUM(XO200:XU200)</f>
        <v>0</v>
      </c>
      <c r="XW200" s="205">
        <f t="shared" ref="XW200:XW223" si="2138">SUM(XO200:XP200,XN200,XF200,WX200,WP200)</f>
        <v>5000</v>
      </c>
      <c r="XX200" s="207"/>
      <c r="XY200" s="207"/>
      <c r="XZ200" s="207"/>
      <c r="YA200" s="207"/>
      <c r="YB200" s="207"/>
      <c r="YC200" s="272"/>
      <c r="YD200" s="272"/>
      <c r="YE200" s="205">
        <f t="shared" si="2018"/>
        <v>0</v>
      </c>
      <c r="YF200" s="207"/>
      <c r="YG200" s="207"/>
      <c r="YH200" s="207"/>
      <c r="YI200" s="207"/>
      <c r="YJ200" s="207"/>
      <c r="YK200" s="272"/>
      <c r="YL200" s="272"/>
      <c r="YM200" s="205">
        <f t="shared" si="2019"/>
        <v>0</v>
      </c>
      <c r="YN200" s="207"/>
      <c r="YO200" s="207"/>
      <c r="YP200" s="207"/>
      <c r="YQ200" s="207"/>
      <c r="YR200" s="207"/>
      <c r="YS200" s="272"/>
      <c r="YT200" s="272"/>
      <c r="YU200" s="205">
        <f t="shared" si="2020"/>
        <v>0</v>
      </c>
      <c r="YV200" s="207"/>
      <c r="YW200" s="207"/>
      <c r="YX200" s="207"/>
      <c r="YY200" s="207"/>
      <c r="YZ200" s="207"/>
      <c r="ZA200" s="272"/>
      <c r="ZB200" s="272"/>
      <c r="ZC200" s="205">
        <f t="shared" si="2021"/>
        <v>0</v>
      </c>
      <c r="ZD200" s="205">
        <f t="shared" si="2022"/>
        <v>5000</v>
      </c>
      <c r="ZE200" s="207"/>
      <c r="ZF200" s="207"/>
      <c r="ZG200" s="207"/>
      <c r="ZH200" s="207"/>
      <c r="ZI200" s="207"/>
      <c r="ZJ200" s="272"/>
      <c r="ZK200" s="272"/>
      <c r="ZL200" s="205">
        <f t="shared" si="2023"/>
        <v>0</v>
      </c>
      <c r="ZM200" s="207"/>
      <c r="ZN200" s="207"/>
      <c r="ZO200" s="207"/>
      <c r="ZP200" s="207"/>
      <c r="ZQ200" s="207"/>
      <c r="ZR200" s="272"/>
      <c r="ZS200" s="272"/>
      <c r="ZT200" s="205">
        <f t="shared" si="2010"/>
        <v>0</v>
      </c>
      <c r="ZU200" s="207"/>
      <c r="ZV200" s="207"/>
      <c r="ZW200" s="207"/>
      <c r="ZX200" s="207"/>
      <c r="ZY200" s="207"/>
      <c r="ZZ200" s="272"/>
      <c r="AAA200" s="272"/>
      <c r="AAB200" s="205">
        <f t="shared" si="2024"/>
        <v>0</v>
      </c>
      <c r="AAC200" s="207"/>
      <c r="AAD200" s="207"/>
      <c r="AAE200" s="207"/>
      <c r="AAF200" s="207"/>
      <c r="AAG200" s="207"/>
      <c r="AAH200" s="272"/>
      <c r="AAI200" s="272"/>
      <c r="AAJ200" s="205">
        <f t="shared" si="2011"/>
        <v>0</v>
      </c>
      <c r="AAK200" s="207"/>
      <c r="AAL200" s="207"/>
      <c r="AAM200" s="207"/>
      <c r="AAN200" s="207"/>
      <c r="AAO200" s="207"/>
      <c r="AAP200" s="272"/>
      <c r="AAQ200" s="272"/>
      <c r="AAR200" s="205">
        <f t="shared" si="2025"/>
        <v>0</v>
      </c>
      <c r="AAS200" s="205">
        <f t="shared" si="2026"/>
        <v>0</v>
      </c>
    </row>
    <row r="201" spans="1:721" ht="80.099999999999994" hidden="1" customHeight="1">
      <c r="B201" s="309" t="s">
        <v>926</v>
      </c>
      <c r="C201" s="362"/>
      <c r="D201" s="368" t="s">
        <v>927</v>
      </c>
      <c r="E201" s="130"/>
      <c r="F201" s="120"/>
      <c r="G201" s="120"/>
      <c r="H201" s="120"/>
      <c r="I201" s="120"/>
      <c r="J201" s="120"/>
      <c r="K201" s="209"/>
      <c r="L201" s="205"/>
      <c r="M201" s="205">
        <f t="shared" si="2108"/>
        <v>0</v>
      </c>
      <c r="N201" s="120"/>
      <c r="O201" s="120"/>
      <c r="P201" s="120"/>
      <c r="Q201" s="120"/>
      <c r="R201" s="120"/>
      <c r="S201" s="209"/>
      <c r="T201" s="205"/>
      <c r="U201" s="205"/>
      <c r="V201" s="120"/>
      <c r="W201" s="120"/>
      <c r="X201" s="120"/>
      <c r="Y201" s="120"/>
      <c r="Z201" s="120"/>
      <c r="AA201" s="209"/>
      <c r="AB201" s="205"/>
      <c r="AC201" s="205"/>
      <c r="AD201" s="205"/>
      <c r="AE201" s="205"/>
      <c r="AF201" s="205"/>
      <c r="AG201" s="205"/>
      <c r="AH201" s="205"/>
      <c r="AI201" s="209"/>
      <c r="AJ201" s="205"/>
      <c r="AK201" s="205"/>
      <c r="AL201" s="205"/>
      <c r="AM201" s="120"/>
      <c r="AN201" s="120"/>
      <c r="AO201" s="120"/>
      <c r="AP201" s="120"/>
      <c r="AQ201" s="120"/>
      <c r="AR201" s="209"/>
      <c r="AS201" s="205"/>
      <c r="AT201" s="205"/>
      <c r="AU201" s="120"/>
      <c r="AV201" s="120"/>
      <c r="AW201" s="120"/>
      <c r="AX201" s="120"/>
      <c r="AY201" s="120"/>
      <c r="AZ201" s="209"/>
      <c r="BA201" s="205"/>
      <c r="BB201" s="205"/>
      <c r="BC201" s="120"/>
      <c r="BD201" s="120"/>
      <c r="BE201" s="120"/>
      <c r="BF201" s="120"/>
      <c r="BG201" s="120"/>
      <c r="BH201" s="209"/>
      <c r="BI201" s="205"/>
      <c r="BJ201" s="205"/>
      <c r="BK201" s="120"/>
      <c r="BL201" s="120"/>
      <c r="BM201" s="217"/>
      <c r="BN201" s="120"/>
      <c r="BO201" s="205"/>
      <c r="BP201" s="209"/>
      <c r="BQ201" s="205"/>
      <c r="BR201" s="205"/>
      <c r="BS201" s="205"/>
      <c r="BT201" s="120"/>
      <c r="BU201" s="250"/>
      <c r="BV201" s="120"/>
      <c r="BW201" s="120"/>
      <c r="BX201" s="120"/>
      <c r="BY201" s="209"/>
      <c r="BZ201" s="205"/>
      <c r="CA201" s="205"/>
      <c r="CB201" s="120"/>
      <c r="CC201" s="120"/>
      <c r="CD201" s="120"/>
      <c r="CE201" s="120"/>
      <c r="CF201" s="120"/>
      <c r="CG201" s="209"/>
      <c r="CH201" s="205"/>
      <c r="CI201" s="205"/>
      <c r="CJ201" s="120"/>
      <c r="CK201" s="120"/>
      <c r="CL201" s="250"/>
      <c r="CM201" s="120"/>
      <c r="CN201" s="120"/>
      <c r="CO201" s="209"/>
      <c r="CP201" s="205"/>
      <c r="CQ201" s="205"/>
      <c r="CR201" s="120"/>
      <c r="CS201" s="120"/>
      <c r="CT201" s="120"/>
      <c r="CU201" s="120"/>
      <c r="CV201" s="120"/>
      <c r="CW201" s="209"/>
      <c r="CX201" s="205"/>
      <c r="CY201" s="205"/>
      <c r="CZ201" s="120"/>
      <c r="DA201" s="120"/>
      <c r="DB201" s="120"/>
      <c r="DC201" s="205"/>
      <c r="DD201" s="205"/>
      <c r="DE201" s="209"/>
      <c r="DF201" s="205"/>
      <c r="DG201" s="205"/>
      <c r="DH201" s="205"/>
      <c r="DI201" s="120"/>
      <c r="DJ201" s="120"/>
      <c r="DK201" s="120"/>
      <c r="DL201" s="120"/>
      <c r="DM201" s="120"/>
      <c r="DN201" s="209"/>
      <c r="DO201" s="205"/>
      <c r="DP201" s="205"/>
      <c r="DQ201" s="217"/>
      <c r="DR201" s="120"/>
      <c r="DS201" s="120"/>
      <c r="DT201" s="120"/>
      <c r="DU201" s="120"/>
      <c r="DV201" s="209"/>
      <c r="DW201" s="205"/>
      <c r="DX201" s="205"/>
      <c r="DY201" s="120"/>
      <c r="DZ201" s="120"/>
      <c r="EA201" s="120"/>
      <c r="EB201" s="120"/>
      <c r="EC201" s="120"/>
      <c r="ED201" s="209"/>
      <c r="EE201" s="205"/>
      <c r="EF201" s="205"/>
      <c r="EG201" s="120"/>
      <c r="EH201" s="120"/>
      <c r="EI201" s="120"/>
      <c r="EJ201" s="205"/>
      <c r="EK201" s="205"/>
      <c r="EL201" s="209"/>
      <c r="EM201" s="205"/>
      <c r="EN201" s="205"/>
      <c r="EO201" s="205"/>
      <c r="EP201" s="120"/>
      <c r="EQ201" s="250"/>
      <c r="ER201" s="120"/>
      <c r="ES201" s="120"/>
      <c r="ET201" s="120"/>
      <c r="EU201" s="209"/>
      <c r="EV201" s="205"/>
      <c r="EW201" s="205"/>
      <c r="EX201" s="120"/>
      <c r="EY201" s="120"/>
      <c r="EZ201" s="120"/>
      <c r="FA201" s="120"/>
      <c r="FB201" s="120"/>
      <c r="FC201" s="209"/>
      <c r="FD201" s="205"/>
      <c r="FE201" s="205"/>
      <c r="FF201" s="120"/>
      <c r="FG201" s="195"/>
      <c r="FH201" s="120"/>
      <c r="FI201" s="120"/>
      <c r="FJ201" s="120"/>
      <c r="FK201" s="209"/>
      <c r="FL201" s="205"/>
      <c r="FM201" s="205"/>
      <c r="FN201" s="120"/>
      <c r="FO201" s="120"/>
      <c r="FP201" s="120"/>
      <c r="FQ201" s="120"/>
      <c r="FR201" s="205"/>
      <c r="FS201" s="209"/>
      <c r="FT201" s="205"/>
      <c r="FU201" s="205"/>
      <c r="FV201" s="205"/>
      <c r="FW201" s="120"/>
      <c r="FX201" s="120"/>
      <c r="FY201" s="120"/>
      <c r="FZ201" s="120"/>
      <c r="GA201" s="120"/>
      <c r="GB201" s="209"/>
      <c r="GC201" s="205"/>
      <c r="GD201" s="205"/>
      <c r="GE201" s="120"/>
      <c r="GF201" s="120"/>
      <c r="GG201" s="120"/>
      <c r="GH201" s="120"/>
      <c r="GI201" s="120"/>
      <c r="GJ201" s="209"/>
      <c r="GK201" s="205"/>
      <c r="GL201" s="205"/>
      <c r="GM201" s="120"/>
      <c r="GN201" s="120"/>
      <c r="GO201" s="120"/>
      <c r="GP201" s="120"/>
      <c r="GQ201" s="120"/>
      <c r="GR201" s="209"/>
      <c r="GS201" s="205"/>
      <c r="GT201" s="205"/>
      <c r="GU201" s="120"/>
      <c r="GV201" s="120"/>
      <c r="GW201" s="120"/>
      <c r="GX201" s="120"/>
      <c r="GY201" s="120"/>
      <c r="GZ201" s="209"/>
      <c r="HA201" s="205"/>
      <c r="HB201" s="205"/>
      <c r="HC201" s="120"/>
      <c r="HD201" s="120"/>
      <c r="HE201" s="120"/>
      <c r="HF201" s="120"/>
      <c r="HG201" s="120"/>
      <c r="HH201" s="209"/>
      <c r="HI201" s="205"/>
      <c r="HJ201" s="205"/>
      <c r="HK201" s="205"/>
      <c r="HL201" s="124"/>
      <c r="HM201" s="120"/>
      <c r="HN201" s="120"/>
      <c r="HO201" s="123"/>
      <c r="HP201" s="120"/>
      <c r="HQ201" s="205"/>
      <c r="HR201" s="205"/>
      <c r="HS201" s="205"/>
      <c r="HT201" s="120"/>
      <c r="HU201" s="120"/>
      <c r="HV201" s="120"/>
      <c r="HW201" s="120"/>
      <c r="HX201" s="120"/>
      <c r="HY201" s="205"/>
      <c r="HZ201" s="205"/>
      <c r="IA201" s="205"/>
      <c r="IB201" s="120"/>
      <c r="IC201" s="120"/>
      <c r="ID201" s="120"/>
      <c r="IE201" s="120"/>
      <c r="IF201" s="120"/>
      <c r="IG201" s="205"/>
      <c r="IH201" s="205"/>
      <c r="II201" s="205"/>
      <c r="IJ201" s="120"/>
      <c r="IK201" s="120"/>
      <c r="IL201" s="201"/>
      <c r="IM201" s="120"/>
      <c r="IN201" s="120"/>
      <c r="IO201" s="205"/>
      <c r="IP201" s="205"/>
      <c r="IQ201" s="205"/>
      <c r="IR201" s="205"/>
      <c r="IS201" s="120"/>
      <c r="IT201" s="120"/>
      <c r="IU201" s="120"/>
      <c r="IV201" s="120"/>
      <c r="IW201" s="120"/>
      <c r="IX201" s="205"/>
      <c r="IY201" s="205"/>
      <c r="IZ201" s="205"/>
      <c r="JA201" s="120"/>
      <c r="JB201" s="120"/>
      <c r="JC201" s="120"/>
      <c r="JD201" s="120"/>
      <c r="JE201" s="120"/>
      <c r="JF201" s="205"/>
      <c r="JG201" s="205"/>
      <c r="JH201" s="205"/>
      <c r="JI201" s="120"/>
      <c r="JJ201" s="120"/>
      <c r="JK201" s="120"/>
      <c r="JL201" s="120"/>
      <c r="JM201" s="120"/>
      <c r="JN201" s="205"/>
      <c r="JO201" s="205"/>
      <c r="JP201" s="205"/>
      <c r="JQ201" s="120"/>
      <c r="JR201" s="120"/>
      <c r="JS201" s="120"/>
      <c r="JT201" s="120"/>
      <c r="JU201" s="120"/>
      <c r="JV201" s="205"/>
      <c r="JW201" s="205"/>
      <c r="JX201" s="205"/>
      <c r="JY201" s="205"/>
      <c r="JZ201" s="120"/>
      <c r="KA201" s="120"/>
      <c r="KB201" s="120"/>
      <c r="KC201" s="120"/>
      <c r="KD201" s="120"/>
      <c r="KE201" s="205"/>
      <c r="KF201" s="205"/>
      <c r="KG201" s="205"/>
      <c r="KH201" s="120"/>
      <c r="KI201" s="120"/>
      <c r="KJ201" s="120"/>
      <c r="KK201" s="206"/>
      <c r="KL201" s="120"/>
      <c r="KM201" s="205"/>
      <c r="KN201" s="205"/>
      <c r="KO201" s="205"/>
      <c r="KP201" s="120"/>
      <c r="KQ201" s="120"/>
      <c r="KR201" s="120"/>
      <c r="KS201" s="120"/>
      <c r="KT201" s="120"/>
      <c r="KU201" s="205"/>
      <c r="KV201" s="205"/>
      <c r="KW201" s="205"/>
      <c r="KX201" s="120"/>
      <c r="KY201" s="120"/>
      <c r="KZ201" s="120"/>
      <c r="LA201" s="120"/>
      <c r="LB201" s="120"/>
      <c r="LC201" s="205"/>
      <c r="LD201" s="205"/>
      <c r="LE201" s="205"/>
      <c r="LF201" s="205"/>
      <c r="LG201" s="120"/>
      <c r="LH201" s="120"/>
      <c r="LI201" s="120"/>
      <c r="LJ201" s="120"/>
      <c r="LK201" s="205"/>
      <c r="LL201" s="205"/>
      <c r="LM201" s="205"/>
      <c r="LN201" s="205"/>
      <c r="LO201" s="205"/>
      <c r="LP201" s="120"/>
      <c r="LQ201" s="120"/>
      <c r="LR201" s="120"/>
      <c r="LS201" s="205"/>
      <c r="LT201" s="205"/>
      <c r="LU201" s="205"/>
      <c r="LV201" s="205"/>
      <c r="LW201" s="120"/>
      <c r="LX201" s="120"/>
      <c r="LY201" s="124"/>
      <c r="LZ201" s="120"/>
      <c r="MA201" s="120"/>
      <c r="MB201" s="205"/>
      <c r="MC201" s="205"/>
      <c r="MD201" s="205"/>
      <c r="ME201" s="120"/>
      <c r="MF201" s="120"/>
      <c r="MG201" s="120"/>
      <c r="MH201" s="201"/>
      <c r="MI201" s="205"/>
      <c r="MJ201" s="205"/>
      <c r="MK201" s="205"/>
      <c r="ML201" s="205"/>
      <c r="MM201" s="120"/>
      <c r="MN201" s="120"/>
      <c r="MO201" s="120"/>
      <c r="MP201" s="120"/>
      <c r="MQ201" s="120"/>
      <c r="MR201" s="205"/>
      <c r="MS201" s="205"/>
      <c r="MT201" s="205"/>
      <c r="MU201" s="205"/>
      <c r="MV201" s="120"/>
      <c r="MW201" s="120"/>
      <c r="MX201" s="195"/>
      <c r="MY201" s="120"/>
      <c r="MZ201" s="120"/>
      <c r="NA201" s="205"/>
      <c r="NB201" s="205"/>
      <c r="NC201" s="205"/>
      <c r="ND201" s="120"/>
      <c r="NE201" s="120"/>
      <c r="NF201" s="120"/>
      <c r="NG201" s="120"/>
      <c r="NH201" s="120"/>
      <c r="NI201" s="205"/>
      <c r="NJ201" s="205"/>
      <c r="NK201" s="205"/>
      <c r="NL201" s="120"/>
      <c r="NM201" s="120"/>
      <c r="NN201" s="120"/>
      <c r="NO201" s="120"/>
      <c r="NP201" s="120"/>
      <c r="NQ201" s="205"/>
      <c r="NR201" s="205"/>
      <c r="NS201" s="205"/>
      <c r="NT201" s="217"/>
      <c r="NU201" s="120"/>
      <c r="NV201" s="120"/>
      <c r="NW201" s="120"/>
      <c r="NX201" s="120"/>
      <c r="NY201" s="205"/>
      <c r="NZ201" s="205"/>
      <c r="OA201" s="205">
        <f t="shared" si="2109"/>
        <v>0</v>
      </c>
      <c r="OB201" s="205">
        <f t="shared" si="2110"/>
        <v>0</v>
      </c>
      <c r="OC201" s="120"/>
      <c r="OD201" s="120"/>
      <c r="OE201" s="120"/>
      <c r="OF201" s="120"/>
      <c r="OG201" s="120"/>
      <c r="OH201" s="205"/>
      <c r="OI201" s="205"/>
      <c r="OJ201" s="205">
        <f t="shared" si="2111"/>
        <v>0</v>
      </c>
      <c r="OK201" s="120"/>
      <c r="OL201" s="120"/>
      <c r="OM201" s="120"/>
      <c r="ON201" s="120"/>
      <c r="OO201" s="120"/>
      <c r="OP201" s="205"/>
      <c r="OQ201" s="205"/>
      <c r="OR201" s="205">
        <f t="shared" si="2112"/>
        <v>0</v>
      </c>
      <c r="OS201" s="120"/>
      <c r="OT201" s="120"/>
      <c r="OU201" s="120"/>
      <c r="OV201" s="120"/>
      <c r="OW201" s="120"/>
      <c r="OX201" s="205"/>
      <c r="OY201" s="205"/>
      <c r="OZ201" s="205">
        <f t="shared" si="2113"/>
        <v>0</v>
      </c>
      <c r="PA201" s="120"/>
      <c r="PB201" s="120"/>
      <c r="PC201" s="120"/>
      <c r="PD201" s="205"/>
      <c r="PE201" s="217"/>
      <c r="PF201" s="205"/>
      <c r="PG201" s="205"/>
      <c r="PH201" s="205">
        <f t="shared" si="2114"/>
        <v>0</v>
      </c>
      <c r="PI201" s="120"/>
      <c r="PJ201" s="120"/>
      <c r="PK201" s="120"/>
      <c r="PL201" s="205"/>
      <c r="PM201" s="217"/>
      <c r="PN201" s="205"/>
      <c r="PO201" s="205"/>
      <c r="PP201" s="205">
        <f t="shared" si="2115"/>
        <v>0</v>
      </c>
      <c r="PQ201" s="205">
        <f t="shared" si="2116"/>
        <v>0</v>
      </c>
      <c r="PR201" s="120"/>
      <c r="PS201" s="207"/>
      <c r="PT201" s="207"/>
      <c r="PU201" s="207"/>
      <c r="PV201" s="207"/>
      <c r="PW201" s="272"/>
      <c r="PX201" s="272"/>
      <c r="PY201" s="205">
        <f t="shared" si="2117"/>
        <v>0</v>
      </c>
      <c r="PZ201" s="207"/>
      <c r="QA201" s="207"/>
      <c r="QB201" s="207"/>
      <c r="QC201" s="207"/>
      <c r="QD201" s="207"/>
      <c r="QE201" s="272"/>
      <c r="QF201" s="272"/>
      <c r="QG201" s="205"/>
      <c r="QH201" s="207"/>
      <c r="QI201" s="207"/>
      <c r="QJ201" s="294"/>
      <c r="QK201" s="207"/>
      <c r="QL201" s="207"/>
      <c r="QM201" s="272"/>
      <c r="QN201" s="272"/>
      <c r="QO201" s="205"/>
      <c r="QP201" s="207"/>
      <c r="QQ201" s="120"/>
      <c r="QR201" s="207"/>
      <c r="QS201" s="207"/>
      <c r="QT201" s="207"/>
      <c r="QU201" s="272"/>
      <c r="QV201" s="272"/>
      <c r="QW201" s="205"/>
      <c r="QX201" s="205"/>
      <c r="QY201" s="120"/>
      <c r="QZ201" s="120"/>
      <c r="RA201" s="120"/>
      <c r="RB201" s="120"/>
      <c r="RC201" s="120"/>
      <c r="RD201" s="272"/>
      <c r="RE201" s="272"/>
      <c r="RF201" s="205">
        <f t="shared" si="2122"/>
        <v>0</v>
      </c>
      <c r="RG201" s="207"/>
      <c r="RH201" s="207"/>
      <c r="RI201" s="207"/>
      <c r="RJ201" s="207"/>
      <c r="RK201" s="207"/>
      <c r="RL201" s="272"/>
      <c r="RM201" s="272"/>
      <c r="RN201" s="205">
        <f t="shared" si="2123"/>
        <v>0</v>
      </c>
      <c r="RO201" s="272"/>
      <c r="RP201" s="272"/>
      <c r="RQ201" s="272"/>
      <c r="RR201" s="272"/>
      <c r="RS201" s="272"/>
      <c r="RT201" s="272"/>
      <c r="RU201" s="272"/>
      <c r="RV201" s="205">
        <f t="shared" si="2124"/>
        <v>0</v>
      </c>
      <c r="RW201" s="207"/>
      <c r="RX201" s="207"/>
      <c r="RY201" s="207"/>
      <c r="RZ201" s="207"/>
      <c r="SA201" s="272"/>
      <c r="SB201" s="272"/>
      <c r="SC201" s="272"/>
      <c r="SD201" s="205">
        <f t="shared" si="2125"/>
        <v>0</v>
      </c>
      <c r="SE201" s="205">
        <f t="shared" si="2126"/>
        <v>0</v>
      </c>
      <c r="SF201" s="207"/>
      <c r="SG201" s="207"/>
      <c r="SH201" s="207"/>
      <c r="SI201" s="207"/>
      <c r="SJ201" s="207"/>
      <c r="SK201" s="272"/>
      <c r="SL201" s="272"/>
      <c r="SM201" s="205">
        <f t="shared" si="2127"/>
        <v>0</v>
      </c>
      <c r="SN201" s="207"/>
      <c r="SO201" s="207"/>
      <c r="SP201" s="120"/>
      <c r="SQ201" s="207"/>
      <c r="SR201" s="120"/>
      <c r="SS201" s="272"/>
      <c r="ST201" s="272"/>
      <c r="SU201" s="205">
        <f t="shared" si="2128"/>
        <v>0</v>
      </c>
      <c r="SV201" s="207"/>
      <c r="SW201" s="207"/>
      <c r="SX201" s="207"/>
      <c r="SY201" s="207"/>
      <c r="SZ201" s="207"/>
      <c r="TA201" s="272"/>
      <c r="TB201" s="272"/>
      <c r="TC201" s="205">
        <f t="shared" si="2129"/>
        <v>0</v>
      </c>
      <c r="TD201" s="207"/>
      <c r="TE201" s="207"/>
      <c r="TF201" s="207"/>
      <c r="TG201" s="207"/>
      <c r="TH201" s="207"/>
      <c r="TI201" s="272"/>
      <c r="TJ201" s="272"/>
      <c r="TK201" s="205">
        <f t="shared" si="2130"/>
        <v>0</v>
      </c>
      <c r="TL201" s="207"/>
      <c r="TM201" s="207"/>
      <c r="TN201" s="207"/>
      <c r="TO201" s="207"/>
      <c r="TP201" s="272"/>
      <c r="TQ201" s="272"/>
      <c r="TR201" s="272"/>
      <c r="TS201" s="205"/>
      <c r="TT201" s="205"/>
      <c r="TU201" s="272"/>
      <c r="TV201" s="207"/>
      <c r="TW201" s="207"/>
      <c r="TX201" s="207"/>
      <c r="TY201" s="356"/>
      <c r="TZ201" s="272"/>
      <c r="UA201" s="272"/>
      <c r="UB201" s="205">
        <f t="shared" si="2133"/>
        <v>0</v>
      </c>
      <c r="UC201" s="356"/>
      <c r="UD201" s="356"/>
      <c r="UE201" s="356"/>
      <c r="UF201" s="356"/>
      <c r="UG201" s="356"/>
      <c r="UH201" s="272"/>
      <c r="UI201" s="272"/>
      <c r="UJ201" s="205">
        <f t="shared" si="2013"/>
        <v>0</v>
      </c>
      <c r="UK201" s="207"/>
      <c r="UL201" s="207"/>
      <c r="UM201" s="207"/>
      <c r="UN201" s="207"/>
      <c r="UO201" s="207"/>
      <c r="UP201" s="272"/>
      <c r="UQ201" s="272"/>
      <c r="UR201" s="205">
        <f t="shared" si="2014"/>
        <v>0</v>
      </c>
      <c r="US201" s="207"/>
      <c r="UT201" s="207"/>
      <c r="UU201" s="207"/>
      <c r="UV201" s="207"/>
      <c r="UW201" s="272"/>
      <c r="UX201" s="272"/>
      <c r="UY201" s="272"/>
      <c r="UZ201" s="205"/>
      <c r="VA201" s="205"/>
      <c r="VB201" s="207"/>
      <c r="VC201" s="120"/>
      <c r="VD201" s="207"/>
      <c r="VE201" s="207"/>
      <c r="VF201" s="207"/>
      <c r="VG201" s="272"/>
      <c r="VH201" s="272"/>
      <c r="VI201" s="205">
        <f t="shared" si="2005"/>
        <v>0</v>
      </c>
      <c r="VJ201" s="207"/>
      <c r="VK201" s="207"/>
      <c r="VL201" s="207"/>
      <c r="VM201" s="120"/>
      <c r="VN201" s="207"/>
      <c r="VO201" s="272"/>
      <c r="VP201" s="272"/>
      <c r="VQ201" s="205">
        <f t="shared" si="2015"/>
        <v>0</v>
      </c>
      <c r="VR201" s="207"/>
      <c r="VS201" s="207"/>
      <c r="VT201" s="207"/>
      <c r="VU201" s="207"/>
      <c r="VV201" s="207"/>
      <c r="VW201" s="272"/>
      <c r="VX201" s="272"/>
      <c r="VY201" s="205">
        <f t="shared" si="2006"/>
        <v>0</v>
      </c>
      <c r="VZ201" s="207"/>
      <c r="WA201" s="207"/>
      <c r="WB201" s="207"/>
      <c r="WC201" s="207"/>
      <c r="WD201" s="207"/>
      <c r="WE201" s="272"/>
      <c r="WF201" s="272"/>
      <c r="WG201" s="205">
        <f t="shared" si="2007"/>
        <v>0</v>
      </c>
      <c r="WH201" s="205">
        <f t="shared" si="2008"/>
        <v>0</v>
      </c>
      <c r="WI201" s="207"/>
      <c r="WJ201" s="207"/>
      <c r="WK201" s="207"/>
      <c r="WL201" s="207"/>
      <c r="WM201" s="207"/>
      <c r="WN201" s="272"/>
      <c r="WO201" s="272"/>
      <c r="WP201" s="205">
        <f t="shared" si="2016"/>
        <v>0</v>
      </c>
      <c r="WQ201" s="207"/>
      <c r="WR201" s="207"/>
      <c r="WS201" s="207"/>
      <c r="WT201" s="207"/>
      <c r="WU201" s="207"/>
      <c r="WV201" s="272"/>
      <c r="WW201" s="272"/>
      <c r="WX201" s="205">
        <f t="shared" si="2017"/>
        <v>0</v>
      </c>
      <c r="WY201" s="207"/>
      <c r="WZ201" s="207"/>
      <c r="XA201" s="207"/>
      <c r="XB201" s="207"/>
      <c r="XC201" s="272"/>
      <c r="XD201" s="272"/>
      <c r="XE201" s="272"/>
      <c r="XF201" s="205">
        <f t="shared" si="2009"/>
        <v>0</v>
      </c>
      <c r="XG201" s="207"/>
      <c r="XH201" s="207"/>
      <c r="XI201" s="207"/>
      <c r="XJ201" s="207"/>
      <c r="XK201" s="207"/>
      <c r="XL201" s="272"/>
      <c r="XM201" s="272"/>
      <c r="XN201" s="205"/>
      <c r="XO201" s="207"/>
      <c r="XP201" s="207"/>
      <c r="XQ201" s="207"/>
      <c r="XR201" s="207"/>
      <c r="XS201" s="207"/>
      <c r="XT201" s="272"/>
      <c r="XU201" s="272"/>
      <c r="XV201" s="205"/>
      <c r="XW201" s="205"/>
      <c r="XX201" s="207"/>
      <c r="XY201" s="207"/>
      <c r="XZ201" s="207"/>
      <c r="YA201" s="207"/>
      <c r="YB201" s="207"/>
      <c r="YC201" s="272"/>
      <c r="YD201" s="272"/>
      <c r="YE201" s="205">
        <f t="shared" si="2018"/>
        <v>0</v>
      </c>
      <c r="YF201" s="207"/>
      <c r="YG201" s="207"/>
      <c r="YH201" s="207"/>
      <c r="YI201" s="207"/>
      <c r="YJ201" s="207"/>
      <c r="YK201" s="272"/>
      <c r="YL201" s="272"/>
      <c r="YM201" s="205">
        <f t="shared" si="2019"/>
        <v>0</v>
      </c>
      <c r="YN201" s="207"/>
      <c r="YO201" s="207"/>
      <c r="YP201" s="207"/>
      <c r="YQ201" s="207"/>
      <c r="YR201" s="207"/>
      <c r="YS201" s="272"/>
      <c r="YT201" s="272"/>
      <c r="YU201" s="205">
        <f t="shared" si="2020"/>
        <v>0</v>
      </c>
      <c r="YV201" s="207"/>
      <c r="YW201" s="207"/>
      <c r="YX201" s="207"/>
      <c r="YY201" s="207"/>
      <c r="YZ201" s="207"/>
      <c r="ZA201" s="272"/>
      <c r="ZB201" s="272"/>
      <c r="ZC201" s="205">
        <f t="shared" si="2021"/>
        <v>0</v>
      </c>
      <c r="ZD201" s="205">
        <f t="shared" si="2022"/>
        <v>0</v>
      </c>
      <c r="ZE201" s="207"/>
      <c r="ZF201" s="207"/>
      <c r="ZG201" s="207"/>
      <c r="ZH201" s="207"/>
      <c r="ZI201" s="207"/>
      <c r="ZJ201" s="272"/>
      <c r="ZK201" s="272"/>
      <c r="ZL201" s="205">
        <f t="shared" si="2023"/>
        <v>0</v>
      </c>
      <c r="ZM201" s="207"/>
      <c r="ZN201" s="207"/>
      <c r="ZO201" s="207"/>
      <c r="ZP201" s="207"/>
      <c r="ZQ201" s="207"/>
      <c r="ZR201" s="272"/>
      <c r="ZS201" s="272"/>
      <c r="ZT201" s="205">
        <f t="shared" si="2010"/>
        <v>0</v>
      </c>
      <c r="ZU201" s="207"/>
      <c r="ZV201" s="207"/>
      <c r="ZW201" s="207"/>
      <c r="ZX201" s="207"/>
      <c r="ZY201" s="207"/>
      <c r="ZZ201" s="272"/>
      <c r="AAA201" s="272"/>
      <c r="AAB201" s="205">
        <f t="shared" si="2024"/>
        <v>0</v>
      </c>
      <c r="AAC201" s="207"/>
      <c r="AAD201" s="207"/>
      <c r="AAE201" s="207"/>
      <c r="AAF201" s="207"/>
      <c r="AAG201" s="207"/>
      <c r="AAH201" s="272"/>
      <c r="AAI201" s="272"/>
      <c r="AAJ201" s="205">
        <f t="shared" si="2011"/>
        <v>0</v>
      </c>
      <c r="AAK201" s="207"/>
      <c r="AAL201" s="207"/>
      <c r="AAM201" s="207"/>
      <c r="AAN201" s="207"/>
      <c r="AAO201" s="207"/>
      <c r="AAP201" s="272"/>
      <c r="AAQ201" s="272"/>
      <c r="AAR201" s="205">
        <f t="shared" si="2025"/>
        <v>0</v>
      </c>
      <c r="AAS201" s="205">
        <f t="shared" si="2026"/>
        <v>0</v>
      </c>
    </row>
    <row r="202" spans="1:721" ht="80.099999999999994" customHeight="1">
      <c r="B202" s="347">
        <v>3630102101</v>
      </c>
      <c r="C202" s="363" t="s">
        <v>878</v>
      </c>
      <c r="D202" s="348" t="s">
        <v>856</v>
      </c>
      <c r="E202" s="130" t="s">
        <v>4</v>
      </c>
      <c r="F202" s="120"/>
      <c r="G202" s="120"/>
      <c r="H202" s="120"/>
      <c r="I202" s="120"/>
      <c r="J202" s="120"/>
      <c r="K202" s="209"/>
      <c r="L202" s="205"/>
      <c r="M202" s="205">
        <f t="shared" si="2108"/>
        <v>0</v>
      </c>
      <c r="N202" s="120"/>
      <c r="O202" s="120"/>
      <c r="P202" s="120"/>
      <c r="Q202" s="120"/>
      <c r="R202" s="120"/>
      <c r="S202" s="209"/>
      <c r="T202" s="205"/>
      <c r="U202" s="205"/>
      <c r="V202" s="120"/>
      <c r="W202" s="120"/>
      <c r="X202" s="120"/>
      <c r="Y202" s="120"/>
      <c r="Z202" s="120"/>
      <c r="AA202" s="209"/>
      <c r="AB202" s="205"/>
      <c r="AC202" s="205"/>
      <c r="AD202" s="205"/>
      <c r="AE202" s="205"/>
      <c r="AF202" s="205"/>
      <c r="AG202" s="205"/>
      <c r="AH202" s="205"/>
      <c r="AI202" s="209"/>
      <c r="AJ202" s="205"/>
      <c r="AK202" s="205"/>
      <c r="AL202" s="205"/>
      <c r="AM202" s="120"/>
      <c r="AN202" s="120"/>
      <c r="AO202" s="120"/>
      <c r="AP202" s="120"/>
      <c r="AQ202" s="120"/>
      <c r="AR202" s="209"/>
      <c r="AS202" s="205"/>
      <c r="AT202" s="205"/>
      <c r="AU202" s="120"/>
      <c r="AV202" s="120"/>
      <c r="AW202" s="120"/>
      <c r="AX202" s="120"/>
      <c r="AY202" s="120"/>
      <c r="AZ202" s="209"/>
      <c r="BA202" s="205"/>
      <c r="BB202" s="205"/>
      <c r="BC202" s="120"/>
      <c r="BD202" s="120"/>
      <c r="BE202" s="120"/>
      <c r="BF202" s="120"/>
      <c r="BG202" s="120"/>
      <c r="BH202" s="209"/>
      <c r="BI202" s="205"/>
      <c r="BJ202" s="205"/>
      <c r="BK202" s="120"/>
      <c r="BL202" s="120"/>
      <c r="BM202" s="217"/>
      <c r="BN202" s="120"/>
      <c r="BO202" s="205"/>
      <c r="BP202" s="209"/>
      <c r="BQ202" s="205"/>
      <c r="BR202" s="205"/>
      <c r="BS202" s="205"/>
      <c r="BT202" s="120"/>
      <c r="BU202" s="250"/>
      <c r="BV202" s="120"/>
      <c r="BW202" s="120"/>
      <c r="BX202" s="120"/>
      <c r="BY202" s="209"/>
      <c r="BZ202" s="205"/>
      <c r="CA202" s="205"/>
      <c r="CB202" s="120"/>
      <c r="CC202" s="120"/>
      <c r="CD202" s="120"/>
      <c r="CE202" s="120"/>
      <c r="CF202" s="120"/>
      <c r="CG202" s="209"/>
      <c r="CH202" s="205"/>
      <c r="CI202" s="205"/>
      <c r="CJ202" s="120"/>
      <c r="CK202" s="120"/>
      <c r="CL202" s="250"/>
      <c r="CM202" s="120"/>
      <c r="CN202" s="120"/>
      <c r="CO202" s="209"/>
      <c r="CP202" s="205"/>
      <c r="CQ202" s="205"/>
      <c r="CR202" s="120"/>
      <c r="CS202" s="120"/>
      <c r="CT202" s="120"/>
      <c r="CU202" s="120"/>
      <c r="CV202" s="120"/>
      <c r="CW202" s="209"/>
      <c r="CX202" s="205"/>
      <c r="CY202" s="205"/>
      <c r="CZ202" s="120"/>
      <c r="DA202" s="120"/>
      <c r="DB202" s="120"/>
      <c r="DC202" s="205"/>
      <c r="DD202" s="205"/>
      <c r="DE202" s="209"/>
      <c r="DF202" s="205"/>
      <c r="DG202" s="205"/>
      <c r="DH202" s="205"/>
      <c r="DI202" s="120"/>
      <c r="DJ202" s="120"/>
      <c r="DK202" s="120"/>
      <c r="DL202" s="120"/>
      <c r="DM202" s="120"/>
      <c r="DN202" s="209"/>
      <c r="DO202" s="205"/>
      <c r="DP202" s="205"/>
      <c r="DQ202" s="217"/>
      <c r="DR202" s="120"/>
      <c r="DS202" s="120"/>
      <c r="DT202" s="120"/>
      <c r="DU202" s="120"/>
      <c r="DV202" s="209"/>
      <c r="DW202" s="205"/>
      <c r="DX202" s="205"/>
      <c r="DY202" s="120"/>
      <c r="DZ202" s="120"/>
      <c r="EA202" s="120"/>
      <c r="EB202" s="120"/>
      <c r="EC202" s="120"/>
      <c r="ED202" s="209"/>
      <c r="EE202" s="205"/>
      <c r="EF202" s="205"/>
      <c r="EG202" s="120"/>
      <c r="EH202" s="120"/>
      <c r="EI202" s="120"/>
      <c r="EJ202" s="205"/>
      <c r="EK202" s="205"/>
      <c r="EL202" s="209"/>
      <c r="EM202" s="205"/>
      <c r="EN202" s="205"/>
      <c r="EO202" s="205"/>
      <c r="EP202" s="120"/>
      <c r="EQ202" s="250"/>
      <c r="ER202" s="120"/>
      <c r="ES202" s="120"/>
      <c r="ET202" s="120"/>
      <c r="EU202" s="209"/>
      <c r="EV202" s="205"/>
      <c r="EW202" s="205"/>
      <c r="EX202" s="120"/>
      <c r="EY202" s="120"/>
      <c r="EZ202" s="120"/>
      <c r="FA202" s="120"/>
      <c r="FB202" s="120"/>
      <c r="FC202" s="209"/>
      <c r="FD202" s="205"/>
      <c r="FE202" s="205"/>
      <c r="FF202" s="120"/>
      <c r="FG202" s="195"/>
      <c r="FH202" s="120"/>
      <c r="FI202" s="120"/>
      <c r="FJ202" s="120"/>
      <c r="FK202" s="209"/>
      <c r="FL202" s="205"/>
      <c r="FM202" s="205"/>
      <c r="FN202" s="120"/>
      <c r="FO202" s="120"/>
      <c r="FP202" s="120"/>
      <c r="FQ202" s="120"/>
      <c r="FR202" s="205"/>
      <c r="FS202" s="209"/>
      <c r="FT202" s="205"/>
      <c r="FU202" s="205"/>
      <c r="FV202" s="205"/>
      <c r="FW202" s="120"/>
      <c r="FX202" s="120"/>
      <c r="FY202" s="120"/>
      <c r="FZ202" s="120"/>
      <c r="GA202" s="120"/>
      <c r="GB202" s="209"/>
      <c r="GC202" s="205"/>
      <c r="GD202" s="205"/>
      <c r="GE202" s="120"/>
      <c r="GF202" s="120"/>
      <c r="GG202" s="120"/>
      <c r="GH202" s="120"/>
      <c r="GI202" s="120"/>
      <c r="GJ202" s="209"/>
      <c r="GK202" s="205"/>
      <c r="GL202" s="205"/>
      <c r="GM202" s="120"/>
      <c r="GN202" s="120"/>
      <c r="GO202" s="120"/>
      <c r="GP202" s="120"/>
      <c r="GQ202" s="120"/>
      <c r="GR202" s="209"/>
      <c r="GS202" s="205"/>
      <c r="GT202" s="205"/>
      <c r="GU202" s="120"/>
      <c r="GV202" s="120"/>
      <c r="GW202" s="120"/>
      <c r="GX202" s="120"/>
      <c r="GY202" s="120"/>
      <c r="GZ202" s="209"/>
      <c r="HA202" s="205"/>
      <c r="HB202" s="205"/>
      <c r="HC202" s="120"/>
      <c r="HD202" s="120"/>
      <c r="HE202" s="120"/>
      <c r="HF202" s="120"/>
      <c r="HG202" s="120"/>
      <c r="HH202" s="209"/>
      <c r="HI202" s="205"/>
      <c r="HJ202" s="205"/>
      <c r="HK202" s="205"/>
      <c r="HL202" s="124"/>
      <c r="HM202" s="120"/>
      <c r="HN202" s="120"/>
      <c r="HO202" s="123"/>
      <c r="HP202" s="120"/>
      <c r="HQ202" s="205"/>
      <c r="HR202" s="205"/>
      <c r="HS202" s="205"/>
      <c r="HT202" s="120"/>
      <c r="HU202" s="120"/>
      <c r="HV202" s="120"/>
      <c r="HW202" s="120"/>
      <c r="HX202" s="120"/>
      <c r="HY202" s="205"/>
      <c r="HZ202" s="205"/>
      <c r="IA202" s="205"/>
      <c r="IB202" s="120"/>
      <c r="IC202" s="120"/>
      <c r="ID202" s="120"/>
      <c r="IE202" s="120"/>
      <c r="IF202" s="120"/>
      <c r="IG202" s="205"/>
      <c r="IH202" s="205"/>
      <c r="II202" s="205"/>
      <c r="IJ202" s="120"/>
      <c r="IK202" s="120"/>
      <c r="IL202" s="201"/>
      <c r="IM202" s="120"/>
      <c r="IN202" s="120"/>
      <c r="IO202" s="205"/>
      <c r="IP202" s="205"/>
      <c r="IQ202" s="205"/>
      <c r="IR202" s="205"/>
      <c r="IS202" s="120"/>
      <c r="IT202" s="120"/>
      <c r="IU202" s="120"/>
      <c r="IV202" s="120"/>
      <c r="IW202" s="120"/>
      <c r="IX202" s="205"/>
      <c r="IY202" s="205"/>
      <c r="IZ202" s="205"/>
      <c r="JA202" s="120"/>
      <c r="JB202" s="120"/>
      <c r="JC202" s="120"/>
      <c r="JD202" s="120"/>
      <c r="JE202" s="120"/>
      <c r="JF202" s="205"/>
      <c r="JG202" s="205"/>
      <c r="JH202" s="205"/>
      <c r="JI202" s="120"/>
      <c r="JJ202" s="120"/>
      <c r="JK202" s="120"/>
      <c r="JL202" s="120"/>
      <c r="JM202" s="120"/>
      <c r="JN202" s="205"/>
      <c r="JO202" s="205"/>
      <c r="JP202" s="205"/>
      <c r="JQ202" s="120"/>
      <c r="JR202" s="120"/>
      <c r="JS202" s="120"/>
      <c r="JT202" s="120"/>
      <c r="JU202" s="120"/>
      <c r="JV202" s="205"/>
      <c r="JW202" s="205"/>
      <c r="JX202" s="205"/>
      <c r="JY202" s="205"/>
      <c r="JZ202" s="120"/>
      <c r="KA202" s="120"/>
      <c r="KB202" s="120"/>
      <c r="KC202" s="120"/>
      <c r="KD202" s="120"/>
      <c r="KE202" s="205"/>
      <c r="KF202" s="205"/>
      <c r="KG202" s="205"/>
      <c r="KH202" s="120"/>
      <c r="KI202" s="120"/>
      <c r="KJ202" s="120"/>
      <c r="KK202" s="206"/>
      <c r="KL202" s="120"/>
      <c r="KM202" s="205"/>
      <c r="KN202" s="205"/>
      <c r="KO202" s="205"/>
      <c r="KP202" s="120"/>
      <c r="KQ202" s="120"/>
      <c r="KR202" s="120"/>
      <c r="KS202" s="120"/>
      <c r="KT202" s="120"/>
      <c r="KU202" s="205"/>
      <c r="KV202" s="205"/>
      <c r="KW202" s="205"/>
      <c r="KX202" s="120"/>
      <c r="KY202" s="120"/>
      <c r="KZ202" s="120"/>
      <c r="LA202" s="120"/>
      <c r="LB202" s="120"/>
      <c r="LC202" s="205"/>
      <c r="LD202" s="205"/>
      <c r="LE202" s="205"/>
      <c r="LF202" s="205"/>
      <c r="LG202" s="120"/>
      <c r="LH202" s="120"/>
      <c r="LI202" s="120"/>
      <c r="LJ202" s="120"/>
      <c r="LK202" s="205"/>
      <c r="LL202" s="205"/>
      <c r="LM202" s="205"/>
      <c r="LN202" s="205"/>
      <c r="LO202" s="205"/>
      <c r="LP202" s="120"/>
      <c r="LQ202" s="120"/>
      <c r="LR202" s="120"/>
      <c r="LS202" s="205"/>
      <c r="LT202" s="205"/>
      <c r="LU202" s="205"/>
      <c r="LV202" s="205"/>
      <c r="LW202" s="120"/>
      <c r="LX202" s="120"/>
      <c r="LY202" s="124"/>
      <c r="LZ202" s="120"/>
      <c r="MA202" s="120"/>
      <c r="MB202" s="205"/>
      <c r="MC202" s="205"/>
      <c r="MD202" s="205"/>
      <c r="ME202" s="120"/>
      <c r="MF202" s="120"/>
      <c r="MG202" s="120"/>
      <c r="MH202" s="201"/>
      <c r="MI202" s="205"/>
      <c r="MJ202" s="205"/>
      <c r="MK202" s="205"/>
      <c r="ML202" s="205"/>
      <c r="MM202" s="120"/>
      <c r="MN202" s="120"/>
      <c r="MO202" s="120"/>
      <c r="MP202" s="120"/>
      <c r="MQ202" s="120"/>
      <c r="MR202" s="205"/>
      <c r="MS202" s="205"/>
      <c r="MT202" s="205"/>
      <c r="MU202" s="205"/>
      <c r="MV202" s="120"/>
      <c r="MW202" s="120"/>
      <c r="MX202" s="195"/>
      <c r="MY202" s="120"/>
      <c r="MZ202" s="120"/>
      <c r="NA202" s="205"/>
      <c r="NB202" s="205"/>
      <c r="NC202" s="205"/>
      <c r="ND202" s="120"/>
      <c r="NE202" s="120"/>
      <c r="NF202" s="120"/>
      <c r="NG202" s="120"/>
      <c r="NH202" s="120"/>
      <c r="NI202" s="205"/>
      <c r="NJ202" s="205"/>
      <c r="NK202" s="205"/>
      <c r="NL202" s="120"/>
      <c r="NM202" s="120"/>
      <c r="NN202" s="120"/>
      <c r="NO202" s="120"/>
      <c r="NP202" s="120"/>
      <c r="NQ202" s="205"/>
      <c r="NR202" s="205"/>
      <c r="NS202" s="205"/>
      <c r="NT202" s="217"/>
      <c r="NU202" s="120"/>
      <c r="NV202" s="120"/>
      <c r="NW202" s="120"/>
      <c r="NX202" s="120"/>
      <c r="NY202" s="205"/>
      <c r="NZ202" s="205"/>
      <c r="OA202" s="205">
        <f t="shared" si="2109"/>
        <v>0</v>
      </c>
      <c r="OB202" s="205">
        <f t="shared" si="2110"/>
        <v>0</v>
      </c>
      <c r="OC202" s="120"/>
      <c r="OD202" s="120"/>
      <c r="OE202" s="120"/>
      <c r="OF202" s="120"/>
      <c r="OG202" s="120"/>
      <c r="OH202" s="205"/>
      <c r="OI202" s="205"/>
      <c r="OJ202" s="205">
        <f t="shared" si="2111"/>
        <v>0</v>
      </c>
      <c r="OK202" s="120"/>
      <c r="OL202" s="120"/>
      <c r="OM202" s="120"/>
      <c r="ON202" s="120"/>
      <c r="OO202" s="120"/>
      <c r="OP202" s="205"/>
      <c r="OQ202" s="205"/>
      <c r="OR202" s="205">
        <f t="shared" si="2112"/>
        <v>0</v>
      </c>
      <c r="OS202" s="120"/>
      <c r="OT202" s="120"/>
      <c r="OU202" s="120"/>
      <c r="OV202" s="120"/>
      <c r="OW202" s="120"/>
      <c r="OX202" s="205"/>
      <c r="OY202" s="205"/>
      <c r="OZ202" s="205">
        <f t="shared" si="2113"/>
        <v>0</v>
      </c>
      <c r="PA202" s="120"/>
      <c r="PB202" s="120"/>
      <c r="PC202" s="120"/>
      <c r="PD202" s="205"/>
      <c r="PE202" s="217"/>
      <c r="PF202" s="205"/>
      <c r="PG202" s="205"/>
      <c r="PH202" s="205">
        <f t="shared" si="2114"/>
        <v>0</v>
      </c>
      <c r="PI202" s="120"/>
      <c r="PJ202" s="120"/>
      <c r="PK202" s="120"/>
      <c r="PL202" s="205"/>
      <c r="PM202" s="217"/>
      <c r="PN202" s="205"/>
      <c r="PO202" s="205"/>
      <c r="PP202" s="205">
        <f t="shared" si="2115"/>
        <v>0</v>
      </c>
      <c r="PQ202" s="205">
        <f t="shared" si="2116"/>
        <v>0</v>
      </c>
      <c r="PR202" s="120"/>
      <c r="PS202" s="207"/>
      <c r="PT202" s="207"/>
      <c r="PU202" s="207"/>
      <c r="PV202" s="207"/>
      <c r="PW202" s="272"/>
      <c r="PX202" s="272"/>
      <c r="PY202" s="205"/>
      <c r="PZ202" s="207"/>
      <c r="QA202" s="207"/>
      <c r="QB202" s="207"/>
      <c r="QC202" s="207"/>
      <c r="QD202" s="207"/>
      <c r="QE202" s="272"/>
      <c r="QF202" s="272"/>
      <c r="QG202" s="205"/>
      <c r="QH202" s="207"/>
      <c r="QI202" s="207"/>
      <c r="QJ202" s="294"/>
      <c r="QK202" s="207"/>
      <c r="QL202" s="207"/>
      <c r="QM202" s="272"/>
      <c r="QN202" s="272"/>
      <c r="QO202" s="205"/>
      <c r="QP202" s="207"/>
      <c r="QQ202" s="120"/>
      <c r="QR202" s="207"/>
      <c r="QS202" s="207"/>
      <c r="QT202" s="207"/>
      <c r="QU202" s="272"/>
      <c r="QV202" s="272"/>
      <c r="QW202" s="205"/>
      <c r="QX202" s="205">
        <f t="shared" ref="QX202:QX222" si="2139">SUM(QW202,QO202,QG202,PY202,PL202,PM202,PN202,PO202)</f>
        <v>0</v>
      </c>
      <c r="QY202" s="120"/>
      <c r="QZ202" s="120"/>
      <c r="RA202" s="120"/>
      <c r="RB202" s="120"/>
      <c r="RC202" s="120"/>
      <c r="RD202" s="272"/>
      <c r="RE202" s="272"/>
      <c r="RF202" s="205">
        <f t="shared" si="2095"/>
        <v>0</v>
      </c>
      <c r="RG202" s="207"/>
      <c r="RH202" s="207"/>
      <c r="RI202" s="207"/>
      <c r="RJ202" s="207"/>
      <c r="RK202" s="207"/>
      <c r="RL202" s="272"/>
      <c r="RM202" s="272"/>
      <c r="RN202" s="205">
        <f t="shared" si="2096"/>
        <v>0</v>
      </c>
      <c r="RO202" s="272"/>
      <c r="RP202" s="272"/>
      <c r="RQ202" s="272"/>
      <c r="RR202" s="272"/>
      <c r="RS202" s="272"/>
      <c r="RT202" s="272"/>
      <c r="RU202" s="272"/>
      <c r="RV202" s="205">
        <f t="shared" si="2097"/>
        <v>0</v>
      </c>
      <c r="RW202" s="207"/>
      <c r="RX202" s="207"/>
      <c r="RY202" s="207"/>
      <c r="RZ202" s="207"/>
      <c r="SA202" s="272"/>
      <c r="SB202" s="272"/>
      <c r="SC202" s="272"/>
      <c r="SD202" s="205">
        <f t="shared" ref="SD202:SD217" si="2140">SUM(RW202:SC202)</f>
        <v>0</v>
      </c>
      <c r="SE202" s="205">
        <f t="shared" ref="SE202:SE217" si="2141">SUM(SD202,RV202,RN202,RF202,QV202)</f>
        <v>0</v>
      </c>
      <c r="SF202" s="207"/>
      <c r="SG202" s="207"/>
      <c r="SH202" s="207"/>
      <c r="SI202" s="207"/>
      <c r="SJ202" s="207"/>
      <c r="SK202" s="272"/>
      <c r="SL202" s="272"/>
      <c r="SM202" s="205">
        <f t="shared" si="2100"/>
        <v>0</v>
      </c>
      <c r="SN202" s="207"/>
      <c r="SO202" s="207"/>
      <c r="SP202" s="207"/>
      <c r="SQ202" s="207"/>
      <c r="SR202" s="120"/>
      <c r="SS202" s="272"/>
      <c r="ST202" s="272"/>
      <c r="SU202" s="205">
        <f t="shared" si="2101"/>
        <v>0</v>
      </c>
      <c r="SV202" s="207"/>
      <c r="SW202" s="207"/>
      <c r="SX202" s="207"/>
      <c r="SY202" s="207"/>
      <c r="SZ202" s="207"/>
      <c r="TA202" s="272"/>
      <c r="TB202" s="272"/>
      <c r="TC202" s="205">
        <f t="shared" si="2129"/>
        <v>0</v>
      </c>
      <c r="TD202" s="207"/>
      <c r="TE202" s="207"/>
      <c r="TF202" s="207"/>
      <c r="TG202" s="207"/>
      <c r="TH202" s="207"/>
      <c r="TI202" s="272"/>
      <c r="TJ202" s="272"/>
      <c r="TK202" s="205">
        <f t="shared" ref="TK202:TK243" si="2142">SUM(TD202:TJ202)</f>
        <v>0</v>
      </c>
      <c r="TL202" s="207"/>
      <c r="TM202" s="207"/>
      <c r="TN202" s="207"/>
      <c r="TO202" s="207"/>
      <c r="TP202" s="272"/>
      <c r="TQ202" s="272"/>
      <c r="TR202" s="272"/>
      <c r="TS202" s="205">
        <f t="shared" si="2135"/>
        <v>0</v>
      </c>
      <c r="TT202" s="205">
        <f t="shared" si="2136"/>
        <v>0</v>
      </c>
      <c r="TU202" s="272"/>
      <c r="TV202" s="207"/>
      <c r="TW202" s="207"/>
      <c r="TX202" s="207"/>
      <c r="TY202" s="356"/>
      <c r="TZ202" s="272"/>
      <c r="UA202" s="272"/>
      <c r="UB202" s="205">
        <f t="shared" si="2012"/>
        <v>0</v>
      </c>
      <c r="UC202" s="356"/>
      <c r="UD202" s="356"/>
      <c r="UE202" s="356"/>
      <c r="UF202" s="356"/>
      <c r="UG202" s="207"/>
      <c r="UH202" s="272"/>
      <c r="UI202" s="272"/>
      <c r="UJ202" s="205">
        <f t="shared" si="2013"/>
        <v>0</v>
      </c>
      <c r="UK202" s="207"/>
      <c r="UL202" s="207"/>
      <c r="UM202" s="207"/>
      <c r="UN202" s="207"/>
      <c r="UO202" s="207"/>
      <c r="UP202" s="272"/>
      <c r="UQ202" s="272"/>
      <c r="UR202" s="205">
        <f t="shared" si="2014"/>
        <v>0</v>
      </c>
      <c r="US202" s="207"/>
      <c r="UT202" s="207"/>
      <c r="UV202" s="207"/>
      <c r="UW202" s="272"/>
      <c r="UX202" s="272"/>
      <c r="UY202" s="272"/>
      <c r="UZ202" s="205">
        <f t="shared" ref="UZ202:UZ207" si="2143">SUM(US202:UY202)</f>
        <v>0</v>
      </c>
      <c r="VA202" s="205">
        <f t="shared" ref="VA202:VA207" si="2144">SUM(TN202:TR202,UB202,UJ202,UR202,US202:UV202)</f>
        <v>0</v>
      </c>
      <c r="VB202" s="207"/>
      <c r="VC202" s="120"/>
      <c r="VD202" s="207"/>
      <c r="VE202" s="207"/>
      <c r="VF202" s="207"/>
      <c r="VG202" s="272"/>
      <c r="VH202" s="272"/>
      <c r="VI202" s="205">
        <f t="shared" si="2005"/>
        <v>0</v>
      </c>
      <c r="VJ202" s="207"/>
      <c r="VK202" s="207"/>
      <c r="VL202" s="207"/>
      <c r="VM202" s="207"/>
      <c r="VN202" s="207"/>
      <c r="VO202" s="272"/>
      <c r="VP202" s="272"/>
      <c r="VQ202" s="205">
        <f t="shared" si="2015"/>
        <v>0</v>
      </c>
      <c r="VR202" s="207"/>
      <c r="VS202" s="207"/>
      <c r="VT202" s="207"/>
      <c r="VU202" s="207"/>
      <c r="VV202" s="207"/>
      <c r="VW202" s="272"/>
      <c r="VX202" s="272"/>
      <c r="VY202" s="205">
        <f t="shared" si="2006"/>
        <v>0</v>
      </c>
      <c r="VZ202" s="207"/>
      <c r="WA202" s="207"/>
      <c r="WB202" s="207"/>
      <c r="WC202" s="207"/>
      <c r="WD202" s="207"/>
      <c r="WE202" s="272"/>
      <c r="WF202" s="272"/>
      <c r="WG202" s="205">
        <f t="shared" si="2007"/>
        <v>0</v>
      </c>
      <c r="WH202" s="205">
        <f t="shared" si="2008"/>
        <v>0</v>
      </c>
      <c r="WI202" s="207"/>
      <c r="WJ202" s="207"/>
      <c r="WK202" s="207"/>
      <c r="WL202" s="207"/>
      <c r="WM202" s="207"/>
      <c r="WN202" s="272"/>
      <c r="WO202" s="272"/>
      <c r="WP202" s="205">
        <f t="shared" si="2016"/>
        <v>0</v>
      </c>
      <c r="WQ202" s="207"/>
      <c r="WR202" s="207"/>
      <c r="WS202" s="207"/>
      <c r="WT202" s="207"/>
      <c r="WU202" s="207"/>
      <c r="WV202" s="272"/>
      <c r="WW202" s="272"/>
      <c r="WX202" s="205">
        <f t="shared" si="2017"/>
        <v>0</v>
      </c>
      <c r="WY202" s="207"/>
      <c r="WZ202" s="207"/>
      <c r="XA202" s="207"/>
      <c r="XB202" s="207"/>
      <c r="XC202" s="272"/>
      <c r="XD202" s="272"/>
      <c r="XE202" s="272"/>
      <c r="XF202" s="205">
        <f t="shared" si="2009"/>
        <v>0</v>
      </c>
      <c r="XG202" s="207"/>
      <c r="XH202" s="207"/>
      <c r="XI202" s="207"/>
      <c r="XJ202" s="207"/>
      <c r="XK202" s="207"/>
      <c r="XL202" s="272"/>
      <c r="XM202" s="272"/>
      <c r="XN202" s="205">
        <f t="shared" si="2105"/>
        <v>0</v>
      </c>
      <c r="XO202" s="207"/>
      <c r="XP202" s="207"/>
      <c r="XQ202" s="207"/>
      <c r="XR202" s="207"/>
      <c r="XS202" s="207"/>
      <c r="XT202" s="272"/>
      <c r="XU202" s="272"/>
      <c r="XV202" s="205">
        <f t="shared" si="2137"/>
        <v>0</v>
      </c>
      <c r="XW202" s="205">
        <f t="shared" si="2138"/>
        <v>0</v>
      </c>
      <c r="XX202" s="207"/>
      <c r="XY202" s="207"/>
      <c r="XZ202" s="207"/>
      <c r="YA202" s="207"/>
      <c r="YB202" s="207"/>
      <c r="YC202" s="272"/>
      <c r="YD202" s="272"/>
      <c r="YE202" s="205">
        <f t="shared" si="2018"/>
        <v>0</v>
      </c>
      <c r="YF202" s="207"/>
      <c r="YG202" s="207"/>
      <c r="YH202" s="207"/>
      <c r="YI202" s="207"/>
      <c r="YJ202" s="207"/>
      <c r="YK202" s="272"/>
      <c r="YL202" s="272"/>
      <c r="YM202" s="205">
        <f t="shared" si="2019"/>
        <v>0</v>
      </c>
      <c r="YN202" s="207"/>
      <c r="YO202" s="207"/>
      <c r="YP202" s="207"/>
      <c r="YQ202" s="207"/>
      <c r="YR202" s="207"/>
      <c r="YS202" s="272"/>
      <c r="YT202" s="272"/>
      <c r="YU202" s="205">
        <f t="shared" si="2020"/>
        <v>0</v>
      </c>
      <c r="YV202" s="207"/>
      <c r="YW202" s="207"/>
      <c r="YX202" s="207"/>
      <c r="YY202" s="207"/>
      <c r="YZ202" s="207"/>
      <c r="ZA202" s="272"/>
      <c r="ZB202" s="272"/>
      <c r="ZC202" s="205">
        <f t="shared" si="2021"/>
        <v>0</v>
      </c>
      <c r="ZD202" s="205">
        <f t="shared" si="2022"/>
        <v>0</v>
      </c>
      <c r="ZE202" s="207"/>
      <c r="ZF202" s="207"/>
      <c r="ZG202" s="207"/>
      <c r="ZH202" s="207"/>
      <c r="ZI202" s="207"/>
      <c r="ZJ202" s="272"/>
      <c r="ZK202" s="272"/>
      <c r="ZL202" s="205">
        <f t="shared" si="2023"/>
        <v>0</v>
      </c>
      <c r="ZM202" s="207"/>
      <c r="ZN202" s="207"/>
      <c r="ZO202" s="207"/>
      <c r="ZP202" s="207"/>
      <c r="ZQ202" s="207"/>
      <c r="ZR202" s="272"/>
      <c r="ZS202" s="272"/>
      <c r="ZT202" s="205">
        <f t="shared" si="2010"/>
        <v>0</v>
      </c>
      <c r="ZU202" s="207"/>
      <c r="ZV202" s="207"/>
      <c r="ZW202" s="207"/>
      <c r="ZX202" s="207"/>
      <c r="ZY202" s="207"/>
      <c r="ZZ202" s="272"/>
      <c r="AAA202" s="272"/>
      <c r="AAB202" s="205">
        <f t="shared" si="2024"/>
        <v>0</v>
      </c>
      <c r="AAC202" s="207"/>
      <c r="AAD202" s="207"/>
      <c r="AAE202" s="207"/>
      <c r="AAF202" s="207"/>
      <c r="AAG202" s="207"/>
      <c r="AAH202" s="272"/>
      <c r="AAI202" s="272"/>
      <c r="AAJ202" s="205">
        <f t="shared" si="2011"/>
        <v>0</v>
      </c>
      <c r="AAK202" s="207"/>
      <c r="AAL202" s="207"/>
      <c r="AAM202" s="207"/>
      <c r="AAN202" s="207"/>
      <c r="AAO202" s="207"/>
      <c r="AAP202" s="272"/>
      <c r="AAQ202" s="272"/>
      <c r="AAR202" s="205">
        <f t="shared" si="2025"/>
        <v>0</v>
      </c>
      <c r="AAS202" s="205">
        <f t="shared" si="2026"/>
        <v>0</v>
      </c>
    </row>
    <row r="203" spans="1:721" ht="107.1" customHeight="1">
      <c r="A203" s="117">
        <v>10</v>
      </c>
      <c r="B203" s="309" t="s">
        <v>911</v>
      </c>
      <c r="C203" s="362" t="s">
        <v>893</v>
      </c>
      <c r="D203" s="349" t="s">
        <v>949</v>
      </c>
      <c r="E203" s="130" t="s">
        <v>4</v>
      </c>
      <c r="F203" s="120"/>
      <c r="G203" s="120"/>
      <c r="H203" s="120"/>
      <c r="I203" s="120"/>
      <c r="J203" s="120"/>
      <c r="K203" s="209"/>
      <c r="L203" s="205"/>
      <c r="M203" s="205">
        <f t="shared" si="2108"/>
        <v>0</v>
      </c>
      <c r="N203" s="120"/>
      <c r="O203" s="120"/>
      <c r="P203" s="120"/>
      <c r="Q203" s="120"/>
      <c r="R203" s="120"/>
      <c r="S203" s="209"/>
      <c r="T203" s="205"/>
      <c r="U203" s="205"/>
      <c r="V203" s="120"/>
      <c r="W203" s="120"/>
      <c r="X203" s="120"/>
      <c r="Y203" s="120"/>
      <c r="Z203" s="120"/>
      <c r="AA203" s="209"/>
      <c r="AB203" s="205"/>
      <c r="AC203" s="205"/>
      <c r="AD203" s="205"/>
      <c r="AE203" s="205"/>
      <c r="AF203" s="205"/>
      <c r="AG203" s="205"/>
      <c r="AH203" s="205"/>
      <c r="AI203" s="209"/>
      <c r="AJ203" s="205"/>
      <c r="AK203" s="205"/>
      <c r="AL203" s="205"/>
      <c r="AM203" s="120"/>
      <c r="AN203" s="120"/>
      <c r="AO203" s="120"/>
      <c r="AP203" s="120"/>
      <c r="AQ203" s="120"/>
      <c r="AR203" s="209"/>
      <c r="AS203" s="205"/>
      <c r="AT203" s="205"/>
      <c r="AU203" s="120"/>
      <c r="AV203" s="120"/>
      <c r="AW203" s="120"/>
      <c r="AX203" s="120"/>
      <c r="AY203" s="120"/>
      <c r="AZ203" s="209"/>
      <c r="BA203" s="205"/>
      <c r="BB203" s="205"/>
      <c r="BC203" s="120"/>
      <c r="BD203" s="120"/>
      <c r="BE203" s="120"/>
      <c r="BF203" s="120"/>
      <c r="BG203" s="120"/>
      <c r="BH203" s="209"/>
      <c r="BI203" s="205"/>
      <c r="BJ203" s="205"/>
      <c r="BK203" s="120"/>
      <c r="BL203" s="120"/>
      <c r="BM203" s="217"/>
      <c r="BN203" s="120"/>
      <c r="BO203" s="205"/>
      <c r="BP203" s="209"/>
      <c r="BQ203" s="205"/>
      <c r="BR203" s="205"/>
      <c r="BS203" s="205"/>
      <c r="BT203" s="120"/>
      <c r="BU203" s="250"/>
      <c r="BV203" s="120"/>
      <c r="BW203" s="120"/>
      <c r="BX203" s="120"/>
      <c r="BY203" s="209"/>
      <c r="BZ203" s="205"/>
      <c r="CA203" s="205"/>
      <c r="CB203" s="120"/>
      <c r="CC203" s="120"/>
      <c r="CD203" s="120"/>
      <c r="CE203" s="120"/>
      <c r="CF203" s="120"/>
      <c r="CG203" s="209"/>
      <c r="CH203" s="205"/>
      <c r="CI203" s="205"/>
      <c r="CJ203" s="120"/>
      <c r="CK203" s="120"/>
      <c r="CL203" s="250"/>
      <c r="CM203" s="120"/>
      <c r="CN203" s="120"/>
      <c r="CO203" s="209"/>
      <c r="CP203" s="205"/>
      <c r="CQ203" s="205"/>
      <c r="CR203" s="120"/>
      <c r="CS203" s="120"/>
      <c r="CT203" s="120"/>
      <c r="CU203" s="120"/>
      <c r="CV203" s="120"/>
      <c r="CW203" s="209"/>
      <c r="CX203" s="205"/>
      <c r="CY203" s="205"/>
      <c r="CZ203" s="120"/>
      <c r="DA203" s="120"/>
      <c r="DB203" s="120"/>
      <c r="DC203" s="205"/>
      <c r="DD203" s="205"/>
      <c r="DE203" s="209"/>
      <c r="DF203" s="205"/>
      <c r="DG203" s="205"/>
      <c r="DH203" s="205"/>
      <c r="DI203" s="120"/>
      <c r="DJ203" s="120"/>
      <c r="DK203" s="120"/>
      <c r="DL203" s="120"/>
      <c r="DM203" s="120"/>
      <c r="DN203" s="209"/>
      <c r="DO203" s="205"/>
      <c r="DP203" s="205"/>
      <c r="DQ203" s="217"/>
      <c r="DR203" s="120"/>
      <c r="DS203" s="120"/>
      <c r="DT203" s="120"/>
      <c r="DU203" s="120"/>
      <c r="DV203" s="209"/>
      <c r="DW203" s="205"/>
      <c r="DX203" s="205"/>
      <c r="DY203" s="120"/>
      <c r="DZ203" s="120"/>
      <c r="EA203" s="120"/>
      <c r="EB203" s="120"/>
      <c r="EC203" s="120"/>
      <c r="ED203" s="209"/>
      <c r="EE203" s="205"/>
      <c r="EF203" s="205"/>
      <c r="EG203" s="120"/>
      <c r="EH203" s="120"/>
      <c r="EI203" s="120"/>
      <c r="EJ203" s="205"/>
      <c r="EK203" s="205"/>
      <c r="EL203" s="209"/>
      <c r="EM203" s="205"/>
      <c r="EN203" s="205"/>
      <c r="EO203" s="205"/>
      <c r="EP203" s="120"/>
      <c r="EQ203" s="250"/>
      <c r="ER203" s="120"/>
      <c r="ES203" s="120"/>
      <c r="ET203" s="120"/>
      <c r="EU203" s="209"/>
      <c r="EV203" s="205"/>
      <c r="EW203" s="205"/>
      <c r="EX203" s="120"/>
      <c r="EY203" s="120"/>
      <c r="EZ203" s="120"/>
      <c r="FA203" s="120"/>
      <c r="FB203" s="120"/>
      <c r="FC203" s="209"/>
      <c r="FD203" s="205"/>
      <c r="FE203" s="205"/>
      <c r="FF203" s="120"/>
      <c r="FG203" s="195"/>
      <c r="FH203" s="120"/>
      <c r="FI203" s="120"/>
      <c r="FJ203" s="120"/>
      <c r="FK203" s="209"/>
      <c r="FL203" s="205"/>
      <c r="FM203" s="205"/>
      <c r="FN203" s="120"/>
      <c r="FO203" s="120"/>
      <c r="FP203" s="120"/>
      <c r="FQ203" s="120"/>
      <c r="FR203" s="205"/>
      <c r="FS203" s="209"/>
      <c r="FT203" s="205"/>
      <c r="FU203" s="205"/>
      <c r="FV203" s="205"/>
      <c r="FW203" s="120"/>
      <c r="FX203" s="120"/>
      <c r="FY203" s="120"/>
      <c r="FZ203" s="120"/>
      <c r="GA203" s="120"/>
      <c r="GB203" s="209"/>
      <c r="GC203" s="205"/>
      <c r="GD203" s="205"/>
      <c r="GE203" s="120"/>
      <c r="GF203" s="120"/>
      <c r="GG203" s="120"/>
      <c r="GH203" s="120"/>
      <c r="GI203" s="120"/>
      <c r="GJ203" s="209"/>
      <c r="GK203" s="205"/>
      <c r="GL203" s="205"/>
      <c r="GM203" s="120"/>
      <c r="GN203" s="120"/>
      <c r="GO203" s="120"/>
      <c r="GP203" s="120"/>
      <c r="GQ203" s="120"/>
      <c r="GR203" s="209"/>
      <c r="GS203" s="205"/>
      <c r="GT203" s="205"/>
      <c r="GU203" s="120"/>
      <c r="GV203" s="120"/>
      <c r="GW203" s="120"/>
      <c r="GX203" s="120"/>
      <c r="GY203" s="120"/>
      <c r="GZ203" s="209"/>
      <c r="HA203" s="205"/>
      <c r="HB203" s="205"/>
      <c r="HC203" s="120"/>
      <c r="HD203" s="120"/>
      <c r="HE203" s="120"/>
      <c r="HF203" s="120"/>
      <c r="HG203" s="120"/>
      <c r="HH203" s="209"/>
      <c r="HI203" s="205"/>
      <c r="HJ203" s="205"/>
      <c r="HK203" s="205"/>
      <c r="HL203" s="124"/>
      <c r="HM203" s="120"/>
      <c r="HN203" s="120"/>
      <c r="HO203" s="123"/>
      <c r="HP203" s="120"/>
      <c r="HQ203" s="205"/>
      <c r="HR203" s="205"/>
      <c r="HS203" s="205"/>
      <c r="HT203" s="120"/>
      <c r="HU203" s="120"/>
      <c r="HV203" s="120"/>
      <c r="HW203" s="120"/>
      <c r="HX203" s="120"/>
      <c r="HY203" s="205"/>
      <c r="HZ203" s="205"/>
      <c r="IA203" s="205"/>
      <c r="IB203" s="120"/>
      <c r="IC203" s="120"/>
      <c r="ID203" s="120"/>
      <c r="IE203" s="120"/>
      <c r="IF203" s="120"/>
      <c r="IG203" s="205"/>
      <c r="IH203" s="205"/>
      <c r="II203" s="205"/>
      <c r="IJ203" s="120"/>
      <c r="IK203" s="120"/>
      <c r="IL203" s="201"/>
      <c r="IM203" s="120"/>
      <c r="IN203" s="120"/>
      <c r="IO203" s="205"/>
      <c r="IP203" s="205"/>
      <c r="IQ203" s="205"/>
      <c r="IR203" s="205"/>
      <c r="IS203" s="120"/>
      <c r="IT203" s="120"/>
      <c r="IU203" s="120"/>
      <c r="IV203" s="120"/>
      <c r="IW203" s="120"/>
      <c r="IX203" s="205"/>
      <c r="IY203" s="205"/>
      <c r="IZ203" s="205"/>
      <c r="JA203" s="120"/>
      <c r="JB203" s="120"/>
      <c r="JC203" s="120"/>
      <c r="JD203" s="120"/>
      <c r="JE203" s="120"/>
      <c r="JF203" s="205"/>
      <c r="JG203" s="205"/>
      <c r="JH203" s="205"/>
      <c r="JI203" s="120"/>
      <c r="JJ203" s="120"/>
      <c r="JK203" s="120"/>
      <c r="JL203" s="120"/>
      <c r="JM203" s="120"/>
      <c r="JN203" s="205"/>
      <c r="JO203" s="205"/>
      <c r="JP203" s="205"/>
      <c r="JQ203" s="120"/>
      <c r="JR203" s="120"/>
      <c r="JS203" s="120"/>
      <c r="JT203" s="120"/>
      <c r="JU203" s="120"/>
      <c r="JV203" s="205"/>
      <c r="JW203" s="205"/>
      <c r="JX203" s="205"/>
      <c r="JY203" s="205"/>
      <c r="JZ203" s="120"/>
      <c r="KA203" s="120"/>
      <c r="KB203" s="120"/>
      <c r="KC203" s="120"/>
      <c r="KD203" s="120"/>
      <c r="KE203" s="205"/>
      <c r="KF203" s="205"/>
      <c r="KG203" s="205"/>
      <c r="KH203" s="120"/>
      <c r="KI203" s="120"/>
      <c r="KJ203" s="120"/>
      <c r="KK203" s="206"/>
      <c r="KL203" s="120"/>
      <c r="KM203" s="205"/>
      <c r="KN203" s="205"/>
      <c r="KO203" s="205"/>
      <c r="KP203" s="120"/>
      <c r="KQ203" s="120"/>
      <c r="KR203" s="120"/>
      <c r="KS203" s="120"/>
      <c r="KT203" s="120"/>
      <c r="KU203" s="205"/>
      <c r="KV203" s="205"/>
      <c r="KW203" s="205"/>
      <c r="KX203" s="120"/>
      <c r="KY203" s="120"/>
      <c r="KZ203" s="120"/>
      <c r="LA203" s="120"/>
      <c r="LB203" s="120"/>
      <c r="LC203" s="205"/>
      <c r="LD203" s="205"/>
      <c r="LE203" s="205"/>
      <c r="LF203" s="205"/>
      <c r="LG203" s="120"/>
      <c r="LH203" s="120"/>
      <c r="LI203" s="120"/>
      <c r="LJ203" s="120"/>
      <c r="LK203" s="205"/>
      <c r="LL203" s="205"/>
      <c r="LM203" s="205"/>
      <c r="LN203" s="205"/>
      <c r="LO203" s="205"/>
      <c r="LP203" s="120"/>
      <c r="LQ203" s="120"/>
      <c r="LR203" s="120"/>
      <c r="LS203" s="205"/>
      <c r="LT203" s="205"/>
      <c r="LU203" s="205"/>
      <c r="LV203" s="205"/>
      <c r="LW203" s="120"/>
      <c r="LX203" s="120"/>
      <c r="LY203" s="124"/>
      <c r="LZ203" s="120"/>
      <c r="MA203" s="120"/>
      <c r="MB203" s="205"/>
      <c r="MC203" s="205"/>
      <c r="MD203" s="205"/>
      <c r="ME203" s="120"/>
      <c r="MF203" s="120"/>
      <c r="MG203" s="120"/>
      <c r="MH203" s="201"/>
      <c r="MI203" s="205"/>
      <c r="MJ203" s="205"/>
      <c r="MK203" s="205"/>
      <c r="ML203" s="205"/>
      <c r="MM203" s="120"/>
      <c r="MN203" s="120"/>
      <c r="MO203" s="120"/>
      <c r="MP203" s="120"/>
      <c r="MQ203" s="120"/>
      <c r="MR203" s="205"/>
      <c r="MS203" s="205"/>
      <c r="MT203" s="205"/>
      <c r="MU203" s="205"/>
      <c r="MV203" s="120"/>
      <c r="MW203" s="120"/>
      <c r="MX203" s="195"/>
      <c r="MY203" s="120"/>
      <c r="MZ203" s="120"/>
      <c r="NA203" s="205"/>
      <c r="NB203" s="205"/>
      <c r="NC203" s="205"/>
      <c r="ND203" s="120"/>
      <c r="NE203" s="120"/>
      <c r="NF203" s="120"/>
      <c r="NG203" s="120"/>
      <c r="NH203" s="120"/>
      <c r="NI203" s="205"/>
      <c r="NJ203" s="205"/>
      <c r="NK203" s="205"/>
      <c r="NL203" s="120"/>
      <c r="NM203" s="120"/>
      <c r="NN203" s="120"/>
      <c r="NO203" s="120"/>
      <c r="NP203" s="120"/>
      <c r="NQ203" s="205"/>
      <c r="NR203" s="205"/>
      <c r="NS203" s="205"/>
      <c r="NT203" s="217"/>
      <c r="NU203" s="120"/>
      <c r="NV203" s="120"/>
      <c r="NW203" s="120"/>
      <c r="NX203" s="120"/>
      <c r="NY203" s="205"/>
      <c r="NZ203" s="205"/>
      <c r="OA203" s="205">
        <f t="shared" si="2109"/>
        <v>0</v>
      </c>
      <c r="OB203" s="205">
        <f t="shared" si="2110"/>
        <v>0</v>
      </c>
      <c r="OC203" s="120"/>
      <c r="OD203" s="120"/>
      <c r="OE203" s="120"/>
      <c r="OF203" s="120"/>
      <c r="OG203" s="120"/>
      <c r="OH203" s="205"/>
      <c r="OI203" s="205"/>
      <c r="OJ203" s="205">
        <f t="shared" si="2111"/>
        <v>0</v>
      </c>
      <c r="OK203" s="120"/>
      <c r="OL203" s="120"/>
      <c r="OM203" s="120"/>
      <c r="ON203" s="120"/>
      <c r="OO203" s="120"/>
      <c r="OP203" s="205"/>
      <c r="OQ203" s="205"/>
      <c r="OR203" s="205">
        <f t="shared" si="2112"/>
        <v>0</v>
      </c>
      <c r="OS203" s="120"/>
      <c r="OT203" s="120"/>
      <c r="OU203" s="120"/>
      <c r="OV203" s="120"/>
      <c r="OW203" s="120"/>
      <c r="OX203" s="205"/>
      <c r="OY203" s="205"/>
      <c r="OZ203" s="205">
        <f t="shared" si="2113"/>
        <v>0</v>
      </c>
      <c r="PA203" s="120"/>
      <c r="PB203" s="120"/>
      <c r="PC203" s="120"/>
      <c r="PD203" s="205"/>
      <c r="PE203" s="217"/>
      <c r="PF203" s="205"/>
      <c r="PG203" s="205"/>
      <c r="PH203" s="205">
        <f t="shared" si="2114"/>
        <v>0</v>
      </c>
      <c r="PI203" s="120"/>
      <c r="PJ203" s="120"/>
      <c r="PK203" s="120"/>
      <c r="PL203" s="205"/>
      <c r="PM203" s="217"/>
      <c r="PN203" s="205"/>
      <c r="PO203" s="205"/>
      <c r="PP203" s="205">
        <f t="shared" si="2115"/>
        <v>0</v>
      </c>
      <c r="PQ203" s="205">
        <f t="shared" si="2116"/>
        <v>0</v>
      </c>
      <c r="PR203" s="120"/>
      <c r="PS203" s="207"/>
      <c r="PT203" s="207"/>
      <c r="PU203" s="207"/>
      <c r="PV203" s="207"/>
      <c r="PW203" s="272"/>
      <c r="PX203" s="272"/>
      <c r="PY203" s="205"/>
      <c r="PZ203" s="207"/>
      <c r="QA203" s="207"/>
      <c r="QB203" s="207"/>
      <c r="QC203" s="207"/>
      <c r="QD203" s="207"/>
      <c r="QE203" s="272"/>
      <c r="QF203" s="272"/>
      <c r="QG203" s="205"/>
      <c r="QH203" s="207"/>
      <c r="QI203" s="207"/>
      <c r="QJ203" s="294"/>
      <c r="QK203" s="207"/>
      <c r="QL203" s="207"/>
      <c r="QM203" s="272"/>
      <c r="QN203" s="272"/>
      <c r="QO203" s="205"/>
      <c r="QP203" s="207"/>
      <c r="QQ203" s="120"/>
      <c r="QR203" s="207"/>
      <c r="QS203" s="207"/>
      <c r="QT203" s="207"/>
      <c r="QU203" s="272"/>
      <c r="QV203" s="272"/>
      <c r="QW203" s="205"/>
      <c r="QX203" s="205">
        <f t="shared" si="2139"/>
        <v>0</v>
      </c>
      <c r="QY203" s="120"/>
      <c r="QZ203" s="120"/>
      <c r="RA203" s="120"/>
      <c r="RB203" s="120"/>
      <c r="RC203" s="120"/>
      <c r="RD203" s="272"/>
      <c r="RE203" s="272"/>
      <c r="RF203" s="205">
        <f t="shared" si="2095"/>
        <v>0</v>
      </c>
      <c r="RG203" s="207"/>
      <c r="RH203" s="207"/>
      <c r="RI203" s="207"/>
      <c r="RJ203" s="207"/>
      <c r="RK203" s="207"/>
      <c r="RL203" s="272"/>
      <c r="RM203" s="272"/>
      <c r="RN203" s="205">
        <f t="shared" si="2096"/>
        <v>0</v>
      </c>
      <c r="RO203" s="272"/>
      <c r="RP203" s="272"/>
      <c r="RQ203" s="272"/>
      <c r="RR203" s="272"/>
      <c r="RS203" s="272"/>
      <c r="RT203" s="272"/>
      <c r="RU203" s="272"/>
      <c r="RV203" s="205">
        <f t="shared" si="2097"/>
        <v>0</v>
      </c>
      <c r="RW203" s="207"/>
      <c r="RX203" s="207"/>
      <c r="RY203" s="207"/>
      <c r="RZ203" s="207"/>
      <c r="SA203" s="272"/>
      <c r="SB203" s="272"/>
      <c r="SC203" s="272"/>
      <c r="SD203" s="205">
        <f t="shared" si="2140"/>
        <v>0</v>
      </c>
      <c r="SE203" s="205">
        <f t="shared" si="2141"/>
        <v>0</v>
      </c>
      <c r="SF203" s="207"/>
      <c r="SG203" s="207"/>
      <c r="SH203" s="207"/>
      <c r="SI203" s="207"/>
      <c r="SJ203" s="207"/>
      <c r="SK203" s="272"/>
      <c r="SL203" s="272"/>
      <c r="SM203" s="205">
        <f t="shared" si="2100"/>
        <v>0</v>
      </c>
      <c r="SN203" s="207"/>
      <c r="SO203" s="207"/>
      <c r="SP203" s="207"/>
      <c r="SQ203" s="207"/>
      <c r="SR203" s="120"/>
      <c r="SS203" s="272"/>
      <c r="ST203" s="272"/>
      <c r="SU203" s="205">
        <f t="shared" si="2101"/>
        <v>0</v>
      </c>
      <c r="SV203" s="207"/>
      <c r="SW203" s="207"/>
      <c r="SX203" s="207"/>
      <c r="SY203" s="207"/>
      <c r="SZ203" s="207"/>
      <c r="TA203" s="272"/>
      <c r="TB203" s="272"/>
      <c r="TC203" s="205">
        <f t="shared" si="2102"/>
        <v>0</v>
      </c>
      <c r="TD203" s="207"/>
      <c r="TE203" s="207"/>
      <c r="TF203" s="207"/>
      <c r="TG203" s="207"/>
      <c r="TH203" s="207"/>
      <c r="TI203" s="272"/>
      <c r="TJ203" s="272"/>
      <c r="TK203" s="205">
        <f>SUM(TD203:TJ203)</f>
        <v>0</v>
      </c>
      <c r="TL203" s="207"/>
      <c r="TM203" s="207"/>
      <c r="TN203" s="207"/>
      <c r="TO203" s="207"/>
      <c r="TP203" s="272"/>
      <c r="TQ203" s="272"/>
      <c r="TR203" s="272"/>
      <c r="TS203" s="205">
        <f t="shared" si="2135"/>
        <v>0</v>
      </c>
      <c r="TT203" s="205">
        <f t="shared" si="2136"/>
        <v>0</v>
      </c>
      <c r="TU203" s="272"/>
      <c r="TV203" s="207"/>
      <c r="TW203" s="207"/>
      <c r="TX203" s="207"/>
      <c r="TY203" s="207"/>
      <c r="TZ203" s="272"/>
      <c r="UA203" s="272"/>
      <c r="UB203" s="205">
        <f t="shared" si="2012"/>
        <v>0</v>
      </c>
      <c r="UC203" s="356"/>
      <c r="UD203" s="356"/>
      <c r="UE203" s="356"/>
      <c r="UF203" s="382">
        <v>140</v>
      </c>
      <c r="UG203" s="123">
        <v>500</v>
      </c>
      <c r="UH203" s="272"/>
      <c r="UI203" s="272"/>
      <c r="UJ203" s="205">
        <f t="shared" si="2013"/>
        <v>640</v>
      </c>
      <c r="UK203" s="207"/>
      <c r="UL203" s="124">
        <v>140</v>
      </c>
      <c r="UM203" s="207"/>
      <c r="UN203" s="207"/>
      <c r="UO203" s="207"/>
      <c r="UP203" s="272"/>
      <c r="UQ203" s="272"/>
      <c r="UR203" s="205">
        <f t="shared" si="2014"/>
        <v>140</v>
      </c>
      <c r="US203" s="207"/>
      <c r="UT203" s="207"/>
      <c r="UU203" s="207"/>
      <c r="UV203" s="217">
        <v>1500</v>
      </c>
      <c r="UW203" s="272"/>
      <c r="UX203" s="272"/>
      <c r="UY203" s="272"/>
      <c r="UZ203" s="205">
        <f>SUM(UP203:UY203)</f>
        <v>1640</v>
      </c>
      <c r="VA203" s="205">
        <f ca="1">SUM(TN203:TR203,UB203,UJ203,UR203,UP203:VE203)</f>
        <v>1780</v>
      </c>
      <c r="VB203" s="207"/>
      <c r="VC203" s="120"/>
      <c r="VD203" s="207"/>
      <c r="VE203" s="207"/>
      <c r="VF203" s="207"/>
      <c r="VG203" s="272"/>
      <c r="VH203" s="272"/>
      <c r="VI203" s="205">
        <f t="shared" si="2005"/>
        <v>0</v>
      </c>
      <c r="VJ203" s="207"/>
      <c r="VK203" s="207"/>
      <c r="VL203" s="207"/>
      <c r="VM203" s="207"/>
      <c r="VN203" s="207"/>
      <c r="VO203" s="272"/>
      <c r="VP203" s="272"/>
      <c r="VQ203" s="205">
        <f t="shared" si="2015"/>
        <v>0</v>
      </c>
      <c r="VR203" s="207"/>
      <c r="VS203" s="207"/>
      <c r="VT203" s="207"/>
      <c r="VU203" s="207"/>
      <c r="VV203" s="207"/>
      <c r="VW203" s="272"/>
      <c r="VX203" s="272"/>
      <c r="VY203" s="205">
        <f t="shared" si="2006"/>
        <v>0</v>
      </c>
      <c r="VZ203" s="207"/>
      <c r="WA203" s="207"/>
      <c r="WB203" s="207"/>
      <c r="WC203" s="207"/>
      <c r="WD203" s="207"/>
      <c r="WE203" s="272"/>
      <c r="WF203" s="272"/>
      <c r="WG203" s="205">
        <f t="shared" si="2007"/>
        <v>0</v>
      </c>
      <c r="WH203" s="205">
        <f t="shared" si="2008"/>
        <v>0</v>
      </c>
      <c r="WI203" s="207"/>
      <c r="WJ203" s="207"/>
      <c r="WK203" s="207"/>
      <c r="WL203" s="207"/>
      <c r="WM203" s="207"/>
      <c r="WN203" s="272"/>
      <c r="WO203" s="272"/>
      <c r="WP203" s="205">
        <f t="shared" si="2016"/>
        <v>0</v>
      </c>
      <c r="WQ203" s="207"/>
      <c r="WR203" s="207"/>
      <c r="WS203" s="207"/>
      <c r="WT203" s="207"/>
      <c r="WU203" s="207"/>
      <c r="WV203" s="272"/>
      <c r="WW203" s="272"/>
      <c r="WX203" s="205">
        <f t="shared" si="2017"/>
        <v>0</v>
      </c>
      <c r="WY203" s="207"/>
      <c r="WZ203" s="207"/>
      <c r="XA203" s="207"/>
      <c r="XB203" s="207"/>
      <c r="XC203" s="272"/>
      <c r="XD203" s="272"/>
      <c r="XE203" s="272"/>
      <c r="XF203" s="205">
        <f t="shared" si="2009"/>
        <v>0</v>
      </c>
      <c r="XG203" s="207"/>
      <c r="XH203" s="207"/>
      <c r="XI203" s="207"/>
      <c r="XJ203" s="207"/>
      <c r="XK203" s="124">
        <v>140</v>
      </c>
      <c r="XL203" s="272"/>
      <c r="XM203" s="272"/>
      <c r="XN203" s="205">
        <f>SUM(XI203:XM203)</f>
        <v>140</v>
      </c>
      <c r="XO203" s="207"/>
      <c r="XP203" s="124">
        <v>1000</v>
      </c>
      <c r="XQ203" s="207"/>
      <c r="XR203" s="207"/>
      <c r="XS203" s="207"/>
      <c r="XT203" s="272"/>
      <c r="XU203" s="272"/>
      <c r="XV203" s="205">
        <f t="shared" si="2137"/>
        <v>1000</v>
      </c>
      <c r="XW203" s="205">
        <f t="shared" si="2138"/>
        <v>1140</v>
      </c>
      <c r="XX203" s="207"/>
      <c r="XY203" s="207"/>
      <c r="XZ203" s="207"/>
      <c r="YA203" s="207"/>
      <c r="YB203" s="207"/>
      <c r="YC203" s="272"/>
      <c r="YD203" s="272"/>
      <c r="YE203" s="205">
        <f t="shared" si="2018"/>
        <v>0</v>
      </c>
      <c r="YF203" s="207"/>
      <c r="YG203" s="207"/>
      <c r="YH203" s="207"/>
      <c r="YI203" s="207"/>
      <c r="YJ203" s="207"/>
      <c r="YK203" s="272"/>
      <c r="YL203" s="272"/>
      <c r="YM203" s="205">
        <f t="shared" si="2019"/>
        <v>0</v>
      </c>
      <c r="YN203" s="207"/>
      <c r="YO203" s="207"/>
      <c r="YP203" s="207"/>
      <c r="YQ203" s="207"/>
      <c r="YR203" s="207"/>
      <c r="YS203" s="272"/>
      <c r="YT203" s="272"/>
      <c r="YU203" s="205">
        <f t="shared" si="2020"/>
        <v>0</v>
      </c>
      <c r="YV203" s="207"/>
      <c r="YW203" s="207"/>
      <c r="YX203" s="207"/>
      <c r="YY203" s="207"/>
      <c r="YZ203" s="207"/>
      <c r="ZA203" s="272"/>
      <c r="ZB203" s="272"/>
      <c r="ZC203" s="205">
        <f t="shared" si="2021"/>
        <v>0</v>
      </c>
      <c r="ZD203" s="205">
        <f t="shared" si="2022"/>
        <v>1140</v>
      </c>
      <c r="ZE203" s="207"/>
      <c r="ZF203" s="207"/>
      <c r="ZG203" s="207"/>
      <c r="ZH203" s="207"/>
      <c r="ZI203" s="207"/>
      <c r="ZJ203" s="272"/>
      <c r="ZK203" s="272"/>
      <c r="ZL203" s="205">
        <f t="shared" si="2023"/>
        <v>0</v>
      </c>
      <c r="ZM203" s="207"/>
      <c r="ZN203" s="207"/>
      <c r="ZO203" s="207"/>
      <c r="ZP203" s="207"/>
      <c r="ZQ203" s="207"/>
      <c r="ZR203" s="272"/>
      <c r="ZS203" s="272"/>
      <c r="ZT203" s="205">
        <f t="shared" si="2010"/>
        <v>0</v>
      </c>
      <c r="ZU203" s="207"/>
      <c r="ZV203" s="207"/>
      <c r="ZW203" s="207"/>
      <c r="ZX203" s="207"/>
      <c r="ZY203" s="207"/>
      <c r="ZZ203" s="272"/>
      <c r="AAA203" s="272"/>
      <c r="AAB203" s="205">
        <f t="shared" si="2024"/>
        <v>0</v>
      </c>
      <c r="AAC203" s="207"/>
      <c r="AAD203" s="207"/>
      <c r="AAE203" s="207"/>
      <c r="AAF203" s="207"/>
      <c r="AAG203" s="207"/>
      <c r="AAH203" s="272"/>
      <c r="AAI203" s="272"/>
      <c r="AAJ203" s="205">
        <f t="shared" si="2011"/>
        <v>0</v>
      </c>
      <c r="AAK203" s="207"/>
      <c r="AAL203" s="207"/>
      <c r="AAM203" s="207"/>
      <c r="AAN203" s="207"/>
      <c r="AAO203" s="207"/>
      <c r="AAP203" s="272"/>
      <c r="AAQ203" s="272"/>
      <c r="AAR203" s="205">
        <f t="shared" si="2025"/>
        <v>0</v>
      </c>
      <c r="AAS203" s="205">
        <f t="shared" si="2026"/>
        <v>0</v>
      </c>
    </row>
    <row r="204" spans="1:721" ht="91.5" hidden="1" customHeight="1">
      <c r="B204" s="309" t="s">
        <v>937</v>
      </c>
      <c r="C204" s="362"/>
      <c r="D204" s="349" t="s">
        <v>936</v>
      </c>
      <c r="E204" s="130"/>
      <c r="F204" s="120"/>
      <c r="G204" s="120"/>
      <c r="H204" s="120"/>
      <c r="I204" s="120"/>
      <c r="J204" s="120"/>
      <c r="K204" s="209"/>
      <c r="L204" s="205"/>
      <c r="M204" s="205">
        <f t="shared" si="2108"/>
        <v>0</v>
      </c>
      <c r="N204" s="120"/>
      <c r="O204" s="120"/>
      <c r="P204" s="120"/>
      <c r="Q204" s="120"/>
      <c r="R204" s="120"/>
      <c r="S204" s="209"/>
      <c r="T204" s="205"/>
      <c r="U204" s="205"/>
      <c r="V204" s="120"/>
      <c r="W204" s="120"/>
      <c r="X204" s="120"/>
      <c r="Y204" s="120"/>
      <c r="Z204" s="120"/>
      <c r="AA204" s="209"/>
      <c r="AB204" s="205"/>
      <c r="AC204" s="205"/>
      <c r="AD204" s="205"/>
      <c r="AE204" s="205"/>
      <c r="AF204" s="205"/>
      <c r="AG204" s="205"/>
      <c r="AH204" s="205"/>
      <c r="AI204" s="209"/>
      <c r="AJ204" s="205"/>
      <c r="AK204" s="205"/>
      <c r="AL204" s="205"/>
      <c r="AM204" s="120"/>
      <c r="AN204" s="120"/>
      <c r="AO204" s="120"/>
      <c r="AP204" s="120"/>
      <c r="AQ204" s="120"/>
      <c r="AR204" s="209"/>
      <c r="AS204" s="205"/>
      <c r="AT204" s="205"/>
      <c r="AU204" s="120"/>
      <c r="AV204" s="120"/>
      <c r="AW204" s="120"/>
      <c r="AX204" s="120"/>
      <c r="AY204" s="120"/>
      <c r="AZ204" s="209"/>
      <c r="BA204" s="205"/>
      <c r="BB204" s="205"/>
      <c r="BC204" s="120"/>
      <c r="BD204" s="120"/>
      <c r="BE204" s="120"/>
      <c r="BF204" s="120"/>
      <c r="BG204" s="120"/>
      <c r="BH204" s="209"/>
      <c r="BI204" s="205"/>
      <c r="BJ204" s="205"/>
      <c r="BK204" s="120"/>
      <c r="BL204" s="120"/>
      <c r="BM204" s="217"/>
      <c r="BN204" s="120"/>
      <c r="BO204" s="205"/>
      <c r="BP204" s="209"/>
      <c r="BQ204" s="205"/>
      <c r="BR204" s="205"/>
      <c r="BS204" s="205"/>
      <c r="BT204" s="120"/>
      <c r="BU204" s="250"/>
      <c r="BV204" s="120"/>
      <c r="BW204" s="120"/>
      <c r="BX204" s="120"/>
      <c r="BY204" s="209"/>
      <c r="BZ204" s="205"/>
      <c r="CA204" s="205"/>
      <c r="CB204" s="120"/>
      <c r="CC204" s="120"/>
      <c r="CD204" s="120"/>
      <c r="CE204" s="120"/>
      <c r="CF204" s="120"/>
      <c r="CG204" s="209"/>
      <c r="CH204" s="205"/>
      <c r="CI204" s="205"/>
      <c r="CJ204" s="120"/>
      <c r="CK204" s="120"/>
      <c r="CL204" s="250"/>
      <c r="CM204" s="120"/>
      <c r="CN204" s="120"/>
      <c r="CO204" s="209"/>
      <c r="CP204" s="205"/>
      <c r="CQ204" s="205"/>
      <c r="CR204" s="120"/>
      <c r="CS204" s="120"/>
      <c r="CT204" s="120"/>
      <c r="CU204" s="120"/>
      <c r="CV204" s="120"/>
      <c r="CW204" s="209"/>
      <c r="CX204" s="205"/>
      <c r="CY204" s="205"/>
      <c r="CZ204" s="120"/>
      <c r="DA204" s="120"/>
      <c r="DB204" s="120"/>
      <c r="DC204" s="205"/>
      <c r="DD204" s="205"/>
      <c r="DE204" s="209"/>
      <c r="DF204" s="205"/>
      <c r="DG204" s="205"/>
      <c r="DH204" s="205"/>
      <c r="DI204" s="120"/>
      <c r="DJ204" s="120"/>
      <c r="DK204" s="120"/>
      <c r="DL204" s="120"/>
      <c r="DM204" s="120"/>
      <c r="DN204" s="209"/>
      <c r="DO204" s="205"/>
      <c r="DP204" s="205"/>
      <c r="DQ204" s="217"/>
      <c r="DR204" s="120"/>
      <c r="DS204" s="120"/>
      <c r="DT204" s="120"/>
      <c r="DU204" s="120"/>
      <c r="DV204" s="209"/>
      <c r="DW204" s="205"/>
      <c r="DX204" s="205"/>
      <c r="DY204" s="120"/>
      <c r="DZ204" s="120"/>
      <c r="EA204" s="120"/>
      <c r="EB204" s="120"/>
      <c r="EC204" s="120"/>
      <c r="ED204" s="209"/>
      <c r="EE204" s="205"/>
      <c r="EF204" s="205"/>
      <c r="EG204" s="120"/>
      <c r="EH204" s="120"/>
      <c r="EI204" s="120"/>
      <c r="EJ204" s="205"/>
      <c r="EK204" s="205"/>
      <c r="EL204" s="209"/>
      <c r="EM204" s="205"/>
      <c r="EN204" s="205"/>
      <c r="EO204" s="205"/>
      <c r="EP204" s="120"/>
      <c r="EQ204" s="250"/>
      <c r="ER204" s="120"/>
      <c r="ES204" s="120"/>
      <c r="ET204" s="120"/>
      <c r="EU204" s="209"/>
      <c r="EV204" s="205"/>
      <c r="EW204" s="205"/>
      <c r="EX204" s="120"/>
      <c r="EY204" s="120"/>
      <c r="EZ204" s="120"/>
      <c r="FA204" s="120"/>
      <c r="FB204" s="120"/>
      <c r="FC204" s="209"/>
      <c r="FD204" s="205"/>
      <c r="FE204" s="205"/>
      <c r="FF204" s="120"/>
      <c r="FG204" s="195"/>
      <c r="FH204" s="120"/>
      <c r="FI204" s="120"/>
      <c r="FJ204" s="120"/>
      <c r="FK204" s="209"/>
      <c r="FL204" s="205"/>
      <c r="FM204" s="205"/>
      <c r="FN204" s="120"/>
      <c r="FO204" s="120"/>
      <c r="FP204" s="120"/>
      <c r="FQ204" s="120"/>
      <c r="FR204" s="205"/>
      <c r="FS204" s="209"/>
      <c r="FT204" s="205"/>
      <c r="FU204" s="205"/>
      <c r="FV204" s="205"/>
      <c r="FW204" s="120"/>
      <c r="FX204" s="120"/>
      <c r="FY204" s="120"/>
      <c r="FZ204" s="120"/>
      <c r="GA204" s="120"/>
      <c r="GB204" s="209"/>
      <c r="GC204" s="205"/>
      <c r="GD204" s="205"/>
      <c r="GE204" s="120"/>
      <c r="GF204" s="120"/>
      <c r="GG204" s="120"/>
      <c r="GH204" s="120"/>
      <c r="GI204" s="120"/>
      <c r="GJ204" s="209"/>
      <c r="GK204" s="205"/>
      <c r="GL204" s="205"/>
      <c r="GM204" s="120"/>
      <c r="GN204" s="120"/>
      <c r="GO204" s="120"/>
      <c r="GP204" s="120"/>
      <c r="GQ204" s="120"/>
      <c r="GR204" s="209"/>
      <c r="GS204" s="205"/>
      <c r="GT204" s="205"/>
      <c r="GU204" s="120"/>
      <c r="GV204" s="120"/>
      <c r="GW204" s="120"/>
      <c r="GX204" s="120"/>
      <c r="GY204" s="120"/>
      <c r="GZ204" s="209"/>
      <c r="HA204" s="205"/>
      <c r="HB204" s="205"/>
      <c r="HC204" s="120"/>
      <c r="HD204" s="120"/>
      <c r="HE204" s="120"/>
      <c r="HF204" s="120"/>
      <c r="HG204" s="120"/>
      <c r="HH204" s="209"/>
      <c r="HI204" s="205"/>
      <c r="HJ204" s="205"/>
      <c r="HK204" s="205"/>
      <c r="HL204" s="124"/>
      <c r="HM204" s="120"/>
      <c r="HN204" s="120"/>
      <c r="HO204" s="123"/>
      <c r="HP204" s="120"/>
      <c r="HQ204" s="205"/>
      <c r="HR204" s="205"/>
      <c r="HS204" s="205"/>
      <c r="HT204" s="120"/>
      <c r="HU204" s="120"/>
      <c r="HV204" s="120"/>
      <c r="HW204" s="120"/>
      <c r="HX204" s="120"/>
      <c r="HY204" s="205"/>
      <c r="HZ204" s="205"/>
      <c r="IA204" s="205"/>
      <c r="IB204" s="120"/>
      <c r="IC204" s="120"/>
      <c r="ID204" s="120"/>
      <c r="IE204" s="120"/>
      <c r="IF204" s="120"/>
      <c r="IG204" s="205"/>
      <c r="IH204" s="205"/>
      <c r="II204" s="205"/>
      <c r="IJ204" s="120"/>
      <c r="IK204" s="120"/>
      <c r="IL204" s="201"/>
      <c r="IM204" s="120"/>
      <c r="IN204" s="120"/>
      <c r="IO204" s="205"/>
      <c r="IP204" s="205"/>
      <c r="IQ204" s="205"/>
      <c r="IR204" s="205"/>
      <c r="IS204" s="120"/>
      <c r="IT204" s="120"/>
      <c r="IU204" s="120"/>
      <c r="IV204" s="120"/>
      <c r="IW204" s="120"/>
      <c r="IX204" s="205"/>
      <c r="IY204" s="205"/>
      <c r="IZ204" s="205"/>
      <c r="JA204" s="120"/>
      <c r="JB204" s="120"/>
      <c r="JC204" s="120"/>
      <c r="JD204" s="120"/>
      <c r="JE204" s="120"/>
      <c r="JF204" s="205"/>
      <c r="JG204" s="205"/>
      <c r="JH204" s="205"/>
      <c r="JI204" s="120"/>
      <c r="JJ204" s="120"/>
      <c r="JK204" s="120"/>
      <c r="JL204" s="120"/>
      <c r="JM204" s="120"/>
      <c r="JN204" s="205"/>
      <c r="JO204" s="205"/>
      <c r="JP204" s="205"/>
      <c r="JQ204" s="120"/>
      <c r="JR204" s="120"/>
      <c r="JS204" s="120"/>
      <c r="JT204" s="120"/>
      <c r="JU204" s="120"/>
      <c r="JV204" s="205"/>
      <c r="JW204" s="205"/>
      <c r="JX204" s="205"/>
      <c r="JY204" s="205"/>
      <c r="JZ204" s="120"/>
      <c r="KA204" s="120"/>
      <c r="KB204" s="120"/>
      <c r="KC204" s="120"/>
      <c r="KD204" s="120"/>
      <c r="KE204" s="205"/>
      <c r="KF204" s="205"/>
      <c r="KG204" s="205"/>
      <c r="KH204" s="120"/>
      <c r="KI204" s="120"/>
      <c r="KJ204" s="120"/>
      <c r="KK204" s="206"/>
      <c r="KL204" s="120"/>
      <c r="KM204" s="205"/>
      <c r="KN204" s="205"/>
      <c r="KO204" s="205"/>
      <c r="KP204" s="120"/>
      <c r="KQ204" s="120"/>
      <c r="KR204" s="120"/>
      <c r="KS204" s="120"/>
      <c r="KT204" s="120"/>
      <c r="KU204" s="205"/>
      <c r="KV204" s="205"/>
      <c r="KW204" s="205"/>
      <c r="KX204" s="120"/>
      <c r="KY204" s="120"/>
      <c r="KZ204" s="120"/>
      <c r="LA204" s="120"/>
      <c r="LB204" s="120"/>
      <c r="LC204" s="205"/>
      <c r="LD204" s="205"/>
      <c r="LE204" s="205"/>
      <c r="LF204" s="205"/>
      <c r="LG204" s="120"/>
      <c r="LH204" s="120"/>
      <c r="LI204" s="120"/>
      <c r="LJ204" s="120"/>
      <c r="LK204" s="205"/>
      <c r="LL204" s="205"/>
      <c r="LM204" s="205"/>
      <c r="LN204" s="205"/>
      <c r="LO204" s="205"/>
      <c r="LP204" s="120"/>
      <c r="LQ204" s="120"/>
      <c r="LR204" s="120"/>
      <c r="LS204" s="205"/>
      <c r="LT204" s="205"/>
      <c r="LU204" s="205"/>
      <c r="LV204" s="205"/>
      <c r="LW204" s="120"/>
      <c r="LX204" s="120"/>
      <c r="LY204" s="124"/>
      <c r="LZ204" s="120"/>
      <c r="MA204" s="120"/>
      <c r="MB204" s="205"/>
      <c r="MC204" s="205"/>
      <c r="MD204" s="205"/>
      <c r="ME204" s="120"/>
      <c r="MF204" s="120"/>
      <c r="MG204" s="120"/>
      <c r="MH204" s="201"/>
      <c r="MI204" s="205"/>
      <c r="MJ204" s="205"/>
      <c r="MK204" s="205"/>
      <c r="ML204" s="205"/>
      <c r="MM204" s="120"/>
      <c r="MN204" s="120"/>
      <c r="MO204" s="120"/>
      <c r="MP204" s="120"/>
      <c r="MQ204" s="120"/>
      <c r="MR204" s="205"/>
      <c r="MS204" s="205"/>
      <c r="MT204" s="205"/>
      <c r="MU204" s="205"/>
      <c r="MV204" s="120"/>
      <c r="MW204" s="120"/>
      <c r="MX204" s="195"/>
      <c r="MY204" s="120"/>
      <c r="MZ204" s="120"/>
      <c r="NA204" s="205"/>
      <c r="NB204" s="205"/>
      <c r="NC204" s="205"/>
      <c r="ND204" s="120"/>
      <c r="NE204" s="120"/>
      <c r="NF204" s="120"/>
      <c r="NG204" s="120"/>
      <c r="NH204" s="120"/>
      <c r="NI204" s="205"/>
      <c r="NJ204" s="205"/>
      <c r="NK204" s="205"/>
      <c r="NL204" s="120"/>
      <c r="NM204" s="120"/>
      <c r="NN204" s="120"/>
      <c r="NO204" s="120"/>
      <c r="NP204" s="120"/>
      <c r="NQ204" s="205"/>
      <c r="NR204" s="205"/>
      <c r="NS204" s="205"/>
      <c r="NT204" s="217"/>
      <c r="NU204" s="120"/>
      <c r="NV204" s="120"/>
      <c r="NW204" s="120"/>
      <c r="NX204" s="120"/>
      <c r="NY204" s="205"/>
      <c r="NZ204" s="205"/>
      <c r="OA204" s="205">
        <f t="shared" si="2109"/>
        <v>0</v>
      </c>
      <c r="OB204" s="205">
        <f t="shared" si="2110"/>
        <v>0</v>
      </c>
      <c r="OC204" s="120"/>
      <c r="OD204" s="120"/>
      <c r="OE204" s="120"/>
      <c r="OF204" s="120"/>
      <c r="OG204" s="120"/>
      <c r="OH204" s="205"/>
      <c r="OI204" s="205"/>
      <c r="OJ204" s="205">
        <f t="shared" si="2111"/>
        <v>0</v>
      </c>
      <c r="OK204" s="120"/>
      <c r="OL204" s="120"/>
      <c r="OM204" s="120"/>
      <c r="ON204" s="120"/>
      <c r="OO204" s="120"/>
      <c r="OP204" s="205"/>
      <c r="OQ204" s="205"/>
      <c r="OR204" s="205">
        <f t="shared" si="2112"/>
        <v>0</v>
      </c>
      <c r="OS204" s="120"/>
      <c r="OT204" s="120"/>
      <c r="OU204" s="120"/>
      <c r="OV204" s="120"/>
      <c r="OW204" s="120"/>
      <c r="OX204" s="205"/>
      <c r="OY204" s="205"/>
      <c r="OZ204" s="205">
        <f t="shared" si="2113"/>
        <v>0</v>
      </c>
      <c r="PA204" s="120"/>
      <c r="PB204" s="120"/>
      <c r="PC204" s="120"/>
      <c r="PD204" s="205"/>
      <c r="PE204" s="217"/>
      <c r="PF204" s="205"/>
      <c r="PG204" s="205"/>
      <c r="PH204" s="205">
        <f t="shared" si="2114"/>
        <v>0</v>
      </c>
      <c r="PI204" s="120"/>
      <c r="PJ204" s="120"/>
      <c r="PK204" s="120"/>
      <c r="PL204" s="205"/>
      <c r="PM204" s="217"/>
      <c r="PN204" s="205"/>
      <c r="PO204" s="205"/>
      <c r="PP204" s="205"/>
      <c r="PQ204" s="205"/>
      <c r="PR204" s="120"/>
      <c r="PS204" s="207"/>
      <c r="PT204" s="207"/>
      <c r="PU204" s="207"/>
      <c r="PV204" s="207"/>
      <c r="PW204" s="272"/>
      <c r="PX204" s="272"/>
      <c r="PY204" s="205"/>
      <c r="PZ204" s="207"/>
      <c r="QA204" s="207"/>
      <c r="QB204" s="207"/>
      <c r="QC204" s="207"/>
      <c r="QD204" s="207"/>
      <c r="QE204" s="272"/>
      <c r="QF204" s="272"/>
      <c r="QG204" s="205"/>
      <c r="QH204" s="207"/>
      <c r="QI204" s="207"/>
      <c r="QJ204" s="294"/>
      <c r="QK204" s="207"/>
      <c r="QL204" s="207"/>
      <c r="QM204" s="272"/>
      <c r="QN204" s="272"/>
      <c r="QO204" s="205"/>
      <c r="QP204" s="207"/>
      <c r="QQ204" s="120"/>
      <c r="QR204" s="207"/>
      <c r="QS204" s="207"/>
      <c r="QT204" s="207"/>
      <c r="QU204" s="272"/>
      <c r="QV204" s="272"/>
      <c r="QW204" s="205"/>
      <c r="QX204" s="205"/>
      <c r="QY204" s="120"/>
      <c r="QZ204" s="120"/>
      <c r="RA204" s="120"/>
      <c r="RB204" s="120"/>
      <c r="RC204" s="120"/>
      <c r="RD204" s="272"/>
      <c r="RE204" s="272"/>
      <c r="RF204" s="205"/>
      <c r="RG204" s="207"/>
      <c r="RH204" s="207"/>
      <c r="RI204" s="207"/>
      <c r="RJ204" s="207"/>
      <c r="RK204" s="207"/>
      <c r="RL204" s="272"/>
      <c r="RM204" s="272"/>
      <c r="RN204" s="205"/>
      <c r="RO204" s="272"/>
      <c r="RP204" s="272"/>
      <c r="RQ204" s="272"/>
      <c r="RR204" s="272"/>
      <c r="RS204" s="272"/>
      <c r="RT204" s="272"/>
      <c r="RU204" s="272"/>
      <c r="RV204" s="205"/>
      <c r="RW204" s="207"/>
      <c r="RX204" s="207"/>
      <c r="RY204" s="207"/>
      <c r="RZ204" s="207"/>
      <c r="SA204" s="272"/>
      <c r="SB204" s="272"/>
      <c r="SC204" s="272"/>
      <c r="SD204" s="205"/>
      <c r="SE204" s="205"/>
      <c r="SF204" s="207"/>
      <c r="SG204" s="207"/>
      <c r="SH204" s="207"/>
      <c r="SI204" s="207"/>
      <c r="SJ204" s="207"/>
      <c r="SK204" s="272"/>
      <c r="SL204" s="272"/>
      <c r="SM204" s="205"/>
      <c r="SN204" s="207"/>
      <c r="SO204" s="207"/>
      <c r="SP204" s="207"/>
      <c r="SQ204" s="207"/>
      <c r="SR204" s="120"/>
      <c r="SS204" s="272"/>
      <c r="ST204" s="272"/>
      <c r="SU204" s="205"/>
      <c r="SV204" s="207"/>
      <c r="SW204" s="207"/>
      <c r="SX204" s="207"/>
      <c r="SY204" s="207"/>
      <c r="SZ204" s="207"/>
      <c r="TA204" s="272"/>
      <c r="TB204" s="272"/>
      <c r="TC204" s="205"/>
      <c r="TD204" s="207"/>
      <c r="TE204" s="207"/>
      <c r="TF204" s="207"/>
      <c r="TG204" s="207"/>
      <c r="TH204" s="207"/>
      <c r="TI204" s="272"/>
      <c r="TJ204" s="272"/>
      <c r="TK204" s="205"/>
      <c r="TL204" s="207"/>
      <c r="TM204" s="207"/>
      <c r="TN204" s="207"/>
      <c r="TO204" s="207"/>
      <c r="TP204" s="272"/>
      <c r="TQ204" s="272"/>
      <c r="TR204" s="272"/>
      <c r="TS204" s="205"/>
      <c r="TT204" s="205"/>
      <c r="TU204" s="272"/>
      <c r="TV204" s="207"/>
      <c r="TW204" s="207"/>
      <c r="TX204" s="207"/>
      <c r="TY204" s="207"/>
      <c r="TZ204" s="272"/>
      <c r="UA204" s="272"/>
      <c r="UB204" s="205">
        <f t="shared" si="2012"/>
        <v>0</v>
      </c>
      <c r="UC204" s="207"/>
      <c r="UD204" s="356"/>
      <c r="UE204" s="356"/>
      <c r="UF204" s="356"/>
      <c r="UG204" s="207"/>
      <c r="UH204" s="272"/>
      <c r="UI204" s="272"/>
      <c r="UJ204" s="205">
        <f t="shared" si="2013"/>
        <v>0</v>
      </c>
      <c r="UK204" s="207"/>
      <c r="UL204" s="207"/>
      <c r="UM204" s="207"/>
      <c r="UN204" s="207"/>
      <c r="UO204" s="207"/>
      <c r="UP204" s="272"/>
      <c r="UQ204" s="272"/>
      <c r="UR204" s="205">
        <f t="shared" si="2014"/>
        <v>0</v>
      </c>
      <c r="US204" s="207"/>
      <c r="UT204" s="207"/>
      <c r="UU204" s="207"/>
      <c r="UV204" s="207"/>
      <c r="UW204" s="272"/>
      <c r="UX204" s="272"/>
      <c r="UY204" s="272"/>
      <c r="UZ204" s="205"/>
      <c r="VA204" s="205"/>
      <c r="VB204" s="207"/>
      <c r="VC204" s="120"/>
      <c r="VD204" s="207"/>
      <c r="VE204" s="207"/>
      <c r="VF204" s="207"/>
      <c r="VG204" s="272"/>
      <c r="VH204" s="272"/>
      <c r="VI204" s="205">
        <f t="shared" si="2005"/>
        <v>0</v>
      </c>
      <c r="VJ204" s="207"/>
      <c r="VK204" s="207"/>
      <c r="VL204" s="207"/>
      <c r="VM204" s="207"/>
      <c r="VN204" s="207"/>
      <c r="VO204" s="272"/>
      <c r="VP204" s="272"/>
      <c r="VQ204" s="205">
        <f t="shared" si="2015"/>
        <v>0</v>
      </c>
      <c r="VR204" s="207"/>
      <c r="VS204" s="207"/>
      <c r="VT204" s="207"/>
      <c r="VU204" s="207"/>
      <c r="VV204" s="207"/>
      <c r="VW204" s="272"/>
      <c r="VX204" s="272"/>
      <c r="VY204" s="205">
        <f t="shared" si="2006"/>
        <v>0</v>
      </c>
      <c r="VZ204" s="207"/>
      <c r="WA204" s="207"/>
      <c r="WB204" s="207"/>
      <c r="WC204" s="207"/>
      <c r="WD204" s="207"/>
      <c r="WE204" s="272"/>
      <c r="WF204" s="272"/>
      <c r="WG204" s="205">
        <f t="shared" si="2007"/>
        <v>0</v>
      </c>
      <c r="WH204" s="205">
        <f t="shared" si="2008"/>
        <v>0</v>
      </c>
      <c r="WI204" s="207"/>
      <c r="WJ204" s="207"/>
      <c r="WK204" s="207"/>
      <c r="WL204" s="207"/>
      <c r="WM204" s="207"/>
      <c r="WN204" s="272"/>
      <c r="WO204" s="272"/>
      <c r="WP204" s="205">
        <f t="shared" si="2016"/>
        <v>0</v>
      </c>
      <c r="WQ204" s="207"/>
      <c r="WR204" s="207"/>
      <c r="WS204" s="207"/>
      <c r="WT204" s="207"/>
      <c r="WU204" s="207"/>
      <c r="WV204" s="272"/>
      <c r="WW204" s="272"/>
      <c r="WX204" s="205">
        <f t="shared" si="2017"/>
        <v>0</v>
      </c>
      <c r="WY204" s="207"/>
      <c r="WZ204" s="207"/>
      <c r="XA204" s="207"/>
      <c r="XB204" s="207"/>
      <c r="XC204" s="272"/>
      <c r="XD204" s="272"/>
      <c r="XE204" s="272"/>
      <c r="XF204" s="205">
        <f t="shared" si="2009"/>
        <v>0</v>
      </c>
      <c r="XG204" s="207"/>
      <c r="XH204" s="207"/>
      <c r="XI204" s="207"/>
      <c r="XJ204" s="207"/>
      <c r="XK204" s="207"/>
      <c r="XL204" s="272"/>
      <c r="XM204" s="272"/>
      <c r="XN204" s="205"/>
      <c r="XO204" s="207"/>
      <c r="XP204" s="207"/>
      <c r="XQ204" s="207"/>
      <c r="XR204" s="207"/>
      <c r="XS204" s="207"/>
      <c r="XT204" s="272"/>
      <c r="XU204" s="272"/>
      <c r="XV204" s="205"/>
      <c r="XW204" s="205"/>
      <c r="XX204" s="207"/>
      <c r="XY204" s="207"/>
      <c r="XZ204" s="207"/>
      <c r="YA204" s="207"/>
      <c r="YB204" s="207"/>
      <c r="YC204" s="272"/>
      <c r="YD204" s="272"/>
      <c r="YE204" s="205">
        <f t="shared" si="2018"/>
        <v>0</v>
      </c>
      <c r="YF204" s="207"/>
      <c r="YG204" s="207"/>
      <c r="YH204" s="207"/>
      <c r="YI204" s="207"/>
      <c r="YJ204" s="207"/>
      <c r="YK204" s="272"/>
      <c r="YL204" s="272"/>
      <c r="YM204" s="205">
        <f t="shared" si="2019"/>
        <v>0</v>
      </c>
      <c r="YN204" s="207"/>
      <c r="YO204" s="207"/>
      <c r="YP204" s="207"/>
      <c r="YQ204" s="207"/>
      <c r="YR204" s="207"/>
      <c r="YS204" s="272"/>
      <c r="YT204" s="272"/>
      <c r="YU204" s="205">
        <f t="shared" si="2020"/>
        <v>0</v>
      </c>
      <c r="YV204" s="207"/>
      <c r="YW204" s="207"/>
      <c r="YX204" s="207"/>
      <c r="YY204" s="207"/>
      <c r="YZ204" s="207"/>
      <c r="ZA204" s="272"/>
      <c r="ZB204" s="272"/>
      <c r="ZC204" s="205">
        <f t="shared" si="2021"/>
        <v>0</v>
      </c>
      <c r="ZD204" s="205">
        <f t="shared" si="2022"/>
        <v>0</v>
      </c>
      <c r="ZE204" s="207"/>
      <c r="ZF204" s="207"/>
      <c r="ZG204" s="207"/>
      <c r="ZH204" s="207"/>
      <c r="ZI204" s="207"/>
      <c r="ZJ204" s="272"/>
      <c r="ZK204" s="272"/>
      <c r="ZL204" s="205">
        <f t="shared" si="2023"/>
        <v>0</v>
      </c>
      <c r="ZM204" s="207"/>
      <c r="ZN204" s="207"/>
      <c r="ZO204" s="207"/>
      <c r="ZP204" s="207"/>
      <c r="ZQ204" s="207"/>
      <c r="ZR204" s="272"/>
      <c r="ZS204" s="272"/>
      <c r="ZT204" s="205">
        <f t="shared" si="2010"/>
        <v>0</v>
      </c>
      <c r="ZU204" s="207"/>
      <c r="ZV204" s="207"/>
      <c r="ZW204" s="207"/>
      <c r="ZX204" s="207"/>
      <c r="ZY204" s="207"/>
      <c r="ZZ204" s="272"/>
      <c r="AAA204" s="272"/>
      <c r="AAB204" s="205">
        <f t="shared" si="2024"/>
        <v>0</v>
      </c>
      <c r="AAC204" s="207"/>
      <c r="AAD204" s="207"/>
      <c r="AAE204" s="207"/>
      <c r="AAF204" s="207"/>
      <c r="AAG204" s="207"/>
      <c r="AAH204" s="272"/>
      <c r="AAI204" s="272"/>
      <c r="AAJ204" s="205">
        <f t="shared" si="2011"/>
        <v>0</v>
      </c>
      <c r="AAK204" s="207"/>
      <c r="AAL204" s="207"/>
      <c r="AAM204" s="207"/>
      <c r="AAN204" s="207"/>
      <c r="AAO204" s="207"/>
      <c r="AAP204" s="272"/>
      <c r="AAQ204" s="272"/>
      <c r="AAR204" s="205">
        <f t="shared" si="2025"/>
        <v>0</v>
      </c>
      <c r="AAS204" s="205">
        <f t="shared" si="2026"/>
        <v>0</v>
      </c>
    </row>
    <row r="205" spans="1:721" ht="80.099999999999994" customHeight="1">
      <c r="A205" s="117">
        <v>10</v>
      </c>
      <c r="B205" s="309" t="s">
        <v>916</v>
      </c>
      <c r="C205" s="362" t="s">
        <v>891</v>
      </c>
      <c r="D205" s="368" t="s">
        <v>853</v>
      </c>
      <c r="E205" s="130" t="s">
        <v>4</v>
      </c>
      <c r="F205" s="120"/>
      <c r="G205" s="120"/>
      <c r="H205" s="120"/>
      <c r="I205" s="120"/>
      <c r="J205" s="120"/>
      <c r="K205" s="209"/>
      <c r="L205" s="205"/>
      <c r="M205" s="205">
        <f t="shared" si="2108"/>
        <v>0</v>
      </c>
      <c r="N205" s="120"/>
      <c r="O205" s="120"/>
      <c r="P205" s="120"/>
      <c r="Q205" s="120"/>
      <c r="R205" s="120"/>
      <c r="S205" s="209"/>
      <c r="T205" s="205"/>
      <c r="U205" s="205"/>
      <c r="V205" s="120"/>
      <c r="W205" s="120"/>
      <c r="X205" s="120"/>
      <c r="Y205" s="120"/>
      <c r="Z205" s="120"/>
      <c r="AA205" s="209"/>
      <c r="AB205" s="205"/>
      <c r="AC205" s="205"/>
      <c r="AD205" s="205"/>
      <c r="AE205" s="205"/>
      <c r="AF205" s="205"/>
      <c r="AG205" s="205"/>
      <c r="AH205" s="205"/>
      <c r="AI205" s="209"/>
      <c r="AJ205" s="205"/>
      <c r="AK205" s="205"/>
      <c r="AL205" s="205"/>
      <c r="AM205" s="120"/>
      <c r="AN205" s="120"/>
      <c r="AO205" s="120"/>
      <c r="AP205" s="120"/>
      <c r="AQ205" s="120"/>
      <c r="AR205" s="209"/>
      <c r="AS205" s="205"/>
      <c r="AT205" s="205"/>
      <c r="AU205" s="120"/>
      <c r="AV205" s="120"/>
      <c r="AW205" s="120"/>
      <c r="AX205" s="120"/>
      <c r="AY205" s="120"/>
      <c r="AZ205" s="209"/>
      <c r="BA205" s="205"/>
      <c r="BB205" s="205"/>
      <c r="BC205" s="120"/>
      <c r="BD205" s="120"/>
      <c r="BE205" s="120"/>
      <c r="BF205" s="120"/>
      <c r="BG205" s="120"/>
      <c r="BH205" s="209"/>
      <c r="BI205" s="205"/>
      <c r="BJ205" s="205"/>
      <c r="BK205" s="120"/>
      <c r="BL205" s="120"/>
      <c r="BM205" s="217"/>
      <c r="BN205" s="120"/>
      <c r="BO205" s="205"/>
      <c r="BP205" s="209"/>
      <c r="BQ205" s="205"/>
      <c r="BR205" s="205"/>
      <c r="BS205" s="205"/>
      <c r="BT205" s="120"/>
      <c r="BU205" s="250"/>
      <c r="BV205" s="120"/>
      <c r="BW205" s="120"/>
      <c r="BX205" s="120"/>
      <c r="BY205" s="209"/>
      <c r="BZ205" s="205"/>
      <c r="CA205" s="205"/>
      <c r="CB205" s="120"/>
      <c r="CC205" s="120"/>
      <c r="CD205" s="120"/>
      <c r="CE205" s="120"/>
      <c r="CF205" s="120"/>
      <c r="CG205" s="209"/>
      <c r="CH205" s="205"/>
      <c r="CI205" s="205"/>
      <c r="CJ205" s="120"/>
      <c r="CK205" s="120"/>
      <c r="CL205" s="250"/>
      <c r="CM205" s="120"/>
      <c r="CN205" s="120"/>
      <c r="CO205" s="209"/>
      <c r="CP205" s="205"/>
      <c r="CQ205" s="205"/>
      <c r="CR205" s="120"/>
      <c r="CS205" s="120"/>
      <c r="CT205" s="120"/>
      <c r="CU205" s="120"/>
      <c r="CV205" s="120"/>
      <c r="CW205" s="209"/>
      <c r="CX205" s="205"/>
      <c r="CY205" s="205"/>
      <c r="CZ205" s="120"/>
      <c r="DA205" s="120"/>
      <c r="DB205" s="120"/>
      <c r="DC205" s="205"/>
      <c r="DD205" s="205"/>
      <c r="DE205" s="209"/>
      <c r="DF205" s="205"/>
      <c r="DG205" s="205"/>
      <c r="DH205" s="205"/>
      <c r="DI205" s="120"/>
      <c r="DJ205" s="120"/>
      <c r="DK205" s="120"/>
      <c r="DL205" s="120"/>
      <c r="DM205" s="120"/>
      <c r="DN205" s="209"/>
      <c r="DO205" s="205"/>
      <c r="DP205" s="205"/>
      <c r="DQ205" s="217"/>
      <c r="DR205" s="120"/>
      <c r="DS205" s="120"/>
      <c r="DT205" s="120"/>
      <c r="DU205" s="120"/>
      <c r="DV205" s="209"/>
      <c r="DW205" s="205"/>
      <c r="DX205" s="205"/>
      <c r="DY205" s="120"/>
      <c r="DZ205" s="120"/>
      <c r="EA205" s="120"/>
      <c r="EB205" s="120"/>
      <c r="EC205" s="120"/>
      <c r="ED205" s="209"/>
      <c r="EE205" s="205"/>
      <c r="EF205" s="205"/>
      <c r="EG205" s="120"/>
      <c r="EH205" s="120"/>
      <c r="EI205" s="120"/>
      <c r="EJ205" s="205"/>
      <c r="EK205" s="205"/>
      <c r="EL205" s="209"/>
      <c r="EM205" s="205"/>
      <c r="EN205" s="205"/>
      <c r="EO205" s="205"/>
      <c r="EP205" s="120"/>
      <c r="EQ205" s="250"/>
      <c r="ER205" s="120"/>
      <c r="ES205" s="120"/>
      <c r="ET205" s="120"/>
      <c r="EU205" s="209"/>
      <c r="EV205" s="205"/>
      <c r="EW205" s="205"/>
      <c r="EX205" s="120"/>
      <c r="EY205" s="120"/>
      <c r="EZ205" s="120"/>
      <c r="FA205" s="120"/>
      <c r="FB205" s="120"/>
      <c r="FC205" s="209"/>
      <c r="FD205" s="205"/>
      <c r="FE205" s="205"/>
      <c r="FF205" s="120"/>
      <c r="FG205" s="195"/>
      <c r="FH205" s="120"/>
      <c r="FI205" s="120"/>
      <c r="FJ205" s="120"/>
      <c r="FK205" s="209"/>
      <c r="FL205" s="205"/>
      <c r="FM205" s="205"/>
      <c r="FN205" s="120"/>
      <c r="FO205" s="120"/>
      <c r="FP205" s="120"/>
      <c r="FQ205" s="120"/>
      <c r="FR205" s="205"/>
      <c r="FS205" s="209"/>
      <c r="FT205" s="205"/>
      <c r="FU205" s="205"/>
      <c r="FV205" s="205"/>
      <c r="FW205" s="120"/>
      <c r="FX205" s="120"/>
      <c r="FY205" s="120"/>
      <c r="FZ205" s="120"/>
      <c r="GA205" s="120"/>
      <c r="GB205" s="209"/>
      <c r="GC205" s="205"/>
      <c r="GD205" s="205"/>
      <c r="GE205" s="120"/>
      <c r="GF205" s="120"/>
      <c r="GG205" s="120"/>
      <c r="GH205" s="120"/>
      <c r="GI205" s="120"/>
      <c r="GJ205" s="209"/>
      <c r="GK205" s="205"/>
      <c r="GL205" s="205"/>
      <c r="GM205" s="120"/>
      <c r="GN205" s="120"/>
      <c r="GO205" s="120"/>
      <c r="GP205" s="120"/>
      <c r="GQ205" s="120"/>
      <c r="GR205" s="209"/>
      <c r="GS205" s="205"/>
      <c r="GT205" s="205"/>
      <c r="GU205" s="120"/>
      <c r="GV205" s="120"/>
      <c r="GW205" s="120"/>
      <c r="GX205" s="120"/>
      <c r="GY205" s="120"/>
      <c r="GZ205" s="209"/>
      <c r="HA205" s="205"/>
      <c r="HB205" s="205"/>
      <c r="HC205" s="120"/>
      <c r="HD205" s="120"/>
      <c r="HE205" s="120"/>
      <c r="HF205" s="120"/>
      <c r="HG205" s="120"/>
      <c r="HH205" s="209"/>
      <c r="HI205" s="205"/>
      <c r="HJ205" s="205"/>
      <c r="HK205" s="205"/>
      <c r="HL205" s="124"/>
      <c r="HM205" s="120"/>
      <c r="HN205" s="120"/>
      <c r="HO205" s="123"/>
      <c r="HP205" s="120"/>
      <c r="HQ205" s="205"/>
      <c r="HR205" s="205"/>
      <c r="HS205" s="205"/>
      <c r="HT205" s="120"/>
      <c r="HU205" s="120"/>
      <c r="HV205" s="120"/>
      <c r="HW205" s="120"/>
      <c r="HX205" s="120"/>
      <c r="HY205" s="205"/>
      <c r="HZ205" s="205"/>
      <c r="IA205" s="205"/>
      <c r="IB205" s="120"/>
      <c r="IC205" s="120"/>
      <c r="ID205" s="120"/>
      <c r="IE205" s="120"/>
      <c r="IF205" s="120"/>
      <c r="IG205" s="205"/>
      <c r="IH205" s="205"/>
      <c r="II205" s="205"/>
      <c r="IJ205" s="120"/>
      <c r="IK205" s="120"/>
      <c r="IL205" s="201"/>
      <c r="IM205" s="120"/>
      <c r="IN205" s="120"/>
      <c r="IO205" s="205"/>
      <c r="IP205" s="205"/>
      <c r="IQ205" s="205"/>
      <c r="IR205" s="205"/>
      <c r="IS205" s="120"/>
      <c r="IT205" s="120"/>
      <c r="IU205" s="120"/>
      <c r="IV205" s="120"/>
      <c r="IW205" s="120"/>
      <c r="IX205" s="205"/>
      <c r="IY205" s="205"/>
      <c r="IZ205" s="205"/>
      <c r="JA205" s="120"/>
      <c r="JB205" s="120"/>
      <c r="JC205" s="120"/>
      <c r="JD205" s="120"/>
      <c r="JE205" s="120"/>
      <c r="JF205" s="205"/>
      <c r="JG205" s="205"/>
      <c r="JH205" s="205"/>
      <c r="JI205" s="120"/>
      <c r="JJ205" s="120"/>
      <c r="JK205" s="120"/>
      <c r="JL205" s="120"/>
      <c r="JM205" s="120"/>
      <c r="JN205" s="205"/>
      <c r="JO205" s="205"/>
      <c r="JP205" s="205"/>
      <c r="JQ205" s="120"/>
      <c r="JR205" s="120"/>
      <c r="JS205" s="120"/>
      <c r="JT205" s="120"/>
      <c r="JU205" s="120"/>
      <c r="JV205" s="205"/>
      <c r="JW205" s="205"/>
      <c r="JX205" s="205"/>
      <c r="JY205" s="205"/>
      <c r="JZ205" s="120"/>
      <c r="KA205" s="120"/>
      <c r="KB205" s="120"/>
      <c r="KC205" s="120"/>
      <c r="KD205" s="120"/>
      <c r="KE205" s="205"/>
      <c r="KF205" s="205"/>
      <c r="KG205" s="205"/>
      <c r="KH205" s="120"/>
      <c r="KI205" s="120"/>
      <c r="KJ205" s="120"/>
      <c r="KK205" s="206"/>
      <c r="KL205" s="120"/>
      <c r="KM205" s="205"/>
      <c r="KN205" s="205"/>
      <c r="KO205" s="205"/>
      <c r="KP205" s="120"/>
      <c r="KQ205" s="120"/>
      <c r="KR205" s="120"/>
      <c r="KS205" s="120"/>
      <c r="KT205" s="120"/>
      <c r="KU205" s="205"/>
      <c r="KV205" s="205"/>
      <c r="KW205" s="205"/>
      <c r="KX205" s="120"/>
      <c r="KY205" s="120"/>
      <c r="KZ205" s="120"/>
      <c r="LA205" s="120"/>
      <c r="LB205" s="120"/>
      <c r="LC205" s="205"/>
      <c r="LD205" s="205"/>
      <c r="LE205" s="205"/>
      <c r="LF205" s="205"/>
      <c r="LG205" s="120"/>
      <c r="LH205" s="120"/>
      <c r="LI205" s="120"/>
      <c r="LJ205" s="120"/>
      <c r="LK205" s="205"/>
      <c r="LL205" s="205"/>
      <c r="LM205" s="205"/>
      <c r="LN205" s="205"/>
      <c r="LO205" s="205"/>
      <c r="LP205" s="120"/>
      <c r="LQ205" s="120"/>
      <c r="LR205" s="120"/>
      <c r="LS205" s="205"/>
      <c r="LT205" s="205"/>
      <c r="LU205" s="205"/>
      <c r="LV205" s="205"/>
      <c r="LW205" s="120"/>
      <c r="LX205" s="120"/>
      <c r="LY205" s="124"/>
      <c r="LZ205" s="120"/>
      <c r="MA205" s="120"/>
      <c r="MB205" s="205"/>
      <c r="MC205" s="205"/>
      <c r="MD205" s="205"/>
      <c r="ME205" s="120"/>
      <c r="MF205" s="120"/>
      <c r="MG205" s="120"/>
      <c r="MH205" s="201"/>
      <c r="MI205" s="205"/>
      <c r="MJ205" s="205"/>
      <c r="MK205" s="205"/>
      <c r="ML205" s="205"/>
      <c r="MM205" s="120"/>
      <c r="MN205" s="120"/>
      <c r="MO205" s="120"/>
      <c r="MP205" s="120"/>
      <c r="MQ205" s="120"/>
      <c r="MR205" s="205"/>
      <c r="MS205" s="205"/>
      <c r="MT205" s="205"/>
      <c r="MU205" s="205"/>
      <c r="MV205" s="120"/>
      <c r="MW205" s="120"/>
      <c r="MX205" s="195"/>
      <c r="MY205" s="120"/>
      <c r="MZ205" s="120"/>
      <c r="NA205" s="205"/>
      <c r="NB205" s="205"/>
      <c r="NC205" s="205"/>
      <c r="ND205" s="120"/>
      <c r="NE205" s="120"/>
      <c r="NF205" s="120"/>
      <c r="NG205" s="120"/>
      <c r="NH205" s="120"/>
      <c r="NI205" s="205"/>
      <c r="NJ205" s="205"/>
      <c r="NK205" s="205"/>
      <c r="NL205" s="120"/>
      <c r="NM205" s="120"/>
      <c r="NN205" s="120"/>
      <c r="NO205" s="120"/>
      <c r="NP205" s="120"/>
      <c r="NQ205" s="205"/>
      <c r="NR205" s="205"/>
      <c r="NS205" s="205"/>
      <c r="NT205" s="217"/>
      <c r="NU205" s="120"/>
      <c r="NV205" s="120"/>
      <c r="NW205" s="120"/>
      <c r="NX205" s="120"/>
      <c r="NY205" s="205"/>
      <c r="NZ205" s="205"/>
      <c r="OA205" s="205">
        <f t="shared" si="2109"/>
        <v>0</v>
      </c>
      <c r="OB205" s="205">
        <f t="shared" si="2110"/>
        <v>0</v>
      </c>
      <c r="OC205" s="120"/>
      <c r="OD205" s="120"/>
      <c r="OE205" s="120"/>
      <c r="OF205" s="120"/>
      <c r="OG205" s="120"/>
      <c r="OH205" s="205"/>
      <c r="OI205" s="205"/>
      <c r="OJ205" s="205">
        <f t="shared" si="2111"/>
        <v>0</v>
      </c>
      <c r="OK205" s="120"/>
      <c r="OL205" s="120"/>
      <c r="OM205" s="120"/>
      <c r="ON205" s="120"/>
      <c r="OO205" s="120"/>
      <c r="OP205" s="205"/>
      <c r="OQ205" s="205"/>
      <c r="OR205" s="205">
        <f t="shared" si="2112"/>
        <v>0</v>
      </c>
      <c r="OS205" s="120"/>
      <c r="OT205" s="120"/>
      <c r="OU205" s="120"/>
      <c r="OV205" s="120"/>
      <c r="OW205" s="120"/>
      <c r="OX205" s="205"/>
      <c r="OY205" s="205"/>
      <c r="OZ205" s="205">
        <f t="shared" si="2113"/>
        <v>0</v>
      </c>
      <c r="PA205" s="120"/>
      <c r="PB205" s="120"/>
      <c r="PC205" s="120"/>
      <c r="PD205" s="205"/>
      <c r="PE205" s="217"/>
      <c r="PF205" s="205"/>
      <c r="PG205" s="205"/>
      <c r="PH205" s="205">
        <f t="shared" si="2114"/>
        <v>0</v>
      </c>
      <c r="PI205" s="120"/>
      <c r="PJ205" s="120"/>
      <c r="PK205" s="120"/>
      <c r="PL205" s="205"/>
      <c r="PM205" s="217"/>
      <c r="PN205" s="205"/>
      <c r="PO205" s="205"/>
      <c r="PP205" s="205"/>
      <c r="PQ205" s="205"/>
      <c r="PR205" s="120"/>
      <c r="PS205" s="207"/>
      <c r="PT205" s="207"/>
      <c r="PU205" s="207"/>
      <c r="PV205" s="207"/>
      <c r="PW205" s="272"/>
      <c r="PX205" s="272"/>
      <c r="PY205" s="205"/>
      <c r="PZ205" s="207"/>
      <c r="QA205" s="207"/>
      <c r="QB205" s="207"/>
      <c r="QC205" s="207"/>
      <c r="QD205" s="207"/>
      <c r="QE205" s="272"/>
      <c r="QF205" s="272"/>
      <c r="QG205" s="205"/>
      <c r="QH205" s="207"/>
      <c r="QI205" s="207"/>
      <c r="QJ205" s="294"/>
      <c r="QK205" s="207"/>
      <c r="QL205" s="207"/>
      <c r="QM205" s="272"/>
      <c r="QN205" s="272"/>
      <c r="QO205" s="205"/>
      <c r="QP205" s="207"/>
      <c r="QQ205" s="120"/>
      <c r="QR205" s="207"/>
      <c r="QS205" s="207"/>
      <c r="QT205" s="207"/>
      <c r="QU205" s="272"/>
      <c r="QV205" s="272"/>
      <c r="QW205" s="205"/>
      <c r="QX205" s="205">
        <f t="shared" si="2139"/>
        <v>0</v>
      </c>
      <c r="QY205" s="120"/>
      <c r="QZ205" s="120"/>
      <c r="RA205" s="120"/>
      <c r="RB205" s="120"/>
      <c r="RC205" s="120"/>
      <c r="RD205" s="272"/>
      <c r="RE205" s="272"/>
      <c r="RF205" s="205">
        <f t="shared" si="2095"/>
        <v>0</v>
      </c>
      <c r="RG205" s="207"/>
      <c r="RH205" s="207"/>
      <c r="RI205" s="207"/>
      <c r="RJ205" s="207"/>
      <c r="RK205" s="207"/>
      <c r="RL205" s="272"/>
      <c r="RM205" s="272"/>
      <c r="RN205" s="205">
        <f t="shared" si="2096"/>
        <v>0</v>
      </c>
      <c r="RO205" s="272"/>
      <c r="RP205" s="272"/>
      <c r="RQ205" s="272"/>
      <c r="RR205" s="272"/>
      <c r="RS205" s="272"/>
      <c r="RT205" s="272"/>
      <c r="RU205" s="272"/>
      <c r="RV205" s="205">
        <f t="shared" si="2097"/>
        <v>0</v>
      </c>
      <c r="RW205" s="207"/>
      <c r="RX205" s="207"/>
      <c r="RY205" s="207"/>
      <c r="RZ205" s="207"/>
      <c r="SA205" s="272"/>
      <c r="SB205" s="272"/>
      <c r="SC205" s="272"/>
      <c r="SD205" s="205">
        <f t="shared" si="2140"/>
        <v>0</v>
      </c>
      <c r="SE205" s="205">
        <f t="shared" si="2141"/>
        <v>0</v>
      </c>
      <c r="SF205" s="207"/>
      <c r="SG205" s="207"/>
      <c r="SH205" s="207"/>
      <c r="SI205" s="207"/>
      <c r="SJ205" s="207"/>
      <c r="SK205" s="272"/>
      <c r="SL205" s="272"/>
      <c r="SM205" s="205">
        <f t="shared" si="2100"/>
        <v>0</v>
      </c>
      <c r="SN205" s="207"/>
      <c r="SO205" s="207"/>
      <c r="SP205" s="207"/>
      <c r="SQ205" s="207"/>
      <c r="SR205" s="120"/>
      <c r="SS205" s="272"/>
      <c r="ST205" s="272"/>
      <c r="SU205" s="205">
        <f t="shared" si="2101"/>
        <v>0</v>
      </c>
      <c r="SV205" s="207"/>
      <c r="SW205" s="207"/>
      <c r="SX205" s="207"/>
      <c r="SY205" s="207"/>
      <c r="SZ205" s="207"/>
      <c r="TA205" s="272"/>
      <c r="TB205" s="272"/>
      <c r="TC205" s="205">
        <f t="shared" si="2102"/>
        <v>0</v>
      </c>
      <c r="TD205" s="207"/>
      <c r="TE205" s="207"/>
      <c r="TF205" s="207"/>
      <c r="TG205" s="207"/>
      <c r="TH205" s="207"/>
      <c r="TI205" s="272"/>
      <c r="TJ205" s="272"/>
      <c r="TK205" s="205">
        <f t="shared" si="2142"/>
        <v>0</v>
      </c>
      <c r="TL205" s="207"/>
      <c r="TM205" s="207"/>
      <c r="TN205" s="207"/>
      <c r="TO205" s="207"/>
      <c r="TP205" s="272"/>
      <c r="TQ205" s="272"/>
      <c r="TR205" s="272"/>
      <c r="TS205" s="205">
        <f t="shared" si="2135"/>
        <v>0</v>
      </c>
      <c r="TT205" s="205">
        <f t="shared" si="2136"/>
        <v>0</v>
      </c>
      <c r="TU205" s="272"/>
      <c r="TV205" s="207"/>
      <c r="TW205" s="207"/>
      <c r="TX205" s="207"/>
      <c r="TY205" s="207"/>
      <c r="TZ205" s="272"/>
      <c r="UA205" s="272"/>
      <c r="UB205" s="205">
        <f t="shared" si="2012"/>
        <v>0</v>
      </c>
      <c r="UC205" s="207"/>
      <c r="UD205" s="356"/>
      <c r="UE205" s="356"/>
      <c r="UF205" s="356"/>
      <c r="UG205" s="207"/>
      <c r="UH205" s="272"/>
      <c r="UI205" s="272"/>
      <c r="UJ205" s="205">
        <f t="shared" si="2013"/>
        <v>0</v>
      </c>
      <c r="UK205" s="207"/>
      <c r="UL205" s="207"/>
      <c r="UM205" s="207"/>
      <c r="UN205" s="207"/>
      <c r="UO205" s="207"/>
      <c r="UP205" s="272"/>
      <c r="UQ205" s="272"/>
      <c r="UR205" s="205">
        <f t="shared" si="2014"/>
        <v>0</v>
      </c>
      <c r="US205" s="207"/>
      <c r="UT205" s="207"/>
      <c r="UU205" s="207"/>
      <c r="UV205" s="207"/>
      <c r="UW205" s="272"/>
      <c r="UX205" s="272"/>
      <c r="UY205" s="272"/>
      <c r="UZ205" s="205">
        <f t="shared" si="2143"/>
        <v>0</v>
      </c>
      <c r="VA205" s="205">
        <f t="shared" si="2144"/>
        <v>0</v>
      </c>
      <c r="VB205" s="207"/>
      <c r="VC205" s="120"/>
      <c r="VD205" s="207"/>
      <c r="VE205" s="207"/>
      <c r="VF205" s="207"/>
      <c r="VG205" s="272"/>
      <c r="VH205" s="272"/>
      <c r="VI205" s="205">
        <f t="shared" si="2005"/>
        <v>0</v>
      </c>
      <c r="VJ205" s="207"/>
      <c r="VK205" s="120"/>
      <c r="VL205" s="207"/>
      <c r="VM205" s="120"/>
      <c r="VN205" s="207"/>
      <c r="VO205" s="272"/>
      <c r="VP205" s="272"/>
      <c r="VQ205" s="205">
        <f t="shared" si="2015"/>
        <v>0</v>
      </c>
      <c r="VR205" s="207"/>
      <c r="VS205" s="120"/>
      <c r="VT205" s="207"/>
      <c r="VU205" s="207"/>
      <c r="VV205" s="207"/>
      <c r="VW205" s="272"/>
      <c r="VX205" s="272"/>
      <c r="VY205" s="205">
        <f t="shared" si="2006"/>
        <v>0</v>
      </c>
      <c r="VZ205" s="392">
        <v>140</v>
      </c>
      <c r="WA205" s="207"/>
      <c r="WB205" s="207"/>
      <c r="WC205" s="207"/>
      <c r="WD205" s="207"/>
      <c r="WE205" s="272"/>
      <c r="WF205" s="272"/>
      <c r="WG205" s="205">
        <f t="shared" si="2007"/>
        <v>140</v>
      </c>
      <c r="WH205" s="205">
        <f t="shared" si="2008"/>
        <v>140</v>
      </c>
      <c r="WI205" s="124">
        <v>2000</v>
      </c>
      <c r="WJ205" s="207"/>
      <c r="WK205" s="207"/>
      <c r="WL205" s="207"/>
      <c r="WM205" s="207"/>
      <c r="WN205" s="272"/>
      <c r="WO205" s="272"/>
      <c r="WP205" s="205">
        <f t="shared" si="2016"/>
        <v>2000</v>
      </c>
      <c r="WQ205" s="207"/>
      <c r="WR205" s="207"/>
      <c r="WS205" s="207"/>
      <c r="WT205" s="207"/>
      <c r="WU205" s="207"/>
      <c r="WV205" s="272"/>
      <c r="WW205" s="272"/>
      <c r="WX205" s="205">
        <f t="shared" si="2017"/>
        <v>0</v>
      </c>
      <c r="WY205" s="207"/>
      <c r="WZ205" s="207"/>
      <c r="XA205" s="207"/>
      <c r="XB205" s="207"/>
      <c r="XC205" s="272"/>
      <c r="XD205" s="272"/>
      <c r="XE205" s="272"/>
      <c r="XF205" s="205">
        <f t="shared" si="2009"/>
        <v>0</v>
      </c>
      <c r="XG205" s="207"/>
      <c r="XH205" s="207"/>
      <c r="XI205" s="207"/>
      <c r="XJ205" s="207"/>
      <c r="XK205" s="207"/>
      <c r="XL205" s="272"/>
      <c r="XM205" s="272"/>
      <c r="XN205" s="205">
        <f t="shared" si="2105"/>
        <v>0</v>
      </c>
      <c r="XO205" s="207"/>
      <c r="XP205" s="207"/>
      <c r="XQ205" s="207"/>
      <c r="XR205" s="207"/>
      <c r="XS205" s="207"/>
      <c r="XT205" s="272"/>
      <c r="XU205" s="272"/>
      <c r="XV205" s="205">
        <f t="shared" si="2137"/>
        <v>0</v>
      </c>
      <c r="XW205" s="205">
        <f t="shared" si="2138"/>
        <v>2000</v>
      </c>
      <c r="XX205" s="207"/>
      <c r="XY205" s="207"/>
      <c r="XZ205" s="207"/>
      <c r="YA205" s="207"/>
      <c r="YB205" s="207"/>
      <c r="YC205" s="272"/>
      <c r="YD205" s="272"/>
      <c r="YE205" s="205">
        <f t="shared" si="2018"/>
        <v>0</v>
      </c>
      <c r="YF205" s="207"/>
      <c r="YG205" s="207"/>
      <c r="YH205" s="207"/>
      <c r="YI205" s="207"/>
      <c r="YJ205" s="207"/>
      <c r="YK205" s="272"/>
      <c r="YL205" s="272"/>
      <c r="YM205" s="205">
        <f t="shared" si="2019"/>
        <v>0</v>
      </c>
      <c r="YN205" s="207"/>
      <c r="YO205" s="207"/>
      <c r="YP205" s="207"/>
      <c r="YQ205" s="207"/>
      <c r="YR205" s="207"/>
      <c r="YS205" s="272"/>
      <c r="YT205" s="272"/>
      <c r="YU205" s="205">
        <f t="shared" si="2020"/>
        <v>0</v>
      </c>
      <c r="YV205" s="207"/>
      <c r="YW205" s="207"/>
      <c r="YX205" s="207"/>
      <c r="YY205" s="207"/>
      <c r="YZ205" s="207"/>
      <c r="ZA205" s="272"/>
      <c r="ZB205" s="272"/>
      <c r="ZC205" s="205">
        <f t="shared" si="2021"/>
        <v>0</v>
      </c>
      <c r="ZD205" s="205">
        <f t="shared" si="2022"/>
        <v>2000</v>
      </c>
      <c r="ZE205" s="207"/>
      <c r="ZF205" s="207"/>
      <c r="ZG205" s="207"/>
      <c r="ZH205" s="207"/>
      <c r="ZI205" s="207"/>
      <c r="ZJ205" s="272"/>
      <c r="ZK205" s="272"/>
      <c r="ZL205" s="205">
        <f t="shared" si="2023"/>
        <v>0</v>
      </c>
      <c r="ZM205" s="207"/>
      <c r="ZN205" s="207"/>
      <c r="ZO205" s="207"/>
      <c r="ZP205" s="207"/>
      <c r="ZQ205" s="207"/>
      <c r="ZR205" s="272"/>
      <c r="ZS205" s="272"/>
      <c r="ZT205" s="205">
        <f t="shared" si="2010"/>
        <v>0</v>
      </c>
      <c r="ZU205" s="207"/>
      <c r="ZV205" s="207"/>
      <c r="ZW205" s="207"/>
      <c r="ZX205" s="207"/>
      <c r="ZY205" s="207"/>
      <c r="ZZ205" s="272"/>
      <c r="AAA205" s="272"/>
      <c r="AAB205" s="205">
        <f t="shared" si="2024"/>
        <v>0</v>
      </c>
      <c r="AAC205" s="207"/>
      <c r="AAD205" s="207"/>
      <c r="AAE205" s="207"/>
      <c r="AAF205" s="207"/>
      <c r="AAG205" s="207"/>
      <c r="AAH205" s="272"/>
      <c r="AAI205" s="272"/>
      <c r="AAJ205" s="205">
        <f t="shared" si="2011"/>
        <v>0</v>
      </c>
      <c r="AAK205" s="207"/>
      <c r="AAL205" s="207"/>
      <c r="AAM205" s="207"/>
      <c r="AAN205" s="207"/>
      <c r="AAO205" s="207"/>
      <c r="AAP205" s="272"/>
      <c r="AAQ205" s="272"/>
      <c r="AAR205" s="205">
        <f t="shared" si="2025"/>
        <v>0</v>
      </c>
      <c r="AAS205" s="205">
        <f t="shared" si="2026"/>
        <v>0</v>
      </c>
    </row>
    <row r="206" spans="1:721" ht="80.099999999999994" customHeight="1">
      <c r="B206" s="350">
        <v>3630102301</v>
      </c>
      <c r="C206" s="364" t="s">
        <v>878</v>
      </c>
      <c r="D206" s="351" t="s">
        <v>857</v>
      </c>
      <c r="E206" s="130" t="s">
        <v>4</v>
      </c>
      <c r="F206" s="120"/>
      <c r="G206" s="120"/>
      <c r="H206" s="120"/>
      <c r="I206" s="120"/>
      <c r="J206" s="120"/>
      <c r="K206" s="209"/>
      <c r="L206" s="205"/>
      <c r="M206" s="205">
        <f t="shared" si="2108"/>
        <v>0</v>
      </c>
      <c r="N206" s="120"/>
      <c r="O206" s="120"/>
      <c r="P206" s="120"/>
      <c r="Q206" s="120"/>
      <c r="R206" s="120"/>
      <c r="S206" s="209"/>
      <c r="T206" s="205"/>
      <c r="U206" s="205"/>
      <c r="V206" s="120"/>
      <c r="W206" s="120"/>
      <c r="X206" s="120"/>
      <c r="Y206" s="120"/>
      <c r="Z206" s="120"/>
      <c r="AA206" s="209"/>
      <c r="AB206" s="205"/>
      <c r="AC206" s="205"/>
      <c r="AD206" s="205"/>
      <c r="AE206" s="205"/>
      <c r="AF206" s="205"/>
      <c r="AG206" s="205"/>
      <c r="AH206" s="205"/>
      <c r="AI206" s="209"/>
      <c r="AJ206" s="205"/>
      <c r="AK206" s="205"/>
      <c r="AL206" s="205"/>
      <c r="AM206" s="120"/>
      <c r="AN206" s="120"/>
      <c r="AO206" s="120"/>
      <c r="AP206" s="120"/>
      <c r="AQ206" s="120"/>
      <c r="AR206" s="209"/>
      <c r="AS206" s="205"/>
      <c r="AT206" s="205"/>
      <c r="AU206" s="120"/>
      <c r="AV206" s="120"/>
      <c r="AW206" s="120"/>
      <c r="AX206" s="120"/>
      <c r="AY206" s="120"/>
      <c r="AZ206" s="209"/>
      <c r="BA206" s="205"/>
      <c r="BB206" s="205"/>
      <c r="BC206" s="120"/>
      <c r="BD206" s="120"/>
      <c r="BE206" s="120"/>
      <c r="BF206" s="120"/>
      <c r="BG206" s="120"/>
      <c r="BH206" s="209"/>
      <c r="BI206" s="205"/>
      <c r="BJ206" s="205"/>
      <c r="BK206" s="120"/>
      <c r="BL206" s="120"/>
      <c r="BM206" s="217"/>
      <c r="BN206" s="120"/>
      <c r="BO206" s="205"/>
      <c r="BP206" s="209"/>
      <c r="BQ206" s="205"/>
      <c r="BR206" s="205"/>
      <c r="BS206" s="205"/>
      <c r="BT206" s="120"/>
      <c r="BU206" s="250"/>
      <c r="BV206" s="120"/>
      <c r="BW206" s="120"/>
      <c r="BX206" s="120"/>
      <c r="BY206" s="209"/>
      <c r="BZ206" s="205"/>
      <c r="CA206" s="205"/>
      <c r="CB206" s="120"/>
      <c r="CC206" s="120"/>
      <c r="CD206" s="120"/>
      <c r="CE206" s="120"/>
      <c r="CF206" s="120"/>
      <c r="CG206" s="209"/>
      <c r="CH206" s="205"/>
      <c r="CI206" s="205"/>
      <c r="CJ206" s="120"/>
      <c r="CK206" s="120"/>
      <c r="CL206" s="250"/>
      <c r="CM206" s="120"/>
      <c r="CN206" s="120"/>
      <c r="CO206" s="209"/>
      <c r="CP206" s="205"/>
      <c r="CQ206" s="205"/>
      <c r="CR206" s="120"/>
      <c r="CS206" s="120"/>
      <c r="CT206" s="120"/>
      <c r="CU206" s="120"/>
      <c r="CV206" s="120"/>
      <c r="CW206" s="209"/>
      <c r="CX206" s="205"/>
      <c r="CY206" s="205"/>
      <c r="CZ206" s="120"/>
      <c r="DA206" s="120"/>
      <c r="DB206" s="120"/>
      <c r="DC206" s="205"/>
      <c r="DD206" s="205"/>
      <c r="DE206" s="209"/>
      <c r="DF206" s="205"/>
      <c r="DG206" s="205"/>
      <c r="DH206" s="205"/>
      <c r="DI206" s="120"/>
      <c r="DJ206" s="120"/>
      <c r="DK206" s="120"/>
      <c r="DL206" s="120"/>
      <c r="DM206" s="120"/>
      <c r="DN206" s="209"/>
      <c r="DO206" s="205"/>
      <c r="DP206" s="205"/>
      <c r="DQ206" s="217"/>
      <c r="DR206" s="120"/>
      <c r="DS206" s="120"/>
      <c r="DT206" s="120"/>
      <c r="DU206" s="120"/>
      <c r="DV206" s="209"/>
      <c r="DW206" s="205"/>
      <c r="DX206" s="205"/>
      <c r="DY206" s="120"/>
      <c r="DZ206" s="120"/>
      <c r="EA206" s="120"/>
      <c r="EB206" s="120"/>
      <c r="EC206" s="120"/>
      <c r="ED206" s="209"/>
      <c r="EE206" s="205"/>
      <c r="EF206" s="205"/>
      <c r="EG206" s="120"/>
      <c r="EH206" s="120"/>
      <c r="EI206" s="120"/>
      <c r="EJ206" s="205"/>
      <c r="EK206" s="205"/>
      <c r="EL206" s="209"/>
      <c r="EM206" s="205"/>
      <c r="EN206" s="205"/>
      <c r="EO206" s="205"/>
      <c r="EP206" s="120"/>
      <c r="EQ206" s="250"/>
      <c r="ER206" s="120"/>
      <c r="ES206" s="120"/>
      <c r="ET206" s="120"/>
      <c r="EU206" s="209"/>
      <c r="EV206" s="205"/>
      <c r="EW206" s="205"/>
      <c r="EX206" s="120"/>
      <c r="EY206" s="120"/>
      <c r="EZ206" s="120"/>
      <c r="FA206" s="120"/>
      <c r="FB206" s="120"/>
      <c r="FC206" s="209"/>
      <c r="FD206" s="205"/>
      <c r="FE206" s="205"/>
      <c r="FF206" s="120"/>
      <c r="FG206" s="195"/>
      <c r="FH206" s="120"/>
      <c r="FI206" s="120"/>
      <c r="FJ206" s="120"/>
      <c r="FK206" s="209"/>
      <c r="FL206" s="205"/>
      <c r="FM206" s="205"/>
      <c r="FN206" s="120"/>
      <c r="FO206" s="120"/>
      <c r="FP206" s="120"/>
      <c r="FQ206" s="120"/>
      <c r="FR206" s="205"/>
      <c r="FS206" s="209"/>
      <c r="FT206" s="205"/>
      <c r="FU206" s="205"/>
      <c r="FV206" s="205"/>
      <c r="FW206" s="120"/>
      <c r="FX206" s="120"/>
      <c r="FY206" s="120"/>
      <c r="FZ206" s="120"/>
      <c r="GA206" s="120"/>
      <c r="GB206" s="209"/>
      <c r="GC206" s="205"/>
      <c r="GD206" s="205"/>
      <c r="GE206" s="120"/>
      <c r="GF206" s="120"/>
      <c r="GG206" s="120"/>
      <c r="GH206" s="120"/>
      <c r="GI206" s="120"/>
      <c r="GJ206" s="209"/>
      <c r="GK206" s="205"/>
      <c r="GL206" s="205"/>
      <c r="GM206" s="120"/>
      <c r="GN206" s="120"/>
      <c r="GO206" s="120"/>
      <c r="GP206" s="120"/>
      <c r="GQ206" s="120"/>
      <c r="GR206" s="209"/>
      <c r="GS206" s="205"/>
      <c r="GT206" s="205"/>
      <c r="GU206" s="120"/>
      <c r="GV206" s="120"/>
      <c r="GW206" s="120"/>
      <c r="GX206" s="120"/>
      <c r="GY206" s="120"/>
      <c r="GZ206" s="209"/>
      <c r="HA206" s="205"/>
      <c r="HB206" s="205"/>
      <c r="HC206" s="120"/>
      <c r="HD206" s="120"/>
      <c r="HE206" s="120"/>
      <c r="HF206" s="120"/>
      <c r="HG206" s="120"/>
      <c r="HH206" s="209"/>
      <c r="HI206" s="205"/>
      <c r="HJ206" s="205"/>
      <c r="HK206" s="205"/>
      <c r="HL206" s="124"/>
      <c r="HM206" s="120"/>
      <c r="HN206" s="120"/>
      <c r="HO206" s="123"/>
      <c r="HP206" s="120"/>
      <c r="HQ206" s="205"/>
      <c r="HR206" s="205"/>
      <c r="HS206" s="205"/>
      <c r="HT206" s="120"/>
      <c r="HU206" s="120"/>
      <c r="HV206" s="120"/>
      <c r="HW206" s="120"/>
      <c r="HX206" s="120"/>
      <c r="HY206" s="205"/>
      <c r="HZ206" s="205"/>
      <c r="IA206" s="205"/>
      <c r="IB206" s="120"/>
      <c r="IC206" s="120"/>
      <c r="ID206" s="120"/>
      <c r="IE206" s="120"/>
      <c r="IF206" s="120"/>
      <c r="IG206" s="205"/>
      <c r="IH206" s="205"/>
      <c r="II206" s="205"/>
      <c r="IJ206" s="120"/>
      <c r="IK206" s="120"/>
      <c r="IL206" s="201"/>
      <c r="IM206" s="120"/>
      <c r="IN206" s="120"/>
      <c r="IO206" s="205"/>
      <c r="IP206" s="205"/>
      <c r="IQ206" s="205"/>
      <c r="IR206" s="205"/>
      <c r="IS206" s="120"/>
      <c r="IT206" s="120"/>
      <c r="IU206" s="120"/>
      <c r="IV206" s="120"/>
      <c r="IW206" s="120"/>
      <c r="IX206" s="205"/>
      <c r="IY206" s="205"/>
      <c r="IZ206" s="205"/>
      <c r="JA206" s="120"/>
      <c r="JB206" s="120"/>
      <c r="JC206" s="120"/>
      <c r="JD206" s="120"/>
      <c r="JE206" s="120"/>
      <c r="JF206" s="205"/>
      <c r="JG206" s="205"/>
      <c r="JH206" s="205"/>
      <c r="JI206" s="120"/>
      <c r="JJ206" s="120"/>
      <c r="JK206" s="120"/>
      <c r="JL206" s="120"/>
      <c r="JM206" s="120"/>
      <c r="JN206" s="205"/>
      <c r="JO206" s="205"/>
      <c r="JP206" s="205"/>
      <c r="JQ206" s="120"/>
      <c r="JR206" s="120"/>
      <c r="JS206" s="120"/>
      <c r="JT206" s="120"/>
      <c r="JU206" s="120"/>
      <c r="JV206" s="205"/>
      <c r="JW206" s="205"/>
      <c r="JX206" s="205"/>
      <c r="JY206" s="205"/>
      <c r="JZ206" s="120"/>
      <c r="KA206" s="120"/>
      <c r="KB206" s="120"/>
      <c r="KC206" s="120"/>
      <c r="KD206" s="120"/>
      <c r="KE206" s="205"/>
      <c r="KF206" s="205"/>
      <c r="KG206" s="205"/>
      <c r="KH206" s="120"/>
      <c r="KI206" s="120"/>
      <c r="KJ206" s="120"/>
      <c r="KK206" s="206"/>
      <c r="KL206" s="120"/>
      <c r="KM206" s="205"/>
      <c r="KN206" s="205"/>
      <c r="KO206" s="205"/>
      <c r="KP206" s="120"/>
      <c r="KQ206" s="120"/>
      <c r="KR206" s="120"/>
      <c r="KS206" s="120"/>
      <c r="KT206" s="120"/>
      <c r="KU206" s="205"/>
      <c r="KV206" s="205"/>
      <c r="KW206" s="205"/>
      <c r="KX206" s="120"/>
      <c r="KY206" s="120"/>
      <c r="KZ206" s="120"/>
      <c r="LA206" s="120"/>
      <c r="LB206" s="120"/>
      <c r="LC206" s="205"/>
      <c r="LD206" s="205"/>
      <c r="LE206" s="205"/>
      <c r="LF206" s="205"/>
      <c r="LG206" s="120"/>
      <c r="LH206" s="120"/>
      <c r="LI206" s="120"/>
      <c r="LJ206" s="120"/>
      <c r="LK206" s="205"/>
      <c r="LL206" s="205"/>
      <c r="LM206" s="205"/>
      <c r="LN206" s="205"/>
      <c r="LO206" s="205"/>
      <c r="LP206" s="120"/>
      <c r="LQ206" s="120"/>
      <c r="LR206" s="120"/>
      <c r="LS206" s="205"/>
      <c r="LT206" s="205"/>
      <c r="LU206" s="205"/>
      <c r="LV206" s="205"/>
      <c r="LW206" s="120"/>
      <c r="LX206" s="120"/>
      <c r="LY206" s="124"/>
      <c r="LZ206" s="120"/>
      <c r="MA206" s="120"/>
      <c r="MB206" s="205"/>
      <c r="MC206" s="205"/>
      <c r="MD206" s="205"/>
      <c r="ME206" s="120"/>
      <c r="MF206" s="120"/>
      <c r="MG206" s="120"/>
      <c r="MH206" s="201"/>
      <c r="MI206" s="205"/>
      <c r="MJ206" s="205"/>
      <c r="MK206" s="205"/>
      <c r="ML206" s="205"/>
      <c r="MM206" s="120"/>
      <c r="MN206" s="120"/>
      <c r="MO206" s="120"/>
      <c r="MP206" s="120"/>
      <c r="MQ206" s="120"/>
      <c r="MR206" s="205"/>
      <c r="MS206" s="205"/>
      <c r="MT206" s="205"/>
      <c r="MU206" s="205"/>
      <c r="MV206" s="120"/>
      <c r="MW206" s="120"/>
      <c r="MX206" s="195"/>
      <c r="MY206" s="120"/>
      <c r="MZ206" s="120"/>
      <c r="NA206" s="205"/>
      <c r="NB206" s="205"/>
      <c r="NC206" s="205"/>
      <c r="ND206" s="120"/>
      <c r="NE206" s="120"/>
      <c r="NF206" s="120"/>
      <c r="NG206" s="120"/>
      <c r="NH206" s="120"/>
      <c r="NI206" s="205"/>
      <c r="NJ206" s="205"/>
      <c r="NK206" s="205"/>
      <c r="NL206" s="120"/>
      <c r="NM206" s="120"/>
      <c r="NN206" s="120"/>
      <c r="NO206" s="120"/>
      <c r="NP206" s="120"/>
      <c r="NQ206" s="205"/>
      <c r="NR206" s="205"/>
      <c r="NS206" s="205"/>
      <c r="NT206" s="217"/>
      <c r="NU206" s="120"/>
      <c r="NV206" s="120"/>
      <c r="NW206" s="120"/>
      <c r="NX206" s="120"/>
      <c r="NY206" s="205"/>
      <c r="NZ206" s="205"/>
      <c r="OA206" s="205">
        <f t="shared" si="2109"/>
        <v>0</v>
      </c>
      <c r="OB206" s="205">
        <f t="shared" si="2110"/>
        <v>0</v>
      </c>
      <c r="OC206" s="120"/>
      <c r="OD206" s="120"/>
      <c r="OE206" s="120"/>
      <c r="OF206" s="120"/>
      <c r="OG206" s="120"/>
      <c r="OH206" s="205"/>
      <c r="OI206" s="205"/>
      <c r="OJ206" s="205">
        <f t="shared" si="2111"/>
        <v>0</v>
      </c>
      <c r="OK206" s="120"/>
      <c r="OL206" s="120"/>
      <c r="OM206" s="120"/>
      <c r="ON206" s="120"/>
      <c r="OO206" s="120"/>
      <c r="OP206" s="205"/>
      <c r="OQ206" s="205"/>
      <c r="OR206" s="205">
        <f t="shared" si="2112"/>
        <v>0</v>
      </c>
      <c r="OS206" s="120"/>
      <c r="OT206" s="120"/>
      <c r="OU206" s="120"/>
      <c r="OV206" s="120"/>
      <c r="OW206" s="120"/>
      <c r="OX206" s="205"/>
      <c r="OY206" s="205"/>
      <c r="OZ206" s="205">
        <f t="shared" si="2113"/>
        <v>0</v>
      </c>
      <c r="PA206" s="120"/>
      <c r="PB206" s="120"/>
      <c r="PC206" s="120"/>
      <c r="PD206" s="205"/>
      <c r="PE206" s="217"/>
      <c r="PF206" s="205"/>
      <c r="PG206" s="205"/>
      <c r="PH206" s="205">
        <f t="shared" si="2114"/>
        <v>0</v>
      </c>
      <c r="PI206" s="120"/>
      <c r="PJ206" s="120"/>
      <c r="PK206" s="120"/>
      <c r="PL206" s="205"/>
      <c r="PM206" s="217"/>
      <c r="PN206" s="205"/>
      <c r="PO206" s="205"/>
      <c r="PP206" s="205"/>
      <c r="PQ206" s="205"/>
      <c r="PR206" s="120"/>
      <c r="PS206" s="207"/>
      <c r="PT206" s="207"/>
      <c r="PU206" s="207"/>
      <c r="PV206" s="207"/>
      <c r="PW206" s="272"/>
      <c r="PX206" s="272"/>
      <c r="PY206" s="205"/>
      <c r="PZ206" s="207"/>
      <c r="QA206" s="207"/>
      <c r="QB206" s="207"/>
      <c r="QC206" s="207"/>
      <c r="QD206" s="207"/>
      <c r="QE206" s="272"/>
      <c r="QF206" s="272"/>
      <c r="QG206" s="205"/>
      <c r="QH206" s="207"/>
      <c r="QI206" s="207"/>
      <c r="QJ206" s="294"/>
      <c r="QK206" s="207"/>
      <c r="QL206" s="207"/>
      <c r="QM206" s="272"/>
      <c r="QN206" s="272"/>
      <c r="QO206" s="205"/>
      <c r="QP206" s="207"/>
      <c r="QQ206" s="120"/>
      <c r="QR206" s="207"/>
      <c r="QS206" s="207"/>
      <c r="QT206" s="207"/>
      <c r="QU206" s="272"/>
      <c r="QV206" s="272"/>
      <c r="QW206" s="205"/>
      <c r="QX206" s="205">
        <f t="shared" si="2139"/>
        <v>0</v>
      </c>
      <c r="QY206" s="120"/>
      <c r="QZ206" s="120"/>
      <c r="RA206" s="120"/>
      <c r="RB206" s="120"/>
      <c r="RC206" s="120"/>
      <c r="RD206" s="272"/>
      <c r="RE206" s="272"/>
      <c r="RF206" s="205">
        <f t="shared" si="2095"/>
        <v>0</v>
      </c>
      <c r="RG206" s="207"/>
      <c r="RH206" s="207"/>
      <c r="RI206" s="207"/>
      <c r="RJ206" s="207"/>
      <c r="RK206" s="207"/>
      <c r="RL206" s="272"/>
      <c r="RM206" s="272"/>
      <c r="RN206" s="205">
        <f t="shared" si="2096"/>
        <v>0</v>
      </c>
      <c r="RO206" s="272"/>
      <c r="RP206" s="272"/>
      <c r="RQ206" s="272"/>
      <c r="RR206" s="272"/>
      <c r="RS206" s="272"/>
      <c r="RT206" s="272"/>
      <c r="RU206" s="272"/>
      <c r="RV206" s="205">
        <f t="shared" si="2097"/>
        <v>0</v>
      </c>
      <c r="RW206" s="207"/>
      <c r="RX206" s="207"/>
      <c r="RY206" s="207"/>
      <c r="RZ206" s="207"/>
      <c r="SA206" s="272"/>
      <c r="SB206" s="272"/>
      <c r="SC206" s="272"/>
      <c r="SD206" s="205">
        <f t="shared" si="2140"/>
        <v>0</v>
      </c>
      <c r="SE206" s="205">
        <f t="shared" si="2141"/>
        <v>0</v>
      </c>
      <c r="SF206" s="207"/>
      <c r="SG206" s="207"/>
      <c r="SH206" s="207"/>
      <c r="SI206" s="207"/>
      <c r="SJ206" s="207"/>
      <c r="SK206" s="272"/>
      <c r="SL206" s="272"/>
      <c r="SM206" s="205">
        <f t="shared" si="2100"/>
        <v>0</v>
      </c>
      <c r="SN206" s="207"/>
      <c r="SO206" s="207"/>
      <c r="SP206" s="207"/>
      <c r="SQ206" s="207"/>
      <c r="SR206" s="207"/>
      <c r="SS206" s="272"/>
      <c r="ST206" s="272"/>
      <c r="SU206" s="205">
        <f t="shared" si="2101"/>
        <v>0</v>
      </c>
      <c r="SV206" s="207"/>
      <c r="SW206" s="207"/>
      <c r="SX206" s="207"/>
      <c r="SY206" s="207"/>
      <c r="SZ206" s="207"/>
      <c r="TA206" s="272"/>
      <c r="TB206" s="272"/>
      <c r="TC206" s="205">
        <f t="shared" si="2102"/>
        <v>0</v>
      </c>
      <c r="TD206" s="207"/>
      <c r="TE206" s="207"/>
      <c r="TF206" s="207"/>
      <c r="TG206" s="207"/>
      <c r="TH206" s="207"/>
      <c r="TI206" s="272"/>
      <c r="TJ206" s="272"/>
      <c r="TK206" s="205">
        <f t="shared" si="2142"/>
        <v>0</v>
      </c>
      <c r="TL206" s="207"/>
      <c r="TM206" s="207"/>
      <c r="TN206" s="207"/>
      <c r="TO206" s="207"/>
      <c r="TP206" s="272"/>
      <c r="TQ206" s="272"/>
      <c r="TR206" s="272"/>
      <c r="TS206" s="205">
        <f t="shared" si="2135"/>
        <v>0</v>
      </c>
      <c r="TT206" s="205">
        <f t="shared" si="2136"/>
        <v>0</v>
      </c>
      <c r="TU206" s="272"/>
      <c r="TV206" s="207"/>
      <c r="TW206" s="207"/>
      <c r="TX206" s="207"/>
      <c r="TY206" s="207"/>
      <c r="TZ206" s="272"/>
      <c r="UA206" s="272"/>
      <c r="UB206" s="205">
        <f t="shared" si="2012"/>
        <v>0</v>
      </c>
      <c r="UC206" s="207"/>
      <c r="UD206" s="207"/>
      <c r="UE206" s="120"/>
      <c r="UF206" s="120"/>
      <c r="UG206" s="207"/>
      <c r="UH206" s="272"/>
      <c r="UI206" s="272"/>
      <c r="UJ206" s="205">
        <f t="shared" si="2013"/>
        <v>0</v>
      </c>
      <c r="UL206" s="356"/>
      <c r="UM206" s="207"/>
      <c r="UN206" s="207"/>
      <c r="UO206" s="207"/>
      <c r="UP206" s="272"/>
      <c r="UQ206" s="272"/>
      <c r="UR206" s="205">
        <f>SUM(UL206:UQ206)</f>
        <v>0</v>
      </c>
      <c r="US206" s="207"/>
      <c r="UT206" s="207"/>
      <c r="UU206" s="207"/>
      <c r="UV206" s="207"/>
      <c r="UW206" s="272"/>
      <c r="UX206" s="272"/>
      <c r="UY206" s="272"/>
      <c r="UZ206" s="205">
        <f t="shared" si="2143"/>
        <v>0</v>
      </c>
      <c r="VA206" s="205">
        <f t="shared" si="2144"/>
        <v>0</v>
      </c>
      <c r="VB206" s="207"/>
      <c r="VC206" s="120"/>
      <c r="VD206" s="207"/>
      <c r="VE206" s="207"/>
      <c r="VF206" s="207"/>
      <c r="VG206" s="272"/>
      <c r="VH206" s="272"/>
      <c r="VI206" s="205">
        <f t="shared" si="2005"/>
        <v>0</v>
      </c>
      <c r="VJ206" s="207"/>
      <c r="VK206" s="207"/>
      <c r="VL206" s="207"/>
      <c r="VM206" s="207"/>
      <c r="VN206" s="207"/>
      <c r="VO206" s="272"/>
      <c r="VP206" s="272"/>
      <c r="VQ206" s="205">
        <f t="shared" si="2015"/>
        <v>0</v>
      </c>
      <c r="VR206" s="207"/>
      <c r="VS206" s="207"/>
      <c r="VT206" s="207"/>
      <c r="VU206" s="207"/>
      <c r="VV206" s="207"/>
      <c r="VW206" s="272"/>
      <c r="VX206" s="272"/>
      <c r="VY206" s="205">
        <f t="shared" si="2006"/>
        <v>0</v>
      </c>
      <c r="VZ206" s="207"/>
      <c r="WA206" s="207"/>
      <c r="WB206" s="207"/>
      <c r="WC206" s="207"/>
      <c r="WD206" s="207"/>
      <c r="WE206" s="272"/>
      <c r="WF206" s="272"/>
      <c r="WG206" s="205">
        <f t="shared" si="2007"/>
        <v>0</v>
      </c>
      <c r="WH206" s="205">
        <f t="shared" si="2008"/>
        <v>0</v>
      </c>
      <c r="WI206" s="207"/>
      <c r="WJ206" s="207"/>
      <c r="WK206" s="207"/>
      <c r="WL206" s="207"/>
      <c r="WM206" s="207"/>
      <c r="WN206" s="272"/>
      <c r="WO206" s="272"/>
      <c r="WP206" s="205">
        <f t="shared" si="2016"/>
        <v>0</v>
      </c>
      <c r="WQ206" s="207"/>
      <c r="WR206" s="207"/>
      <c r="WS206" s="207"/>
      <c r="WT206" s="207"/>
      <c r="WU206" s="207"/>
      <c r="WV206" s="272"/>
      <c r="WW206" s="272"/>
      <c r="WX206" s="205">
        <f t="shared" si="2017"/>
        <v>0</v>
      </c>
      <c r="WY206" s="207"/>
      <c r="WZ206" s="207"/>
      <c r="XA206" s="207"/>
      <c r="XB206" s="207"/>
      <c r="XC206" s="272"/>
      <c r="XD206" s="272"/>
      <c r="XE206" s="272"/>
      <c r="XF206" s="205">
        <f t="shared" si="2009"/>
        <v>0</v>
      </c>
      <c r="XG206" s="207"/>
      <c r="XH206" s="207"/>
      <c r="XI206" s="207"/>
      <c r="XJ206" s="207"/>
      <c r="XK206" s="207"/>
      <c r="XL206" s="272"/>
      <c r="XM206" s="272"/>
      <c r="XN206" s="205">
        <f t="shared" si="2105"/>
        <v>0</v>
      </c>
      <c r="XO206" s="207"/>
      <c r="XP206" s="207"/>
      <c r="XQ206" s="207"/>
      <c r="XR206" s="207"/>
      <c r="XS206" s="207"/>
      <c r="XT206" s="272"/>
      <c r="XU206" s="272"/>
      <c r="XV206" s="205">
        <f t="shared" si="2137"/>
        <v>0</v>
      </c>
      <c r="XW206" s="205">
        <f t="shared" si="2138"/>
        <v>0</v>
      </c>
      <c r="XX206" s="207"/>
      <c r="XY206" s="207"/>
      <c r="XZ206" s="207"/>
      <c r="YA206" s="207"/>
      <c r="YB206" s="207"/>
      <c r="YC206" s="272"/>
      <c r="YD206" s="272"/>
      <c r="YE206" s="205">
        <f t="shared" si="2018"/>
        <v>0</v>
      </c>
      <c r="YF206" s="207"/>
      <c r="YG206" s="207"/>
      <c r="YH206" s="207"/>
      <c r="YI206" s="207"/>
      <c r="YJ206" s="207"/>
      <c r="YK206" s="272"/>
      <c r="YL206" s="272"/>
      <c r="YM206" s="205">
        <f t="shared" si="2019"/>
        <v>0</v>
      </c>
      <c r="YN206" s="207"/>
      <c r="YO206" s="207"/>
      <c r="YP206" s="207"/>
      <c r="YQ206" s="207"/>
      <c r="YR206" s="207"/>
      <c r="YS206" s="272"/>
      <c r="YT206" s="272"/>
      <c r="YU206" s="205">
        <f t="shared" si="2020"/>
        <v>0</v>
      </c>
      <c r="YV206" s="207"/>
      <c r="YW206" s="207"/>
      <c r="YX206" s="207"/>
      <c r="YY206" s="207"/>
      <c r="YZ206" s="207"/>
      <c r="ZA206" s="272"/>
      <c r="ZB206" s="272"/>
      <c r="ZC206" s="205">
        <f t="shared" si="2021"/>
        <v>0</v>
      </c>
      <c r="ZD206" s="205">
        <f t="shared" si="2022"/>
        <v>0</v>
      </c>
      <c r="ZE206" s="207"/>
      <c r="ZF206" s="207"/>
      <c r="ZG206" s="207"/>
      <c r="ZH206" s="207"/>
      <c r="ZI206" s="207"/>
      <c r="ZJ206" s="272"/>
      <c r="ZK206" s="272"/>
      <c r="ZL206" s="205">
        <f t="shared" si="2023"/>
        <v>0</v>
      </c>
      <c r="ZM206" s="207"/>
      <c r="ZN206" s="207"/>
      <c r="ZO206" s="207"/>
      <c r="ZP206" s="207"/>
      <c r="ZQ206" s="207"/>
      <c r="ZR206" s="272"/>
      <c r="ZS206" s="272"/>
      <c r="ZT206" s="205">
        <f t="shared" si="2010"/>
        <v>0</v>
      </c>
      <c r="ZU206" s="207"/>
      <c r="ZV206" s="207"/>
      <c r="ZW206" s="207"/>
      <c r="ZX206" s="207"/>
      <c r="ZY206" s="207"/>
      <c r="ZZ206" s="272"/>
      <c r="AAA206" s="272"/>
      <c r="AAB206" s="205">
        <f t="shared" si="2024"/>
        <v>0</v>
      </c>
      <c r="AAC206" s="207"/>
      <c r="AAD206" s="207"/>
      <c r="AAE206" s="207"/>
      <c r="AAF206" s="207"/>
      <c r="AAG206" s="207"/>
      <c r="AAH206" s="272"/>
      <c r="AAI206" s="272"/>
      <c r="AAJ206" s="205">
        <f t="shared" si="2011"/>
        <v>0</v>
      </c>
      <c r="AAK206" s="207"/>
      <c r="AAL206" s="207"/>
      <c r="AAM206" s="207"/>
      <c r="AAN206" s="207"/>
      <c r="AAO206" s="207"/>
      <c r="AAP206" s="272"/>
      <c r="AAQ206" s="272"/>
      <c r="AAR206" s="205">
        <f t="shared" si="2025"/>
        <v>0</v>
      </c>
      <c r="AAS206" s="205">
        <f t="shared" si="2026"/>
        <v>0</v>
      </c>
    </row>
    <row r="207" spans="1:721" ht="80.099999999999994" customHeight="1">
      <c r="A207" s="117">
        <v>10</v>
      </c>
      <c r="B207" s="350">
        <v>3630102302</v>
      </c>
      <c r="C207" s="388" t="s">
        <v>893</v>
      </c>
      <c r="D207" s="351" t="s">
        <v>858</v>
      </c>
      <c r="E207" s="130" t="s">
        <v>4</v>
      </c>
      <c r="F207" s="120"/>
      <c r="G207" s="120"/>
      <c r="H207" s="120"/>
      <c r="I207" s="120"/>
      <c r="J207" s="120"/>
      <c r="K207" s="209"/>
      <c r="L207" s="205"/>
      <c r="M207" s="205">
        <f t="shared" si="2108"/>
        <v>0</v>
      </c>
      <c r="N207" s="120"/>
      <c r="O207" s="120"/>
      <c r="P207" s="120"/>
      <c r="Q207" s="120"/>
      <c r="R207" s="120"/>
      <c r="S207" s="209"/>
      <c r="T207" s="205"/>
      <c r="U207" s="205"/>
      <c r="V207" s="120"/>
      <c r="W207" s="120"/>
      <c r="X207" s="120"/>
      <c r="Y207" s="120"/>
      <c r="Z207" s="120"/>
      <c r="AA207" s="209"/>
      <c r="AB207" s="205"/>
      <c r="AC207" s="205"/>
      <c r="AD207" s="205"/>
      <c r="AE207" s="205"/>
      <c r="AF207" s="205"/>
      <c r="AG207" s="205"/>
      <c r="AH207" s="205"/>
      <c r="AI207" s="209"/>
      <c r="AJ207" s="205"/>
      <c r="AK207" s="205"/>
      <c r="AL207" s="205"/>
      <c r="AM207" s="120"/>
      <c r="AN207" s="120"/>
      <c r="AO207" s="120"/>
      <c r="AP207" s="120"/>
      <c r="AQ207" s="120"/>
      <c r="AR207" s="209"/>
      <c r="AS207" s="205"/>
      <c r="AT207" s="205"/>
      <c r="AU207" s="120"/>
      <c r="AV207" s="120"/>
      <c r="AW207" s="120"/>
      <c r="AX207" s="120"/>
      <c r="AY207" s="120"/>
      <c r="AZ207" s="209"/>
      <c r="BA207" s="205"/>
      <c r="BB207" s="205"/>
      <c r="BC207" s="120"/>
      <c r="BD207" s="120"/>
      <c r="BE207" s="120"/>
      <c r="BF207" s="120"/>
      <c r="BG207" s="120"/>
      <c r="BH207" s="209"/>
      <c r="BI207" s="205"/>
      <c r="BJ207" s="205"/>
      <c r="BK207" s="120"/>
      <c r="BL207" s="120"/>
      <c r="BM207" s="217"/>
      <c r="BN207" s="120"/>
      <c r="BO207" s="205"/>
      <c r="BP207" s="209"/>
      <c r="BQ207" s="205"/>
      <c r="BR207" s="205"/>
      <c r="BS207" s="205"/>
      <c r="BT207" s="120"/>
      <c r="BU207" s="250"/>
      <c r="BV207" s="120"/>
      <c r="BW207" s="120"/>
      <c r="BX207" s="120"/>
      <c r="BY207" s="209"/>
      <c r="BZ207" s="205"/>
      <c r="CA207" s="205"/>
      <c r="CB207" s="120"/>
      <c r="CC207" s="120"/>
      <c r="CD207" s="120"/>
      <c r="CE207" s="120"/>
      <c r="CF207" s="120"/>
      <c r="CG207" s="209"/>
      <c r="CH207" s="205"/>
      <c r="CI207" s="205"/>
      <c r="CJ207" s="120"/>
      <c r="CK207" s="120"/>
      <c r="CL207" s="250"/>
      <c r="CM207" s="120"/>
      <c r="CN207" s="120"/>
      <c r="CO207" s="209"/>
      <c r="CP207" s="205"/>
      <c r="CQ207" s="205"/>
      <c r="CR207" s="120"/>
      <c r="CS207" s="120"/>
      <c r="CT207" s="120"/>
      <c r="CU207" s="120"/>
      <c r="CV207" s="120"/>
      <c r="CW207" s="209"/>
      <c r="CX207" s="205"/>
      <c r="CY207" s="205"/>
      <c r="CZ207" s="120"/>
      <c r="DA207" s="120"/>
      <c r="DB207" s="120"/>
      <c r="DC207" s="205"/>
      <c r="DD207" s="205"/>
      <c r="DE207" s="209"/>
      <c r="DF207" s="205"/>
      <c r="DG207" s="205"/>
      <c r="DH207" s="205"/>
      <c r="DI207" s="120"/>
      <c r="DJ207" s="120"/>
      <c r="DK207" s="120"/>
      <c r="DL207" s="120"/>
      <c r="DM207" s="120"/>
      <c r="DN207" s="209"/>
      <c r="DO207" s="205"/>
      <c r="DP207" s="205"/>
      <c r="DQ207" s="217"/>
      <c r="DR207" s="120"/>
      <c r="DS207" s="120"/>
      <c r="DT207" s="120"/>
      <c r="DU207" s="120"/>
      <c r="DV207" s="209"/>
      <c r="DW207" s="205"/>
      <c r="DX207" s="205"/>
      <c r="DY207" s="120"/>
      <c r="DZ207" s="120"/>
      <c r="EA207" s="120"/>
      <c r="EB207" s="120"/>
      <c r="EC207" s="120"/>
      <c r="ED207" s="209"/>
      <c r="EE207" s="205"/>
      <c r="EF207" s="205"/>
      <c r="EG207" s="120"/>
      <c r="EH207" s="120"/>
      <c r="EI207" s="120"/>
      <c r="EJ207" s="205"/>
      <c r="EK207" s="205"/>
      <c r="EL207" s="209"/>
      <c r="EM207" s="205"/>
      <c r="EN207" s="205"/>
      <c r="EO207" s="205"/>
      <c r="EP207" s="120"/>
      <c r="EQ207" s="250"/>
      <c r="ER207" s="120"/>
      <c r="ES207" s="120"/>
      <c r="ET207" s="120"/>
      <c r="EU207" s="209"/>
      <c r="EV207" s="205"/>
      <c r="EW207" s="205"/>
      <c r="EX207" s="120"/>
      <c r="EY207" s="120"/>
      <c r="EZ207" s="120"/>
      <c r="FA207" s="120"/>
      <c r="FB207" s="120"/>
      <c r="FC207" s="209"/>
      <c r="FD207" s="205"/>
      <c r="FE207" s="205"/>
      <c r="FF207" s="120"/>
      <c r="FG207" s="195"/>
      <c r="FH207" s="120"/>
      <c r="FI207" s="120"/>
      <c r="FJ207" s="120"/>
      <c r="FK207" s="209"/>
      <c r="FL207" s="205"/>
      <c r="FM207" s="205"/>
      <c r="FN207" s="120"/>
      <c r="FO207" s="120"/>
      <c r="FP207" s="120"/>
      <c r="FQ207" s="120"/>
      <c r="FR207" s="205"/>
      <c r="FS207" s="209"/>
      <c r="FT207" s="205"/>
      <c r="FU207" s="205"/>
      <c r="FV207" s="205"/>
      <c r="FW207" s="120"/>
      <c r="FX207" s="120"/>
      <c r="FY207" s="120"/>
      <c r="FZ207" s="120"/>
      <c r="GA207" s="120"/>
      <c r="GB207" s="209"/>
      <c r="GC207" s="205"/>
      <c r="GD207" s="205"/>
      <c r="GE207" s="120"/>
      <c r="GF207" s="120"/>
      <c r="GG207" s="120"/>
      <c r="GH207" s="120"/>
      <c r="GI207" s="120"/>
      <c r="GJ207" s="209"/>
      <c r="GK207" s="205"/>
      <c r="GL207" s="205"/>
      <c r="GM207" s="120"/>
      <c r="GN207" s="120"/>
      <c r="GO207" s="120"/>
      <c r="GP207" s="120"/>
      <c r="GQ207" s="120"/>
      <c r="GR207" s="209"/>
      <c r="GS207" s="205"/>
      <c r="GT207" s="205"/>
      <c r="GU207" s="120"/>
      <c r="GV207" s="120"/>
      <c r="GW207" s="120"/>
      <c r="GX207" s="120"/>
      <c r="GY207" s="120"/>
      <c r="GZ207" s="209"/>
      <c r="HA207" s="205"/>
      <c r="HB207" s="205"/>
      <c r="HC207" s="120"/>
      <c r="HD207" s="120"/>
      <c r="HE207" s="120"/>
      <c r="HF207" s="120"/>
      <c r="HG207" s="120"/>
      <c r="HH207" s="209"/>
      <c r="HI207" s="205"/>
      <c r="HJ207" s="205"/>
      <c r="HK207" s="205"/>
      <c r="HL207" s="124"/>
      <c r="HM207" s="120"/>
      <c r="HN207" s="120"/>
      <c r="HO207" s="123"/>
      <c r="HP207" s="120"/>
      <c r="HQ207" s="205"/>
      <c r="HR207" s="205"/>
      <c r="HS207" s="205"/>
      <c r="HT207" s="120"/>
      <c r="HU207" s="120"/>
      <c r="HV207" s="120"/>
      <c r="HW207" s="120"/>
      <c r="HX207" s="120"/>
      <c r="HY207" s="205"/>
      <c r="HZ207" s="205"/>
      <c r="IA207" s="205"/>
      <c r="IB207" s="120"/>
      <c r="IC207" s="120"/>
      <c r="ID207" s="120"/>
      <c r="IE207" s="120"/>
      <c r="IF207" s="120"/>
      <c r="IG207" s="205"/>
      <c r="IH207" s="205"/>
      <c r="II207" s="205"/>
      <c r="IJ207" s="120"/>
      <c r="IK207" s="120"/>
      <c r="IL207" s="201"/>
      <c r="IM207" s="120"/>
      <c r="IN207" s="120"/>
      <c r="IO207" s="205"/>
      <c r="IP207" s="205"/>
      <c r="IQ207" s="205"/>
      <c r="IR207" s="205"/>
      <c r="IS207" s="120"/>
      <c r="IT207" s="120"/>
      <c r="IU207" s="120"/>
      <c r="IV207" s="120"/>
      <c r="IW207" s="120"/>
      <c r="IX207" s="205"/>
      <c r="IY207" s="205"/>
      <c r="IZ207" s="205"/>
      <c r="JA207" s="120"/>
      <c r="JB207" s="120"/>
      <c r="JC207" s="120"/>
      <c r="JD207" s="120"/>
      <c r="JE207" s="120"/>
      <c r="JF207" s="205"/>
      <c r="JG207" s="205"/>
      <c r="JH207" s="205"/>
      <c r="JI207" s="120"/>
      <c r="JJ207" s="120"/>
      <c r="JK207" s="120"/>
      <c r="JL207" s="120"/>
      <c r="JM207" s="120"/>
      <c r="JN207" s="205"/>
      <c r="JO207" s="205"/>
      <c r="JP207" s="205"/>
      <c r="JQ207" s="120"/>
      <c r="JR207" s="120"/>
      <c r="JS207" s="120"/>
      <c r="JT207" s="120"/>
      <c r="JU207" s="120"/>
      <c r="JV207" s="205"/>
      <c r="JW207" s="205"/>
      <c r="JX207" s="205"/>
      <c r="JY207" s="205"/>
      <c r="JZ207" s="120"/>
      <c r="KA207" s="120"/>
      <c r="KB207" s="120"/>
      <c r="KC207" s="120"/>
      <c r="KD207" s="120"/>
      <c r="KE207" s="205"/>
      <c r="KF207" s="205"/>
      <c r="KG207" s="205"/>
      <c r="KH207" s="120"/>
      <c r="KI207" s="120"/>
      <c r="KJ207" s="120"/>
      <c r="KK207" s="206"/>
      <c r="KL207" s="120"/>
      <c r="KM207" s="205"/>
      <c r="KN207" s="205"/>
      <c r="KO207" s="205"/>
      <c r="KP207" s="120"/>
      <c r="KQ207" s="120"/>
      <c r="KR207" s="120"/>
      <c r="KS207" s="120"/>
      <c r="KT207" s="120"/>
      <c r="KU207" s="205"/>
      <c r="KV207" s="205"/>
      <c r="KW207" s="205"/>
      <c r="KX207" s="120"/>
      <c r="KY207" s="120"/>
      <c r="KZ207" s="120"/>
      <c r="LA207" s="120"/>
      <c r="LB207" s="120"/>
      <c r="LC207" s="205"/>
      <c r="LD207" s="205"/>
      <c r="LE207" s="205"/>
      <c r="LF207" s="205"/>
      <c r="LG207" s="120"/>
      <c r="LH207" s="120"/>
      <c r="LI207" s="120"/>
      <c r="LJ207" s="120"/>
      <c r="LK207" s="205"/>
      <c r="LL207" s="205"/>
      <c r="LM207" s="205"/>
      <c r="LN207" s="205"/>
      <c r="LO207" s="205"/>
      <c r="LP207" s="120"/>
      <c r="LQ207" s="120"/>
      <c r="LR207" s="120"/>
      <c r="LS207" s="205"/>
      <c r="LT207" s="205"/>
      <c r="LU207" s="205"/>
      <c r="LV207" s="205"/>
      <c r="LW207" s="120"/>
      <c r="LX207" s="120"/>
      <c r="LY207" s="124"/>
      <c r="LZ207" s="120"/>
      <c r="MA207" s="120"/>
      <c r="MB207" s="205"/>
      <c r="MC207" s="205"/>
      <c r="MD207" s="205"/>
      <c r="ME207" s="120"/>
      <c r="MF207" s="120"/>
      <c r="MG207" s="120"/>
      <c r="MH207" s="201"/>
      <c r="MI207" s="205"/>
      <c r="MJ207" s="205"/>
      <c r="MK207" s="205"/>
      <c r="ML207" s="205"/>
      <c r="MM207" s="120"/>
      <c r="MN207" s="120"/>
      <c r="MO207" s="120"/>
      <c r="MP207" s="120"/>
      <c r="MQ207" s="120"/>
      <c r="MR207" s="205"/>
      <c r="MS207" s="205"/>
      <c r="MT207" s="205"/>
      <c r="MU207" s="205"/>
      <c r="MV207" s="120"/>
      <c r="MW207" s="120"/>
      <c r="MX207" s="195"/>
      <c r="MY207" s="120"/>
      <c r="MZ207" s="120"/>
      <c r="NA207" s="205"/>
      <c r="NB207" s="205"/>
      <c r="NC207" s="205"/>
      <c r="ND207" s="120"/>
      <c r="NE207" s="120"/>
      <c r="NF207" s="120"/>
      <c r="NG207" s="120"/>
      <c r="NH207" s="120"/>
      <c r="NI207" s="205"/>
      <c r="NJ207" s="205"/>
      <c r="NK207" s="205"/>
      <c r="NL207" s="120"/>
      <c r="NM207" s="120"/>
      <c r="NN207" s="120"/>
      <c r="NO207" s="120"/>
      <c r="NP207" s="120"/>
      <c r="NQ207" s="205"/>
      <c r="NR207" s="205"/>
      <c r="NS207" s="205"/>
      <c r="NT207" s="217"/>
      <c r="NU207" s="120"/>
      <c r="NV207" s="120"/>
      <c r="NW207" s="120"/>
      <c r="NX207" s="120"/>
      <c r="NY207" s="205"/>
      <c r="NZ207" s="205"/>
      <c r="OA207" s="205">
        <f t="shared" si="2109"/>
        <v>0</v>
      </c>
      <c r="OB207" s="205">
        <f t="shared" si="2110"/>
        <v>0</v>
      </c>
      <c r="OC207" s="120"/>
      <c r="OD207" s="120"/>
      <c r="OE207" s="120"/>
      <c r="OF207" s="120"/>
      <c r="OG207" s="120"/>
      <c r="OH207" s="205"/>
      <c r="OI207" s="205"/>
      <c r="OJ207" s="205">
        <f t="shared" si="2111"/>
        <v>0</v>
      </c>
      <c r="OK207" s="120"/>
      <c r="OL207" s="120"/>
      <c r="OM207" s="120"/>
      <c r="ON207" s="120"/>
      <c r="OO207" s="120"/>
      <c r="OP207" s="205"/>
      <c r="OQ207" s="205"/>
      <c r="OR207" s="205">
        <f t="shared" si="2112"/>
        <v>0</v>
      </c>
      <c r="OS207" s="120"/>
      <c r="OT207" s="120"/>
      <c r="OU207" s="120"/>
      <c r="OV207" s="120"/>
      <c r="OW207" s="120"/>
      <c r="OX207" s="205"/>
      <c r="OY207" s="205"/>
      <c r="OZ207" s="205">
        <f t="shared" si="2113"/>
        <v>0</v>
      </c>
      <c r="PA207" s="120"/>
      <c r="PB207" s="120"/>
      <c r="PC207" s="120"/>
      <c r="PD207" s="205"/>
      <c r="PE207" s="217"/>
      <c r="PF207" s="205"/>
      <c r="PG207" s="205"/>
      <c r="PH207" s="205">
        <f t="shared" si="2114"/>
        <v>0</v>
      </c>
      <c r="PI207" s="120"/>
      <c r="PJ207" s="120"/>
      <c r="PK207" s="120"/>
      <c r="PL207" s="205"/>
      <c r="PM207" s="217"/>
      <c r="PN207" s="205"/>
      <c r="PO207" s="205"/>
      <c r="PP207" s="205"/>
      <c r="PQ207" s="205"/>
      <c r="PR207" s="120"/>
      <c r="PS207" s="207"/>
      <c r="PT207" s="207"/>
      <c r="PU207" s="207"/>
      <c r="PV207" s="207"/>
      <c r="PW207" s="272"/>
      <c r="PX207" s="272"/>
      <c r="PY207" s="205"/>
      <c r="PZ207" s="207"/>
      <c r="QA207" s="207"/>
      <c r="QB207" s="207"/>
      <c r="QC207" s="207"/>
      <c r="QD207" s="207"/>
      <c r="QE207" s="272"/>
      <c r="QF207" s="272"/>
      <c r="QG207" s="205"/>
      <c r="QH207" s="207"/>
      <c r="QI207" s="207"/>
      <c r="QJ207" s="294"/>
      <c r="QK207" s="207"/>
      <c r="QL207" s="207"/>
      <c r="QM207" s="272"/>
      <c r="QN207" s="272"/>
      <c r="QO207" s="205"/>
      <c r="QP207" s="207"/>
      <c r="QQ207" s="120"/>
      <c r="QR207" s="207"/>
      <c r="QS207" s="207"/>
      <c r="QT207" s="207"/>
      <c r="QU207" s="272"/>
      <c r="QV207" s="272"/>
      <c r="QW207" s="205"/>
      <c r="QX207" s="205">
        <f t="shared" si="2139"/>
        <v>0</v>
      </c>
      <c r="QY207" s="120"/>
      <c r="QZ207" s="120"/>
      <c r="RA207" s="120"/>
      <c r="RB207" s="120"/>
      <c r="RC207" s="120"/>
      <c r="RD207" s="272"/>
      <c r="RE207" s="272"/>
      <c r="RF207" s="205">
        <f t="shared" si="2095"/>
        <v>0</v>
      </c>
      <c r="RG207" s="207"/>
      <c r="RH207" s="207"/>
      <c r="RI207" s="207"/>
      <c r="RJ207" s="207"/>
      <c r="RK207" s="207"/>
      <c r="RL207" s="272"/>
      <c r="RM207" s="272"/>
      <c r="RN207" s="205">
        <f t="shared" si="2096"/>
        <v>0</v>
      </c>
      <c r="RO207" s="272"/>
      <c r="RP207" s="272"/>
      <c r="RQ207" s="272"/>
      <c r="RR207" s="272"/>
      <c r="RS207" s="272"/>
      <c r="RT207" s="272"/>
      <c r="RU207" s="272"/>
      <c r="RV207" s="205">
        <f t="shared" si="2097"/>
        <v>0</v>
      </c>
      <c r="RW207" s="207"/>
      <c r="RX207" s="207"/>
      <c r="RY207" s="207"/>
      <c r="RZ207" s="207"/>
      <c r="SA207" s="272"/>
      <c r="SB207" s="272"/>
      <c r="SC207" s="272"/>
      <c r="SD207" s="205">
        <f t="shared" si="2140"/>
        <v>0</v>
      </c>
      <c r="SE207" s="205">
        <f t="shared" si="2141"/>
        <v>0</v>
      </c>
      <c r="SF207" s="207"/>
      <c r="SG207" s="207"/>
      <c r="SH207" s="207"/>
      <c r="SI207" s="207"/>
      <c r="SJ207" s="207"/>
      <c r="SK207" s="272"/>
      <c r="SL207" s="272"/>
      <c r="SM207" s="205">
        <f t="shared" si="2100"/>
        <v>0</v>
      </c>
      <c r="SN207" s="207"/>
      <c r="SO207" s="207"/>
      <c r="SP207" s="207"/>
      <c r="SQ207" s="207"/>
      <c r="SR207" s="207"/>
      <c r="SS207" s="272"/>
      <c r="ST207" s="272"/>
      <c r="SU207" s="205">
        <f t="shared" si="2101"/>
        <v>0</v>
      </c>
      <c r="SV207" s="207"/>
      <c r="SW207" s="207"/>
      <c r="SX207" s="207"/>
      <c r="SY207" s="207"/>
      <c r="SZ207" s="207"/>
      <c r="TA207" s="272"/>
      <c r="TB207" s="272"/>
      <c r="TC207" s="205">
        <f t="shared" si="2102"/>
        <v>0</v>
      </c>
      <c r="TD207" s="207"/>
      <c r="TE207" s="207"/>
      <c r="TF207" s="207"/>
      <c r="TG207" s="207"/>
      <c r="TH207" s="207"/>
      <c r="TI207" s="272"/>
      <c r="TJ207" s="272"/>
      <c r="TK207" s="205">
        <f t="shared" si="2142"/>
        <v>0</v>
      </c>
      <c r="TL207" s="207"/>
      <c r="TM207" s="207"/>
      <c r="TN207" s="207"/>
      <c r="TO207" s="207"/>
      <c r="TP207" s="272"/>
      <c r="TQ207" s="272"/>
      <c r="TR207" s="272"/>
      <c r="TS207" s="205">
        <f t="shared" si="2135"/>
        <v>0</v>
      </c>
      <c r="TT207" s="205">
        <f t="shared" si="2136"/>
        <v>0</v>
      </c>
      <c r="TU207" s="272"/>
      <c r="TV207" s="207"/>
      <c r="TW207" s="207"/>
      <c r="TX207" s="207"/>
      <c r="TY207" s="207"/>
      <c r="TZ207" s="272"/>
      <c r="UA207" s="272"/>
      <c r="UB207" s="205">
        <f t="shared" si="2012"/>
        <v>0</v>
      </c>
      <c r="UC207" s="207"/>
      <c r="UD207" s="207"/>
      <c r="UE207" s="120"/>
      <c r="UF207" s="120"/>
      <c r="UG207" s="207"/>
      <c r="UH207" s="272"/>
      <c r="UI207" s="272"/>
      <c r="UJ207" s="205">
        <f t="shared" si="2013"/>
        <v>0</v>
      </c>
      <c r="UK207" s="207"/>
      <c r="UL207" s="356"/>
      <c r="UM207" s="207"/>
      <c r="UN207" s="207"/>
      <c r="UO207" s="207"/>
      <c r="UP207" s="272"/>
      <c r="UQ207" s="272"/>
      <c r="UR207" s="205">
        <f t="shared" si="2014"/>
        <v>0</v>
      </c>
      <c r="US207" s="207"/>
      <c r="UT207" s="207"/>
      <c r="UU207" s="207"/>
      <c r="UV207" s="207"/>
      <c r="UW207" s="272"/>
      <c r="UX207" s="272"/>
      <c r="UY207" s="272"/>
      <c r="UZ207" s="205">
        <f t="shared" si="2143"/>
        <v>0</v>
      </c>
      <c r="VA207" s="205">
        <f t="shared" si="2144"/>
        <v>0</v>
      </c>
      <c r="VB207" s="207"/>
      <c r="VC207" s="120"/>
      <c r="VD207" s="207"/>
      <c r="VE207" s="207"/>
      <c r="VF207" s="207"/>
      <c r="VG207" s="272"/>
      <c r="VH207" s="272"/>
      <c r="VI207" s="205">
        <f t="shared" si="2005"/>
        <v>0</v>
      </c>
      <c r="VJ207" s="207"/>
      <c r="VK207" s="207"/>
      <c r="VL207" s="207"/>
      <c r="VM207" s="207"/>
      <c r="VN207" s="207"/>
      <c r="VO207" s="272"/>
      <c r="VP207" s="272"/>
      <c r="VQ207" s="205">
        <f t="shared" si="2015"/>
        <v>0</v>
      </c>
      <c r="VR207" s="207"/>
      <c r="VS207" s="207"/>
      <c r="VT207" s="207"/>
      <c r="VU207" s="207"/>
      <c r="VV207" s="207"/>
      <c r="VW207" s="272"/>
      <c r="VX207" s="272"/>
      <c r="VY207" s="205">
        <f t="shared" si="2006"/>
        <v>0</v>
      </c>
      <c r="VZ207" s="207"/>
      <c r="WA207" s="207"/>
      <c r="WB207" s="207"/>
      <c r="WC207" s="207"/>
      <c r="WD207" s="207"/>
      <c r="WE207" s="272"/>
      <c r="WF207" s="272"/>
      <c r="WG207" s="205">
        <f t="shared" si="2007"/>
        <v>0</v>
      </c>
      <c r="WH207" s="205">
        <f t="shared" si="2008"/>
        <v>0</v>
      </c>
      <c r="WI207" s="207"/>
      <c r="WJ207" s="207"/>
      <c r="WK207" s="207"/>
      <c r="WL207" s="207"/>
      <c r="WM207" s="207"/>
      <c r="WN207" s="272"/>
      <c r="WO207" s="272"/>
      <c r="WP207" s="205">
        <f t="shared" si="2016"/>
        <v>0</v>
      </c>
      <c r="WQ207" s="207"/>
      <c r="WR207" s="207"/>
      <c r="WS207" s="207"/>
      <c r="WT207" s="207"/>
      <c r="WU207" s="207"/>
      <c r="WV207" s="272"/>
      <c r="WW207" s="272"/>
      <c r="WX207" s="205">
        <f t="shared" si="2017"/>
        <v>0</v>
      </c>
      <c r="WY207" s="207"/>
      <c r="WZ207" s="207"/>
      <c r="XA207" s="207"/>
      <c r="XB207" s="207"/>
      <c r="XC207" s="272"/>
      <c r="XD207" s="272"/>
      <c r="XE207" s="272"/>
      <c r="XF207" s="205">
        <f t="shared" si="2009"/>
        <v>0</v>
      </c>
      <c r="XG207" s="207"/>
      <c r="XH207" s="207"/>
      <c r="XI207" s="207"/>
      <c r="XJ207" s="207"/>
      <c r="XK207" s="207"/>
      <c r="XL207" s="272"/>
      <c r="XM207" s="272"/>
      <c r="XN207" s="205">
        <f t="shared" si="2105"/>
        <v>0</v>
      </c>
      <c r="XO207" s="207"/>
      <c r="XP207" s="207"/>
      <c r="XQ207" s="207"/>
      <c r="XR207" s="207"/>
      <c r="XS207" s="207"/>
      <c r="XT207" s="272"/>
      <c r="XU207" s="272"/>
      <c r="XV207" s="205">
        <f t="shared" si="2137"/>
        <v>0</v>
      </c>
      <c r="XW207" s="205">
        <f t="shared" si="2138"/>
        <v>0</v>
      </c>
      <c r="XX207" s="207"/>
      <c r="XY207" s="207"/>
      <c r="XZ207" s="207"/>
      <c r="YA207" s="207"/>
      <c r="YB207" s="207"/>
      <c r="YC207" s="272"/>
      <c r="YD207" s="272"/>
      <c r="YE207" s="205">
        <f t="shared" si="2018"/>
        <v>0</v>
      </c>
      <c r="YF207" s="207"/>
      <c r="YG207" s="207"/>
      <c r="YH207" s="207"/>
      <c r="YI207" s="207"/>
      <c r="YJ207" s="207"/>
      <c r="YK207" s="272"/>
      <c r="YL207" s="272"/>
      <c r="YM207" s="205">
        <f t="shared" si="2019"/>
        <v>0</v>
      </c>
      <c r="YN207" s="207"/>
      <c r="YO207" s="207"/>
      <c r="YP207" s="207"/>
      <c r="YQ207" s="207"/>
      <c r="YR207" s="207"/>
      <c r="YS207" s="272"/>
      <c r="YT207" s="272"/>
      <c r="YU207" s="205">
        <f t="shared" si="2020"/>
        <v>0</v>
      </c>
      <c r="YV207" s="207"/>
      <c r="YW207" s="207"/>
      <c r="YX207" s="207"/>
      <c r="YY207" s="207"/>
      <c r="YZ207" s="207"/>
      <c r="ZA207" s="272"/>
      <c r="ZB207" s="272"/>
      <c r="ZC207" s="205">
        <f t="shared" si="2021"/>
        <v>0</v>
      </c>
      <c r="ZD207" s="205">
        <f t="shared" si="2022"/>
        <v>0</v>
      </c>
      <c r="ZE207" s="207"/>
      <c r="ZF207" s="207"/>
      <c r="ZG207" s="207"/>
      <c r="ZH207" s="207"/>
      <c r="ZI207" s="207"/>
      <c r="ZJ207" s="272"/>
      <c r="ZK207" s="272"/>
      <c r="ZL207" s="205">
        <f t="shared" si="2023"/>
        <v>0</v>
      </c>
      <c r="ZM207" s="207"/>
      <c r="ZN207" s="207"/>
      <c r="ZO207" s="207"/>
      <c r="ZP207" s="207"/>
      <c r="ZQ207" s="207"/>
      <c r="ZR207" s="272"/>
      <c r="ZS207" s="272"/>
      <c r="ZT207" s="205">
        <f t="shared" si="2010"/>
        <v>0</v>
      </c>
      <c r="ZU207" s="207"/>
      <c r="ZV207" s="207"/>
      <c r="ZW207" s="207"/>
      <c r="ZX207" s="207"/>
      <c r="ZY207" s="207"/>
      <c r="ZZ207" s="272"/>
      <c r="AAA207" s="272"/>
      <c r="AAB207" s="205">
        <f t="shared" si="2024"/>
        <v>0</v>
      </c>
      <c r="AAC207" s="207"/>
      <c r="AAD207" s="207"/>
      <c r="AAE207" s="207"/>
      <c r="AAF207" s="207"/>
      <c r="AAG207" s="207"/>
      <c r="AAH207" s="272"/>
      <c r="AAI207" s="272"/>
      <c r="AAJ207" s="205">
        <f t="shared" si="2011"/>
        <v>0</v>
      </c>
      <c r="AAK207" s="207"/>
      <c r="AAL207" s="207"/>
      <c r="AAM207" s="207"/>
      <c r="AAN207" s="207"/>
      <c r="AAO207" s="207"/>
      <c r="AAP207" s="272"/>
      <c r="AAQ207" s="272"/>
      <c r="AAR207" s="205">
        <f t="shared" si="2025"/>
        <v>0</v>
      </c>
      <c r="AAS207" s="205">
        <f t="shared" si="2026"/>
        <v>0</v>
      </c>
    </row>
    <row r="208" spans="1:721" ht="104.1" customHeight="1">
      <c r="A208" s="117">
        <v>10</v>
      </c>
      <c r="B208" s="309" t="s">
        <v>910</v>
      </c>
      <c r="C208" s="362" t="s">
        <v>908</v>
      </c>
      <c r="D208" s="349" t="s">
        <v>950</v>
      </c>
      <c r="E208" s="130" t="s">
        <v>4</v>
      </c>
      <c r="F208" s="120"/>
      <c r="G208" s="120"/>
      <c r="H208" s="120"/>
      <c r="I208" s="120"/>
      <c r="J208" s="120"/>
      <c r="K208" s="209"/>
      <c r="L208" s="205"/>
      <c r="M208" s="205">
        <f t="shared" si="2108"/>
        <v>0</v>
      </c>
      <c r="N208" s="120"/>
      <c r="O208" s="120"/>
      <c r="P208" s="120"/>
      <c r="Q208" s="120"/>
      <c r="R208" s="120"/>
      <c r="S208" s="209"/>
      <c r="T208" s="205"/>
      <c r="U208" s="205"/>
      <c r="V208" s="120"/>
      <c r="W208" s="120"/>
      <c r="X208" s="120"/>
      <c r="Y208" s="120"/>
      <c r="Z208" s="120"/>
      <c r="AA208" s="209"/>
      <c r="AB208" s="205"/>
      <c r="AC208" s="205"/>
      <c r="AD208" s="205"/>
      <c r="AE208" s="205"/>
      <c r="AF208" s="205"/>
      <c r="AG208" s="205"/>
      <c r="AH208" s="205"/>
      <c r="AI208" s="209"/>
      <c r="AJ208" s="205"/>
      <c r="AK208" s="205"/>
      <c r="AL208" s="205"/>
      <c r="AM208" s="120"/>
      <c r="AN208" s="120"/>
      <c r="AO208" s="120"/>
      <c r="AP208" s="120"/>
      <c r="AQ208" s="120"/>
      <c r="AR208" s="209"/>
      <c r="AS208" s="205"/>
      <c r="AT208" s="205"/>
      <c r="AU208" s="120"/>
      <c r="AV208" s="120"/>
      <c r="AW208" s="120"/>
      <c r="AX208" s="120"/>
      <c r="AY208" s="120"/>
      <c r="AZ208" s="209"/>
      <c r="BA208" s="205"/>
      <c r="BB208" s="205"/>
      <c r="BC208" s="120"/>
      <c r="BD208" s="120"/>
      <c r="BE208" s="120"/>
      <c r="BF208" s="120"/>
      <c r="BG208" s="120"/>
      <c r="BH208" s="209"/>
      <c r="BI208" s="205"/>
      <c r="BJ208" s="205"/>
      <c r="BK208" s="120"/>
      <c r="BL208" s="120"/>
      <c r="BM208" s="217"/>
      <c r="BN208" s="120"/>
      <c r="BO208" s="205"/>
      <c r="BP208" s="209"/>
      <c r="BQ208" s="205"/>
      <c r="BR208" s="205"/>
      <c r="BS208" s="205"/>
      <c r="BT208" s="120"/>
      <c r="BU208" s="250"/>
      <c r="BV208" s="120"/>
      <c r="BW208" s="120"/>
      <c r="BX208" s="120"/>
      <c r="BY208" s="209"/>
      <c r="BZ208" s="205"/>
      <c r="CA208" s="205"/>
      <c r="CB208" s="120"/>
      <c r="CC208" s="120"/>
      <c r="CD208" s="120"/>
      <c r="CE208" s="120"/>
      <c r="CF208" s="120"/>
      <c r="CG208" s="209"/>
      <c r="CH208" s="205"/>
      <c r="CI208" s="205"/>
      <c r="CJ208" s="120"/>
      <c r="CK208" s="120"/>
      <c r="CL208" s="250"/>
      <c r="CM208" s="120"/>
      <c r="CN208" s="120"/>
      <c r="CO208" s="209"/>
      <c r="CP208" s="205"/>
      <c r="CQ208" s="205"/>
      <c r="CR208" s="120"/>
      <c r="CS208" s="120"/>
      <c r="CT208" s="120"/>
      <c r="CU208" s="120"/>
      <c r="CV208" s="120"/>
      <c r="CW208" s="209"/>
      <c r="CX208" s="205"/>
      <c r="CY208" s="205"/>
      <c r="CZ208" s="120"/>
      <c r="DA208" s="120"/>
      <c r="DB208" s="120"/>
      <c r="DC208" s="205"/>
      <c r="DD208" s="205"/>
      <c r="DE208" s="209"/>
      <c r="DF208" s="205"/>
      <c r="DG208" s="205"/>
      <c r="DH208" s="205"/>
      <c r="DI208" s="120"/>
      <c r="DJ208" s="120"/>
      <c r="DK208" s="120"/>
      <c r="DL208" s="120"/>
      <c r="DM208" s="120"/>
      <c r="DN208" s="209"/>
      <c r="DO208" s="205"/>
      <c r="DP208" s="205"/>
      <c r="DQ208" s="217"/>
      <c r="DR208" s="120"/>
      <c r="DS208" s="120"/>
      <c r="DT208" s="120"/>
      <c r="DU208" s="120"/>
      <c r="DV208" s="209"/>
      <c r="DW208" s="205"/>
      <c r="DX208" s="205"/>
      <c r="DY208" s="120"/>
      <c r="DZ208" s="120"/>
      <c r="EA208" s="120"/>
      <c r="EB208" s="120"/>
      <c r="EC208" s="120"/>
      <c r="ED208" s="209"/>
      <c r="EE208" s="205"/>
      <c r="EF208" s="205"/>
      <c r="EG208" s="120"/>
      <c r="EH208" s="120"/>
      <c r="EI208" s="120"/>
      <c r="EJ208" s="205"/>
      <c r="EK208" s="205"/>
      <c r="EL208" s="209"/>
      <c r="EM208" s="205"/>
      <c r="EN208" s="205"/>
      <c r="EO208" s="205"/>
      <c r="EP208" s="120"/>
      <c r="EQ208" s="250"/>
      <c r="ER208" s="120"/>
      <c r="ES208" s="120"/>
      <c r="ET208" s="120"/>
      <c r="EU208" s="209"/>
      <c r="EV208" s="205"/>
      <c r="EW208" s="205"/>
      <c r="EX208" s="120"/>
      <c r="EY208" s="120"/>
      <c r="EZ208" s="120"/>
      <c r="FA208" s="120"/>
      <c r="FB208" s="120"/>
      <c r="FC208" s="209"/>
      <c r="FD208" s="205"/>
      <c r="FE208" s="205"/>
      <c r="FF208" s="120"/>
      <c r="FG208" s="195"/>
      <c r="FH208" s="120"/>
      <c r="FI208" s="120"/>
      <c r="FJ208" s="120"/>
      <c r="FK208" s="209"/>
      <c r="FL208" s="205"/>
      <c r="FM208" s="205"/>
      <c r="FN208" s="120"/>
      <c r="FO208" s="120"/>
      <c r="FP208" s="120"/>
      <c r="FQ208" s="120"/>
      <c r="FR208" s="205"/>
      <c r="FS208" s="209"/>
      <c r="FT208" s="205"/>
      <c r="FU208" s="205"/>
      <c r="FV208" s="205"/>
      <c r="FW208" s="120"/>
      <c r="FX208" s="120"/>
      <c r="FY208" s="120"/>
      <c r="FZ208" s="120"/>
      <c r="GA208" s="120"/>
      <c r="GB208" s="209"/>
      <c r="GC208" s="205"/>
      <c r="GD208" s="205"/>
      <c r="GE208" s="120"/>
      <c r="GF208" s="120"/>
      <c r="GG208" s="120"/>
      <c r="GH208" s="120"/>
      <c r="GI208" s="120"/>
      <c r="GJ208" s="209"/>
      <c r="GK208" s="205"/>
      <c r="GL208" s="205"/>
      <c r="GM208" s="120"/>
      <c r="GN208" s="120"/>
      <c r="GO208" s="120"/>
      <c r="GP208" s="120"/>
      <c r="GQ208" s="120"/>
      <c r="GR208" s="209"/>
      <c r="GS208" s="205"/>
      <c r="GT208" s="205"/>
      <c r="GU208" s="120"/>
      <c r="GV208" s="120"/>
      <c r="GW208" s="120"/>
      <c r="GX208" s="120"/>
      <c r="GY208" s="120"/>
      <c r="GZ208" s="209"/>
      <c r="HA208" s="205"/>
      <c r="HB208" s="205"/>
      <c r="HC208" s="120"/>
      <c r="HD208" s="120"/>
      <c r="HE208" s="120"/>
      <c r="HF208" s="120"/>
      <c r="HG208" s="120"/>
      <c r="HH208" s="209"/>
      <c r="HI208" s="205"/>
      <c r="HJ208" s="205"/>
      <c r="HK208" s="205"/>
      <c r="HL208" s="124"/>
      <c r="HM208" s="120"/>
      <c r="HN208" s="120"/>
      <c r="HO208" s="123"/>
      <c r="HP208" s="120"/>
      <c r="HQ208" s="205"/>
      <c r="HR208" s="205"/>
      <c r="HS208" s="205"/>
      <c r="HT208" s="120"/>
      <c r="HU208" s="120"/>
      <c r="HV208" s="120"/>
      <c r="HW208" s="120"/>
      <c r="HX208" s="120"/>
      <c r="HY208" s="205"/>
      <c r="HZ208" s="205"/>
      <c r="IA208" s="205"/>
      <c r="IB208" s="120"/>
      <c r="IC208" s="120"/>
      <c r="ID208" s="120"/>
      <c r="IE208" s="120"/>
      <c r="IF208" s="120"/>
      <c r="IG208" s="205"/>
      <c r="IH208" s="205"/>
      <c r="II208" s="205"/>
      <c r="IJ208" s="120"/>
      <c r="IK208" s="120"/>
      <c r="IL208" s="201"/>
      <c r="IM208" s="120"/>
      <c r="IN208" s="120"/>
      <c r="IO208" s="205"/>
      <c r="IP208" s="205"/>
      <c r="IQ208" s="205"/>
      <c r="IR208" s="205"/>
      <c r="IS208" s="120"/>
      <c r="IT208" s="120"/>
      <c r="IU208" s="120"/>
      <c r="IV208" s="120"/>
      <c r="IW208" s="120"/>
      <c r="IX208" s="205"/>
      <c r="IY208" s="205"/>
      <c r="IZ208" s="205"/>
      <c r="JA208" s="120"/>
      <c r="JB208" s="120"/>
      <c r="JC208" s="120"/>
      <c r="JD208" s="120"/>
      <c r="JE208" s="120"/>
      <c r="JF208" s="205"/>
      <c r="JG208" s="205"/>
      <c r="JH208" s="205"/>
      <c r="JI208" s="120"/>
      <c r="JJ208" s="120"/>
      <c r="JK208" s="120"/>
      <c r="JL208" s="120"/>
      <c r="JM208" s="120"/>
      <c r="JN208" s="205"/>
      <c r="JO208" s="205"/>
      <c r="JP208" s="205"/>
      <c r="JQ208" s="120"/>
      <c r="JR208" s="120"/>
      <c r="JS208" s="120"/>
      <c r="JT208" s="120"/>
      <c r="JU208" s="120"/>
      <c r="JV208" s="205"/>
      <c r="JW208" s="205"/>
      <c r="JX208" s="205"/>
      <c r="JY208" s="205"/>
      <c r="JZ208" s="120"/>
      <c r="KA208" s="120"/>
      <c r="KB208" s="120"/>
      <c r="KC208" s="120"/>
      <c r="KD208" s="120"/>
      <c r="KE208" s="205"/>
      <c r="KF208" s="205"/>
      <c r="KG208" s="205"/>
      <c r="KH208" s="120"/>
      <c r="KI208" s="120"/>
      <c r="KJ208" s="120"/>
      <c r="KK208" s="206"/>
      <c r="KL208" s="120"/>
      <c r="KM208" s="205"/>
      <c r="KN208" s="205"/>
      <c r="KO208" s="205"/>
      <c r="KP208" s="120"/>
      <c r="KQ208" s="120"/>
      <c r="KR208" s="120"/>
      <c r="KS208" s="120"/>
      <c r="KT208" s="120"/>
      <c r="KU208" s="205"/>
      <c r="KV208" s="205"/>
      <c r="KW208" s="205"/>
      <c r="KX208" s="120"/>
      <c r="KY208" s="120"/>
      <c r="KZ208" s="120"/>
      <c r="LA208" s="120"/>
      <c r="LB208" s="120"/>
      <c r="LC208" s="205"/>
      <c r="LD208" s="205"/>
      <c r="LE208" s="205"/>
      <c r="LF208" s="205"/>
      <c r="LG208" s="120"/>
      <c r="LH208" s="120"/>
      <c r="LI208" s="120"/>
      <c r="LJ208" s="120"/>
      <c r="LK208" s="205"/>
      <c r="LL208" s="205"/>
      <c r="LM208" s="205"/>
      <c r="LN208" s="205"/>
      <c r="LO208" s="205"/>
      <c r="LP208" s="120"/>
      <c r="LQ208" s="120"/>
      <c r="LR208" s="120"/>
      <c r="LS208" s="205"/>
      <c r="LT208" s="205"/>
      <c r="LU208" s="205"/>
      <c r="LV208" s="205"/>
      <c r="LW208" s="120"/>
      <c r="LX208" s="120"/>
      <c r="LY208" s="124"/>
      <c r="LZ208" s="120"/>
      <c r="MA208" s="120"/>
      <c r="MB208" s="205"/>
      <c r="MC208" s="205"/>
      <c r="MD208" s="205"/>
      <c r="ME208" s="120"/>
      <c r="MF208" s="120"/>
      <c r="MG208" s="120"/>
      <c r="MH208" s="201"/>
      <c r="MI208" s="205"/>
      <c r="MJ208" s="205"/>
      <c r="MK208" s="205"/>
      <c r="ML208" s="205"/>
      <c r="MM208" s="120"/>
      <c r="MN208" s="120"/>
      <c r="MO208" s="120"/>
      <c r="MP208" s="120"/>
      <c r="MQ208" s="120"/>
      <c r="MR208" s="205"/>
      <c r="MS208" s="205"/>
      <c r="MT208" s="205"/>
      <c r="MU208" s="205"/>
      <c r="MV208" s="120"/>
      <c r="MW208" s="120"/>
      <c r="MX208" s="195"/>
      <c r="MY208" s="120"/>
      <c r="MZ208" s="120"/>
      <c r="NA208" s="205"/>
      <c r="NB208" s="205"/>
      <c r="NC208" s="205"/>
      <c r="ND208" s="120"/>
      <c r="NE208" s="120"/>
      <c r="NF208" s="120"/>
      <c r="NG208" s="120"/>
      <c r="NH208" s="120"/>
      <c r="NI208" s="205"/>
      <c r="NJ208" s="205"/>
      <c r="NK208" s="205"/>
      <c r="NL208" s="120"/>
      <c r="NM208" s="120"/>
      <c r="NN208" s="120"/>
      <c r="NO208" s="120"/>
      <c r="NP208" s="120"/>
      <c r="NQ208" s="205"/>
      <c r="NR208" s="205"/>
      <c r="NS208" s="205"/>
      <c r="NT208" s="217"/>
      <c r="NU208" s="120"/>
      <c r="NV208" s="120"/>
      <c r="NW208" s="120"/>
      <c r="NX208" s="120"/>
      <c r="NY208" s="205"/>
      <c r="NZ208" s="205"/>
      <c r="OA208" s="205"/>
      <c r="OB208" s="205"/>
      <c r="OC208" s="120"/>
      <c r="OD208" s="120"/>
      <c r="OE208" s="120"/>
      <c r="OF208" s="120"/>
      <c r="OG208" s="120"/>
      <c r="OH208" s="205"/>
      <c r="OI208" s="205"/>
      <c r="OJ208" s="205"/>
      <c r="OK208" s="120"/>
      <c r="OL208" s="120"/>
      <c r="OM208" s="120"/>
      <c r="ON208" s="120"/>
      <c r="OO208" s="120"/>
      <c r="OP208" s="205"/>
      <c r="OQ208" s="205"/>
      <c r="OR208" s="205"/>
      <c r="OS208" s="120"/>
      <c r="OT208" s="120"/>
      <c r="OU208" s="120"/>
      <c r="OV208" s="120"/>
      <c r="OW208" s="120"/>
      <c r="OX208" s="205"/>
      <c r="OY208" s="205"/>
      <c r="OZ208" s="205"/>
      <c r="PA208" s="120"/>
      <c r="PB208" s="120"/>
      <c r="PC208" s="120"/>
      <c r="PD208" s="205"/>
      <c r="PE208" s="217"/>
      <c r="PF208" s="205"/>
      <c r="PG208" s="205"/>
      <c r="PH208" s="205"/>
      <c r="PI208" s="120"/>
      <c r="PJ208" s="120"/>
      <c r="PK208" s="120"/>
      <c r="PL208" s="205"/>
      <c r="PM208" s="217"/>
      <c r="PN208" s="205"/>
      <c r="PO208" s="205"/>
      <c r="PP208" s="205"/>
      <c r="PQ208" s="205"/>
      <c r="PR208" s="120"/>
      <c r="PS208" s="207"/>
      <c r="PT208" s="207"/>
      <c r="PU208" s="207"/>
      <c r="PV208" s="207"/>
      <c r="PW208" s="272"/>
      <c r="PX208" s="272"/>
      <c r="PY208" s="205"/>
      <c r="PZ208" s="207"/>
      <c r="QA208" s="207"/>
      <c r="QB208" s="207"/>
      <c r="QC208" s="207"/>
      <c r="QD208" s="207"/>
      <c r="QE208" s="272"/>
      <c r="QF208" s="272"/>
      <c r="QG208" s="205"/>
      <c r="QH208" s="207"/>
      <c r="QI208" s="207"/>
      <c r="QJ208" s="294"/>
      <c r="QK208" s="207"/>
      <c r="QL208" s="207"/>
      <c r="QM208" s="272"/>
      <c r="QN208" s="272"/>
      <c r="QO208" s="205"/>
      <c r="QP208" s="207"/>
      <c r="QQ208" s="120"/>
      <c r="QR208" s="207"/>
      <c r="QS208" s="207"/>
      <c r="QT208" s="207"/>
      <c r="QU208" s="272"/>
      <c r="QV208" s="272"/>
      <c r="QW208" s="205"/>
      <c r="QX208" s="205">
        <f t="shared" si="2139"/>
        <v>0</v>
      </c>
      <c r="QY208" s="120"/>
      <c r="QZ208" s="120"/>
      <c r="RA208" s="120"/>
      <c r="RB208" s="120"/>
      <c r="RC208" s="120"/>
      <c r="RD208" s="272"/>
      <c r="RE208" s="272"/>
      <c r="RF208" s="205">
        <f t="shared" si="2095"/>
        <v>0</v>
      </c>
      <c r="RG208" s="207"/>
      <c r="RH208" s="207"/>
      <c r="RI208" s="207"/>
      <c r="RJ208" s="207"/>
      <c r="RK208" s="207"/>
      <c r="RL208" s="272"/>
      <c r="RM208" s="272"/>
      <c r="RN208" s="205">
        <f t="shared" si="2096"/>
        <v>0</v>
      </c>
      <c r="RO208" s="272"/>
      <c r="RP208" s="272"/>
      <c r="RQ208" s="272"/>
      <c r="RR208" s="272"/>
      <c r="RS208" s="272"/>
      <c r="RT208" s="272"/>
      <c r="RU208" s="272"/>
      <c r="RV208" s="205">
        <f t="shared" si="2097"/>
        <v>0</v>
      </c>
      <c r="RW208" s="207"/>
      <c r="RX208" s="207"/>
      <c r="RY208" s="207"/>
      <c r="RZ208" s="207"/>
      <c r="SA208" s="272"/>
      <c r="SB208" s="272"/>
      <c r="SC208" s="272"/>
      <c r="SD208" s="205">
        <f t="shared" si="2140"/>
        <v>0</v>
      </c>
      <c r="SE208" s="205">
        <f t="shared" si="2141"/>
        <v>0</v>
      </c>
      <c r="SF208" s="207"/>
      <c r="SG208" s="207"/>
      <c r="SH208" s="207"/>
      <c r="SI208" s="207"/>
      <c r="SJ208" s="207"/>
      <c r="SK208" s="272"/>
      <c r="SL208" s="272"/>
      <c r="SM208" s="205">
        <f t="shared" si="2100"/>
        <v>0</v>
      </c>
      <c r="SN208" s="207"/>
      <c r="SO208" s="207"/>
      <c r="SP208" s="207"/>
      <c r="SQ208" s="207"/>
      <c r="SR208" s="207"/>
      <c r="SS208" s="272"/>
      <c r="ST208" s="272"/>
      <c r="SU208" s="205">
        <f t="shared" si="2101"/>
        <v>0</v>
      </c>
      <c r="SV208" s="207"/>
      <c r="SW208" s="207"/>
      <c r="SX208" s="207"/>
      <c r="SY208" s="207"/>
      <c r="SZ208" s="207"/>
      <c r="TA208" s="272"/>
      <c r="TB208" s="272"/>
      <c r="TC208" s="205">
        <f t="shared" si="2102"/>
        <v>0</v>
      </c>
      <c r="TD208" s="207"/>
      <c r="TE208" s="207"/>
      <c r="TF208" s="207"/>
      <c r="TG208" s="207"/>
      <c r="TH208" s="207"/>
      <c r="TI208" s="307">
        <v>150</v>
      </c>
      <c r="TJ208" s="272"/>
      <c r="TK208" s="205">
        <f t="shared" si="2142"/>
        <v>150</v>
      </c>
      <c r="TL208" s="207"/>
      <c r="TM208" s="207"/>
      <c r="TN208" s="207"/>
      <c r="TO208" s="207"/>
      <c r="TP208" s="272"/>
      <c r="TQ208" s="272"/>
      <c r="TR208" s="272"/>
      <c r="TS208" s="205">
        <f t="shared" si="2135"/>
        <v>0</v>
      </c>
      <c r="TT208" s="205">
        <f t="shared" si="2136"/>
        <v>150</v>
      </c>
      <c r="TU208" s="272"/>
      <c r="TV208" s="380">
        <v>700</v>
      </c>
      <c r="TW208" s="207"/>
      <c r="TX208" s="207"/>
      <c r="TY208" s="207"/>
      <c r="TZ208" s="272"/>
      <c r="UA208" s="272"/>
      <c r="UB208" s="205">
        <f t="shared" si="2012"/>
        <v>700</v>
      </c>
      <c r="UC208" s="207"/>
      <c r="UD208" s="207"/>
      <c r="UE208" s="120"/>
      <c r="UF208" s="120"/>
      <c r="UG208" s="207"/>
      <c r="UH208" s="272"/>
      <c r="UI208" s="272"/>
      <c r="UJ208" s="205">
        <f t="shared" si="2013"/>
        <v>0</v>
      </c>
      <c r="UK208" s="207"/>
      <c r="UM208" s="124">
        <v>150</v>
      </c>
      <c r="UN208" s="207"/>
      <c r="UO208" s="207"/>
      <c r="UP208" s="272"/>
      <c r="UQ208" s="272"/>
      <c r="UR208" s="205">
        <f t="shared" si="2014"/>
        <v>150</v>
      </c>
      <c r="US208" s="207"/>
      <c r="UT208" s="207"/>
      <c r="UU208" s="207"/>
      <c r="UV208" s="207"/>
      <c r="UW208" s="272"/>
      <c r="UX208" s="272"/>
      <c r="UY208" s="272"/>
      <c r="UZ208" s="205">
        <f>SUM(UO208:UY208)</f>
        <v>150</v>
      </c>
      <c r="VA208" s="205">
        <f ca="1">SUM(TN208:TR208,UB208,UJ208,UR208,UO208:VE208)</f>
        <v>1850</v>
      </c>
      <c r="VB208" s="207"/>
      <c r="VC208" s="217">
        <v>1400</v>
      </c>
      <c r="VD208" s="207"/>
      <c r="VE208" s="207"/>
      <c r="VF208" s="207"/>
      <c r="VG208" s="272"/>
      <c r="VH208" s="272"/>
      <c r="VI208" s="205">
        <f t="shared" si="2005"/>
        <v>1400</v>
      </c>
      <c r="VJ208" s="207"/>
      <c r="VK208" s="207"/>
      <c r="VM208" s="207"/>
      <c r="VN208" s="207"/>
      <c r="VO208" s="272"/>
      <c r="VP208" s="272"/>
      <c r="VQ208" s="205">
        <f t="shared" si="2015"/>
        <v>0</v>
      </c>
      <c r="VR208" s="207"/>
      <c r="VS208" s="207"/>
      <c r="VT208" s="207"/>
      <c r="VU208" s="207"/>
      <c r="VV208" s="207"/>
      <c r="VW208" s="272"/>
      <c r="VX208" s="272"/>
      <c r="VY208" s="205">
        <f t="shared" si="2006"/>
        <v>0</v>
      </c>
      <c r="VZ208" s="207"/>
      <c r="WA208" s="207"/>
      <c r="WB208" s="207"/>
      <c r="WC208" s="207"/>
      <c r="WD208" s="207"/>
      <c r="WE208" s="272"/>
      <c r="WF208" s="272"/>
      <c r="WG208" s="205">
        <f t="shared" si="2007"/>
        <v>0</v>
      </c>
      <c r="WH208" s="205">
        <f t="shared" si="2008"/>
        <v>1400</v>
      </c>
      <c r="WI208" s="207"/>
      <c r="WJ208" s="207"/>
      <c r="WK208" s="207"/>
      <c r="WL208" s="207"/>
      <c r="WM208" s="207"/>
      <c r="WN208" s="272"/>
      <c r="WO208" s="272"/>
      <c r="WP208" s="205">
        <f t="shared" si="2016"/>
        <v>0</v>
      </c>
      <c r="WQ208" s="207"/>
      <c r="WR208" s="207"/>
      <c r="WS208" s="207"/>
      <c r="WT208" s="207"/>
      <c r="WU208" s="207"/>
      <c r="WV208" s="272"/>
      <c r="WW208" s="272"/>
      <c r="WX208" s="205">
        <f t="shared" si="2017"/>
        <v>0</v>
      </c>
      <c r="WY208" s="207"/>
      <c r="WZ208" s="207"/>
      <c r="XA208" s="207"/>
      <c r="XB208" s="207"/>
      <c r="XC208" s="272"/>
      <c r="XD208" s="272"/>
      <c r="XE208" s="272"/>
      <c r="XF208" s="205">
        <f t="shared" si="2009"/>
        <v>0</v>
      </c>
      <c r="XG208" s="207"/>
      <c r="XH208" s="207"/>
      <c r="XI208" s="207"/>
      <c r="XJ208" s="207"/>
      <c r="XK208" s="124">
        <v>150</v>
      </c>
      <c r="XL208" s="272"/>
      <c r="XM208" s="272"/>
      <c r="XN208" s="205">
        <f t="shared" si="2105"/>
        <v>150</v>
      </c>
      <c r="XO208" s="207"/>
      <c r="XP208" s="124">
        <v>1000</v>
      </c>
      <c r="XQ208" s="207"/>
      <c r="XR208" s="207"/>
      <c r="XS208" s="207"/>
      <c r="XT208" s="272"/>
      <c r="XU208" s="272"/>
      <c r="XV208" s="205">
        <f t="shared" si="2137"/>
        <v>1000</v>
      </c>
      <c r="XW208" s="205">
        <f t="shared" si="2138"/>
        <v>1150</v>
      </c>
      <c r="XX208" s="207"/>
      <c r="XY208" s="207"/>
      <c r="XZ208" s="207"/>
      <c r="YA208" s="207"/>
      <c r="YB208" s="207"/>
      <c r="YC208" s="272"/>
      <c r="YD208" s="272"/>
      <c r="YE208" s="205">
        <f t="shared" si="2018"/>
        <v>0</v>
      </c>
      <c r="YF208" s="207"/>
      <c r="YG208" s="207"/>
      <c r="YH208" s="207"/>
      <c r="YI208" s="207"/>
      <c r="YJ208" s="207"/>
      <c r="YK208" s="272"/>
      <c r="YL208" s="272"/>
      <c r="YM208" s="205">
        <f t="shared" si="2019"/>
        <v>0</v>
      </c>
      <c r="YN208" s="207"/>
      <c r="YO208" s="207"/>
      <c r="YP208" s="207"/>
      <c r="YQ208" s="207"/>
      <c r="YR208" s="207"/>
      <c r="YS208" s="272"/>
      <c r="YT208" s="272"/>
      <c r="YU208" s="205">
        <f t="shared" si="2020"/>
        <v>0</v>
      </c>
      <c r="YV208" s="207"/>
      <c r="YW208" s="207"/>
      <c r="YX208" s="207"/>
      <c r="YY208" s="207"/>
      <c r="YZ208" s="207"/>
      <c r="ZA208" s="272"/>
      <c r="ZB208" s="272"/>
      <c r="ZC208" s="205">
        <f t="shared" si="2021"/>
        <v>0</v>
      </c>
      <c r="ZD208" s="205">
        <f t="shared" si="2022"/>
        <v>1150</v>
      </c>
      <c r="ZE208" s="207"/>
      <c r="ZF208" s="207"/>
      <c r="ZG208" s="207"/>
      <c r="ZH208" s="207"/>
      <c r="ZI208" s="207"/>
      <c r="ZJ208" s="272"/>
      <c r="ZK208" s="272"/>
      <c r="ZL208" s="205">
        <f t="shared" si="2023"/>
        <v>0</v>
      </c>
      <c r="ZM208" s="207"/>
      <c r="ZN208" s="207"/>
      <c r="ZO208" s="207"/>
      <c r="ZP208" s="207"/>
      <c r="ZQ208" s="207"/>
      <c r="ZR208" s="272"/>
      <c r="ZS208" s="272"/>
      <c r="ZT208" s="205">
        <f t="shared" si="2010"/>
        <v>0</v>
      </c>
      <c r="ZU208" s="207"/>
      <c r="ZV208" s="207"/>
      <c r="ZW208" s="207"/>
      <c r="ZX208" s="207"/>
      <c r="ZY208" s="207"/>
      <c r="ZZ208" s="272"/>
      <c r="AAA208" s="272"/>
      <c r="AAB208" s="205">
        <f t="shared" si="2024"/>
        <v>0</v>
      </c>
      <c r="AAC208" s="207"/>
      <c r="AAD208" s="207"/>
      <c r="AAE208" s="207"/>
      <c r="AAF208" s="207"/>
      <c r="AAG208" s="207"/>
      <c r="AAH208" s="272"/>
      <c r="AAI208" s="272"/>
      <c r="AAJ208" s="205">
        <f t="shared" si="2011"/>
        <v>0</v>
      </c>
      <c r="AAK208" s="207"/>
      <c r="AAL208" s="207"/>
      <c r="AAM208" s="207"/>
      <c r="AAN208" s="207"/>
      <c r="AAO208" s="207"/>
      <c r="AAP208" s="272"/>
      <c r="AAQ208" s="272"/>
      <c r="AAR208" s="205">
        <f t="shared" si="2025"/>
        <v>0</v>
      </c>
      <c r="AAS208" s="205">
        <f t="shared" si="2026"/>
        <v>0</v>
      </c>
    </row>
    <row r="209" spans="1:721" ht="104.1" hidden="1" customHeight="1">
      <c r="B209" s="309" t="s">
        <v>939</v>
      </c>
      <c r="C209" s="362"/>
      <c r="D209" s="349" t="s">
        <v>938</v>
      </c>
      <c r="E209" s="130"/>
      <c r="F209" s="120"/>
      <c r="G209" s="120"/>
      <c r="H209" s="120"/>
      <c r="I209" s="120"/>
      <c r="J209" s="120"/>
      <c r="K209" s="209"/>
      <c r="L209" s="205"/>
      <c r="M209" s="205">
        <f t="shared" si="2108"/>
        <v>0</v>
      </c>
      <c r="N209" s="120"/>
      <c r="O209" s="120"/>
      <c r="P209" s="120"/>
      <c r="Q209" s="120"/>
      <c r="R209" s="120"/>
      <c r="S209" s="209"/>
      <c r="T209" s="205"/>
      <c r="U209" s="205"/>
      <c r="V209" s="120"/>
      <c r="W209" s="120"/>
      <c r="X209" s="120"/>
      <c r="Y209" s="120"/>
      <c r="Z209" s="120"/>
      <c r="AA209" s="209"/>
      <c r="AB209" s="205"/>
      <c r="AC209" s="205"/>
      <c r="AD209" s="205"/>
      <c r="AE209" s="205"/>
      <c r="AF209" s="205"/>
      <c r="AG209" s="205"/>
      <c r="AH209" s="205"/>
      <c r="AI209" s="209"/>
      <c r="AJ209" s="205"/>
      <c r="AK209" s="205"/>
      <c r="AL209" s="205"/>
      <c r="AM209" s="120"/>
      <c r="AN209" s="120"/>
      <c r="AO209" s="120"/>
      <c r="AP209" s="120"/>
      <c r="AQ209" s="120"/>
      <c r="AR209" s="209"/>
      <c r="AS209" s="205"/>
      <c r="AT209" s="205"/>
      <c r="AU209" s="120"/>
      <c r="AV209" s="120"/>
      <c r="AW209" s="120"/>
      <c r="AX209" s="120"/>
      <c r="AY209" s="120"/>
      <c r="AZ209" s="209"/>
      <c r="BA209" s="205"/>
      <c r="BB209" s="205"/>
      <c r="BC209" s="120"/>
      <c r="BD209" s="120"/>
      <c r="BE209" s="120"/>
      <c r="BF209" s="120"/>
      <c r="BG209" s="120"/>
      <c r="BH209" s="209"/>
      <c r="BI209" s="205"/>
      <c r="BJ209" s="205"/>
      <c r="BK209" s="120"/>
      <c r="BL209" s="120"/>
      <c r="BM209" s="217"/>
      <c r="BN209" s="120"/>
      <c r="BO209" s="205"/>
      <c r="BP209" s="209"/>
      <c r="BQ209" s="205"/>
      <c r="BR209" s="205"/>
      <c r="BS209" s="205"/>
      <c r="BT209" s="120"/>
      <c r="BU209" s="250"/>
      <c r="BV209" s="120"/>
      <c r="BW209" s="120"/>
      <c r="BX209" s="120"/>
      <c r="BY209" s="209"/>
      <c r="BZ209" s="205"/>
      <c r="CA209" s="205"/>
      <c r="CB209" s="120"/>
      <c r="CC209" s="120"/>
      <c r="CD209" s="120"/>
      <c r="CE209" s="120"/>
      <c r="CF209" s="120"/>
      <c r="CG209" s="209"/>
      <c r="CH209" s="205"/>
      <c r="CI209" s="205"/>
      <c r="CJ209" s="120"/>
      <c r="CK209" s="120"/>
      <c r="CL209" s="250"/>
      <c r="CM209" s="120"/>
      <c r="CN209" s="120"/>
      <c r="CO209" s="209"/>
      <c r="CP209" s="205"/>
      <c r="CQ209" s="205"/>
      <c r="CR209" s="120"/>
      <c r="CS209" s="120"/>
      <c r="CT209" s="120"/>
      <c r="CU209" s="120"/>
      <c r="CV209" s="120"/>
      <c r="CW209" s="209"/>
      <c r="CX209" s="205"/>
      <c r="CY209" s="205"/>
      <c r="CZ209" s="120"/>
      <c r="DA209" s="120"/>
      <c r="DB209" s="120"/>
      <c r="DC209" s="205"/>
      <c r="DD209" s="205"/>
      <c r="DE209" s="209"/>
      <c r="DF209" s="205"/>
      <c r="DG209" s="205"/>
      <c r="DH209" s="205"/>
      <c r="DI209" s="120"/>
      <c r="DJ209" s="120"/>
      <c r="DK209" s="120"/>
      <c r="DL209" s="120"/>
      <c r="DM209" s="120"/>
      <c r="DN209" s="209"/>
      <c r="DO209" s="205"/>
      <c r="DP209" s="205"/>
      <c r="DQ209" s="217"/>
      <c r="DR209" s="120"/>
      <c r="DS209" s="120"/>
      <c r="DT209" s="120"/>
      <c r="DU209" s="120"/>
      <c r="DV209" s="209"/>
      <c r="DW209" s="205"/>
      <c r="DX209" s="205"/>
      <c r="DY209" s="120"/>
      <c r="DZ209" s="120"/>
      <c r="EA209" s="120"/>
      <c r="EB209" s="120"/>
      <c r="EC209" s="120"/>
      <c r="ED209" s="209"/>
      <c r="EE209" s="205"/>
      <c r="EF209" s="205"/>
      <c r="EG209" s="120"/>
      <c r="EH209" s="120"/>
      <c r="EI209" s="120"/>
      <c r="EJ209" s="205"/>
      <c r="EK209" s="205"/>
      <c r="EL209" s="209"/>
      <c r="EM209" s="205"/>
      <c r="EN209" s="205"/>
      <c r="EO209" s="205"/>
      <c r="EP209" s="120"/>
      <c r="EQ209" s="250"/>
      <c r="ER209" s="120"/>
      <c r="ES209" s="120"/>
      <c r="ET209" s="120"/>
      <c r="EU209" s="209"/>
      <c r="EV209" s="205"/>
      <c r="EW209" s="205"/>
      <c r="EX209" s="120"/>
      <c r="EY209" s="120"/>
      <c r="EZ209" s="120"/>
      <c r="FA209" s="120"/>
      <c r="FB209" s="120"/>
      <c r="FC209" s="209"/>
      <c r="FD209" s="205"/>
      <c r="FE209" s="205"/>
      <c r="FF209" s="120"/>
      <c r="FG209" s="195"/>
      <c r="FH209" s="120"/>
      <c r="FI209" s="120"/>
      <c r="FJ209" s="120"/>
      <c r="FK209" s="209"/>
      <c r="FL209" s="205"/>
      <c r="FM209" s="205"/>
      <c r="FN209" s="120"/>
      <c r="FO209" s="120"/>
      <c r="FP209" s="120"/>
      <c r="FQ209" s="120"/>
      <c r="FR209" s="205"/>
      <c r="FS209" s="209"/>
      <c r="FT209" s="205"/>
      <c r="FU209" s="205"/>
      <c r="FV209" s="205"/>
      <c r="FW209" s="120"/>
      <c r="FX209" s="120"/>
      <c r="FY209" s="120"/>
      <c r="FZ209" s="120"/>
      <c r="GA209" s="120"/>
      <c r="GB209" s="209"/>
      <c r="GC209" s="205"/>
      <c r="GD209" s="205"/>
      <c r="GE209" s="120"/>
      <c r="GF209" s="120"/>
      <c r="GG209" s="120"/>
      <c r="GH209" s="120"/>
      <c r="GI209" s="120"/>
      <c r="GJ209" s="209"/>
      <c r="GK209" s="205"/>
      <c r="GL209" s="205"/>
      <c r="GM209" s="120"/>
      <c r="GN209" s="120"/>
      <c r="GO209" s="120"/>
      <c r="GP209" s="120"/>
      <c r="GQ209" s="120"/>
      <c r="GR209" s="209"/>
      <c r="GS209" s="205"/>
      <c r="GT209" s="205"/>
      <c r="GU209" s="120"/>
      <c r="GV209" s="120"/>
      <c r="GW209" s="120"/>
      <c r="GX209" s="120"/>
      <c r="GY209" s="120"/>
      <c r="GZ209" s="209"/>
      <c r="HA209" s="205"/>
      <c r="HB209" s="205"/>
      <c r="HC209" s="120"/>
      <c r="HD209" s="120"/>
      <c r="HE209" s="120"/>
      <c r="HF209" s="120"/>
      <c r="HG209" s="120"/>
      <c r="HH209" s="209"/>
      <c r="HI209" s="205"/>
      <c r="HJ209" s="205"/>
      <c r="HK209" s="205"/>
      <c r="HL209" s="124"/>
      <c r="HM209" s="120"/>
      <c r="HN209" s="120"/>
      <c r="HO209" s="123"/>
      <c r="HP209" s="120"/>
      <c r="HQ209" s="205"/>
      <c r="HR209" s="205"/>
      <c r="HS209" s="205"/>
      <c r="HT209" s="120"/>
      <c r="HU209" s="120"/>
      <c r="HV209" s="120"/>
      <c r="HW209" s="120"/>
      <c r="HX209" s="120"/>
      <c r="HY209" s="205"/>
      <c r="HZ209" s="205"/>
      <c r="IA209" s="205"/>
      <c r="IB209" s="120"/>
      <c r="IC209" s="120"/>
      <c r="ID209" s="120"/>
      <c r="IE209" s="120"/>
      <c r="IF209" s="120"/>
      <c r="IG209" s="205"/>
      <c r="IH209" s="205"/>
      <c r="II209" s="205"/>
      <c r="IJ209" s="120"/>
      <c r="IK209" s="120"/>
      <c r="IL209" s="201"/>
      <c r="IM209" s="120"/>
      <c r="IN209" s="120"/>
      <c r="IO209" s="205"/>
      <c r="IP209" s="205"/>
      <c r="IQ209" s="205"/>
      <c r="IR209" s="205"/>
      <c r="IS209" s="120"/>
      <c r="IT209" s="120"/>
      <c r="IU209" s="120"/>
      <c r="IV209" s="120"/>
      <c r="IW209" s="120"/>
      <c r="IX209" s="205"/>
      <c r="IY209" s="205"/>
      <c r="IZ209" s="205"/>
      <c r="JA209" s="120"/>
      <c r="JB209" s="120"/>
      <c r="JC209" s="120"/>
      <c r="JD209" s="120"/>
      <c r="JE209" s="120"/>
      <c r="JF209" s="205"/>
      <c r="JG209" s="205"/>
      <c r="JH209" s="205"/>
      <c r="JI209" s="120"/>
      <c r="JJ209" s="120"/>
      <c r="JK209" s="120"/>
      <c r="JL209" s="120"/>
      <c r="JM209" s="120"/>
      <c r="JN209" s="205"/>
      <c r="JO209" s="205"/>
      <c r="JP209" s="205"/>
      <c r="JQ209" s="120"/>
      <c r="JR209" s="120"/>
      <c r="JS209" s="120"/>
      <c r="JT209" s="120"/>
      <c r="JU209" s="120"/>
      <c r="JV209" s="205"/>
      <c r="JW209" s="205"/>
      <c r="JX209" s="205"/>
      <c r="JY209" s="205"/>
      <c r="JZ209" s="120"/>
      <c r="KA209" s="120"/>
      <c r="KB209" s="120"/>
      <c r="KC209" s="120"/>
      <c r="KD209" s="120"/>
      <c r="KE209" s="205"/>
      <c r="KF209" s="205"/>
      <c r="KG209" s="205"/>
      <c r="KH209" s="120"/>
      <c r="KI209" s="120"/>
      <c r="KJ209" s="120"/>
      <c r="KK209" s="206"/>
      <c r="KL209" s="120"/>
      <c r="KM209" s="205"/>
      <c r="KN209" s="205"/>
      <c r="KO209" s="205"/>
      <c r="KP209" s="120"/>
      <c r="KQ209" s="120"/>
      <c r="KR209" s="120"/>
      <c r="KS209" s="120"/>
      <c r="KT209" s="120"/>
      <c r="KU209" s="205"/>
      <c r="KV209" s="205"/>
      <c r="KW209" s="205"/>
      <c r="KX209" s="120"/>
      <c r="KY209" s="120"/>
      <c r="KZ209" s="120"/>
      <c r="LA209" s="120"/>
      <c r="LB209" s="120"/>
      <c r="LC209" s="205"/>
      <c r="LD209" s="205"/>
      <c r="LE209" s="205"/>
      <c r="LF209" s="205"/>
      <c r="LG209" s="120"/>
      <c r="LH209" s="120"/>
      <c r="LI209" s="120"/>
      <c r="LJ209" s="120"/>
      <c r="LK209" s="205"/>
      <c r="LL209" s="205"/>
      <c r="LM209" s="205"/>
      <c r="LN209" s="205"/>
      <c r="LO209" s="205"/>
      <c r="LP209" s="120"/>
      <c r="LQ209" s="120"/>
      <c r="LR209" s="120"/>
      <c r="LS209" s="205"/>
      <c r="LT209" s="205"/>
      <c r="LU209" s="205"/>
      <c r="LV209" s="205"/>
      <c r="LW209" s="120"/>
      <c r="LX209" s="120"/>
      <c r="LY209" s="124"/>
      <c r="LZ209" s="120"/>
      <c r="MA209" s="120"/>
      <c r="MB209" s="205"/>
      <c r="MC209" s="205"/>
      <c r="MD209" s="205"/>
      <c r="ME209" s="120"/>
      <c r="MF209" s="120"/>
      <c r="MG209" s="120"/>
      <c r="MH209" s="201"/>
      <c r="MI209" s="205"/>
      <c r="MJ209" s="205"/>
      <c r="MK209" s="205"/>
      <c r="ML209" s="205"/>
      <c r="MM209" s="120"/>
      <c r="MN209" s="120"/>
      <c r="MO209" s="120"/>
      <c r="MP209" s="120"/>
      <c r="MQ209" s="120"/>
      <c r="MR209" s="205"/>
      <c r="MS209" s="205"/>
      <c r="MT209" s="205"/>
      <c r="MU209" s="205"/>
      <c r="MV209" s="120"/>
      <c r="MW209" s="120"/>
      <c r="MX209" s="195"/>
      <c r="MY209" s="120"/>
      <c r="MZ209" s="120"/>
      <c r="NA209" s="205"/>
      <c r="NB209" s="205"/>
      <c r="NC209" s="205"/>
      <c r="ND209" s="120"/>
      <c r="NE209" s="120"/>
      <c r="NF209" s="120"/>
      <c r="NG209" s="120"/>
      <c r="NH209" s="120"/>
      <c r="NI209" s="205"/>
      <c r="NJ209" s="205"/>
      <c r="NK209" s="205"/>
      <c r="NL209" s="120"/>
      <c r="NM209" s="120"/>
      <c r="NN209" s="120"/>
      <c r="NO209" s="120"/>
      <c r="NP209" s="120"/>
      <c r="NQ209" s="205"/>
      <c r="NR209" s="205"/>
      <c r="NS209" s="205"/>
      <c r="NT209" s="217"/>
      <c r="NU209" s="120"/>
      <c r="NV209" s="120"/>
      <c r="NW209" s="120"/>
      <c r="NX209" s="120"/>
      <c r="NY209" s="205"/>
      <c r="NZ209" s="205"/>
      <c r="OA209" s="205"/>
      <c r="OB209" s="205"/>
      <c r="OC209" s="120"/>
      <c r="OD209" s="120"/>
      <c r="OE209" s="120"/>
      <c r="OF209" s="120"/>
      <c r="OG209" s="120"/>
      <c r="OH209" s="205"/>
      <c r="OI209" s="205"/>
      <c r="OJ209" s="205"/>
      <c r="OK209" s="120"/>
      <c r="OL209" s="120"/>
      <c r="OM209" s="120"/>
      <c r="ON209" s="120"/>
      <c r="OO209" s="120"/>
      <c r="OP209" s="205"/>
      <c r="OQ209" s="205"/>
      <c r="OR209" s="205"/>
      <c r="OS209" s="120"/>
      <c r="OT209" s="120"/>
      <c r="OU209" s="120"/>
      <c r="OV209" s="120"/>
      <c r="OW209" s="120"/>
      <c r="OX209" s="205"/>
      <c r="OY209" s="205"/>
      <c r="OZ209" s="205"/>
      <c r="PA209" s="120"/>
      <c r="PB209" s="120"/>
      <c r="PC209" s="120"/>
      <c r="PD209" s="205"/>
      <c r="PE209" s="217"/>
      <c r="PF209" s="205"/>
      <c r="PG209" s="205"/>
      <c r="PH209" s="205"/>
      <c r="PI209" s="120"/>
      <c r="PJ209" s="120"/>
      <c r="PK209" s="120"/>
      <c r="PL209" s="205"/>
      <c r="PM209" s="217"/>
      <c r="PN209" s="205"/>
      <c r="PO209" s="205"/>
      <c r="PP209" s="205"/>
      <c r="PQ209" s="205"/>
      <c r="PR209" s="120"/>
      <c r="PS209" s="207"/>
      <c r="PT209" s="207"/>
      <c r="PU209" s="207"/>
      <c r="PV209" s="207"/>
      <c r="PW209" s="272"/>
      <c r="PX209" s="272"/>
      <c r="PY209" s="205"/>
      <c r="PZ209" s="207"/>
      <c r="QA209" s="207"/>
      <c r="QB209" s="207"/>
      <c r="QC209" s="207"/>
      <c r="QD209" s="207"/>
      <c r="QE209" s="272"/>
      <c r="QF209" s="272"/>
      <c r="QG209" s="205"/>
      <c r="QH209" s="207"/>
      <c r="QI209" s="207"/>
      <c r="QJ209" s="294"/>
      <c r="QK209" s="207"/>
      <c r="QL209" s="207"/>
      <c r="QM209" s="272"/>
      <c r="QN209" s="272"/>
      <c r="QO209" s="205"/>
      <c r="QP209" s="207"/>
      <c r="QQ209" s="120"/>
      <c r="QR209" s="207"/>
      <c r="QS209" s="207"/>
      <c r="QT209" s="207"/>
      <c r="QU209" s="272"/>
      <c r="QV209" s="272"/>
      <c r="QW209" s="205"/>
      <c r="QX209" s="205"/>
      <c r="QY209" s="120"/>
      <c r="QZ209" s="120"/>
      <c r="RA209" s="120"/>
      <c r="RB209" s="120"/>
      <c r="RC209" s="120"/>
      <c r="RD209" s="272"/>
      <c r="RE209" s="272"/>
      <c r="RF209" s="205"/>
      <c r="RG209" s="207"/>
      <c r="RH209" s="207"/>
      <c r="RI209" s="207"/>
      <c r="RJ209" s="207"/>
      <c r="RK209" s="207"/>
      <c r="RL209" s="272"/>
      <c r="RM209" s="272"/>
      <c r="RN209" s="205"/>
      <c r="RO209" s="272"/>
      <c r="RP209" s="272"/>
      <c r="RQ209" s="272"/>
      <c r="RR209" s="272"/>
      <c r="RS209" s="272"/>
      <c r="RT209" s="272"/>
      <c r="RU209" s="272"/>
      <c r="RV209" s="205"/>
      <c r="RW209" s="207"/>
      <c r="RX209" s="207"/>
      <c r="RY209" s="207"/>
      <c r="RZ209" s="207"/>
      <c r="SA209" s="272"/>
      <c r="SB209" s="272"/>
      <c r="SC209" s="272"/>
      <c r="SD209" s="205"/>
      <c r="SE209" s="205"/>
      <c r="SF209" s="207"/>
      <c r="SG209" s="207"/>
      <c r="SH209" s="207"/>
      <c r="SI209" s="207"/>
      <c r="SJ209" s="207"/>
      <c r="SK209" s="272"/>
      <c r="SL209" s="272"/>
      <c r="SM209" s="205"/>
      <c r="SN209" s="207"/>
      <c r="SO209" s="207"/>
      <c r="SP209" s="207"/>
      <c r="SQ209" s="207"/>
      <c r="SR209" s="207"/>
      <c r="SS209" s="272"/>
      <c r="ST209" s="272"/>
      <c r="SU209" s="205"/>
      <c r="SV209" s="207"/>
      <c r="SW209" s="207"/>
      <c r="SX209" s="207"/>
      <c r="SY209" s="207"/>
      <c r="SZ209" s="207"/>
      <c r="TA209" s="272"/>
      <c r="TB209" s="272"/>
      <c r="TC209" s="205"/>
      <c r="TD209" s="207"/>
      <c r="TE209" s="207"/>
      <c r="TF209" s="207"/>
      <c r="TG209" s="207"/>
      <c r="TH209" s="207"/>
      <c r="TI209" s="272"/>
      <c r="TJ209" s="272"/>
      <c r="TK209" s="205"/>
      <c r="TL209" s="207"/>
      <c r="TM209" s="207"/>
      <c r="TN209" s="207"/>
      <c r="TO209" s="207"/>
      <c r="TP209" s="272"/>
      <c r="TQ209" s="272"/>
      <c r="TR209" s="272"/>
      <c r="TS209" s="205"/>
      <c r="TT209" s="205"/>
      <c r="TU209" s="272"/>
      <c r="TV209" s="201"/>
      <c r="TW209" s="207"/>
      <c r="TX209" s="207"/>
      <c r="TY209" s="207"/>
      <c r="TZ209" s="272"/>
      <c r="UA209" s="272"/>
      <c r="UB209" s="205">
        <f t="shared" si="2012"/>
        <v>0</v>
      </c>
      <c r="UC209" s="207"/>
      <c r="UD209" s="207"/>
      <c r="UE209" s="120"/>
      <c r="UF209" s="120"/>
      <c r="UG209" s="207"/>
      <c r="UH209" s="272"/>
      <c r="UI209" s="272"/>
      <c r="UJ209" s="205">
        <f t="shared" si="2013"/>
        <v>0</v>
      </c>
      <c r="UK209" s="207"/>
      <c r="UL209" s="207"/>
      <c r="UM209" s="356"/>
      <c r="UN209" s="207"/>
      <c r="UO209" s="207"/>
      <c r="UP209" s="272"/>
      <c r="UQ209" s="272"/>
      <c r="UR209" s="205">
        <f t="shared" si="2014"/>
        <v>0</v>
      </c>
      <c r="US209" s="207"/>
      <c r="UT209" s="207"/>
      <c r="UU209" s="207"/>
      <c r="UV209" s="207"/>
      <c r="UW209" s="272"/>
      <c r="UX209" s="272"/>
      <c r="UY209" s="272"/>
      <c r="UZ209" s="205">
        <f t="shared" ref="UZ209:UZ243" si="2145">SUM(US209:UY209)</f>
        <v>0</v>
      </c>
      <c r="VA209" s="205">
        <f t="shared" ref="VA209:VA243" si="2146">SUM(TN209:TR209,UB209,UJ209,UR209,US209:UV209)</f>
        <v>0</v>
      </c>
      <c r="VB209" s="207"/>
      <c r="VC209" s="120"/>
      <c r="VD209" s="207"/>
      <c r="VE209" s="207"/>
      <c r="VF209" s="207"/>
      <c r="VG209" s="272"/>
      <c r="VH209" s="272"/>
      <c r="VI209" s="205">
        <f t="shared" si="2005"/>
        <v>0</v>
      </c>
      <c r="VJ209" s="207"/>
      <c r="VK209" s="207"/>
      <c r="VL209" s="207"/>
      <c r="VM209" s="207"/>
      <c r="VN209" s="207"/>
      <c r="VO209" s="272"/>
      <c r="VP209" s="272"/>
      <c r="VQ209" s="205">
        <f t="shared" si="2015"/>
        <v>0</v>
      </c>
      <c r="VR209" s="207"/>
      <c r="VS209" s="207"/>
      <c r="VT209" s="207"/>
      <c r="VU209" s="207"/>
      <c r="VV209" s="207"/>
      <c r="VW209" s="272"/>
      <c r="VX209" s="272"/>
      <c r="VY209" s="205">
        <f t="shared" si="2006"/>
        <v>0</v>
      </c>
      <c r="VZ209" s="207"/>
      <c r="WA209" s="207"/>
      <c r="WB209" s="207"/>
      <c r="WC209" s="207"/>
      <c r="WD209" s="207"/>
      <c r="WE209" s="272"/>
      <c r="WF209" s="272"/>
      <c r="WG209" s="205">
        <f t="shared" si="2007"/>
        <v>0</v>
      </c>
      <c r="WH209" s="205">
        <f t="shared" si="2008"/>
        <v>0</v>
      </c>
      <c r="WI209" s="207"/>
      <c r="WJ209" s="207"/>
      <c r="WK209" s="207"/>
      <c r="WL209" s="207"/>
      <c r="WM209" s="207"/>
      <c r="WN209" s="272"/>
      <c r="WO209" s="272"/>
      <c r="WP209" s="205">
        <f t="shared" si="2016"/>
        <v>0</v>
      </c>
      <c r="WQ209" s="207"/>
      <c r="WR209" s="207"/>
      <c r="WS209" s="207"/>
      <c r="WT209" s="207"/>
      <c r="WU209" s="207"/>
      <c r="WV209" s="272"/>
      <c r="WW209" s="272"/>
      <c r="WX209" s="205">
        <f t="shared" si="2017"/>
        <v>0</v>
      </c>
      <c r="WY209" s="207"/>
      <c r="WZ209" s="207"/>
      <c r="XA209" s="207"/>
      <c r="XB209" s="207"/>
      <c r="XC209" s="272"/>
      <c r="XD209" s="272"/>
      <c r="XE209" s="272"/>
      <c r="XF209" s="205">
        <f t="shared" si="2009"/>
        <v>0</v>
      </c>
      <c r="XG209" s="207"/>
      <c r="XH209" s="207"/>
      <c r="XI209" s="207"/>
      <c r="XJ209" s="207"/>
      <c r="XK209" s="207"/>
      <c r="XL209" s="272"/>
      <c r="XM209" s="272"/>
      <c r="XN209" s="205"/>
      <c r="XO209" s="207"/>
      <c r="XP209" s="207"/>
      <c r="XQ209" s="207"/>
      <c r="XR209" s="207"/>
      <c r="XS209" s="207"/>
      <c r="XT209" s="272"/>
      <c r="XU209" s="272"/>
      <c r="XV209" s="205"/>
      <c r="XW209" s="205"/>
      <c r="XX209" s="207"/>
      <c r="XY209" s="207"/>
      <c r="XZ209" s="207"/>
      <c r="YA209" s="207"/>
      <c r="YB209" s="207"/>
      <c r="YC209" s="272"/>
      <c r="YD209" s="272"/>
      <c r="YE209" s="205">
        <f t="shared" si="2018"/>
        <v>0</v>
      </c>
      <c r="YF209" s="207"/>
      <c r="YG209" s="207"/>
      <c r="YH209" s="207"/>
      <c r="YI209" s="207"/>
      <c r="YJ209" s="207"/>
      <c r="YK209" s="272"/>
      <c r="YL209" s="272"/>
      <c r="YM209" s="205">
        <f t="shared" si="2019"/>
        <v>0</v>
      </c>
      <c r="YN209" s="207"/>
      <c r="YO209" s="207"/>
      <c r="YP209" s="207"/>
      <c r="YQ209" s="207"/>
      <c r="YR209" s="207"/>
      <c r="YS209" s="272"/>
      <c r="YT209" s="272"/>
      <c r="YU209" s="205">
        <f t="shared" si="2020"/>
        <v>0</v>
      </c>
      <c r="YV209" s="207"/>
      <c r="YW209" s="207"/>
      <c r="YX209" s="207"/>
      <c r="YY209" s="207"/>
      <c r="YZ209" s="207"/>
      <c r="ZA209" s="272"/>
      <c r="ZB209" s="272"/>
      <c r="ZC209" s="205">
        <f t="shared" si="2021"/>
        <v>0</v>
      </c>
      <c r="ZD209" s="205">
        <f t="shared" si="2022"/>
        <v>0</v>
      </c>
      <c r="ZE209" s="207"/>
      <c r="ZF209" s="207"/>
      <c r="ZG209" s="207"/>
      <c r="ZH209" s="207"/>
      <c r="ZI209" s="207"/>
      <c r="ZJ209" s="272"/>
      <c r="ZK209" s="272"/>
      <c r="ZL209" s="205">
        <f t="shared" si="2023"/>
        <v>0</v>
      </c>
      <c r="ZM209" s="207"/>
      <c r="ZN209" s="207"/>
      <c r="ZO209" s="207"/>
      <c r="ZP209" s="207"/>
      <c r="ZQ209" s="207"/>
      <c r="ZR209" s="272"/>
      <c r="ZS209" s="272"/>
      <c r="ZT209" s="205">
        <f t="shared" si="2010"/>
        <v>0</v>
      </c>
      <c r="ZU209" s="207"/>
      <c r="ZV209" s="207"/>
      <c r="ZW209" s="207"/>
      <c r="ZX209" s="207"/>
      <c r="ZY209" s="207"/>
      <c r="ZZ209" s="272"/>
      <c r="AAA209" s="272"/>
      <c r="AAB209" s="205">
        <f t="shared" si="2024"/>
        <v>0</v>
      </c>
      <c r="AAC209" s="207"/>
      <c r="AAD209" s="207"/>
      <c r="AAE209" s="207"/>
      <c r="AAF209" s="207"/>
      <c r="AAG209" s="207"/>
      <c r="AAH209" s="272"/>
      <c r="AAI209" s="272"/>
      <c r="AAJ209" s="205">
        <f t="shared" si="2011"/>
        <v>0</v>
      </c>
      <c r="AAK209" s="207"/>
      <c r="AAL209" s="207"/>
      <c r="AAM209" s="207"/>
      <c r="AAN209" s="207"/>
      <c r="AAO209" s="207"/>
      <c r="AAP209" s="272"/>
      <c r="AAQ209" s="272"/>
      <c r="AAR209" s="205">
        <f t="shared" si="2025"/>
        <v>0</v>
      </c>
      <c r="AAS209" s="205">
        <f t="shared" si="2026"/>
        <v>0</v>
      </c>
    </row>
    <row r="210" spans="1:721" ht="96" customHeight="1">
      <c r="A210" s="117">
        <v>10</v>
      </c>
      <c r="B210" s="309">
        <v>3630102501</v>
      </c>
      <c r="C210" s="362" t="s">
        <v>941</v>
      </c>
      <c r="D210" s="367" t="s">
        <v>883</v>
      </c>
      <c r="E210" s="130" t="s">
        <v>4</v>
      </c>
      <c r="F210" s="120"/>
      <c r="G210" s="120"/>
      <c r="H210" s="120"/>
      <c r="I210" s="120"/>
      <c r="J210" s="120"/>
      <c r="K210" s="209"/>
      <c r="L210" s="205"/>
      <c r="M210" s="205">
        <f t="shared" si="2108"/>
        <v>0</v>
      </c>
      <c r="N210" s="120"/>
      <c r="O210" s="120"/>
      <c r="P210" s="120"/>
      <c r="Q210" s="120"/>
      <c r="R210" s="120"/>
      <c r="S210" s="209"/>
      <c r="T210" s="205"/>
      <c r="U210" s="205"/>
      <c r="V210" s="120"/>
      <c r="W210" s="120"/>
      <c r="X210" s="120"/>
      <c r="Y210" s="120"/>
      <c r="Z210" s="120"/>
      <c r="AA210" s="209"/>
      <c r="AB210" s="205"/>
      <c r="AC210" s="205"/>
      <c r="AD210" s="205"/>
      <c r="AE210" s="205"/>
      <c r="AF210" s="205"/>
      <c r="AG210" s="205"/>
      <c r="AH210" s="205"/>
      <c r="AI210" s="209"/>
      <c r="AJ210" s="205"/>
      <c r="AK210" s="205"/>
      <c r="AL210" s="205"/>
      <c r="AM210" s="120"/>
      <c r="AN210" s="120"/>
      <c r="AO210" s="120"/>
      <c r="AP210" s="120"/>
      <c r="AQ210" s="120"/>
      <c r="AR210" s="209"/>
      <c r="AS210" s="205"/>
      <c r="AT210" s="205"/>
      <c r="AU210" s="120"/>
      <c r="AV210" s="120"/>
      <c r="AW210" s="120"/>
      <c r="AX210" s="120"/>
      <c r="AY210" s="120"/>
      <c r="AZ210" s="209"/>
      <c r="BA210" s="205"/>
      <c r="BB210" s="205"/>
      <c r="BC210" s="120"/>
      <c r="BD210" s="120"/>
      <c r="BE210" s="120"/>
      <c r="BF210" s="120"/>
      <c r="BG210" s="120"/>
      <c r="BH210" s="209"/>
      <c r="BI210" s="205"/>
      <c r="BJ210" s="205"/>
      <c r="BK210" s="120"/>
      <c r="BL210" s="120"/>
      <c r="BM210" s="217"/>
      <c r="BN210" s="120"/>
      <c r="BO210" s="205"/>
      <c r="BP210" s="209"/>
      <c r="BQ210" s="205"/>
      <c r="BR210" s="205"/>
      <c r="BS210" s="205"/>
      <c r="BT210" s="120"/>
      <c r="BU210" s="250"/>
      <c r="BV210" s="120"/>
      <c r="BW210" s="120"/>
      <c r="BX210" s="120"/>
      <c r="BY210" s="209"/>
      <c r="BZ210" s="205"/>
      <c r="CA210" s="205"/>
      <c r="CB210" s="120"/>
      <c r="CC210" s="120"/>
      <c r="CD210" s="120"/>
      <c r="CE210" s="120"/>
      <c r="CF210" s="120"/>
      <c r="CG210" s="209"/>
      <c r="CH210" s="205"/>
      <c r="CI210" s="205"/>
      <c r="CJ210" s="120"/>
      <c r="CK210" s="120"/>
      <c r="CL210" s="250"/>
      <c r="CM210" s="120"/>
      <c r="CN210" s="120"/>
      <c r="CO210" s="209"/>
      <c r="CP210" s="205"/>
      <c r="CQ210" s="205"/>
      <c r="CR210" s="120"/>
      <c r="CS210" s="120"/>
      <c r="CT210" s="120"/>
      <c r="CU210" s="120"/>
      <c r="CV210" s="120"/>
      <c r="CW210" s="209"/>
      <c r="CX210" s="205"/>
      <c r="CY210" s="205"/>
      <c r="CZ210" s="120"/>
      <c r="DA210" s="120"/>
      <c r="DB210" s="120"/>
      <c r="DC210" s="205"/>
      <c r="DD210" s="205"/>
      <c r="DE210" s="209"/>
      <c r="DF210" s="205"/>
      <c r="DG210" s="205"/>
      <c r="DH210" s="205"/>
      <c r="DI210" s="120"/>
      <c r="DJ210" s="120"/>
      <c r="DK210" s="120"/>
      <c r="DL210" s="120"/>
      <c r="DM210" s="120"/>
      <c r="DN210" s="209"/>
      <c r="DO210" s="205"/>
      <c r="DP210" s="205"/>
      <c r="DQ210" s="217"/>
      <c r="DR210" s="120"/>
      <c r="DS210" s="120"/>
      <c r="DT210" s="120"/>
      <c r="DU210" s="120"/>
      <c r="DV210" s="209"/>
      <c r="DW210" s="205"/>
      <c r="DX210" s="205"/>
      <c r="DY210" s="120"/>
      <c r="DZ210" s="120"/>
      <c r="EA210" s="120"/>
      <c r="EB210" s="120"/>
      <c r="EC210" s="120"/>
      <c r="ED210" s="209"/>
      <c r="EE210" s="205"/>
      <c r="EF210" s="205"/>
      <c r="EG210" s="120"/>
      <c r="EH210" s="120"/>
      <c r="EI210" s="120"/>
      <c r="EJ210" s="205"/>
      <c r="EK210" s="205"/>
      <c r="EL210" s="209"/>
      <c r="EM210" s="205"/>
      <c r="EN210" s="205"/>
      <c r="EO210" s="205"/>
      <c r="EP210" s="120"/>
      <c r="EQ210" s="250"/>
      <c r="ER210" s="120"/>
      <c r="ES210" s="120"/>
      <c r="ET210" s="120"/>
      <c r="EU210" s="209"/>
      <c r="EV210" s="205"/>
      <c r="EW210" s="205"/>
      <c r="EX210" s="120"/>
      <c r="EY210" s="120"/>
      <c r="EZ210" s="120"/>
      <c r="FA210" s="120"/>
      <c r="FB210" s="120"/>
      <c r="FC210" s="209"/>
      <c r="FD210" s="205"/>
      <c r="FE210" s="205"/>
      <c r="FF210" s="120"/>
      <c r="FG210" s="195"/>
      <c r="FH210" s="120"/>
      <c r="FI210" s="120"/>
      <c r="FJ210" s="120"/>
      <c r="FK210" s="209"/>
      <c r="FL210" s="205"/>
      <c r="FM210" s="205"/>
      <c r="FN210" s="120"/>
      <c r="FO210" s="120"/>
      <c r="FP210" s="120"/>
      <c r="FQ210" s="120"/>
      <c r="FR210" s="205"/>
      <c r="FS210" s="209"/>
      <c r="FT210" s="205"/>
      <c r="FU210" s="205"/>
      <c r="FV210" s="205"/>
      <c r="FW210" s="120"/>
      <c r="FX210" s="120"/>
      <c r="FY210" s="120"/>
      <c r="FZ210" s="120"/>
      <c r="GA210" s="120"/>
      <c r="GB210" s="209"/>
      <c r="GC210" s="205"/>
      <c r="GD210" s="205"/>
      <c r="GE210" s="120"/>
      <c r="GF210" s="120"/>
      <c r="GG210" s="120"/>
      <c r="GH210" s="120"/>
      <c r="GI210" s="120"/>
      <c r="GJ210" s="209"/>
      <c r="GK210" s="205"/>
      <c r="GL210" s="205"/>
      <c r="GM210" s="120"/>
      <c r="GN210" s="120"/>
      <c r="GO210" s="120"/>
      <c r="GP210" s="120"/>
      <c r="GQ210" s="120"/>
      <c r="GR210" s="209"/>
      <c r="GS210" s="205"/>
      <c r="GT210" s="205"/>
      <c r="GU210" s="120"/>
      <c r="GV210" s="120"/>
      <c r="GW210" s="120"/>
      <c r="GX210" s="120"/>
      <c r="GY210" s="120"/>
      <c r="GZ210" s="209"/>
      <c r="HA210" s="205"/>
      <c r="HB210" s="205"/>
      <c r="HC210" s="120"/>
      <c r="HD210" s="120"/>
      <c r="HE210" s="120"/>
      <c r="HF210" s="120"/>
      <c r="HG210" s="120"/>
      <c r="HH210" s="209"/>
      <c r="HI210" s="205"/>
      <c r="HJ210" s="205"/>
      <c r="HK210" s="205"/>
      <c r="HL210" s="124"/>
      <c r="HM210" s="120"/>
      <c r="HN210" s="120"/>
      <c r="HO210" s="123"/>
      <c r="HP210" s="120"/>
      <c r="HQ210" s="205"/>
      <c r="HR210" s="205"/>
      <c r="HS210" s="205"/>
      <c r="HT210" s="120"/>
      <c r="HU210" s="120"/>
      <c r="HV210" s="120"/>
      <c r="HW210" s="120"/>
      <c r="HX210" s="120"/>
      <c r="HY210" s="205"/>
      <c r="HZ210" s="205"/>
      <c r="IA210" s="205"/>
      <c r="IB210" s="120"/>
      <c r="IC210" s="120"/>
      <c r="ID210" s="120"/>
      <c r="IE210" s="120"/>
      <c r="IF210" s="120"/>
      <c r="IG210" s="205"/>
      <c r="IH210" s="205"/>
      <c r="II210" s="205"/>
      <c r="IJ210" s="120"/>
      <c r="IK210" s="120"/>
      <c r="IL210" s="201"/>
      <c r="IM210" s="120"/>
      <c r="IN210" s="120"/>
      <c r="IO210" s="205"/>
      <c r="IP210" s="205"/>
      <c r="IQ210" s="205"/>
      <c r="IR210" s="205"/>
      <c r="IS210" s="120"/>
      <c r="IT210" s="120"/>
      <c r="IU210" s="120"/>
      <c r="IV210" s="120"/>
      <c r="IW210" s="120"/>
      <c r="IX210" s="205"/>
      <c r="IY210" s="205"/>
      <c r="IZ210" s="205"/>
      <c r="JA210" s="120"/>
      <c r="JB210" s="120"/>
      <c r="JC210" s="120"/>
      <c r="JD210" s="120"/>
      <c r="JE210" s="120"/>
      <c r="JF210" s="205"/>
      <c r="JG210" s="205"/>
      <c r="JH210" s="205"/>
      <c r="JI210" s="120"/>
      <c r="JJ210" s="120"/>
      <c r="JK210" s="120"/>
      <c r="JL210" s="120"/>
      <c r="JM210" s="120"/>
      <c r="JN210" s="205"/>
      <c r="JO210" s="205"/>
      <c r="JP210" s="205"/>
      <c r="JQ210" s="120"/>
      <c r="JR210" s="120"/>
      <c r="JS210" s="120"/>
      <c r="JT210" s="120"/>
      <c r="JU210" s="120"/>
      <c r="JV210" s="205"/>
      <c r="JW210" s="205"/>
      <c r="JX210" s="205"/>
      <c r="JY210" s="205"/>
      <c r="JZ210" s="120"/>
      <c r="KA210" s="120"/>
      <c r="KB210" s="120"/>
      <c r="KC210" s="120"/>
      <c r="KD210" s="120"/>
      <c r="KE210" s="205"/>
      <c r="KF210" s="205"/>
      <c r="KG210" s="205"/>
      <c r="KH210" s="120"/>
      <c r="KI210" s="120"/>
      <c r="KJ210" s="120"/>
      <c r="KK210" s="206"/>
      <c r="KL210" s="120"/>
      <c r="KM210" s="205"/>
      <c r="KN210" s="205"/>
      <c r="KO210" s="205"/>
      <c r="KP210" s="120"/>
      <c r="KQ210" s="120"/>
      <c r="KR210" s="120"/>
      <c r="KS210" s="120"/>
      <c r="KT210" s="120"/>
      <c r="KU210" s="205"/>
      <c r="KV210" s="205"/>
      <c r="KW210" s="205"/>
      <c r="KX210" s="120"/>
      <c r="KY210" s="120"/>
      <c r="KZ210" s="120"/>
      <c r="LA210" s="120"/>
      <c r="LB210" s="120"/>
      <c r="LC210" s="205"/>
      <c r="LD210" s="205"/>
      <c r="LE210" s="205"/>
      <c r="LF210" s="205"/>
      <c r="LG210" s="120"/>
      <c r="LH210" s="120"/>
      <c r="LI210" s="120"/>
      <c r="LJ210" s="120"/>
      <c r="LK210" s="205"/>
      <c r="LL210" s="205"/>
      <c r="LM210" s="205"/>
      <c r="LN210" s="205"/>
      <c r="LO210" s="205"/>
      <c r="LP210" s="120"/>
      <c r="LQ210" s="120"/>
      <c r="LR210" s="120"/>
      <c r="LS210" s="205"/>
      <c r="LT210" s="205"/>
      <c r="LU210" s="205"/>
      <c r="LV210" s="205"/>
      <c r="LW210" s="120"/>
      <c r="LX210" s="120"/>
      <c r="LY210" s="124"/>
      <c r="LZ210" s="120"/>
      <c r="MA210" s="120"/>
      <c r="MB210" s="205"/>
      <c r="MC210" s="205"/>
      <c r="MD210" s="205"/>
      <c r="ME210" s="120"/>
      <c r="MF210" s="120"/>
      <c r="MG210" s="120"/>
      <c r="MH210" s="201"/>
      <c r="MI210" s="205"/>
      <c r="MJ210" s="205"/>
      <c r="MK210" s="205"/>
      <c r="ML210" s="205"/>
      <c r="MM210" s="120"/>
      <c r="MN210" s="120"/>
      <c r="MO210" s="120"/>
      <c r="MP210" s="120"/>
      <c r="MQ210" s="120"/>
      <c r="MR210" s="205"/>
      <c r="MS210" s="205"/>
      <c r="MT210" s="205"/>
      <c r="MU210" s="205"/>
      <c r="MV210" s="120"/>
      <c r="MW210" s="120"/>
      <c r="MX210" s="195"/>
      <c r="MY210" s="120"/>
      <c r="MZ210" s="120"/>
      <c r="NA210" s="205"/>
      <c r="NB210" s="205"/>
      <c r="NC210" s="205"/>
      <c r="ND210" s="120"/>
      <c r="NE210" s="120"/>
      <c r="NF210" s="120"/>
      <c r="NG210" s="120"/>
      <c r="NH210" s="120"/>
      <c r="NI210" s="205"/>
      <c r="NJ210" s="205"/>
      <c r="NK210" s="205"/>
      <c r="NL210" s="120"/>
      <c r="NM210" s="120"/>
      <c r="NN210" s="120"/>
      <c r="NO210" s="120"/>
      <c r="NP210" s="120"/>
      <c r="NQ210" s="205"/>
      <c r="NR210" s="205"/>
      <c r="NS210" s="205"/>
      <c r="NT210" s="217"/>
      <c r="NU210" s="120"/>
      <c r="NV210" s="120"/>
      <c r="NW210" s="120"/>
      <c r="NX210" s="120"/>
      <c r="NY210" s="205"/>
      <c r="NZ210" s="205"/>
      <c r="OA210" s="205"/>
      <c r="OB210" s="205"/>
      <c r="OC210" s="120"/>
      <c r="OD210" s="120"/>
      <c r="OE210" s="120"/>
      <c r="OF210" s="120"/>
      <c r="OG210" s="120"/>
      <c r="OH210" s="205"/>
      <c r="OI210" s="205"/>
      <c r="OJ210" s="205"/>
      <c r="OK210" s="120"/>
      <c r="OL210" s="120"/>
      <c r="OM210" s="120"/>
      <c r="ON210" s="120"/>
      <c r="OO210" s="120"/>
      <c r="OP210" s="205"/>
      <c r="OQ210" s="205"/>
      <c r="OR210" s="205"/>
      <c r="OS210" s="120"/>
      <c r="OT210" s="120"/>
      <c r="OU210" s="120"/>
      <c r="OV210" s="120"/>
      <c r="OW210" s="120"/>
      <c r="OX210" s="205"/>
      <c r="OY210" s="205"/>
      <c r="OZ210" s="205"/>
      <c r="PA210" s="120"/>
      <c r="PB210" s="120"/>
      <c r="PC210" s="120"/>
      <c r="PD210" s="205"/>
      <c r="PE210" s="217"/>
      <c r="PF210" s="205"/>
      <c r="PG210" s="205"/>
      <c r="PH210" s="205"/>
      <c r="PI210" s="120"/>
      <c r="PJ210" s="120"/>
      <c r="PK210" s="120"/>
      <c r="PL210" s="205"/>
      <c r="PM210" s="217"/>
      <c r="PN210" s="205"/>
      <c r="PO210" s="205"/>
      <c r="PP210" s="205"/>
      <c r="PQ210" s="205"/>
      <c r="PR210" s="120"/>
      <c r="PS210" s="207"/>
      <c r="PT210" s="207"/>
      <c r="PU210" s="207"/>
      <c r="PV210" s="207"/>
      <c r="PW210" s="272"/>
      <c r="PX210" s="272"/>
      <c r="PY210" s="205"/>
      <c r="PZ210" s="207"/>
      <c r="QA210" s="207"/>
      <c r="QB210" s="207"/>
      <c r="QC210" s="207"/>
      <c r="QD210" s="207"/>
      <c r="QE210" s="272"/>
      <c r="QF210" s="272"/>
      <c r="QG210" s="205"/>
      <c r="QH210" s="207"/>
      <c r="QI210" s="207"/>
      <c r="QJ210" s="294"/>
      <c r="QK210" s="207"/>
      <c r="QL210" s="207"/>
      <c r="QM210" s="272"/>
      <c r="QN210" s="272"/>
      <c r="QO210" s="205"/>
      <c r="QP210" s="207"/>
      <c r="QQ210" s="120"/>
      <c r="QR210" s="207"/>
      <c r="QS210" s="207"/>
      <c r="QT210" s="207"/>
      <c r="QU210" s="272"/>
      <c r="QV210" s="272"/>
      <c r="QW210" s="205"/>
      <c r="QX210" s="205">
        <f t="shared" si="2139"/>
        <v>0</v>
      </c>
      <c r="QY210" s="120"/>
      <c r="QZ210" s="120"/>
      <c r="RA210" s="120"/>
      <c r="RB210" s="120"/>
      <c r="RC210" s="120"/>
      <c r="RD210" s="272"/>
      <c r="RE210" s="272"/>
      <c r="RF210" s="205">
        <f t="shared" si="2095"/>
        <v>0</v>
      </c>
      <c r="RG210" s="207"/>
      <c r="RH210" s="207"/>
      <c r="RI210" s="207"/>
      <c r="RJ210" s="207"/>
      <c r="RK210" s="207"/>
      <c r="RL210" s="272"/>
      <c r="RM210" s="272"/>
      <c r="RN210" s="205">
        <f t="shared" si="2096"/>
        <v>0</v>
      </c>
      <c r="RO210" s="272"/>
      <c r="RP210" s="272"/>
      <c r="RQ210" s="272"/>
      <c r="RR210" s="272"/>
      <c r="RS210" s="272"/>
      <c r="RT210" s="272"/>
      <c r="RU210" s="272"/>
      <c r="RV210" s="205">
        <f t="shared" si="2097"/>
        <v>0</v>
      </c>
      <c r="RW210" s="207"/>
      <c r="RX210" s="207"/>
      <c r="RY210" s="207"/>
      <c r="RZ210" s="207"/>
      <c r="SA210" s="272"/>
      <c r="SB210" s="272"/>
      <c r="SC210" s="272"/>
      <c r="SD210" s="205">
        <f t="shared" si="2140"/>
        <v>0</v>
      </c>
      <c r="SE210" s="205">
        <f t="shared" si="2141"/>
        <v>0</v>
      </c>
      <c r="SF210" s="207"/>
      <c r="SG210" s="207"/>
      <c r="SH210" s="207"/>
      <c r="SI210" s="207"/>
      <c r="SJ210" s="207"/>
      <c r="SK210" s="272"/>
      <c r="SL210" s="272"/>
      <c r="SM210" s="205">
        <f t="shared" si="2100"/>
        <v>0</v>
      </c>
      <c r="SN210" s="207"/>
      <c r="SO210" s="207"/>
      <c r="SP210" s="207"/>
      <c r="SQ210" s="207"/>
      <c r="SR210" s="207"/>
      <c r="SS210" s="272"/>
      <c r="ST210" s="272"/>
      <c r="SU210" s="205">
        <f t="shared" si="2101"/>
        <v>0</v>
      </c>
      <c r="SV210" s="207"/>
      <c r="SW210" s="207"/>
      <c r="SX210" s="207"/>
      <c r="SY210" s="207"/>
      <c r="SZ210" s="207"/>
      <c r="TA210" s="272"/>
      <c r="TB210" s="272"/>
      <c r="TC210" s="205">
        <f t="shared" si="2102"/>
        <v>0</v>
      </c>
      <c r="TD210" s="207"/>
      <c r="TE210" s="207"/>
      <c r="TF210" s="207"/>
      <c r="TG210" s="207"/>
      <c r="TH210" s="207"/>
      <c r="TI210" s="272"/>
      <c r="TJ210" s="272"/>
      <c r="TK210" s="205">
        <f t="shared" si="2142"/>
        <v>0</v>
      </c>
      <c r="TL210" s="140"/>
      <c r="TM210" s="140"/>
      <c r="TN210" s="140"/>
      <c r="TO210" s="140"/>
      <c r="TP210" s="370"/>
      <c r="TQ210" s="272"/>
      <c r="TR210" s="272"/>
      <c r="TS210" s="205">
        <f t="shared" si="2135"/>
        <v>0</v>
      </c>
      <c r="TT210" s="205">
        <f t="shared" si="2136"/>
        <v>0</v>
      </c>
      <c r="TU210" s="272"/>
      <c r="TV210" s="356"/>
      <c r="TW210" s="207"/>
      <c r="TX210" s="120"/>
      <c r="TY210" s="207"/>
      <c r="TZ210" s="272"/>
      <c r="UA210" s="272"/>
      <c r="UB210" s="205">
        <f t="shared" si="2012"/>
        <v>0</v>
      </c>
      <c r="UC210" s="382">
        <v>135</v>
      </c>
      <c r="UD210" s="207"/>
      <c r="UE210" s="123">
        <v>720</v>
      </c>
      <c r="UG210" s="207"/>
      <c r="UH210" s="272"/>
      <c r="UI210" s="272"/>
      <c r="UJ210" s="205">
        <f>SUM(UC210:UI210)</f>
        <v>855</v>
      </c>
      <c r="UK210" s="207"/>
      <c r="UL210" s="207"/>
      <c r="UM210" s="356"/>
      <c r="UN210" s="207"/>
      <c r="UO210" s="207"/>
      <c r="UP210" s="272"/>
      <c r="UQ210" s="272"/>
      <c r="UR210" s="205">
        <f t="shared" si="2014"/>
        <v>0</v>
      </c>
      <c r="US210" s="385">
        <v>135</v>
      </c>
      <c r="UT210" s="207"/>
      <c r="UU210" s="207"/>
      <c r="UV210" s="207"/>
      <c r="UW210" s="272"/>
      <c r="UX210" s="272"/>
      <c r="UY210" s="272"/>
      <c r="UZ210" s="205">
        <f t="shared" si="2145"/>
        <v>135</v>
      </c>
      <c r="VA210" s="205">
        <f t="shared" si="2146"/>
        <v>990</v>
      </c>
      <c r="VB210" s="123">
        <v>720</v>
      </c>
      <c r="VC210" s="120"/>
      <c r="VD210" s="207"/>
      <c r="VE210" s="207"/>
      <c r="VF210" s="207"/>
      <c r="VG210" s="272"/>
      <c r="VH210" s="272"/>
      <c r="VI210" s="205">
        <f t="shared" si="2005"/>
        <v>720</v>
      </c>
      <c r="VJ210" s="207"/>
      <c r="VK210" s="207"/>
      <c r="VL210" s="207"/>
      <c r="VM210" s="207"/>
      <c r="VN210" s="207"/>
      <c r="VO210" s="272"/>
      <c r="VP210" s="272"/>
      <c r="VQ210" s="205">
        <f t="shared" si="2015"/>
        <v>0</v>
      </c>
      <c r="VR210" s="207"/>
      <c r="VS210" s="207"/>
      <c r="VT210" s="207"/>
      <c r="VU210" s="207"/>
      <c r="VV210" s="207"/>
      <c r="VW210" s="272"/>
      <c r="VX210" s="272"/>
      <c r="VY210" s="205">
        <f t="shared" si="2006"/>
        <v>0</v>
      </c>
      <c r="VZ210" s="207"/>
      <c r="WA210" s="207"/>
      <c r="WB210" s="207"/>
      <c r="WC210" s="207"/>
      <c r="WD210" s="207"/>
      <c r="WE210" s="272"/>
      <c r="WF210" s="272"/>
      <c r="WG210" s="205">
        <f t="shared" si="2007"/>
        <v>0</v>
      </c>
      <c r="WH210" s="205">
        <f t="shared" si="2008"/>
        <v>720</v>
      </c>
      <c r="WI210" s="207"/>
      <c r="WJ210" s="207"/>
      <c r="WK210" s="207"/>
      <c r="WL210" s="207"/>
      <c r="WM210" s="207"/>
      <c r="WN210" s="272"/>
      <c r="WO210" s="272"/>
      <c r="WP210" s="205">
        <f t="shared" si="2016"/>
        <v>0</v>
      </c>
      <c r="WQ210" s="207"/>
      <c r="WR210" s="207"/>
      <c r="WS210" s="207"/>
      <c r="WT210" s="207"/>
      <c r="WU210" s="207"/>
      <c r="WV210" s="272"/>
      <c r="WW210" s="272"/>
      <c r="WX210" s="205">
        <f t="shared" si="2017"/>
        <v>0</v>
      </c>
      <c r="WY210" s="207"/>
      <c r="WZ210" s="207"/>
      <c r="XA210" s="207"/>
      <c r="XB210" s="207"/>
      <c r="XC210" s="272"/>
      <c r="XD210" s="272"/>
      <c r="XE210" s="272"/>
      <c r="XF210" s="205">
        <f t="shared" si="2009"/>
        <v>0</v>
      </c>
      <c r="XG210" s="207"/>
      <c r="XH210" s="207"/>
      <c r="XI210" s="207"/>
      <c r="XJ210" s="207"/>
      <c r="XK210" s="207"/>
      <c r="XL210" s="272"/>
      <c r="XM210" s="272"/>
      <c r="XN210" s="205">
        <f t="shared" si="2105"/>
        <v>0</v>
      </c>
      <c r="XO210" s="207"/>
      <c r="XP210" s="207"/>
      <c r="XQ210" s="207"/>
      <c r="XR210" s="207"/>
      <c r="XS210" s="207"/>
      <c r="XT210" s="272"/>
      <c r="XU210" s="272"/>
      <c r="XV210" s="205">
        <f t="shared" si="2137"/>
        <v>0</v>
      </c>
      <c r="XW210" s="205">
        <f t="shared" si="2138"/>
        <v>0</v>
      </c>
      <c r="XX210" s="207"/>
      <c r="XY210" s="207"/>
      <c r="XZ210" s="207"/>
      <c r="YA210" s="207"/>
      <c r="YB210" s="207"/>
      <c r="YC210" s="272"/>
      <c r="YD210" s="272"/>
      <c r="YE210" s="205">
        <f t="shared" si="2018"/>
        <v>0</v>
      </c>
      <c r="YF210" s="207"/>
      <c r="YG210" s="207"/>
      <c r="YH210" s="207"/>
      <c r="YI210" s="207"/>
      <c r="YJ210" s="207"/>
      <c r="YK210" s="272"/>
      <c r="YL210" s="272"/>
      <c r="YM210" s="205">
        <f t="shared" si="2019"/>
        <v>0</v>
      </c>
      <c r="YN210" s="207"/>
      <c r="YO210" s="207"/>
      <c r="YP210" s="207"/>
      <c r="YQ210" s="207"/>
      <c r="YR210" s="207"/>
      <c r="YS210" s="272"/>
      <c r="YT210" s="272"/>
      <c r="YU210" s="205">
        <f t="shared" si="2020"/>
        <v>0</v>
      </c>
      <c r="YV210" s="207"/>
      <c r="YW210" s="207"/>
      <c r="YX210" s="207"/>
      <c r="YY210" s="207"/>
      <c r="YZ210" s="207"/>
      <c r="ZA210" s="272"/>
      <c r="ZB210" s="272"/>
      <c r="ZC210" s="205">
        <f t="shared" si="2021"/>
        <v>0</v>
      </c>
      <c r="ZD210" s="205">
        <f t="shared" si="2022"/>
        <v>0</v>
      </c>
      <c r="ZE210" s="207"/>
      <c r="ZF210" s="207"/>
      <c r="ZG210" s="207"/>
      <c r="ZH210" s="207"/>
      <c r="ZI210" s="207"/>
      <c r="ZJ210" s="272"/>
      <c r="ZK210" s="272"/>
      <c r="ZL210" s="205">
        <f t="shared" si="2023"/>
        <v>0</v>
      </c>
      <c r="ZM210" s="207"/>
      <c r="ZN210" s="207"/>
      <c r="ZO210" s="207"/>
      <c r="ZP210" s="207"/>
      <c r="ZQ210" s="207"/>
      <c r="ZR210" s="272"/>
      <c r="ZS210" s="272"/>
      <c r="ZT210" s="205">
        <f t="shared" si="2010"/>
        <v>0</v>
      </c>
      <c r="ZU210" s="207"/>
      <c r="ZV210" s="207"/>
      <c r="ZW210" s="207"/>
      <c r="ZX210" s="207"/>
      <c r="ZY210" s="207"/>
      <c r="ZZ210" s="272"/>
      <c r="AAA210" s="272"/>
      <c r="AAB210" s="205">
        <f t="shared" si="2024"/>
        <v>0</v>
      </c>
      <c r="AAC210" s="207"/>
      <c r="AAD210" s="207"/>
      <c r="AAE210" s="207"/>
      <c r="AAF210" s="207"/>
      <c r="AAG210" s="207"/>
      <c r="AAH210" s="272"/>
      <c r="AAI210" s="272"/>
      <c r="AAJ210" s="205">
        <f t="shared" si="2011"/>
        <v>0</v>
      </c>
      <c r="AAK210" s="207"/>
      <c r="AAL210" s="207"/>
      <c r="AAM210" s="207"/>
      <c r="AAN210" s="207"/>
      <c r="AAO210" s="207"/>
      <c r="AAP210" s="272"/>
      <c r="AAQ210" s="272"/>
      <c r="AAR210" s="205">
        <f t="shared" si="2025"/>
        <v>0</v>
      </c>
      <c r="AAS210" s="205">
        <f t="shared" si="2026"/>
        <v>0</v>
      </c>
    </row>
    <row r="211" spans="1:721" ht="80.099999999999994" customHeight="1">
      <c r="A211" s="117">
        <v>10</v>
      </c>
      <c r="B211" s="309" t="s">
        <v>914</v>
      </c>
      <c r="C211" s="362" t="s">
        <v>896</v>
      </c>
      <c r="D211" s="349" t="s">
        <v>884</v>
      </c>
      <c r="E211" s="130" t="s">
        <v>4</v>
      </c>
      <c r="F211" s="120"/>
      <c r="G211" s="120"/>
      <c r="H211" s="120"/>
      <c r="I211" s="120"/>
      <c r="J211" s="120"/>
      <c r="K211" s="209"/>
      <c r="L211" s="205"/>
      <c r="M211" s="205">
        <f t="shared" si="2108"/>
        <v>0</v>
      </c>
      <c r="N211" s="120"/>
      <c r="O211" s="120"/>
      <c r="P211" s="120"/>
      <c r="Q211" s="120"/>
      <c r="R211" s="120"/>
      <c r="S211" s="209"/>
      <c r="T211" s="205"/>
      <c r="U211" s="205"/>
      <c r="V211" s="120"/>
      <c r="W211" s="120"/>
      <c r="X211" s="120"/>
      <c r="Y211" s="120"/>
      <c r="Z211" s="120"/>
      <c r="AA211" s="209"/>
      <c r="AB211" s="205"/>
      <c r="AC211" s="205"/>
      <c r="AD211" s="205"/>
      <c r="AE211" s="205"/>
      <c r="AF211" s="205"/>
      <c r="AG211" s="205"/>
      <c r="AH211" s="205"/>
      <c r="AI211" s="209"/>
      <c r="AJ211" s="205"/>
      <c r="AK211" s="205"/>
      <c r="AL211" s="205"/>
      <c r="AM211" s="120"/>
      <c r="AN211" s="120"/>
      <c r="AO211" s="120"/>
      <c r="AP211" s="120"/>
      <c r="AQ211" s="120"/>
      <c r="AR211" s="209"/>
      <c r="AS211" s="205"/>
      <c r="AT211" s="205"/>
      <c r="AU211" s="120"/>
      <c r="AV211" s="120"/>
      <c r="AW211" s="120"/>
      <c r="AX211" s="120"/>
      <c r="AY211" s="120"/>
      <c r="AZ211" s="209"/>
      <c r="BA211" s="205"/>
      <c r="BB211" s="205"/>
      <c r="BC211" s="120"/>
      <c r="BD211" s="120"/>
      <c r="BE211" s="120"/>
      <c r="BF211" s="120"/>
      <c r="BG211" s="120"/>
      <c r="BH211" s="209"/>
      <c r="BI211" s="205"/>
      <c r="BJ211" s="205"/>
      <c r="BK211" s="120"/>
      <c r="BL211" s="120"/>
      <c r="BM211" s="217"/>
      <c r="BN211" s="120"/>
      <c r="BO211" s="205"/>
      <c r="BP211" s="209"/>
      <c r="BQ211" s="205"/>
      <c r="BR211" s="205"/>
      <c r="BS211" s="205"/>
      <c r="BT211" s="120"/>
      <c r="BU211" s="250"/>
      <c r="BV211" s="120"/>
      <c r="BW211" s="120"/>
      <c r="BX211" s="120"/>
      <c r="BY211" s="209"/>
      <c r="BZ211" s="205"/>
      <c r="CA211" s="205"/>
      <c r="CB211" s="120"/>
      <c r="CC211" s="120"/>
      <c r="CD211" s="120"/>
      <c r="CE211" s="120"/>
      <c r="CF211" s="120"/>
      <c r="CG211" s="209"/>
      <c r="CH211" s="205"/>
      <c r="CI211" s="205"/>
      <c r="CJ211" s="120"/>
      <c r="CK211" s="120"/>
      <c r="CL211" s="250"/>
      <c r="CM211" s="120"/>
      <c r="CN211" s="120"/>
      <c r="CO211" s="209"/>
      <c r="CP211" s="205"/>
      <c r="CQ211" s="205"/>
      <c r="CR211" s="120"/>
      <c r="CS211" s="120"/>
      <c r="CT211" s="120"/>
      <c r="CU211" s="120"/>
      <c r="CV211" s="120"/>
      <c r="CW211" s="209"/>
      <c r="CX211" s="205"/>
      <c r="CY211" s="205"/>
      <c r="CZ211" s="120"/>
      <c r="DA211" s="120"/>
      <c r="DB211" s="120"/>
      <c r="DC211" s="205"/>
      <c r="DD211" s="205"/>
      <c r="DE211" s="209"/>
      <c r="DF211" s="205"/>
      <c r="DG211" s="205"/>
      <c r="DH211" s="205"/>
      <c r="DI211" s="120"/>
      <c r="DJ211" s="120"/>
      <c r="DK211" s="120"/>
      <c r="DL211" s="120"/>
      <c r="DM211" s="120"/>
      <c r="DN211" s="209"/>
      <c r="DO211" s="205"/>
      <c r="DP211" s="205"/>
      <c r="DQ211" s="217"/>
      <c r="DR211" s="120"/>
      <c r="DS211" s="120"/>
      <c r="DT211" s="120"/>
      <c r="DU211" s="120"/>
      <c r="DV211" s="209"/>
      <c r="DW211" s="205"/>
      <c r="DX211" s="205"/>
      <c r="DY211" s="120"/>
      <c r="DZ211" s="120"/>
      <c r="EA211" s="120"/>
      <c r="EB211" s="120"/>
      <c r="EC211" s="120"/>
      <c r="ED211" s="209"/>
      <c r="EE211" s="205"/>
      <c r="EF211" s="205"/>
      <c r="EG211" s="120"/>
      <c r="EH211" s="120"/>
      <c r="EI211" s="120"/>
      <c r="EJ211" s="205"/>
      <c r="EK211" s="205"/>
      <c r="EL211" s="209"/>
      <c r="EM211" s="205"/>
      <c r="EN211" s="205"/>
      <c r="EO211" s="205"/>
      <c r="EP211" s="120"/>
      <c r="EQ211" s="250"/>
      <c r="ER211" s="120"/>
      <c r="ES211" s="120"/>
      <c r="ET211" s="120"/>
      <c r="EU211" s="209"/>
      <c r="EV211" s="205"/>
      <c r="EW211" s="205"/>
      <c r="EX211" s="120"/>
      <c r="EY211" s="120"/>
      <c r="EZ211" s="120"/>
      <c r="FA211" s="120"/>
      <c r="FB211" s="120"/>
      <c r="FC211" s="209"/>
      <c r="FD211" s="205"/>
      <c r="FE211" s="205"/>
      <c r="FF211" s="120"/>
      <c r="FG211" s="195"/>
      <c r="FH211" s="120"/>
      <c r="FI211" s="120"/>
      <c r="FJ211" s="120"/>
      <c r="FK211" s="209"/>
      <c r="FL211" s="205"/>
      <c r="FM211" s="205"/>
      <c r="FN211" s="120"/>
      <c r="FO211" s="120"/>
      <c r="FP211" s="120"/>
      <c r="FQ211" s="120"/>
      <c r="FR211" s="205"/>
      <c r="FS211" s="209"/>
      <c r="FT211" s="205"/>
      <c r="FU211" s="205"/>
      <c r="FV211" s="205"/>
      <c r="FW211" s="120"/>
      <c r="FX211" s="120"/>
      <c r="FY211" s="120"/>
      <c r="FZ211" s="120"/>
      <c r="GA211" s="120"/>
      <c r="GB211" s="209"/>
      <c r="GC211" s="205"/>
      <c r="GD211" s="205"/>
      <c r="GE211" s="120"/>
      <c r="GF211" s="120"/>
      <c r="GG211" s="120"/>
      <c r="GH211" s="120"/>
      <c r="GI211" s="120"/>
      <c r="GJ211" s="209"/>
      <c r="GK211" s="205"/>
      <c r="GL211" s="205"/>
      <c r="GM211" s="120"/>
      <c r="GN211" s="120"/>
      <c r="GO211" s="120"/>
      <c r="GP211" s="120"/>
      <c r="GQ211" s="120"/>
      <c r="GR211" s="209"/>
      <c r="GS211" s="205"/>
      <c r="GT211" s="205"/>
      <c r="GU211" s="120"/>
      <c r="GV211" s="120"/>
      <c r="GW211" s="120"/>
      <c r="GX211" s="120"/>
      <c r="GY211" s="120"/>
      <c r="GZ211" s="209"/>
      <c r="HA211" s="205"/>
      <c r="HB211" s="205"/>
      <c r="HC211" s="120"/>
      <c r="HD211" s="120"/>
      <c r="HE211" s="120"/>
      <c r="HF211" s="120"/>
      <c r="HG211" s="120"/>
      <c r="HH211" s="209"/>
      <c r="HI211" s="205"/>
      <c r="HJ211" s="205"/>
      <c r="HK211" s="205"/>
      <c r="HL211" s="124"/>
      <c r="HM211" s="120"/>
      <c r="HN211" s="120"/>
      <c r="HO211" s="123"/>
      <c r="HP211" s="120"/>
      <c r="HQ211" s="205"/>
      <c r="HR211" s="205"/>
      <c r="HS211" s="205"/>
      <c r="HT211" s="120"/>
      <c r="HU211" s="120"/>
      <c r="HV211" s="120"/>
      <c r="HW211" s="120"/>
      <c r="HX211" s="120"/>
      <c r="HY211" s="205"/>
      <c r="HZ211" s="205"/>
      <c r="IA211" s="205"/>
      <c r="IB211" s="120"/>
      <c r="IC211" s="120"/>
      <c r="ID211" s="120"/>
      <c r="IE211" s="120"/>
      <c r="IF211" s="120"/>
      <c r="IG211" s="205"/>
      <c r="IH211" s="205"/>
      <c r="II211" s="205"/>
      <c r="IJ211" s="120"/>
      <c r="IK211" s="120"/>
      <c r="IL211" s="201"/>
      <c r="IM211" s="120"/>
      <c r="IN211" s="120"/>
      <c r="IO211" s="205"/>
      <c r="IP211" s="205"/>
      <c r="IQ211" s="205"/>
      <c r="IR211" s="205"/>
      <c r="IS211" s="120"/>
      <c r="IT211" s="120"/>
      <c r="IU211" s="120"/>
      <c r="IV211" s="120"/>
      <c r="IW211" s="120"/>
      <c r="IX211" s="205"/>
      <c r="IY211" s="205"/>
      <c r="IZ211" s="205"/>
      <c r="JA211" s="120"/>
      <c r="JB211" s="120"/>
      <c r="JC211" s="120"/>
      <c r="JD211" s="120"/>
      <c r="JE211" s="120"/>
      <c r="JF211" s="205"/>
      <c r="JG211" s="205"/>
      <c r="JH211" s="205"/>
      <c r="JI211" s="120"/>
      <c r="JJ211" s="120"/>
      <c r="JK211" s="120"/>
      <c r="JL211" s="120"/>
      <c r="JM211" s="120"/>
      <c r="JN211" s="205"/>
      <c r="JO211" s="205"/>
      <c r="JP211" s="205"/>
      <c r="JQ211" s="120"/>
      <c r="JR211" s="120"/>
      <c r="JS211" s="120"/>
      <c r="JT211" s="120"/>
      <c r="JU211" s="120"/>
      <c r="JV211" s="205"/>
      <c r="JW211" s="205"/>
      <c r="JX211" s="205"/>
      <c r="JY211" s="205"/>
      <c r="JZ211" s="120"/>
      <c r="KA211" s="120"/>
      <c r="KB211" s="120"/>
      <c r="KC211" s="120"/>
      <c r="KD211" s="120"/>
      <c r="KE211" s="205"/>
      <c r="KF211" s="205"/>
      <c r="KG211" s="205"/>
      <c r="KH211" s="120"/>
      <c r="KI211" s="120"/>
      <c r="KJ211" s="120"/>
      <c r="KK211" s="206"/>
      <c r="KL211" s="120"/>
      <c r="KM211" s="205"/>
      <c r="KN211" s="205"/>
      <c r="KO211" s="205"/>
      <c r="KP211" s="120"/>
      <c r="KQ211" s="120"/>
      <c r="KR211" s="120"/>
      <c r="KS211" s="120"/>
      <c r="KT211" s="120"/>
      <c r="KU211" s="205"/>
      <c r="KV211" s="205"/>
      <c r="KW211" s="205"/>
      <c r="KX211" s="120"/>
      <c r="KY211" s="120"/>
      <c r="KZ211" s="120"/>
      <c r="LA211" s="120"/>
      <c r="LB211" s="120"/>
      <c r="LC211" s="205"/>
      <c r="LD211" s="205"/>
      <c r="LE211" s="205"/>
      <c r="LF211" s="205"/>
      <c r="LG211" s="120"/>
      <c r="LH211" s="120"/>
      <c r="LI211" s="120"/>
      <c r="LJ211" s="120"/>
      <c r="LK211" s="205"/>
      <c r="LL211" s="205"/>
      <c r="LM211" s="205"/>
      <c r="LN211" s="205"/>
      <c r="LO211" s="205"/>
      <c r="LP211" s="120"/>
      <c r="LQ211" s="120"/>
      <c r="LR211" s="120"/>
      <c r="LS211" s="205"/>
      <c r="LT211" s="205"/>
      <c r="LU211" s="205"/>
      <c r="LV211" s="205"/>
      <c r="LW211" s="120"/>
      <c r="LX211" s="120"/>
      <c r="LY211" s="124"/>
      <c r="LZ211" s="120"/>
      <c r="MA211" s="120"/>
      <c r="MB211" s="205"/>
      <c r="MC211" s="205"/>
      <c r="MD211" s="205"/>
      <c r="ME211" s="120"/>
      <c r="MF211" s="120"/>
      <c r="MG211" s="120"/>
      <c r="MH211" s="201"/>
      <c r="MI211" s="205"/>
      <c r="MJ211" s="205"/>
      <c r="MK211" s="205"/>
      <c r="ML211" s="205"/>
      <c r="MM211" s="120"/>
      <c r="MN211" s="120"/>
      <c r="MO211" s="120"/>
      <c r="MP211" s="120"/>
      <c r="MQ211" s="120"/>
      <c r="MR211" s="205"/>
      <c r="MS211" s="205"/>
      <c r="MT211" s="205"/>
      <c r="MU211" s="205"/>
      <c r="MV211" s="120"/>
      <c r="MW211" s="120"/>
      <c r="MX211" s="195"/>
      <c r="MY211" s="120"/>
      <c r="MZ211" s="120"/>
      <c r="NA211" s="205"/>
      <c r="NB211" s="205"/>
      <c r="NC211" s="205"/>
      <c r="ND211" s="120"/>
      <c r="NE211" s="120"/>
      <c r="NF211" s="120"/>
      <c r="NG211" s="120"/>
      <c r="NH211" s="120"/>
      <c r="NI211" s="205"/>
      <c r="NJ211" s="205"/>
      <c r="NK211" s="205"/>
      <c r="NL211" s="120"/>
      <c r="NM211" s="120"/>
      <c r="NN211" s="120"/>
      <c r="NO211" s="120"/>
      <c r="NP211" s="120"/>
      <c r="NQ211" s="205"/>
      <c r="NR211" s="205"/>
      <c r="NS211" s="205"/>
      <c r="NT211" s="217"/>
      <c r="NU211" s="120"/>
      <c r="NV211" s="120"/>
      <c r="NW211" s="120"/>
      <c r="NX211" s="120"/>
      <c r="NY211" s="205"/>
      <c r="NZ211" s="205"/>
      <c r="OA211" s="205"/>
      <c r="OB211" s="205"/>
      <c r="OC211" s="120"/>
      <c r="OD211" s="120"/>
      <c r="OE211" s="120"/>
      <c r="OF211" s="120"/>
      <c r="OG211" s="120"/>
      <c r="OH211" s="205"/>
      <c r="OI211" s="205"/>
      <c r="OJ211" s="205"/>
      <c r="OK211" s="120"/>
      <c r="OL211" s="120"/>
      <c r="OM211" s="120"/>
      <c r="ON211" s="120"/>
      <c r="OO211" s="120"/>
      <c r="OP211" s="205"/>
      <c r="OQ211" s="205"/>
      <c r="OR211" s="205"/>
      <c r="OS211" s="120"/>
      <c r="OT211" s="120"/>
      <c r="OU211" s="120"/>
      <c r="OV211" s="120"/>
      <c r="OW211" s="120"/>
      <c r="OX211" s="205"/>
      <c r="OY211" s="205"/>
      <c r="OZ211" s="205"/>
      <c r="PA211" s="120"/>
      <c r="PB211" s="120"/>
      <c r="PC211" s="120"/>
      <c r="PD211" s="205"/>
      <c r="PE211" s="217"/>
      <c r="PF211" s="205"/>
      <c r="PG211" s="205"/>
      <c r="PH211" s="205"/>
      <c r="PI211" s="120"/>
      <c r="PJ211" s="120"/>
      <c r="PK211" s="120"/>
      <c r="PL211" s="205"/>
      <c r="PM211" s="217"/>
      <c r="PN211" s="205"/>
      <c r="PO211" s="205"/>
      <c r="PP211" s="205"/>
      <c r="PQ211" s="205"/>
      <c r="PR211" s="120"/>
      <c r="PS211" s="207"/>
      <c r="PT211" s="207"/>
      <c r="PU211" s="207"/>
      <c r="PV211" s="207"/>
      <c r="PW211" s="272"/>
      <c r="PX211" s="272"/>
      <c r="PY211" s="205"/>
      <c r="PZ211" s="207"/>
      <c r="QA211" s="207"/>
      <c r="QB211" s="207"/>
      <c r="QC211" s="207"/>
      <c r="QD211" s="207"/>
      <c r="QE211" s="272"/>
      <c r="QF211" s="272"/>
      <c r="QG211" s="205"/>
      <c r="QH211" s="207"/>
      <c r="QI211" s="207"/>
      <c r="QJ211" s="294"/>
      <c r="QK211" s="207"/>
      <c r="QL211" s="207"/>
      <c r="QM211" s="272"/>
      <c r="QN211" s="272"/>
      <c r="QO211" s="205"/>
      <c r="QP211" s="207"/>
      <c r="QQ211" s="120"/>
      <c r="QR211" s="207"/>
      <c r="QS211" s="207"/>
      <c r="QT211" s="207"/>
      <c r="QU211" s="272"/>
      <c r="QV211" s="272"/>
      <c r="QW211" s="205"/>
      <c r="QX211" s="205">
        <f t="shared" si="2139"/>
        <v>0</v>
      </c>
      <c r="QY211" s="120"/>
      <c r="QZ211" s="120"/>
      <c r="RA211" s="120"/>
      <c r="RB211" s="120"/>
      <c r="RC211" s="120"/>
      <c r="RD211" s="272"/>
      <c r="RE211" s="272"/>
      <c r="RF211" s="205">
        <f t="shared" si="2095"/>
        <v>0</v>
      </c>
      <c r="RG211" s="207"/>
      <c r="RH211" s="207"/>
      <c r="RI211" s="207"/>
      <c r="RJ211" s="207"/>
      <c r="RK211" s="207"/>
      <c r="RL211" s="272"/>
      <c r="RM211" s="272"/>
      <c r="RN211" s="205">
        <f t="shared" si="2096"/>
        <v>0</v>
      </c>
      <c r="RO211" s="272"/>
      <c r="RP211" s="272"/>
      <c r="RQ211" s="272"/>
      <c r="RR211" s="272"/>
      <c r="RS211" s="272"/>
      <c r="RT211" s="272"/>
      <c r="RU211" s="272"/>
      <c r="RV211" s="205">
        <f t="shared" si="2097"/>
        <v>0</v>
      </c>
      <c r="RW211" s="207"/>
      <c r="RX211" s="207"/>
      <c r="RY211" s="207"/>
      <c r="RZ211" s="207"/>
      <c r="SA211" s="272"/>
      <c r="SB211" s="272"/>
      <c r="SC211" s="272"/>
      <c r="SD211" s="205">
        <f t="shared" si="2140"/>
        <v>0</v>
      </c>
      <c r="SE211" s="205">
        <f t="shared" si="2141"/>
        <v>0</v>
      </c>
      <c r="SF211" s="207"/>
      <c r="SG211" s="207"/>
      <c r="SH211" s="207"/>
      <c r="SI211" s="207"/>
      <c r="SJ211" s="207"/>
      <c r="SK211" s="272"/>
      <c r="SL211" s="272"/>
      <c r="SM211" s="205">
        <f t="shared" si="2100"/>
        <v>0</v>
      </c>
      <c r="SN211" s="207"/>
      <c r="SO211" s="207"/>
      <c r="SP211" s="207"/>
      <c r="SQ211" s="207"/>
      <c r="SR211" s="207"/>
      <c r="SS211" s="272"/>
      <c r="ST211" s="272"/>
      <c r="SU211" s="205">
        <f t="shared" si="2101"/>
        <v>0</v>
      </c>
      <c r="SV211" s="207"/>
      <c r="SW211" s="207"/>
      <c r="SX211" s="207"/>
      <c r="SY211" s="207"/>
      <c r="SZ211" s="207"/>
      <c r="TA211" s="272"/>
      <c r="TB211" s="272"/>
      <c r="TC211" s="205">
        <f t="shared" si="2102"/>
        <v>0</v>
      </c>
      <c r="TD211" s="207"/>
      <c r="TE211" s="207"/>
      <c r="TF211" s="207"/>
      <c r="TG211" s="207"/>
      <c r="TH211" s="207"/>
      <c r="TI211" s="272"/>
      <c r="TJ211" s="272"/>
      <c r="TK211" s="205">
        <f t="shared" si="2142"/>
        <v>0</v>
      </c>
      <c r="TL211" s="140"/>
      <c r="TM211" s="307">
        <v>135</v>
      </c>
      <c r="TN211" s="140"/>
      <c r="TO211" s="140"/>
      <c r="TP211" s="370"/>
      <c r="TQ211" s="272"/>
      <c r="TR211" s="272"/>
      <c r="TS211" s="205">
        <f t="shared" si="2135"/>
        <v>135</v>
      </c>
      <c r="TT211" s="205">
        <f t="shared" si="2136"/>
        <v>135</v>
      </c>
      <c r="TU211" s="272"/>
      <c r="TV211" s="381">
        <v>850</v>
      </c>
      <c r="TW211" s="207"/>
      <c r="TX211" s="207"/>
      <c r="TY211" s="207"/>
      <c r="TZ211" s="272"/>
      <c r="UA211" s="272"/>
      <c r="UB211" s="205">
        <f t="shared" si="2012"/>
        <v>850</v>
      </c>
      <c r="UC211" s="207"/>
      <c r="UD211" s="207"/>
      <c r="UE211" s="120"/>
      <c r="UF211" s="120"/>
      <c r="UG211" s="207"/>
      <c r="UH211" s="272"/>
      <c r="UI211" s="272"/>
      <c r="UJ211" s="205">
        <f t="shared" si="2013"/>
        <v>0</v>
      </c>
      <c r="UK211" s="207"/>
      <c r="UL211" s="207"/>
      <c r="UM211" s="207"/>
      <c r="UN211" s="207"/>
      <c r="UO211" s="207"/>
      <c r="UP211" s="272"/>
      <c r="UQ211" s="272"/>
      <c r="UR211" s="205">
        <f t="shared" si="2014"/>
        <v>0</v>
      </c>
      <c r="US211" s="207"/>
      <c r="UT211" s="207"/>
      <c r="UU211" s="207"/>
      <c r="UV211" s="207"/>
      <c r="UW211" s="272"/>
      <c r="UX211" s="272"/>
      <c r="UY211" s="272"/>
      <c r="UZ211" s="205">
        <f t="shared" si="2145"/>
        <v>0</v>
      </c>
      <c r="VA211" s="205">
        <f t="shared" si="2146"/>
        <v>850</v>
      </c>
      <c r="VB211" s="207"/>
      <c r="VC211" s="120"/>
      <c r="VD211" s="207"/>
      <c r="VE211" s="207"/>
      <c r="VF211" s="207"/>
      <c r="VG211" s="272"/>
      <c r="VH211" s="272"/>
      <c r="VI211" s="205">
        <f t="shared" si="2005"/>
        <v>0</v>
      </c>
      <c r="VJ211" s="207"/>
      <c r="VK211" s="391">
        <v>135</v>
      </c>
      <c r="VL211" s="207"/>
      <c r="VM211" s="207"/>
      <c r="VN211" s="207"/>
      <c r="VO211" s="272"/>
      <c r="VP211" s="272"/>
      <c r="VQ211" s="205">
        <f t="shared" si="2015"/>
        <v>135</v>
      </c>
      <c r="VR211" s="207"/>
      <c r="VS211" s="207"/>
      <c r="VT211" s="207"/>
      <c r="VU211" s="207"/>
      <c r="VV211" s="385">
        <v>400</v>
      </c>
      <c r="VW211" s="272"/>
      <c r="VX211" s="272"/>
      <c r="VY211" s="205">
        <f t="shared" si="2006"/>
        <v>400</v>
      </c>
      <c r="VZ211" s="207"/>
      <c r="WA211" s="207"/>
      <c r="WB211" s="207"/>
      <c r="WC211" s="207"/>
      <c r="WD211" s="207"/>
      <c r="WE211" s="272"/>
      <c r="WF211" s="272"/>
      <c r="WG211" s="205">
        <f t="shared" si="2007"/>
        <v>0</v>
      </c>
      <c r="WH211" s="205">
        <f t="shared" si="2008"/>
        <v>535</v>
      </c>
      <c r="WI211" s="207"/>
      <c r="WJ211" s="207"/>
      <c r="WK211" s="207"/>
      <c r="WL211" s="207"/>
      <c r="WM211" s="207"/>
      <c r="WN211" s="272"/>
      <c r="WO211" s="272"/>
      <c r="WP211" s="205">
        <f t="shared" si="2016"/>
        <v>0</v>
      </c>
      <c r="WQ211" s="207"/>
      <c r="WR211" s="207"/>
      <c r="WS211" s="207"/>
      <c r="WT211" s="207"/>
      <c r="WU211" s="207"/>
      <c r="WV211" s="272"/>
      <c r="WW211" s="272"/>
      <c r="WX211" s="205">
        <f t="shared" si="2017"/>
        <v>0</v>
      </c>
      <c r="WY211" s="207"/>
      <c r="WZ211" s="207"/>
      <c r="XA211" s="207"/>
      <c r="XB211" s="207"/>
      <c r="XC211" s="272"/>
      <c r="XD211" s="272"/>
      <c r="XE211" s="272"/>
      <c r="XF211" s="205">
        <f t="shared" si="2009"/>
        <v>0</v>
      </c>
      <c r="XG211" s="207"/>
      <c r="XH211" s="207"/>
      <c r="XI211" s="207"/>
      <c r="XJ211" s="207"/>
      <c r="XK211" s="207"/>
      <c r="XL211" s="272"/>
      <c r="XM211" s="272"/>
      <c r="XN211" s="205">
        <f t="shared" si="2105"/>
        <v>0</v>
      </c>
      <c r="XO211" s="207"/>
      <c r="XP211" s="207"/>
      <c r="XQ211" s="207"/>
      <c r="XR211" s="207"/>
      <c r="XS211" s="207"/>
      <c r="XT211" s="272"/>
      <c r="XU211" s="272"/>
      <c r="XV211" s="205">
        <f t="shared" si="2137"/>
        <v>0</v>
      </c>
      <c r="XW211" s="205">
        <f t="shared" si="2138"/>
        <v>0</v>
      </c>
      <c r="XX211" s="207"/>
      <c r="XY211" s="207"/>
      <c r="XZ211" s="207"/>
      <c r="YA211" s="207"/>
      <c r="YB211" s="207"/>
      <c r="YC211" s="272"/>
      <c r="YD211" s="272"/>
      <c r="YE211" s="205">
        <f t="shared" si="2018"/>
        <v>0</v>
      </c>
      <c r="YF211" s="207"/>
      <c r="YG211" s="207"/>
      <c r="YH211" s="207"/>
      <c r="YI211" s="207"/>
      <c r="YJ211" s="207"/>
      <c r="YK211" s="272"/>
      <c r="YL211" s="272"/>
      <c r="YM211" s="205">
        <f t="shared" si="2019"/>
        <v>0</v>
      </c>
      <c r="YN211" s="207"/>
      <c r="YO211" s="207"/>
      <c r="YP211" s="207"/>
      <c r="YQ211" s="207"/>
      <c r="YR211" s="207"/>
      <c r="YS211" s="272"/>
      <c r="YT211" s="272"/>
      <c r="YU211" s="205">
        <f t="shared" si="2020"/>
        <v>0</v>
      </c>
      <c r="YV211" s="207"/>
      <c r="YW211" s="207"/>
      <c r="YX211" s="207"/>
      <c r="YY211" s="207"/>
      <c r="YZ211" s="207"/>
      <c r="ZA211" s="272"/>
      <c r="ZB211" s="272"/>
      <c r="ZC211" s="205">
        <f t="shared" si="2021"/>
        <v>0</v>
      </c>
      <c r="ZD211" s="205">
        <f t="shared" si="2022"/>
        <v>0</v>
      </c>
      <c r="ZE211" s="207"/>
      <c r="ZF211" s="207"/>
      <c r="ZG211" s="207"/>
      <c r="ZH211" s="207"/>
      <c r="ZI211" s="207"/>
      <c r="ZJ211" s="272"/>
      <c r="ZK211" s="272"/>
      <c r="ZL211" s="205">
        <f t="shared" si="2023"/>
        <v>0</v>
      </c>
      <c r="ZM211" s="207"/>
      <c r="ZN211" s="207"/>
      <c r="ZO211" s="207"/>
      <c r="ZP211" s="207"/>
      <c r="ZQ211" s="207"/>
      <c r="ZR211" s="272"/>
      <c r="ZS211" s="272"/>
      <c r="ZT211" s="205">
        <f t="shared" si="2010"/>
        <v>0</v>
      </c>
      <c r="ZU211" s="207"/>
      <c r="ZV211" s="207"/>
      <c r="ZW211" s="207"/>
      <c r="ZX211" s="207"/>
      <c r="ZY211" s="207"/>
      <c r="ZZ211" s="272"/>
      <c r="AAA211" s="272"/>
      <c r="AAB211" s="205">
        <f t="shared" si="2024"/>
        <v>0</v>
      </c>
      <c r="AAC211" s="207"/>
      <c r="AAD211" s="207"/>
      <c r="AAE211" s="207"/>
      <c r="AAF211" s="207"/>
      <c r="AAG211" s="207"/>
      <c r="AAH211" s="272"/>
      <c r="AAI211" s="272"/>
      <c r="AAJ211" s="205">
        <f t="shared" si="2011"/>
        <v>0</v>
      </c>
      <c r="AAK211" s="207"/>
      <c r="AAL211" s="207"/>
      <c r="AAM211" s="207"/>
      <c r="AAN211" s="207"/>
      <c r="AAO211" s="207"/>
      <c r="AAP211" s="272"/>
      <c r="AAQ211" s="272"/>
      <c r="AAR211" s="205">
        <f t="shared" si="2025"/>
        <v>0</v>
      </c>
      <c r="AAS211" s="205">
        <f t="shared" si="2026"/>
        <v>0</v>
      </c>
    </row>
    <row r="212" spans="1:721" ht="80.099999999999994" customHeight="1">
      <c r="A212" s="117">
        <v>5</v>
      </c>
      <c r="B212" s="309" t="s">
        <v>915</v>
      </c>
      <c r="C212" s="362" t="s">
        <v>896</v>
      </c>
      <c r="D212" s="349" t="s">
        <v>861</v>
      </c>
      <c r="E212" s="130" t="s">
        <v>4</v>
      </c>
      <c r="F212" s="120"/>
      <c r="G212" s="120"/>
      <c r="H212" s="120"/>
      <c r="I212" s="120"/>
      <c r="J212" s="120"/>
      <c r="K212" s="209"/>
      <c r="L212" s="205"/>
      <c r="M212" s="205">
        <f t="shared" si="2108"/>
        <v>0</v>
      </c>
      <c r="N212" s="120"/>
      <c r="O212" s="120"/>
      <c r="P212" s="120"/>
      <c r="Q212" s="120"/>
      <c r="R212" s="120"/>
      <c r="S212" s="209"/>
      <c r="T212" s="205"/>
      <c r="U212" s="205"/>
      <c r="V212" s="120"/>
      <c r="W212" s="120"/>
      <c r="X212" s="120"/>
      <c r="Y212" s="120"/>
      <c r="Z212" s="120"/>
      <c r="AA212" s="209"/>
      <c r="AB212" s="205"/>
      <c r="AC212" s="205"/>
      <c r="AD212" s="205"/>
      <c r="AE212" s="205"/>
      <c r="AF212" s="205"/>
      <c r="AG212" s="205"/>
      <c r="AH212" s="205"/>
      <c r="AI212" s="209"/>
      <c r="AJ212" s="205"/>
      <c r="AK212" s="205"/>
      <c r="AL212" s="205"/>
      <c r="AM212" s="120"/>
      <c r="AN212" s="120"/>
      <c r="AO212" s="120"/>
      <c r="AP212" s="120"/>
      <c r="AQ212" s="120"/>
      <c r="AR212" s="209"/>
      <c r="AS212" s="205"/>
      <c r="AT212" s="205"/>
      <c r="AU212" s="120"/>
      <c r="AV212" s="120"/>
      <c r="AW212" s="120"/>
      <c r="AX212" s="120"/>
      <c r="AY212" s="120"/>
      <c r="AZ212" s="209"/>
      <c r="BA212" s="205"/>
      <c r="BB212" s="205"/>
      <c r="BC212" s="120"/>
      <c r="BD212" s="120"/>
      <c r="BE212" s="120"/>
      <c r="BF212" s="120"/>
      <c r="BG212" s="120"/>
      <c r="BH212" s="209"/>
      <c r="BI212" s="205"/>
      <c r="BJ212" s="205"/>
      <c r="BK212" s="120"/>
      <c r="BL212" s="120"/>
      <c r="BM212" s="217"/>
      <c r="BN212" s="120"/>
      <c r="BO212" s="205"/>
      <c r="BP212" s="209"/>
      <c r="BQ212" s="205"/>
      <c r="BR212" s="205"/>
      <c r="BS212" s="205"/>
      <c r="BT212" s="120"/>
      <c r="BU212" s="250"/>
      <c r="BV212" s="120"/>
      <c r="BW212" s="120"/>
      <c r="BX212" s="120"/>
      <c r="BY212" s="209"/>
      <c r="BZ212" s="205"/>
      <c r="CA212" s="205"/>
      <c r="CB212" s="120"/>
      <c r="CC212" s="120"/>
      <c r="CD212" s="120"/>
      <c r="CE212" s="120"/>
      <c r="CF212" s="120"/>
      <c r="CG212" s="209"/>
      <c r="CH212" s="205"/>
      <c r="CI212" s="205"/>
      <c r="CJ212" s="120"/>
      <c r="CK212" s="120"/>
      <c r="CL212" s="250"/>
      <c r="CM212" s="120"/>
      <c r="CN212" s="120"/>
      <c r="CO212" s="209"/>
      <c r="CP212" s="205"/>
      <c r="CQ212" s="205"/>
      <c r="CR212" s="120"/>
      <c r="CS212" s="120"/>
      <c r="CT212" s="120"/>
      <c r="CU212" s="120"/>
      <c r="CV212" s="120"/>
      <c r="CW212" s="209"/>
      <c r="CX212" s="205"/>
      <c r="CY212" s="205"/>
      <c r="CZ212" s="120"/>
      <c r="DA212" s="120"/>
      <c r="DB212" s="120"/>
      <c r="DC212" s="205"/>
      <c r="DD212" s="205"/>
      <c r="DE212" s="209"/>
      <c r="DF212" s="205"/>
      <c r="DG212" s="205"/>
      <c r="DH212" s="205"/>
      <c r="DI212" s="120"/>
      <c r="DJ212" s="120"/>
      <c r="DK212" s="120"/>
      <c r="DL212" s="120"/>
      <c r="DM212" s="120"/>
      <c r="DN212" s="209"/>
      <c r="DO212" s="205"/>
      <c r="DP212" s="205"/>
      <c r="DQ212" s="217"/>
      <c r="DR212" s="120"/>
      <c r="DS212" s="120"/>
      <c r="DT212" s="120"/>
      <c r="DU212" s="120"/>
      <c r="DV212" s="209"/>
      <c r="DW212" s="205"/>
      <c r="DX212" s="205"/>
      <c r="DY212" s="120"/>
      <c r="DZ212" s="120"/>
      <c r="EA212" s="120"/>
      <c r="EB212" s="120"/>
      <c r="EC212" s="120"/>
      <c r="ED212" s="209"/>
      <c r="EE212" s="205"/>
      <c r="EF212" s="205"/>
      <c r="EG212" s="120"/>
      <c r="EH212" s="120"/>
      <c r="EI212" s="120"/>
      <c r="EJ212" s="205"/>
      <c r="EK212" s="205"/>
      <c r="EL212" s="209"/>
      <c r="EM212" s="205"/>
      <c r="EN212" s="205"/>
      <c r="EO212" s="205"/>
      <c r="EP212" s="120"/>
      <c r="EQ212" s="250"/>
      <c r="ER212" s="120"/>
      <c r="ES212" s="120"/>
      <c r="ET212" s="120"/>
      <c r="EU212" s="209"/>
      <c r="EV212" s="205"/>
      <c r="EW212" s="205"/>
      <c r="EX212" s="120"/>
      <c r="EY212" s="120"/>
      <c r="EZ212" s="120"/>
      <c r="FA212" s="120"/>
      <c r="FB212" s="120"/>
      <c r="FC212" s="209"/>
      <c r="FD212" s="205"/>
      <c r="FE212" s="205"/>
      <c r="FF212" s="120"/>
      <c r="FG212" s="195"/>
      <c r="FH212" s="120"/>
      <c r="FI212" s="120"/>
      <c r="FJ212" s="120"/>
      <c r="FK212" s="209"/>
      <c r="FL212" s="205"/>
      <c r="FM212" s="205"/>
      <c r="FN212" s="120"/>
      <c r="FO212" s="120"/>
      <c r="FP212" s="120"/>
      <c r="FQ212" s="120"/>
      <c r="FR212" s="205"/>
      <c r="FS212" s="209"/>
      <c r="FT212" s="205"/>
      <c r="FU212" s="205"/>
      <c r="FV212" s="205"/>
      <c r="FW212" s="120"/>
      <c r="FX212" s="120"/>
      <c r="FY212" s="120"/>
      <c r="FZ212" s="120"/>
      <c r="GA212" s="120"/>
      <c r="GB212" s="209"/>
      <c r="GC212" s="205"/>
      <c r="GD212" s="205"/>
      <c r="GE212" s="120"/>
      <c r="GF212" s="120"/>
      <c r="GG212" s="120"/>
      <c r="GH212" s="120"/>
      <c r="GI212" s="120"/>
      <c r="GJ212" s="209"/>
      <c r="GK212" s="205"/>
      <c r="GL212" s="205"/>
      <c r="GM212" s="120"/>
      <c r="GN212" s="120"/>
      <c r="GO212" s="120"/>
      <c r="GP212" s="120"/>
      <c r="GQ212" s="120"/>
      <c r="GR212" s="209"/>
      <c r="GS212" s="205"/>
      <c r="GT212" s="205"/>
      <c r="GU212" s="120"/>
      <c r="GV212" s="120"/>
      <c r="GW212" s="120"/>
      <c r="GX212" s="120"/>
      <c r="GY212" s="120"/>
      <c r="GZ212" s="209"/>
      <c r="HA212" s="205"/>
      <c r="HB212" s="205"/>
      <c r="HC212" s="120"/>
      <c r="HD212" s="120"/>
      <c r="HE212" s="120"/>
      <c r="HF212" s="120"/>
      <c r="HG212" s="120"/>
      <c r="HH212" s="209"/>
      <c r="HI212" s="205"/>
      <c r="HJ212" s="205"/>
      <c r="HK212" s="205"/>
      <c r="HL212" s="124"/>
      <c r="HM212" s="120"/>
      <c r="HN212" s="120"/>
      <c r="HO212" s="123"/>
      <c r="HP212" s="120"/>
      <c r="HQ212" s="205"/>
      <c r="HR212" s="205"/>
      <c r="HS212" s="205"/>
      <c r="HT212" s="120"/>
      <c r="HU212" s="120"/>
      <c r="HV212" s="120"/>
      <c r="HW212" s="120"/>
      <c r="HX212" s="120"/>
      <c r="HY212" s="205"/>
      <c r="HZ212" s="205"/>
      <c r="IA212" s="205"/>
      <c r="IB212" s="120"/>
      <c r="IC212" s="120"/>
      <c r="ID212" s="120"/>
      <c r="IE212" s="120"/>
      <c r="IF212" s="120"/>
      <c r="IG212" s="205"/>
      <c r="IH212" s="205"/>
      <c r="II212" s="205"/>
      <c r="IJ212" s="120"/>
      <c r="IK212" s="120"/>
      <c r="IL212" s="201"/>
      <c r="IM212" s="120"/>
      <c r="IN212" s="120"/>
      <c r="IO212" s="205"/>
      <c r="IP212" s="205"/>
      <c r="IQ212" s="205"/>
      <c r="IR212" s="205"/>
      <c r="IS212" s="120"/>
      <c r="IT212" s="120"/>
      <c r="IU212" s="120"/>
      <c r="IV212" s="120"/>
      <c r="IW212" s="120"/>
      <c r="IX212" s="205"/>
      <c r="IY212" s="205"/>
      <c r="IZ212" s="205"/>
      <c r="JA212" s="120"/>
      <c r="JB212" s="120"/>
      <c r="JC212" s="120"/>
      <c r="JD212" s="120"/>
      <c r="JE212" s="120"/>
      <c r="JF212" s="205"/>
      <c r="JG212" s="205"/>
      <c r="JH212" s="205"/>
      <c r="JI212" s="120"/>
      <c r="JJ212" s="120"/>
      <c r="JK212" s="120"/>
      <c r="JL212" s="120"/>
      <c r="JM212" s="120"/>
      <c r="JN212" s="205"/>
      <c r="JO212" s="205"/>
      <c r="JP212" s="205"/>
      <c r="JQ212" s="120"/>
      <c r="JR212" s="120"/>
      <c r="JS212" s="120"/>
      <c r="JT212" s="120"/>
      <c r="JU212" s="120"/>
      <c r="JV212" s="205"/>
      <c r="JW212" s="205"/>
      <c r="JX212" s="205"/>
      <c r="JY212" s="205"/>
      <c r="JZ212" s="120"/>
      <c r="KA212" s="120"/>
      <c r="KB212" s="120"/>
      <c r="KC212" s="120"/>
      <c r="KD212" s="120"/>
      <c r="KE212" s="205"/>
      <c r="KF212" s="205"/>
      <c r="KG212" s="205"/>
      <c r="KH212" s="120"/>
      <c r="KI212" s="120"/>
      <c r="KJ212" s="120"/>
      <c r="KK212" s="206"/>
      <c r="KL212" s="120"/>
      <c r="KM212" s="205"/>
      <c r="KN212" s="205"/>
      <c r="KO212" s="205"/>
      <c r="KP212" s="120"/>
      <c r="KQ212" s="120"/>
      <c r="KR212" s="120"/>
      <c r="KS212" s="120"/>
      <c r="KT212" s="120"/>
      <c r="KU212" s="205"/>
      <c r="KV212" s="205"/>
      <c r="KW212" s="205"/>
      <c r="KX212" s="120"/>
      <c r="KY212" s="120"/>
      <c r="KZ212" s="120"/>
      <c r="LA212" s="120"/>
      <c r="LB212" s="120"/>
      <c r="LC212" s="205"/>
      <c r="LD212" s="205"/>
      <c r="LE212" s="205"/>
      <c r="LF212" s="205"/>
      <c r="LG212" s="120"/>
      <c r="LH212" s="120"/>
      <c r="LI212" s="120"/>
      <c r="LJ212" s="120"/>
      <c r="LK212" s="205"/>
      <c r="LL212" s="205"/>
      <c r="LM212" s="205"/>
      <c r="LN212" s="205"/>
      <c r="LO212" s="205"/>
      <c r="LP212" s="120"/>
      <c r="LQ212" s="120"/>
      <c r="LR212" s="120"/>
      <c r="LS212" s="205"/>
      <c r="LT212" s="205"/>
      <c r="LU212" s="205"/>
      <c r="LV212" s="205"/>
      <c r="LW212" s="120"/>
      <c r="LX212" s="120"/>
      <c r="LY212" s="124"/>
      <c r="LZ212" s="120"/>
      <c r="MA212" s="120"/>
      <c r="MB212" s="205"/>
      <c r="MC212" s="205"/>
      <c r="MD212" s="205"/>
      <c r="ME212" s="120"/>
      <c r="MF212" s="120"/>
      <c r="MG212" s="120"/>
      <c r="MH212" s="201"/>
      <c r="MI212" s="205"/>
      <c r="MJ212" s="205"/>
      <c r="MK212" s="205"/>
      <c r="ML212" s="205"/>
      <c r="MM212" s="120"/>
      <c r="MN212" s="120"/>
      <c r="MO212" s="120"/>
      <c r="MP212" s="120"/>
      <c r="MQ212" s="120"/>
      <c r="MR212" s="205"/>
      <c r="MS212" s="205"/>
      <c r="MT212" s="205"/>
      <c r="MU212" s="205"/>
      <c r="MV212" s="120"/>
      <c r="MW212" s="120"/>
      <c r="MX212" s="195"/>
      <c r="MY212" s="120"/>
      <c r="MZ212" s="120"/>
      <c r="NA212" s="205"/>
      <c r="NB212" s="205"/>
      <c r="NC212" s="205"/>
      <c r="ND212" s="120"/>
      <c r="NE212" s="120"/>
      <c r="NF212" s="120"/>
      <c r="NG212" s="120"/>
      <c r="NH212" s="120"/>
      <c r="NI212" s="205"/>
      <c r="NJ212" s="205"/>
      <c r="NK212" s="205"/>
      <c r="NL212" s="120"/>
      <c r="NM212" s="120"/>
      <c r="NN212" s="120"/>
      <c r="NO212" s="120"/>
      <c r="NP212" s="120"/>
      <c r="NQ212" s="205"/>
      <c r="NR212" s="205"/>
      <c r="NS212" s="205"/>
      <c r="NT212" s="217"/>
      <c r="NU212" s="120"/>
      <c r="NV212" s="120"/>
      <c r="NW212" s="120"/>
      <c r="NX212" s="120"/>
      <c r="NY212" s="205"/>
      <c r="NZ212" s="205"/>
      <c r="OA212" s="205"/>
      <c r="OB212" s="205"/>
      <c r="OC212" s="120"/>
      <c r="OD212" s="120"/>
      <c r="OE212" s="120"/>
      <c r="OF212" s="120"/>
      <c r="OG212" s="120"/>
      <c r="OH212" s="205"/>
      <c r="OI212" s="205"/>
      <c r="OJ212" s="205"/>
      <c r="OK212" s="120"/>
      <c r="OL212" s="120"/>
      <c r="OM212" s="120"/>
      <c r="ON212" s="120"/>
      <c r="OO212" s="120"/>
      <c r="OP212" s="205"/>
      <c r="OQ212" s="205"/>
      <c r="OR212" s="205"/>
      <c r="OS212" s="120"/>
      <c r="OT212" s="120"/>
      <c r="OU212" s="120"/>
      <c r="OV212" s="120"/>
      <c r="OW212" s="120"/>
      <c r="OX212" s="205"/>
      <c r="OY212" s="205"/>
      <c r="OZ212" s="205"/>
      <c r="PA212" s="120"/>
      <c r="PB212" s="120"/>
      <c r="PC212" s="120"/>
      <c r="PD212" s="205"/>
      <c r="PE212" s="217"/>
      <c r="PF212" s="205"/>
      <c r="PG212" s="205"/>
      <c r="PH212" s="205"/>
      <c r="PI212" s="120"/>
      <c r="PJ212" s="120"/>
      <c r="PK212" s="120"/>
      <c r="PL212" s="205"/>
      <c r="PM212" s="217"/>
      <c r="PN212" s="205"/>
      <c r="PO212" s="205"/>
      <c r="PP212" s="205"/>
      <c r="PQ212" s="205"/>
      <c r="PR212" s="120"/>
      <c r="PS212" s="207"/>
      <c r="PT212" s="207"/>
      <c r="PU212" s="207"/>
      <c r="PV212" s="207"/>
      <c r="PW212" s="272"/>
      <c r="PX212" s="272"/>
      <c r="PY212" s="205"/>
      <c r="PZ212" s="207"/>
      <c r="QA212" s="207"/>
      <c r="QB212" s="207"/>
      <c r="QC212" s="207"/>
      <c r="QD212" s="207"/>
      <c r="QE212" s="272"/>
      <c r="QF212" s="272"/>
      <c r="QG212" s="205"/>
      <c r="QH212" s="207"/>
      <c r="QI212" s="207"/>
      <c r="QJ212" s="294"/>
      <c r="QK212" s="207"/>
      <c r="QL212" s="207"/>
      <c r="QM212" s="272"/>
      <c r="QN212" s="272"/>
      <c r="QO212" s="205"/>
      <c r="QP212" s="207"/>
      <c r="QQ212" s="120"/>
      <c r="QR212" s="207"/>
      <c r="QS212" s="207"/>
      <c r="QT212" s="207"/>
      <c r="QU212" s="272"/>
      <c r="QV212" s="272"/>
      <c r="QW212" s="205"/>
      <c r="QX212" s="205">
        <f t="shared" si="2139"/>
        <v>0</v>
      </c>
      <c r="QY212" s="120"/>
      <c r="QZ212" s="120"/>
      <c r="RA212" s="120"/>
      <c r="RB212" s="120"/>
      <c r="RC212" s="120"/>
      <c r="RD212" s="272"/>
      <c r="RE212" s="272"/>
      <c r="RF212" s="205">
        <f t="shared" si="2095"/>
        <v>0</v>
      </c>
      <c r="RG212" s="207"/>
      <c r="RH212" s="207"/>
      <c r="RI212" s="207"/>
      <c r="RJ212" s="207"/>
      <c r="RK212" s="207"/>
      <c r="RL212" s="272"/>
      <c r="RM212" s="272"/>
      <c r="RN212" s="205">
        <f t="shared" si="2096"/>
        <v>0</v>
      </c>
      <c r="RO212" s="272"/>
      <c r="RP212" s="272"/>
      <c r="RQ212" s="272"/>
      <c r="RR212" s="272"/>
      <c r="RS212" s="272"/>
      <c r="RT212" s="272"/>
      <c r="RU212" s="272"/>
      <c r="RV212" s="205">
        <f t="shared" si="2097"/>
        <v>0</v>
      </c>
      <c r="RW212" s="207"/>
      <c r="RX212" s="207"/>
      <c r="RY212" s="207"/>
      <c r="RZ212" s="207"/>
      <c r="SA212" s="272"/>
      <c r="SB212" s="272"/>
      <c r="SC212" s="272"/>
      <c r="SD212" s="205">
        <f t="shared" si="2140"/>
        <v>0</v>
      </c>
      <c r="SE212" s="205">
        <f t="shared" si="2141"/>
        <v>0</v>
      </c>
      <c r="SF212" s="207"/>
      <c r="SG212" s="207"/>
      <c r="SH212" s="207"/>
      <c r="SI212" s="207"/>
      <c r="SJ212" s="207"/>
      <c r="SK212" s="272"/>
      <c r="SL212" s="272"/>
      <c r="SM212" s="205">
        <f t="shared" si="2100"/>
        <v>0</v>
      </c>
      <c r="SN212" s="207"/>
      <c r="SO212" s="207"/>
      <c r="SP212" s="207"/>
      <c r="SQ212" s="207"/>
      <c r="SR212" s="207"/>
      <c r="SS212" s="272"/>
      <c r="ST212" s="272"/>
      <c r="SU212" s="205">
        <f t="shared" si="2101"/>
        <v>0</v>
      </c>
      <c r="SV212" s="207"/>
      <c r="SW212" s="207"/>
      <c r="SX212" s="207"/>
      <c r="SY212" s="207"/>
      <c r="SZ212" s="207"/>
      <c r="TA212" s="272"/>
      <c r="TB212" s="272"/>
      <c r="TC212" s="205">
        <f t="shared" si="2102"/>
        <v>0</v>
      </c>
      <c r="TD212" s="207"/>
      <c r="TE212" s="207"/>
      <c r="TF212" s="207"/>
      <c r="TG212" s="207"/>
      <c r="TH212" s="207"/>
      <c r="TI212" s="123">
        <v>160</v>
      </c>
      <c r="TJ212" s="272"/>
      <c r="TK212" s="205">
        <f t="shared" si="2142"/>
        <v>160</v>
      </c>
      <c r="TL212" s="140"/>
      <c r="TM212" s="123">
        <v>340</v>
      </c>
      <c r="TN212" s="140"/>
      <c r="TO212" s="140"/>
      <c r="TP212" s="370"/>
      <c r="TQ212" s="272"/>
      <c r="TR212" s="272"/>
      <c r="TS212" s="205">
        <f t="shared" si="2135"/>
        <v>340</v>
      </c>
      <c r="TT212" s="205">
        <f t="shared" si="2136"/>
        <v>500</v>
      </c>
      <c r="TU212" s="272"/>
      <c r="TV212" s="207"/>
      <c r="TW212" s="207"/>
      <c r="TX212" s="207"/>
      <c r="TY212" s="207"/>
      <c r="TZ212" s="272"/>
      <c r="UA212" s="272"/>
      <c r="UB212" s="205">
        <f t="shared" si="2012"/>
        <v>0</v>
      </c>
      <c r="UC212" s="207"/>
      <c r="UD212" s="382">
        <v>160</v>
      </c>
      <c r="UE212" s="120"/>
      <c r="UF212" s="378">
        <v>1300</v>
      </c>
      <c r="UG212" s="207"/>
      <c r="UH212" s="272"/>
      <c r="UI212" s="272"/>
      <c r="UJ212" s="205">
        <f t="shared" si="2013"/>
        <v>1460</v>
      </c>
      <c r="UK212" s="207"/>
      <c r="UL212" s="207"/>
      <c r="UM212" s="207"/>
      <c r="UN212" s="207"/>
      <c r="UO212" s="207"/>
      <c r="UP212" s="272"/>
      <c r="UQ212" s="272"/>
      <c r="UR212" s="205">
        <f t="shared" si="2014"/>
        <v>0</v>
      </c>
      <c r="US212" s="207"/>
      <c r="UT212" s="207"/>
      <c r="UU212" s="207"/>
      <c r="UV212" s="207"/>
      <c r="UW212" s="272"/>
      <c r="UX212" s="272"/>
      <c r="UY212" s="272"/>
      <c r="UZ212" s="205">
        <f t="shared" si="2145"/>
        <v>0</v>
      </c>
      <c r="VA212" s="205">
        <f t="shared" si="2146"/>
        <v>1460</v>
      </c>
      <c r="VB212" s="207"/>
      <c r="VC212" s="120"/>
      <c r="VD212" s="207"/>
      <c r="VE212" s="207"/>
      <c r="VF212" s="207"/>
      <c r="VG212" s="272"/>
      <c r="VH212" s="272"/>
      <c r="VI212" s="205">
        <f t="shared" si="2005"/>
        <v>0</v>
      </c>
      <c r="VJ212" s="207"/>
      <c r="VK212" s="207"/>
      <c r="VL212" s="207"/>
      <c r="VM212" s="207"/>
      <c r="VN212" s="207"/>
      <c r="VO212" s="272"/>
      <c r="VP212" s="272"/>
      <c r="VQ212" s="205">
        <f t="shared" si="2015"/>
        <v>0</v>
      </c>
      <c r="VR212" s="207"/>
      <c r="VS212" s="207"/>
      <c r="VT212" s="207"/>
      <c r="VU212" s="207"/>
      <c r="VV212" s="207"/>
      <c r="VW212" s="272"/>
      <c r="VX212" s="272"/>
      <c r="VY212" s="205">
        <f t="shared" si="2006"/>
        <v>0</v>
      </c>
      <c r="VZ212" s="207"/>
      <c r="WA212" s="207"/>
      <c r="WB212" s="207"/>
      <c r="WC212" s="207"/>
      <c r="WD212" s="207"/>
      <c r="WE212" s="272"/>
      <c r="WF212" s="272"/>
      <c r="WG212" s="205">
        <f t="shared" si="2007"/>
        <v>0</v>
      </c>
      <c r="WH212" s="205">
        <f t="shared" si="2008"/>
        <v>0</v>
      </c>
      <c r="WI212" s="207"/>
      <c r="WJ212" s="207"/>
      <c r="WK212" s="207"/>
      <c r="WL212" s="207"/>
      <c r="WM212" s="207"/>
      <c r="WN212" s="272"/>
      <c r="WO212" s="272"/>
      <c r="WP212" s="205">
        <f t="shared" si="2016"/>
        <v>0</v>
      </c>
      <c r="WQ212" s="207"/>
      <c r="WR212" s="207"/>
      <c r="WS212" s="392">
        <v>160</v>
      </c>
      <c r="WT212" s="207"/>
      <c r="WU212" s="124">
        <v>500</v>
      </c>
      <c r="WV212" s="272"/>
      <c r="WW212" s="272"/>
      <c r="WX212" s="205">
        <f t="shared" si="2017"/>
        <v>660</v>
      </c>
      <c r="WY212" s="207"/>
      <c r="WZ212" s="207"/>
      <c r="XA212" s="120"/>
      <c r="XB212" s="207"/>
      <c r="XC212" s="272"/>
      <c r="XD212" s="272"/>
      <c r="XE212" s="272"/>
      <c r="XF212" s="205">
        <f t="shared" si="2009"/>
        <v>0</v>
      </c>
      <c r="XG212" s="207"/>
      <c r="XH212" s="207"/>
      <c r="XI212" s="207"/>
      <c r="XJ212" s="207"/>
      <c r="XK212" s="207"/>
      <c r="XL212" s="272"/>
      <c r="XM212" s="272"/>
      <c r="XN212" s="205">
        <f t="shared" si="2105"/>
        <v>0</v>
      </c>
      <c r="XO212" s="207"/>
      <c r="XP212" s="207"/>
      <c r="XQ212" s="207"/>
      <c r="XR212" s="207"/>
      <c r="XS212" s="207"/>
      <c r="XT212" s="272"/>
      <c r="XU212" s="272"/>
      <c r="XV212" s="205">
        <f t="shared" si="2137"/>
        <v>0</v>
      </c>
      <c r="XW212" s="205">
        <f t="shared" si="2138"/>
        <v>660</v>
      </c>
      <c r="XX212" s="207"/>
      <c r="XY212" s="207"/>
      <c r="XZ212" s="207"/>
      <c r="YA212" s="207"/>
      <c r="YB212" s="207"/>
      <c r="YC212" s="272"/>
      <c r="YD212" s="272"/>
      <c r="YE212" s="205">
        <f t="shared" si="2018"/>
        <v>0</v>
      </c>
      <c r="YF212" s="207"/>
      <c r="YG212" s="207"/>
      <c r="YH212" s="207"/>
      <c r="YI212" s="207"/>
      <c r="YJ212" s="207"/>
      <c r="YK212" s="272"/>
      <c r="YL212" s="272"/>
      <c r="YM212" s="205">
        <f t="shared" si="2019"/>
        <v>0</v>
      </c>
      <c r="YN212" s="207"/>
      <c r="YO212" s="207"/>
      <c r="YP212" s="207"/>
      <c r="YQ212" s="207"/>
      <c r="YR212" s="207"/>
      <c r="YS212" s="272"/>
      <c r="YT212" s="272"/>
      <c r="YU212" s="205">
        <f t="shared" si="2020"/>
        <v>0</v>
      </c>
      <c r="YV212" s="207"/>
      <c r="YW212" s="207"/>
      <c r="YX212" s="207"/>
      <c r="YY212" s="207"/>
      <c r="YZ212" s="207"/>
      <c r="ZA212" s="272"/>
      <c r="ZB212" s="272"/>
      <c r="ZC212" s="205">
        <f t="shared" si="2021"/>
        <v>0</v>
      </c>
      <c r="ZD212" s="205">
        <f t="shared" si="2022"/>
        <v>660</v>
      </c>
      <c r="ZE212" s="207"/>
      <c r="ZF212" s="207"/>
      <c r="ZG212" s="207"/>
      <c r="ZH212" s="207"/>
      <c r="ZI212" s="207"/>
      <c r="ZJ212" s="272"/>
      <c r="ZK212" s="272"/>
      <c r="ZL212" s="205">
        <f t="shared" si="2023"/>
        <v>0</v>
      </c>
      <c r="ZM212" s="207"/>
      <c r="ZN212" s="207"/>
      <c r="ZO212" s="207"/>
      <c r="ZP212" s="207"/>
      <c r="ZQ212" s="207"/>
      <c r="ZR212" s="272"/>
      <c r="ZS212" s="272"/>
      <c r="ZT212" s="205">
        <f t="shared" si="2010"/>
        <v>0</v>
      </c>
      <c r="ZU212" s="207"/>
      <c r="ZV212" s="207"/>
      <c r="ZW212" s="207"/>
      <c r="ZX212" s="207"/>
      <c r="ZY212" s="207"/>
      <c r="ZZ212" s="272"/>
      <c r="AAA212" s="272"/>
      <c r="AAB212" s="205">
        <f t="shared" si="2024"/>
        <v>0</v>
      </c>
      <c r="AAC212" s="207"/>
      <c r="AAD212" s="207"/>
      <c r="AAE212" s="207"/>
      <c r="AAF212" s="207"/>
      <c r="AAG212" s="207"/>
      <c r="AAH212" s="272"/>
      <c r="AAI212" s="272"/>
      <c r="AAJ212" s="205">
        <f t="shared" si="2011"/>
        <v>0</v>
      </c>
      <c r="AAK212" s="207"/>
      <c r="AAL212" s="207"/>
      <c r="AAM212" s="207"/>
      <c r="AAN212" s="207"/>
      <c r="AAO212" s="207"/>
      <c r="AAP212" s="272"/>
      <c r="AAQ212" s="272"/>
      <c r="AAR212" s="205">
        <f t="shared" si="2025"/>
        <v>0</v>
      </c>
      <c r="AAS212" s="205">
        <f t="shared" si="2026"/>
        <v>0</v>
      </c>
    </row>
    <row r="213" spans="1:721" ht="86.1" customHeight="1">
      <c r="A213" s="117">
        <v>10</v>
      </c>
      <c r="B213" s="309">
        <v>3630102802</v>
      </c>
      <c r="C213" s="362" t="s">
        <v>895</v>
      </c>
      <c r="D213" s="349" t="s">
        <v>860</v>
      </c>
      <c r="E213" s="130" t="s">
        <v>4</v>
      </c>
      <c r="F213" s="120"/>
      <c r="G213" s="120"/>
      <c r="H213" s="120"/>
      <c r="I213" s="120"/>
      <c r="J213" s="120"/>
      <c r="K213" s="209"/>
      <c r="L213" s="205"/>
      <c r="M213" s="205">
        <f t="shared" si="2108"/>
        <v>0</v>
      </c>
      <c r="N213" s="120"/>
      <c r="O213" s="120"/>
      <c r="P213" s="120"/>
      <c r="Q213" s="120"/>
      <c r="R213" s="120"/>
      <c r="S213" s="209"/>
      <c r="T213" s="205"/>
      <c r="U213" s="205"/>
      <c r="V213" s="120"/>
      <c r="W213" s="120"/>
      <c r="X213" s="120"/>
      <c r="Y213" s="120"/>
      <c r="Z213" s="120"/>
      <c r="AA213" s="209"/>
      <c r="AB213" s="205"/>
      <c r="AC213" s="205"/>
      <c r="AD213" s="205"/>
      <c r="AE213" s="205"/>
      <c r="AF213" s="205"/>
      <c r="AG213" s="205"/>
      <c r="AH213" s="205"/>
      <c r="AI213" s="209"/>
      <c r="AJ213" s="205"/>
      <c r="AK213" s="205"/>
      <c r="AL213" s="205"/>
      <c r="AM213" s="120"/>
      <c r="AN213" s="120"/>
      <c r="AO213" s="120"/>
      <c r="AP213" s="120"/>
      <c r="AQ213" s="120"/>
      <c r="AR213" s="209"/>
      <c r="AS213" s="205"/>
      <c r="AT213" s="205"/>
      <c r="AU213" s="120"/>
      <c r="AV213" s="120"/>
      <c r="AW213" s="120"/>
      <c r="AX213" s="120"/>
      <c r="AY213" s="120"/>
      <c r="AZ213" s="209"/>
      <c r="BA213" s="205"/>
      <c r="BB213" s="205"/>
      <c r="BC213" s="120"/>
      <c r="BD213" s="120"/>
      <c r="BE213" s="120"/>
      <c r="BF213" s="120"/>
      <c r="BG213" s="120"/>
      <c r="BH213" s="209"/>
      <c r="BI213" s="205"/>
      <c r="BJ213" s="205"/>
      <c r="BK213" s="120"/>
      <c r="BL213" s="120"/>
      <c r="BM213" s="217"/>
      <c r="BN213" s="120"/>
      <c r="BO213" s="205"/>
      <c r="BP213" s="209"/>
      <c r="BQ213" s="205"/>
      <c r="BR213" s="205"/>
      <c r="BS213" s="205"/>
      <c r="BT213" s="120"/>
      <c r="BU213" s="250"/>
      <c r="BV213" s="120"/>
      <c r="BW213" s="120"/>
      <c r="BX213" s="120"/>
      <c r="BY213" s="209"/>
      <c r="BZ213" s="205"/>
      <c r="CA213" s="205"/>
      <c r="CB213" s="120"/>
      <c r="CC213" s="120"/>
      <c r="CD213" s="120"/>
      <c r="CE213" s="120"/>
      <c r="CF213" s="120"/>
      <c r="CG213" s="209"/>
      <c r="CH213" s="205"/>
      <c r="CI213" s="205"/>
      <c r="CJ213" s="120"/>
      <c r="CK213" s="120"/>
      <c r="CL213" s="250"/>
      <c r="CM213" s="120"/>
      <c r="CN213" s="120"/>
      <c r="CO213" s="209"/>
      <c r="CP213" s="205"/>
      <c r="CQ213" s="205"/>
      <c r="CR213" s="120"/>
      <c r="CS213" s="120"/>
      <c r="CT213" s="120"/>
      <c r="CU213" s="120"/>
      <c r="CV213" s="120"/>
      <c r="CW213" s="209"/>
      <c r="CX213" s="205"/>
      <c r="CY213" s="205"/>
      <c r="CZ213" s="120"/>
      <c r="DA213" s="120"/>
      <c r="DB213" s="120"/>
      <c r="DC213" s="205"/>
      <c r="DD213" s="205"/>
      <c r="DE213" s="209"/>
      <c r="DF213" s="205"/>
      <c r="DG213" s="205"/>
      <c r="DH213" s="205"/>
      <c r="DI213" s="120"/>
      <c r="DJ213" s="120"/>
      <c r="DK213" s="120"/>
      <c r="DL213" s="120"/>
      <c r="DM213" s="120"/>
      <c r="DN213" s="209"/>
      <c r="DO213" s="205"/>
      <c r="DP213" s="205"/>
      <c r="DQ213" s="217"/>
      <c r="DR213" s="120"/>
      <c r="DS213" s="120"/>
      <c r="DT213" s="120"/>
      <c r="DU213" s="120"/>
      <c r="DV213" s="209"/>
      <c r="DW213" s="205"/>
      <c r="DX213" s="205"/>
      <c r="DY213" s="120"/>
      <c r="DZ213" s="120"/>
      <c r="EA213" s="120"/>
      <c r="EB213" s="120"/>
      <c r="EC213" s="120"/>
      <c r="ED213" s="209"/>
      <c r="EE213" s="205"/>
      <c r="EF213" s="205"/>
      <c r="EG213" s="120"/>
      <c r="EH213" s="120"/>
      <c r="EI213" s="120"/>
      <c r="EJ213" s="205"/>
      <c r="EK213" s="205"/>
      <c r="EL213" s="209"/>
      <c r="EM213" s="205"/>
      <c r="EN213" s="205"/>
      <c r="EO213" s="205"/>
      <c r="EP213" s="120"/>
      <c r="EQ213" s="250"/>
      <c r="ER213" s="120"/>
      <c r="ES213" s="120"/>
      <c r="ET213" s="120"/>
      <c r="EU213" s="209"/>
      <c r="EV213" s="205"/>
      <c r="EW213" s="205"/>
      <c r="EX213" s="120"/>
      <c r="EY213" s="120"/>
      <c r="EZ213" s="120"/>
      <c r="FA213" s="120"/>
      <c r="FB213" s="120"/>
      <c r="FC213" s="209"/>
      <c r="FD213" s="205"/>
      <c r="FE213" s="205"/>
      <c r="FF213" s="120"/>
      <c r="FG213" s="195"/>
      <c r="FH213" s="120"/>
      <c r="FI213" s="120"/>
      <c r="FJ213" s="120"/>
      <c r="FK213" s="209"/>
      <c r="FL213" s="205"/>
      <c r="FM213" s="205"/>
      <c r="FN213" s="120"/>
      <c r="FO213" s="120"/>
      <c r="FP213" s="120"/>
      <c r="FQ213" s="120"/>
      <c r="FR213" s="205"/>
      <c r="FS213" s="209"/>
      <c r="FT213" s="205"/>
      <c r="FU213" s="205"/>
      <c r="FV213" s="205"/>
      <c r="FW213" s="120"/>
      <c r="FX213" s="120"/>
      <c r="FY213" s="120"/>
      <c r="FZ213" s="120"/>
      <c r="GA213" s="120"/>
      <c r="GB213" s="209"/>
      <c r="GC213" s="205"/>
      <c r="GD213" s="205"/>
      <c r="GE213" s="120"/>
      <c r="GF213" s="120"/>
      <c r="GG213" s="120"/>
      <c r="GH213" s="120"/>
      <c r="GI213" s="120"/>
      <c r="GJ213" s="209"/>
      <c r="GK213" s="205"/>
      <c r="GL213" s="205"/>
      <c r="GM213" s="120"/>
      <c r="GN213" s="120"/>
      <c r="GO213" s="120"/>
      <c r="GP213" s="120"/>
      <c r="GQ213" s="120"/>
      <c r="GR213" s="209"/>
      <c r="GS213" s="205"/>
      <c r="GT213" s="205"/>
      <c r="GU213" s="120"/>
      <c r="GV213" s="120"/>
      <c r="GW213" s="120"/>
      <c r="GX213" s="120"/>
      <c r="GY213" s="120"/>
      <c r="GZ213" s="209"/>
      <c r="HA213" s="205"/>
      <c r="HB213" s="205"/>
      <c r="HC213" s="120"/>
      <c r="HD213" s="120"/>
      <c r="HE213" s="120"/>
      <c r="HF213" s="120"/>
      <c r="HG213" s="120"/>
      <c r="HH213" s="209"/>
      <c r="HI213" s="205"/>
      <c r="HJ213" s="205"/>
      <c r="HK213" s="205"/>
      <c r="HL213" s="124"/>
      <c r="HM213" s="120"/>
      <c r="HN213" s="120"/>
      <c r="HO213" s="123"/>
      <c r="HP213" s="120"/>
      <c r="HQ213" s="205"/>
      <c r="HR213" s="205"/>
      <c r="HS213" s="205"/>
      <c r="HT213" s="120"/>
      <c r="HU213" s="120"/>
      <c r="HV213" s="120"/>
      <c r="HW213" s="120"/>
      <c r="HX213" s="120"/>
      <c r="HY213" s="205"/>
      <c r="HZ213" s="205"/>
      <c r="IA213" s="205"/>
      <c r="IB213" s="120"/>
      <c r="IC213" s="120"/>
      <c r="ID213" s="120"/>
      <c r="IE213" s="120"/>
      <c r="IF213" s="120"/>
      <c r="IG213" s="205"/>
      <c r="IH213" s="205"/>
      <c r="II213" s="205"/>
      <c r="IJ213" s="120"/>
      <c r="IK213" s="120"/>
      <c r="IL213" s="201"/>
      <c r="IM213" s="120"/>
      <c r="IN213" s="120"/>
      <c r="IO213" s="205"/>
      <c r="IP213" s="205"/>
      <c r="IQ213" s="205"/>
      <c r="IR213" s="205"/>
      <c r="IS213" s="120"/>
      <c r="IT213" s="120"/>
      <c r="IU213" s="120"/>
      <c r="IV213" s="120"/>
      <c r="IW213" s="120"/>
      <c r="IX213" s="205"/>
      <c r="IY213" s="205"/>
      <c r="IZ213" s="205"/>
      <c r="JA213" s="120"/>
      <c r="JB213" s="120"/>
      <c r="JC213" s="120"/>
      <c r="JD213" s="120"/>
      <c r="JE213" s="120"/>
      <c r="JF213" s="205"/>
      <c r="JG213" s="205"/>
      <c r="JH213" s="205"/>
      <c r="JI213" s="120"/>
      <c r="JJ213" s="120"/>
      <c r="JK213" s="120"/>
      <c r="JL213" s="120"/>
      <c r="JM213" s="120"/>
      <c r="JN213" s="205"/>
      <c r="JO213" s="205"/>
      <c r="JP213" s="205"/>
      <c r="JQ213" s="120"/>
      <c r="JR213" s="120"/>
      <c r="JS213" s="120"/>
      <c r="JT213" s="120"/>
      <c r="JU213" s="120"/>
      <c r="JV213" s="205"/>
      <c r="JW213" s="205"/>
      <c r="JX213" s="205"/>
      <c r="JY213" s="205"/>
      <c r="JZ213" s="120"/>
      <c r="KA213" s="120"/>
      <c r="KB213" s="120"/>
      <c r="KC213" s="120"/>
      <c r="KD213" s="120"/>
      <c r="KE213" s="205"/>
      <c r="KF213" s="205"/>
      <c r="KG213" s="205"/>
      <c r="KH213" s="120"/>
      <c r="KI213" s="120"/>
      <c r="KJ213" s="120"/>
      <c r="KK213" s="206"/>
      <c r="KL213" s="120"/>
      <c r="KM213" s="205"/>
      <c r="KN213" s="205"/>
      <c r="KO213" s="205"/>
      <c r="KP213" s="120"/>
      <c r="KQ213" s="120"/>
      <c r="KR213" s="120"/>
      <c r="KS213" s="120"/>
      <c r="KT213" s="120"/>
      <c r="KU213" s="205"/>
      <c r="KV213" s="205"/>
      <c r="KW213" s="205"/>
      <c r="KX213" s="120"/>
      <c r="KY213" s="120"/>
      <c r="KZ213" s="120"/>
      <c r="LA213" s="120"/>
      <c r="LB213" s="120"/>
      <c r="LC213" s="205"/>
      <c r="LD213" s="205"/>
      <c r="LE213" s="205"/>
      <c r="LF213" s="205"/>
      <c r="LG213" s="120"/>
      <c r="LH213" s="120"/>
      <c r="LI213" s="120"/>
      <c r="LJ213" s="120"/>
      <c r="LK213" s="205"/>
      <c r="LL213" s="205"/>
      <c r="LM213" s="205"/>
      <c r="LN213" s="205"/>
      <c r="LO213" s="205"/>
      <c r="LP213" s="120"/>
      <c r="LQ213" s="120"/>
      <c r="LR213" s="120"/>
      <c r="LS213" s="205"/>
      <c r="LT213" s="205"/>
      <c r="LU213" s="205"/>
      <c r="LV213" s="205"/>
      <c r="LW213" s="120"/>
      <c r="LX213" s="120"/>
      <c r="LY213" s="124"/>
      <c r="LZ213" s="120"/>
      <c r="MA213" s="120"/>
      <c r="MB213" s="205"/>
      <c r="MC213" s="205"/>
      <c r="MD213" s="205"/>
      <c r="ME213" s="120"/>
      <c r="MF213" s="120"/>
      <c r="MG213" s="120"/>
      <c r="MH213" s="201"/>
      <c r="MI213" s="205"/>
      <c r="MJ213" s="205"/>
      <c r="MK213" s="205"/>
      <c r="ML213" s="205"/>
      <c r="MM213" s="120"/>
      <c r="MN213" s="120"/>
      <c r="MO213" s="120"/>
      <c r="MP213" s="120"/>
      <c r="MQ213" s="120"/>
      <c r="MR213" s="205"/>
      <c r="MS213" s="205"/>
      <c r="MT213" s="205"/>
      <c r="MU213" s="205"/>
      <c r="MV213" s="120"/>
      <c r="MW213" s="120"/>
      <c r="MX213" s="195"/>
      <c r="MY213" s="120"/>
      <c r="MZ213" s="120"/>
      <c r="NA213" s="205"/>
      <c r="NB213" s="205"/>
      <c r="NC213" s="205"/>
      <c r="ND213" s="120"/>
      <c r="NE213" s="120"/>
      <c r="NF213" s="120"/>
      <c r="NG213" s="120"/>
      <c r="NH213" s="120"/>
      <c r="NI213" s="205"/>
      <c r="NJ213" s="205"/>
      <c r="NK213" s="205"/>
      <c r="NL213" s="120"/>
      <c r="NM213" s="120"/>
      <c r="NN213" s="120"/>
      <c r="NO213" s="120"/>
      <c r="NP213" s="120"/>
      <c r="NQ213" s="205"/>
      <c r="NR213" s="205"/>
      <c r="NS213" s="205"/>
      <c r="NT213" s="217"/>
      <c r="NU213" s="120"/>
      <c r="NV213" s="120"/>
      <c r="NW213" s="120"/>
      <c r="NX213" s="120"/>
      <c r="NY213" s="205"/>
      <c r="NZ213" s="205"/>
      <c r="OA213" s="205"/>
      <c r="OB213" s="205"/>
      <c r="OC213" s="120"/>
      <c r="OD213" s="120"/>
      <c r="OE213" s="120"/>
      <c r="OF213" s="120"/>
      <c r="OG213" s="120"/>
      <c r="OH213" s="205"/>
      <c r="OI213" s="205"/>
      <c r="OJ213" s="205"/>
      <c r="OK213" s="120"/>
      <c r="OL213" s="120"/>
      <c r="OM213" s="120"/>
      <c r="ON213" s="120"/>
      <c r="OO213" s="120"/>
      <c r="OP213" s="205"/>
      <c r="OQ213" s="205"/>
      <c r="OR213" s="205"/>
      <c r="OS213" s="120"/>
      <c r="OT213" s="120"/>
      <c r="OU213" s="120"/>
      <c r="OV213" s="120"/>
      <c r="OW213" s="120"/>
      <c r="OX213" s="205"/>
      <c r="OY213" s="205"/>
      <c r="OZ213" s="205"/>
      <c r="PA213" s="120"/>
      <c r="PB213" s="120"/>
      <c r="PC213" s="120"/>
      <c r="PD213" s="205"/>
      <c r="PE213" s="217"/>
      <c r="PF213" s="205"/>
      <c r="PG213" s="205"/>
      <c r="PH213" s="205"/>
      <c r="PI213" s="120"/>
      <c r="PJ213" s="120"/>
      <c r="PK213" s="120"/>
      <c r="PL213" s="205"/>
      <c r="PM213" s="217"/>
      <c r="PN213" s="205"/>
      <c r="PO213" s="205"/>
      <c r="PP213" s="205"/>
      <c r="PQ213" s="205"/>
      <c r="PR213" s="120"/>
      <c r="PS213" s="207"/>
      <c r="PT213" s="207"/>
      <c r="PU213" s="207"/>
      <c r="PV213" s="207"/>
      <c r="PW213" s="272"/>
      <c r="PX213" s="272"/>
      <c r="PY213" s="205"/>
      <c r="PZ213" s="207"/>
      <c r="QA213" s="207"/>
      <c r="QB213" s="207"/>
      <c r="QC213" s="207"/>
      <c r="QD213" s="207"/>
      <c r="QE213" s="272"/>
      <c r="QF213" s="272"/>
      <c r="QG213" s="205"/>
      <c r="QH213" s="207"/>
      <c r="QI213" s="207"/>
      <c r="QJ213" s="294"/>
      <c r="QK213" s="207"/>
      <c r="QL213" s="207"/>
      <c r="QM213" s="272"/>
      <c r="QN213" s="272"/>
      <c r="QO213" s="205"/>
      <c r="QP213" s="207"/>
      <c r="QQ213" s="120"/>
      <c r="QR213" s="207"/>
      <c r="QS213" s="207"/>
      <c r="QT213" s="207"/>
      <c r="QU213" s="272"/>
      <c r="QV213" s="272"/>
      <c r="QW213" s="205"/>
      <c r="QX213" s="205">
        <f t="shared" si="2139"/>
        <v>0</v>
      </c>
      <c r="QY213" s="120"/>
      <c r="QZ213" s="120"/>
      <c r="RA213" s="120"/>
      <c r="RB213" s="120"/>
      <c r="RC213" s="120"/>
      <c r="RD213" s="272"/>
      <c r="RE213" s="272"/>
      <c r="RF213" s="205">
        <f t="shared" si="2095"/>
        <v>0</v>
      </c>
      <c r="RG213" s="207"/>
      <c r="RH213" s="207"/>
      <c r="RI213" s="207"/>
      <c r="RJ213" s="207"/>
      <c r="RK213" s="207"/>
      <c r="RL213" s="272"/>
      <c r="RM213" s="272"/>
      <c r="RN213" s="205">
        <f t="shared" si="2096"/>
        <v>0</v>
      </c>
      <c r="RO213" s="272"/>
      <c r="RP213" s="272"/>
      <c r="RQ213" s="272"/>
      <c r="RR213" s="272"/>
      <c r="RS213" s="272"/>
      <c r="RT213" s="272"/>
      <c r="RU213" s="272"/>
      <c r="RV213" s="205">
        <f t="shared" si="2097"/>
        <v>0</v>
      </c>
      <c r="RW213" s="207"/>
      <c r="RX213" s="207"/>
      <c r="RY213" s="207"/>
      <c r="RZ213" s="207"/>
      <c r="SA213" s="272"/>
      <c r="SB213" s="272"/>
      <c r="SC213" s="272"/>
      <c r="SD213" s="205">
        <f t="shared" si="2140"/>
        <v>0</v>
      </c>
      <c r="SE213" s="205">
        <f t="shared" si="2141"/>
        <v>0</v>
      </c>
      <c r="SF213" s="207"/>
      <c r="SG213" s="207"/>
      <c r="SH213" s="207"/>
      <c r="SI213" s="207"/>
      <c r="SJ213" s="207"/>
      <c r="SK213" s="272"/>
      <c r="SL213" s="272"/>
      <c r="SM213" s="205">
        <f t="shared" si="2100"/>
        <v>0</v>
      </c>
      <c r="SN213" s="207"/>
      <c r="SO213" s="207"/>
      <c r="SP213" s="207"/>
      <c r="SQ213" s="207"/>
      <c r="SR213" s="207"/>
      <c r="SS213" s="272"/>
      <c r="ST213" s="272"/>
      <c r="SU213" s="205">
        <f t="shared" si="2101"/>
        <v>0</v>
      </c>
      <c r="SV213" s="207"/>
      <c r="SW213" s="207"/>
      <c r="SX213" s="207"/>
      <c r="SY213" s="207"/>
      <c r="SZ213" s="207"/>
      <c r="TA213" s="272"/>
      <c r="TB213" s="272"/>
      <c r="TC213" s="205">
        <f t="shared" si="2102"/>
        <v>0</v>
      </c>
      <c r="TD213" s="207"/>
      <c r="TE213" s="207"/>
      <c r="TF213" s="207"/>
      <c r="TG213" s="207"/>
      <c r="TH213" s="207"/>
      <c r="TI213" s="272"/>
      <c r="TJ213" s="272"/>
      <c r="TK213" s="205">
        <f t="shared" si="2142"/>
        <v>0</v>
      </c>
      <c r="TL213" s="140"/>
      <c r="TM213" s="140"/>
      <c r="TN213" s="140"/>
      <c r="TO213" s="140"/>
      <c r="TP213" s="370"/>
      <c r="TQ213" s="272"/>
      <c r="TR213" s="272"/>
      <c r="TS213" s="205">
        <f t="shared" si="2135"/>
        <v>0</v>
      </c>
      <c r="TT213" s="205">
        <f t="shared" si="2136"/>
        <v>0</v>
      </c>
      <c r="TU213" s="272"/>
      <c r="TV213" s="207"/>
      <c r="TW213" s="207"/>
      <c r="TX213" s="207"/>
      <c r="TY213" s="207"/>
      <c r="TZ213" s="272"/>
      <c r="UA213" s="272"/>
      <c r="UB213" s="205">
        <f t="shared" si="2012"/>
        <v>0</v>
      </c>
      <c r="UC213" s="207"/>
      <c r="UD213" s="207"/>
      <c r="UE213" s="120"/>
      <c r="UF213" s="120"/>
      <c r="UG213" s="207"/>
      <c r="UH213" s="272"/>
      <c r="UI213" s="272"/>
      <c r="UJ213" s="205">
        <f t="shared" si="2013"/>
        <v>0</v>
      </c>
      <c r="UK213" s="207"/>
      <c r="UL213" s="207"/>
      <c r="UM213" s="207"/>
      <c r="UN213" s="207"/>
      <c r="UO213" s="207"/>
      <c r="UP213" s="272"/>
      <c r="UQ213" s="272"/>
      <c r="UR213" s="205">
        <f t="shared" si="2014"/>
        <v>0</v>
      </c>
      <c r="US213" s="207"/>
      <c r="UT213" s="207"/>
      <c r="UU213" s="207"/>
      <c r="UV213" s="207"/>
      <c r="UW213" s="272"/>
      <c r="UX213" s="272"/>
      <c r="UY213" s="272"/>
      <c r="UZ213" s="205">
        <f t="shared" si="2145"/>
        <v>0</v>
      </c>
      <c r="VA213" s="205">
        <f t="shared" si="2146"/>
        <v>0</v>
      </c>
      <c r="VB213" s="207"/>
      <c r="VC213" s="120"/>
      <c r="VD213" s="207"/>
      <c r="VE213" s="207"/>
      <c r="VF213" s="207"/>
      <c r="VG213" s="272"/>
      <c r="VH213" s="272"/>
      <c r="VI213" s="205">
        <f t="shared" si="2005"/>
        <v>0</v>
      </c>
      <c r="VJ213" s="207"/>
      <c r="VK213" s="207"/>
      <c r="VL213" s="207"/>
      <c r="VM213" s="207"/>
      <c r="VN213" s="207"/>
      <c r="VO213" s="272"/>
      <c r="VP213" s="272"/>
      <c r="VQ213" s="205">
        <f t="shared" si="2015"/>
        <v>0</v>
      </c>
      <c r="VR213" s="207"/>
      <c r="VS213" s="207"/>
      <c r="VT213" s="207"/>
      <c r="VU213" s="207"/>
      <c r="VV213" s="207"/>
      <c r="VW213" s="272"/>
      <c r="VX213" s="272"/>
      <c r="VY213" s="205">
        <f t="shared" si="2006"/>
        <v>0</v>
      </c>
      <c r="VZ213" s="207"/>
      <c r="WA213" s="207"/>
      <c r="WB213" s="207"/>
      <c r="WC213" s="207"/>
      <c r="WD213" s="207"/>
      <c r="WE213" s="272"/>
      <c r="WF213" s="272"/>
      <c r="WG213" s="205">
        <f t="shared" si="2007"/>
        <v>0</v>
      </c>
      <c r="WH213" s="205">
        <f t="shared" si="2008"/>
        <v>0</v>
      </c>
      <c r="WI213" s="207"/>
      <c r="WJ213" s="207"/>
      <c r="WK213" s="207"/>
      <c r="WL213" s="207"/>
      <c r="WM213" s="392">
        <v>135</v>
      </c>
      <c r="WN213" s="272"/>
      <c r="WO213" s="272"/>
      <c r="WP213" s="205">
        <f t="shared" si="2016"/>
        <v>135</v>
      </c>
      <c r="WQ213" s="207"/>
      <c r="WR213" s="207"/>
      <c r="WS213" s="207"/>
      <c r="WT213" s="124">
        <v>500</v>
      </c>
      <c r="WU213" s="207"/>
      <c r="WV213" s="272"/>
      <c r="WW213" s="272"/>
      <c r="WX213" s="205">
        <f t="shared" si="2017"/>
        <v>500</v>
      </c>
      <c r="WY213" s="207"/>
      <c r="WZ213" s="207"/>
      <c r="XA213" s="207"/>
      <c r="XB213" s="207"/>
      <c r="XC213" s="272"/>
      <c r="XD213" s="272"/>
      <c r="XE213" s="272"/>
      <c r="XF213" s="205">
        <f t="shared" si="2009"/>
        <v>0</v>
      </c>
      <c r="XG213" s="207"/>
      <c r="XH213" s="207"/>
      <c r="XI213" s="207"/>
      <c r="XJ213" s="207"/>
      <c r="XK213" s="207"/>
      <c r="XL213" s="272"/>
      <c r="XM213" s="272"/>
      <c r="XN213" s="205">
        <f t="shared" si="2105"/>
        <v>0</v>
      </c>
      <c r="XO213" s="207"/>
      <c r="XP213" s="207"/>
      <c r="XQ213" s="207"/>
      <c r="XR213" s="207"/>
      <c r="XS213" s="207"/>
      <c r="XT213" s="272"/>
      <c r="XU213" s="272"/>
      <c r="XV213" s="205">
        <f t="shared" si="2137"/>
        <v>0</v>
      </c>
      <c r="XW213" s="205">
        <f t="shared" si="2138"/>
        <v>635</v>
      </c>
      <c r="XX213" s="207"/>
      <c r="XY213" s="207"/>
      <c r="XZ213" s="207"/>
      <c r="YA213" s="207"/>
      <c r="YB213" s="207"/>
      <c r="YC213" s="272"/>
      <c r="YD213" s="272"/>
      <c r="YE213" s="205">
        <f t="shared" si="2018"/>
        <v>0</v>
      </c>
      <c r="YF213" s="207"/>
      <c r="YG213" s="207"/>
      <c r="YH213" s="207"/>
      <c r="YI213" s="207"/>
      <c r="YJ213" s="207"/>
      <c r="YK213" s="272"/>
      <c r="YL213" s="272"/>
      <c r="YM213" s="205">
        <f t="shared" si="2019"/>
        <v>0</v>
      </c>
      <c r="YN213" s="207"/>
      <c r="YO213" s="207"/>
      <c r="YP213" s="207"/>
      <c r="YQ213" s="207"/>
      <c r="YR213" s="207"/>
      <c r="YS213" s="272"/>
      <c r="YT213" s="272"/>
      <c r="YU213" s="205">
        <f t="shared" si="2020"/>
        <v>0</v>
      </c>
      <c r="YV213" s="207"/>
      <c r="YW213" s="207"/>
      <c r="YX213" s="207"/>
      <c r="YY213" s="207"/>
      <c r="YZ213" s="207"/>
      <c r="ZA213" s="272"/>
      <c r="ZB213" s="272"/>
      <c r="ZC213" s="205">
        <f t="shared" si="2021"/>
        <v>0</v>
      </c>
      <c r="ZD213" s="205">
        <f t="shared" si="2022"/>
        <v>635</v>
      </c>
      <c r="ZE213" s="207"/>
      <c r="ZF213" s="207"/>
      <c r="ZG213" s="207"/>
      <c r="ZH213" s="207"/>
      <c r="ZI213" s="207"/>
      <c r="ZJ213" s="272"/>
      <c r="ZK213" s="272"/>
      <c r="ZL213" s="205">
        <f t="shared" si="2023"/>
        <v>0</v>
      </c>
      <c r="ZM213" s="207"/>
      <c r="ZN213" s="207"/>
      <c r="ZO213" s="207"/>
      <c r="ZP213" s="207"/>
      <c r="ZQ213" s="207"/>
      <c r="ZR213" s="272"/>
      <c r="ZS213" s="272"/>
      <c r="ZT213" s="205">
        <f t="shared" si="2010"/>
        <v>0</v>
      </c>
      <c r="ZU213" s="207"/>
      <c r="ZV213" s="207"/>
      <c r="ZW213" s="207"/>
      <c r="ZX213" s="207"/>
      <c r="ZY213" s="207"/>
      <c r="ZZ213" s="272"/>
      <c r="AAA213" s="272"/>
      <c r="AAB213" s="205">
        <f t="shared" si="2024"/>
        <v>0</v>
      </c>
      <c r="AAC213" s="207"/>
      <c r="AAD213" s="207"/>
      <c r="AAE213" s="207"/>
      <c r="AAF213" s="207"/>
      <c r="AAG213" s="207"/>
      <c r="AAH213" s="272"/>
      <c r="AAI213" s="272"/>
      <c r="AAJ213" s="205">
        <f t="shared" si="2011"/>
        <v>0</v>
      </c>
      <c r="AAK213" s="207"/>
      <c r="AAL213" s="207"/>
      <c r="AAM213" s="207"/>
      <c r="AAN213" s="207"/>
      <c r="AAO213" s="207"/>
      <c r="AAP213" s="272"/>
      <c r="AAQ213" s="272"/>
      <c r="AAR213" s="205">
        <f t="shared" si="2025"/>
        <v>0</v>
      </c>
      <c r="AAS213" s="205">
        <f t="shared" si="2026"/>
        <v>0</v>
      </c>
    </row>
    <row r="214" spans="1:721" ht="104.1" hidden="1" customHeight="1">
      <c r="B214" s="309"/>
      <c r="C214" s="362"/>
      <c r="D214" s="349" t="s">
        <v>934</v>
      </c>
      <c r="E214" s="130"/>
      <c r="F214" s="120"/>
      <c r="G214" s="120"/>
      <c r="H214" s="120"/>
      <c r="I214" s="120"/>
      <c r="J214" s="120"/>
      <c r="K214" s="209"/>
      <c r="L214" s="205"/>
      <c r="M214" s="205">
        <f t="shared" si="2108"/>
        <v>0</v>
      </c>
      <c r="N214" s="120"/>
      <c r="O214" s="120"/>
      <c r="P214" s="120"/>
      <c r="Q214" s="120"/>
      <c r="R214" s="120"/>
      <c r="S214" s="209"/>
      <c r="T214" s="205"/>
      <c r="U214" s="205"/>
      <c r="V214" s="120"/>
      <c r="W214" s="120"/>
      <c r="X214" s="120"/>
      <c r="Y214" s="120"/>
      <c r="Z214" s="120"/>
      <c r="AA214" s="209"/>
      <c r="AB214" s="205"/>
      <c r="AC214" s="205"/>
      <c r="AD214" s="205"/>
      <c r="AE214" s="205"/>
      <c r="AF214" s="205"/>
      <c r="AG214" s="205"/>
      <c r="AH214" s="205"/>
      <c r="AI214" s="209"/>
      <c r="AJ214" s="205"/>
      <c r="AK214" s="205"/>
      <c r="AL214" s="205"/>
      <c r="AM214" s="120"/>
      <c r="AN214" s="120"/>
      <c r="AO214" s="120"/>
      <c r="AP214" s="120"/>
      <c r="AQ214" s="120"/>
      <c r="AR214" s="209"/>
      <c r="AS214" s="205"/>
      <c r="AT214" s="205"/>
      <c r="AU214" s="120"/>
      <c r="AV214" s="120"/>
      <c r="AW214" s="120"/>
      <c r="AX214" s="120"/>
      <c r="AY214" s="120"/>
      <c r="AZ214" s="209"/>
      <c r="BA214" s="205"/>
      <c r="BB214" s="205"/>
      <c r="BC214" s="120"/>
      <c r="BD214" s="120"/>
      <c r="BE214" s="120"/>
      <c r="BF214" s="120"/>
      <c r="BG214" s="120"/>
      <c r="BH214" s="209"/>
      <c r="BI214" s="205"/>
      <c r="BJ214" s="205"/>
      <c r="BK214" s="120"/>
      <c r="BL214" s="120"/>
      <c r="BM214" s="217"/>
      <c r="BN214" s="120"/>
      <c r="BO214" s="205"/>
      <c r="BP214" s="209"/>
      <c r="BQ214" s="205"/>
      <c r="BR214" s="205"/>
      <c r="BS214" s="205"/>
      <c r="BT214" s="120"/>
      <c r="BU214" s="250"/>
      <c r="BV214" s="120"/>
      <c r="BW214" s="120"/>
      <c r="BX214" s="120"/>
      <c r="BY214" s="209"/>
      <c r="BZ214" s="205"/>
      <c r="CA214" s="205"/>
      <c r="CB214" s="120"/>
      <c r="CC214" s="120"/>
      <c r="CD214" s="120"/>
      <c r="CE214" s="120"/>
      <c r="CF214" s="120"/>
      <c r="CG214" s="209"/>
      <c r="CH214" s="205"/>
      <c r="CI214" s="205"/>
      <c r="CJ214" s="120"/>
      <c r="CK214" s="120"/>
      <c r="CL214" s="250"/>
      <c r="CM214" s="120"/>
      <c r="CN214" s="120"/>
      <c r="CO214" s="209"/>
      <c r="CP214" s="205"/>
      <c r="CQ214" s="205"/>
      <c r="CR214" s="120"/>
      <c r="CS214" s="120"/>
      <c r="CT214" s="120"/>
      <c r="CU214" s="120"/>
      <c r="CV214" s="120"/>
      <c r="CW214" s="209"/>
      <c r="CX214" s="205"/>
      <c r="CY214" s="205"/>
      <c r="CZ214" s="120"/>
      <c r="DA214" s="120"/>
      <c r="DB214" s="120"/>
      <c r="DC214" s="205"/>
      <c r="DD214" s="205"/>
      <c r="DE214" s="209"/>
      <c r="DF214" s="205"/>
      <c r="DG214" s="205"/>
      <c r="DH214" s="205"/>
      <c r="DI214" s="120"/>
      <c r="DJ214" s="120"/>
      <c r="DK214" s="120"/>
      <c r="DL214" s="120"/>
      <c r="DM214" s="120"/>
      <c r="DN214" s="209"/>
      <c r="DO214" s="205"/>
      <c r="DP214" s="205"/>
      <c r="DQ214" s="217"/>
      <c r="DR214" s="120"/>
      <c r="DS214" s="120"/>
      <c r="DT214" s="120"/>
      <c r="DU214" s="120"/>
      <c r="DV214" s="209"/>
      <c r="DW214" s="205"/>
      <c r="DX214" s="205"/>
      <c r="DY214" s="120"/>
      <c r="DZ214" s="120"/>
      <c r="EA214" s="120"/>
      <c r="EB214" s="120"/>
      <c r="EC214" s="120"/>
      <c r="ED214" s="209"/>
      <c r="EE214" s="205"/>
      <c r="EF214" s="205"/>
      <c r="EG214" s="120"/>
      <c r="EH214" s="120"/>
      <c r="EI214" s="120"/>
      <c r="EJ214" s="205"/>
      <c r="EK214" s="205"/>
      <c r="EL214" s="209"/>
      <c r="EM214" s="205"/>
      <c r="EN214" s="205"/>
      <c r="EO214" s="205"/>
      <c r="EP214" s="120"/>
      <c r="EQ214" s="250"/>
      <c r="ER214" s="120"/>
      <c r="ES214" s="120"/>
      <c r="ET214" s="120"/>
      <c r="EU214" s="209"/>
      <c r="EV214" s="205"/>
      <c r="EW214" s="205"/>
      <c r="EX214" s="120"/>
      <c r="EY214" s="120"/>
      <c r="EZ214" s="120"/>
      <c r="FA214" s="120"/>
      <c r="FB214" s="120"/>
      <c r="FC214" s="209"/>
      <c r="FD214" s="205"/>
      <c r="FE214" s="205"/>
      <c r="FF214" s="120"/>
      <c r="FG214" s="195"/>
      <c r="FH214" s="120"/>
      <c r="FI214" s="120"/>
      <c r="FJ214" s="120"/>
      <c r="FK214" s="209"/>
      <c r="FL214" s="205"/>
      <c r="FM214" s="205"/>
      <c r="FN214" s="120"/>
      <c r="FO214" s="120"/>
      <c r="FP214" s="120"/>
      <c r="FQ214" s="120"/>
      <c r="FR214" s="205"/>
      <c r="FS214" s="209"/>
      <c r="FT214" s="205"/>
      <c r="FU214" s="205"/>
      <c r="FV214" s="205"/>
      <c r="FW214" s="120"/>
      <c r="FX214" s="120"/>
      <c r="FY214" s="120"/>
      <c r="FZ214" s="120"/>
      <c r="GA214" s="120"/>
      <c r="GB214" s="209"/>
      <c r="GC214" s="205"/>
      <c r="GD214" s="205"/>
      <c r="GE214" s="120"/>
      <c r="GF214" s="120"/>
      <c r="GG214" s="120"/>
      <c r="GH214" s="120"/>
      <c r="GI214" s="120"/>
      <c r="GJ214" s="209"/>
      <c r="GK214" s="205"/>
      <c r="GL214" s="205"/>
      <c r="GM214" s="120"/>
      <c r="GN214" s="120"/>
      <c r="GO214" s="120"/>
      <c r="GP214" s="120"/>
      <c r="GQ214" s="120"/>
      <c r="GR214" s="209"/>
      <c r="GS214" s="205"/>
      <c r="GT214" s="205"/>
      <c r="GU214" s="120"/>
      <c r="GV214" s="120"/>
      <c r="GW214" s="120"/>
      <c r="GX214" s="120"/>
      <c r="GY214" s="120"/>
      <c r="GZ214" s="209"/>
      <c r="HA214" s="205"/>
      <c r="HB214" s="205"/>
      <c r="HC214" s="120"/>
      <c r="HD214" s="120"/>
      <c r="HE214" s="120"/>
      <c r="HF214" s="120"/>
      <c r="HG214" s="120"/>
      <c r="HH214" s="209"/>
      <c r="HI214" s="205"/>
      <c r="HJ214" s="205"/>
      <c r="HK214" s="205"/>
      <c r="HL214" s="124"/>
      <c r="HM214" s="120"/>
      <c r="HN214" s="120"/>
      <c r="HO214" s="123"/>
      <c r="HP214" s="120"/>
      <c r="HQ214" s="205"/>
      <c r="HR214" s="205"/>
      <c r="HS214" s="205"/>
      <c r="HT214" s="120"/>
      <c r="HU214" s="120"/>
      <c r="HV214" s="120"/>
      <c r="HW214" s="120"/>
      <c r="HX214" s="120"/>
      <c r="HY214" s="205"/>
      <c r="HZ214" s="205"/>
      <c r="IA214" s="205"/>
      <c r="IB214" s="120"/>
      <c r="IC214" s="120"/>
      <c r="ID214" s="120"/>
      <c r="IE214" s="120"/>
      <c r="IF214" s="120"/>
      <c r="IG214" s="205"/>
      <c r="IH214" s="205"/>
      <c r="II214" s="205"/>
      <c r="IJ214" s="120"/>
      <c r="IK214" s="120"/>
      <c r="IL214" s="201"/>
      <c r="IM214" s="120"/>
      <c r="IN214" s="120"/>
      <c r="IO214" s="205"/>
      <c r="IP214" s="205"/>
      <c r="IQ214" s="205"/>
      <c r="IR214" s="205"/>
      <c r="IS214" s="120"/>
      <c r="IT214" s="120"/>
      <c r="IU214" s="120"/>
      <c r="IV214" s="120"/>
      <c r="IW214" s="120"/>
      <c r="IX214" s="205"/>
      <c r="IY214" s="205"/>
      <c r="IZ214" s="205"/>
      <c r="JA214" s="120"/>
      <c r="JB214" s="120"/>
      <c r="JC214" s="120"/>
      <c r="JD214" s="120"/>
      <c r="JE214" s="120"/>
      <c r="JF214" s="205"/>
      <c r="JG214" s="205"/>
      <c r="JH214" s="205"/>
      <c r="JI214" s="120"/>
      <c r="JJ214" s="120"/>
      <c r="JK214" s="120"/>
      <c r="JL214" s="120"/>
      <c r="JM214" s="120"/>
      <c r="JN214" s="205"/>
      <c r="JO214" s="205"/>
      <c r="JP214" s="205"/>
      <c r="JQ214" s="120"/>
      <c r="JR214" s="120"/>
      <c r="JS214" s="120"/>
      <c r="JT214" s="120"/>
      <c r="JU214" s="120"/>
      <c r="JV214" s="205"/>
      <c r="JW214" s="205"/>
      <c r="JX214" s="205"/>
      <c r="JY214" s="205"/>
      <c r="JZ214" s="120"/>
      <c r="KA214" s="120"/>
      <c r="KB214" s="120"/>
      <c r="KC214" s="120"/>
      <c r="KD214" s="120"/>
      <c r="KE214" s="205"/>
      <c r="KF214" s="205"/>
      <c r="KG214" s="205"/>
      <c r="KH214" s="120"/>
      <c r="KI214" s="120"/>
      <c r="KJ214" s="120"/>
      <c r="KK214" s="206"/>
      <c r="KL214" s="120"/>
      <c r="KM214" s="205"/>
      <c r="KN214" s="205"/>
      <c r="KO214" s="205"/>
      <c r="KP214" s="120"/>
      <c r="KQ214" s="120"/>
      <c r="KR214" s="120"/>
      <c r="KS214" s="120"/>
      <c r="KT214" s="120"/>
      <c r="KU214" s="205"/>
      <c r="KV214" s="205"/>
      <c r="KW214" s="205"/>
      <c r="KX214" s="120"/>
      <c r="KY214" s="120"/>
      <c r="KZ214" s="120"/>
      <c r="LA214" s="120"/>
      <c r="LB214" s="120"/>
      <c r="LC214" s="205"/>
      <c r="LD214" s="205"/>
      <c r="LE214" s="205"/>
      <c r="LF214" s="205"/>
      <c r="LG214" s="120"/>
      <c r="LH214" s="120"/>
      <c r="LI214" s="120"/>
      <c r="LJ214" s="120"/>
      <c r="LK214" s="205"/>
      <c r="LL214" s="205"/>
      <c r="LM214" s="205"/>
      <c r="LN214" s="205"/>
      <c r="LO214" s="205"/>
      <c r="LP214" s="120"/>
      <c r="LQ214" s="120"/>
      <c r="LR214" s="120"/>
      <c r="LS214" s="205"/>
      <c r="LT214" s="205"/>
      <c r="LU214" s="205"/>
      <c r="LV214" s="205"/>
      <c r="LW214" s="120"/>
      <c r="LX214" s="120"/>
      <c r="LY214" s="124"/>
      <c r="LZ214" s="120"/>
      <c r="MA214" s="120"/>
      <c r="MB214" s="205"/>
      <c r="MC214" s="205"/>
      <c r="MD214" s="205"/>
      <c r="ME214" s="120"/>
      <c r="MF214" s="120"/>
      <c r="MG214" s="120"/>
      <c r="MH214" s="201"/>
      <c r="MI214" s="205"/>
      <c r="MJ214" s="205"/>
      <c r="MK214" s="205"/>
      <c r="ML214" s="205"/>
      <c r="MM214" s="120"/>
      <c r="MN214" s="120"/>
      <c r="MO214" s="120"/>
      <c r="MP214" s="120"/>
      <c r="MQ214" s="120"/>
      <c r="MR214" s="205"/>
      <c r="MS214" s="205"/>
      <c r="MT214" s="205"/>
      <c r="MU214" s="205"/>
      <c r="MV214" s="120"/>
      <c r="MW214" s="120"/>
      <c r="MX214" s="195"/>
      <c r="MY214" s="120"/>
      <c r="MZ214" s="120"/>
      <c r="NA214" s="205"/>
      <c r="NB214" s="205"/>
      <c r="NC214" s="205"/>
      <c r="ND214" s="120"/>
      <c r="NE214" s="120"/>
      <c r="NF214" s="120"/>
      <c r="NG214" s="120"/>
      <c r="NH214" s="120"/>
      <c r="NI214" s="205"/>
      <c r="NJ214" s="205"/>
      <c r="NK214" s="205"/>
      <c r="NL214" s="120"/>
      <c r="NM214" s="120"/>
      <c r="NN214" s="120"/>
      <c r="NO214" s="120"/>
      <c r="NP214" s="120"/>
      <c r="NQ214" s="205"/>
      <c r="NR214" s="205"/>
      <c r="NS214" s="205"/>
      <c r="NT214" s="217"/>
      <c r="NU214" s="120"/>
      <c r="NV214" s="120"/>
      <c r="NW214" s="120"/>
      <c r="NX214" s="120"/>
      <c r="NY214" s="205"/>
      <c r="NZ214" s="205"/>
      <c r="OA214" s="205"/>
      <c r="OB214" s="205"/>
      <c r="OC214" s="120"/>
      <c r="OD214" s="120"/>
      <c r="OE214" s="120"/>
      <c r="OF214" s="120"/>
      <c r="OG214" s="120"/>
      <c r="OH214" s="205"/>
      <c r="OI214" s="205"/>
      <c r="OJ214" s="205"/>
      <c r="OK214" s="120"/>
      <c r="OL214" s="120"/>
      <c r="OM214" s="120"/>
      <c r="ON214" s="120"/>
      <c r="OO214" s="120"/>
      <c r="OP214" s="205"/>
      <c r="OQ214" s="205"/>
      <c r="OR214" s="205"/>
      <c r="OS214" s="120"/>
      <c r="OT214" s="120"/>
      <c r="OU214" s="120"/>
      <c r="OV214" s="120"/>
      <c r="OW214" s="120"/>
      <c r="OX214" s="205"/>
      <c r="OY214" s="205"/>
      <c r="OZ214" s="205"/>
      <c r="PA214" s="120"/>
      <c r="PB214" s="120"/>
      <c r="PC214" s="120"/>
      <c r="PD214" s="205"/>
      <c r="PE214" s="217"/>
      <c r="PF214" s="205"/>
      <c r="PG214" s="205"/>
      <c r="PH214" s="205"/>
      <c r="PI214" s="120"/>
      <c r="PJ214" s="120"/>
      <c r="PK214" s="120"/>
      <c r="PL214" s="205"/>
      <c r="PM214" s="217"/>
      <c r="PN214" s="205"/>
      <c r="PO214" s="205"/>
      <c r="PP214" s="205"/>
      <c r="PQ214" s="205"/>
      <c r="PR214" s="120"/>
      <c r="PS214" s="207"/>
      <c r="PT214" s="207"/>
      <c r="PU214" s="207"/>
      <c r="PV214" s="207"/>
      <c r="PW214" s="272"/>
      <c r="PX214" s="272"/>
      <c r="PY214" s="205"/>
      <c r="PZ214" s="207"/>
      <c r="QA214" s="207"/>
      <c r="QB214" s="207"/>
      <c r="QC214" s="207"/>
      <c r="QD214" s="207"/>
      <c r="QE214" s="272"/>
      <c r="QF214" s="272"/>
      <c r="QG214" s="205"/>
      <c r="QH214" s="207"/>
      <c r="QI214" s="207"/>
      <c r="QJ214" s="294"/>
      <c r="QK214" s="207"/>
      <c r="QL214" s="207"/>
      <c r="QM214" s="272"/>
      <c r="QN214" s="272"/>
      <c r="QO214" s="205"/>
      <c r="QP214" s="207"/>
      <c r="QQ214" s="120"/>
      <c r="QR214" s="207"/>
      <c r="QS214" s="207"/>
      <c r="QT214" s="207"/>
      <c r="QU214" s="272"/>
      <c r="QV214" s="272"/>
      <c r="QW214" s="205"/>
      <c r="QX214" s="205"/>
      <c r="QY214" s="120"/>
      <c r="QZ214" s="120"/>
      <c r="RA214" s="120"/>
      <c r="RB214" s="120"/>
      <c r="RC214" s="120"/>
      <c r="RD214" s="272"/>
      <c r="RE214" s="272"/>
      <c r="RF214" s="205"/>
      <c r="RG214" s="207"/>
      <c r="RH214" s="207"/>
      <c r="RI214" s="207"/>
      <c r="RJ214" s="207"/>
      <c r="RK214" s="207"/>
      <c r="RL214" s="272"/>
      <c r="RM214" s="272"/>
      <c r="RN214" s="205"/>
      <c r="RO214" s="272"/>
      <c r="RP214" s="272"/>
      <c r="RQ214" s="272"/>
      <c r="RR214" s="272"/>
      <c r="RS214" s="272"/>
      <c r="RT214" s="272"/>
      <c r="RU214" s="272"/>
      <c r="RV214" s="205"/>
      <c r="RW214" s="207"/>
      <c r="RX214" s="207"/>
      <c r="RY214" s="207"/>
      <c r="RZ214" s="207"/>
      <c r="SA214" s="272"/>
      <c r="SB214" s="272"/>
      <c r="SC214" s="272"/>
      <c r="SD214" s="205"/>
      <c r="SE214" s="205"/>
      <c r="SF214" s="207"/>
      <c r="SG214" s="207"/>
      <c r="SH214" s="207"/>
      <c r="SI214" s="207"/>
      <c r="SJ214" s="207"/>
      <c r="SK214" s="272"/>
      <c r="SL214" s="272"/>
      <c r="SM214" s="205"/>
      <c r="SN214" s="207"/>
      <c r="SO214" s="207"/>
      <c r="SP214" s="207"/>
      <c r="SQ214" s="207"/>
      <c r="SR214" s="207"/>
      <c r="SS214" s="272"/>
      <c r="ST214" s="272"/>
      <c r="SU214" s="205"/>
      <c r="SV214" s="207"/>
      <c r="SW214" s="207"/>
      <c r="SX214" s="207"/>
      <c r="SY214" s="207"/>
      <c r="SZ214" s="207"/>
      <c r="TA214" s="272"/>
      <c r="TB214" s="272"/>
      <c r="TC214" s="205"/>
      <c r="TD214" s="207"/>
      <c r="TE214" s="207"/>
      <c r="TF214" s="207"/>
      <c r="TG214" s="207"/>
      <c r="TH214" s="207"/>
      <c r="TI214" s="272"/>
      <c r="TJ214" s="272"/>
      <c r="TK214" s="205"/>
      <c r="TL214" s="140"/>
      <c r="TM214" s="140"/>
      <c r="TN214" s="140"/>
      <c r="TO214" s="140"/>
      <c r="TP214" s="370"/>
      <c r="TQ214" s="272"/>
      <c r="TR214" s="272"/>
      <c r="TS214" s="205"/>
      <c r="TT214" s="205"/>
      <c r="TU214" s="272"/>
      <c r="TV214" s="207"/>
      <c r="TW214" s="207"/>
      <c r="TX214" s="207"/>
      <c r="TY214" s="207"/>
      <c r="TZ214" s="272"/>
      <c r="UA214" s="272"/>
      <c r="UB214" s="205">
        <f t="shared" si="2012"/>
        <v>0</v>
      </c>
      <c r="UC214" s="207"/>
      <c r="UD214" s="207"/>
      <c r="UE214" s="120"/>
      <c r="UF214" s="120"/>
      <c r="UG214" s="207"/>
      <c r="UH214" s="272"/>
      <c r="UI214" s="272"/>
      <c r="UJ214" s="205">
        <f t="shared" si="2013"/>
        <v>0</v>
      </c>
      <c r="UK214" s="207"/>
      <c r="UL214" s="207"/>
      <c r="UM214" s="207"/>
      <c r="UN214" s="207"/>
      <c r="UO214" s="207"/>
      <c r="UP214" s="272"/>
      <c r="UQ214" s="272"/>
      <c r="UR214" s="205">
        <f t="shared" si="2014"/>
        <v>0</v>
      </c>
      <c r="US214" s="207"/>
      <c r="UT214" s="207"/>
      <c r="UU214" s="207"/>
      <c r="UV214" s="207"/>
      <c r="UW214" s="272"/>
      <c r="UX214" s="272"/>
      <c r="UY214" s="272"/>
      <c r="UZ214" s="205">
        <f t="shared" si="2145"/>
        <v>0</v>
      </c>
      <c r="VA214" s="205">
        <f t="shared" si="2146"/>
        <v>0</v>
      </c>
      <c r="VB214" s="207"/>
      <c r="VC214" s="120"/>
      <c r="VD214" s="207"/>
      <c r="VE214" s="207"/>
      <c r="VF214" s="207"/>
      <c r="VG214" s="272"/>
      <c r="VH214" s="272"/>
      <c r="VI214" s="205">
        <f t="shared" si="2005"/>
        <v>0</v>
      </c>
      <c r="VJ214" s="207"/>
      <c r="VK214" s="207"/>
      <c r="VL214" s="207"/>
      <c r="VM214" s="207"/>
      <c r="VN214" s="207"/>
      <c r="VO214" s="272"/>
      <c r="VP214" s="272"/>
      <c r="VQ214" s="205">
        <f t="shared" si="2015"/>
        <v>0</v>
      </c>
      <c r="VR214" s="207"/>
      <c r="VS214" s="207"/>
      <c r="VT214" s="207"/>
      <c r="VU214" s="207"/>
      <c r="VV214" s="207"/>
      <c r="VW214" s="272"/>
      <c r="VX214" s="272"/>
      <c r="VY214" s="205">
        <f t="shared" si="2006"/>
        <v>0</v>
      </c>
      <c r="VZ214" s="207"/>
      <c r="WA214" s="207"/>
      <c r="WB214" s="207"/>
      <c r="WC214" s="207"/>
      <c r="WD214" s="207"/>
      <c r="WE214" s="272"/>
      <c r="WF214" s="272"/>
      <c r="WG214" s="205">
        <f t="shared" si="2007"/>
        <v>0</v>
      </c>
      <c r="WH214" s="205">
        <f t="shared" si="2008"/>
        <v>0</v>
      </c>
      <c r="WI214" s="207"/>
      <c r="WJ214" s="207"/>
      <c r="WK214" s="207"/>
      <c r="WL214" s="207"/>
      <c r="WM214" s="207"/>
      <c r="WN214" s="272"/>
      <c r="WO214" s="272"/>
      <c r="WP214" s="205">
        <f t="shared" si="2016"/>
        <v>0</v>
      </c>
      <c r="WQ214" s="207"/>
      <c r="WR214" s="207"/>
      <c r="WS214" s="207"/>
      <c r="WT214" s="207"/>
      <c r="WU214" s="207"/>
      <c r="WV214" s="272"/>
      <c r="WW214" s="272"/>
      <c r="WX214" s="205">
        <f t="shared" si="2017"/>
        <v>0</v>
      </c>
      <c r="WY214" s="207"/>
      <c r="WZ214" s="207"/>
      <c r="XA214" s="207"/>
      <c r="XB214" s="207"/>
      <c r="XC214" s="272"/>
      <c r="XD214" s="272"/>
      <c r="XE214" s="272"/>
      <c r="XF214" s="205">
        <f t="shared" si="2009"/>
        <v>0</v>
      </c>
      <c r="XG214" s="207"/>
      <c r="XH214" s="207"/>
      <c r="XI214" s="207"/>
      <c r="XJ214" s="207"/>
      <c r="XK214" s="207"/>
      <c r="XL214" s="272"/>
      <c r="XM214" s="272"/>
      <c r="XN214" s="205"/>
      <c r="XO214" s="207"/>
      <c r="XP214" s="207"/>
      <c r="XQ214" s="207"/>
      <c r="XR214" s="207"/>
      <c r="XS214" s="207"/>
      <c r="XT214" s="272"/>
      <c r="XU214" s="272"/>
      <c r="XV214" s="205"/>
      <c r="XW214" s="205"/>
      <c r="XX214" s="207"/>
      <c r="XY214" s="207"/>
      <c r="XZ214" s="207"/>
      <c r="YA214" s="207"/>
      <c r="YB214" s="207"/>
      <c r="YC214" s="272"/>
      <c r="YD214" s="272"/>
      <c r="YE214" s="205">
        <f t="shared" si="2018"/>
        <v>0</v>
      </c>
      <c r="YF214" s="207"/>
      <c r="YG214" s="207"/>
      <c r="YH214" s="207"/>
      <c r="YI214" s="207"/>
      <c r="YJ214" s="207"/>
      <c r="YK214" s="272"/>
      <c r="YL214" s="272"/>
      <c r="YM214" s="205">
        <f t="shared" si="2019"/>
        <v>0</v>
      </c>
      <c r="YN214" s="207"/>
      <c r="YO214" s="207"/>
      <c r="YP214" s="207"/>
      <c r="YQ214" s="207"/>
      <c r="YR214" s="207"/>
      <c r="YS214" s="272"/>
      <c r="YT214" s="272"/>
      <c r="YU214" s="205">
        <f t="shared" si="2020"/>
        <v>0</v>
      </c>
      <c r="YV214" s="207"/>
      <c r="YW214" s="207"/>
      <c r="YX214" s="207"/>
      <c r="YY214" s="207"/>
      <c r="YZ214" s="207"/>
      <c r="ZA214" s="272"/>
      <c r="ZB214" s="272"/>
      <c r="ZC214" s="205">
        <f t="shared" si="2021"/>
        <v>0</v>
      </c>
      <c r="ZD214" s="205">
        <f t="shared" si="2022"/>
        <v>0</v>
      </c>
      <c r="ZE214" s="207"/>
      <c r="ZF214" s="207"/>
      <c r="ZG214" s="207"/>
      <c r="ZH214" s="207"/>
      <c r="ZI214" s="207"/>
      <c r="ZJ214" s="272"/>
      <c r="ZK214" s="272"/>
      <c r="ZL214" s="205">
        <f t="shared" si="2023"/>
        <v>0</v>
      </c>
      <c r="ZM214" s="207"/>
      <c r="ZN214" s="207"/>
      <c r="ZO214" s="207"/>
      <c r="ZP214" s="207"/>
      <c r="ZQ214" s="207"/>
      <c r="ZR214" s="272"/>
      <c r="ZS214" s="272"/>
      <c r="ZT214" s="205">
        <f t="shared" si="2010"/>
        <v>0</v>
      </c>
      <c r="ZU214" s="207"/>
      <c r="ZV214" s="207"/>
      <c r="ZW214" s="207"/>
      <c r="ZX214" s="207"/>
      <c r="ZY214" s="207"/>
      <c r="ZZ214" s="272"/>
      <c r="AAA214" s="272"/>
      <c r="AAB214" s="205">
        <f t="shared" si="2024"/>
        <v>0</v>
      </c>
      <c r="AAC214" s="207"/>
      <c r="AAD214" s="207"/>
      <c r="AAE214" s="207"/>
      <c r="AAF214" s="207"/>
      <c r="AAG214" s="207"/>
      <c r="AAH214" s="272"/>
      <c r="AAI214" s="272"/>
      <c r="AAJ214" s="205">
        <f t="shared" si="2011"/>
        <v>0</v>
      </c>
      <c r="AAK214" s="207"/>
      <c r="AAL214" s="207"/>
      <c r="AAM214" s="207"/>
      <c r="AAN214" s="207"/>
      <c r="AAO214" s="207"/>
      <c r="AAP214" s="272"/>
      <c r="AAQ214" s="272"/>
      <c r="AAR214" s="205">
        <f t="shared" si="2025"/>
        <v>0</v>
      </c>
      <c r="AAS214" s="205">
        <f t="shared" si="2026"/>
        <v>0</v>
      </c>
    </row>
    <row r="215" spans="1:721" ht="123.95" customHeight="1">
      <c r="A215" s="117">
        <v>10</v>
      </c>
      <c r="B215" s="309" t="s">
        <v>851</v>
      </c>
      <c r="C215" s="362" t="s">
        <v>917</v>
      </c>
      <c r="D215" s="367" t="s">
        <v>859</v>
      </c>
      <c r="E215" s="130" t="s">
        <v>4</v>
      </c>
      <c r="F215" s="120"/>
      <c r="G215" s="120"/>
      <c r="H215" s="120"/>
      <c r="I215" s="120"/>
      <c r="J215" s="120"/>
      <c r="K215" s="209"/>
      <c r="L215" s="205"/>
      <c r="M215" s="205">
        <f t="shared" si="2108"/>
        <v>0</v>
      </c>
      <c r="N215" s="120"/>
      <c r="O215" s="120"/>
      <c r="P215" s="120"/>
      <c r="Q215" s="120"/>
      <c r="R215" s="120"/>
      <c r="S215" s="209"/>
      <c r="T215" s="205"/>
      <c r="U215" s="205"/>
      <c r="V215" s="120"/>
      <c r="W215" s="120"/>
      <c r="X215" s="120"/>
      <c r="Y215" s="120"/>
      <c r="Z215" s="120"/>
      <c r="AA215" s="209"/>
      <c r="AB215" s="205"/>
      <c r="AC215" s="205"/>
      <c r="AD215" s="205"/>
      <c r="AE215" s="205"/>
      <c r="AF215" s="205"/>
      <c r="AG215" s="205"/>
      <c r="AH215" s="205"/>
      <c r="AI215" s="209"/>
      <c r="AJ215" s="205"/>
      <c r="AK215" s="205"/>
      <c r="AL215" s="205"/>
      <c r="AM215" s="120"/>
      <c r="AN215" s="120"/>
      <c r="AO215" s="120"/>
      <c r="AP215" s="120"/>
      <c r="AQ215" s="120"/>
      <c r="AR215" s="209"/>
      <c r="AS215" s="205"/>
      <c r="AT215" s="205"/>
      <c r="AU215" s="120"/>
      <c r="AV215" s="120"/>
      <c r="AW215" s="120"/>
      <c r="AX215" s="120"/>
      <c r="AY215" s="120"/>
      <c r="AZ215" s="209"/>
      <c r="BA215" s="205"/>
      <c r="BB215" s="205"/>
      <c r="BC215" s="120"/>
      <c r="BD215" s="120"/>
      <c r="BE215" s="120"/>
      <c r="BF215" s="120"/>
      <c r="BG215" s="120"/>
      <c r="BH215" s="209"/>
      <c r="BI215" s="205"/>
      <c r="BJ215" s="205"/>
      <c r="BK215" s="120"/>
      <c r="BL215" s="120"/>
      <c r="BM215" s="217"/>
      <c r="BN215" s="120"/>
      <c r="BO215" s="205"/>
      <c r="BP215" s="209"/>
      <c r="BQ215" s="205"/>
      <c r="BR215" s="205"/>
      <c r="BS215" s="205"/>
      <c r="BT215" s="120"/>
      <c r="BU215" s="250"/>
      <c r="BV215" s="120"/>
      <c r="BW215" s="120"/>
      <c r="BX215" s="120"/>
      <c r="BY215" s="209"/>
      <c r="BZ215" s="205"/>
      <c r="CA215" s="205"/>
      <c r="CB215" s="120"/>
      <c r="CC215" s="120"/>
      <c r="CD215" s="120"/>
      <c r="CE215" s="120"/>
      <c r="CF215" s="120"/>
      <c r="CG215" s="209"/>
      <c r="CH215" s="205"/>
      <c r="CI215" s="205"/>
      <c r="CJ215" s="120"/>
      <c r="CK215" s="120"/>
      <c r="CL215" s="250"/>
      <c r="CM215" s="120"/>
      <c r="CN215" s="120"/>
      <c r="CO215" s="209"/>
      <c r="CP215" s="205"/>
      <c r="CQ215" s="205"/>
      <c r="CR215" s="120"/>
      <c r="CS215" s="120"/>
      <c r="CT215" s="120"/>
      <c r="CU215" s="120"/>
      <c r="CV215" s="120"/>
      <c r="CW215" s="209"/>
      <c r="CX215" s="205"/>
      <c r="CY215" s="205"/>
      <c r="CZ215" s="120"/>
      <c r="DA215" s="120"/>
      <c r="DB215" s="120"/>
      <c r="DC215" s="205"/>
      <c r="DD215" s="205"/>
      <c r="DE215" s="209"/>
      <c r="DF215" s="205"/>
      <c r="DG215" s="205"/>
      <c r="DH215" s="205"/>
      <c r="DI215" s="120"/>
      <c r="DJ215" s="120"/>
      <c r="DK215" s="120"/>
      <c r="DL215" s="120"/>
      <c r="DM215" s="120"/>
      <c r="DN215" s="209"/>
      <c r="DO215" s="205"/>
      <c r="DP215" s="205"/>
      <c r="DQ215" s="217"/>
      <c r="DR215" s="120"/>
      <c r="DS215" s="120"/>
      <c r="DT215" s="120"/>
      <c r="DU215" s="120"/>
      <c r="DV215" s="209"/>
      <c r="DW215" s="205"/>
      <c r="DX215" s="205"/>
      <c r="DY215" s="120"/>
      <c r="DZ215" s="120"/>
      <c r="EA215" s="120"/>
      <c r="EB215" s="120"/>
      <c r="EC215" s="120"/>
      <c r="ED215" s="209"/>
      <c r="EE215" s="205"/>
      <c r="EF215" s="205"/>
      <c r="EG215" s="120"/>
      <c r="EH215" s="120"/>
      <c r="EI215" s="120"/>
      <c r="EJ215" s="205"/>
      <c r="EK215" s="205"/>
      <c r="EL215" s="209"/>
      <c r="EM215" s="205"/>
      <c r="EN215" s="205"/>
      <c r="EO215" s="205"/>
      <c r="EP215" s="120"/>
      <c r="EQ215" s="250"/>
      <c r="ER215" s="120"/>
      <c r="ES215" s="120"/>
      <c r="ET215" s="120"/>
      <c r="EU215" s="209"/>
      <c r="EV215" s="205"/>
      <c r="EW215" s="205"/>
      <c r="EX215" s="120"/>
      <c r="EY215" s="120"/>
      <c r="EZ215" s="120"/>
      <c r="FA215" s="120"/>
      <c r="FB215" s="120"/>
      <c r="FC215" s="209"/>
      <c r="FD215" s="205"/>
      <c r="FE215" s="205"/>
      <c r="FF215" s="120"/>
      <c r="FG215" s="195"/>
      <c r="FH215" s="120"/>
      <c r="FI215" s="120"/>
      <c r="FJ215" s="120"/>
      <c r="FK215" s="209"/>
      <c r="FL215" s="205"/>
      <c r="FM215" s="205"/>
      <c r="FN215" s="120"/>
      <c r="FO215" s="120"/>
      <c r="FP215" s="120"/>
      <c r="FQ215" s="120"/>
      <c r="FR215" s="205"/>
      <c r="FS215" s="209"/>
      <c r="FT215" s="205"/>
      <c r="FU215" s="205"/>
      <c r="FV215" s="205"/>
      <c r="FW215" s="120"/>
      <c r="FX215" s="120"/>
      <c r="FY215" s="120"/>
      <c r="FZ215" s="120"/>
      <c r="GA215" s="120"/>
      <c r="GB215" s="209"/>
      <c r="GC215" s="205"/>
      <c r="GD215" s="205"/>
      <c r="GE215" s="120"/>
      <c r="GF215" s="120"/>
      <c r="GG215" s="120"/>
      <c r="GH215" s="120"/>
      <c r="GI215" s="120"/>
      <c r="GJ215" s="209"/>
      <c r="GK215" s="205"/>
      <c r="GL215" s="205"/>
      <c r="GM215" s="120"/>
      <c r="GN215" s="120"/>
      <c r="GO215" s="120"/>
      <c r="GP215" s="120"/>
      <c r="GQ215" s="120"/>
      <c r="GR215" s="209"/>
      <c r="GS215" s="205"/>
      <c r="GT215" s="205"/>
      <c r="GU215" s="120"/>
      <c r="GV215" s="120"/>
      <c r="GW215" s="120"/>
      <c r="GX215" s="120"/>
      <c r="GY215" s="120"/>
      <c r="GZ215" s="209"/>
      <c r="HA215" s="205"/>
      <c r="HB215" s="205"/>
      <c r="HC215" s="120"/>
      <c r="HD215" s="120"/>
      <c r="HE215" s="120"/>
      <c r="HF215" s="120"/>
      <c r="HG215" s="120"/>
      <c r="HH215" s="209"/>
      <c r="HI215" s="205"/>
      <c r="HJ215" s="205"/>
      <c r="HK215" s="205"/>
      <c r="HL215" s="124"/>
      <c r="HM215" s="120"/>
      <c r="HN215" s="120"/>
      <c r="HO215" s="123"/>
      <c r="HP215" s="120"/>
      <c r="HQ215" s="205"/>
      <c r="HR215" s="205"/>
      <c r="HS215" s="205"/>
      <c r="HT215" s="120"/>
      <c r="HU215" s="120"/>
      <c r="HV215" s="120"/>
      <c r="HW215" s="120"/>
      <c r="HX215" s="120"/>
      <c r="HY215" s="205"/>
      <c r="HZ215" s="205"/>
      <c r="IA215" s="205"/>
      <c r="IB215" s="120"/>
      <c r="IC215" s="120"/>
      <c r="ID215" s="120"/>
      <c r="IE215" s="120"/>
      <c r="IF215" s="120"/>
      <c r="IG215" s="205"/>
      <c r="IH215" s="205"/>
      <c r="II215" s="205"/>
      <c r="IJ215" s="120"/>
      <c r="IK215" s="120"/>
      <c r="IL215" s="201"/>
      <c r="IM215" s="120"/>
      <c r="IN215" s="120"/>
      <c r="IO215" s="205"/>
      <c r="IP215" s="205"/>
      <c r="IQ215" s="205"/>
      <c r="IR215" s="205"/>
      <c r="IS215" s="120"/>
      <c r="IT215" s="120"/>
      <c r="IU215" s="120"/>
      <c r="IV215" s="120"/>
      <c r="IW215" s="120"/>
      <c r="IX215" s="205"/>
      <c r="IY215" s="205"/>
      <c r="IZ215" s="205"/>
      <c r="JA215" s="120"/>
      <c r="JB215" s="120"/>
      <c r="JC215" s="120"/>
      <c r="JD215" s="120"/>
      <c r="JE215" s="120"/>
      <c r="JF215" s="205"/>
      <c r="JG215" s="205"/>
      <c r="JH215" s="205"/>
      <c r="JI215" s="120"/>
      <c r="JJ215" s="120"/>
      <c r="JK215" s="120"/>
      <c r="JL215" s="120"/>
      <c r="JM215" s="120"/>
      <c r="JN215" s="205"/>
      <c r="JO215" s="205"/>
      <c r="JP215" s="205"/>
      <c r="JQ215" s="120"/>
      <c r="JR215" s="120"/>
      <c r="JS215" s="120"/>
      <c r="JT215" s="120"/>
      <c r="JU215" s="120"/>
      <c r="JV215" s="205"/>
      <c r="JW215" s="205"/>
      <c r="JX215" s="205"/>
      <c r="JY215" s="205"/>
      <c r="JZ215" s="120"/>
      <c r="KA215" s="120"/>
      <c r="KB215" s="120"/>
      <c r="KC215" s="120"/>
      <c r="KD215" s="120"/>
      <c r="KE215" s="205"/>
      <c r="KF215" s="205"/>
      <c r="KG215" s="205"/>
      <c r="KH215" s="120"/>
      <c r="KI215" s="120"/>
      <c r="KJ215" s="120"/>
      <c r="KK215" s="206"/>
      <c r="KL215" s="120"/>
      <c r="KM215" s="205"/>
      <c r="KN215" s="205"/>
      <c r="KO215" s="205"/>
      <c r="KP215" s="120"/>
      <c r="KQ215" s="120"/>
      <c r="KR215" s="120"/>
      <c r="KS215" s="120"/>
      <c r="KT215" s="120"/>
      <c r="KU215" s="205"/>
      <c r="KV215" s="205"/>
      <c r="KW215" s="205"/>
      <c r="KX215" s="120"/>
      <c r="KY215" s="120"/>
      <c r="KZ215" s="120"/>
      <c r="LA215" s="120"/>
      <c r="LB215" s="120"/>
      <c r="LC215" s="205"/>
      <c r="LD215" s="205"/>
      <c r="LE215" s="205"/>
      <c r="LF215" s="205"/>
      <c r="LG215" s="120"/>
      <c r="LH215" s="120"/>
      <c r="LI215" s="120"/>
      <c r="LJ215" s="120"/>
      <c r="LK215" s="205"/>
      <c r="LL215" s="205"/>
      <c r="LM215" s="205"/>
      <c r="LN215" s="205"/>
      <c r="LO215" s="205"/>
      <c r="LP215" s="120"/>
      <c r="LQ215" s="120"/>
      <c r="LR215" s="120"/>
      <c r="LS215" s="205"/>
      <c r="LT215" s="205"/>
      <c r="LU215" s="205"/>
      <c r="LV215" s="205"/>
      <c r="LW215" s="120"/>
      <c r="LX215" s="120"/>
      <c r="LY215" s="124"/>
      <c r="LZ215" s="120"/>
      <c r="MA215" s="120"/>
      <c r="MB215" s="205"/>
      <c r="MC215" s="205"/>
      <c r="MD215" s="205"/>
      <c r="ME215" s="120"/>
      <c r="MF215" s="120"/>
      <c r="MG215" s="120"/>
      <c r="MH215" s="201"/>
      <c r="MI215" s="205"/>
      <c r="MJ215" s="205"/>
      <c r="MK215" s="205"/>
      <c r="ML215" s="205"/>
      <c r="MM215" s="120"/>
      <c r="MN215" s="120"/>
      <c r="MO215" s="120"/>
      <c r="MP215" s="120"/>
      <c r="MQ215" s="120"/>
      <c r="MR215" s="205"/>
      <c r="MS215" s="205"/>
      <c r="MT215" s="205"/>
      <c r="MU215" s="205"/>
      <c r="MV215" s="120"/>
      <c r="MW215" s="120"/>
      <c r="MX215" s="195"/>
      <c r="MY215" s="120"/>
      <c r="MZ215" s="120"/>
      <c r="NA215" s="205"/>
      <c r="NB215" s="205"/>
      <c r="NC215" s="205"/>
      <c r="ND215" s="120"/>
      <c r="NE215" s="120"/>
      <c r="NF215" s="120"/>
      <c r="NG215" s="120"/>
      <c r="NH215" s="120"/>
      <c r="NI215" s="205"/>
      <c r="NJ215" s="205"/>
      <c r="NK215" s="205"/>
      <c r="NL215" s="120"/>
      <c r="NM215" s="120"/>
      <c r="NN215" s="120"/>
      <c r="NO215" s="120"/>
      <c r="NP215" s="120"/>
      <c r="NQ215" s="205"/>
      <c r="NR215" s="205"/>
      <c r="NS215" s="205"/>
      <c r="NT215" s="217"/>
      <c r="NU215" s="120"/>
      <c r="NV215" s="120"/>
      <c r="NW215" s="120"/>
      <c r="NX215" s="120"/>
      <c r="NY215" s="205"/>
      <c r="NZ215" s="205"/>
      <c r="OA215" s="205"/>
      <c r="OB215" s="205"/>
      <c r="OC215" s="120"/>
      <c r="OD215" s="120"/>
      <c r="OE215" s="120"/>
      <c r="OF215" s="120"/>
      <c r="OG215" s="120"/>
      <c r="OH215" s="205"/>
      <c r="OI215" s="205"/>
      <c r="OJ215" s="205"/>
      <c r="OK215" s="120"/>
      <c r="OL215" s="120"/>
      <c r="OM215" s="120"/>
      <c r="ON215" s="120"/>
      <c r="OO215" s="120"/>
      <c r="OP215" s="205"/>
      <c r="OQ215" s="205"/>
      <c r="OR215" s="205"/>
      <c r="OS215" s="120"/>
      <c r="OT215" s="120"/>
      <c r="OU215" s="120"/>
      <c r="OV215" s="120"/>
      <c r="OW215" s="120"/>
      <c r="OX215" s="205"/>
      <c r="OY215" s="205"/>
      <c r="OZ215" s="205"/>
      <c r="PA215" s="120"/>
      <c r="PB215" s="120"/>
      <c r="PC215" s="120"/>
      <c r="PD215" s="205"/>
      <c r="PE215" s="217"/>
      <c r="PF215" s="205"/>
      <c r="PG215" s="205"/>
      <c r="PH215" s="205"/>
      <c r="PI215" s="120"/>
      <c r="PJ215" s="120"/>
      <c r="PK215" s="120"/>
      <c r="PL215" s="205"/>
      <c r="PM215" s="217"/>
      <c r="PN215" s="205"/>
      <c r="PO215" s="205"/>
      <c r="PP215" s="205"/>
      <c r="PQ215" s="205"/>
      <c r="PR215" s="120"/>
      <c r="PS215" s="207"/>
      <c r="PT215" s="207"/>
      <c r="PU215" s="207"/>
      <c r="PV215" s="207"/>
      <c r="PW215" s="272"/>
      <c r="PX215" s="272"/>
      <c r="PY215" s="205"/>
      <c r="PZ215" s="207"/>
      <c r="QA215" s="207"/>
      <c r="QB215" s="207"/>
      <c r="QC215" s="207"/>
      <c r="QD215" s="207"/>
      <c r="QE215" s="272"/>
      <c r="QF215" s="272"/>
      <c r="QG215" s="205"/>
      <c r="QH215" s="207"/>
      <c r="QI215" s="207"/>
      <c r="QJ215" s="294"/>
      <c r="QK215" s="207"/>
      <c r="QL215" s="207"/>
      <c r="QM215" s="272"/>
      <c r="QN215" s="272"/>
      <c r="QO215" s="205"/>
      <c r="QP215" s="207"/>
      <c r="QQ215" s="120"/>
      <c r="QR215" s="207"/>
      <c r="QS215" s="207"/>
      <c r="QT215" s="207"/>
      <c r="QU215" s="272"/>
      <c r="QV215" s="272"/>
      <c r="QW215" s="205"/>
      <c r="QX215" s="205">
        <f t="shared" si="2139"/>
        <v>0</v>
      </c>
      <c r="QY215" s="120"/>
      <c r="QZ215" s="120"/>
      <c r="RA215" s="120"/>
      <c r="RB215" s="120"/>
      <c r="RC215" s="120"/>
      <c r="RD215" s="272"/>
      <c r="RE215" s="272"/>
      <c r="RF215" s="205">
        <f t="shared" si="2095"/>
        <v>0</v>
      </c>
      <c r="RG215" s="207"/>
      <c r="RH215" s="207"/>
      <c r="RI215" s="207"/>
      <c r="RJ215" s="207"/>
      <c r="RK215" s="207"/>
      <c r="RL215" s="272"/>
      <c r="RM215" s="272"/>
      <c r="RN215" s="205">
        <f t="shared" si="2096"/>
        <v>0</v>
      </c>
      <c r="RO215" s="272"/>
      <c r="RP215" s="272"/>
      <c r="RQ215" s="272"/>
      <c r="RR215" s="272"/>
      <c r="RS215" s="272"/>
      <c r="RT215" s="272"/>
      <c r="RU215" s="272"/>
      <c r="RV215" s="205">
        <f t="shared" si="2097"/>
        <v>0</v>
      </c>
      <c r="RW215" s="207"/>
      <c r="RX215" s="207"/>
      <c r="RY215" s="207"/>
      <c r="RZ215" s="207"/>
      <c r="SA215" s="272"/>
      <c r="SB215" s="272"/>
      <c r="SC215" s="272"/>
      <c r="SD215" s="205">
        <f t="shared" si="2140"/>
        <v>0</v>
      </c>
      <c r="SE215" s="205">
        <f t="shared" si="2141"/>
        <v>0</v>
      </c>
      <c r="SF215" s="207"/>
      <c r="SG215" s="207"/>
      <c r="SH215" s="207"/>
      <c r="SI215" s="207"/>
      <c r="SJ215" s="207"/>
      <c r="SK215" s="272"/>
      <c r="SL215" s="272"/>
      <c r="SM215" s="205">
        <f t="shared" si="2100"/>
        <v>0</v>
      </c>
      <c r="SN215" s="207"/>
      <c r="SO215" s="207"/>
      <c r="SP215" s="207"/>
      <c r="SQ215" s="207"/>
      <c r="SR215" s="207"/>
      <c r="SS215" s="272"/>
      <c r="ST215" s="272"/>
      <c r="SU215" s="205">
        <f t="shared" si="2101"/>
        <v>0</v>
      </c>
      <c r="SV215" s="207"/>
      <c r="SW215" s="207"/>
      <c r="SX215" s="207"/>
      <c r="SY215" s="207"/>
      <c r="SZ215" s="207"/>
      <c r="TA215" s="272"/>
      <c r="TB215" s="272"/>
      <c r="TC215" s="205">
        <f t="shared" si="2102"/>
        <v>0</v>
      </c>
      <c r="TD215" s="207"/>
      <c r="TE215" s="207"/>
      <c r="TF215" s="207"/>
      <c r="TG215" s="207"/>
      <c r="TH215" s="207"/>
      <c r="TI215" s="272"/>
      <c r="TJ215" s="272"/>
      <c r="TK215" s="205">
        <f t="shared" si="2142"/>
        <v>0</v>
      </c>
      <c r="TL215" s="140"/>
      <c r="TM215" s="140"/>
      <c r="TN215" s="140"/>
      <c r="TO215" s="356"/>
      <c r="TP215" s="370"/>
      <c r="TQ215" s="272"/>
      <c r="TR215" s="272"/>
      <c r="TS215" s="205">
        <f t="shared" si="2135"/>
        <v>0</v>
      </c>
      <c r="TT215" s="205">
        <f t="shared" si="2136"/>
        <v>0</v>
      </c>
      <c r="TU215" s="272"/>
      <c r="TV215" s="207"/>
      <c r="TW215" s="120"/>
      <c r="TX215" s="207"/>
      <c r="TY215" s="207"/>
      <c r="TZ215" s="272"/>
      <c r="UA215" s="272"/>
      <c r="UB215" s="205">
        <f t="shared" si="2012"/>
        <v>0</v>
      </c>
      <c r="UC215" s="207"/>
      <c r="UE215" s="120"/>
      <c r="UG215" s="207"/>
      <c r="UH215" s="272"/>
      <c r="UI215" s="272"/>
      <c r="UJ215" s="205">
        <f t="shared" si="2013"/>
        <v>0</v>
      </c>
      <c r="UK215" s="207"/>
      <c r="UL215" s="207"/>
      <c r="UM215" s="207"/>
      <c r="UN215" s="207"/>
      <c r="UP215" s="272"/>
      <c r="UQ215" s="272"/>
      <c r="UR215" s="205">
        <f>SUM(UL215:UQ215)</f>
        <v>0</v>
      </c>
      <c r="US215" s="207"/>
      <c r="UT215" s="207"/>
      <c r="UV215" s="207"/>
      <c r="UW215" s="272"/>
      <c r="UX215" s="272"/>
      <c r="UY215" s="272"/>
      <c r="UZ215" s="205">
        <f t="shared" si="2145"/>
        <v>0</v>
      </c>
      <c r="VA215" s="205">
        <f>SUM(TN215:TR215,UB215,UJ215,UR215,US215:UV215)</f>
        <v>0</v>
      </c>
      <c r="VB215" s="385">
        <v>160</v>
      </c>
      <c r="VC215" s="120"/>
      <c r="VD215" s="207"/>
      <c r="VE215" s="207"/>
      <c r="VF215" s="123">
        <v>1000</v>
      </c>
      <c r="VG215" s="272"/>
      <c r="VH215" s="272"/>
      <c r="VI215" s="205">
        <f t="shared" si="2005"/>
        <v>1160</v>
      </c>
      <c r="VJ215" s="207"/>
      <c r="VK215" s="207"/>
      <c r="VM215" s="207"/>
      <c r="VN215" s="207"/>
      <c r="VO215" s="272"/>
      <c r="VP215" s="272"/>
      <c r="VQ215" s="205">
        <f t="shared" si="2015"/>
        <v>0</v>
      </c>
      <c r="VR215" s="207"/>
      <c r="VS215" s="207"/>
      <c r="VT215" s="207"/>
      <c r="VU215" s="207"/>
      <c r="VV215" s="207"/>
      <c r="VW215" s="272"/>
      <c r="VX215" s="272"/>
      <c r="VY215" s="205">
        <f t="shared" si="2006"/>
        <v>0</v>
      </c>
      <c r="VZ215" s="207"/>
      <c r="WA215" s="207"/>
      <c r="WB215" s="207"/>
      <c r="WC215" s="207"/>
      <c r="WD215" s="207"/>
      <c r="WE215" s="272"/>
      <c r="WF215" s="272"/>
      <c r="WG215" s="205">
        <f t="shared" si="2007"/>
        <v>0</v>
      </c>
      <c r="WH215" s="205">
        <f t="shared" si="2008"/>
        <v>1160</v>
      </c>
      <c r="WI215" s="207"/>
      <c r="WJ215" s="207"/>
      <c r="WK215" s="207"/>
      <c r="WL215" s="207"/>
      <c r="WM215" s="392">
        <v>160</v>
      </c>
      <c r="WN215" s="272"/>
      <c r="WO215" s="272"/>
      <c r="WP215" s="205">
        <f>SUM(WI215:WO215)</f>
        <v>160</v>
      </c>
      <c r="WQ215" s="207"/>
      <c r="WR215" s="207"/>
      <c r="WS215" s="207"/>
      <c r="WT215" s="124">
        <v>1000</v>
      </c>
      <c r="WU215" s="207"/>
      <c r="WV215" s="272"/>
      <c r="WW215" s="272"/>
      <c r="WX215" s="205">
        <f t="shared" si="2017"/>
        <v>1000</v>
      </c>
      <c r="WY215" s="207"/>
      <c r="WZ215" s="207"/>
      <c r="XA215" s="207"/>
      <c r="XB215" s="207"/>
      <c r="XC215" s="272"/>
      <c r="XD215" s="272"/>
      <c r="XE215" s="272"/>
      <c r="XF215" s="205">
        <f t="shared" si="2009"/>
        <v>0</v>
      </c>
      <c r="XG215" s="207"/>
      <c r="XH215" s="207"/>
      <c r="XI215" s="207"/>
      <c r="XJ215" s="207"/>
      <c r="XK215" s="207"/>
      <c r="XL215" s="272"/>
      <c r="XM215" s="272"/>
      <c r="XN215" s="205">
        <f t="shared" si="2105"/>
        <v>0</v>
      </c>
      <c r="XO215" s="207"/>
      <c r="XP215" s="207"/>
      <c r="XQ215" s="207"/>
      <c r="XR215" s="207"/>
      <c r="XS215" s="207"/>
      <c r="XT215" s="272"/>
      <c r="XU215" s="272"/>
      <c r="XV215" s="205">
        <f t="shared" si="2137"/>
        <v>0</v>
      </c>
      <c r="XW215" s="205">
        <f t="shared" si="2138"/>
        <v>1160</v>
      </c>
      <c r="XX215" s="207"/>
      <c r="XY215" s="207"/>
      <c r="XZ215" s="207"/>
      <c r="YA215" s="207"/>
      <c r="YB215" s="207"/>
      <c r="YC215" s="272"/>
      <c r="YD215" s="272"/>
      <c r="YE215" s="205">
        <f t="shared" si="2018"/>
        <v>0</v>
      </c>
      <c r="YF215" s="207"/>
      <c r="YG215" s="207"/>
      <c r="YH215" s="207"/>
      <c r="YI215" s="207"/>
      <c r="YJ215" s="207"/>
      <c r="YK215" s="272"/>
      <c r="YL215" s="272"/>
      <c r="YM215" s="205">
        <f t="shared" si="2019"/>
        <v>0</v>
      </c>
      <c r="YN215" s="207"/>
      <c r="YO215" s="207"/>
      <c r="YP215" s="207"/>
      <c r="YQ215" s="207"/>
      <c r="YR215" s="207"/>
      <c r="YS215" s="272"/>
      <c r="YT215" s="272"/>
      <c r="YU215" s="205">
        <f t="shared" si="2020"/>
        <v>0</v>
      </c>
      <c r="YV215" s="207"/>
      <c r="YW215" s="207"/>
      <c r="YX215" s="207"/>
      <c r="YY215" s="207"/>
      <c r="YZ215" s="207"/>
      <c r="ZA215" s="272"/>
      <c r="ZB215" s="272"/>
      <c r="ZC215" s="205">
        <f t="shared" si="2021"/>
        <v>0</v>
      </c>
      <c r="ZD215" s="205">
        <f t="shared" si="2022"/>
        <v>1160</v>
      </c>
      <c r="ZE215" s="207"/>
      <c r="ZF215" s="207"/>
      <c r="ZG215" s="207"/>
      <c r="ZH215" s="207"/>
      <c r="ZI215" s="207"/>
      <c r="ZJ215" s="272"/>
      <c r="ZK215" s="272"/>
      <c r="ZL215" s="205">
        <f t="shared" si="2023"/>
        <v>0</v>
      </c>
      <c r="ZM215" s="207"/>
      <c r="ZN215" s="207"/>
      <c r="ZO215" s="207"/>
      <c r="ZP215" s="207"/>
      <c r="ZQ215" s="207"/>
      <c r="ZR215" s="272"/>
      <c r="ZS215" s="272"/>
      <c r="ZT215" s="205">
        <f t="shared" si="2010"/>
        <v>0</v>
      </c>
      <c r="ZU215" s="207"/>
      <c r="ZV215" s="207"/>
      <c r="ZW215" s="207"/>
      <c r="ZX215" s="207"/>
      <c r="ZY215" s="207"/>
      <c r="ZZ215" s="272"/>
      <c r="AAA215" s="272"/>
      <c r="AAB215" s="205">
        <f t="shared" si="2024"/>
        <v>0</v>
      </c>
      <c r="AAC215" s="207"/>
      <c r="AAD215" s="207"/>
      <c r="AAE215" s="207"/>
      <c r="AAF215" s="207"/>
      <c r="AAG215" s="207"/>
      <c r="AAH215" s="272"/>
      <c r="AAI215" s="272"/>
      <c r="AAJ215" s="205">
        <f t="shared" si="2011"/>
        <v>0</v>
      </c>
      <c r="AAK215" s="207"/>
      <c r="AAL215" s="207"/>
      <c r="AAM215" s="207"/>
      <c r="AAN215" s="207"/>
      <c r="AAO215" s="207"/>
      <c r="AAP215" s="272"/>
      <c r="AAQ215" s="272"/>
      <c r="AAR215" s="205">
        <f t="shared" si="2025"/>
        <v>0</v>
      </c>
      <c r="AAS215" s="205">
        <f t="shared" si="2026"/>
        <v>0</v>
      </c>
    </row>
    <row r="216" spans="1:721" ht="123.95" hidden="1" customHeight="1">
      <c r="B216" s="309"/>
      <c r="C216" s="362"/>
      <c r="D216" s="367" t="s">
        <v>935</v>
      </c>
      <c r="E216" s="130"/>
      <c r="F216" s="120"/>
      <c r="G216" s="120"/>
      <c r="H216" s="120"/>
      <c r="I216" s="120"/>
      <c r="J216" s="120"/>
      <c r="K216" s="209"/>
      <c r="L216" s="205"/>
      <c r="M216" s="205">
        <f t="shared" si="2108"/>
        <v>0</v>
      </c>
      <c r="N216" s="120"/>
      <c r="O216" s="120"/>
      <c r="P216" s="120"/>
      <c r="Q216" s="120"/>
      <c r="R216" s="120"/>
      <c r="S216" s="209"/>
      <c r="T216" s="205"/>
      <c r="U216" s="205"/>
      <c r="V216" s="120"/>
      <c r="W216" s="120"/>
      <c r="X216" s="120"/>
      <c r="Y216" s="120"/>
      <c r="Z216" s="120"/>
      <c r="AA216" s="209"/>
      <c r="AB216" s="205"/>
      <c r="AC216" s="205"/>
      <c r="AD216" s="205"/>
      <c r="AE216" s="205"/>
      <c r="AF216" s="205"/>
      <c r="AG216" s="205"/>
      <c r="AH216" s="205"/>
      <c r="AI216" s="209"/>
      <c r="AJ216" s="205"/>
      <c r="AK216" s="205"/>
      <c r="AL216" s="205"/>
      <c r="AM216" s="120"/>
      <c r="AN216" s="120"/>
      <c r="AO216" s="120"/>
      <c r="AP216" s="120"/>
      <c r="AQ216" s="120"/>
      <c r="AR216" s="209"/>
      <c r="AS216" s="205"/>
      <c r="AT216" s="205"/>
      <c r="AU216" s="120"/>
      <c r="AV216" s="120"/>
      <c r="AW216" s="120"/>
      <c r="AX216" s="120"/>
      <c r="AY216" s="120"/>
      <c r="AZ216" s="209"/>
      <c r="BA216" s="205"/>
      <c r="BB216" s="205"/>
      <c r="BC216" s="120"/>
      <c r="BD216" s="120"/>
      <c r="BE216" s="120"/>
      <c r="BF216" s="120"/>
      <c r="BG216" s="120"/>
      <c r="BH216" s="209"/>
      <c r="BI216" s="205"/>
      <c r="BJ216" s="205"/>
      <c r="BK216" s="120"/>
      <c r="BL216" s="120"/>
      <c r="BM216" s="217"/>
      <c r="BN216" s="120"/>
      <c r="BO216" s="205"/>
      <c r="BP216" s="209"/>
      <c r="BQ216" s="205"/>
      <c r="BR216" s="205"/>
      <c r="BS216" s="205"/>
      <c r="BT216" s="120"/>
      <c r="BU216" s="250"/>
      <c r="BV216" s="120"/>
      <c r="BW216" s="120"/>
      <c r="BX216" s="120"/>
      <c r="BY216" s="209"/>
      <c r="BZ216" s="205"/>
      <c r="CA216" s="205"/>
      <c r="CB216" s="120"/>
      <c r="CC216" s="120"/>
      <c r="CD216" s="120"/>
      <c r="CE216" s="120"/>
      <c r="CF216" s="120"/>
      <c r="CG216" s="209"/>
      <c r="CH216" s="205"/>
      <c r="CI216" s="205"/>
      <c r="CJ216" s="120"/>
      <c r="CK216" s="120"/>
      <c r="CL216" s="250"/>
      <c r="CM216" s="120"/>
      <c r="CN216" s="120"/>
      <c r="CO216" s="209"/>
      <c r="CP216" s="205"/>
      <c r="CQ216" s="205"/>
      <c r="CR216" s="120"/>
      <c r="CS216" s="120"/>
      <c r="CT216" s="120"/>
      <c r="CU216" s="120"/>
      <c r="CV216" s="120"/>
      <c r="CW216" s="209"/>
      <c r="CX216" s="205"/>
      <c r="CY216" s="205"/>
      <c r="CZ216" s="120"/>
      <c r="DA216" s="120"/>
      <c r="DB216" s="120"/>
      <c r="DC216" s="205"/>
      <c r="DD216" s="205"/>
      <c r="DE216" s="209"/>
      <c r="DF216" s="205"/>
      <c r="DG216" s="205"/>
      <c r="DH216" s="205"/>
      <c r="DI216" s="120"/>
      <c r="DJ216" s="120"/>
      <c r="DK216" s="120"/>
      <c r="DL216" s="120"/>
      <c r="DM216" s="120"/>
      <c r="DN216" s="209"/>
      <c r="DO216" s="205"/>
      <c r="DP216" s="205"/>
      <c r="DQ216" s="217"/>
      <c r="DR216" s="120"/>
      <c r="DS216" s="120"/>
      <c r="DT216" s="120"/>
      <c r="DU216" s="120"/>
      <c r="DV216" s="209"/>
      <c r="DW216" s="205"/>
      <c r="DX216" s="205"/>
      <c r="DY216" s="120"/>
      <c r="DZ216" s="120"/>
      <c r="EA216" s="120"/>
      <c r="EB216" s="120"/>
      <c r="EC216" s="120"/>
      <c r="ED216" s="209"/>
      <c r="EE216" s="205"/>
      <c r="EF216" s="205"/>
      <c r="EG216" s="120"/>
      <c r="EH216" s="120"/>
      <c r="EI216" s="120"/>
      <c r="EJ216" s="205"/>
      <c r="EK216" s="205"/>
      <c r="EL216" s="209"/>
      <c r="EM216" s="205"/>
      <c r="EN216" s="205"/>
      <c r="EO216" s="205"/>
      <c r="EP216" s="120"/>
      <c r="EQ216" s="250"/>
      <c r="ER216" s="120"/>
      <c r="ES216" s="120"/>
      <c r="ET216" s="120"/>
      <c r="EU216" s="209"/>
      <c r="EV216" s="205"/>
      <c r="EW216" s="205"/>
      <c r="EX216" s="120"/>
      <c r="EY216" s="120"/>
      <c r="EZ216" s="120"/>
      <c r="FA216" s="120"/>
      <c r="FB216" s="120"/>
      <c r="FC216" s="209"/>
      <c r="FD216" s="205"/>
      <c r="FE216" s="205"/>
      <c r="FF216" s="120"/>
      <c r="FG216" s="195"/>
      <c r="FH216" s="120"/>
      <c r="FI216" s="120"/>
      <c r="FJ216" s="120"/>
      <c r="FK216" s="209"/>
      <c r="FL216" s="205"/>
      <c r="FM216" s="205"/>
      <c r="FN216" s="120"/>
      <c r="FO216" s="120"/>
      <c r="FP216" s="120"/>
      <c r="FQ216" s="120"/>
      <c r="FR216" s="205"/>
      <c r="FS216" s="209"/>
      <c r="FT216" s="205"/>
      <c r="FU216" s="205"/>
      <c r="FV216" s="205"/>
      <c r="FW216" s="120"/>
      <c r="FX216" s="120"/>
      <c r="FY216" s="120"/>
      <c r="FZ216" s="120"/>
      <c r="GA216" s="120"/>
      <c r="GB216" s="209"/>
      <c r="GC216" s="205"/>
      <c r="GD216" s="205"/>
      <c r="GE216" s="120"/>
      <c r="GF216" s="120"/>
      <c r="GG216" s="120"/>
      <c r="GH216" s="120"/>
      <c r="GI216" s="120"/>
      <c r="GJ216" s="209"/>
      <c r="GK216" s="205"/>
      <c r="GL216" s="205"/>
      <c r="GM216" s="120"/>
      <c r="GN216" s="120"/>
      <c r="GO216" s="120"/>
      <c r="GP216" s="120"/>
      <c r="GQ216" s="120"/>
      <c r="GR216" s="209"/>
      <c r="GS216" s="205"/>
      <c r="GT216" s="205"/>
      <c r="GU216" s="120"/>
      <c r="GV216" s="120"/>
      <c r="GW216" s="120"/>
      <c r="GX216" s="120"/>
      <c r="GY216" s="120"/>
      <c r="GZ216" s="209"/>
      <c r="HA216" s="205"/>
      <c r="HB216" s="205"/>
      <c r="HC216" s="120"/>
      <c r="HD216" s="120"/>
      <c r="HE216" s="120"/>
      <c r="HF216" s="120"/>
      <c r="HG216" s="120"/>
      <c r="HH216" s="209"/>
      <c r="HI216" s="205"/>
      <c r="HJ216" s="205"/>
      <c r="HK216" s="205"/>
      <c r="HL216" s="124"/>
      <c r="HM216" s="120"/>
      <c r="HN216" s="120"/>
      <c r="HO216" s="123"/>
      <c r="HP216" s="120"/>
      <c r="HQ216" s="205"/>
      <c r="HR216" s="205"/>
      <c r="HS216" s="205"/>
      <c r="HT216" s="120"/>
      <c r="HU216" s="120"/>
      <c r="HV216" s="120"/>
      <c r="HW216" s="120"/>
      <c r="HX216" s="120"/>
      <c r="HY216" s="205"/>
      <c r="HZ216" s="205"/>
      <c r="IA216" s="205"/>
      <c r="IB216" s="120"/>
      <c r="IC216" s="120"/>
      <c r="ID216" s="120"/>
      <c r="IE216" s="120"/>
      <c r="IF216" s="120"/>
      <c r="IG216" s="205"/>
      <c r="IH216" s="205"/>
      <c r="II216" s="205"/>
      <c r="IJ216" s="120"/>
      <c r="IK216" s="120"/>
      <c r="IL216" s="201"/>
      <c r="IM216" s="120"/>
      <c r="IN216" s="120"/>
      <c r="IO216" s="205"/>
      <c r="IP216" s="205"/>
      <c r="IQ216" s="205"/>
      <c r="IR216" s="205"/>
      <c r="IS216" s="120"/>
      <c r="IT216" s="120"/>
      <c r="IU216" s="120"/>
      <c r="IV216" s="120"/>
      <c r="IW216" s="120"/>
      <c r="IX216" s="205"/>
      <c r="IY216" s="205"/>
      <c r="IZ216" s="205"/>
      <c r="JA216" s="120"/>
      <c r="JB216" s="120"/>
      <c r="JC216" s="120"/>
      <c r="JD216" s="120"/>
      <c r="JE216" s="120"/>
      <c r="JF216" s="205"/>
      <c r="JG216" s="205"/>
      <c r="JH216" s="205"/>
      <c r="JI216" s="120"/>
      <c r="JJ216" s="120"/>
      <c r="JK216" s="120"/>
      <c r="JL216" s="120"/>
      <c r="JM216" s="120"/>
      <c r="JN216" s="205"/>
      <c r="JO216" s="205"/>
      <c r="JP216" s="205"/>
      <c r="JQ216" s="120"/>
      <c r="JR216" s="120"/>
      <c r="JS216" s="120"/>
      <c r="JT216" s="120"/>
      <c r="JU216" s="120"/>
      <c r="JV216" s="205"/>
      <c r="JW216" s="205"/>
      <c r="JX216" s="205"/>
      <c r="JY216" s="205"/>
      <c r="JZ216" s="120"/>
      <c r="KA216" s="120"/>
      <c r="KB216" s="120"/>
      <c r="KC216" s="120"/>
      <c r="KD216" s="120"/>
      <c r="KE216" s="205"/>
      <c r="KF216" s="205"/>
      <c r="KG216" s="205"/>
      <c r="KH216" s="120"/>
      <c r="KI216" s="120"/>
      <c r="KJ216" s="120"/>
      <c r="KK216" s="206"/>
      <c r="KL216" s="120"/>
      <c r="KM216" s="205"/>
      <c r="KN216" s="205"/>
      <c r="KO216" s="205"/>
      <c r="KP216" s="120"/>
      <c r="KQ216" s="120"/>
      <c r="KR216" s="120"/>
      <c r="KS216" s="120"/>
      <c r="KT216" s="120"/>
      <c r="KU216" s="205"/>
      <c r="KV216" s="205"/>
      <c r="KW216" s="205"/>
      <c r="KX216" s="120"/>
      <c r="KY216" s="120"/>
      <c r="KZ216" s="120"/>
      <c r="LA216" s="120"/>
      <c r="LB216" s="120"/>
      <c r="LC216" s="205"/>
      <c r="LD216" s="205"/>
      <c r="LE216" s="205"/>
      <c r="LF216" s="205"/>
      <c r="LG216" s="120"/>
      <c r="LH216" s="120"/>
      <c r="LI216" s="120"/>
      <c r="LJ216" s="120"/>
      <c r="LK216" s="205"/>
      <c r="LL216" s="205"/>
      <c r="LM216" s="205"/>
      <c r="LN216" s="205"/>
      <c r="LO216" s="205"/>
      <c r="LP216" s="120"/>
      <c r="LQ216" s="120"/>
      <c r="LR216" s="120"/>
      <c r="LS216" s="205"/>
      <c r="LT216" s="205"/>
      <c r="LU216" s="205"/>
      <c r="LV216" s="205"/>
      <c r="LW216" s="120"/>
      <c r="LX216" s="120"/>
      <c r="LY216" s="124"/>
      <c r="LZ216" s="120"/>
      <c r="MA216" s="120"/>
      <c r="MB216" s="205"/>
      <c r="MC216" s="205"/>
      <c r="MD216" s="205"/>
      <c r="ME216" s="120"/>
      <c r="MF216" s="120"/>
      <c r="MG216" s="120"/>
      <c r="MH216" s="201"/>
      <c r="MI216" s="205"/>
      <c r="MJ216" s="205"/>
      <c r="MK216" s="205"/>
      <c r="ML216" s="205"/>
      <c r="MM216" s="120"/>
      <c r="MN216" s="120"/>
      <c r="MO216" s="120"/>
      <c r="MP216" s="120"/>
      <c r="MQ216" s="120"/>
      <c r="MR216" s="205"/>
      <c r="MS216" s="205"/>
      <c r="MT216" s="205"/>
      <c r="MU216" s="205"/>
      <c r="MV216" s="120"/>
      <c r="MW216" s="120"/>
      <c r="MX216" s="195"/>
      <c r="MY216" s="120"/>
      <c r="MZ216" s="120"/>
      <c r="NA216" s="205"/>
      <c r="NB216" s="205"/>
      <c r="NC216" s="205"/>
      <c r="ND216" s="120"/>
      <c r="NE216" s="120"/>
      <c r="NF216" s="120"/>
      <c r="NG216" s="120"/>
      <c r="NH216" s="120"/>
      <c r="NI216" s="205"/>
      <c r="NJ216" s="205"/>
      <c r="NK216" s="205"/>
      <c r="NL216" s="120"/>
      <c r="NM216" s="120"/>
      <c r="NN216" s="120"/>
      <c r="NO216" s="120"/>
      <c r="NP216" s="120"/>
      <c r="NQ216" s="205"/>
      <c r="NR216" s="205"/>
      <c r="NS216" s="205"/>
      <c r="NT216" s="217"/>
      <c r="NU216" s="120"/>
      <c r="NV216" s="120"/>
      <c r="NW216" s="120"/>
      <c r="NX216" s="120"/>
      <c r="NY216" s="205"/>
      <c r="NZ216" s="205"/>
      <c r="OA216" s="205"/>
      <c r="OB216" s="205"/>
      <c r="OC216" s="120"/>
      <c r="OD216" s="120"/>
      <c r="OE216" s="120"/>
      <c r="OF216" s="120"/>
      <c r="OG216" s="120"/>
      <c r="OH216" s="205"/>
      <c r="OI216" s="205"/>
      <c r="OJ216" s="205"/>
      <c r="OK216" s="120"/>
      <c r="OL216" s="120"/>
      <c r="OM216" s="120"/>
      <c r="ON216" s="120"/>
      <c r="OO216" s="120"/>
      <c r="OP216" s="205"/>
      <c r="OQ216" s="205"/>
      <c r="OR216" s="205"/>
      <c r="OS216" s="120"/>
      <c r="OT216" s="120"/>
      <c r="OU216" s="120"/>
      <c r="OV216" s="120"/>
      <c r="OW216" s="120"/>
      <c r="OX216" s="205"/>
      <c r="OY216" s="205"/>
      <c r="OZ216" s="205"/>
      <c r="PA216" s="120"/>
      <c r="PB216" s="120"/>
      <c r="PC216" s="120"/>
      <c r="PD216" s="205"/>
      <c r="PE216" s="217"/>
      <c r="PF216" s="205"/>
      <c r="PG216" s="205"/>
      <c r="PH216" s="205"/>
      <c r="PI216" s="120"/>
      <c r="PJ216" s="120"/>
      <c r="PK216" s="120"/>
      <c r="PL216" s="205"/>
      <c r="PM216" s="217"/>
      <c r="PN216" s="205"/>
      <c r="PO216" s="205"/>
      <c r="PP216" s="205"/>
      <c r="PQ216" s="205"/>
      <c r="PR216" s="120"/>
      <c r="PS216" s="207"/>
      <c r="PT216" s="207"/>
      <c r="PU216" s="207"/>
      <c r="PV216" s="207"/>
      <c r="PW216" s="272"/>
      <c r="PX216" s="272"/>
      <c r="PY216" s="205"/>
      <c r="PZ216" s="207"/>
      <c r="QA216" s="207"/>
      <c r="QB216" s="207"/>
      <c r="QC216" s="207"/>
      <c r="QD216" s="207"/>
      <c r="QE216" s="272"/>
      <c r="QF216" s="272"/>
      <c r="QG216" s="205"/>
      <c r="QH216" s="207"/>
      <c r="QI216" s="207"/>
      <c r="QJ216" s="294"/>
      <c r="QK216" s="207"/>
      <c r="QL216" s="207"/>
      <c r="QM216" s="272"/>
      <c r="QN216" s="272"/>
      <c r="QO216" s="205"/>
      <c r="QP216" s="207"/>
      <c r="QQ216" s="120"/>
      <c r="QR216" s="207"/>
      <c r="QS216" s="207"/>
      <c r="QT216" s="207"/>
      <c r="QU216" s="272"/>
      <c r="QV216" s="272"/>
      <c r="QW216" s="205"/>
      <c r="QX216" s="205"/>
      <c r="QY216" s="120"/>
      <c r="QZ216" s="120"/>
      <c r="RA216" s="120"/>
      <c r="RB216" s="120"/>
      <c r="RC216" s="120"/>
      <c r="RD216" s="272"/>
      <c r="RE216" s="272"/>
      <c r="RF216" s="205"/>
      <c r="RG216" s="207"/>
      <c r="RH216" s="207"/>
      <c r="RI216" s="207"/>
      <c r="RJ216" s="207"/>
      <c r="RK216" s="207"/>
      <c r="RL216" s="272"/>
      <c r="RM216" s="272"/>
      <c r="RN216" s="205"/>
      <c r="RO216" s="272"/>
      <c r="RP216" s="272"/>
      <c r="RQ216" s="272"/>
      <c r="RR216" s="272"/>
      <c r="RS216" s="272"/>
      <c r="RT216" s="272"/>
      <c r="RU216" s="272"/>
      <c r="RV216" s="205"/>
      <c r="RW216" s="207"/>
      <c r="RX216" s="207"/>
      <c r="RY216" s="207"/>
      <c r="RZ216" s="207"/>
      <c r="SA216" s="272"/>
      <c r="SB216" s="272"/>
      <c r="SC216" s="272"/>
      <c r="SD216" s="205"/>
      <c r="SE216" s="205"/>
      <c r="SF216" s="207"/>
      <c r="SG216" s="207"/>
      <c r="SH216" s="207"/>
      <c r="SI216" s="207"/>
      <c r="SJ216" s="207"/>
      <c r="SK216" s="272"/>
      <c r="SL216" s="272"/>
      <c r="SM216" s="205"/>
      <c r="SN216" s="207"/>
      <c r="SO216" s="207"/>
      <c r="SP216" s="207"/>
      <c r="SQ216" s="207"/>
      <c r="SR216" s="207"/>
      <c r="SS216" s="272"/>
      <c r="ST216" s="272"/>
      <c r="SU216" s="205"/>
      <c r="SV216" s="207"/>
      <c r="SW216" s="207"/>
      <c r="SX216" s="207"/>
      <c r="SY216" s="207"/>
      <c r="SZ216" s="207"/>
      <c r="TA216" s="272"/>
      <c r="TB216" s="272"/>
      <c r="TC216" s="205"/>
      <c r="TD216" s="207"/>
      <c r="TE216" s="207"/>
      <c r="TF216" s="207"/>
      <c r="TG216" s="207"/>
      <c r="TH216" s="207"/>
      <c r="TI216" s="272"/>
      <c r="TJ216" s="272"/>
      <c r="TK216" s="205"/>
      <c r="TL216" s="140"/>
      <c r="TM216" s="140"/>
      <c r="TN216" s="140"/>
      <c r="TO216" s="356"/>
      <c r="TP216" s="370"/>
      <c r="TQ216" s="272"/>
      <c r="TR216" s="272"/>
      <c r="TS216" s="205"/>
      <c r="TT216" s="205"/>
      <c r="TU216" s="272"/>
      <c r="TV216" s="207"/>
      <c r="TW216" s="120"/>
      <c r="TX216" s="140"/>
      <c r="TY216" s="207"/>
      <c r="TZ216" s="272"/>
      <c r="UA216" s="272"/>
      <c r="UB216" s="205">
        <f t="shared" si="2012"/>
        <v>0</v>
      </c>
      <c r="UC216" s="207"/>
      <c r="UD216" s="201"/>
      <c r="UE216" s="120"/>
      <c r="UF216" s="120"/>
      <c r="UG216" s="207"/>
      <c r="UH216" s="272"/>
      <c r="UI216" s="272"/>
      <c r="UJ216" s="205">
        <f t="shared" si="2013"/>
        <v>0</v>
      </c>
      <c r="UK216" s="207"/>
      <c r="UL216" s="207"/>
      <c r="UM216" s="207"/>
      <c r="UN216" s="207"/>
      <c r="UO216" s="120"/>
      <c r="UP216" s="272"/>
      <c r="UQ216" s="272"/>
      <c r="UR216" s="205">
        <f t="shared" si="2014"/>
        <v>0</v>
      </c>
      <c r="US216" s="207"/>
      <c r="UT216" s="207"/>
      <c r="UU216" s="207"/>
      <c r="UV216" s="207"/>
      <c r="UW216" s="272"/>
      <c r="UX216" s="272"/>
      <c r="UY216" s="272"/>
      <c r="UZ216" s="205">
        <f t="shared" si="2145"/>
        <v>0</v>
      </c>
      <c r="VA216" s="205">
        <f t="shared" si="2146"/>
        <v>0</v>
      </c>
      <c r="VB216" s="207"/>
      <c r="VC216" s="120"/>
      <c r="VD216" s="207"/>
      <c r="VE216" s="207"/>
      <c r="VF216" s="207"/>
      <c r="VG216" s="272"/>
      <c r="VH216" s="272"/>
      <c r="VI216" s="205">
        <f t="shared" si="2005"/>
        <v>0</v>
      </c>
      <c r="VJ216" s="207"/>
      <c r="VK216" s="207"/>
      <c r="VL216" s="207"/>
      <c r="VM216" s="207"/>
      <c r="VN216" s="207"/>
      <c r="VO216" s="272"/>
      <c r="VP216" s="272"/>
      <c r="VQ216" s="205">
        <f t="shared" si="2015"/>
        <v>0</v>
      </c>
      <c r="VR216" s="207"/>
      <c r="VS216" s="207"/>
      <c r="VT216" s="207"/>
      <c r="VU216" s="207"/>
      <c r="VV216" s="207"/>
      <c r="VW216" s="272"/>
      <c r="VX216" s="272"/>
      <c r="VY216" s="205">
        <f t="shared" si="2006"/>
        <v>0</v>
      </c>
      <c r="VZ216" s="207"/>
      <c r="WA216" s="207"/>
      <c r="WB216" s="207"/>
      <c r="WC216" s="207"/>
      <c r="WD216" s="207"/>
      <c r="WE216" s="272"/>
      <c r="WF216" s="272"/>
      <c r="WG216" s="205">
        <f t="shared" si="2007"/>
        <v>0</v>
      </c>
      <c r="WH216" s="205">
        <f t="shared" si="2008"/>
        <v>0</v>
      </c>
      <c r="WI216" s="207"/>
      <c r="WJ216" s="207"/>
      <c r="WK216" s="207"/>
      <c r="WL216" s="207"/>
      <c r="WM216" s="207"/>
      <c r="WN216" s="272"/>
      <c r="WO216" s="272"/>
      <c r="WP216" s="205">
        <f t="shared" si="2016"/>
        <v>0</v>
      </c>
      <c r="WQ216" s="207"/>
      <c r="WR216" s="207"/>
      <c r="WS216" s="207"/>
      <c r="WT216" s="207"/>
      <c r="WU216" s="207"/>
      <c r="WV216" s="272"/>
      <c r="WW216" s="272"/>
      <c r="WX216" s="205">
        <f t="shared" si="2017"/>
        <v>0</v>
      </c>
      <c r="WY216" s="207"/>
      <c r="WZ216" s="207"/>
      <c r="XA216" s="207"/>
      <c r="XB216" s="207"/>
      <c r="XC216" s="272"/>
      <c r="XD216" s="272"/>
      <c r="XE216" s="272"/>
      <c r="XF216" s="205">
        <f t="shared" si="2009"/>
        <v>0</v>
      </c>
      <c r="XG216" s="207"/>
      <c r="XH216" s="207"/>
      <c r="XI216" s="207"/>
      <c r="XJ216" s="207"/>
      <c r="XK216" s="207"/>
      <c r="XL216" s="272"/>
      <c r="XM216" s="272"/>
      <c r="XN216" s="205"/>
      <c r="XO216" s="207"/>
      <c r="XP216" s="207"/>
      <c r="XQ216" s="207"/>
      <c r="XR216" s="207"/>
      <c r="XS216" s="207"/>
      <c r="XT216" s="272"/>
      <c r="XU216" s="272"/>
      <c r="XV216" s="205"/>
      <c r="XW216" s="205"/>
      <c r="XX216" s="207"/>
      <c r="XY216" s="207"/>
      <c r="XZ216" s="207"/>
      <c r="YA216" s="207"/>
      <c r="YB216" s="207"/>
      <c r="YC216" s="272"/>
      <c r="YD216" s="272"/>
      <c r="YE216" s="205">
        <f t="shared" si="2018"/>
        <v>0</v>
      </c>
      <c r="YF216" s="207"/>
      <c r="YG216" s="207"/>
      <c r="YH216" s="207"/>
      <c r="YI216" s="207"/>
      <c r="YJ216" s="207"/>
      <c r="YK216" s="272"/>
      <c r="YL216" s="272"/>
      <c r="YM216" s="205">
        <f t="shared" si="2019"/>
        <v>0</v>
      </c>
      <c r="YN216" s="207"/>
      <c r="YO216" s="207"/>
      <c r="YP216" s="207"/>
      <c r="YQ216" s="207"/>
      <c r="YR216" s="207"/>
      <c r="YS216" s="272"/>
      <c r="YT216" s="272"/>
      <c r="YU216" s="205">
        <f t="shared" si="2020"/>
        <v>0</v>
      </c>
      <c r="YV216" s="207"/>
      <c r="YW216" s="207"/>
      <c r="YX216" s="207"/>
      <c r="YY216" s="207"/>
      <c r="YZ216" s="207"/>
      <c r="ZA216" s="272"/>
      <c r="ZB216" s="272"/>
      <c r="ZC216" s="205">
        <f t="shared" si="2021"/>
        <v>0</v>
      </c>
      <c r="ZD216" s="205">
        <f t="shared" si="2022"/>
        <v>0</v>
      </c>
      <c r="ZE216" s="207"/>
      <c r="ZF216" s="207"/>
      <c r="ZG216" s="207"/>
      <c r="ZH216" s="207"/>
      <c r="ZI216" s="207"/>
      <c r="ZJ216" s="272"/>
      <c r="ZK216" s="272"/>
      <c r="ZL216" s="205">
        <f t="shared" si="2023"/>
        <v>0</v>
      </c>
      <c r="ZM216" s="207"/>
      <c r="ZN216" s="207"/>
      <c r="ZO216" s="207"/>
      <c r="ZP216" s="207"/>
      <c r="ZQ216" s="207"/>
      <c r="ZR216" s="272"/>
      <c r="ZS216" s="272"/>
      <c r="ZT216" s="205">
        <f t="shared" si="2010"/>
        <v>0</v>
      </c>
      <c r="ZU216" s="207"/>
      <c r="ZV216" s="207"/>
      <c r="ZW216" s="207"/>
      <c r="ZX216" s="207"/>
      <c r="ZY216" s="207"/>
      <c r="ZZ216" s="272"/>
      <c r="AAA216" s="272"/>
      <c r="AAB216" s="205">
        <f t="shared" si="2024"/>
        <v>0</v>
      </c>
      <c r="AAC216" s="207"/>
      <c r="AAD216" s="207"/>
      <c r="AAE216" s="207"/>
      <c r="AAF216" s="207"/>
      <c r="AAG216" s="207"/>
      <c r="AAH216" s="272"/>
      <c r="AAI216" s="272"/>
      <c r="AAJ216" s="205">
        <f t="shared" si="2011"/>
        <v>0</v>
      </c>
      <c r="AAK216" s="207"/>
      <c r="AAL216" s="207"/>
      <c r="AAM216" s="207"/>
      <c r="AAN216" s="207"/>
      <c r="AAO216" s="207"/>
      <c r="AAP216" s="272"/>
      <c r="AAQ216" s="272"/>
      <c r="AAR216" s="205">
        <f t="shared" si="2025"/>
        <v>0</v>
      </c>
      <c r="AAS216" s="205">
        <f t="shared" si="2026"/>
        <v>0</v>
      </c>
    </row>
    <row r="217" spans="1:721" ht="84" customHeight="1">
      <c r="A217" s="117">
        <v>10</v>
      </c>
      <c r="B217" s="309" t="s">
        <v>852</v>
      </c>
      <c r="C217" s="362" t="s">
        <v>942</v>
      </c>
      <c r="D217" s="367" t="s">
        <v>854</v>
      </c>
      <c r="E217" s="130" t="s">
        <v>4</v>
      </c>
      <c r="F217" s="120"/>
      <c r="G217" s="120"/>
      <c r="H217" s="120"/>
      <c r="I217" s="120"/>
      <c r="J217" s="120"/>
      <c r="K217" s="209"/>
      <c r="L217" s="205"/>
      <c r="M217" s="205">
        <f t="shared" si="2108"/>
        <v>0</v>
      </c>
      <c r="N217" s="120"/>
      <c r="O217" s="120"/>
      <c r="P217" s="120"/>
      <c r="Q217" s="120"/>
      <c r="R217" s="120"/>
      <c r="S217" s="209"/>
      <c r="T217" s="205"/>
      <c r="U217" s="205"/>
      <c r="V217" s="120"/>
      <c r="W217" s="120"/>
      <c r="X217" s="120"/>
      <c r="Y217" s="120"/>
      <c r="Z217" s="120"/>
      <c r="AA217" s="209"/>
      <c r="AB217" s="205"/>
      <c r="AC217" s="205"/>
      <c r="AD217" s="205"/>
      <c r="AE217" s="205"/>
      <c r="AF217" s="205"/>
      <c r="AG217" s="205"/>
      <c r="AH217" s="205"/>
      <c r="AI217" s="209"/>
      <c r="AJ217" s="205"/>
      <c r="AK217" s="205"/>
      <c r="AL217" s="205"/>
      <c r="AM217" s="120"/>
      <c r="AN217" s="120"/>
      <c r="AO217" s="120"/>
      <c r="AP217" s="120"/>
      <c r="AQ217" s="120"/>
      <c r="AR217" s="209"/>
      <c r="AS217" s="205"/>
      <c r="AT217" s="205"/>
      <c r="AU217" s="120"/>
      <c r="AV217" s="120"/>
      <c r="AW217" s="120"/>
      <c r="AX217" s="120"/>
      <c r="AY217" s="120"/>
      <c r="AZ217" s="209"/>
      <c r="BA217" s="205"/>
      <c r="BB217" s="205"/>
      <c r="BC217" s="120"/>
      <c r="BD217" s="120"/>
      <c r="BE217" s="120"/>
      <c r="BF217" s="120"/>
      <c r="BG217" s="120"/>
      <c r="BH217" s="209"/>
      <c r="BI217" s="205"/>
      <c r="BJ217" s="205"/>
      <c r="BK217" s="120"/>
      <c r="BL217" s="120"/>
      <c r="BM217" s="217"/>
      <c r="BN217" s="120"/>
      <c r="BO217" s="205"/>
      <c r="BP217" s="209"/>
      <c r="BQ217" s="205"/>
      <c r="BR217" s="205"/>
      <c r="BS217" s="205"/>
      <c r="BT217" s="120"/>
      <c r="BU217" s="250"/>
      <c r="BV217" s="120"/>
      <c r="BW217" s="120"/>
      <c r="BX217" s="120"/>
      <c r="BY217" s="209"/>
      <c r="BZ217" s="205"/>
      <c r="CA217" s="205"/>
      <c r="CB217" s="120"/>
      <c r="CC217" s="120"/>
      <c r="CD217" s="120"/>
      <c r="CE217" s="120"/>
      <c r="CF217" s="120"/>
      <c r="CG217" s="209"/>
      <c r="CH217" s="205"/>
      <c r="CI217" s="205"/>
      <c r="CJ217" s="120"/>
      <c r="CK217" s="120"/>
      <c r="CL217" s="250"/>
      <c r="CM217" s="120"/>
      <c r="CN217" s="120"/>
      <c r="CO217" s="209"/>
      <c r="CP217" s="205"/>
      <c r="CQ217" s="205"/>
      <c r="CR217" s="120"/>
      <c r="CS217" s="120"/>
      <c r="CT217" s="120"/>
      <c r="CU217" s="120"/>
      <c r="CV217" s="120"/>
      <c r="CW217" s="209"/>
      <c r="CX217" s="205"/>
      <c r="CY217" s="205"/>
      <c r="CZ217" s="120"/>
      <c r="DA217" s="120"/>
      <c r="DB217" s="120"/>
      <c r="DC217" s="205"/>
      <c r="DD217" s="205"/>
      <c r="DE217" s="209"/>
      <c r="DF217" s="205"/>
      <c r="DG217" s="205"/>
      <c r="DH217" s="205"/>
      <c r="DI217" s="120"/>
      <c r="DJ217" s="120"/>
      <c r="DK217" s="120"/>
      <c r="DL217" s="120"/>
      <c r="DM217" s="120"/>
      <c r="DN217" s="209"/>
      <c r="DO217" s="205"/>
      <c r="DP217" s="205"/>
      <c r="DQ217" s="217"/>
      <c r="DR217" s="120"/>
      <c r="DS217" s="120"/>
      <c r="DT217" s="120"/>
      <c r="DU217" s="120"/>
      <c r="DV217" s="209"/>
      <c r="DW217" s="205"/>
      <c r="DX217" s="205"/>
      <c r="DY217" s="120"/>
      <c r="DZ217" s="120"/>
      <c r="EA217" s="120"/>
      <c r="EB217" s="120"/>
      <c r="EC217" s="120"/>
      <c r="ED217" s="209"/>
      <c r="EE217" s="205"/>
      <c r="EF217" s="205"/>
      <c r="EG217" s="120"/>
      <c r="EH217" s="120"/>
      <c r="EI217" s="120"/>
      <c r="EJ217" s="205"/>
      <c r="EK217" s="205"/>
      <c r="EL217" s="209"/>
      <c r="EM217" s="205"/>
      <c r="EN217" s="205"/>
      <c r="EO217" s="205"/>
      <c r="EP217" s="120"/>
      <c r="EQ217" s="250"/>
      <c r="ER217" s="120"/>
      <c r="ES217" s="120"/>
      <c r="ET217" s="120"/>
      <c r="EU217" s="209"/>
      <c r="EV217" s="205"/>
      <c r="EW217" s="205"/>
      <c r="EX217" s="120"/>
      <c r="EY217" s="120"/>
      <c r="EZ217" s="120"/>
      <c r="FA217" s="120"/>
      <c r="FB217" s="120"/>
      <c r="FC217" s="209"/>
      <c r="FD217" s="205"/>
      <c r="FE217" s="205"/>
      <c r="FF217" s="120"/>
      <c r="FG217" s="195"/>
      <c r="FH217" s="120"/>
      <c r="FI217" s="120"/>
      <c r="FJ217" s="120"/>
      <c r="FK217" s="209"/>
      <c r="FL217" s="205"/>
      <c r="FM217" s="205"/>
      <c r="FN217" s="120"/>
      <c r="FO217" s="120"/>
      <c r="FP217" s="120"/>
      <c r="FQ217" s="120"/>
      <c r="FR217" s="205"/>
      <c r="FS217" s="209"/>
      <c r="FT217" s="205"/>
      <c r="FU217" s="205"/>
      <c r="FV217" s="205"/>
      <c r="FW217" s="120"/>
      <c r="FX217" s="120"/>
      <c r="FY217" s="120"/>
      <c r="FZ217" s="120"/>
      <c r="GA217" s="120"/>
      <c r="GB217" s="209"/>
      <c r="GC217" s="205"/>
      <c r="GD217" s="205"/>
      <c r="GE217" s="120"/>
      <c r="GF217" s="120"/>
      <c r="GG217" s="120"/>
      <c r="GH217" s="120"/>
      <c r="GI217" s="120"/>
      <c r="GJ217" s="209"/>
      <c r="GK217" s="205"/>
      <c r="GL217" s="205"/>
      <c r="GM217" s="120"/>
      <c r="GN217" s="120"/>
      <c r="GO217" s="120"/>
      <c r="GP217" s="120"/>
      <c r="GQ217" s="120"/>
      <c r="GR217" s="209"/>
      <c r="GS217" s="205"/>
      <c r="GT217" s="205"/>
      <c r="GU217" s="120"/>
      <c r="GV217" s="120"/>
      <c r="GW217" s="120"/>
      <c r="GX217" s="120"/>
      <c r="GY217" s="120"/>
      <c r="GZ217" s="209"/>
      <c r="HA217" s="205"/>
      <c r="HB217" s="205"/>
      <c r="HC217" s="120"/>
      <c r="HD217" s="120"/>
      <c r="HE217" s="120"/>
      <c r="HF217" s="120"/>
      <c r="HG217" s="120"/>
      <c r="HH217" s="209"/>
      <c r="HI217" s="205"/>
      <c r="HJ217" s="205"/>
      <c r="HK217" s="205"/>
      <c r="HL217" s="124"/>
      <c r="HM217" s="120"/>
      <c r="HN217" s="120"/>
      <c r="HO217" s="123"/>
      <c r="HP217" s="120"/>
      <c r="HQ217" s="205"/>
      <c r="HR217" s="205"/>
      <c r="HS217" s="205"/>
      <c r="HT217" s="120"/>
      <c r="HU217" s="120"/>
      <c r="HV217" s="120"/>
      <c r="HW217" s="120"/>
      <c r="HX217" s="120"/>
      <c r="HY217" s="205"/>
      <c r="HZ217" s="205"/>
      <c r="IA217" s="205"/>
      <c r="IB217" s="120"/>
      <c r="IC217" s="120"/>
      <c r="ID217" s="120"/>
      <c r="IE217" s="120"/>
      <c r="IF217" s="120"/>
      <c r="IG217" s="205"/>
      <c r="IH217" s="205"/>
      <c r="II217" s="205"/>
      <c r="IJ217" s="120"/>
      <c r="IK217" s="120"/>
      <c r="IL217" s="201"/>
      <c r="IM217" s="120"/>
      <c r="IN217" s="120"/>
      <c r="IO217" s="205"/>
      <c r="IP217" s="205"/>
      <c r="IQ217" s="205"/>
      <c r="IR217" s="205"/>
      <c r="IS217" s="120"/>
      <c r="IT217" s="120"/>
      <c r="IU217" s="120"/>
      <c r="IV217" s="120"/>
      <c r="IW217" s="120"/>
      <c r="IX217" s="205"/>
      <c r="IY217" s="205"/>
      <c r="IZ217" s="205"/>
      <c r="JA217" s="120"/>
      <c r="JB217" s="120"/>
      <c r="JC217" s="120"/>
      <c r="JD217" s="120"/>
      <c r="JE217" s="120"/>
      <c r="JF217" s="205"/>
      <c r="JG217" s="205"/>
      <c r="JH217" s="205"/>
      <c r="JI217" s="120"/>
      <c r="JJ217" s="120"/>
      <c r="JK217" s="120"/>
      <c r="JL217" s="120"/>
      <c r="JM217" s="120"/>
      <c r="JN217" s="205"/>
      <c r="JO217" s="205"/>
      <c r="JP217" s="205"/>
      <c r="JQ217" s="120"/>
      <c r="JR217" s="120"/>
      <c r="JS217" s="120"/>
      <c r="JT217" s="120"/>
      <c r="JU217" s="120"/>
      <c r="JV217" s="205"/>
      <c r="JW217" s="205"/>
      <c r="JX217" s="205"/>
      <c r="JY217" s="205"/>
      <c r="JZ217" s="120"/>
      <c r="KA217" s="120"/>
      <c r="KB217" s="120"/>
      <c r="KC217" s="120"/>
      <c r="KD217" s="120"/>
      <c r="KE217" s="205"/>
      <c r="KF217" s="205"/>
      <c r="KG217" s="205"/>
      <c r="KH217" s="120"/>
      <c r="KI217" s="120"/>
      <c r="KJ217" s="120"/>
      <c r="KK217" s="206"/>
      <c r="KL217" s="120"/>
      <c r="KM217" s="205"/>
      <c r="KN217" s="205"/>
      <c r="KO217" s="205"/>
      <c r="KP217" s="120"/>
      <c r="KQ217" s="120"/>
      <c r="KR217" s="120"/>
      <c r="KS217" s="120"/>
      <c r="KT217" s="120"/>
      <c r="KU217" s="205"/>
      <c r="KV217" s="205"/>
      <c r="KW217" s="205"/>
      <c r="KX217" s="120"/>
      <c r="KY217" s="120"/>
      <c r="KZ217" s="120"/>
      <c r="LA217" s="120"/>
      <c r="LB217" s="120"/>
      <c r="LC217" s="205"/>
      <c r="LD217" s="205"/>
      <c r="LE217" s="205"/>
      <c r="LF217" s="205"/>
      <c r="LG217" s="120"/>
      <c r="LH217" s="120"/>
      <c r="LI217" s="120"/>
      <c r="LJ217" s="120"/>
      <c r="LK217" s="205"/>
      <c r="LL217" s="205"/>
      <c r="LM217" s="205"/>
      <c r="LN217" s="205"/>
      <c r="LO217" s="205"/>
      <c r="LP217" s="120"/>
      <c r="LQ217" s="120"/>
      <c r="LR217" s="120"/>
      <c r="LS217" s="205"/>
      <c r="LT217" s="205"/>
      <c r="LU217" s="205"/>
      <c r="LV217" s="205"/>
      <c r="LW217" s="120"/>
      <c r="LX217" s="120"/>
      <c r="LY217" s="124"/>
      <c r="LZ217" s="120"/>
      <c r="MA217" s="120"/>
      <c r="MB217" s="205"/>
      <c r="MC217" s="205"/>
      <c r="MD217" s="205"/>
      <c r="ME217" s="120"/>
      <c r="MF217" s="120"/>
      <c r="MG217" s="120"/>
      <c r="MH217" s="201"/>
      <c r="MI217" s="205"/>
      <c r="MJ217" s="205"/>
      <c r="MK217" s="205"/>
      <c r="ML217" s="205"/>
      <c r="MM217" s="120"/>
      <c r="MN217" s="120"/>
      <c r="MO217" s="120"/>
      <c r="MP217" s="120"/>
      <c r="MQ217" s="120"/>
      <c r="MR217" s="205"/>
      <c r="MS217" s="205"/>
      <c r="MT217" s="205"/>
      <c r="MU217" s="205"/>
      <c r="MV217" s="120"/>
      <c r="MW217" s="120"/>
      <c r="MX217" s="195"/>
      <c r="MY217" s="120"/>
      <c r="MZ217" s="120"/>
      <c r="NA217" s="205"/>
      <c r="NB217" s="205"/>
      <c r="NC217" s="205"/>
      <c r="ND217" s="120"/>
      <c r="NE217" s="120"/>
      <c r="NF217" s="120"/>
      <c r="NG217" s="120"/>
      <c r="NH217" s="120"/>
      <c r="NI217" s="205"/>
      <c r="NJ217" s="205"/>
      <c r="NK217" s="205"/>
      <c r="NL217" s="120"/>
      <c r="NM217" s="120"/>
      <c r="NN217" s="120"/>
      <c r="NO217" s="120"/>
      <c r="NP217" s="120"/>
      <c r="NQ217" s="205"/>
      <c r="NR217" s="205"/>
      <c r="NS217" s="205"/>
      <c r="NT217" s="217"/>
      <c r="NU217" s="120"/>
      <c r="NV217" s="120"/>
      <c r="NW217" s="120"/>
      <c r="NX217" s="120"/>
      <c r="NY217" s="205"/>
      <c r="NZ217" s="205"/>
      <c r="OA217" s="205"/>
      <c r="OB217" s="205"/>
      <c r="OC217" s="120"/>
      <c r="OD217" s="120"/>
      <c r="OE217" s="120"/>
      <c r="OF217" s="120"/>
      <c r="OG217" s="120"/>
      <c r="OH217" s="205"/>
      <c r="OI217" s="205"/>
      <c r="OJ217" s="205"/>
      <c r="OK217" s="120"/>
      <c r="OL217" s="120"/>
      <c r="OM217" s="120"/>
      <c r="ON217" s="120"/>
      <c r="OO217" s="120"/>
      <c r="OP217" s="205"/>
      <c r="OQ217" s="205"/>
      <c r="OR217" s="205"/>
      <c r="OS217" s="120"/>
      <c r="OT217" s="120"/>
      <c r="OU217" s="120"/>
      <c r="OV217" s="120"/>
      <c r="OW217" s="120"/>
      <c r="OX217" s="205"/>
      <c r="OY217" s="205"/>
      <c r="OZ217" s="205"/>
      <c r="PA217" s="120"/>
      <c r="PB217" s="120"/>
      <c r="PC217" s="120"/>
      <c r="PD217" s="205"/>
      <c r="PE217" s="217"/>
      <c r="PF217" s="205"/>
      <c r="PG217" s="205"/>
      <c r="PH217" s="205"/>
      <c r="PI217" s="120"/>
      <c r="PJ217" s="120"/>
      <c r="PK217" s="120"/>
      <c r="PL217" s="205"/>
      <c r="PM217" s="217"/>
      <c r="PN217" s="205"/>
      <c r="PO217" s="205"/>
      <c r="PP217" s="205"/>
      <c r="PQ217" s="205"/>
      <c r="PR217" s="120"/>
      <c r="PS217" s="207"/>
      <c r="PT217" s="207"/>
      <c r="PU217" s="207"/>
      <c r="PV217" s="207"/>
      <c r="PW217" s="272"/>
      <c r="PX217" s="272"/>
      <c r="PY217" s="205"/>
      <c r="PZ217" s="207"/>
      <c r="QA217" s="207"/>
      <c r="QB217" s="207"/>
      <c r="QC217" s="207"/>
      <c r="QD217" s="207"/>
      <c r="QE217" s="272"/>
      <c r="QF217" s="272"/>
      <c r="QG217" s="205"/>
      <c r="QH217" s="207"/>
      <c r="QI217" s="207"/>
      <c r="QJ217" s="294"/>
      <c r="QK217" s="207"/>
      <c r="QL217" s="207"/>
      <c r="QM217" s="272"/>
      <c r="QN217" s="272"/>
      <c r="QO217" s="205"/>
      <c r="QP217" s="207"/>
      <c r="QQ217" s="120"/>
      <c r="QR217" s="207"/>
      <c r="QS217" s="207"/>
      <c r="QT217" s="207"/>
      <c r="QU217" s="272"/>
      <c r="QV217" s="272"/>
      <c r="QW217" s="205"/>
      <c r="QX217" s="205">
        <f t="shared" si="2139"/>
        <v>0</v>
      </c>
      <c r="QY217" s="120"/>
      <c r="QZ217" s="120"/>
      <c r="RA217" s="120"/>
      <c r="RB217" s="120"/>
      <c r="RC217" s="120"/>
      <c r="RD217" s="272"/>
      <c r="RE217" s="272"/>
      <c r="RF217" s="205">
        <f t="shared" si="2095"/>
        <v>0</v>
      </c>
      <c r="RG217" s="207"/>
      <c r="RH217" s="207"/>
      <c r="RI217" s="207"/>
      <c r="RJ217" s="207"/>
      <c r="RK217" s="207"/>
      <c r="RL217" s="272"/>
      <c r="RM217" s="272"/>
      <c r="RN217" s="205">
        <f t="shared" si="2096"/>
        <v>0</v>
      </c>
      <c r="RO217" s="272"/>
      <c r="RP217" s="272"/>
      <c r="RQ217" s="272"/>
      <c r="RR217" s="272"/>
      <c r="RS217" s="272"/>
      <c r="RT217" s="272"/>
      <c r="RU217" s="272"/>
      <c r="RV217" s="205">
        <f t="shared" si="2097"/>
        <v>0</v>
      </c>
      <c r="RW217" s="207"/>
      <c r="RX217" s="207"/>
      <c r="RY217" s="207"/>
      <c r="RZ217" s="207"/>
      <c r="SA217" s="272"/>
      <c r="SB217" s="272"/>
      <c r="SC217" s="272"/>
      <c r="SD217" s="205">
        <f t="shared" si="2140"/>
        <v>0</v>
      </c>
      <c r="SE217" s="205">
        <f t="shared" si="2141"/>
        <v>0</v>
      </c>
      <c r="SF217" s="207"/>
      <c r="SG217" s="207"/>
      <c r="SH217" s="207"/>
      <c r="SI217" s="207"/>
      <c r="SJ217" s="207"/>
      <c r="SK217" s="272"/>
      <c r="SL217" s="272"/>
      <c r="SM217" s="205">
        <f t="shared" si="2100"/>
        <v>0</v>
      </c>
      <c r="SN217" s="207"/>
      <c r="SO217" s="207"/>
      <c r="SP217" s="207"/>
      <c r="SQ217" s="207"/>
      <c r="SR217" s="207"/>
      <c r="SS217" s="272"/>
      <c r="ST217" s="272"/>
      <c r="SU217" s="205">
        <f t="shared" si="2101"/>
        <v>0</v>
      </c>
      <c r="SV217" s="207"/>
      <c r="SW217" s="207"/>
      <c r="SX217" s="207"/>
      <c r="SY217" s="207"/>
      <c r="SZ217" s="207"/>
      <c r="TA217" s="272"/>
      <c r="TB217" s="272"/>
      <c r="TC217" s="205">
        <f t="shared" si="2102"/>
        <v>0</v>
      </c>
      <c r="TD217" s="207"/>
      <c r="TE217" s="207"/>
      <c r="TF217" s="207"/>
      <c r="TG217" s="207"/>
      <c r="TH217" s="207"/>
      <c r="TI217" s="272"/>
      <c r="TJ217" s="272"/>
      <c r="TK217" s="205">
        <f t="shared" si="2142"/>
        <v>0</v>
      </c>
      <c r="TL217" s="140"/>
      <c r="TM217" s="140"/>
      <c r="TN217" s="356"/>
      <c r="TO217" s="140"/>
      <c r="TP217" s="370"/>
      <c r="TQ217" s="272"/>
      <c r="TR217" s="272"/>
      <c r="TS217" s="205">
        <f t="shared" si="2135"/>
        <v>0</v>
      </c>
      <c r="TT217" s="205">
        <f t="shared" si="2136"/>
        <v>0</v>
      </c>
      <c r="TU217" s="272"/>
      <c r="TV217" s="120"/>
      <c r="TW217" s="207"/>
      <c r="TX217" s="140"/>
      <c r="TY217" s="207"/>
      <c r="TZ217" s="272"/>
      <c r="UA217" s="272"/>
      <c r="UB217" s="205">
        <f t="shared" si="2012"/>
        <v>0</v>
      </c>
      <c r="UC217" s="384">
        <v>140</v>
      </c>
      <c r="UD217" s="207"/>
      <c r="UE217" s="123">
        <v>910</v>
      </c>
      <c r="UF217" s="120"/>
      <c r="UG217" s="207"/>
      <c r="UH217" s="272"/>
      <c r="UI217" s="272"/>
      <c r="UJ217" s="205">
        <f t="shared" si="2013"/>
        <v>1050</v>
      </c>
      <c r="UK217" s="207"/>
      <c r="UL217" s="207"/>
      <c r="UM217" s="207"/>
      <c r="UN217" s="207"/>
      <c r="UO217" s="207"/>
      <c r="UP217" s="272"/>
      <c r="UQ217" s="272"/>
      <c r="UR217" s="205">
        <f t="shared" si="2014"/>
        <v>0</v>
      </c>
      <c r="US217" s="207"/>
      <c r="UT217" s="207"/>
      <c r="UU217" s="207"/>
      <c r="UV217" s="207"/>
      <c r="UW217" s="272"/>
      <c r="UX217" s="272"/>
      <c r="UY217" s="272"/>
      <c r="UZ217" s="205">
        <f t="shared" si="2145"/>
        <v>0</v>
      </c>
      <c r="VA217" s="205">
        <f t="shared" si="2146"/>
        <v>1050</v>
      </c>
      <c r="VB217" s="207"/>
      <c r="VC217" s="123">
        <v>910</v>
      </c>
      <c r="VD217" s="207"/>
      <c r="VE217" s="207"/>
      <c r="VF217" s="207"/>
      <c r="VG217" s="272"/>
      <c r="VH217" s="272"/>
      <c r="VI217" s="205">
        <f t="shared" si="2005"/>
        <v>910</v>
      </c>
      <c r="VJ217" s="207"/>
      <c r="VK217" s="207"/>
      <c r="VL217" s="207"/>
      <c r="VM217" s="207"/>
      <c r="VN217" s="120"/>
      <c r="VO217" s="272"/>
      <c r="VP217" s="272"/>
      <c r="VQ217" s="205">
        <f t="shared" si="2015"/>
        <v>0</v>
      </c>
      <c r="VR217" s="207"/>
      <c r="VS217" s="207"/>
      <c r="VT217" s="207"/>
      <c r="VU217" s="207"/>
      <c r="VV217" s="207"/>
      <c r="VW217" s="272"/>
      <c r="VX217" s="272"/>
      <c r="VY217" s="205">
        <f t="shared" si="2006"/>
        <v>0</v>
      </c>
      <c r="VZ217" s="392">
        <v>140</v>
      </c>
      <c r="WA217" s="207"/>
      <c r="WB217" s="124">
        <v>1000</v>
      </c>
      <c r="WC217" s="207"/>
      <c r="WD217" s="207"/>
      <c r="WE217" s="272"/>
      <c r="WF217" s="272"/>
      <c r="WG217" s="205">
        <f t="shared" si="2007"/>
        <v>1140</v>
      </c>
      <c r="WH217" s="205">
        <f t="shared" si="2008"/>
        <v>2050</v>
      </c>
      <c r="WI217" s="207"/>
      <c r="WJ217" s="207"/>
      <c r="WK217" s="207"/>
      <c r="WL217" s="207"/>
      <c r="WM217" s="207"/>
      <c r="WN217" s="272"/>
      <c r="WO217" s="272"/>
      <c r="WP217" s="205">
        <f t="shared" si="2016"/>
        <v>0</v>
      </c>
      <c r="WQ217" s="207"/>
      <c r="WR217" s="207"/>
      <c r="WS217" s="207"/>
      <c r="WT217" s="207"/>
      <c r="WU217" s="207"/>
      <c r="WV217" s="272"/>
      <c r="WW217" s="272"/>
      <c r="WX217" s="205">
        <f t="shared" si="2017"/>
        <v>0</v>
      </c>
      <c r="WY217" s="207"/>
      <c r="WZ217" s="207"/>
      <c r="XA217" s="207"/>
      <c r="XB217" s="207"/>
      <c r="XC217" s="272"/>
      <c r="XD217" s="272"/>
      <c r="XE217" s="272"/>
      <c r="XF217" s="205">
        <f t="shared" si="2009"/>
        <v>0</v>
      </c>
      <c r="XG217" s="207"/>
      <c r="XH217" s="207"/>
      <c r="XI217" s="207"/>
      <c r="XJ217" s="207"/>
      <c r="XK217" s="207"/>
      <c r="XL217" s="272"/>
      <c r="XM217" s="272"/>
      <c r="XN217" s="205">
        <f t="shared" si="2105"/>
        <v>0</v>
      </c>
      <c r="XO217" s="207"/>
      <c r="XP217" s="207"/>
      <c r="XQ217" s="207"/>
      <c r="XR217" s="207"/>
      <c r="XS217" s="207"/>
      <c r="XT217" s="272"/>
      <c r="XU217" s="272"/>
      <c r="XV217" s="205">
        <f t="shared" si="2137"/>
        <v>0</v>
      </c>
      <c r="XW217" s="205">
        <f t="shared" si="2138"/>
        <v>0</v>
      </c>
      <c r="XX217" s="207"/>
      <c r="XY217" s="207"/>
      <c r="XZ217" s="207"/>
      <c r="YA217" s="207"/>
      <c r="YB217" s="207"/>
      <c r="YC217" s="272"/>
      <c r="YD217" s="272"/>
      <c r="YE217" s="205">
        <f t="shared" si="2018"/>
        <v>0</v>
      </c>
      <c r="YF217" s="207"/>
      <c r="YG217" s="207"/>
      <c r="YH217" s="207"/>
      <c r="YI217" s="207"/>
      <c r="YJ217" s="207"/>
      <c r="YK217" s="272"/>
      <c r="YL217" s="272"/>
      <c r="YM217" s="205">
        <f t="shared" si="2019"/>
        <v>0</v>
      </c>
      <c r="YN217" s="207"/>
      <c r="YO217" s="207"/>
      <c r="YP217" s="207"/>
      <c r="YQ217" s="207"/>
      <c r="YR217" s="207"/>
      <c r="YS217" s="272"/>
      <c r="YT217" s="272"/>
      <c r="YU217" s="205">
        <f t="shared" si="2020"/>
        <v>0</v>
      </c>
      <c r="YV217" s="207"/>
      <c r="YW217" s="207"/>
      <c r="YX217" s="207"/>
      <c r="YY217" s="207"/>
      <c r="YZ217" s="207"/>
      <c r="ZA217" s="272"/>
      <c r="ZB217" s="272"/>
      <c r="ZC217" s="205">
        <f t="shared" si="2021"/>
        <v>0</v>
      </c>
      <c r="ZD217" s="205">
        <f t="shared" si="2022"/>
        <v>0</v>
      </c>
      <c r="ZE217" s="207"/>
      <c r="ZF217" s="207"/>
      <c r="ZG217" s="207"/>
      <c r="ZH217" s="207"/>
      <c r="ZI217" s="207"/>
      <c r="ZJ217" s="272"/>
      <c r="ZK217" s="272"/>
      <c r="ZL217" s="205">
        <f t="shared" si="2023"/>
        <v>0</v>
      </c>
      <c r="ZM217" s="207"/>
      <c r="ZN217" s="207"/>
      <c r="ZO217" s="207"/>
      <c r="ZP217" s="207"/>
      <c r="ZQ217" s="207"/>
      <c r="ZR217" s="272"/>
      <c r="ZS217" s="272"/>
      <c r="ZT217" s="205">
        <f t="shared" si="2010"/>
        <v>0</v>
      </c>
      <c r="ZU217" s="207"/>
      <c r="ZV217" s="207"/>
      <c r="ZW217" s="207"/>
      <c r="ZX217" s="207"/>
      <c r="ZY217" s="207"/>
      <c r="ZZ217" s="272"/>
      <c r="AAA217" s="272"/>
      <c r="AAB217" s="205">
        <f t="shared" si="2024"/>
        <v>0</v>
      </c>
      <c r="AAC217" s="207"/>
      <c r="AAD217" s="207"/>
      <c r="AAE217" s="207"/>
      <c r="AAF217" s="207"/>
      <c r="AAG217" s="207"/>
      <c r="AAH217" s="272"/>
      <c r="AAI217" s="272"/>
      <c r="AAJ217" s="205">
        <f t="shared" si="2011"/>
        <v>0</v>
      </c>
      <c r="AAK217" s="207"/>
      <c r="AAL217" s="207"/>
      <c r="AAM217" s="207"/>
      <c r="AAN217" s="207"/>
      <c r="AAO217" s="207"/>
      <c r="AAP217" s="272"/>
      <c r="AAQ217" s="272"/>
      <c r="AAR217" s="205">
        <f t="shared" si="2025"/>
        <v>0</v>
      </c>
      <c r="AAS217" s="205">
        <f t="shared" si="2026"/>
        <v>0</v>
      </c>
    </row>
    <row r="218" spans="1:721" ht="129" customHeight="1">
      <c r="A218" s="117">
        <v>10</v>
      </c>
      <c r="B218" s="310" t="s">
        <v>875</v>
      </c>
      <c r="C218" s="362" t="s">
        <v>946</v>
      </c>
      <c r="D218" s="311" t="s">
        <v>842</v>
      </c>
      <c r="E218" s="130" t="s">
        <v>4</v>
      </c>
      <c r="F218" s="120"/>
      <c r="G218" s="120"/>
      <c r="H218" s="120"/>
      <c r="I218" s="120"/>
      <c r="J218" s="120"/>
      <c r="K218" s="209"/>
      <c r="L218" s="205"/>
      <c r="M218" s="205">
        <f t="shared" si="2108"/>
        <v>0</v>
      </c>
      <c r="N218" s="120"/>
      <c r="O218" s="120"/>
      <c r="P218" s="120"/>
      <c r="Q218" s="120"/>
      <c r="R218" s="120"/>
      <c r="S218" s="209"/>
      <c r="T218" s="205"/>
      <c r="U218" s="205">
        <f t="shared" si="2028"/>
        <v>0</v>
      </c>
      <c r="V218" s="120"/>
      <c r="W218" s="120"/>
      <c r="X218" s="120"/>
      <c r="Y218" s="120"/>
      <c r="Z218" s="120"/>
      <c r="AA218" s="209"/>
      <c r="AB218" s="205"/>
      <c r="AC218" s="205">
        <f t="shared" si="2029"/>
        <v>0</v>
      </c>
      <c r="AD218" s="205"/>
      <c r="AE218" s="205"/>
      <c r="AF218" s="205"/>
      <c r="AG218" s="205"/>
      <c r="AH218" s="205"/>
      <c r="AI218" s="209"/>
      <c r="AJ218" s="205"/>
      <c r="AK218" s="205">
        <f t="shared" si="2030"/>
        <v>0</v>
      </c>
      <c r="AL218" s="205" t="e">
        <f>SUM(#REF!,M218,U218,AC218,AD218:AH218)</f>
        <v>#REF!</v>
      </c>
      <c r="AM218" s="120"/>
      <c r="AN218" s="120"/>
      <c r="AO218" s="120"/>
      <c r="AP218" s="120"/>
      <c r="AQ218" s="120"/>
      <c r="AR218" s="209"/>
      <c r="AS218" s="205"/>
      <c r="AT218" s="205">
        <f t="shared" si="2031"/>
        <v>0</v>
      </c>
      <c r="AU218" s="120"/>
      <c r="AV218" s="120"/>
      <c r="AW218" s="120"/>
      <c r="AX218" s="120"/>
      <c r="AY218" s="120"/>
      <c r="AZ218" s="209"/>
      <c r="BA218" s="205"/>
      <c r="BB218" s="205">
        <f t="shared" si="2032"/>
        <v>0</v>
      </c>
      <c r="BC218" s="120"/>
      <c r="BD218" s="120"/>
      <c r="BE218" s="120"/>
      <c r="BF218" s="120"/>
      <c r="BG218" s="120"/>
      <c r="BH218" s="209"/>
      <c r="BI218" s="205"/>
      <c r="BJ218" s="205">
        <f t="shared" si="2033"/>
        <v>0</v>
      </c>
      <c r="BK218" s="120"/>
      <c r="BL218" s="120"/>
      <c r="BM218" s="217">
        <v>3102</v>
      </c>
      <c r="BN218" s="120"/>
      <c r="BO218" s="205"/>
      <c r="BP218" s="209"/>
      <c r="BQ218" s="205"/>
      <c r="BR218" s="205">
        <f t="shared" si="2034"/>
        <v>3102</v>
      </c>
      <c r="BS218" s="205">
        <f t="shared" si="2035"/>
        <v>3102</v>
      </c>
      <c r="BT218" s="120"/>
      <c r="BU218" s="250">
        <v>702</v>
      </c>
      <c r="BV218" s="120"/>
      <c r="BW218" s="120"/>
      <c r="BX218" s="120"/>
      <c r="BY218" s="209"/>
      <c r="BZ218" s="205"/>
      <c r="CA218" s="205">
        <f t="shared" si="2036"/>
        <v>702</v>
      </c>
      <c r="CB218" s="120"/>
      <c r="CC218" s="120"/>
      <c r="CD218" s="120"/>
      <c r="CE218" s="120"/>
      <c r="CF218" s="120"/>
      <c r="CG218" s="209"/>
      <c r="CH218" s="205"/>
      <c r="CI218" s="205">
        <f t="shared" si="2037"/>
        <v>0</v>
      </c>
      <c r="CJ218" s="120"/>
      <c r="CK218" s="120"/>
      <c r="CL218" s="250">
        <v>1202</v>
      </c>
      <c r="CM218" s="120"/>
      <c r="CN218" s="120"/>
      <c r="CO218" s="209"/>
      <c r="CP218" s="205"/>
      <c r="CQ218" s="205">
        <f t="shared" si="2038"/>
        <v>1202</v>
      </c>
      <c r="CR218" s="120" t="s">
        <v>216</v>
      </c>
      <c r="CS218" s="120"/>
      <c r="CT218" s="120"/>
      <c r="CU218" s="120"/>
      <c r="CV218" s="120"/>
      <c r="CW218" s="209"/>
      <c r="CX218" s="205"/>
      <c r="CY218" s="205">
        <f t="shared" si="2039"/>
        <v>0</v>
      </c>
      <c r="CZ218" s="120"/>
      <c r="DA218" s="120"/>
      <c r="DB218" s="120"/>
      <c r="DC218" s="205"/>
      <c r="DD218" s="205"/>
      <c r="DE218" s="209"/>
      <c r="DF218" s="205"/>
      <c r="DG218" s="205">
        <f t="shared" si="2040"/>
        <v>0</v>
      </c>
      <c r="DH218" s="205">
        <f t="shared" si="2041"/>
        <v>1904</v>
      </c>
      <c r="DI218" s="120"/>
      <c r="DJ218" s="120"/>
      <c r="DK218" s="120"/>
      <c r="DL218" s="120"/>
      <c r="DM218" s="120"/>
      <c r="DN218" s="209"/>
      <c r="DO218" s="205"/>
      <c r="DP218" s="205">
        <f t="shared" si="2042"/>
        <v>0</v>
      </c>
      <c r="DQ218" s="217">
        <v>652</v>
      </c>
      <c r="DR218" s="120"/>
      <c r="DS218" s="120"/>
      <c r="DT218" s="120"/>
      <c r="DU218" s="120"/>
      <c r="DV218" s="209"/>
      <c r="DW218" s="205"/>
      <c r="DX218" s="205">
        <f t="shared" si="2043"/>
        <v>652</v>
      </c>
      <c r="DY218" s="120"/>
      <c r="DZ218" s="120"/>
      <c r="EA218" s="120"/>
      <c r="EB218" s="120"/>
      <c r="EC218" s="120"/>
      <c r="ED218" s="209"/>
      <c r="EE218" s="205"/>
      <c r="EF218" s="205">
        <f t="shared" si="2044"/>
        <v>0</v>
      </c>
      <c r="EG218" s="120"/>
      <c r="EH218" s="120"/>
      <c r="EI218" s="120"/>
      <c r="EJ218" s="205"/>
      <c r="EK218" s="205"/>
      <c r="EL218" s="209"/>
      <c r="EM218" s="205"/>
      <c r="EN218" s="205">
        <f t="shared" si="2045"/>
        <v>0</v>
      </c>
      <c r="EO218" s="205">
        <f t="shared" si="2046"/>
        <v>652</v>
      </c>
      <c r="EP218" s="120"/>
      <c r="EQ218" s="250">
        <v>502</v>
      </c>
      <c r="ER218" s="120"/>
      <c r="ES218" s="120"/>
      <c r="ET218" s="120"/>
      <c r="EU218" s="209"/>
      <c r="EV218" s="205"/>
      <c r="EW218" s="205">
        <f t="shared" si="2047"/>
        <v>502</v>
      </c>
      <c r="EX218" s="120"/>
      <c r="EY218" s="120"/>
      <c r="EZ218" s="120"/>
      <c r="FA218" s="120"/>
      <c r="FB218" s="120"/>
      <c r="FC218" s="209"/>
      <c r="FD218" s="205"/>
      <c r="FE218" s="205">
        <f t="shared" si="2048"/>
        <v>0</v>
      </c>
      <c r="FF218" s="120"/>
      <c r="FG218" s="195">
        <v>502</v>
      </c>
      <c r="FH218" s="120"/>
      <c r="FI218" s="120"/>
      <c r="FJ218" s="120"/>
      <c r="FK218" s="209"/>
      <c r="FL218" s="205"/>
      <c r="FM218" s="205">
        <f t="shared" si="2049"/>
        <v>502</v>
      </c>
      <c r="FN218" s="120"/>
      <c r="FO218" s="120"/>
      <c r="FP218" s="120"/>
      <c r="FQ218" s="120"/>
      <c r="FR218" s="205"/>
      <c r="FS218" s="209"/>
      <c r="FT218" s="205"/>
      <c r="FU218" s="205">
        <f t="shared" si="2050"/>
        <v>0</v>
      </c>
      <c r="FV218" s="205">
        <f t="shared" si="2051"/>
        <v>1004</v>
      </c>
      <c r="FW218" s="120"/>
      <c r="FX218" s="120"/>
      <c r="FY218" s="120"/>
      <c r="FZ218" s="120"/>
      <c r="GA218" s="120"/>
      <c r="GB218" s="209"/>
      <c r="GC218" s="205"/>
      <c r="GD218" s="205">
        <f t="shared" si="2052"/>
        <v>0</v>
      </c>
      <c r="GE218" s="120"/>
      <c r="GF218" s="120"/>
      <c r="GG218" s="120"/>
      <c r="GH218" s="120"/>
      <c r="GI218" s="120"/>
      <c r="GJ218" s="209"/>
      <c r="GK218" s="205"/>
      <c r="GL218" s="205">
        <f t="shared" si="2053"/>
        <v>0</v>
      </c>
      <c r="GM218" s="120"/>
      <c r="GN218" s="120"/>
      <c r="GO218" s="120"/>
      <c r="GP218" s="120"/>
      <c r="GQ218" s="120"/>
      <c r="GR218" s="209"/>
      <c r="GS218" s="205"/>
      <c r="GT218" s="205">
        <f t="shared" si="2054"/>
        <v>0</v>
      </c>
      <c r="GU218" s="120"/>
      <c r="GV218" s="120"/>
      <c r="GW218" s="120"/>
      <c r="GX218" s="120"/>
      <c r="GY218" s="120"/>
      <c r="GZ218" s="209"/>
      <c r="HA218" s="205"/>
      <c r="HB218" s="205">
        <f t="shared" si="2055"/>
        <v>0</v>
      </c>
      <c r="HC218" s="120"/>
      <c r="HD218" s="120"/>
      <c r="HE218" s="120"/>
      <c r="HF218" s="120"/>
      <c r="HG218" s="120"/>
      <c r="HH218" s="209"/>
      <c r="HI218" s="205"/>
      <c r="HJ218" s="205">
        <f t="shared" si="2056"/>
        <v>0</v>
      </c>
      <c r="HK218" s="205">
        <f t="shared" si="2057"/>
        <v>0</v>
      </c>
      <c r="HL218" s="124"/>
      <c r="HM218" s="120"/>
      <c r="HN218" s="120"/>
      <c r="HO218" s="123">
        <v>1752</v>
      </c>
      <c r="HP218" s="120"/>
      <c r="HQ218" s="205"/>
      <c r="HR218" s="205"/>
      <c r="HS218" s="205">
        <f t="shared" si="2058"/>
        <v>1752</v>
      </c>
      <c r="HT218" s="120"/>
      <c r="HU218" s="120"/>
      <c r="HV218" s="120"/>
      <c r="HW218" s="120"/>
      <c r="HX218" s="120"/>
      <c r="HY218" s="205"/>
      <c r="HZ218" s="205"/>
      <c r="IA218" s="205">
        <f t="shared" si="2059"/>
        <v>0</v>
      </c>
      <c r="IB218" s="120"/>
      <c r="IC218" s="120"/>
      <c r="ID218" s="120"/>
      <c r="IE218" s="120"/>
      <c r="IF218" s="120"/>
      <c r="IG218" s="205"/>
      <c r="IH218" s="205"/>
      <c r="II218" s="205">
        <f t="shared" si="2060"/>
        <v>0</v>
      </c>
      <c r="IJ218" s="120"/>
      <c r="IK218" s="120"/>
      <c r="IL218" s="201">
        <v>1802</v>
      </c>
      <c r="IM218" s="120"/>
      <c r="IN218" s="120"/>
      <c r="IO218" s="205"/>
      <c r="IP218" s="205"/>
      <c r="IQ218" s="205">
        <f t="shared" si="2061"/>
        <v>1802</v>
      </c>
      <c r="IR218" s="205">
        <f t="shared" si="2062"/>
        <v>3554</v>
      </c>
      <c r="IS218" s="120"/>
      <c r="IT218" s="120"/>
      <c r="IU218" s="120"/>
      <c r="IV218" s="120"/>
      <c r="IW218" s="120"/>
      <c r="IX218" s="205"/>
      <c r="IY218" s="205"/>
      <c r="IZ218" s="205">
        <f t="shared" si="2063"/>
        <v>0</v>
      </c>
      <c r="JA218" s="120"/>
      <c r="JB218" s="120"/>
      <c r="JC218" s="120"/>
      <c r="JD218" s="120"/>
      <c r="JE218" s="120"/>
      <c r="JF218" s="205"/>
      <c r="JG218" s="205"/>
      <c r="JH218" s="205">
        <f t="shared" si="2064"/>
        <v>0</v>
      </c>
      <c r="JI218" s="120"/>
      <c r="JJ218" s="120"/>
      <c r="JK218" s="120"/>
      <c r="JL218" s="120"/>
      <c r="JM218" s="120"/>
      <c r="JN218" s="205"/>
      <c r="JO218" s="205"/>
      <c r="JP218" s="205">
        <f t="shared" si="2065"/>
        <v>0</v>
      </c>
      <c r="JQ218" s="120"/>
      <c r="JR218" s="120"/>
      <c r="JS218" s="120"/>
      <c r="JT218" s="120"/>
      <c r="JU218" s="120"/>
      <c r="JV218" s="205"/>
      <c r="JW218" s="205"/>
      <c r="JX218" s="205">
        <f t="shared" si="2066"/>
        <v>0</v>
      </c>
      <c r="JY218" s="205">
        <f t="shared" si="2067"/>
        <v>0</v>
      </c>
      <c r="JZ218" s="120"/>
      <c r="KA218" s="120"/>
      <c r="KB218" s="120"/>
      <c r="KC218" s="120"/>
      <c r="KD218" s="120"/>
      <c r="KE218" s="205"/>
      <c r="KF218" s="205"/>
      <c r="KG218" s="205">
        <f t="shared" si="2068"/>
        <v>0</v>
      </c>
      <c r="KH218" s="120"/>
      <c r="KI218" s="120"/>
      <c r="KJ218" s="120"/>
      <c r="KK218" s="206">
        <v>802</v>
      </c>
      <c r="KL218" s="120"/>
      <c r="KM218" s="205"/>
      <c r="KN218" s="205"/>
      <c r="KO218" s="205">
        <f t="shared" si="2069"/>
        <v>802</v>
      </c>
      <c r="KP218" s="120"/>
      <c r="KQ218" s="120"/>
      <c r="KR218" s="120"/>
      <c r="KS218" s="120"/>
      <c r="KT218" s="120"/>
      <c r="KU218" s="205"/>
      <c r="KV218" s="205"/>
      <c r="KW218" s="205">
        <f t="shared" si="2070"/>
        <v>0</v>
      </c>
      <c r="KX218" s="120"/>
      <c r="KY218" s="120"/>
      <c r="KZ218" s="120"/>
      <c r="LA218" s="120"/>
      <c r="LB218" s="120"/>
      <c r="LC218" s="205"/>
      <c r="LD218" s="205"/>
      <c r="LE218" s="205">
        <f t="shared" si="2071"/>
        <v>0</v>
      </c>
      <c r="LF218" s="205"/>
      <c r="LG218" s="120"/>
      <c r="LH218" s="120"/>
      <c r="LI218" s="120"/>
      <c r="LJ218" s="120"/>
      <c r="LK218" s="205"/>
      <c r="LL218" s="205"/>
      <c r="LM218" s="205">
        <f t="shared" si="2072"/>
        <v>0</v>
      </c>
      <c r="LN218" s="205">
        <f t="shared" si="2073"/>
        <v>802</v>
      </c>
      <c r="LO218" s="205"/>
      <c r="LP218" s="120"/>
      <c r="LQ218" s="120"/>
      <c r="LR218" s="120"/>
      <c r="LS218" s="205"/>
      <c r="LT218" s="205"/>
      <c r="LU218" s="205"/>
      <c r="LV218" s="205">
        <f t="shared" si="2074"/>
        <v>0</v>
      </c>
      <c r="LW218" s="120"/>
      <c r="LX218" s="120"/>
      <c r="LY218" s="124">
        <v>362</v>
      </c>
      <c r="LZ218" s="120"/>
      <c r="MA218" s="120"/>
      <c r="MB218" s="205"/>
      <c r="MC218" s="205"/>
      <c r="MD218" s="205">
        <f t="shared" si="2075"/>
        <v>362</v>
      </c>
      <c r="ME218" s="120"/>
      <c r="MF218" s="120"/>
      <c r="MG218" s="120"/>
      <c r="MH218" s="201">
        <v>1102</v>
      </c>
      <c r="MI218" s="205"/>
      <c r="MJ218" s="205"/>
      <c r="MK218" s="205"/>
      <c r="ML218" s="205">
        <f t="shared" si="2076"/>
        <v>1102</v>
      </c>
      <c r="MM218" s="120" t="s">
        <v>712</v>
      </c>
      <c r="MN218" s="120"/>
      <c r="MO218" s="120"/>
      <c r="MP218" s="120"/>
      <c r="MQ218" s="120"/>
      <c r="MR218" s="205"/>
      <c r="MS218" s="205"/>
      <c r="MT218" s="205">
        <f t="shared" si="2077"/>
        <v>0</v>
      </c>
      <c r="MU218" s="205">
        <f t="shared" si="2078"/>
        <v>1464</v>
      </c>
      <c r="MV218" s="120"/>
      <c r="MW218" s="120"/>
      <c r="MX218" s="195">
        <v>2002</v>
      </c>
      <c r="MY218" s="120"/>
      <c r="MZ218" s="120"/>
      <c r="NA218" s="205"/>
      <c r="NB218" s="205"/>
      <c r="NC218" s="205">
        <f t="shared" si="2079"/>
        <v>2002</v>
      </c>
      <c r="ND218" s="120"/>
      <c r="NE218" s="120"/>
      <c r="NF218" s="120"/>
      <c r="NG218" s="120"/>
      <c r="NH218" s="120"/>
      <c r="NI218" s="205"/>
      <c r="NJ218" s="205"/>
      <c r="NK218" s="205">
        <f t="shared" si="2080"/>
        <v>0</v>
      </c>
      <c r="NL218" s="120"/>
      <c r="NM218" s="120"/>
      <c r="NN218" s="120"/>
      <c r="NO218" s="120"/>
      <c r="NP218" s="120"/>
      <c r="NQ218" s="205"/>
      <c r="NR218" s="205"/>
      <c r="NS218" s="205">
        <f t="shared" si="2081"/>
        <v>0</v>
      </c>
      <c r="NT218" s="217">
        <v>1002</v>
      </c>
      <c r="NU218" s="120"/>
      <c r="NV218" s="120"/>
      <c r="NW218" s="120"/>
      <c r="NX218" s="120"/>
      <c r="NY218" s="205"/>
      <c r="NZ218" s="205"/>
      <c r="OA218" s="205">
        <f t="shared" si="2082"/>
        <v>1002</v>
      </c>
      <c r="OB218" s="205">
        <f t="shared" si="2083"/>
        <v>3004</v>
      </c>
      <c r="OC218" s="120"/>
      <c r="OD218" s="120"/>
      <c r="OE218" s="120"/>
      <c r="OF218" s="120"/>
      <c r="OG218" s="120"/>
      <c r="OH218" s="205"/>
      <c r="OI218" s="205"/>
      <c r="OJ218" s="205">
        <f t="shared" si="2084"/>
        <v>0</v>
      </c>
      <c r="OK218" s="120"/>
      <c r="OL218" s="120"/>
      <c r="OM218" s="120"/>
      <c r="ON218" s="120"/>
      <c r="OO218" s="120"/>
      <c r="OP218" s="205"/>
      <c r="OQ218" s="205"/>
      <c r="OR218" s="205">
        <f t="shared" si="2085"/>
        <v>0</v>
      </c>
      <c r="OS218" s="120"/>
      <c r="OT218" s="120"/>
      <c r="OU218" s="120"/>
      <c r="OV218" s="120"/>
      <c r="OW218" s="120"/>
      <c r="OX218" s="205"/>
      <c r="OY218" s="205"/>
      <c r="OZ218" s="205">
        <f t="shared" si="2086"/>
        <v>0</v>
      </c>
      <c r="PA218" s="120"/>
      <c r="PB218" s="120"/>
      <c r="PC218" s="120"/>
      <c r="PD218" s="205"/>
      <c r="PE218" s="217"/>
      <c r="PF218" s="205"/>
      <c r="PG218" s="205"/>
      <c r="PH218" s="205">
        <f t="shared" si="2087"/>
        <v>0</v>
      </c>
      <c r="PI218" s="120"/>
      <c r="PJ218" s="120"/>
      <c r="PK218" s="120"/>
      <c r="PL218" s="205"/>
      <c r="PM218" s="217"/>
      <c r="PN218" s="205"/>
      <c r="PO218" s="205"/>
      <c r="PP218" s="205">
        <f t="shared" si="2088"/>
        <v>0</v>
      </c>
      <c r="PQ218" s="205">
        <f t="shared" si="2089"/>
        <v>0</v>
      </c>
      <c r="PR218" s="120"/>
      <c r="PS218" s="207"/>
      <c r="PT218" s="207"/>
      <c r="PU218" s="207"/>
      <c r="PV218" s="207"/>
      <c r="PW218" s="272"/>
      <c r="PX218" s="272"/>
      <c r="PY218" s="205">
        <f t="shared" si="2090"/>
        <v>0</v>
      </c>
      <c r="PZ218" s="207"/>
      <c r="QA218" s="207"/>
      <c r="QB218" s="207"/>
      <c r="QC218" s="207"/>
      <c r="QD218" s="207"/>
      <c r="QE218" s="272"/>
      <c r="QF218" s="272"/>
      <c r="QG218" s="205">
        <f t="shared" si="2091"/>
        <v>0</v>
      </c>
      <c r="QH218" s="207"/>
      <c r="QI218" s="207"/>
      <c r="QJ218" s="294"/>
      <c r="QK218" s="207"/>
      <c r="QL218" s="207"/>
      <c r="QM218" s="272"/>
      <c r="QN218" s="272"/>
      <c r="QO218" s="205">
        <f t="shared" si="2092"/>
        <v>0</v>
      </c>
      <c r="QP218" s="207"/>
      <c r="QQ218" s="120"/>
      <c r="QR218" s="207"/>
      <c r="QS218" s="207" t="s">
        <v>216</v>
      </c>
      <c r="QT218" s="207"/>
      <c r="QU218" s="272"/>
      <c r="QV218" s="272"/>
      <c r="QW218" s="205">
        <f t="shared" ref="QW218:QW222" si="2147">SUM(QP218:QV218)</f>
        <v>0</v>
      </c>
      <c r="QX218" s="205">
        <f t="shared" si="2139"/>
        <v>0</v>
      </c>
      <c r="QY218" s="207"/>
      <c r="QZ218" s="207"/>
      <c r="RA218" s="207"/>
      <c r="RB218" s="207"/>
      <c r="RC218" s="314">
        <v>160</v>
      </c>
      <c r="RD218" s="272"/>
      <c r="RE218" s="272"/>
      <c r="RF218" s="205">
        <f t="shared" ref="RF218:RF243" si="2148">SUM(QY218:RE218)</f>
        <v>160</v>
      </c>
      <c r="RG218" s="207"/>
      <c r="RH218" s="123">
        <v>160</v>
      </c>
      <c r="RI218" s="207"/>
      <c r="RJ218" s="207"/>
      <c r="RK218" s="207"/>
      <c r="RL218" s="272"/>
      <c r="RM218" s="272"/>
      <c r="RN218" s="205">
        <f t="shared" si="2096"/>
        <v>160</v>
      </c>
      <c r="RO218" s="272"/>
      <c r="RP218" s="272"/>
      <c r="RQ218" s="272"/>
      <c r="RR218" s="272"/>
      <c r="RS218" s="272"/>
      <c r="RT218" s="272"/>
      <c r="RU218" s="272"/>
      <c r="RV218" s="205">
        <f t="shared" si="2097"/>
        <v>0</v>
      </c>
      <c r="RW218" s="207"/>
      <c r="RX218" s="207"/>
      <c r="RY218" s="207"/>
      <c r="RZ218" s="207"/>
      <c r="SA218" s="272"/>
      <c r="SB218" s="272"/>
      <c r="SC218" s="272"/>
      <c r="SD218" s="205">
        <f t="shared" si="2098"/>
        <v>0</v>
      </c>
      <c r="SE218" s="205">
        <f t="shared" si="2099"/>
        <v>320</v>
      </c>
      <c r="SF218" s="207"/>
      <c r="SG218" s="207"/>
      <c r="SH218" s="207"/>
      <c r="SI218" s="207"/>
      <c r="SJ218" s="207"/>
      <c r="SK218" s="272"/>
      <c r="SL218" s="272"/>
      <c r="SM218" s="205">
        <f t="shared" si="2100"/>
        <v>0</v>
      </c>
      <c r="SN218" s="207"/>
      <c r="SO218" s="207"/>
      <c r="SP218" s="207"/>
      <c r="SQ218" s="207"/>
      <c r="SR218" s="207"/>
      <c r="SS218" s="272"/>
      <c r="ST218" s="272"/>
      <c r="SU218" s="205">
        <f t="shared" si="2101"/>
        <v>0</v>
      </c>
      <c r="SV218" s="207"/>
      <c r="SW218" s="207"/>
      <c r="SX218" s="207"/>
      <c r="SY218" s="123">
        <v>130</v>
      </c>
      <c r="SZ218" s="207"/>
      <c r="TA218" s="272"/>
      <c r="TB218" s="272"/>
      <c r="TC218" s="205">
        <f t="shared" si="2102"/>
        <v>130</v>
      </c>
      <c r="TD218" s="123">
        <v>803</v>
      </c>
      <c r="TE218" s="207"/>
      <c r="TF218" s="207"/>
      <c r="TG218" s="207"/>
      <c r="TH218" s="207"/>
      <c r="TI218" s="272"/>
      <c r="TJ218" s="272"/>
      <c r="TK218" s="205">
        <f t="shared" si="2142"/>
        <v>803</v>
      </c>
      <c r="TL218" s="140"/>
      <c r="TM218" s="140"/>
      <c r="TN218" s="140"/>
      <c r="TO218" s="140"/>
      <c r="TP218" s="370"/>
      <c r="TQ218" s="272"/>
      <c r="TR218" s="272"/>
      <c r="TS218" s="205">
        <f t="shared" si="2135"/>
        <v>0</v>
      </c>
      <c r="TT218" s="205">
        <f t="shared" si="2136"/>
        <v>933</v>
      </c>
      <c r="TU218" s="272"/>
      <c r="TV218" s="207"/>
      <c r="TW218" s="123">
        <v>656</v>
      </c>
      <c r="TX218" s="140"/>
      <c r="TY218" s="207"/>
      <c r="TZ218" s="272"/>
      <c r="UA218" s="272"/>
      <c r="UB218" s="205">
        <f t="shared" si="2012"/>
        <v>656</v>
      </c>
      <c r="UC218" s="207"/>
      <c r="UD218" s="207"/>
      <c r="UE218" s="120"/>
      <c r="UF218" s="120"/>
      <c r="UG218" s="207"/>
      <c r="UH218" s="272"/>
      <c r="UI218" s="272"/>
      <c r="UJ218" s="205">
        <f t="shared" si="2013"/>
        <v>0</v>
      </c>
      <c r="UK218" s="201">
        <v>140</v>
      </c>
      <c r="UL218" s="207"/>
      <c r="UM218" s="386">
        <v>933</v>
      </c>
      <c r="UO218" s="207"/>
      <c r="UP218" s="272"/>
      <c r="UQ218" s="272"/>
      <c r="UR218" s="205">
        <f>SUM(UK218:UQ218)</f>
        <v>1073</v>
      </c>
      <c r="US218" s="207"/>
      <c r="UT218" s="207"/>
      <c r="UU218" s="207"/>
      <c r="UV218" s="207"/>
      <c r="UW218" s="272"/>
      <c r="UX218" s="272"/>
      <c r="UY218" s="272"/>
      <c r="UZ218" s="205">
        <f t="shared" si="2145"/>
        <v>0</v>
      </c>
      <c r="VA218" s="205">
        <f t="shared" si="2146"/>
        <v>1729</v>
      </c>
      <c r="VB218" s="207"/>
      <c r="VC218" s="120"/>
      <c r="VD218" s="207"/>
      <c r="VE218" s="207"/>
      <c r="VF218" s="207"/>
      <c r="VG218" s="272"/>
      <c r="VH218" s="272"/>
      <c r="VI218" s="205">
        <f t="shared" si="2005"/>
        <v>0</v>
      </c>
      <c r="VK218" s="207"/>
      <c r="VL218" s="207"/>
      <c r="VM218" s="207"/>
      <c r="VN218" s="207"/>
      <c r="VO218" s="272"/>
      <c r="VP218" s="272"/>
      <c r="VQ218" s="205">
        <f t="shared" si="2015"/>
        <v>0</v>
      </c>
      <c r="VR218" s="207"/>
      <c r="VS218" s="207"/>
      <c r="VT218" s="207"/>
      <c r="VU218" s="207"/>
      <c r="VV218" s="207"/>
      <c r="VW218" s="272"/>
      <c r="VX218" s="272"/>
      <c r="VY218" s="205">
        <f t="shared" si="2006"/>
        <v>0</v>
      </c>
      <c r="VZ218" s="207"/>
      <c r="WA218" s="207"/>
      <c r="WB218" s="207"/>
      <c r="WC218" s="207"/>
      <c r="WD218" s="207"/>
      <c r="WE218" s="272"/>
      <c r="WF218" s="272"/>
      <c r="WG218" s="205">
        <f t="shared" si="2007"/>
        <v>0</v>
      </c>
      <c r="WH218" s="205">
        <f t="shared" si="2008"/>
        <v>0</v>
      </c>
      <c r="WI218" s="207"/>
      <c r="WJ218" s="207"/>
      <c r="WK218" s="207"/>
      <c r="WL218" s="207"/>
      <c r="WM218" s="207"/>
      <c r="WN218" s="272"/>
      <c r="WO218" s="272"/>
      <c r="WP218" s="205">
        <f t="shared" si="2016"/>
        <v>0</v>
      </c>
      <c r="WQ218" s="207"/>
      <c r="WR218" s="207"/>
      <c r="WS218" s="207"/>
      <c r="WT218" s="207"/>
      <c r="WU218" s="207"/>
      <c r="WV218" s="272"/>
      <c r="WW218" s="272"/>
      <c r="WX218" s="205">
        <f t="shared" si="2017"/>
        <v>0</v>
      </c>
      <c r="WY218" s="207"/>
      <c r="WZ218" s="207"/>
      <c r="XA218" s="207"/>
      <c r="XB218" s="392">
        <v>130</v>
      </c>
      <c r="XC218" s="272"/>
      <c r="XD218" s="272"/>
      <c r="XE218" s="272"/>
      <c r="XF218" s="205">
        <f t="shared" si="2009"/>
        <v>130</v>
      </c>
      <c r="XG218" s="207"/>
      <c r="XH218" s="393">
        <v>1866</v>
      </c>
      <c r="XI218" s="207"/>
      <c r="XJ218" s="207"/>
      <c r="XK218" s="207"/>
      <c r="XL218" s="272"/>
      <c r="XM218" s="272"/>
      <c r="XN218" s="205">
        <f t="shared" si="2105"/>
        <v>1866</v>
      </c>
      <c r="XO218" s="207"/>
      <c r="XP218" s="207"/>
      <c r="XQ218" s="207"/>
      <c r="XR218" s="207"/>
      <c r="XS218" s="207"/>
      <c r="XT218" s="272"/>
      <c r="XU218" s="272"/>
      <c r="XV218" s="205">
        <f t="shared" si="2137"/>
        <v>0</v>
      </c>
      <c r="XW218" s="205">
        <f t="shared" si="2138"/>
        <v>1996</v>
      </c>
      <c r="XX218" s="207"/>
      <c r="XY218" s="207"/>
      <c r="XZ218" s="207"/>
      <c r="YA218" s="207"/>
      <c r="YB218" s="207"/>
      <c r="YC218" s="272"/>
      <c r="YD218" s="272"/>
      <c r="YE218" s="205">
        <f t="shared" si="2018"/>
        <v>0</v>
      </c>
      <c r="YF218" s="207"/>
      <c r="YG218" s="207"/>
      <c r="YH218" s="207"/>
      <c r="YI218" s="207"/>
      <c r="YJ218" s="207"/>
      <c r="YK218" s="272"/>
      <c r="YL218" s="272"/>
      <c r="YM218" s="205">
        <f t="shared" si="2019"/>
        <v>0</v>
      </c>
      <c r="YN218" s="207"/>
      <c r="YO218" s="207"/>
      <c r="YP218" s="207"/>
      <c r="YQ218" s="207"/>
      <c r="YR218" s="207"/>
      <c r="YS218" s="272"/>
      <c r="YT218" s="272"/>
      <c r="YU218" s="205">
        <f t="shared" si="2020"/>
        <v>0</v>
      </c>
      <c r="YV218" s="207"/>
      <c r="YW218" s="207"/>
      <c r="YX218" s="207"/>
      <c r="YY218" s="207"/>
      <c r="YZ218" s="207"/>
      <c r="ZA218" s="272"/>
      <c r="ZB218" s="272"/>
      <c r="ZC218" s="205">
        <f t="shared" si="2021"/>
        <v>0</v>
      </c>
      <c r="ZD218" s="205">
        <f t="shared" si="2022"/>
        <v>1996</v>
      </c>
      <c r="ZE218" s="207"/>
      <c r="ZF218" s="207"/>
      <c r="ZG218" s="207"/>
      <c r="ZH218" s="207"/>
      <c r="ZI218" s="207"/>
      <c r="ZJ218" s="272"/>
      <c r="ZK218" s="272"/>
      <c r="ZL218" s="205">
        <f t="shared" si="2023"/>
        <v>0</v>
      </c>
      <c r="ZM218" s="207"/>
      <c r="ZN218" s="207"/>
      <c r="ZO218" s="207"/>
      <c r="ZP218" s="207"/>
      <c r="ZQ218" s="207"/>
      <c r="ZR218" s="272"/>
      <c r="ZS218" s="272"/>
      <c r="ZT218" s="205">
        <f t="shared" si="2010"/>
        <v>0</v>
      </c>
      <c r="ZU218" s="207"/>
      <c r="ZV218" s="207"/>
      <c r="ZW218" s="207"/>
      <c r="ZX218" s="207"/>
      <c r="ZY218" s="207"/>
      <c r="ZZ218" s="272"/>
      <c r="AAA218" s="272"/>
      <c r="AAB218" s="205">
        <f t="shared" si="2024"/>
        <v>0</v>
      </c>
      <c r="AAC218" s="207"/>
      <c r="AAD218" s="207"/>
      <c r="AAE218" s="207"/>
      <c r="AAF218" s="207"/>
      <c r="AAG218" s="207"/>
      <c r="AAH218" s="272"/>
      <c r="AAI218" s="272"/>
      <c r="AAJ218" s="205">
        <f t="shared" si="2011"/>
        <v>0</v>
      </c>
      <c r="AAK218" s="207"/>
      <c r="AAL218" s="207"/>
      <c r="AAM218" s="207"/>
      <c r="AAN218" s="207"/>
      <c r="AAO218" s="207"/>
      <c r="AAP218" s="272"/>
      <c r="AAQ218" s="272"/>
      <c r="AAR218" s="205">
        <f t="shared" si="2025"/>
        <v>0</v>
      </c>
      <c r="AAS218" s="205">
        <f t="shared" si="2026"/>
        <v>0</v>
      </c>
    </row>
    <row r="219" spans="1:721" ht="99.95" customHeight="1">
      <c r="A219" s="117">
        <v>10</v>
      </c>
      <c r="B219" s="310">
        <v>3631102601</v>
      </c>
      <c r="C219" s="362" t="s">
        <v>948</v>
      </c>
      <c r="D219" s="312" t="s">
        <v>843</v>
      </c>
      <c r="E219" s="130" t="s">
        <v>4</v>
      </c>
      <c r="F219" s="120"/>
      <c r="G219" s="120"/>
      <c r="H219" s="120"/>
      <c r="I219" s="120"/>
      <c r="J219" s="120"/>
      <c r="K219" s="209"/>
      <c r="L219" s="205"/>
      <c r="M219" s="205">
        <f t="shared" si="2108"/>
        <v>0</v>
      </c>
      <c r="N219" s="120"/>
      <c r="O219" s="120"/>
      <c r="P219" s="120"/>
      <c r="Q219" s="120"/>
      <c r="R219" s="120"/>
      <c r="S219" s="209"/>
      <c r="T219" s="205"/>
      <c r="U219" s="205">
        <f t="shared" si="2028"/>
        <v>0</v>
      </c>
      <c r="V219" s="120"/>
      <c r="W219" s="120"/>
      <c r="X219" s="120"/>
      <c r="Y219" s="120"/>
      <c r="Z219" s="120"/>
      <c r="AA219" s="209"/>
      <c r="AB219" s="205"/>
      <c r="AC219" s="205">
        <f t="shared" si="2029"/>
        <v>0</v>
      </c>
      <c r="AD219" s="205"/>
      <c r="AE219" s="205"/>
      <c r="AF219" s="205"/>
      <c r="AG219" s="205"/>
      <c r="AH219" s="205"/>
      <c r="AI219" s="209"/>
      <c r="AJ219" s="205"/>
      <c r="AK219" s="205">
        <f t="shared" si="2030"/>
        <v>0</v>
      </c>
      <c r="AL219" s="205" t="e">
        <f>SUM(#REF!,M219,U219,AC219,AD219:AH219)</f>
        <v>#REF!</v>
      </c>
      <c r="AM219" s="120"/>
      <c r="AN219" s="120"/>
      <c r="AO219" s="120"/>
      <c r="AP219" s="120"/>
      <c r="AQ219" s="120"/>
      <c r="AR219" s="209"/>
      <c r="AS219" s="205"/>
      <c r="AT219" s="205">
        <f t="shared" si="2031"/>
        <v>0</v>
      </c>
      <c r="AU219" s="120"/>
      <c r="AV219" s="120"/>
      <c r="AW219" s="120"/>
      <c r="AX219" s="120"/>
      <c r="AY219" s="120"/>
      <c r="AZ219" s="209"/>
      <c r="BA219" s="205"/>
      <c r="BB219" s="205">
        <f t="shared" si="2032"/>
        <v>0</v>
      </c>
      <c r="BC219" s="120"/>
      <c r="BD219" s="120"/>
      <c r="BE219" s="120"/>
      <c r="BF219" s="120"/>
      <c r="BG219" s="120"/>
      <c r="BH219" s="209"/>
      <c r="BI219" s="205"/>
      <c r="BJ219" s="205">
        <f t="shared" si="2033"/>
        <v>0</v>
      </c>
      <c r="BK219" s="120"/>
      <c r="BL219" s="120"/>
      <c r="BM219" s="217">
        <v>3103</v>
      </c>
      <c r="BN219" s="120"/>
      <c r="BO219" s="205"/>
      <c r="BP219" s="209"/>
      <c r="BQ219" s="205"/>
      <c r="BR219" s="205">
        <f t="shared" si="2034"/>
        <v>3103</v>
      </c>
      <c r="BS219" s="205">
        <f t="shared" si="2035"/>
        <v>3103</v>
      </c>
      <c r="BT219" s="120"/>
      <c r="BU219" s="250">
        <v>703</v>
      </c>
      <c r="BV219" s="120"/>
      <c r="BW219" s="120"/>
      <c r="BX219" s="120"/>
      <c r="BY219" s="209"/>
      <c r="BZ219" s="205"/>
      <c r="CA219" s="205">
        <f t="shared" si="2036"/>
        <v>703</v>
      </c>
      <c r="CB219" s="120"/>
      <c r="CC219" s="120"/>
      <c r="CD219" s="120"/>
      <c r="CE219" s="120"/>
      <c r="CF219" s="120"/>
      <c r="CG219" s="209"/>
      <c r="CH219" s="205"/>
      <c r="CI219" s="205">
        <f t="shared" si="2037"/>
        <v>0</v>
      </c>
      <c r="CJ219" s="120"/>
      <c r="CK219" s="120"/>
      <c r="CL219" s="250">
        <v>1203</v>
      </c>
      <c r="CM219" s="120"/>
      <c r="CN219" s="120"/>
      <c r="CO219" s="209"/>
      <c r="CP219" s="205"/>
      <c r="CQ219" s="205">
        <f t="shared" si="2038"/>
        <v>1203</v>
      </c>
      <c r="CR219" s="120" t="s">
        <v>216</v>
      </c>
      <c r="CS219" s="120"/>
      <c r="CT219" s="120"/>
      <c r="CU219" s="120"/>
      <c r="CV219" s="120"/>
      <c r="CW219" s="209"/>
      <c r="CX219" s="205"/>
      <c r="CY219" s="205">
        <f t="shared" si="2039"/>
        <v>0</v>
      </c>
      <c r="CZ219" s="120"/>
      <c r="DA219" s="120"/>
      <c r="DB219" s="120"/>
      <c r="DC219" s="205"/>
      <c r="DD219" s="205"/>
      <c r="DE219" s="209"/>
      <c r="DF219" s="205"/>
      <c r="DG219" s="205">
        <f t="shared" si="2040"/>
        <v>0</v>
      </c>
      <c r="DH219" s="205">
        <f t="shared" si="2041"/>
        <v>1906</v>
      </c>
      <c r="DI219" s="120"/>
      <c r="DJ219" s="120"/>
      <c r="DK219" s="120"/>
      <c r="DL219" s="120"/>
      <c r="DM219" s="120"/>
      <c r="DN219" s="209"/>
      <c r="DO219" s="205"/>
      <c r="DP219" s="205">
        <f t="shared" si="2042"/>
        <v>0</v>
      </c>
      <c r="DQ219" s="217">
        <v>653</v>
      </c>
      <c r="DR219" s="120"/>
      <c r="DS219" s="120"/>
      <c r="DT219" s="120"/>
      <c r="DU219" s="120"/>
      <c r="DV219" s="209"/>
      <c r="DW219" s="205"/>
      <c r="DX219" s="205">
        <f t="shared" si="2043"/>
        <v>653</v>
      </c>
      <c r="DY219" s="120"/>
      <c r="DZ219" s="120"/>
      <c r="EA219" s="120"/>
      <c r="EB219" s="120"/>
      <c r="EC219" s="120"/>
      <c r="ED219" s="209"/>
      <c r="EE219" s="205"/>
      <c r="EF219" s="205">
        <f t="shared" si="2044"/>
        <v>0</v>
      </c>
      <c r="EG219" s="120"/>
      <c r="EH219" s="120"/>
      <c r="EI219" s="120"/>
      <c r="EJ219" s="205"/>
      <c r="EK219" s="205"/>
      <c r="EL219" s="209"/>
      <c r="EM219" s="205"/>
      <c r="EN219" s="205">
        <f t="shared" si="2045"/>
        <v>0</v>
      </c>
      <c r="EO219" s="205">
        <f t="shared" si="2046"/>
        <v>653</v>
      </c>
      <c r="EP219" s="120"/>
      <c r="EQ219" s="250">
        <v>503</v>
      </c>
      <c r="ER219" s="120"/>
      <c r="ES219" s="120"/>
      <c r="ET219" s="120"/>
      <c r="EU219" s="209"/>
      <c r="EV219" s="205"/>
      <c r="EW219" s="205">
        <f t="shared" si="2047"/>
        <v>503</v>
      </c>
      <c r="EX219" s="120"/>
      <c r="EY219" s="120"/>
      <c r="EZ219" s="120"/>
      <c r="FA219" s="120"/>
      <c r="FB219" s="120"/>
      <c r="FC219" s="209"/>
      <c r="FD219" s="205"/>
      <c r="FE219" s="205">
        <f t="shared" si="2048"/>
        <v>0</v>
      </c>
      <c r="FF219" s="120"/>
      <c r="FG219" s="195">
        <v>503</v>
      </c>
      <c r="FH219" s="120"/>
      <c r="FI219" s="120"/>
      <c r="FJ219" s="120"/>
      <c r="FK219" s="209"/>
      <c r="FL219" s="205"/>
      <c r="FM219" s="205">
        <f t="shared" si="2049"/>
        <v>503</v>
      </c>
      <c r="FN219" s="120"/>
      <c r="FO219" s="120"/>
      <c r="FP219" s="120"/>
      <c r="FQ219" s="120"/>
      <c r="FR219" s="205"/>
      <c r="FS219" s="209"/>
      <c r="FT219" s="205"/>
      <c r="FU219" s="205">
        <f t="shared" si="2050"/>
        <v>0</v>
      </c>
      <c r="FV219" s="205">
        <f t="shared" si="2051"/>
        <v>1006</v>
      </c>
      <c r="FW219" s="120"/>
      <c r="FX219" s="120"/>
      <c r="FY219" s="120"/>
      <c r="FZ219" s="120"/>
      <c r="GA219" s="120"/>
      <c r="GB219" s="209"/>
      <c r="GC219" s="205"/>
      <c r="GD219" s="205">
        <f t="shared" si="2052"/>
        <v>0</v>
      </c>
      <c r="GE219" s="120"/>
      <c r="GF219" s="120"/>
      <c r="GG219" s="120"/>
      <c r="GH219" s="120"/>
      <c r="GI219" s="120"/>
      <c r="GJ219" s="209"/>
      <c r="GK219" s="205"/>
      <c r="GL219" s="205">
        <f t="shared" si="2053"/>
        <v>0</v>
      </c>
      <c r="GM219" s="120"/>
      <c r="GN219" s="120"/>
      <c r="GO219" s="120"/>
      <c r="GP219" s="120"/>
      <c r="GQ219" s="120"/>
      <c r="GR219" s="209"/>
      <c r="GS219" s="205"/>
      <c r="GT219" s="205">
        <f t="shared" si="2054"/>
        <v>0</v>
      </c>
      <c r="GU219" s="120"/>
      <c r="GV219" s="120"/>
      <c r="GW219" s="120"/>
      <c r="GX219" s="120"/>
      <c r="GY219" s="120"/>
      <c r="GZ219" s="209"/>
      <c r="HA219" s="205"/>
      <c r="HB219" s="205">
        <f t="shared" si="2055"/>
        <v>0</v>
      </c>
      <c r="HC219" s="120"/>
      <c r="HD219" s="120"/>
      <c r="HE219" s="120"/>
      <c r="HF219" s="120"/>
      <c r="HG219" s="120"/>
      <c r="HH219" s="209"/>
      <c r="HI219" s="205"/>
      <c r="HJ219" s="205">
        <f t="shared" si="2056"/>
        <v>0</v>
      </c>
      <c r="HK219" s="205">
        <f t="shared" si="2057"/>
        <v>0</v>
      </c>
      <c r="HL219" s="124"/>
      <c r="HM219" s="120"/>
      <c r="HN219" s="120"/>
      <c r="HO219" s="123">
        <v>1753</v>
      </c>
      <c r="HP219" s="120"/>
      <c r="HQ219" s="205"/>
      <c r="HR219" s="205"/>
      <c r="HS219" s="205">
        <f t="shared" si="2058"/>
        <v>1753</v>
      </c>
      <c r="HT219" s="120"/>
      <c r="HU219" s="120"/>
      <c r="HV219" s="120"/>
      <c r="HW219" s="120"/>
      <c r="HX219" s="120"/>
      <c r="HY219" s="205"/>
      <c r="HZ219" s="205"/>
      <c r="IA219" s="205">
        <f t="shared" si="2059"/>
        <v>0</v>
      </c>
      <c r="IB219" s="120"/>
      <c r="IC219" s="120"/>
      <c r="ID219" s="120"/>
      <c r="IE219" s="120"/>
      <c r="IF219" s="120"/>
      <c r="IG219" s="205"/>
      <c r="IH219" s="205"/>
      <c r="II219" s="205">
        <f t="shared" si="2060"/>
        <v>0</v>
      </c>
      <c r="IJ219" s="120"/>
      <c r="IK219" s="120"/>
      <c r="IL219" s="201">
        <v>1803</v>
      </c>
      <c r="IM219" s="120"/>
      <c r="IN219" s="120"/>
      <c r="IO219" s="205"/>
      <c r="IP219" s="205"/>
      <c r="IQ219" s="205">
        <f t="shared" si="2061"/>
        <v>1803</v>
      </c>
      <c r="IR219" s="205">
        <f t="shared" si="2062"/>
        <v>3556</v>
      </c>
      <c r="IS219" s="120"/>
      <c r="IT219" s="120"/>
      <c r="IU219" s="120"/>
      <c r="IV219" s="120"/>
      <c r="IW219" s="120"/>
      <c r="IX219" s="205"/>
      <c r="IY219" s="205"/>
      <c r="IZ219" s="205">
        <f t="shared" si="2063"/>
        <v>0</v>
      </c>
      <c r="JA219" s="120"/>
      <c r="JB219" s="120"/>
      <c r="JC219" s="120"/>
      <c r="JD219" s="120"/>
      <c r="JE219" s="120"/>
      <c r="JF219" s="205"/>
      <c r="JG219" s="205"/>
      <c r="JH219" s="205">
        <f t="shared" si="2064"/>
        <v>0</v>
      </c>
      <c r="JI219" s="120"/>
      <c r="JJ219" s="120"/>
      <c r="JK219" s="120"/>
      <c r="JL219" s="120"/>
      <c r="JM219" s="120"/>
      <c r="JN219" s="205"/>
      <c r="JO219" s="205"/>
      <c r="JP219" s="205">
        <f t="shared" si="2065"/>
        <v>0</v>
      </c>
      <c r="JQ219" s="120"/>
      <c r="JR219" s="120"/>
      <c r="JS219" s="120"/>
      <c r="JT219" s="120"/>
      <c r="JU219" s="120"/>
      <c r="JV219" s="205"/>
      <c r="JW219" s="205"/>
      <c r="JX219" s="205">
        <f t="shared" si="2066"/>
        <v>0</v>
      </c>
      <c r="JY219" s="205">
        <f t="shared" si="2067"/>
        <v>0</v>
      </c>
      <c r="JZ219" s="120"/>
      <c r="KA219" s="120"/>
      <c r="KB219" s="120"/>
      <c r="KC219" s="120"/>
      <c r="KD219" s="120"/>
      <c r="KE219" s="205"/>
      <c r="KF219" s="205"/>
      <c r="KG219" s="205">
        <f t="shared" si="2068"/>
        <v>0</v>
      </c>
      <c r="KH219" s="120"/>
      <c r="KI219" s="120"/>
      <c r="KJ219" s="120"/>
      <c r="KK219" s="206">
        <v>803</v>
      </c>
      <c r="KL219" s="120"/>
      <c r="KM219" s="205"/>
      <c r="KN219" s="205"/>
      <c r="KO219" s="205">
        <f t="shared" si="2069"/>
        <v>803</v>
      </c>
      <c r="KP219" s="120"/>
      <c r="KQ219" s="120"/>
      <c r="KR219" s="120"/>
      <c r="KS219" s="120"/>
      <c r="KT219" s="120"/>
      <c r="KU219" s="205"/>
      <c r="KV219" s="205"/>
      <c r="KW219" s="205">
        <f t="shared" si="2070"/>
        <v>0</v>
      </c>
      <c r="KX219" s="120"/>
      <c r="KY219" s="120"/>
      <c r="KZ219" s="120"/>
      <c r="LA219" s="120"/>
      <c r="LB219" s="120"/>
      <c r="LC219" s="205"/>
      <c r="LD219" s="205"/>
      <c r="LE219" s="205">
        <f t="shared" si="2071"/>
        <v>0</v>
      </c>
      <c r="LF219" s="205"/>
      <c r="LG219" s="120"/>
      <c r="LH219" s="120"/>
      <c r="LI219" s="120"/>
      <c r="LJ219" s="120"/>
      <c r="LK219" s="205"/>
      <c r="LL219" s="205"/>
      <c r="LM219" s="205">
        <f t="shared" si="2072"/>
        <v>0</v>
      </c>
      <c r="LN219" s="205">
        <f t="shared" si="2073"/>
        <v>803</v>
      </c>
      <c r="LO219" s="205"/>
      <c r="LP219" s="120"/>
      <c r="LQ219" s="120"/>
      <c r="LR219" s="120"/>
      <c r="LS219" s="205"/>
      <c r="LT219" s="205"/>
      <c r="LU219" s="205"/>
      <c r="LV219" s="205">
        <f t="shared" si="2074"/>
        <v>0</v>
      </c>
      <c r="LW219" s="120"/>
      <c r="LX219" s="120"/>
      <c r="LY219" s="124">
        <v>363</v>
      </c>
      <c r="LZ219" s="120"/>
      <c r="MA219" s="120"/>
      <c r="MB219" s="205"/>
      <c r="MC219" s="205"/>
      <c r="MD219" s="205">
        <f t="shared" si="2075"/>
        <v>363</v>
      </c>
      <c r="ME219" s="120"/>
      <c r="MF219" s="120"/>
      <c r="MG219" s="120"/>
      <c r="MH219" s="201">
        <v>1103</v>
      </c>
      <c r="MI219" s="205"/>
      <c r="MJ219" s="205"/>
      <c r="MK219" s="205"/>
      <c r="ML219" s="205">
        <f t="shared" si="2076"/>
        <v>1103</v>
      </c>
      <c r="MM219" s="120" t="s">
        <v>712</v>
      </c>
      <c r="MN219" s="120"/>
      <c r="MO219" s="120"/>
      <c r="MP219" s="120"/>
      <c r="MQ219" s="120"/>
      <c r="MR219" s="205"/>
      <c r="MS219" s="205"/>
      <c r="MT219" s="205">
        <f t="shared" si="2077"/>
        <v>0</v>
      </c>
      <c r="MU219" s="205">
        <f t="shared" si="2078"/>
        <v>1466</v>
      </c>
      <c r="MV219" s="120"/>
      <c r="MW219" s="120"/>
      <c r="MX219" s="195">
        <v>2003</v>
      </c>
      <c r="MY219" s="120"/>
      <c r="MZ219" s="120"/>
      <c r="NA219" s="205"/>
      <c r="NB219" s="205"/>
      <c r="NC219" s="205">
        <f t="shared" si="2079"/>
        <v>2003</v>
      </c>
      <c r="ND219" s="120"/>
      <c r="NE219" s="120"/>
      <c r="NF219" s="120"/>
      <c r="NG219" s="120"/>
      <c r="NH219" s="120"/>
      <c r="NI219" s="205"/>
      <c r="NJ219" s="205"/>
      <c r="NK219" s="205">
        <f t="shared" si="2080"/>
        <v>0</v>
      </c>
      <c r="NL219" s="120"/>
      <c r="NM219" s="120"/>
      <c r="NN219" s="120"/>
      <c r="NO219" s="120"/>
      <c r="NP219" s="120"/>
      <c r="NQ219" s="205"/>
      <c r="NR219" s="205"/>
      <c r="NS219" s="205">
        <f t="shared" si="2081"/>
        <v>0</v>
      </c>
      <c r="NT219" s="217">
        <v>1003</v>
      </c>
      <c r="NU219" s="120"/>
      <c r="NV219" s="120"/>
      <c r="NW219" s="120"/>
      <c r="NX219" s="120"/>
      <c r="NY219" s="205"/>
      <c r="NZ219" s="205"/>
      <c r="OA219" s="205">
        <f t="shared" si="2082"/>
        <v>1003</v>
      </c>
      <c r="OB219" s="205">
        <f t="shared" si="2083"/>
        <v>3006</v>
      </c>
      <c r="OC219" s="120"/>
      <c r="OD219" s="120"/>
      <c r="OE219" s="120"/>
      <c r="OF219" s="120"/>
      <c r="OG219" s="120"/>
      <c r="OH219" s="205"/>
      <c r="OI219" s="205"/>
      <c r="OJ219" s="205">
        <f t="shared" si="2084"/>
        <v>0</v>
      </c>
      <c r="OK219" s="120"/>
      <c r="OL219" s="120"/>
      <c r="OM219" s="120"/>
      <c r="ON219" s="120"/>
      <c r="OO219" s="120"/>
      <c r="OP219" s="205"/>
      <c r="OQ219" s="205"/>
      <c r="OR219" s="205">
        <f t="shared" si="2085"/>
        <v>0</v>
      </c>
      <c r="OS219" s="120"/>
      <c r="OT219" s="120"/>
      <c r="OU219" s="120"/>
      <c r="OV219" s="120"/>
      <c r="OW219" s="120"/>
      <c r="OX219" s="205"/>
      <c r="OY219" s="205"/>
      <c r="OZ219" s="205">
        <f t="shared" si="2086"/>
        <v>0</v>
      </c>
      <c r="PA219" s="120"/>
      <c r="PB219" s="120"/>
      <c r="PC219" s="120"/>
      <c r="PD219" s="205"/>
      <c r="PE219" s="217"/>
      <c r="PF219" s="205"/>
      <c r="PG219" s="205"/>
      <c r="PH219" s="205">
        <f t="shared" si="2087"/>
        <v>0</v>
      </c>
      <c r="PI219" s="120"/>
      <c r="PJ219" s="120"/>
      <c r="PK219" s="120"/>
      <c r="PL219" s="205"/>
      <c r="PM219" s="217"/>
      <c r="PN219" s="205"/>
      <c r="PO219" s="205"/>
      <c r="PP219" s="205">
        <f t="shared" si="2088"/>
        <v>0</v>
      </c>
      <c r="PQ219" s="205">
        <f t="shared" si="2089"/>
        <v>0</v>
      </c>
      <c r="PR219" s="120"/>
      <c r="PS219" s="207"/>
      <c r="PT219" s="207"/>
      <c r="PU219" s="207"/>
      <c r="PV219" s="207"/>
      <c r="PW219" s="272"/>
      <c r="PX219" s="272"/>
      <c r="PY219" s="205">
        <f t="shared" si="2090"/>
        <v>0</v>
      </c>
      <c r="PZ219" s="207"/>
      <c r="QA219" s="207"/>
      <c r="QB219" s="207"/>
      <c r="QC219" s="207"/>
      <c r="QD219" s="207"/>
      <c r="QE219" s="272"/>
      <c r="QF219" s="272"/>
      <c r="QG219" s="205">
        <f t="shared" si="2091"/>
        <v>0</v>
      </c>
      <c r="QH219" s="304"/>
      <c r="QI219" s="207"/>
      <c r="QJ219" s="201">
        <v>500</v>
      </c>
      <c r="QK219" s="207"/>
      <c r="QL219" s="207"/>
      <c r="QM219" s="272"/>
      <c r="QN219" s="272"/>
      <c r="QO219" s="205">
        <f t="shared" si="2092"/>
        <v>500</v>
      </c>
      <c r="QP219" s="207"/>
      <c r="QQ219" s="120"/>
      <c r="QR219" s="207"/>
      <c r="QS219" s="207"/>
      <c r="QT219" s="207"/>
      <c r="QU219" s="272"/>
      <c r="QV219" s="272"/>
      <c r="QW219" s="205">
        <f t="shared" si="2147"/>
        <v>0</v>
      </c>
      <c r="QX219" s="205">
        <f t="shared" si="2139"/>
        <v>500</v>
      </c>
      <c r="QY219" s="207"/>
      <c r="QZ219" s="207"/>
      <c r="RA219" s="207"/>
      <c r="RB219" s="207"/>
      <c r="RC219" s="207"/>
      <c r="RD219" s="272"/>
      <c r="RE219" s="272"/>
      <c r="RF219" s="205">
        <f t="shared" si="2148"/>
        <v>0</v>
      </c>
      <c r="RG219" s="207"/>
      <c r="RH219" s="201"/>
      <c r="RI219" s="207"/>
      <c r="RJ219" s="201">
        <v>756</v>
      </c>
      <c r="RK219" s="207"/>
      <c r="RL219" s="272"/>
      <c r="RM219" s="272"/>
      <c r="RN219" s="205">
        <f t="shared" si="2096"/>
        <v>756</v>
      </c>
      <c r="RO219" s="272"/>
      <c r="RP219" s="272"/>
      <c r="RQ219" s="272"/>
      <c r="RR219" s="272"/>
      <c r="RS219" s="272"/>
      <c r="RT219" s="272"/>
      <c r="RU219" s="272"/>
      <c r="RV219" s="205">
        <f t="shared" si="2097"/>
        <v>0</v>
      </c>
      <c r="RW219" s="207"/>
      <c r="RX219" s="207"/>
      <c r="RY219" s="207"/>
      <c r="RZ219" s="207"/>
      <c r="SA219" s="272"/>
      <c r="SB219" s="272"/>
      <c r="SC219" s="272"/>
      <c r="SD219" s="205">
        <f t="shared" si="2098"/>
        <v>0</v>
      </c>
      <c r="SE219" s="205">
        <f t="shared" si="2099"/>
        <v>756</v>
      </c>
      <c r="SF219" s="207"/>
      <c r="SG219" s="207"/>
      <c r="SH219" s="207"/>
      <c r="SI219" s="207"/>
      <c r="SJ219" s="207"/>
      <c r="SK219" s="272"/>
      <c r="SL219" s="272"/>
      <c r="SM219" s="205">
        <f t="shared" si="2100"/>
        <v>0</v>
      </c>
      <c r="SN219" s="207"/>
      <c r="SO219" s="207"/>
      <c r="SP219" s="207"/>
      <c r="SQ219" s="207"/>
      <c r="SR219" s="207"/>
      <c r="SS219" s="272"/>
      <c r="ST219" s="272"/>
      <c r="SU219" s="205">
        <f t="shared" si="2101"/>
        <v>0</v>
      </c>
      <c r="SV219" s="207"/>
      <c r="SW219" s="207"/>
      <c r="SX219" s="207"/>
      <c r="SY219" s="207"/>
      <c r="SZ219" s="207"/>
      <c r="TA219" s="272"/>
      <c r="TB219" s="272"/>
      <c r="TC219" s="205">
        <f t="shared" si="2102"/>
        <v>0</v>
      </c>
      <c r="TD219" s="207"/>
      <c r="TE219" s="207"/>
      <c r="TF219" s="207"/>
      <c r="TG219" s="207"/>
      <c r="TH219" s="207"/>
      <c r="TI219" s="272"/>
      <c r="TJ219" s="272"/>
      <c r="TK219" s="205">
        <f t="shared" si="2142"/>
        <v>0</v>
      </c>
      <c r="TL219" s="140"/>
      <c r="TM219" s="140"/>
      <c r="TN219" s="140"/>
      <c r="TO219" s="140"/>
      <c r="TP219" s="370"/>
      <c r="TQ219" s="272"/>
      <c r="TR219" s="272"/>
      <c r="TS219" s="205">
        <f t="shared" si="2135"/>
        <v>0</v>
      </c>
      <c r="TT219" s="205">
        <f t="shared" si="2136"/>
        <v>0</v>
      </c>
      <c r="TU219" s="272"/>
      <c r="TV219" s="207"/>
      <c r="TW219" s="207"/>
      <c r="TX219" s="140"/>
      <c r="TY219" s="207"/>
      <c r="TZ219" s="272"/>
      <c r="UA219" s="272"/>
      <c r="UB219" s="205">
        <f t="shared" si="2012"/>
        <v>0</v>
      </c>
      <c r="UC219" s="207"/>
      <c r="UD219" s="207"/>
      <c r="UE219" s="120"/>
      <c r="UF219" s="120"/>
      <c r="UG219" s="207"/>
      <c r="UH219" s="272"/>
      <c r="UI219" s="272"/>
      <c r="UJ219" s="205">
        <f t="shared" si="2013"/>
        <v>0</v>
      </c>
      <c r="UK219" s="207"/>
      <c r="UL219" s="124">
        <v>150</v>
      </c>
      <c r="UM219" s="207"/>
      <c r="UN219" s="386">
        <v>1050</v>
      </c>
      <c r="UO219" s="207"/>
      <c r="UP219" s="272"/>
      <c r="UQ219" s="272"/>
      <c r="UR219" s="205">
        <f t="shared" si="2014"/>
        <v>1200</v>
      </c>
      <c r="US219" s="207"/>
      <c r="UT219" s="207"/>
      <c r="UU219" s="207"/>
      <c r="UV219" s="207"/>
      <c r="UW219" s="272"/>
      <c r="UX219" s="272"/>
      <c r="UY219" s="272"/>
      <c r="UZ219" s="205">
        <f t="shared" si="2145"/>
        <v>0</v>
      </c>
      <c r="VA219" s="205">
        <f t="shared" si="2146"/>
        <v>1200</v>
      </c>
      <c r="VB219" s="207"/>
      <c r="VC219" s="120"/>
      <c r="VD219" s="207"/>
      <c r="VE219" s="207"/>
      <c r="VF219" s="207"/>
      <c r="VG219" s="272"/>
      <c r="VH219" s="272"/>
      <c r="VI219" s="205">
        <f t="shared" si="2005"/>
        <v>0</v>
      </c>
      <c r="VJ219" s="207"/>
      <c r="VL219" s="207"/>
      <c r="VM219" s="207"/>
      <c r="VN219" s="207"/>
      <c r="VO219" s="272"/>
      <c r="VP219" s="272"/>
      <c r="VQ219" s="205">
        <f t="shared" si="2015"/>
        <v>0</v>
      </c>
      <c r="VR219" s="207"/>
      <c r="VS219" s="207"/>
      <c r="VT219" s="207"/>
      <c r="VU219" s="207"/>
      <c r="VV219" s="207"/>
      <c r="VW219" s="272"/>
      <c r="VX219" s="272"/>
      <c r="VY219" s="205">
        <f t="shared" si="2006"/>
        <v>0</v>
      </c>
      <c r="VZ219" s="207"/>
      <c r="WA219" s="207"/>
      <c r="WB219" s="207"/>
      <c r="WC219" s="207"/>
      <c r="WD219" s="207"/>
      <c r="WE219" s="272"/>
      <c r="WF219" s="272"/>
      <c r="WG219" s="205">
        <f t="shared" si="2007"/>
        <v>0</v>
      </c>
      <c r="WH219" s="205">
        <f t="shared" si="2008"/>
        <v>0</v>
      </c>
      <c r="WI219" s="207"/>
      <c r="WJ219" s="207"/>
      <c r="WK219" s="207"/>
      <c r="WL219" s="207"/>
      <c r="WM219" s="207"/>
      <c r="WN219" s="272"/>
      <c r="WO219" s="272"/>
      <c r="WP219" s="205">
        <f t="shared" si="2016"/>
        <v>0</v>
      </c>
      <c r="WQ219" s="207"/>
      <c r="WR219" s="207"/>
      <c r="WS219" s="207"/>
      <c r="WT219" s="207"/>
      <c r="WU219" s="207"/>
      <c r="WV219" s="272"/>
      <c r="WW219" s="272"/>
      <c r="WX219" s="205">
        <f t="shared" si="2017"/>
        <v>0</v>
      </c>
      <c r="WY219" s="207"/>
      <c r="WZ219" s="207"/>
      <c r="XA219" s="207"/>
      <c r="XB219" s="207"/>
      <c r="XC219" s="272"/>
      <c r="XD219" s="272"/>
      <c r="XE219" s="272"/>
      <c r="XF219" s="205">
        <f t="shared" si="2009"/>
        <v>0</v>
      </c>
      <c r="XG219" s="124">
        <v>150</v>
      </c>
      <c r="XH219" s="207"/>
      <c r="XI219" s="207"/>
      <c r="XJ219" s="124">
        <v>1512</v>
      </c>
      <c r="XK219" s="207"/>
      <c r="XL219" s="272"/>
      <c r="XM219" s="272"/>
      <c r="XN219" s="205">
        <f t="shared" si="2105"/>
        <v>1662</v>
      </c>
      <c r="XO219" s="207"/>
      <c r="XP219" s="207"/>
      <c r="XQ219" s="207"/>
      <c r="XR219" s="207"/>
      <c r="XS219" s="207"/>
      <c r="XT219" s="272"/>
      <c r="XU219" s="272"/>
      <c r="XV219" s="205">
        <f t="shared" si="2137"/>
        <v>0</v>
      </c>
      <c r="XW219" s="205">
        <f t="shared" si="2138"/>
        <v>1662</v>
      </c>
      <c r="XX219" s="207"/>
      <c r="XY219" s="207"/>
      <c r="XZ219" s="207"/>
      <c r="YA219" s="207"/>
      <c r="YB219" s="207"/>
      <c r="YC219" s="272"/>
      <c r="YD219" s="272"/>
      <c r="YE219" s="205">
        <f t="shared" si="2018"/>
        <v>0</v>
      </c>
      <c r="YF219" s="207"/>
      <c r="YG219" s="207"/>
      <c r="YH219" s="207"/>
      <c r="YI219" s="207"/>
      <c r="YJ219" s="207"/>
      <c r="YK219" s="272"/>
      <c r="YL219" s="272"/>
      <c r="YM219" s="205">
        <f t="shared" si="2019"/>
        <v>0</v>
      </c>
      <c r="YN219" s="207"/>
      <c r="YO219" s="207"/>
      <c r="YP219" s="207"/>
      <c r="YQ219" s="207"/>
      <c r="YR219" s="207"/>
      <c r="YS219" s="272"/>
      <c r="YT219" s="272"/>
      <c r="YU219" s="205">
        <f t="shared" si="2020"/>
        <v>0</v>
      </c>
      <c r="YV219" s="207"/>
      <c r="YW219" s="207"/>
      <c r="YX219" s="207"/>
      <c r="YY219" s="207"/>
      <c r="YZ219" s="207"/>
      <c r="ZA219" s="272"/>
      <c r="ZB219" s="272"/>
      <c r="ZC219" s="205">
        <f t="shared" si="2021"/>
        <v>0</v>
      </c>
      <c r="ZD219" s="205">
        <f t="shared" si="2022"/>
        <v>1662</v>
      </c>
      <c r="ZE219" s="207"/>
      <c r="ZF219" s="207"/>
      <c r="ZG219" s="207"/>
      <c r="ZH219" s="207"/>
      <c r="ZI219" s="207"/>
      <c r="ZJ219" s="272"/>
      <c r="ZK219" s="272"/>
      <c r="ZL219" s="205">
        <f t="shared" si="2023"/>
        <v>0</v>
      </c>
      <c r="ZM219" s="207"/>
      <c r="ZN219" s="207"/>
      <c r="ZO219" s="207"/>
      <c r="ZP219" s="207"/>
      <c r="ZQ219" s="207"/>
      <c r="ZR219" s="272"/>
      <c r="ZS219" s="272"/>
      <c r="ZT219" s="205">
        <f t="shared" si="2010"/>
        <v>0</v>
      </c>
      <c r="ZU219" s="207"/>
      <c r="ZV219" s="207"/>
      <c r="ZW219" s="207"/>
      <c r="ZX219" s="207"/>
      <c r="ZY219" s="207"/>
      <c r="ZZ219" s="272"/>
      <c r="AAA219" s="272"/>
      <c r="AAB219" s="205">
        <f t="shared" si="2024"/>
        <v>0</v>
      </c>
      <c r="AAC219" s="207"/>
      <c r="AAD219" s="207"/>
      <c r="AAE219" s="207"/>
      <c r="AAF219" s="207"/>
      <c r="AAG219" s="207"/>
      <c r="AAH219" s="272"/>
      <c r="AAI219" s="272"/>
      <c r="AAJ219" s="205">
        <f t="shared" si="2011"/>
        <v>0</v>
      </c>
      <c r="AAK219" s="207"/>
      <c r="AAL219" s="207"/>
      <c r="AAM219" s="207"/>
      <c r="AAN219" s="207"/>
      <c r="AAO219" s="207"/>
      <c r="AAP219" s="272"/>
      <c r="AAQ219" s="272"/>
      <c r="AAR219" s="205">
        <f t="shared" si="2025"/>
        <v>0</v>
      </c>
      <c r="AAS219" s="205">
        <f t="shared" si="2026"/>
        <v>0</v>
      </c>
    </row>
    <row r="220" spans="1:721" ht="111.95" customHeight="1">
      <c r="A220" s="117">
        <v>10</v>
      </c>
      <c r="B220" s="310">
        <v>3631102401</v>
      </c>
      <c r="C220" s="362" t="s">
        <v>943</v>
      </c>
      <c r="D220" s="312" t="s">
        <v>844</v>
      </c>
      <c r="E220" s="130" t="s">
        <v>4</v>
      </c>
      <c r="F220" s="120"/>
      <c r="G220" s="120"/>
      <c r="H220" s="120"/>
      <c r="I220" s="120"/>
      <c r="J220" s="120"/>
      <c r="K220" s="209"/>
      <c r="L220" s="205"/>
      <c r="M220" s="205">
        <f t="shared" si="2108"/>
        <v>0</v>
      </c>
      <c r="N220" s="120"/>
      <c r="O220" s="120"/>
      <c r="P220" s="120"/>
      <c r="Q220" s="120"/>
      <c r="R220" s="120"/>
      <c r="S220" s="209"/>
      <c r="T220" s="205"/>
      <c r="U220" s="205">
        <f t="shared" si="2028"/>
        <v>0</v>
      </c>
      <c r="V220" s="120"/>
      <c r="W220" s="120"/>
      <c r="X220" s="120"/>
      <c r="Y220" s="120"/>
      <c r="Z220" s="120"/>
      <c r="AA220" s="209"/>
      <c r="AB220" s="205"/>
      <c r="AC220" s="205">
        <f t="shared" si="2029"/>
        <v>0</v>
      </c>
      <c r="AD220" s="205"/>
      <c r="AE220" s="205"/>
      <c r="AF220" s="205"/>
      <c r="AG220" s="205"/>
      <c r="AH220" s="205"/>
      <c r="AI220" s="209"/>
      <c r="AJ220" s="205"/>
      <c r="AK220" s="205">
        <f t="shared" si="2030"/>
        <v>0</v>
      </c>
      <c r="AL220" s="205" t="e">
        <f>SUM(#REF!,M220,U220,AC220,AD220:AH220)</f>
        <v>#REF!</v>
      </c>
      <c r="AM220" s="120"/>
      <c r="AN220" s="120"/>
      <c r="AO220" s="120"/>
      <c r="AP220" s="120"/>
      <c r="AQ220" s="120"/>
      <c r="AR220" s="209"/>
      <c r="AS220" s="205"/>
      <c r="AT220" s="205">
        <f t="shared" si="2031"/>
        <v>0</v>
      </c>
      <c r="AU220" s="120"/>
      <c r="AV220" s="120"/>
      <c r="AW220" s="120"/>
      <c r="AX220" s="120"/>
      <c r="AY220" s="120"/>
      <c r="AZ220" s="209"/>
      <c r="BA220" s="205"/>
      <c r="BB220" s="205">
        <f t="shared" si="2032"/>
        <v>0</v>
      </c>
      <c r="BC220" s="120"/>
      <c r="BD220" s="120"/>
      <c r="BE220" s="120"/>
      <c r="BF220" s="120"/>
      <c r="BG220" s="120"/>
      <c r="BH220" s="209"/>
      <c r="BI220" s="205"/>
      <c r="BJ220" s="205">
        <f t="shared" si="2033"/>
        <v>0</v>
      </c>
      <c r="BK220" s="120"/>
      <c r="BL220" s="120"/>
      <c r="BM220" s="217">
        <v>3104</v>
      </c>
      <c r="BN220" s="120"/>
      <c r="BO220" s="205"/>
      <c r="BP220" s="209"/>
      <c r="BQ220" s="205"/>
      <c r="BR220" s="205">
        <f t="shared" si="2034"/>
        <v>3104</v>
      </c>
      <c r="BS220" s="205">
        <f t="shared" si="2035"/>
        <v>3104</v>
      </c>
      <c r="BT220" s="120"/>
      <c r="BU220" s="250">
        <v>704</v>
      </c>
      <c r="BV220" s="120"/>
      <c r="BW220" s="120"/>
      <c r="BX220" s="120"/>
      <c r="BY220" s="209"/>
      <c r="BZ220" s="205"/>
      <c r="CA220" s="205">
        <f t="shared" si="2036"/>
        <v>704</v>
      </c>
      <c r="CB220" s="120"/>
      <c r="CC220" s="120"/>
      <c r="CD220" s="120"/>
      <c r="CE220" s="120"/>
      <c r="CF220" s="120"/>
      <c r="CG220" s="209"/>
      <c r="CH220" s="205"/>
      <c r="CI220" s="205">
        <f t="shared" si="2037"/>
        <v>0</v>
      </c>
      <c r="CJ220" s="120"/>
      <c r="CK220" s="120"/>
      <c r="CL220" s="250">
        <v>1204</v>
      </c>
      <c r="CM220" s="120"/>
      <c r="CN220" s="120"/>
      <c r="CO220" s="209"/>
      <c r="CP220" s="205"/>
      <c r="CQ220" s="205">
        <f t="shared" si="2038"/>
        <v>1204</v>
      </c>
      <c r="CR220" s="120" t="s">
        <v>216</v>
      </c>
      <c r="CS220" s="120"/>
      <c r="CT220" s="120"/>
      <c r="CU220" s="120"/>
      <c r="CV220" s="120"/>
      <c r="CW220" s="209"/>
      <c r="CX220" s="205"/>
      <c r="CY220" s="205">
        <f t="shared" si="2039"/>
        <v>0</v>
      </c>
      <c r="CZ220" s="120"/>
      <c r="DA220" s="120"/>
      <c r="DB220" s="120"/>
      <c r="DC220" s="205"/>
      <c r="DD220" s="205"/>
      <c r="DE220" s="209"/>
      <c r="DF220" s="205"/>
      <c r="DG220" s="205">
        <f t="shared" si="2040"/>
        <v>0</v>
      </c>
      <c r="DH220" s="205">
        <f t="shared" si="2041"/>
        <v>1908</v>
      </c>
      <c r="DI220" s="120"/>
      <c r="DJ220" s="120"/>
      <c r="DK220" s="120"/>
      <c r="DL220" s="120"/>
      <c r="DM220" s="120"/>
      <c r="DN220" s="209"/>
      <c r="DO220" s="205"/>
      <c r="DP220" s="205">
        <f t="shared" si="2042"/>
        <v>0</v>
      </c>
      <c r="DQ220" s="217">
        <v>654</v>
      </c>
      <c r="DR220" s="120"/>
      <c r="DS220" s="120"/>
      <c r="DT220" s="120"/>
      <c r="DU220" s="120"/>
      <c r="DV220" s="209"/>
      <c r="DW220" s="205"/>
      <c r="DX220" s="205">
        <f t="shared" si="2043"/>
        <v>654</v>
      </c>
      <c r="DY220" s="120"/>
      <c r="DZ220" s="120"/>
      <c r="EA220" s="120"/>
      <c r="EB220" s="120"/>
      <c r="EC220" s="120"/>
      <c r="ED220" s="209"/>
      <c r="EE220" s="205"/>
      <c r="EF220" s="205">
        <f t="shared" si="2044"/>
        <v>0</v>
      </c>
      <c r="EG220" s="120"/>
      <c r="EH220" s="120"/>
      <c r="EI220" s="120"/>
      <c r="EJ220" s="205"/>
      <c r="EK220" s="205"/>
      <c r="EL220" s="209"/>
      <c r="EM220" s="205"/>
      <c r="EN220" s="205">
        <f t="shared" si="2045"/>
        <v>0</v>
      </c>
      <c r="EO220" s="205">
        <f t="shared" si="2046"/>
        <v>654</v>
      </c>
      <c r="EP220" s="120"/>
      <c r="EQ220" s="250">
        <v>504</v>
      </c>
      <c r="ER220" s="120"/>
      <c r="ES220" s="120"/>
      <c r="ET220" s="120"/>
      <c r="EU220" s="209"/>
      <c r="EV220" s="205"/>
      <c r="EW220" s="205">
        <f t="shared" si="2047"/>
        <v>504</v>
      </c>
      <c r="EX220" s="120"/>
      <c r="EY220" s="120"/>
      <c r="EZ220" s="120"/>
      <c r="FA220" s="120"/>
      <c r="FB220" s="120"/>
      <c r="FC220" s="209"/>
      <c r="FD220" s="205"/>
      <c r="FE220" s="205">
        <f t="shared" si="2048"/>
        <v>0</v>
      </c>
      <c r="FF220" s="120"/>
      <c r="FG220" s="195">
        <v>504</v>
      </c>
      <c r="FH220" s="120"/>
      <c r="FI220" s="120"/>
      <c r="FJ220" s="120"/>
      <c r="FK220" s="209"/>
      <c r="FL220" s="205"/>
      <c r="FM220" s="205">
        <f t="shared" si="2049"/>
        <v>504</v>
      </c>
      <c r="FN220" s="120"/>
      <c r="FO220" s="120"/>
      <c r="FP220" s="120"/>
      <c r="FQ220" s="120"/>
      <c r="FR220" s="205"/>
      <c r="FS220" s="209"/>
      <c r="FT220" s="205"/>
      <c r="FU220" s="205">
        <f t="shared" si="2050"/>
        <v>0</v>
      </c>
      <c r="FV220" s="205">
        <f t="shared" si="2051"/>
        <v>1008</v>
      </c>
      <c r="FW220" s="120"/>
      <c r="FX220" s="120"/>
      <c r="FY220" s="120"/>
      <c r="FZ220" s="120"/>
      <c r="GA220" s="120"/>
      <c r="GB220" s="209"/>
      <c r="GC220" s="205"/>
      <c r="GD220" s="205">
        <f t="shared" si="2052"/>
        <v>0</v>
      </c>
      <c r="GE220" s="120"/>
      <c r="GF220" s="120"/>
      <c r="GG220" s="120"/>
      <c r="GH220" s="120"/>
      <c r="GI220" s="120"/>
      <c r="GJ220" s="209"/>
      <c r="GK220" s="205"/>
      <c r="GL220" s="205">
        <f t="shared" si="2053"/>
        <v>0</v>
      </c>
      <c r="GM220" s="120"/>
      <c r="GN220" s="120"/>
      <c r="GO220" s="120"/>
      <c r="GP220" s="120"/>
      <c r="GQ220" s="120"/>
      <c r="GR220" s="209"/>
      <c r="GS220" s="205"/>
      <c r="GT220" s="205">
        <f t="shared" si="2054"/>
        <v>0</v>
      </c>
      <c r="GU220" s="120"/>
      <c r="GV220" s="120"/>
      <c r="GW220" s="120"/>
      <c r="GX220" s="120"/>
      <c r="GY220" s="120"/>
      <c r="GZ220" s="209"/>
      <c r="HA220" s="205"/>
      <c r="HB220" s="205">
        <f t="shared" si="2055"/>
        <v>0</v>
      </c>
      <c r="HC220" s="120"/>
      <c r="HD220" s="120"/>
      <c r="HE220" s="120"/>
      <c r="HF220" s="120"/>
      <c r="HG220" s="120"/>
      <c r="HH220" s="209"/>
      <c r="HI220" s="205"/>
      <c r="HJ220" s="205">
        <f t="shared" si="2056"/>
        <v>0</v>
      </c>
      <c r="HK220" s="205">
        <f t="shared" si="2057"/>
        <v>0</v>
      </c>
      <c r="HL220" s="124"/>
      <c r="HM220" s="120"/>
      <c r="HN220" s="120"/>
      <c r="HO220" s="123">
        <v>1754</v>
      </c>
      <c r="HP220" s="120"/>
      <c r="HQ220" s="205"/>
      <c r="HR220" s="205"/>
      <c r="HS220" s="205">
        <f t="shared" si="2058"/>
        <v>1754</v>
      </c>
      <c r="HT220" s="120"/>
      <c r="HU220" s="120"/>
      <c r="HV220" s="120"/>
      <c r="HW220" s="120"/>
      <c r="HX220" s="120"/>
      <c r="HY220" s="205"/>
      <c r="HZ220" s="205"/>
      <c r="IA220" s="205">
        <f t="shared" si="2059"/>
        <v>0</v>
      </c>
      <c r="IB220" s="120"/>
      <c r="IC220" s="120"/>
      <c r="ID220" s="120"/>
      <c r="IE220" s="120"/>
      <c r="IF220" s="120"/>
      <c r="IG220" s="205"/>
      <c r="IH220" s="205"/>
      <c r="II220" s="205">
        <f t="shared" si="2060"/>
        <v>0</v>
      </c>
      <c r="IJ220" s="120"/>
      <c r="IK220" s="120"/>
      <c r="IL220" s="201">
        <v>1804</v>
      </c>
      <c r="IM220" s="120"/>
      <c r="IN220" s="120"/>
      <c r="IO220" s="205"/>
      <c r="IP220" s="205"/>
      <c r="IQ220" s="205">
        <f t="shared" si="2061"/>
        <v>1804</v>
      </c>
      <c r="IR220" s="205">
        <f t="shared" si="2062"/>
        <v>3558</v>
      </c>
      <c r="IS220" s="120"/>
      <c r="IT220" s="120"/>
      <c r="IU220" s="120"/>
      <c r="IV220" s="120"/>
      <c r="IW220" s="120"/>
      <c r="IX220" s="205"/>
      <c r="IY220" s="205"/>
      <c r="IZ220" s="205">
        <f t="shared" si="2063"/>
        <v>0</v>
      </c>
      <c r="JA220" s="120"/>
      <c r="JB220" s="120"/>
      <c r="JC220" s="120"/>
      <c r="JD220" s="120"/>
      <c r="JE220" s="120"/>
      <c r="JF220" s="205"/>
      <c r="JG220" s="205"/>
      <c r="JH220" s="205">
        <f t="shared" si="2064"/>
        <v>0</v>
      </c>
      <c r="JI220" s="120"/>
      <c r="JJ220" s="120"/>
      <c r="JK220" s="120"/>
      <c r="JL220" s="120"/>
      <c r="JM220" s="120"/>
      <c r="JN220" s="205"/>
      <c r="JO220" s="205"/>
      <c r="JP220" s="205">
        <f t="shared" si="2065"/>
        <v>0</v>
      </c>
      <c r="JQ220" s="120"/>
      <c r="JR220" s="120"/>
      <c r="JS220" s="120"/>
      <c r="JT220" s="120"/>
      <c r="JU220" s="120"/>
      <c r="JV220" s="205"/>
      <c r="JW220" s="205"/>
      <c r="JX220" s="205">
        <f t="shared" si="2066"/>
        <v>0</v>
      </c>
      <c r="JY220" s="205">
        <f t="shared" si="2067"/>
        <v>0</v>
      </c>
      <c r="JZ220" s="120"/>
      <c r="KA220" s="120"/>
      <c r="KB220" s="120"/>
      <c r="KC220" s="120"/>
      <c r="KD220" s="120"/>
      <c r="KE220" s="205"/>
      <c r="KF220" s="205"/>
      <c r="KG220" s="205">
        <f t="shared" si="2068"/>
        <v>0</v>
      </c>
      <c r="KH220" s="120"/>
      <c r="KI220" s="120"/>
      <c r="KJ220" s="120"/>
      <c r="KK220" s="206">
        <v>804</v>
      </c>
      <c r="KL220" s="120"/>
      <c r="KM220" s="205"/>
      <c r="KN220" s="205"/>
      <c r="KO220" s="205">
        <f t="shared" si="2069"/>
        <v>804</v>
      </c>
      <c r="KP220" s="120"/>
      <c r="KQ220" s="120"/>
      <c r="KR220" s="120"/>
      <c r="KS220" s="120"/>
      <c r="KT220" s="120"/>
      <c r="KU220" s="205"/>
      <c r="KV220" s="205"/>
      <c r="KW220" s="205">
        <f t="shared" si="2070"/>
        <v>0</v>
      </c>
      <c r="KX220" s="120"/>
      <c r="KY220" s="120"/>
      <c r="KZ220" s="120"/>
      <c r="LA220" s="120"/>
      <c r="LB220" s="120"/>
      <c r="LC220" s="205"/>
      <c r="LD220" s="205"/>
      <c r="LE220" s="205">
        <f t="shared" si="2071"/>
        <v>0</v>
      </c>
      <c r="LF220" s="205"/>
      <c r="LG220" s="120"/>
      <c r="LH220" s="120"/>
      <c r="LI220" s="120"/>
      <c r="LJ220" s="120"/>
      <c r="LK220" s="205"/>
      <c r="LL220" s="205"/>
      <c r="LM220" s="205">
        <f t="shared" si="2072"/>
        <v>0</v>
      </c>
      <c r="LN220" s="205">
        <f t="shared" si="2073"/>
        <v>804</v>
      </c>
      <c r="LO220" s="205"/>
      <c r="LP220" s="120"/>
      <c r="LQ220" s="120"/>
      <c r="LR220" s="120"/>
      <c r="LS220" s="205"/>
      <c r="LT220" s="205"/>
      <c r="LU220" s="205"/>
      <c r="LV220" s="205">
        <f t="shared" si="2074"/>
        <v>0</v>
      </c>
      <c r="LW220" s="120"/>
      <c r="LX220" s="120"/>
      <c r="LY220" s="124">
        <v>364</v>
      </c>
      <c r="LZ220" s="120"/>
      <c r="MA220" s="120"/>
      <c r="MB220" s="205"/>
      <c r="MC220" s="205"/>
      <c r="MD220" s="205">
        <f t="shared" si="2075"/>
        <v>364</v>
      </c>
      <c r="ME220" s="120"/>
      <c r="MF220" s="120"/>
      <c r="MG220" s="120"/>
      <c r="MH220" s="201">
        <v>1104</v>
      </c>
      <c r="MI220" s="205"/>
      <c r="MJ220" s="205"/>
      <c r="MK220" s="205"/>
      <c r="ML220" s="205">
        <f t="shared" si="2076"/>
        <v>1104</v>
      </c>
      <c r="MM220" s="120" t="s">
        <v>712</v>
      </c>
      <c r="MN220" s="120"/>
      <c r="MO220" s="120"/>
      <c r="MP220" s="120"/>
      <c r="MQ220" s="120"/>
      <c r="MR220" s="205"/>
      <c r="MS220" s="205"/>
      <c r="MT220" s="205">
        <f t="shared" si="2077"/>
        <v>0</v>
      </c>
      <c r="MU220" s="205">
        <f t="shared" si="2078"/>
        <v>1468</v>
      </c>
      <c r="MV220" s="120"/>
      <c r="MW220" s="120"/>
      <c r="MX220" s="195">
        <v>2004</v>
      </c>
      <c r="MY220" s="120"/>
      <c r="MZ220" s="120"/>
      <c r="NA220" s="205"/>
      <c r="NB220" s="205"/>
      <c r="NC220" s="205">
        <f t="shared" si="2079"/>
        <v>2004</v>
      </c>
      <c r="ND220" s="120"/>
      <c r="NE220" s="120"/>
      <c r="NF220" s="120"/>
      <c r="NG220" s="120"/>
      <c r="NH220" s="120"/>
      <c r="NI220" s="205"/>
      <c r="NJ220" s="205"/>
      <c r="NK220" s="205">
        <f t="shared" si="2080"/>
        <v>0</v>
      </c>
      <c r="NL220" s="120"/>
      <c r="NM220" s="120"/>
      <c r="NN220" s="120"/>
      <c r="NO220" s="120"/>
      <c r="NP220" s="120"/>
      <c r="NQ220" s="205"/>
      <c r="NR220" s="205"/>
      <c r="NS220" s="205">
        <f t="shared" si="2081"/>
        <v>0</v>
      </c>
      <c r="NT220" s="217">
        <v>1004</v>
      </c>
      <c r="NU220" s="120"/>
      <c r="NV220" s="120"/>
      <c r="NW220" s="120"/>
      <c r="NX220" s="120"/>
      <c r="NY220" s="205"/>
      <c r="NZ220" s="205"/>
      <c r="OA220" s="205">
        <f t="shared" si="2082"/>
        <v>1004</v>
      </c>
      <c r="OB220" s="205">
        <f t="shared" si="2083"/>
        <v>3008</v>
      </c>
      <c r="OC220" s="120"/>
      <c r="OD220" s="120"/>
      <c r="OE220" s="120"/>
      <c r="OF220" s="120"/>
      <c r="OG220" s="120"/>
      <c r="OH220" s="205"/>
      <c r="OI220" s="205"/>
      <c r="OJ220" s="205">
        <f t="shared" si="2084"/>
        <v>0</v>
      </c>
      <c r="OK220" s="120"/>
      <c r="OL220" s="120"/>
      <c r="OM220" s="120"/>
      <c r="ON220" s="120"/>
      <c r="OO220" s="120"/>
      <c r="OP220" s="205"/>
      <c r="OQ220" s="205"/>
      <c r="OR220" s="205">
        <f t="shared" si="2085"/>
        <v>0</v>
      </c>
      <c r="OS220" s="120"/>
      <c r="OT220" s="120"/>
      <c r="OU220" s="120"/>
      <c r="OV220" s="120"/>
      <c r="OW220" s="120"/>
      <c r="OX220" s="205"/>
      <c r="OY220" s="205"/>
      <c r="OZ220" s="205">
        <f t="shared" si="2086"/>
        <v>0</v>
      </c>
      <c r="PA220" s="120"/>
      <c r="PB220" s="120"/>
      <c r="PC220" s="120"/>
      <c r="PD220" s="205"/>
      <c r="PE220" s="217"/>
      <c r="PF220" s="205"/>
      <c r="PG220" s="205"/>
      <c r="PH220" s="205">
        <f t="shared" si="2087"/>
        <v>0</v>
      </c>
      <c r="PI220" s="120"/>
      <c r="PJ220" s="120"/>
      <c r="PK220" s="120"/>
      <c r="PL220" s="205"/>
      <c r="PM220" s="217"/>
      <c r="PN220" s="205"/>
      <c r="PO220" s="205"/>
      <c r="PP220" s="205">
        <f t="shared" si="2088"/>
        <v>0</v>
      </c>
      <c r="PQ220" s="205">
        <f t="shared" si="2089"/>
        <v>0</v>
      </c>
      <c r="PR220" s="120"/>
      <c r="PS220" s="207"/>
      <c r="PT220" s="207"/>
      <c r="PU220" s="207"/>
      <c r="PV220" s="207"/>
      <c r="PW220" s="272"/>
      <c r="PX220" s="272"/>
      <c r="PY220" s="205">
        <f t="shared" si="2090"/>
        <v>0</v>
      </c>
      <c r="PZ220" s="207"/>
      <c r="QA220" s="207"/>
      <c r="QB220" s="207"/>
      <c r="QC220" s="207"/>
      <c r="QD220" s="207"/>
      <c r="QE220" s="272"/>
      <c r="QF220" s="272"/>
      <c r="QG220" s="205">
        <f t="shared" si="2091"/>
        <v>0</v>
      </c>
      <c r="QH220" s="207"/>
      <c r="QI220" s="207"/>
      <c r="QJ220" s="294"/>
      <c r="QK220" s="207"/>
      <c r="QL220" s="207"/>
      <c r="QM220" s="272"/>
      <c r="QN220" s="272"/>
      <c r="QO220" s="205">
        <f t="shared" si="2092"/>
        <v>0</v>
      </c>
      <c r="QP220" s="207"/>
      <c r="QQ220" s="120"/>
      <c r="QR220" s="207"/>
      <c r="QS220" s="207"/>
      <c r="QT220" s="207"/>
      <c r="QU220" s="272"/>
      <c r="QV220" s="272"/>
      <c r="QW220" s="205">
        <f t="shared" si="2147"/>
        <v>0</v>
      </c>
      <c r="QX220" s="205">
        <f t="shared" si="2139"/>
        <v>0</v>
      </c>
      <c r="QY220" s="207"/>
      <c r="QZ220" s="207"/>
      <c r="RA220" s="207"/>
      <c r="RB220" s="207"/>
      <c r="RC220" s="207"/>
      <c r="RD220" s="272"/>
      <c r="RE220" s="272"/>
      <c r="RF220" s="205">
        <f t="shared" si="2148"/>
        <v>0</v>
      </c>
      <c r="RG220" s="207"/>
      <c r="RH220" s="207"/>
      <c r="RI220" s="207"/>
      <c r="RJ220" s="207"/>
      <c r="RK220" s="207"/>
      <c r="RL220" s="272"/>
      <c r="RM220" s="272"/>
      <c r="RN220" s="205">
        <f t="shared" si="2096"/>
        <v>0</v>
      </c>
      <c r="RO220" s="272"/>
      <c r="RP220" s="272"/>
      <c r="RQ220" s="272"/>
      <c r="RR220" s="272"/>
      <c r="RS220" s="272"/>
      <c r="RT220" s="272"/>
      <c r="RU220" s="272"/>
      <c r="RV220" s="205">
        <f t="shared" si="2097"/>
        <v>0</v>
      </c>
      <c r="RW220" s="207"/>
      <c r="RX220" s="207"/>
      <c r="RY220" s="207"/>
      <c r="RZ220" s="207"/>
      <c r="SA220" s="272"/>
      <c r="SB220" s="272"/>
      <c r="SC220" s="272"/>
      <c r="SD220" s="205">
        <f t="shared" si="2098"/>
        <v>0</v>
      </c>
      <c r="SE220" s="205">
        <f t="shared" si="2099"/>
        <v>0</v>
      </c>
      <c r="SF220" s="207"/>
      <c r="SG220" s="207"/>
      <c r="SH220" s="207"/>
      <c r="SI220" s="207"/>
      <c r="SJ220" s="207"/>
      <c r="SK220" s="272"/>
      <c r="SL220" s="272"/>
      <c r="SM220" s="205">
        <f t="shared" si="2100"/>
        <v>0</v>
      </c>
      <c r="SN220" s="207"/>
      <c r="SO220" s="207"/>
      <c r="SP220" s="207"/>
      <c r="SQ220" s="207"/>
      <c r="SR220" s="207"/>
      <c r="SS220" s="272"/>
      <c r="ST220" s="272"/>
      <c r="SU220" s="205">
        <f t="shared" si="2101"/>
        <v>0</v>
      </c>
      <c r="SV220" s="207"/>
      <c r="SW220" s="207"/>
      <c r="SX220" s="207"/>
      <c r="SY220" s="207"/>
      <c r="SZ220" s="207"/>
      <c r="TA220" s="272"/>
      <c r="TB220" s="272"/>
      <c r="TC220" s="205">
        <f t="shared" si="2102"/>
        <v>0</v>
      </c>
      <c r="TD220" s="207"/>
      <c r="TE220" s="207"/>
      <c r="TF220" s="207"/>
      <c r="TG220" s="207"/>
      <c r="TH220" s="207"/>
      <c r="TI220" s="272"/>
      <c r="TJ220" s="272"/>
      <c r="TK220" s="205">
        <f t="shared" si="2142"/>
        <v>0</v>
      </c>
      <c r="TL220" s="140"/>
      <c r="TM220" s="140"/>
      <c r="TN220" s="140"/>
      <c r="TO220" s="140"/>
      <c r="TP220" s="370"/>
      <c r="TQ220" s="272"/>
      <c r="TR220" s="272"/>
      <c r="TS220" s="205">
        <f t="shared" si="2135"/>
        <v>0</v>
      </c>
      <c r="TT220" s="205">
        <f t="shared" si="2136"/>
        <v>0</v>
      </c>
      <c r="TU220" s="272"/>
      <c r="TV220" s="207"/>
      <c r="TW220" s="207"/>
      <c r="TX220" s="140"/>
      <c r="TY220" s="207"/>
      <c r="TZ220" s="272"/>
      <c r="UA220" s="272"/>
      <c r="UB220" s="205">
        <f t="shared" si="2012"/>
        <v>0</v>
      </c>
      <c r="UC220" s="207"/>
      <c r="UD220" s="207"/>
      <c r="UE220" s="120"/>
      <c r="UF220" s="120"/>
      <c r="UG220" s="207"/>
      <c r="UH220" s="272"/>
      <c r="UI220" s="272"/>
      <c r="UJ220" s="205">
        <f t="shared" si="2013"/>
        <v>0</v>
      </c>
      <c r="UK220" s="124">
        <v>130</v>
      </c>
      <c r="UL220" s="207"/>
      <c r="UM220" s="386">
        <v>769</v>
      </c>
      <c r="UO220" s="207"/>
      <c r="UP220" s="272"/>
      <c r="UQ220" s="272"/>
      <c r="UR220" s="205">
        <f>SUM(UK220:UQ220)</f>
        <v>899</v>
      </c>
      <c r="US220" s="207"/>
      <c r="UT220" s="207"/>
      <c r="UU220" s="207"/>
      <c r="UV220" s="207"/>
      <c r="UW220" s="272"/>
      <c r="UX220" s="272"/>
      <c r="UY220" s="272"/>
      <c r="UZ220" s="205">
        <f t="shared" si="2145"/>
        <v>0</v>
      </c>
      <c r="VA220" s="205">
        <f t="shared" si="2146"/>
        <v>899</v>
      </c>
      <c r="VB220" s="207"/>
      <c r="VC220" s="120"/>
      <c r="VD220" s="207"/>
      <c r="VE220" s="207"/>
      <c r="VF220" s="207"/>
      <c r="VG220" s="272"/>
      <c r="VH220" s="272"/>
      <c r="VI220" s="205">
        <f t="shared" si="2005"/>
        <v>0</v>
      </c>
      <c r="VJ220" s="207"/>
      <c r="VK220" s="207"/>
      <c r="VL220" s="207"/>
      <c r="VM220" s="207"/>
      <c r="VN220" s="207"/>
      <c r="VO220" s="272"/>
      <c r="VP220" s="272"/>
      <c r="VQ220" s="205">
        <f t="shared" si="2015"/>
        <v>0</v>
      </c>
      <c r="VR220" s="207"/>
      <c r="VS220" s="207"/>
      <c r="VT220" s="207"/>
      <c r="VU220" s="207"/>
      <c r="VV220" s="207"/>
      <c r="VW220" s="272"/>
      <c r="VX220" s="272"/>
      <c r="VY220" s="205">
        <f t="shared" si="2006"/>
        <v>0</v>
      </c>
      <c r="VZ220" s="207"/>
      <c r="WA220" s="207"/>
      <c r="WB220" s="207"/>
      <c r="WC220" s="207"/>
      <c r="WD220" s="207"/>
      <c r="WE220" s="272"/>
      <c r="WF220" s="272"/>
      <c r="WG220" s="205">
        <f t="shared" si="2007"/>
        <v>0</v>
      </c>
      <c r="WH220" s="205">
        <f t="shared" si="2008"/>
        <v>0</v>
      </c>
      <c r="WI220" s="207"/>
      <c r="WJ220" s="207"/>
      <c r="WK220" s="207"/>
      <c r="WL220" s="387"/>
      <c r="WM220" s="207"/>
      <c r="WN220" s="272"/>
      <c r="WO220" s="272"/>
      <c r="WP220" s="205">
        <f t="shared" si="2016"/>
        <v>0</v>
      </c>
      <c r="WQ220" s="207"/>
      <c r="WR220" s="207"/>
      <c r="WS220" s="207"/>
      <c r="WT220" s="207"/>
      <c r="WU220" s="120"/>
      <c r="WV220" s="272"/>
      <c r="WW220" s="272"/>
      <c r="WX220" s="205">
        <f t="shared" si="2017"/>
        <v>0</v>
      </c>
      <c r="WY220" s="207"/>
      <c r="WZ220" s="207"/>
      <c r="XA220" s="207"/>
      <c r="XB220" s="207"/>
      <c r="XC220" s="272"/>
      <c r="XD220" s="272"/>
      <c r="XE220" s="272"/>
      <c r="XF220" s="205">
        <f t="shared" si="2009"/>
        <v>0</v>
      </c>
      <c r="XG220" s="207"/>
      <c r="XH220" s="207"/>
      <c r="XI220" s="207"/>
      <c r="XJ220" s="207"/>
      <c r="XK220" s="207"/>
      <c r="XL220" s="272"/>
      <c r="XM220" s="272"/>
      <c r="XN220" s="205">
        <f t="shared" si="2105"/>
        <v>0</v>
      </c>
      <c r="XO220" s="387"/>
      <c r="XP220" s="207"/>
      <c r="XQ220" s="120"/>
      <c r="XR220" s="207"/>
      <c r="XS220" s="207"/>
      <c r="XT220" s="272"/>
      <c r="XU220" s="272"/>
      <c r="XV220" s="205">
        <f t="shared" si="2137"/>
        <v>0</v>
      </c>
      <c r="XW220" s="205">
        <f t="shared" si="2138"/>
        <v>0</v>
      </c>
      <c r="XX220" s="387"/>
      <c r="XY220" s="207"/>
      <c r="XZ220" s="120"/>
      <c r="YA220" s="207"/>
      <c r="YB220" s="207"/>
      <c r="YC220" s="272"/>
      <c r="YD220" s="272"/>
      <c r="YE220" s="205">
        <f t="shared" si="2018"/>
        <v>0</v>
      </c>
      <c r="YF220" s="387">
        <v>130</v>
      </c>
      <c r="YG220" s="207"/>
      <c r="YH220" s="120">
        <v>1538</v>
      </c>
      <c r="YI220" s="207"/>
      <c r="YJ220" s="207"/>
      <c r="YK220" s="272"/>
      <c r="YL220" s="272"/>
      <c r="YM220" s="205">
        <f t="shared" si="2019"/>
        <v>1668</v>
      </c>
      <c r="YN220" s="207"/>
      <c r="YO220" s="207"/>
      <c r="YP220" s="207"/>
      <c r="YQ220" s="207"/>
      <c r="YR220" s="207"/>
      <c r="YS220" s="272"/>
      <c r="YT220" s="272"/>
      <c r="YU220" s="205">
        <f t="shared" si="2020"/>
        <v>0</v>
      </c>
      <c r="YV220" s="207"/>
      <c r="YW220" s="207"/>
      <c r="YX220" s="207"/>
      <c r="YY220" s="207"/>
      <c r="YZ220" s="207"/>
      <c r="ZA220" s="272"/>
      <c r="ZB220" s="272"/>
      <c r="ZC220" s="205">
        <f t="shared" si="2021"/>
        <v>0</v>
      </c>
      <c r="ZD220" s="205">
        <f t="shared" si="2022"/>
        <v>1668</v>
      </c>
      <c r="ZE220" s="207"/>
      <c r="ZF220" s="207"/>
      <c r="ZG220" s="207"/>
      <c r="ZH220" s="207"/>
      <c r="ZI220" s="207"/>
      <c r="ZJ220" s="272"/>
      <c r="ZK220" s="272"/>
      <c r="ZL220" s="205">
        <f t="shared" si="2023"/>
        <v>0</v>
      </c>
      <c r="ZM220" s="207"/>
      <c r="ZN220" s="207"/>
      <c r="ZO220" s="207"/>
      <c r="ZP220" s="207"/>
      <c r="ZQ220" s="207"/>
      <c r="ZR220" s="272"/>
      <c r="ZS220" s="272"/>
      <c r="ZT220" s="205">
        <f t="shared" si="2010"/>
        <v>0</v>
      </c>
      <c r="ZU220" s="207"/>
      <c r="ZV220" s="207"/>
      <c r="ZW220" s="207"/>
      <c r="ZX220" s="207"/>
      <c r="ZY220" s="207"/>
      <c r="ZZ220" s="272"/>
      <c r="AAA220" s="272"/>
      <c r="AAB220" s="205">
        <f t="shared" si="2024"/>
        <v>0</v>
      </c>
      <c r="AAC220" s="207"/>
      <c r="AAD220" s="207"/>
      <c r="AAE220" s="207"/>
      <c r="AAF220" s="207"/>
      <c r="AAG220" s="207"/>
      <c r="AAH220" s="272"/>
      <c r="AAI220" s="272"/>
      <c r="AAJ220" s="205">
        <f t="shared" si="2011"/>
        <v>0</v>
      </c>
      <c r="AAK220" s="207"/>
      <c r="AAL220" s="207"/>
      <c r="AAM220" s="207"/>
      <c r="AAN220" s="207"/>
      <c r="AAO220" s="207"/>
      <c r="AAP220" s="272"/>
      <c r="AAQ220" s="272"/>
      <c r="AAR220" s="205">
        <f t="shared" si="2025"/>
        <v>0</v>
      </c>
      <c r="AAS220" s="205">
        <f t="shared" si="2026"/>
        <v>0</v>
      </c>
    </row>
    <row r="221" spans="1:721" ht="117.95" customHeight="1">
      <c r="A221" s="117">
        <v>10</v>
      </c>
      <c r="B221" s="310">
        <v>3631102101</v>
      </c>
      <c r="C221" s="362" t="s">
        <v>945</v>
      </c>
      <c r="D221" s="311" t="s">
        <v>841</v>
      </c>
      <c r="E221" s="130" t="s">
        <v>4</v>
      </c>
      <c r="F221" s="120"/>
      <c r="G221" s="120"/>
      <c r="H221" s="120"/>
      <c r="I221" s="120"/>
      <c r="J221" s="120"/>
      <c r="K221" s="209"/>
      <c r="L221" s="205"/>
      <c r="M221" s="205">
        <f t="shared" si="2108"/>
        <v>0</v>
      </c>
      <c r="N221" s="120"/>
      <c r="O221" s="120"/>
      <c r="P221" s="120"/>
      <c r="Q221" s="120"/>
      <c r="R221" s="120"/>
      <c r="S221" s="209"/>
      <c r="T221" s="205"/>
      <c r="U221" s="205">
        <f t="shared" si="2028"/>
        <v>0</v>
      </c>
      <c r="V221" s="120"/>
      <c r="W221" s="120"/>
      <c r="X221" s="120"/>
      <c r="Y221" s="120"/>
      <c r="Z221" s="120"/>
      <c r="AA221" s="209"/>
      <c r="AB221" s="205"/>
      <c r="AC221" s="205">
        <f t="shared" si="2029"/>
        <v>0</v>
      </c>
      <c r="AD221" s="205"/>
      <c r="AE221" s="205"/>
      <c r="AF221" s="205"/>
      <c r="AG221" s="205"/>
      <c r="AH221" s="205"/>
      <c r="AI221" s="209"/>
      <c r="AJ221" s="205"/>
      <c r="AK221" s="205">
        <f t="shared" si="2030"/>
        <v>0</v>
      </c>
      <c r="AL221" s="205" t="e">
        <f>SUM(#REF!,M221,U221,AC221,AD221:AH221)</f>
        <v>#REF!</v>
      </c>
      <c r="AM221" s="120"/>
      <c r="AN221" s="120"/>
      <c r="AO221" s="120"/>
      <c r="AP221" s="120"/>
      <c r="AQ221" s="120"/>
      <c r="AR221" s="209"/>
      <c r="AS221" s="205"/>
      <c r="AT221" s="205">
        <f t="shared" si="2031"/>
        <v>0</v>
      </c>
      <c r="AU221" s="120"/>
      <c r="AV221" s="120"/>
      <c r="AW221" s="120"/>
      <c r="AX221" s="120"/>
      <c r="AY221" s="120"/>
      <c r="AZ221" s="209"/>
      <c r="BA221" s="205"/>
      <c r="BB221" s="205">
        <f t="shared" si="2032"/>
        <v>0</v>
      </c>
      <c r="BC221" s="120"/>
      <c r="BD221" s="120"/>
      <c r="BE221" s="120"/>
      <c r="BF221" s="120"/>
      <c r="BG221" s="120"/>
      <c r="BH221" s="209"/>
      <c r="BI221" s="205"/>
      <c r="BJ221" s="205">
        <f t="shared" si="2033"/>
        <v>0</v>
      </c>
      <c r="BK221" s="120"/>
      <c r="BL221" s="120"/>
      <c r="BM221" s="217">
        <v>3105</v>
      </c>
      <c r="BN221" s="120"/>
      <c r="BO221" s="205"/>
      <c r="BP221" s="209"/>
      <c r="BQ221" s="205"/>
      <c r="BR221" s="205">
        <f t="shared" si="2034"/>
        <v>3105</v>
      </c>
      <c r="BS221" s="205">
        <f t="shared" si="2035"/>
        <v>3105</v>
      </c>
      <c r="BT221" s="120"/>
      <c r="BU221" s="250">
        <v>705</v>
      </c>
      <c r="BV221" s="120"/>
      <c r="BW221" s="120"/>
      <c r="BX221" s="120"/>
      <c r="BY221" s="209"/>
      <c r="BZ221" s="205"/>
      <c r="CA221" s="205">
        <f t="shared" si="2036"/>
        <v>705</v>
      </c>
      <c r="CB221" s="120"/>
      <c r="CC221" s="120"/>
      <c r="CD221" s="120"/>
      <c r="CE221" s="120"/>
      <c r="CF221" s="120"/>
      <c r="CG221" s="209"/>
      <c r="CH221" s="205"/>
      <c r="CI221" s="205">
        <f t="shared" si="2037"/>
        <v>0</v>
      </c>
      <c r="CJ221" s="120"/>
      <c r="CK221" s="120"/>
      <c r="CL221" s="250">
        <v>1205</v>
      </c>
      <c r="CM221" s="120"/>
      <c r="CN221" s="120"/>
      <c r="CO221" s="209"/>
      <c r="CP221" s="205"/>
      <c r="CQ221" s="205">
        <f t="shared" si="2038"/>
        <v>1205</v>
      </c>
      <c r="CR221" s="120" t="s">
        <v>216</v>
      </c>
      <c r="CS221" s="120"/>
      <c r="CT221" s="120"/>
      <c r="CU221" s="120"/>
      <c r="CV221" s="120"/>
      <c r="CW221" s="209"/>
      <c r="CX221" s="205"/>
      <c r="CY221" s="205">
        <f t="shared" si="2039"/>
        <v>0</v>
      </c>
      <c r="CZ221" s="120"/>
      <c r="DA221" s="120"/>
      <c r="DB221" s="120"/>
      <c r="DC221" s="205"/>
      <c r="DD221" s="205"/>
      <c r="DE221" s="209"/>
      <c r="DF221" s="205"/>
      <c r="DG221" s="205">
        <f t="shared" si="2040"/>
        <v>0</v>
      </c>
      <c r="DH221" s="205">
        <f t="shared" si="2041"/>
        <v>1910</v>
      </c>
      <c r="DI221" s="120"/>
      <c r="DJ221" s="120"/>
      <c r="DK221" s="120"/>
      <c r="DL221" s="120"/>
      <c r="DM221" s="120"/>
      <c r="DN221" s="209"/>
      <c r="DO221" s="205"/>
      <c r="DP221" s="205">
        <f t="shared" si="2042"/>
        <v>0</v>
      </c>
      <c r="DQ221" s="217">
        <v>655</v>
      </c>
      <c r="DR221" s="120"/>
      <c r="DS221" s="120"/>
      <c r="DT221" s="120"/>
      <c r="DU221" s="120"/>
      <c r="DV221" s="209"/>
      <c r="DW221" s="205"/>
      <c r="DX221" s="205">
        <f t="shared" si="2043"/>
        <v>655</v>
      </c>
      <c r="DY221" s="120"/>
      <c r="DZ221" s="120"/>
      <c r="EA221" s="120"/>
      <c r="EB221" s="120"/>
      <c r="EC221" s="120"/>
      <c r="ED221" s="209"/>
      <c r="EE221" s="205"/>
      <c r="EF221" s="205">
        <f t="shared" si="2044"/>
        <v>0</v>
      </c>
      <c r="EG221" s="120"/>
      <c r="EH221" s="120"/>
      <c r="EI221" s="120"/>
      <c r="EJ221" s="205"/>
      <c r="EK221" s="205"/>
      <c r="EL221" s="209"/>
      <c r="EM221" s="205"/>
      <c r="EN221" s="205">
        <f t="shared" si="2045"/>
        <v>0</v>
      </c>
      <c r="EO221" s="205">
        <f t="shared" si="2046"/>
        <v>655</v>
      </c>
      <c r="EP221" s="120"/>
      <c r="EQ221" s="250">
        <v>505</v>
      </c>
      <c r="ER221" s="120"/>
      <c r="ES221" s="120"/>
      <c r="ET221" s="120"/>
      <c r="EU221" s="209"/>
      <c r="EV221" s="205"/>
      <c r="EW221" s="205">
        <f t="shared" si="2047"/>
        <v>505</v>
      </c>
      <c r="EX221" s="120"/>
      <c r="EY221" s="120"/>
      <c r="EZ221" s="120"/>
      <c r="FA221" s="120"/>
      <c r="FB221" s="120"/>
      <c r="FC221" s="209"/>
      <c r="FD221" s="205"/>
      <c r="FE221" s="205">
        <f t="shared" si="2048"/>
        <v>0</v>
      </c>
      <c r="FF221" s="120"/>
      <c r="FG221" s="195">
        <v>505</v>
      </c>
      <c r="FH221" s="120"/>
      <c r="FI221" s="120"/>
      <c r="FJ221" s="120"/>
      <c r="FK221" s="209"/>
      <c r="FL221" s="205"/>
      <c r="FM221" s="205">
        <f t="shared" si="2049"/>
        <v>505</v>
      </c>
      <c r="FN221" s="120"/>
      <c r="FO221" s="120"/>
      <c r="FP221" s="120"/>
      <c r="FQ221" s="120"/>
      <c r="FR221" s="205"/>
      <c r="FS221" s="209"/>
      <c r="FT221" s="205"/>
      <c r="FU221" s="205">
        <f t="shared" si="2050"/>
        <v>0</v>
      </c>
      <c r="FV221" s="205">
        <f t="shared" si="2051"/>
        <v>1010</v>
      </c>
      <c r="FW221" s="120"/>
      <c r="FX221" s="120"/>
      <c r="FY221" s="120"/>
      <c r="FZ221" s="120"/>
      <c r="GA221" s="120"/>
      <c r="GB221" s="209"/>
      <c r="GC221" s="205"/>
      <c r="GD221" s="205">
        <f t="shared" si="2052"/>
        <v>0</v>
      </c>
      <c r="GE221" s="120"/>
      <c r="GF221" s="120"/>
      <c r="GG221" s="120"/>
      <c r="GH221" s="120"/>
      <c r="GI221" s="120"/>
      <c r="GJ221" s="209"/>
      <c r="GK221" s="205"/>
      <c r="GL221" s="205">
        <f t="shared" si="2053"/>
        <v>0</v>
      </c>
      <c r="GM221" s="120"/>
      <c r="GN221" s="120"/>
      <c r="GO221" s="120"/>
      <c r="GP221" s="120"/>
      <c r="GQ221" s="120"/>
      <c r="GR221" s="209"/>
      <c r="GS221" s="205"/>
      <c r="GT221" s="205">
        <f t="shared" si="2054"/>
        <v>0</v>
      </c>
      <c r="GU221" s="120"/>
      <c r="GV221" s="120"/>
      <c r="GW221" s="120"/>
      <c r="GX221" s="120"/>
      <c r="GY221" s="120"/>
      <c r="GZ221" s="209"/>
      <c r="HA221" s="205"/>
      <c r="HB221" s="205">
        <f t="shared" si="2055"/>
        <v>0</v>
      </c>
      <c r="HC221" s="120"/>
      <c r="HD221" s="120"/>
      <c r="HE221" s="120"/>
      <c r="HF221" s="120"/>
      <c r="HG221" s="120"/>
      <c r="HH221" s="209"/>
      <c r="HI221" s="205"/>
      <c r="HJ221" s="205">
        <f t="shared" si="2056"/>
        <v>0</v>
      </c>
      <c r="HK221" s="205">
        <f t="shared" si="2057"/>
        <v>0</v>
      </c>
      <c r="HL221" s="124"/>
      <c r="HM221" s="120"/>
      <c r="HN221" s="120"/>
      <c r="HO221" s="123">
        <v>1755</v>
      </c>
      <c r="HP221" s="120"/>
      <c r="HQ221" s="205"/>
      <c r="HR221" s="205"/>
      <c r="HS221" s="205">
        <f t="shared" si="2058"/>
        <v>1755</v>
      </c>
      <c r="HT221" s="120"/>
      <c r="HU221" s="120"/>
      <c r="HV221" s="120"/>
      <c r="HW221" s="120"/>
      <c r="HX221" s="120"/>
      <c r="HY221" s="205"/>
      <c r="HZ221" s="205"/>
      <c r="IA221" s="205">
        <f t="shared" si="2059"/>
        <v>0</v>
      </c>
      <c r="IB221" s="120"/>
      <c r="IC221" s="120"/>
      <c r="ID221" s="120"/>
      <c r="IE221" s="120"/>
      <c r="IF221" s="120"/>
      <c r="IG221" s="205"/>
      <c r="IH221" s="205"/>
      <c r="II221" s="205">
        <f t="shared" si="2060"/>
        <v>0</v>
      </c>
      <c r="IJ221" s="120"/>
      <c r="IK221" s="120"/>
      <c r="IL221" s="201">
        <v>1805</v>
      </c>
      <c r="IM221" s="120"/>
      <c r="IN221" s="120"/>
      <c r="IO221" s="205"/>
      <c r="IP221" s="205"/>
      <c r="IQ221" s="205">
        <f t="shared" si="2061"/>
        <v>1805</v>
      </c>
      <c r="IR221" s="205">
        <f t="shared" si="2062"/>
        <v>3560</v>
      </c>
      <c r="IS221" s="120"/>
      <c r="IT221" s="120"/>
      <c r="IU221" s="120"/>
      <c r="IV221" s="120"/>
      <c r="IW221" s="120"/>
      <c r="IX221" s="205"/>
      <c r="IY221" s="205"/>
      <c r="IZ221" s="205">
        <f t="shared" si="2063"/>
        <v>0</v>
      </c>
      <c r="JA221" s="120"/>
      <c r="JB221" s="120"/>
      <c r="JC221" s="120"/>
      <c r="JD221" s="120"/>
      <c r="JE221" s="120"/>
      <c r="JF221" s="205"/>
      <c r="JG221" s="205"/>
      <c r="JH221" s="205">
        <f t="shared" si="2064"/>
        <v>0</v>
      </c>
      <c r="JI221" s="120"/>
      <c r="JJ221" s="120"/>
      <c r="JK221" s="120"/>
      <c r="JL221" s="120"/>
      <c r="JM221" s="120"/>
      <c r="JN221" s="205"/>
      <c r="JO221" s="205"/>
      <c r="JP221" s="205">
        <f t="shared" si="2065"/>
        <v>0</v>
      </c>
      <c r="JQ221" s="120"/>
      <c r="JR221" s="120"/>
      <c r="JS221" s="120"/>
      <c r="JT221" s="120"/>
      <c r="JU221" s="120"/>
      <c r="JV221" s="205"/>
      <c r="JW221" s="205"/>
      <c r="JX221" s="205">
        <f t="shared" si="2066"/>
        <v>0</v>
      </c>
      <c r="JY221" s="205">
        <f t="shared" si="2067"/>
        <v>0</v>
      </c>
      <c r="JZ221" s="120"/>
      <c r="KA221" s="120"/>
      <c r="KB221" s="120"/>
      <c r="KC221" s="120"/>
      <c r="KD221" s="120"/>
      <c r="KE221" s="205"/>
      <c r="KF221" s="205"/>
      <c r="KG221" s="205">
        <f t="shared" si="2068"/>
        <v>0</v>
      </c>
      <c r="KH221" s="120"/>
      <c r="KI221" s="120"/>
      <c r="KJ221" s="120"/>
      <c r="KK221" s="206">
        <v>805</v>
      </c>
      <c r="KL221" s="120"/>
      <c r="KM221" s="205"/>
      <c r="KN221" s="205"/>
      <c r="KO221" s="205">
        <f t="shared" si="2069"/>
        <v>805</v>
      </c>
      <c r="KP221" s="120"/>
      <c r="KQ221" s="120"/>
      <c r="KR221" s="120"/>
      <c r="KS221" s="120"/>
      <c r="KT221" s="120"/>
      <c r="KU221" s="205"/>
      <c r="KV221" s="205"/>
      <c r="KW221" s="205">
        <f t="shared" si="2070"/>
        <v>0</v>
      </c>
      <c r="KX221" s="120"/>
      <c r="KY221" s="120"/>
      <c r="KZ221" s="120"/>
      <c r="LA221" s="120"/>
      <c r="LB221" s="120"/>
      <c r="LC221" s="205"/>
      <c r="LD221" s="205"/>
      <c r="LE221" s="205">
        <f t="shared" si="2071"/>
        <v>0</v>
      </c>
      <c r="LF221" s="205"/>
      <c r="LG221" s="120"/>
      <c r="LH221" s="120"/>
      <c r="LI221" s="120"/>
      <c r="LJ221" s="120"/>
      <c r="LK221" s="205"/>
      <c r="LL221" s="205"/>
      <c r="LM221" s="205">
        <f t="shared" si="2072"/>
        <v>0</v>
      </c>
      <c r="LN221" s="205">
        <f t="shared" si="2073"/>
        <v>805</v>
      </c>
      <c r="LO221" s="205"/>
      <c r="LP221" s="120"/>
      <c r="LQ221" s="120"/>
      <c r="LR221" s="120"/>
      <c r="LS221" s="205"/>
      <c r="LT221" s="205"/>
      <c r="LU221" s="205"/>
      <c r="LV221" s="205">
        <f t="shared" si="2074"/>
        <v>0</v>
      </c>
      <c r="LW221" s="120"/>
      <c r="LX221" s="120"/>
      <c r="LY221" s="124">
        <v>365</v>
      </c>
      <c r="LZ221" s="120"/>
      <c r="MA221" s="120"/>
      <c r="MB221" s="205"/>
      <c r="MC221" s="205"/>
      <c r="MD221" s="205">
        <f t="shared" si="2075"/>
        <v>365</v>
      </c>
      <c r="ME221" s="120"/>
      <c r="MF221" s="120"/>
      <c r="MG221" s="120"/>
      <c r="MH221" s="201">
        <v>1105</v>
      </c>
      <c r="MI221" s="205"/>
      <c r="MJ221" s="205"/>
      <c r="MK221" s="205"/>
      <c r="ML221" s="205">
        <f t="shared" si="2076"/>
        <v>1105</v>
      </c>
      <c r="MM221" s="120" t="s">
        <v>712</v>
      </c>
      <c r="MN221" s="120"/>
      <c r="MO221" s="120"/>
      <c r="MP221" s="120"/>
      <c r="MQ221" s="120"/>
      <c r="MR221" s="205"/>
      <c r="MS221" s="205"/>
      <c r="MT221" s="205">
        <f t="shared" si="2077"/>
        <v>0</v>
      </c>
      <c r="MU221" s="205">
        <f t="shared" si="2078"/>
        <v>1470</v>
      </c>
      <c r="MV221" s="120"/>
      <c r="MW221" s="120"/>
      <c r="MX221" s="195">
        <v>2005</v>
      </c>
      <c r="MY221" s="120"/>
      <c r="MZ221" s="120"/>
      <c r="NA221" s="205"/>
      <c r="NB221" s="205"/>
      <c r="NC221" s="205">
        <f t="shared" si="2079"/>
        <v>2005</v>
      </c>
      <c r="ND221" s="120"/>
      <c r="NE221" s="120"/>
      <c r="NF221" s="120"/>
      <c r="NG221" s="120"/>
      <c r="NH221" s="120"/>
      <c r="NI221" s="205"/>
      <c r="NJ221" s="205"/>
      <c r="NK221" s="205">
        <f t="shared" si="2080"/>
        <v>0</v>
      </c>
      <c r="NL221" s="120"/>
      <c r="NM221" s="120"/>
      <c r="NN221" s="120"/>
      <c r="NO221" s="120"/>
      <c r="NP221" s="120"/>
      <c r="NQ221" s="205"/>
      <c r="NR221" s="205"/>
      <c r="NS221" s="205">
        <f t="shared" si="2081"/>
        <v>0</v>
      </c>
      <c r="NT221" s="217">
        <v>1005</v>
      </c>
      <c r="NU221" s="120"/>
      <c r="NV221" s="120"/>
      <c r="NW221" s="120"/>
      <c r="NX221" s="120"/>
      <c r="NY221" s="205"/>
      <c r="NZ221" s="205"/>
      <c r="OA221" s="205">
        <f t="shared" si="2082"/>
        <v>1005</v>
      </c>
      <c r="OB221" s="205">
        <f t="shared" si="2083"/>
        <v>3010</v>
      </c>
      <c r="OC221" s="120"/>
      <c r="OD221" s="120"/>
      <c r="OE221" s="120"/>
      <c r="OF221" s="120"/>
      <c r="OG221" s="120"/>
      <c r="OH221" s="205"/>
      <c r="OI221" s="205"/>
      <c r="OJ221" s="205">
        <f t="shared" si="2084"/>
        <v>0</v>
      </c>
      <c r="OK221" s="120"/>
      <c r="OL221" s="120"/>
      <c r="OM221" s="120"/>
      <c r="ON221" s="120"/>
      <c r="OO221" s="120"/>
      <c r="OP221" s="205"/>
      <c r="OQ221" s="205"/>
      <c r="OR221" s="205">
        <f t="shared" si="2085"/>
        <v>0</v>
      </c>
      <c r="OS221" s="120"/>
      <c r="OT221" s="120"/>
      <c r="OU221" s="120"/>
      <c r="OV221" s="120"/>
      <c r="OW221" s="120"/>
      <c r="OX221" s="205"/>
      <c r="OY221" s="205"/>
      <c r="OZ221" s="205">
        <f t="shared" si="2086"/>
        <v>0</v>
      </c>
      <c r="PA221" s="120"/>
      <c r="PB221" s="120"/>
      <c r="PC221" s="120"/>
      <c r="PD221" s="205"/>
      <c r="PE221" s="217"/>
      <c r="PF221" s="205"/>
      <c r="PG221" s="205"/>
      <c r="PH221" s="205">
        <f t="shared" si="2087"/>
        <v>0</v>
      </c>
      <c r="PI221" s="120"/>
      <c r="PJ221" s="120"/>
      <c r="PK221" s="120"/>
      <c r="PL221" s="205"/>
      <c r="PM221" s="217"/>
      <c r="PN221" s="205"/>
      <c r="PO221" s="205"/>
      <c r="PP221" s="205">
        <f t="shared" si="2088"/>
        <v>0</v>
      </c>
      <c r="PQ221" s="205">
        <f t="shared" si="2089"/>
        <v>0</v>
      </c>
      <c r="PR221" s="120"/>
      <c r="PS221" s="207"/>
      <c r="PT221" s="207"/>
      <c r="PU221" s="207"/>
      <c r="PV221" s="207"/>
      <c r="PW221" s="272"/>
      <c r="PX221" s="272"/>
      <c r="PY221" s="205">
        <f t="shared" si="2090"/>
        <v>0</v>
      </c>
      <c r="PZ221" s="207"/>
      <c r="QA221" s="207"/>
      <c r="QB221" s="207"/>
      <c r="QC221" s="207"/>
      <c r="QD221" s="207"/>
      <c r="QE221" s="272"/>
      <c r="QF221" s="272"/>
      <c r="QG221" s="205">
        <f t="shared" si="2091"/>
        <v>0</v>
      </c>
      <c r="QH221" s="207"/>
      <c r="QI221" s="207"/>
      <c r="QJ221" s="294"/>
      <c r="QK221" s="207"/>
      <c r="QL221" s="207"/>
      <c r="QM221" s="272"/>
      <c r="QN221" s="272"/>
      <c r="QO221" s="205">
        <f t="shared" si="2092"/>
        <v>0</v>
      </c>
      <c r="QP221" s="207"/>
      <c r="QQ221" s="120"/>
      <c r="QR221" s="207"/>
      <c r="QS221" s="207"/>
      <c r="QT221" s="207"/>
      <c r="QU221" s="272"/>
      <c r="QV221" s="272"/>
      <c r="QW221" s="205">
        <f t="shared" si="2147"/>
        <v>0</v>
      </c>
      <c r="QX221" s="205">
        <f t="shared" si="2139"/>
        <v>0</v>
      </c>
      <c r="QY221" s="207"/>
      <c r="QZ221" s="207"/>
      <c r="RA221" s="207"/>
      <c r="RB221" s="207"/>
      <c r="RC221" s="207"/>
      <c r="RD221" s="272"/>
      <c r="RE221" s="272"/>
      <c r="RF221" s="205">
        <f t="shared" si="2148"/>
        <v>0</v>
      </c>
      <c r="RG221" s="207"/>
      <c r="RH221" s="207"/>
      <c r="RI221" s="207"/>
      <c r="RJ221" s="207"/>
      <c r="RK221" s="207"/>
      <c r="RL221" s="272"/>
      <c r="RM221" s="272"/>
      <c r="RN221" s="205">
        <f t="shared" si="2096"/>
        <v>0</v>
      </c>
      <c r="RO221" s="272"/>
      <c r="RP221" s="272"/>
      <c r="RQ221" s="272"/>
      <c r="RR221" s="272"/>
      <c r="RS221" s="272"/>
      <c r="RT221" s="272"/>
      <c r="RU221" s="272"/>
      <c r="RV221" s="205">
        <f t="shared" si="2097"/>
        <v>0</v>
      </c>
      <c r="RW221" s="207"/>
      <c r="RX221" s="207"/>
      <c r="RY221" s="207"/>
      <c r="RZ221" s="207"/>
      <c r="SA221" s="272"/>
      <c r="SB221" s="272"/>
      <c r="SC221" s="272"/>
      <c r="SD221" s="205">
        <f t="shared" si="2098"/>
        <v>0</v>
      </c>
      <c r="SE221" s="205">
        <f t="shared" si="2099"/>
        <v>0</v>
      </c>
      <c r="SF221" s="207"/>
      <c r="SG221" s="207"/>
      <c r="SH221" s="207"/>
      <c r="SI221" s="207"/>
      <c r="SJ221" s="207"/>
      <c r="SK221" s="272"/>
      <c r="SL221" s="272"/>
      <c r="SM221" s="205">
        <f t="shared" si="2100"/>
        <v>0</v>
      </c>
      <c r="SN221" s="207"/>
      <c r="SO221" s="207"/>
      <c r="SP221" s="207"/>
      <c r="SQ221" s="207"/>
      <c r="SR221" s="207"/>
      <c r="SS221" s="272"/>
      <c r="ST221" s="272"/>
      <c r="SU221" s="205">
        <f t="shared" si="2101"/>
        <v>0</v>
      </c>
      <c r="SV221" s="207"/>
      <c r="SW221" s="207"/>
      <c r="SX221" s="207"/>
      <c r="SY221" s="207"/>
      <c r="SZ221" s="207"/>
      <c r="TA221" s="272"/>
      <c r="TB221" s="272"/>
      <c r="TC221" s="205">
        <f t="shared" si="2102"/>
        <v>0</v>
      </c>
      <c r="TD221" s="207"/>
      <c r="TE221" s="207"/>
      <c r="TF221" s="207"/>
      <c r="TG221" s="207"/>
      <c r="TH221" s="207"/>
      <c r="TI221" s="272"/>
      <c r="TJ221" s="272"/>
      <c r="TK221" s="205">
        <f t="shared" si="2142"/>
        <v>0</v>
      </c>
      <c r="TL221" s="140"/>
      <c r="TM221" s="140"/>
      <c r="TN221" s="140"/>
      <c r="TO221" s="140"/>
      <c r="TP221" s="370"/>
      <c r="TQ221" s="272"/>
      <c r="TR221" s="272"/>
      <c r="TS221" s="205">
        <f t="shared" si="2135"/>
        <v>0</v>
      </c>
      <c r="TT221" s="205">
        <f t="shared" si="2136"/>
        <v>0</v>
      </c>
      <c r="TU221" s="272"/>
      <c r="TV221" s="207"/>
      <c r="TW221" s="207"/>
      <c r="TX221" s="207"/>
      <c r="TY221" s="207"/>
      <c r="TZ221" s="272"/>
      <c r="UA221" s="272"/>
      <c r="UB221" s="205">
        <f t="shared" si="2012"/>
        <v>0</v>
      </c>
      <c r="UC221" s="207"/>
      <c r="UD221" s="207"/>
      <c r="UE221" s="120"/>
      <c r="UF221" s="120"/>
      <c r="UG221" s="207"/>
      <c r="UH221" s="272"/>
      <c r="UI221" s="272"/>
      <c r="UJ221" s="205">
        <f t="shared" si="2013"/>
        <v>0</v>
      </c>
      <c r="UK221" s="207"/>
      <c r="UL221" s="207"/>
      <c r="UM221" s="207"/>
      <c r="UN221" s="207"/>
      <c r="UO221" s="207"/>
      <c r="UP221" s="272"/>
      <c r="UQ221" s="272"/>
      <c r="UR221" s="205">
        <f t="shared" si="2014"/>
        <v>0</v>
      </c>
      <c r="US221" s="207"/>
      <c r="UT221" s="207"/>
      <c r="UU221" s="207"/>
      <c r="UV221" s="207"/>
      <c r="UW221" s="272"/>
      <c r="UX221" s="272"/>
      <c r="UY221" s="272"/>
      <c r="UZ221" s="205">
        <f t="shared" si="2145"/>
        <v>0</v>
      </c>
      <c r="VA221" s="205">
        <f t="shared" si="2146"/>
        <v>0</v>
      </c>
      <c r="VB221" s="207"/>
      <c r="VC221" s="120"/>
      <c r="VD221" s="207"/>
      <c r="VE221" s="207"/>
      <c r="VF221" s="207"/>
      <c r="VG221" s="272"/>
      <c r="VH221" s="272"/>
      <c r="VI221" s="205">
        <f t="shared" si="2005"/>
        <v>0</v>
      </c>
      <c r="VJ221" s="207"/>
      <c r="VK221" s="207"/>
      <c r="VL221" s="207"/>
      <c r="VM221" s="207"/>
      <c r="VN221" s="207"/>
      <c r="VO221" s="272"/>
      <c r="VP221" s="272"/>
      <c r="VQ221" s="205">
        <f t="shared" si="2015"/>
        <v>0</v>
      </c>
      <c r="VR221" s="207"/>
      <c r="VS221" s="207"/>
      <c r="VT221" s="207"/>
      <c r="VU221" s="207"/>
      <c r="VV221" s="207"/>
      <c r="VW221" s="272"/>
      <c r="VX221" s="272"/>
      <c r="VY221" s="205">
        <f t="shared" si="2006"/>
        <v>0</v>
      </c>
      <c r="VZ221" s="207"/>
      <c r="WA221" s="207"/>
      <c r="WB221" s="207"/>
      <c r="WC221" s="207"/>
      <c r="WD221" s="207"/>
      <c r="WE221" s="272"/>
      <c r="WF221" s="272"/>
      <c r="WG221" s="205">
        <f t="shared" si="2007"/>
        <v>0</v>
      </c>
      <c r="WH221" s="205">
        <f t="shared" si="2008"/>
        <v>0</v>
      </c>
      <c r="WI221" s="207"/>
      <c r="WJ221" s="207"/>
      <c r="WK221" s="207"/>
      <c r="WL221" s="387"/>
      <c r="WM221" s="207"/>
      <c r="WN221" s="272"/>
      <c r="WO221" s="272"/>
      <c r="WP221" s="205">
        <f t="shared" si="2016"/>
        <v>0</v>
      </c>
      <c r="WQ221" s="356"/>
      <c r="WR221" s="356"/>
      <c r="WS221" s="207"/>
      <c r="WT221" s="207"/>
      <c r="WU221" s="120"/>
      <c r="WV221" s="272"/>
      <c r="WW221" s="272"/>
      <c r="WX221" s="205">
        <f t="shared" si="2017"/>
        <v>0</v>
      </c>
      <c r="WY221" s="207"/>
      <c r="WZ221" s="207"/>
      <c r="XA221" s="207"/>
      <c r="XB221" s="207"/>
      <c r="XC221" s="272"/>
      <c r="XD221" s="272"/>
      <c r="XE221" s="272"/>
      <c r="XF221" s="205">
        <f t="shared" si="2009"/>
        <v>0</v>
      </c>
      <c r="XG221" s="207"/>
      <c r="XH221" s="207"/>
      <c r="XI221" s="207"/>
      <c r="XJ221" s="392">
        <v>130</v>
      </c>
      <c r="XK221" s="207"/>
      <c r="XL221" s="272"/>
      <c r="XM221" s="272"/>
      <c r="XN221" s="205">
        <f t="shared" si="2105"/>
        <v>130</v>
      </c>
      <c r="XO221" s="124">
        <v>924</v>
      </c>
      <c r="XP221" s="207"/>
      <c r="XQ221" s="120"/>
      <c r="XR221" s="207"/>
      <c r="XS221" s="207"/>
      <c r="XT221" s="272"/>
      <c r="XU221" s="272"/>
      <c r="XV221" s="205">
        <f t="shared" si="2137"/>
        <v>924</v>
      </c>
      <c r="XW221" s="205">
        <f t="shared" si="2138"/>
        <v>1054</v>
      </c>
      <c r="XX221" s="207"/>
      <c r="XY221" s="207"/>
      <c r="XZ221" s="207"/>
      <c r="YA221" s="207"/>
      <c r="YB221" s="207"/>
      <c r="YC221" s="272"/>
      <c r="YD221" s="272"/>
      <c r="YE221" s="205">
        <f t="shared" si="2018"/>
        <v>0</v>
      </c>
      <c r="YF221" s="207"/>
      <c r="YG221" s="207"/>
      <c r="YH221" s="207"/>
      <c r="YI221" s="207"/>
      <c r="YJ221" s="207"/>
      <c r="YK221" s="272"/>
      <c r="YL221" s="272"/>
      <c r="YM221" s="205">
        <f t="shared" si="2019"/>
        <v>0</v>
      </c>
      <c r="YN221" s="207"/>
      <c r="YO221" s="207"/>
      <c r="YP221" s="207"/>
      <c r="YQ221" s="207"/>
      <c r="YR221" s="207"/>
      <c r="YS221" s="272"/>
      <c r="YT221" s="272"/>
      <c r="YU221" s="205">
        <f t="shared" si="2020"/>
        <v>0</v>
      </c>
      <c r="YV221" s="207"/>
      <c r="YW221" s="207"/>
      <c r="YX221" s="207"/>
      <c r="YY221" s="207"/>
      <c r="YZ221" s="207"/>
      <c r="ZA221" s="272"/>
      <c r="ZB221" s="272"/>
      <c r="ZC221" s="205">
        <f t="shared" si="2021"/>
        <v>0</v>
      </c>
      <c r="ZD221" s="205">
        <f t="shared" si="2022"/>
        <v>1054</v>
      </c>
      <c r="ZE221" s="207"/>
      <c r="ZF221" s="207"/>
      <c r="ZG221" s="207"/>
      <c r="ZH221" s="207"/>
      <c r="ZI221" s="207"/>
      <c r="ZJ221" s="272"/>
      <c r="ZK221" s="272"/>
      <c r="ZL221" s="205">
        <f t="shared" si="2023"/>
        <v>0</v>
      </c>
      <c r="ZM221" s="207"/>
      <c r="ZN221" s="207"/>
      <c r="ZO221" s="207"/>
      <c r="ZP221" s="207"/>
      <c r="ZQ221" s="207"/>
      <c r="ZR221" s="272"/>
      <c r="ZS221" s="272"/>
      <c r="ZT221" s="205">
        <f t="shared" si="2010"/>
        <v>0</v>
      </c>
      <c r="ZU221" s="207"/>
      <c r="ZV221" s="207"/>
      <c r="ZW221" s="207"/>
      <c r="ZX221" s="207"/>
      <c r="ZY221" s="207"/>
      <c r="ZZ221" s="272"/>
      <c r="AAA221" s="272"/>
      <c r="AAB221" s="205">
        <f t="shared" si="2024"/>
        <v>0</v>
      </c>
      <c r="AAC221" s="207"/>
      <c r="AAD221" s="207"/>
      <c r="AAE221" s="207"/>
      <c r="AAF221" s="207"/>
      <c r="AAG221" s="207"/>
      <c r="AAH221" s="272"/>
      <c r="AAI221" s="272"/>
      <c r="AAJ221" s="205">
        <f t="shared" si="2011"/>
        <v>0</v>
      </c>
      <c r="AAK221" s="207"/>
      <c r="AAL221" s="207"/>
      <c r="AAM221" s="207"/>
      <c r="AAN221" s="207"/>
      <c r="AAO221" s="207"/>
      <c r="AAP221" s="272"/>
      <c r="AAQ221" s="272"/>
      <c r="AAR221" s="205">
        <f t="shared" si="2025"/>
        <v>0</v>
      </c>
      <c r="AAS221" s="205">
        <f t="shared" si="2026"/>
        <v>0</v>
      </c>
    </row>
    <row r="222" spans="1:721" ht="98.1" customHeight="1">
      <c r="A222" s="117">
        <v>5</v>
      </c>
      <c r="B222" s="310" t="s">
        <v>849</v>
      </c>
      <c r="C222" s="365" t="s">
        <v>944</v>
      </c>
      <c r="D222" s="311" t="s">
        <v>848</v>
      </c>
      <c r="E222" s="130" t="s">
        <v>4</v>
      </c>
      <c r="F222" s="120"/>
      <c r="G222" s="120"/>
      <c r="H222" s="120"/>
      <c r="I222" s="120"/>
      <c r="J222" s="120"/>
      <c r="K222" s="209"/>
      <c r="L222" s="205"/>
      <c r="M222" s="205">
        <f t="shared" si="2108"/>
        <v>0</v>
      </c>
      <c r="N222" s="120"/>
      <c r="O222" s="120"/>
      <c r="P222" s="120"/>
      <c r="Q222" s="120"/>
      <c r="R222" s="120"/>
      <c r="S222" s="209"/>
      <c r="T222" s="205"/>
      <c r="U222" s="205"/>
      <c r="V222" s="120"/>
      <c r="W222" s="120"/>
      <c r="X222" s="120"/>
      <c r="Y222" s="120"/>
      <c r="Z222" s="120"/>
      <c r="AA222" s="209"/>
      <c r="AB222" s="205"/>
      <c r="AC222" s="205"/>
      <c r="AD222" s="205"/>
      <c r="AE222" s="205"/>
      <c r="AF222" s="205"/>
      <c r="AG222" s="205"/>
      <c r="AH222" s="205"/>
      <c r="AI222" s="209"/>
      <c r="AJ222" s="205"/>
      <c r="AK222" s="205"/>
      <c r="AL222" s="205"/>
      <c r="AM222" s="120"/>
      <c r="AN222" s="120"/>
      <c r="AO222" s="120"/>
      <c r="AP222" s="120"/>
      <c r="AQ222" s="120"/>
      <c r="AR222" s="209"/>
      <c r="AS222" s="205"/>
      <c r="AT222" s="205"/>
      <c r="AU222" s="120"/>
      <c r="AV222" s="120"/>
      <c r="AW222" s="120"/>
      <c r="AX222" s="120"/>
      <c r="AY222" s="120"/>
      <c r="AZ222" s="209"/>
      <c r="BA222" s="205"/>
      <c r="BB222" s="205"/>
      <c r="BC222" s="120"/>
      <c r="BD222" s="120"/>
      <c r="BE222" s="120"/>
      <c r="BF222" s="120"/>
      <c r="BG222" s="120"/>
      <c r="BH222" s="209"/>
      <c r="BI222" s="205"/>
      <c r="BJ222" s="205"/>
      <c r="BK222" s="120"/>
      <c r="BL222" s="120"/>
      <c r="BM222" s="217"/>
      <c r="BN222" s="120"/>
      <c r="BO222" s="205"/>
      <c r="BP222" s="209"/>
      <c r="BQ222" s="205"/>
      <c r="BR222" s="205"/>
      <c r="BS222" s="205"/>
      <c r="BT222" s="120"/>
      <c r="BU222" s="250"/>
      <c r="BV222" s="120"/>
      <c r="BW222" s="120"/>
      <c r="BX222" s="120"/>
      <c r="BY222" s="209"/>
      <c r="BZ222" s="205"/>
      <c r="CA222" s="205"/>
      <c r="CB222" s="120"/>
      <c r="CC222" s="120"/>
      <c r="CD222" s="120"/>
      <c r="CE222" s="120"/>
      <c r="CF222" s="120"/>
      <c r="CG222" s="209"/>
      <c r="CH222" s="205"/>
      <c r="CI222" s="205"/>
      <c r="CJ222" s="120"/>
      <c r="CK222" s="120"/>
      <c r="CL222" s="250"/>
      <c r="CM222" s="120"/>
      <c r="CN222" s="120"/>
      <c r="CO222" s="209"/>
      <c r="CP222" s="205"/>
      <c r="CQ222" s="205"/>
      <c r="CR222" s="120"/>
      <c r="CS222" s="120"/>
      <c r="CT222" s="120"/>
      <c r="CU222" s="120"/>
      <c r="CV222" s="120"/>
      <c r="CW222" s="209"/>
      <c r="CX222" s="205"/>
      <c r="CY222" s="205"/>
      <c r="CZ222" s="120"/>
      <c r="DA222" s="120"/>
      <c r="DB222" s="120"/>
      <c r="DC222" s="205"/>
      <c r="DD222" s="205"/>
      <c r="DE222" s="209"/>
      <c r="DF222" s="205"/>
      <c r="DG222" s="205"/>
      <c r="DH222" s="205"/>
      <c r="DI222" s="120"/>
      <c r="DJ222" s="120"/>
      <c r="DK222" s="120"/>
      <c r="DL222" s="120"/>
      <c r="DM222" s="120"/>
      <c r="DN222" s="209"/>
      <c r="DO222" s="205"/>
      <c r="DP222" s="205"/>
      <c r="DQ222" s="217"/>
      <c r="DR222" s="120"/>
      <c r="DS222" s="120"/>
      <c r="DT222" s="120"/>
      <c r="DU222" s="120"/>
      <c r="DV222" s="209"/>
      <c r="DW222" s="205"/>
      <c r="DX222" s="205"/>
      <c r="DY222" s="120"/>
      <c r="DZ222" s="120"/>
      <c r="EA222" s="120"/>
      <c r="EB222" s="120"/>
      <c r="EC222" s="120"/>
      <c r="ED222" s="209"/>
      <c r="EE222" s="205"/>
      <c r="EF222" s="205"/>
      <c r="EG222" s="120"/>
      <c r="EH222" s="120"/>
      <c r="EI222" s="120"/>
      <c r="EJ222" s="205"/>
      <c r="EK222" s="205"/>
      <c r="EL222" s="209"/>
      <c r="EM222" s="205"/>
      <c r="EN222" s="205"/>
      <c r="EO222" s="205"/>
      <c r="EP222" s="120"/>
      <c r="EQ222" s="250"/>
      <c r="ER222" s="120"/>
      <c r="ES222" s="120"/>
      <c r="ET222" s="120"/>
      <c r="EU222" s="209"/>
      <c r="EV222" s="205"/>
      <c r="EW222" s="205"/>
      <c r="EX222" s="120"/>
      <c r="EY222" s="120"/>
      <c r="EZ222" s="120"/>
      <c r="FA222" s="120"/>
      <c r="FB222" s="120"/>
      <c r="FC222" s="209"/>
      <c r="FD222" s="205"/>
      <c r="FE222" s="205"/>
      <c r="FF222" s="120"/>
      <c r="FG222" s="195"/>
      <c r="FH222" s="120"/>
      <c r="FI222" s="120"/>
      <c r="FJ222" s="120"/>
      <c r="FK222" s="209"/>
      <c r="FL222" s="205"/>
      <c r="FM222" s="205"/>
      <c r="FN222" s="120"/>
      <c r="FO222" s="120"/>
      <c r="FP222" s="120"/>
      <c r="FQ222" s="120"/>
      <c r="FR222" s="205"/>
      <c r="FS222" s="209"/>
      <c r="FT222" s="205"/>
      <c r="FU222" s="205"/>
      <c r="FV222" s="205"/>
      <c r="FW222" s="120"/>
      <c r="FX222" s="120"/>
      <c r="FY222" s="120"/>
      <c r="FZ222" s="120"/>
      <c r="GA222" s="120"/>
      <c r="GB222" s="209"/>
      <c r="GC222" s="205"/>
      <c r="GD222" s="205"/>
      <c r="GE222" s="120"/>
      <c r="GF222" s="120"/>
      <c r="GG222" s="120"/>
      <c r="GH222" s="120"/>
      <c r="GI222" s="120"/>
      <c r="GJ222" s="209"/>
      <c r="GK222" s="205"/>
      <c r="GL222" s="205"/>
      <c r="GM222" s="120"/>
      <c r="GN222" s="120"/>
      <c r="GO222" s="120"/>
      <c r="GP222" s="120"/>
      <c r="GQ222" s="120"/>
      <c r="GR222" s="209"/>
      <c r="GS222" s="205"/>
      <c r="GT222" s="205"/>
      <c r="GU222" s="120"/>
      <c r="GV222" s="120"/>
      <c r="GW222" s="120"/>
      <c r="GX222" s="120"/>
      <c r="GY222" s="120"/>
      <c r="GZ222" s="209"/>
      <c r="HA222" s="205"/>
      <c r="HB222" s="205"/>
      <c r="HC222" s="120"/>
      <c r="HD222" s="120"/>
      <c r="HE222" s="120"/>
      <c r="HF222" s="120"/>
      <c r="HG222" s="120"/>
      <c r="HH222" s="209"/>
      <c r="HI222" s="205"/>
      <c r="HJ222" s="205"/>
      <c r="HK222" s="205"/>
      <c r="HL222" s="124"/>
      <c r="HM222" s="120"/>
      <c r="HN222" s="120"/>
      <c r="HO222" s="123"/>
      <c r="HP222" s="120"/>
      <c r="HQ222" s="205"/>
      <c r="HR222" s="205"/>
      <c r="HS222" s="205"/>
      <c r="HT222" s="120"/>
      <c r="HU222" s="120"/>
      <c r="HV222" s="120"/>
      <c r="HW222" s="120"/>
      <c r="HX222" s="120"/>
      <c r="HY222" s="205"/>
      <c r="HZ222" s="205"/>
      <c r="IA222" s="205"/>
      <c r="IB222" s="120"/>
      <c r="IC222" s="120"/>
      <c r="ID222" s="120"/>
      <c r="IE222" s="120"/>
      <c r="IF222" s="120"/>
      <c r="IG222" s="205"/>
      <c r="IH222" s="205"/>
      <c r="II222" s="205"/>
      <c r="IJ222" s="120"/>
      <c r="IK222" s="120"/>
      <c r="IL222" s="201"/>
      <c r="IM222" s="120"/>
      <c r="IN222" s="120"/>
      <c r="IO222" s="205"/>
      <c r="IP222" s="205"/>
      <c r="IQ222" s="205"/>
      <c r="IR222" s="205"/>
      <c r="IS222" s="120"/>
      <c r="IT222" s="120"/>
      <c r="IU222" s="120"/>
      <c r="IV222" s="120"/>
      <c r="IW222" s="120"/>
      <c r="IX222" s="205"/>
      <c r="IY222" s="205"/>
      <c r="IZ222" s="205"/>
      <c r="JA222" s="120"/>
      <c r="JB222" s="120"/>
      <c r="JC222" s="120"/>
      <c r="JD222" s="120"/>
      <c r="JE222" s="120"/>
      <c r="JF222" s="205"/>
      <c r="JG222" s="205"/>
      <c r="JH222" s="205"/>
      <c r="JI222" s="120"/>
      <c r="JJ222" s="120"/>
      <c r="JK222" s="120"/>
      <c r="JL222" s="120"/>
      <c r="JM222" s="120"/>
      <c r="JN222" s="205"/>
      <c r="JO222" s="205"/>
      <c r="JP222" s="205"/>
      <c r="JQ222" s="120"/>
      <c r="JR222" s="120"/>
      <c r="JS222" s="120"/>
      <c r="JT222" s="120"/>
      <c r="JU222" s="120"/>
      <c r="JV222" s="205"/>
      <c r="JW222" s="205"/>
      <c r="JX222" s="205"/>
      <c r="JY222" s="205"/>
      <c r="JZ222" s="120"/>
      <c r="KA222" s="120"/>
      <c r="KB222" s="120"/>
      <c r="KC222" s="120"/>
      <c r="KD222" s="120"/>
      <c r="KE222" s="205"/>
      <c r="KF222" s="205"/>
      <c r="KG222" s="205"/>
      <c r="KH222" s="120"/>
      <c r="KI222" s="120"/>
      <c r="KJ222" s="120"/>
      <c r="KK222" s="206"/>
      <c r="KL222" s="120"/>
      <c r="KM222" s="205"/>
      <c r="KN222" s="205"/>
      <c r="KO222" s="205"/>
      <c r="KP222" s="120"/>
      <c r="KQ222" s="120"/>
      <c r="KR222" s="120"/>
      <c r="KS222" s="120"/>
      <c r="KT222" s="120"/>
      <c r="KU222" s="205"/>
      <c r="KV222" s="205"/>
      <c r="KW222" s="205"/>
      <c r="KX222" s="120"/>
      <c r="KY222" s="120"/>
      <c r="KZ222" s="120"/>
      <c r="LA222" s="120"/>
      <c r="LB222" s="120"/>
      <c r="LC222" s="205"/>
      <c r="LD222" s="205"/>
      <c r="LE222" s="205"/>
      <c r="LF222" s="205"/>
      <c r="LG222" s="120"/>
      <c r="LH222" s="120"/>
      <c r="LI222" s="120"/>
      <c r="LJ222" s="120"/>
      <c r="LK222" s="205"/>
      <c r="LL222" s="205"/>
      <c r="LM222" s="205"/>
      <c r="LN222" s="205"/>
      <c r="LO222" s="205"/>
      <c r="LP222" s="120"/>
      <c r="LQ222" s="120"/>
      <c r="LR222" s="120"/>
      <c r="LS222" s="205"/>
      <c r="LT222" s="205"/>
      <c r="LU222" s="205"/>
      <c r="LV222" s="205"/>
      <c r="LW222" s="120"/>
      <c r="LX222" s="120"/>
      <c r="LY222" s="124"/>
      <c r="LZ222" s="120"/>
      <c r="MA222" s="120"/>
      <c r="MB222" s="205"/>
      <c r="MC222" s="205"/>
      <c r="MD222" s="205"/>
      <c r="ME222" s="120"/>
      <c r="MF222" s="120"/>
      <c r="MG222" s="120"/>
      <c r="MH222" s="201"/>
      <c r="MI222" s="205"/>
      <c r="MJ222" s="205"/>
      <c r="MK222" s="205"/>
      <c r="ML222" s="205"/>
      <c r="MM222" s="120"/>
      <c r="MN222" s="120"/>
      <c r="MO222" s="120"/>
      <c r="MP222" s="120"/>
      <c r="MQ222" s="120"/>
      <c r="MR222" s="205"/>
      <c r="MS222" s="205"/>
      <c r="MT222" s="205"/>
      <c r="MU222" s="205"/>
      <c r="MV222" s="120"/>
      <c r="MW222" s="120"/>
      <c r="MX222" s="195"/>
      <c r="MY222" s="120"/>
      <c r="MZ222" s="120"/>
      <c r="NA222" s="205"/>
      <c r="NB222" s="205"/>
      <c r="NC222" s="205"/>
      <c r="ND222" s="120"/>
      <c r="NE222" s="120"/>
      <c r="NF222" s="120"/>
      <c r="NG222" s="120"/>
      <c r="NH222" s="120"/>
      <c r="NI222" s="205"/>
      <c r="NJ222" s="205"/>
      <c r="NK222" s="205"/>
      <c r="NL222" s="120"/>
      <c r="NM222" s="120"/>
      <c r="NN222" s="120"/>
      <c r="NO222" s="120"/>
      <c r="NP222" s="120"/>
      <c r="NQ222" s="205"/>
      <c r="NR222" s="205"/>
      <c r="NS222" s="205"/>
      <c r="NT222" s="217"/>
      <c r="NU222" s="120"/>
      <c r="NV222" s="120"/>
      <c r="NW222" s="120"/>
      <c r="NX222" s="120"/>
      <c r="NY222" s="205"/>
      <c r="NZ222" s="205"/>
      <c r="OA222" s="205"/>
      <c r="OB222" s="205"/>
      <c r="OC222" s="120"/>
      <c r="OD222" s="120"/>
      <c r="OE222" s="120"/>
      <c r="OF222" s="120"/>
      <c r="OG222" s="120"/>
      <c r="OH222" s="205"/>
      <c r="OI222" s="205"/>
      <c r="OJ222" s="205"/>
      <c r="OK222" s="120"/>
      <c r="OL222" s="120"/>
      <c r="OM222" s="120"/>
      <c r="ON222" s="120"/>
      <c r="OO222" s="120"/>
      <c r="OP222" s="205"/>
      <c r="OQ222" s="205"/>
      <c r="OR222" s="205"/>
      <c r="OS222" s="120"/>
      <c r="OT222" s="120"/>
      <c r="OU222" s="120"/>
      <c r="OV222" s="120"/>
      <c r="OW222" s="120"/>
      <c r="OX222" s="205"/>
      <c r="OY222" s="205"/>
      <c r="OZ222" s="205"/>
      <c r="PA222" s="120"/>
      <c r="PB222" s="120"/>
      <c r="PC222" s="120"/>
      <c r="PD222" s="205"/>
      <c r="PE222" s="217"/>
      <c r="PF222" s="205"/>
      <c r="PG222" s="205"/>
      <c r="PH222" s="205"/>
      <c r="PI222" s="120"/>
      <c r="PJ222" s="120"/>
      <c r="PK222" s="120"/>
      <c r="PL222" s="205"/>
      <c r="PM222" s="217"/>
      <c r="PN222" s="205"/>
      <c r="PO222" s="205"/>
      <c r="PP222" s="205"/>
      <c r="PQ222" s="205"/>
      <c r="PR222" s="120"/>
      <c r="PS222" s="207"/>
      <c r="PT222" s="207"/>
      <c r="PU222" s="207"/>
      <c r="PV222" s="207"/>
      <c r="PW222" s="272"/>
      <c r="PX222" s="272"/>
      <c r="PY222" s="205"/>
      <c r="PZ222" s="207"/>
      <c r="QA222" s="207"/>
      <c r="QB222" s="207"/>
      <c r="QC222" s="207"/>
      <c r="QD222" s="207"/>
      <c r="QE222" s="272"/>
      <c r="QF222" s="272"/>
      <c r="QG222" s="205"/>
      <c r="QH222" s="207"/>
      <c r="QI222" s="207"/>
      <c r="QJ222" s="294"/>
      <c r="QK222" s="207"/>
      <c r="QL222" s="207"/>
      <c r="QM222" s="272"/>
      <c r="QN222" s="272"/>
      <c r="QO222" s="205"/>
      <c r="QP222" s="207"/>
      <c r="QQ222" s="120"/>
      <c r="QR222" s="207"/>
      <c r="QS222" s="207"/>
      <c r="QT222" s="207"/>
      <c r="QU222" s="272"/>
      <c r="QV222" s="272"/>
      <c r="QW222" s="205">
        <f t="shared" si="2147"/>
        <v>0</v>
      </c>
      <c r="QX222" s="205">
        <f t="shared" si="2139"/>
        <v>0</v>
      </c>
      <c r="QY222" s="207"/>
      <c r="QZ222" s="207"/>
      <c r="RA222" s="207"/>
      <c r="RB222" s="207"/>
      <c r="RC222" s="207"/>
      <c r="RD222" s="272"/>
      <c r="RE222" s="272"/>
      <c r="RF222" s="205"/>
      <c r="RG222" s="207"/>
      <c r="RH222" s="207"/>
      <c r="RJ222" s="207"/>
      <c r="RK222" s="207"/>
      <c r="RL222" s="272"/>
      <c r="RM222" s="272"/>
      <c r="RN222" s="205">
        <f t="shared" si="2096"/>
        <v>0</v>
      </c>
      <c r="RO222" s="272"/>
      <c r="RP222" s="272"/>
      <c r="RQ222" s="272"/>
      <c r="RR222" s="272"/>
      <c r="RS222" s="272"/>
      <c r="RT222" s="272"/>
      <c r="RU222" s="272"/>
      <c r="RV222" s="205"/>
      <c r="RW222" s="207"/>
      <c r="RX222" s="207"/>
      <c r="RY222" s="207"/>
      <c r="RZ222" s="207"/>
      <c r="SA222" s="272"/>
      <c r="SB222" s="272"/>
      <c r="SC222" s="272"/>
      <c r="SD222" s="205"/>
      <c r="SE222" s="205"/>
      <c r="SF222" s="207"/>
      <c r="SG222" s="207"/>
      <c r="SH222" s="207"/>
      <c r="SI222" s="207"/>
      <c r="SJ222" s="207"/>
      <c r="SK222" s="272"/>
      <c r="SL222" s="272"/>
      <c r="SM222" s="205">
        <f t="shared" si="2100"/>
        <v>0</v>
      </c>
      <c r="SN222" s="207"/>
      <c r="SO222" s="207"/>
      <c r="SP222" s="207"/>
      <c r="SQ222" s="207"/>
      <c r="SR222" s="207"/>
      <c r="SS222" s="272"/>
      <c r="ST222" s="272"/>
      <c r="SU222" s="205">
        <f t="shared" si="2101"/>
        <v>0</v>
      </c>
      <c r="SV222" s="207"/>
      <c r="SW222" s="207"/>
      <c r="SX222" s="207"/>
      <c r="SY222" s="207"/>
      <c r="SZ222" s="207"/>
      <c r="TA222" s="272"/>
      <c r="TB222" s="272"/>
      <c r="TC222" s="205">
        <f t="shared" si="2102"/>
        <v>0</v>
      </c>
      <c r="TD222" s="207"/>
      <c r="TE222" s="207"/>
      <c r="TF222" s="207"/>
      <c r="TG222" s="207"/>
      <c r="TH222" s="207"/>
      <c r="TI222" s="272"/>
      <c r="TJ222" s="272"/>
      <c r="TK222" s="205">
        <f t="shared" si="2142"/>
        <v>0</v>
      </c>
      <c r="TL222" s="140"/>
      <c r="TM222" s="140"/>
      <c r="TN222" s="140"/>
      <c r="TO222" s="140"/>
      <c r="TP222" s="370"/>
      <c r="TQ222" s="272"/>
      <c r="TR222" s="272"/>
      <c r="TS222" s="205">
        <f t="shared" ref="TS222" si="2149">SUM(TL222:TR222)</f>
        <v>0</v>
      </c>
      <c r="TT222" s="205">
        <f t="shared" ref="TT222" si="2150">SUM(TL222:TM222,TK222,TC222,SU222,SM222,SC222)</f>
        <v>0</v>
      </c>
      <c r="TU222" s="272"/>
      <c r="TV222" s="207"/>
      <c r="TW222" s="207"/>
      <c r="TX222" s="207"/>
      <c r="TY222" s="207"/>
      <c r="TZ222" s="272"/>
      <c r="UA222" s="272"/>
      <c r="UB222" s="205">
        <f t="shared" si="2012"/>
        <v>0</v>
      </c>
      <c r="UC222" s="207"/>
      <c r="UD222" s="207"/>
      <c r="UE222" s="120"/>
      <c r="UF222" s="120"/>
      <c r="UG222" s="207"/>
      <c r="UH222" s="272"/>
      <c r="UI222" s="272"/>
      <c r="UJ222" s="205">
        <f t="shared" si="2013"/>
        <v>0</v>
      </c>
      <c r="UK222" s="207"/>
      <c r="UL222" s="207"/>
      <c r="UM222" s="207"/>
      <c r="UN222" s="207"/>
      <c r="UO222" s="207"/>
      <c r="UP222" s="272"/>
      <c r="UQ222" s="272"/>
      <c r="UR222" s="205">
        <f t="shared" si="2014"/>
        <v>0</v>
      </c>
      <c r="US222" s="207"/>
      <c r="UU222" s="207"/>
      <c r="UV222" s="207"/>
      <c r="UW222" s="272"/>
      <c r="UX222" s="272"/>
      <c r="UY222" s="272"/>
      <c r="UZ222" s="205">
        <f t="shared" si="2145"/>
        <v>0</v>
      </c>
      <c r="VA222" s="205">
        <f t="shared" si="2146"/>
        <v>0</v>
      </c>
      <c r="VB222" s="207"/>
      <c r="VC222" s="120"/>
      <c r="VD222" s="207"/>
      <c r="VE222" s="207"/>
      <c r="VF222" s="207"/>
      <c r="VG222" s="272"/>
      <c r="VH222" s="272"/>
      <c r="VI222" s="205">
        <f t="shared" si="2005"/>
        <v>0</v>
      </c>
      <c r="VJ222" s="207"/>
      <c r="VK222" s="207"/>
      <c r="VL222" s="207"/>
      <c r="VM222" s="207"/>
      <c r="VN222" s="207"/>
      <c r="VO222" s="272"/>
      <c r="VP222" s="272"/>
      <c r="VQ222" s="205">
        <f t="shared" si="2015"/>
        <v>0</v>
      </c>
      <c r="VR222" s="207"/>
      <c r="VS222" s="207"/>
      <c r="VT222" s="207"/>
      <c r="VU222" s="207"/>
      <c r="VV222" s="207"/>
      <c r="VW222" s="272"/>
      <c r="VX222" s="272"/>
      <c r="VY222" s="205">
        <f t="shared" si="2006"/>
        <v>0</v>
      </c>
      <c r="VZ222" s="207"/>
      <c r="WA222" s="207"/>
      <c r="WB222" s="207"/>
      <c r="WC222" s="207"/>
      <c r="WD222" s="207"/>
      <c r="WE222" s="272"/>
      <c r="WF222" s="272"/>
      <c r="WG222" s="205">
        <f t="shared" si="2007"/>
        <v>0</v>
      </c>
      <c r="WH222" s="205">
        <f t="shared" si="2008"/>
        <v>0</v>
      </c>
      <c r="WI222" s="207"/>
      <c r="WJ222" s="207"/>
      <c r="WK222" s="207"/>
      <c r="WL222" s="387"/>
      <c r="WM222" s="207"/>
      <c r="WN222" s="272"/>
      <c r="WO222" s="272"/>
      <c r="WP222" s="205">
        <f t="shared" si="2016"/>
        <v>0</v>
      </c>
      <c r="WQ222" s="356"/>
      <c r="WR222" s="356"/>
      <c r="WS222" s="207"/>
      <c r="WT222" s="207"/>
      <c r="WU222" s="120"/>
      <c r="WV222" s="272"/>
      <c r="WW222" s="272"/>
      <c r="WX222" s="205">
        <f t="shared" si="2017"/>
        <v>0</v>
      </c>
      <c r="WY222" s="207"/>
      <c r="WZ222" s="207"/>
      <c r="XA222" s="207"/>
      <c r="XB222" s="207"/>
      <c r="XC222" s="272"/>
      <c r="XD222" s="272"/>
      <c r="XE222" s="272"/>
      <c r="XF222" s="205">
        <f t="shared" si="2009"/>
        <v>0</v>
      </c>
      <c r="XG222" s="392">
        <v>130</v>
      </c>
      <c r="XH222" s="356"/>
      <c r="XI222" s="393">
        <v>429</v>
      </c>
      <c r="XJ222" s="207"/>
      <c r="XK222" s="207"/>
      <c r="XL222" s="272"/>
      <c r="XM222" s="272"/>
      <c r="XN222" s="205">
        <f t="shared" si="2105"/>
        <v>559</v>
      </c>
      <c r="XO222" s="387"/>
      <c r="XP222" s="207"/>
      <c r="XQ222" s="120"/>
      <c r="XR222" s="207"/>
      <c r="XS222" s="207"/>
      <c r="XT222" s="272"/>
      <c r="XU222" s="272"/>
      <c r="XV222" s="205">
        <f t="shared" si="2137"/>
        <v>0</v>
      </c>
      <c r="XW222" s="205">
        <f t="shared" si="2138"/>
        <v>559</v>
      </c>
      <c r="XX222" s="207"/>
      <c r="XY222" s="207"/>
      <c r="XZ222" s="207"/>
      <c r="YA222" s="207"/>
      <c r="YB222" s="207"/>
      <c r="YC222" s="272"/>
      <c r="YD222" s="272"/>
      <c r="YE222" s="205">
        <f t="shared" si="2018"/>
        <v>0</v>
      </c>
      <c r="YF222" s="207"/>
      <c r="YG222" s="207"/>
      <c r="YH222" s="207"/>
      <c r="YI222" s="207"/>
      <c r="YJ222" s="207"/>
      <c r="YK222" s="272"/>
      <c r="YL222" s="272"/>
      <c r="YM222" s="205">
        <f t="shared" si="2019"/>
        <v>0</v>
      </c>
      <c r="YN222" s="207"/>
      <c r="YO222" s="207"/>
      <c r="YP222" s="207"/>
      <c r="YQ222" s="207"/>
      <c r="YR222" s="207"/>
      <c r="YS222" s="272"/>
      <c r="YT222" s="272"/>
      <c r="YU222" s="205">
        <f t="shared" si="2020"/>
        <v>0</v>
      </c>
      <c r="YV222" s="207"/>
      <c r="YW222" s="207"/>
      <c r="YX222" s="207"/>
      <c r="YY222" s="207"/>
      <c r="YZ222" s="207"/>
      <c r="ZA222" s="272"/>
      <c r="ZB222" s="272"/>
      <c r="ZC222" s="205">
        <f t="shared" si="2021"/>
        <v>0</v>
      </c>
      <c r="ZD222" s="205">
        <f t="shared" si="2022"/>
        <v>559</v>
      </c>
      <c r="ZE222" s="207"/>
      <c r="ZF222" s="207"/>
      <c r="ZG222" s="207"/>
      <c r="ZH222" s="207"/>
      <c r="ZI222" s="207"/>
      <c r="ZJ222" s="272"/>
      <c r="ZK222" s="272"/>
      <c r="ZL222" s="205">
        <f t="shared" si="2023"/>
        <v>0</v>
      </c>
      <c r="ZM222" s="207"/>
      <c r="ZN222" s="207"/>
      <c r="ZO222" s="207"/>
      <c r="ZP222" s="207"/>
      <c r="ZQ222" s="207"/>
      <c r="ZR222" s="272"/>
      <c r="ZS222" s="272"/>
      <c r="ZT222" s="205">
        <f t="shared" si="2010"/>
        <v>0</v>
      </c>
      <c r="ZU222" s="207"/>
      <c r="ZV222" s="207"/>
      <c r="ZW222" s="207"/>
      <c r="ZX222" s="207"/>
      <c r="ZY222" s="207"/>
      <c r="ZZ222" s="272"/>
      <c r="AAA222" s="272"/>
      <c r="AAB222" s="205">
        <f t="shared" si="2024"/>
        <v>0</v>
      </c>
      <c r="AAC222" s="207"/>
      <c r="AAD222" s="207"/>
      <c r="AAE222" s="207"/>
      <c r="AAF222" s="207"/>
      <c r="AAG222" s="207"/>
      <c r="AAH222" s="272"/>
      <c r="AAI222" s="272"/>
      <c r="AAJ222" s="205">
        <f t="shared" si="2011"/>
        <v>0</v>
      </c>
      <c r="AAK222" s="207"/>
      <c r="AAL222" s="207"/>
      <c r="AAM222" s="207"/>
      <c r="AAN222" s="207"/>
      <c r="AAO222" s="207"/>
      <c r="AAP222" s="272"/>
      <c r="AAQ222" s="272"/>
      <c r="AAR222" s="205">
        <f t="shared" si="2025"/>
        <v>0</v>
      </c>
      <c r="AAS222" s="205">
        <f t="shared" si="2026"/>
        <v>0</v>
      </c>
    </row>
    <row r="223" spans="1:721" ht="74.099999999999994" customHeight="1">
      <c r="A223" s="117">
        <v>10</v>
      </c>
      <c r="B223" s="313" t="s">
        <v>906</v>
      </c>
      <c r="C223" s="362" t="s">
        <v>879</v>
      </c>
      <c r="D223" s="315" t="s">
        <v>846</v>
      </c>
      <c r="E223" s="130" t="s">
        <v>4</v>
      </c>
      <c r="F223" s="120"/>
      <c r="G223" s="120"/>
      <c r="H223" s="120"/>
      <c r="I223" s="120"/>
      <c r="J223" s="120"/>
      <c r="K223" s="209"/>
      <c r="L223" s="205"/>
      <c r="M223" s="205">
        <f t="shared" si="2108"/>
        <v>0</v>
      </c>
      <c r="N223" s="120"/>
      <c r="O223" s="120"/>
      <c r="P223" s="120"/>
      <c r="Q223" s="120"/>
      <c r="R223" s="120"/>
      <c r="S223" s="209"/>
      <c r="T223" s="205"/>
      <c r="U223" s="205">
        <f t="shared" si="2028"/>
        <v>0</v>
      </c>
      <c r="V223" s="120"/>
      <c r="W223" s="120"/>
      <c r="X223" s="120"/>
      <c r="Y223" s="120"/>
      <c r="Z223" s="120"/>
      <c r="AA223" s="209"/>
      <c r="AB223" s="205"/>
      <c r="AC223" s="205">
        <f t="shared" si="2029"/>
        <v>0</v>
      </c>
      <c r="AD223" s="205"/>
      <c r="AE223" s="205"/>
      <c r="AF223" s="205"/>
      <c r="AG223" s="205"/>
      <c r="AH223" s="205"/>
      <c r="AI223" s="209"/>
      <c r="AJ223" s="205"/>
      <c r="AK223" s="205">
        <f t="shared" si="2030"/>
        <v>0</v>
      </c>
      <c r="AL223" s="205" t="e">
        <f>SUM(#REF!,M223,U223,AC223,AD223:AH223)</f>
        <v>#REF!</v>
      </c>
      <c r="AM223" s="120"/>
      <c r="AN223" s="120"/>
      <c r="AO223" s="120"/>
      <c r="AP223" s="120"/>
      <c r="AQ223" s="120"/>
      <c r="AR223" s="209"/>
      <c r="AS223" s="205"/>
      <c r="AT223" s="205">
        <f t="shared" si="2031"/>
        <v>0</v>
      </c>
      <c r="AU223" s="120"/>
      <c r="AV223" s="120"/>
      <c r="AW223" s="120"/>
      <c r="AX223" s="120"/>
      <c r="AY223" s="120"/>
      <c r="AZ223" s="209"/>
      <c r="BA223" s="205"/>
      <c r="BB223" s="205">
        <f t="shared" si="2032"/>
        <v>0</v>
      </c>
      <c r="BC223" s="120"/>
      <c r="BD223" s="120"/>
      <c r="BE223" s="120"/>
      <c r="BF223" s="120"/>
      <c r="BG223" s="120"/>
      <c r="BH223" s="209"/>
      <c r="BI223" s="205"/>
      <c r="BJ223" s="205">
        <f t="shared" si="2033"/>
        <v>0</v>
      </c>
      <c r="BK223" s="120"/>
      <c r="BL223" s="120"/>
      <c r="BM223" s="217">
        <v>3106</v>
      </c>
      <c r="BN223" s="120"/>
      <c r="BO223" s="205"/>
      <c r="BP223" s="209"/>
      <c r="BQ223" s="205"/>
      <c r="BR223" s="205">
        <f t="shared" si="2034"/>
        <v>3106</v>
      </c>
      <c r="BS223" s="205">
        <f t="shared" si="2035"/>
        <v>3106</v>
      </c>
      <c r="BT223" s="120"/>
      <c r="BU223" s="250">
        <v>706</v>
      </c>
      <c r="BV223" s="120"/>
      <c r="BW223" s="120"/>
      <c r="BX223" s="120"/>
      <c r="BY223" s="209"/>
      <c r="BZ223" s="205"/>
      <c r="CA223" s="205">
        <f t="shared" si="2036"/>
        <v>706</v>
      </c>
      <c r="CB223" s="120"/>
      <c r="CC223" s="120"/>
      <c r="CD223" s="120"/>
      <c r="CE223" s="120"/>
      <c r="CF223" s="120"/>
      <c r="CG223" s="209"/>
      <c r="CH223" s="205"/>
      <c r="CI223" s="205">
        <f t="shared" si="2037"/>
        <v>0</v>
      </c>
      <c r="CJ223" s="120"/>
      <c r="CK223" s="120"/>
      <c r="CL223" s="250">
        <v>1206</v>
      </c>
      <c r="CM223" s="120"/>
      <c r="CN223" s="120"/>
      <c r="CO223" s="209"/>
      <c r="CP223" s="205"/>
      <c r="CQ223" s="205">
        <f t="shared" si="2038"/>
        <v>1206</v>
      </c>
      <c r="CR223" s="120" t="s">
        <v>216</v>
      </c>
      <c r="CS223" s="120"/>
      <c r="CT223" s="120"/>
      <c r="CU223" s="120"/>
      <c r="CV223" s="120"/>
      <c r="CW223" s="209"/>
      <c r="CX223" s="205"/>
      <c r="CY223" s="205">
        <f t="shared" si="2039"/>
        <v>0</v>
      </c>
      <c r="CZ223" s="120"/>
      <c r="DA223" s="120"/>
      <c r="DB223" s="120"/>
      <c r="DC223" s="205"/>
      <c r="DD223" s="205"/>
      <c r="DE223" s="209"/>
      <c r="DF223" s="205"/>
      <c r="DG223" s="205">
        <f t="shared" si="2040"/>
        <v>0</v>
      </c>
      <c r="DH223" s="205">
        <f t="shared" si="2041"/>
        <v>1912</v>
      </c>
      <c r="DI223" s="120"/>
      <c r="DJ223" s="120"/>
      <c r="DK223" s="120"/>
      <c r="DL223" s="120"/>
      <c r="DM223" s="120"/>
      <c r="DN223" s="209"/>
      <c r="DO223" s="205"/>
      <c r="DP223" s="205">
        <f t="shared" si="2042"/>
        <v>0</v>
      </c>
      <c r="DQ223" s="217">
        <v>656</v>
      </c>
      <c r="DR223" s="120"/>
      <c r="DS223" s="120"/>
      <c r="DT223" s="120"/>
      <c r="DU223" s="120"/>
      <c r="DV223" s="209"/>
      <c r="DW223" s="205"/>
      <c r="DX223" s="205">
        <f t="shared" si="2043"/>
        <v>656</v>
      </c>
      <c r="DY223" s="120"/>
      <c r="DZ223" s="120"/>
      <c r="EA223" s="120"/>
      <c r="EB223" s="120"/>
      <c r="EC223" s="120"/>
      <c r="ED223" s="209"/>
      <c r="EE223" s="205"/>
      <c r="EF223" s="205">
        <f t="shared" si="2044"/>
        <v>0</v>
      </c>
      <c r="EG223" s="120"/>
      <c r="EH223" s="120"/>
      <c r="EI223" s="120"/>
      <c r="EJ223" s="205"/>
      <c r="EK223" s="205"/>
      <c r="EL223" s="209"/>
      <c r="EM223" s="205"/>
      <c r="EN223" s="205">
        <f t="shared" si="2045"/>
        <v>0</v>
      </c>
      <c r="EO223" s="205">
        <f t="shared" si="2046"/>
        <v>656</v>
      </c>
      <c r="EP223" s="120"/>
      <c r="EQ223" s="250">
        <v>506</v>
      </c>
      <c r="ER223" s="120"/>
      <c r="ES223" s="120"/>
      <c r="ET223" s="120"/>
      <c r="EU223" s="209"/>
      <c r="EV223" s="205"/>
      <c r="EW223" s="205">
        <f t="shared" si="2047"/>
        <v>506</v>
      </c>
      <c r="EX223" s="120"/>
      <c r="EY223" s="120"/>
      <c r="EZ223" s="120"/>
      <c r="FA223" s="120"/>
      <c r="FB223" s="120"/>
      <c r="FC223" s="209"/>
      <c r="FD223" s="205"/>
      <c r="FE223" s="205">
        <f t="shared" si="2048"/>
        <v>0</v>
      </c>
      <c r="FF223" s="120"/>
      <c r="FG223" s="195">
        <v>506</v>
      </c>
      <c r="FH223" s="120"/>
      <c r="FI223" s="120"/>
      <c r="FJ223" s="120"/>
      <c r="FK223" s="209"/>
      <c r="FL223" s="205"/>
      <c r="FM223" s="205">
        <f t="shared" si="2049"/>
        <v>506</v>
      </c>
      <c r="FN223" s="120"/>
      <c r="FO223" s="120"/>
      <c r="FP223" s="120"/>
      <c r="FQ223" s="120"/>
      <c r="FR223" s="205"/>
      <c r="FS223" s="209"/>
      <c r="FT223" s="205"/>
      <c r="FU223" s="205">
        <f t="shared" si="2050"/>
        <v>0</v>
      </c>
      <c r="FV223" s="205">
        <f t="shared" si="2051"/>
        <v>1012</v>
      </c>
      <c r="FW223" s="120"/>
      <c r="FX223" s="120"/>
      <c r="FY223" s="120"/>
      <c r="FZ223" s="120"/>
      <c r="GA223" s="120"/>
      <c r="GB223" s="209"/>
      <c r="GC223" s="205"/>
      <c r="GD223" s="205">
        <f t="shared" si="2052"/>
        <v>0</v>
      </c>
      <c r="GE223" s="120"/>
      <c r="GF223" s="120"/>
      <c r="GG223" s="120"/>
      <c r="GH223" s="120"/>
      <c r="GI223" s="120"/>
      <c r="GJ223" s="209"/>
      <c r="GK223" s="205"/>
      <c r="GL223" s="205">
        <f t="shared" si="2053"/>
        <v>0</v>
      </c>
      <c r="GM223" s="120"/>
      <c r="GN223" s="120"/>
      <c r="GO223" s="120"/>
      <c r="GP223" s="120"/>
      <c r="GQ223" s="120"/>
      <c r="GR223" s="209"/>
      <c r="GS223" s="205"/>
      <c r="GT223" s="205">
        <f t="shared" si="2054"/>
        <v>0</v>
      </c>
      <c r="GU223" s="120"/>
      <c r="GV223" s="120"/>
      <c r="GW223" s="120"/>
      <c r="GX223" s="120"/>
      <c r="GY223" s="120"/>
      <c r="GZ223" s="209"/>
      <c r="HA223" s="205"/>
      <c r="HB223" s="205">
        <f t="shared" si="2055"/>
        <v>0</v>
      </c>
      <c r="HC223" s="120"/>
      <c r="HD223" s="120"/>
      <c r="HE223" s="120"/>
      <c r="HF223" s="120"/>
      <c r="HG223" s="120"/>
      <c r="HH223" s="209"/>
      <c r="HI223" s="205"/>
      <c r="HJ223" s="205">
        <f t="shared" si="2056"/>
        <v>0</v>
      </c>
      <c r="HK223" s="205">
        <f t="shared" si="2057"/>
        <v>0</v>
      </c>
      <c r="HL223" s="124"/>
      <c r="HM223" s="120"/>
      <c r="HN223" s="120"/>
      <c r="HO223" s="123">
        <v>1756</v>
      </c>
      <c r="HP223" s="120"/>
      <c r="HQ223" s="205"/>
      <c r="HR223" s="205"/>
      <c r="HS223" s="205">
        <f t="shared" si="2058"/>
        <v>1756</v>
      </c>
      <c r="HT223" s="120"/>
      <c r="HU223" s="120"/>
      <c r="HV223" s="120"/>
      <c r="HW223" s="120"/>
      <c r="HX223" s="120"/>
      <c r="HY223" s="205"/>
      <c r="HZ223" s="205"/>
      <c r="IA223" s="205">
        <f t="shared" si="2059"/>
        <v>0</v>
      </c>
      <c r="IB223" s="120"/>
      <c r="IC223" s="120"/>
      <c r="ID223" s="120"/>
      <c r="IE223" s="120"/>
      <c r="IF223" s="120"/>
      <c r="IG223" s="205"/>
      <c r="IH223" s="205"/>
      <c r="II223" s="205">
        <f t="shared" si="2060"/>
        <v>0</v>
      </c>
      <c r="IJ223" s="120"/>
      <c r="IK223" s="120"/>
      <c r="IL223" s="201">
        <v>1806</v>
      </c>
      <c r="IM223" s="120"/>
      <c r="IN223" s="120"/>
      <c r="IO223" s="205"/>
      <c r="IP223" s="205"/>
      <c r="IQ223" s="205">
        <f t="shared" si="2061"/>
        <v>1806</v>
      </c>
      <c r="IR223" s="205">
        <f t="shared" si="2062"/>
        <v>3562</v>
      </c>
      <c r="IS223" s="120"/>
      <c r="IT223" s="120"/>
      <c r="IU223" s="120"/>
      <c r="IV223" s="120"/>
      <c r="IW223" s="120"/>
      <c r="IX223" s="205"/>
      <c r="IY223" s="205"/>
      <c r="IZ223" s="205">
        <f t="shared" si="2063"/>
        <v>0</v>
      </c>
      <c r="JA223" s="120"/>
      <c r="JB223" s="120"/>
      <c r="JC223" s="120"/>
      <c r="JD223" s="120"/>
      <c r="JE223" s="120"/>
      <c r="JF223" s="205"/>
      <c r="JG223" s="205"/>
      <c r="JH223" s="205">
        <f t="shared" si="2064"/>
        <v>0</v>
      </c>
      <c r="JI223" s="120"/>
      <c r="JJ223" s="120"/>
      <c r="JK223" s="120"/>
      <c r="JL223" s="120"/>
      <c r="JM223" s="120"/>
      <c r="JN223" s="205"/>
      <c r="JO223" s="205"/>
      <c r="JP223" s="205">
        <f t="shared" si="2065"/>
        <v>0</v>
      </c>
      <c r="JQ223" s="120"/>
      <c r="JR223" s="120"/>
      <c r="JS223" s="120"/>
      <c r="JT223" s="120"/>
      <c r="JU223" s="120"/>
      <c r="JV223" s="205"/>
      <c r="JW223" s="205"/>
      <c r="JX223" s="205">
        <f t="shared" si="2066"/>
        <v>0</v>
      </c>
      <c r="JY223" s="205">
        <f t="shared" si="2067"/>
        <v>0</v>
      </c>
      <c r="JZ223" s="120"/>
      <c r="KA223" s="120"/>
      <c r="KB223" s="120"/>
      <c r="KC223" s="120"/>
      <c r="KD223" s="120"/>
      <c r="KE223" s="205"/>
      <c r="KF223" s="205"/>
      <c r="KG223" s="205">
        <f t="shared" si="2068"/>
        <v>0</v>
      </c>
      <c r="KH223" s="120"/>
      <c r="KI223" s="120"/>
      <c r="KJ223" s="120"/>
      <c r="KK223" s="206">
        <v>806</v>
      </c>
      <c r="KL223" s="120"/>
      <c r="KM223" s="205"/>
      <c r="KN223" s="205"/>
      <c r="KO223" s="205">
        <f t="shared" si="2069"/>
        <v>806</v>
      </c>
      <c r="KP223" s="120"/>
      <c r="KQ223" s="120"/>
      <c r="KR223" s="120"/>
      <c r="KS223" s="120"/>
      <c r="KT223" s="120"/>
      <c r="KU223" s="205"/>
      <c r="KV223" s="205"/>
      <c r="KW223" s="205">
        <f t="shared" si="2070"/>
        <v>0</v>
      </c>
      <c r="KX223" s="120"/>
      <c r="KY223" s="120"/>
      <c r="KZ223" s="120"/>
      <c r="LA223" s="120"/>
      <c r="LB223" s="120"/>
      <c r="LC223" s="205"/>
      <c r="LD223" s="205"/>
      <c r="LE223" s="205">
        <f t="shared" si="2071"/>
        <v>0</v>
      </c>
      <c r="LF223" s="205"/>
      <c r="LG223" s="120"/>
      <c r="LH223" s="120"/>
      <c r="LI223" s="120"/>
      <c r="LJ223" s="120"/>
      <c r="LK223" s="205"/>
      <c r="LL223" s="205"/>
      <c r="LM223" s="205">
        <f t="shared" si="2072"/>
        <v>0</v>
      </c>
      <c r="LN223" s="205">
        <f t="shared" si="2073"/>
        <v>806</v>
      </c>
      <c r="LO223" s="205"/>
      <c r="LP223" s="120"/>
      <c r="LQ223" s="120"/>
      <c r="LR223" s="120"/>
      <c r="LS223" s="205"/>
      <c r="LT223" s="205"/>
      <c r="LU223" s="205"/>
      <c r="LV223" s="205">
        <f t="shared" si="2074"/>
        <v>0</v>
      </c>
      <c r="LW223" s="120"/>
      <c r="LX223" s="120"/>
      <c r="LY223" s="124">
        <v>366</v>
      </c>
      <c r="LZ223" s="120"/>
      <c r="MA223" s="120"/>
      <c r="MB223" s="205"/>
      <c r="MC223" s="205"/>
      <c r="MD223" s="205">
        <f t="shared" si="2075"/>
        <v>366</v>
      </c>
      <c r="ME223" s="120"/>
      <c r="MF223" s="120"/>
      <c r="MG223" s="120"/>
      <c r="MH223" s="201">
        <v>1106</v>
      </c>
      <c r="MI223" s="205"/>
      <c r="MJ223" s="205"/>
      <c r="MK223" s="205"/>
      <c r="ML223" s="205">
        <f t="shared" si="2076"/>
        <v>1106</v>
      </c>
      <c r="MM223" s="120" t="s">
        <v>712</v>
      </c>
      <c r="MN223" s="120"/>
      <c r="MO223" s="120"/>
      <c r="MP223" s="120"/>
      <c r="MQ223" s="120"/>
      <c r="MR223" s="205"/>
      <c r="MS223" s="205"/>
      <c r="MT223" s="205">
        <f t="shared" si="2077"/>
        <v>0</v>
      </c>
      <c r="MU223" s="205">
        <f t="shared" si="2078"/>
        <v>1472</v>
      </c>
      <c r="MV223" s="120"/>
      <c r="MW223" s="120"/>
      <c r="MX223" s="195">
        <v>2006</v>
      </c>
      <c r="MY223" s="120"/>
      <c r="MZ223" s="120"/>
      <c r="NA223" s="205"/>
      <c r="NB223" s="205"/>
      <c r="NC223" s="205">
        <f t="shared" si="2079"/>
        <v>2006</v>
      </c>
      <c r="ND223" s="120"/>
      <c r="NE223" s="120"/>
      <c r="NF223" s="120"/>
      <c r="NG223" s="120"/>
      <c r="NH223" s="120"/>
      <c r="NI223" s="205"/>
      <c r="NJ223" s="205"/>
      <c r="NK223" s="205">
        <f t="shared" si="2080"/>
        <v>0</v>
      </c>
      <c r="NL223" s="120"/>
      <c r="NM223" s="120"/>
      <c r="NN223" s="120"/>
      <c r="NO223" s="120"/>
      <c r="NP223" s="120"/>
      <c r="NQ223" s="205"/>
      <c r="NR223" s="205"/>
      <c r="NS223" s="205">
        <f t="shared" si="2081"/>
        <v>0</v>
      </c>
      <c r="NT223" s="217">
        <v>1006</v>
      </c>
      <c r="NU223" s="120"/>
      <c r="NV223" s="120"/>
      <c r="NW223" s="120"/>
      <c r="NX223" s="120"/>
      <c r="NY223" s="205"/>
      <c r="NZ223" s="205"/>
      <c r="OA223" s="205">
        <f t="shared" si="2082"/>
        <v>1006</v>
      </c>
      <c r="OB223" s="205">
        <f t="shared" si="2083"/>
        <v>3012</v>
      </c>
      <c r="OC223" s="120"/>
      <c r="OD223" s="120"/>
      <c r="OE223" s="120"/>
      <c r="OF223" s="120"/>
      <c r="OG223" s="120"/>
      <c r="OH223" s="205"/>
      <c r="OI223" s="205"/>
      <c r="OJ223" s="205">
        <f t="shared" si="2084"/>
        <v>0</v>
      </c>
      <c r="OK223" s="120"/>
      <c r="OL223" s="120"/>
      <c r="OM223" s="120"/>
      <c r="ON223" s="120"/>
      <c r="OO223" s="120"/>
      <c r="OP223" s="205"/>
      <c r="OQ223" s="205"/>
      <c r="OR223" s="205">
        <f t="shared" si="2085"/>
        <v>0</v>
      </c>
      <c r="OS223" s="120"/>
      <c r="OT223" s="120"/>
      <c r="OU223" s="120"/>
      <c r="OV223" s="120"/>
      <c r="OW223" s="120"/>
      <c r="OX223" s="205"/>
      <c r="OY223" s="205"/>
      <c r="OZ223" s="205">
        <f t="shared" si="2086"/>
        <v>0</v>
      </c>
      <c r="PA223" s="120"/>
      <c r="PB223" s="120"/>
      <c r="PC223" s="120"/>
      <c r="PD223" s="205"/>
      <c r="PE223" s="217"/>
      <c r="PF223" s="205"/>
      <c r="PG223" s="205"/>
      <c r="PH223" s="205">
        <f t="shared" si="2087"/>
        <v>0</v>
      </c>
      <c r="PI223" s="120"/>
      <c r="PJ223" s="120"/>
      <c r="PK223" s="120"/>
      <c r="PL223" s="205"/>
      <c r="PM223" s="217"/>
      <c r="PN223" s="205"/>
      <c r="PO223" s="205"/>
      <c r="PP223" s="205">
        <f t="shared" si="2088"/>
        <v>0</v>
      </c>
      <c r="PQ223" s="205">
        <f t="shared" si="2089"/>
        <v>0</v>
      </c>
      <c r="PR223" s="120"/>
      <c r="PS223" s="207"/>
      <c r="PT223" s="207"/>
      <c r="PU223" s="207"/>
      <c r="PV223" s="207"/>
      <c r="PW223" s="272"/>
      <c r="PX223" s="272"/>
      <c r="PY223" s="205">
        <f t="shared" si="2090"/>
        <v>0</v>
      </c>
      <c r="PZ223" s="207"/>
      <c r="QA223" s="207"/>
      <c r="QB223" s="207"/>
      <c r="QC223" s="207"/>
      <c r="QD223" s="207"/>
      <c r="QE223" s="272"/>
      <c r="QF223" s="272"/>
      <c r="QG223" s="205">
        <f t="shared" si="2091"/>
        <v>0</v>
      </c>
      <c r="QH223" s="207"/>
      <c r="QI223" s="207"/>
      <c r="QJ223" s="294"/>
      <c r="QK223" s="207"/>
      <c r="QL223" s="207"/>
      <c r="QM223" s="272"/>
      <c r="QN223" s="272"/>
      <c r="QO223" s="205">
        <f t="shared" si="2092"/>
        <v>0</v>
      </c>
      <c r="QP223" s="304"/>
      <c r="QQ223" s="120"/>
      <c r="QR223" s="207"/>
      <c r="QS223" s="217">
        <v>800</v>
      </c>
      <c r="QT223" s="207"/>
      <c r="QU223" s="272"/>
      <c r="QV223" s="272"/>
      <c r="QW223" s="205">
        <f t="shared" si="2093"/>
        <v>800</v>
      </c>
      <c r="QX223" s="205">
        <f t="shared" si="2094"/>
        <v>800</v>
      </c>
      <c r="QY223" s="207"/>
      <c r="QZ223" s="207"/>
      <c r="RA223" s="207"/>
      <c r="RB223" s="308"/>
      <c r="RC223" s="207"/>
      <c r="RD223" s="272"/>
      <c r="RE223" s="272"/>
      <c r="RF223" s="205">
        <f t="shared" si="2148"/>
        <v>0</v>
      </c>
      <c r="RG223" s="207"/>
      <c r="RH223" s="207"/>
      <c r="RI223" s="207"/>
      <c r="RJ223" s="207"/>
      <c r="RK223" s="207"/>
      <c r="RL223" s="272"/>
      <c r="RM223" s="272"/>
      <c r="RN223" s="205">
        <f t="shared" si="2096"/>
        <v>0</v>
      </c>
      <c r="RO223" s="272"/>
      <c r="RP223" s="272"/>
      <c r="RQ223" s="272"/>
      <c r="RR223" s="272"/>
      <c r="RS223" s="272"/>
      <c r="RT223" s="272"/>
      <c r="RU223" s="272"/>
      <c r="RV223" s="205">
        <f t="shared" si="2097"/>
        <v>0</v>
      </c>
      <c r="RW223" s="207"/>
      <c r="RX223" s="207"/>
      <c r="RY223" s="207"/>
      <c r="RZ223" s="207"/>
      <c r="SA223" s="272"/>
      <c r="SB223" s="272"/>
      <c r="SC223" s="272"/>
      <c r="SD223" s="205">
        <f t="shared" si="2098"/>
        <v>0</v>
      </c>
      <c r="SE223" s="205">
        <f t="shared" si="2099"/>
        <v>0</v>
      </c>
      <c r="SF223" s="124">
        <v>2000</v>
      </c>
      <c r="SG223" s="207"/>
      <c r="SH223" s="207"/>
      <c r="SI223" s="207"/>
      <c r="SJ223" s="207"/>
      <c r="SK223" s="272"/>
      <c r="SL223" s="272"/>
      <c r="SM223" s="205">
        <f t="shared" si="2100"/>
        <v>2000</v>
      </c>
      <c r="SN223" s="207"/>
      <c r="SO223" s="207"/>
      <c r="SP223" s="207"/>
      <c r="SQ223" s="207"/>
      <c r="SR223" s="207"/>
      <c r="SS223" s="272"/>
      <c r="ST223" s="272"/>
      <c r="SU223" s="205">
        <f t="shared" si="2101"/>
        <v>0</v>
      </c>
      <c r="SV223" s="207"/>
      <c r="SW223" s="207"/>
      <c r="SX223" s="207"/>
      <c r="SY223" s="207"/>
      <c r="SZ223" s="207"/>
      <c r="TA223" s="272"/>
      <c r="TB223" s="272"/>
      <c r="TC223" s="205">
        <f t="shared" si="2102"/>
        <v>0</v>
      </c>
      <c r="TD223" s="207"/>
      <c r="TE223" s="207"/>
      <c r="TF223" s="207"/>
      <c r="TG223" s="207"/>
      <c r="TH223" s="207"/>
      <c r="TI223" s="272"/>
      <c r="TJ223" s="272"/>
      <c r="TK223" s="205">
        <f t="shared" si="2142"/>
        <v>0</v>
      </c>
      <c r="TL223" s="140"/>
      <c r="TM223" s="140"/>
      <c r="TN223" s="140"/>
      <c r="TO223" s="140"/>
      <c r="TP223" s="370"/>
      <c r="TQ223" s="272"/>
      <c r="TR223" s="272"/>
      <c r="TS223" s="205">
        <f t="shared" ref="TS223:TS224" si="2151">SUM(TL223:TR223)</f>
        <v>0</v>
      </c>
      <c r="TT223" s="205">
        <f>SUM(TL223:TM223,TK223,TC223,SU223,SM223,SC223)</f>
        <v>2000</v>
      </c>
      <c r="TU223" s="272"/>
      <c r="TV223" s="207"/>
      <c r="TW223" s="207"/>
      <c r="TX223" s="207"/>
      <c r="TY223" s="207"/>
      <c r="TZ223" s="272"/>
      <c r="UA223" s="272"/>
      <c r="UB223" s="205">
        <f t="shared" si="2012"/>
        <v>0</v>
      </c>
      <c r="UC223" s="207"/>
      <c r="UD223" s="207"/>
      <c r="UE223" s="120"/>
      <c r="UF223" s="120"/>
      <c r="UG223" s="207"/>
      <c r="UH223" s="272"/>
      <c r="UI223" s="272"/>
      <c r="UJ223" s="205">
        <f t="shared" si="2013"/>
        <v>0</v>
      </c>
      <c r="UK223" s="207"/>
      <c r="UL223" s="356"/>
      <c r="UM223" s="207"/>
      <c r="UN223" s="120"/>
      <c r="UO223" s="207"/>
      <c r="UP223" s="272"/>
      <c r="UQ223" s="272"/>
      <c r="UR223" s="205">
        <f t="shared" si="2014"/>
        <v>0</v>
      </c>
      <c r="US223" s="207"/>
      <c r="UT223" s="207"/>
      <c r="UU223" s="207"/>
      <c r="UV223" s="207"/>
      <c r="UW223" s="272"/>
      <c r="UX223" s="272"/>
      <c r="UY223" s="272"/>
      <c r="UZ223" s="205">
        <f>SUM(UT223:UY223)</f>
        <v>0</v>
      </c>
      <c r="VA223" s="205">
        <f>SUM(TN223:TR223,UB223,UJ223,UR223,UT223:UV223)</f>
        <v>0</v>
      </c>
      <c r="VB223" s="207"/>
      <c r="VC223" s="120"/>
      <c r="VD223" s="207"/>
      <c r="VE223" s="207"/>
      <c r="VF223" s="207"/>
      <c r="VG223" s="272"/>
      <c r="VH223" s="272"/>
      <c r="VI223" s="205">
        <f t="shared" si="2005"/>
        <v>0</v>
      </c>
      <c r="VJ223" s="390" t="s">
        <v>954</v>
      </c>
      <c r="VK223" s="207"/>
      <c r="VL223" s="201">
        <v>2000</v>
      </c>
      <c r="VM223" s="207"/>
      <c r="VN223" s="207"/>
      <c r="VO223" s="205"/>
      <c r="VP223" s="205"/>
      <c r="VQ223" s="205">
        <f t="shared" si="2015"/>
        <v>2000</v>
      </c>
      <c r="VR223" s="207"/>
      <c r="VS223" s="207"/>
      <c r="VT223" s="207"/>
      <c r="VU223" s="207"/>
      <c r="VV223" s="207"/>
      <c r="VW223" s="272"/>
      <c r="VX223" s="272"/>
      <c r="VY223" s="205">
        <f t="shared" si="2006"/>
        <v>0</v>
      </c>
      <c r="VZ223" s="207"/>
      <c r="WA223" s="207"/>
      <c r="WB223" s="207"/>
      <c r="WC223" s="207"/>
      <c r="WD223" s="207"/>
      <c r="WE223" s="272"/>
      <c r="WF223" s="272"/>
      <c r="WG223" s="205">
        <f t="shared" si="2007"/>
        <v>0</v>
      </c>
      <c r="WH223" s="205">
        <f t="shared" si="2008"/>
        <v>2000</v>
      </c>
      <c r="WI223" s="207"/>
      <c r="WJ223" s="207"/>
      <c r="WK223" s="207"/>
      <c r="WL223" s="387"/>
      <c r="WM223" s="207"/>
      <c r="WN223" s="272"/>
      <c r="WO223" s="272"/>
      <c r="WP223" s="205">
        <f t="shared" si="2016"/>
        <v>0</v>
      </c>
      <c r="WQ223" s="356"/>
      <c r="WR223" s="356"/>
      <c r="WS223" s="356"/>
      <c r="WT223" s="207"/>
      <c r="WU223" s="392">
        <v>90</v>
      </c>
      <c r="WV223" s="272"/>
      <c r="WW223" s="272"/>
      <c r="WX223" s="205">
        <f t="shared" si="2017"/>
        <v>90</v>
      </c>
      <c r="WY223" s="207"/>
      <c r="WZ223" s="124">
        <v>1000</v>
      </c>
      <c r="XA223" s="207"/>
      <c r="XB223" s="207"/>
      <c r="XC223" s="272"/>
      <c r="XD223" s="272"/>
      <c r="XE223" s="272"/>
      <c r="XF223" s="205">
        <f t="shared" si="2009"/>
        <v>1000</v>
      </c>
      <c r="XG223" s="207"/>
      <c r="XH223" s="207"/>
      <c r="XI223" s="207"/>
      <c r="XJ223" s="207"/>
      <c r="XK223" s="207"/>
      <c r="XL223" s="272"/>
      <c r="XM223" s="272"/>
      <c r="XN223" s="205">
        <f t="shared" si="2105"/>
        <v>0</v>
      </c>
      <c r="XO223" s="207"/>
      <c r="XP223" s="207"/>
      <c r="XQ223" s="120"/>
      <c r="XR223" s="207"/>
      <c r="XS223" s="207"/>
      <c r="XT223" s="272"/>
      <c r="XU223" s="272"/>
      <c r="XV223" s="205">
        <f t="shared" si="2137"/>
        <v>0</v>
      </c>
      <c r="XW223" s="205">
        <f t="shared" si="2138"/>
        <v>1090</v>
      </c>
      <c r="XX223" s="207"/>
      <c r="XY223" s="207"/>
      <c r="XZ223" s="207"/>
      <c r="YA223" s="207"/>
      <c r="YB223" s="207"/>
      <c r="YC223" s="272"/>
      <c r="YD223" s="272"/>
      <c r="YE223" s="205">
        <f t="shared" si="2018"/>
        <v>0</v>
      </c>
      <c r="YF223" s="207"/>
      <c r="YG223" s="207"/>
      <c r="YH223" s="207"/>
      <c r="YI223" s="207"/>
      <c r="YJ223" s="207"/>
      <c r="YK223" s="272"/>
      <c r="YL223" s="272"/>
      <c r="YM223" s="205">
        <f t="shared" si="2019"/>
        <v>0</v>
      </c>
      <c r="YN223" s="207"/>
      <c r="YO223" s="207"/>
      <c r="YP223" s="207"/>
      <c r="YQ223" s="207"/>
      <c r="YR223" s="207"/>
      <c r="YS223" s="272"/>
      <c r="YT223" s="272"/>
      <c r="YU223" s="205">
        <f t="shared" si="2020"/>
        <v>0</v>
      </c>
      <c r="YV223" s="207"/>
      <c r="YW223" s="207"/>
      <c r="YX223" s="207"/>
      <c r="YY223" s="207"/>
      <c r="YZ223" s="207"/>
      <c r="ZA223" s="272"/>
      <c r="ZB223" s="272"/>
      <c r="ZC223" s="205">
        <f t="shared" si="2021"/>
        <v>0</v>
      </c>
      <c r="ZD223" s="205">
        <f t="shared" si="2022"/>
        <v>1090</v>
      </c>
      <c r="ZE223" s="207"/>
      <c r="ZF223" s="207"/>
      <c r="ZG223" s="207"/>
      <c r="ZH223" s="207"/>
      <c r="ZI223" s="207"/>
      <c r="ZJ223" s="272"/>
      <c r="ZK223" s="272"/>
      <c r="ZL223" s="205">
        <f t="shared" si="2023"/>
        <v>0</v>
      </c>
      <c r="ZM223" s="207"/>
      <c r="ZN223" s="207"/>
      <c r="ZO223" s="207"/>
      <c r="ZP223" s="207"/>
      <c r="ZQ223" s="207"/>
      <c r="ZR223" s="272"/>
      <c r="ZS223" s="272"/>
      <c r="ZT223" s="205">
        <f t="shared" si="2010"/>
        <v>0</v>
      </c>
      <c r="ZU223" s="207"/>
      <c r="ZV223" s="207"/>
      <c r="ZW223" s="207"/>
      <c r="ZX223" s="207"/>
      <c r="ZY223" s="207"/>
      <c r="ZZ223" s="272"/>
      <c r="AAA223" s="272"/>
      <c r="AAB223" s="205">
        <f t="shared" si="2024"/>
        <v>0</v>
      </c>
      <c r="AAC223" s="207"/>
      <c r="AAD223" s="207"/>
      <c r="AAE223" s="207"/>
      <c r="AAF223" s="207"/>
      <c r="AAG223" s="207"/>
      <c r="AAH223" s="272"/>
      <c r="AAI223" s="272"/>
      <c r="AAJ223" s="205">
        <f t="shared" si="2011"/>
        <v>0</v>
      </c>
      <c r="AAK223" s="207"/>
      <c r="AAL223" s="207"/>
      <c r="AAM223" s="207"/>
      <c r="AAN223" s="207"/>
      <c r="AAO223" s="207"/>
      <c r="AAP223" s="272"/>
      <c r="AAQ223" s="272"/>
      <c r="AAR223" s="205">
        <f t="shared" si="2025"/>
        <v>0</v>
      </c>
      <c r="AAS223" s="205">
        <f t="shared" si="2026"/>
        <v>0</v>
      </c>
    </row>
    <row r="224" spans="1:721" ht="74.099999999999994" customHeight="1">
      <c r="A224" s="117">
        <v>10</v>
      </c>
      <c r="B224" s="313" t="s">
        <v>907</v>
      </c>
      <c r="C224" s="362" t="s">
        <v>880</v>
      </c>
      <c r="D224" s="315" t="s">
        <v>845</v>
      </c>
      <c r="E224" s="130" t="s">
        <v>4</v>
      </c>
      <c r="F224" s="120"/>
      <c r="G224" s="120"/>
      <c r="H224" s="120"/>
      <c r="I224" s="120"/>
      <c r="J224" s="120"/>
      <c r="K224" s="209"/>
      <c r="L224" s="205"/>
      <c r="M224" s="205">
        <f t="shared" si="2108"/>
        <v>0</v>
      </c>
      <c r="N224" s="120"/>
      <c r="O224" s="120"/>
      <c r="P224" s="120"/>
      <c r="Q224" s="120"/>
      <c r="R224" s="120"/>
      <c r="S224" s="209"/>
      <c r="T224" s="205"/>
      <c r="U224" s="205">
        <f t="shared" si="2028"/>
        <v>0</v>
      </c>
      <c r="V224" s="120"/>
      <c r="W224" s="120"/>
      <c r="X224" s="120"/>
      <c r="Y224" s="120"/>
      <c r="Z224" s="120"/>
      <c r="AA224" s="209"/>
      <c r="AB224" s="205"/>
      <c r="AC224" s="205">
        <f t="shared" si="2029"/>
        <v>0</v>
      </c>
      <c r="AD224" s="205"/>
      <c r="AE224" s="205"/>
      <c r="AF224" s="205"/>
      <c r="AG224" s="205"/>
      <c r="AH224" s="205"/>
      <c r="AI224" s="209"/>
      <c r="AJ224" s="205"/>
      <c r="AK224" s="205">
        <f t="shared" si="2030"/>
        <v>0</v>
      </c>
      <c r="AL224" s="205" t="e">
        <f>SUM(#REF!,M224,U224,AC224,AD224:AH224)</f>
        <v>#REF!</v>
      </c>
      <c r="AM224" s="120"/>
      <c r="AN224" s="120"/>
      <c r="AO224" s="120"/>
      <c r="AP224" s="120"/>
      <c r="AQ224" s="120"/>
      <c r="AR224" s="209"/>
      <c r="AS224" s="205"/>
      <c r="AT224" s="205">
        <f t="shared" si="2031"/>
        <v>0</v>
      </c>
      <c r="AU224" s="120"/>
      <c r="AV224" s="120"/>
      <c r="AW224" s="120"/>
      <c r="AX224" s="120"/>
      <c r="AY224" s="120"/>
      <c r="AZ224" s="209"/>
      <c r="BA224" s="205"/>
      <c r="BB224" s="205">
        <f t="shared" si="2032"/>
        <v>0</v>
      </c>
      <c r="BC224" s="120"/>
      <c r="BD224" s="120"/>
      <c r="BE224" s="120"/>
      <c r="BF224" s="120"/>
      <c r="BG224" s="120"/>
      <c r="BH224" s="209"/>
      <c r="BI224" s="205"/>
      <c r="BJ224" s="205">
        <f t="shared" si="2033"/>
        <v>0</v>
      </c>
      <c r="BK224" s="120"/>
      <c r="BL224" s="120"/>
      <c r="BM224" s="217">
        <v>3107</v>
      </c>
      <c r="BN224" s="120"/>
      <c r="BO224" s="205"/>
      <c r="BP224" s="209"/>
      <c r="BQ224" s="205"/>
      <c r="BR224" s="205">
        <f t="shared" si="2034"/>
        <v>3107</v>
      </c>
      <c r="BS224" s="205">
        <f t="shared" si="2035"/>
        <v>3107</v>
      </c>
      <c r="BT224" s="120"/>
      <c r="BU224" s="250">
        <v>707</v>
      </c>
      <c r="BV224" s="120"/>
      <c r="BW224" s="120"/>
      <c r="BX224" s="120"/>
      <c r="BY224" s="209"/>
      <c r="BZ224" s="205"/>
      <c r="CA224" s="205">
        <f t="shared" si="2036"/>
        <v>707</v>
      </c>
      <c r="CB224" s="120"/>
      <c r="CC224" s="120"/>
      <c r="CD224" s="120"/>
      <c r="CE224" s="120"/>
      <c r="CF224" s="120"/>
      <c r="CG224" s="209"/>
      <c r="CH224" s="205"/>
      <c r="CI224" s="205">
        <f t="shared" si="2037"/>
        <v>0</v>
      </c>
      <c r="CJ224" s="120"/>
      <c r="CK224" s="120"/>
      <c r="CL224" s="250">
        <v>1207</v>
      </c>
      <c r="CM224" s="120"/>
      <c r="CN224" s="120"/>
      <c r="CO224" s="209"/>
      <c r="CP224" s="205"/>
      <c r="CQ224" s="205">
        <f t="shared" si="2038"/>
        <v>1207</v>
      </c>
      <c r="CR224" s="120" t="s">
        <v>216</v>
      </c>
      <c r="CS224" s="120"/>
      <c r="CT224" s="120"/>
      <c r="CU224" s="120"/>
      <c r="CV224" s="120"/>
      <c r="CW224" s="209"/>
      <c r="CX224" s="205"/>
      <c r="CY224" s="205">
        <f t="shared" si="2039"/>
        <v>0</v>
      </c>
      <c r="CZ224" s="120"/>
      <c r="DA224" s="120"/>
      <c r="DB224" s="120"/>
      <c r="DC224" s="205"/>
      <c r="DD224" s="205"/>
      <c r="DE224" s="209"/>
      <c r="DF224" s="205"/>
      <c r="DG224" s="205">
        <f t="shared" si="2040"/>
        <v>0</v>
      </c>
      <c r="DH224" s="205">
        <f t="shared" si="2041"/>
        <v>1914</v>
      </c>
      <c r="DI224" s="120"/>
      <c r="DJ224" s="120"/>
      <c r="DK224" s="120"/>
      <c r="DL224" s="120"/>
      <c r="DM224" s="120"/>
      <c r="DN224" s="209"/>
      <c r="DO224" s="205"/>
      <c r="DP224" s="205">
        <f t="shared" si="2042"/>
        <v>0</v>
      </c>
      <c r="DQ224" s="217">
        <v>657</v>
      </c>
      <c r="DR224" s="120"/>
      <c r="DS224" s="120"/>
      <c r="DT224" s="120"/>
      <c r="DU224" s="120"/>
      <c r="DV224" s="209"/>
      <c r="DW224" s="205"/>
      <c r="DX224" s="205">
        <f t="shared" si="2043"/>
        <v>657</v>
      </c>
      <c r="DY224" s="120"/>
      <c r="DZ224" s="120"/>
      <c r="EA224" s="120"/>
      <c r="EB224" s="120"/>
      <c r="EC224" s="120"/>
      <c r="ED224" s="209"/>
      <c r="EE224" s="205"/>
      <c r="EF224" s="205">
        <f t="shared" si="2044"/>
        <v>0</v>
      </c>
      <c r="EG224" s="120"/>
      <c r="EH224" s="120"/>
      <c r="EI224" s="120"/>
      <c r="EJ224" s="205"/>
      <c r="EK224" s="205"/>
      <c r="EL224" s="209"/>
      <c r="EM224" s="205"/>
      <c r="EN224" s="205">
        <f t="shared" si="2045"/>
        <v>0</v>
      </c>
      <c r="EO224" s="205">
        <f t="shared" si="2046"/>
        <v>657</v>
      </c>
      <c r="EP224" s="120"/>
      <c r="EQ224" s="250">
        <v>507</v>
      </c>
      <c r="ER224" s="120"/>
      <c r="ES224" s="120"/>
      <c r="ET224" s="120"/>
      <c r="EU224" s="209"/>
      <c r="EV224" s="205"/>
      <c r="EW224" s="205">
        <f t="shared" si="2047"/>
        <v>507</v>
      </c>
      <c r="EX224" s="120"/>
      <c r="EY224" s="120"/>
      <c r="EZ224" s="120"/>
      <c r="FA224" s="120"/>
      <c r="FB224" s="120"/>
      <c r="FC224" s="209"/>
      <c r="FD224" s="205"/>
      <c r="FE224" s="205">
        <f t="shared" si="2048"/>
        <v>0</v>
      </c>
      <c r="FF224" s="120"/>
      <c r="FG224" s="195">
        <v>507</v>
      </c>
      <c r="FH224" s="120"/>
      <c r="FI224" s="120"/>
      <c r="FJ224" s="120"/>
      <c r="FK224" s="209"/>
      <c r="FL224" s="205"/>
      <c r="FM224" s="205">
        <f t="shared" si="2049"/>
        <v>507</v>
      </c>
      <c r="FN224" s="120"/>
      <c r="FO224" s="120"/>
      <c r="FP224" s="120"/>
      <c r="FQ224" s="120"/>
      <c r="FR224" s="205"/>
      <c r="FS224" s="209"/>
      <c r="FT224" s="205"/>
      <c r="FU224" s="205">
        <f t="shared" si="2050"/>
        <v>0</v>
      </c>
      <c r="FV224" s="205">
        <f t="shared" si="2051"/>
        <v>1014</v>
      </c>
      <c r="FW224" s="120"/>
      <c r="FX224" s="120"/>
      <c r="FY224" s="120"/>
      <c r="FZ224" s="120"/>
      <c r="GA224" s="120"/>
      <c r="GB224" s="209"/>
      <c r="GC224" s="205"/>
      <c r="GD224" s="205">
        <f t="shared" si="2052"/>
        <v>0</v>
      </c>
      <c r="GE224" s="120"/>
      <c r="GF224" s="120"/>
      <c r="GG224" s="120"/>
      <c r="GH224" s="120"/>
      <c r="GI224" s="120"/>
      <c r="GJ224" s="209"/>
      <c r="GK224" s="205"/>
      <c r="GL224" s="205">
        <f t="shared" si="2053"/>
        <v>0</v>
      </c>
      <c r="GM224" s="120"/>
      <c r="GN224" s="120"/>
      <c r="GO224" s="120"/>
      <c r="GP224" s="120"/>
      <c r="GQ224" s="120"/>
      <c r="GR224" s="209"/>
      <c r="GS224" s="205"/>
      <c r="GT224" s="205">
        <f t="shared" si="2054"/>
        <v>0</v>
      </c>
      <c r="GU224" s="120"/>
      <c r="GV224" s="120"/>
      <c r="GW224" s="120"/>
      <c r="GX224" s="120"/>
      <c r="GY224" s="120"/>
      <c r="GZ224" s="209"/>
      <c r="HA224" s="205"/>
      <c r="HB224" s="205">
        <f t="shared" si="2055"/>
        <v>0</v>
      </c>
      <c r="HC224" s="120"/>
      <c r="HD224" s="120"/>
      <c r="HE224" s="120"/>
      <c r="HF224" s="120"/>
      <c r="HG224" s="120"/>
      <c r="HH224" s="209"/>
      <c r="HI224" s="205"/>
      <c r="HJ224" s="205">
        <f t="shared" si="2056"/>
        <v>0</v>
      </c>
      <c r="HK224" s="205">
        <f t="shared" si="2057"/>
        <v>0</v>
      </c>
      <c r="HL224" s="124"/>
      <c r="HM224" s="120"/>
      <c r="HN224" s="120"/>
      <c r="HO224" s="123">
        <v>1757</v>
      </c>
      <c r="HP224" s="120"/>
      <c r="HQ224" s="205"/>
      <c r="HR224" s="205"/>
      <c r="HS224" s="205">
        <f t="shared" si="2058"/>
        <v>1757</v>
      </c>
      <c r="HT224" s="120"/>
      <c r="HU224" s="120"/>
      <c r="HV224" s="120"/>
      <c r="HW224" s="120"/>
      <c r="HX224" s="120"/>
      <c r="HY224" s="205"/>
      <c r="HZ224" s="205"/>
      <c r="IA224" s="205">
        <f t="shared" si="2059"/>
        <v>0</v>
      </c>
      <c r="IB224" s="120"/>
      <c r="IC224" s="120"/>
      <c r="ID224" s="120"/>
      <c r="IE224" s="120"/>
      <c r="IF224" s="120"/>
      <c r="IG224" s="205"/>
      <c r="IH224" s="205"/>
      <c r="II224" s="205">
        <f t="shared" si="2060"/>
        <v>0</v>
      </c>
      <c r="IJ224" s="120"/>
      <c r="IK224" s="120"/>
      <c r="IL224" s="201">
        <v>1807</v>
      </c>
      <c r="IM224" s="120"/>
      <c r="IN224" s="120"/>
      <c r="IO224" s="205"/>
      <c r="IP224" s="205"/>
      <c r="IQ224" s="205">
        <f t="shared" si="2061"/>
        <v>1807</v>
      </c>
      <c r="IR224" s="205">
        <f t="shared" si="2062"/>
        <v>3564</v>
      </c>
      <c r="IS224" s="120"/>
      <c r="IT224" s="120"/>
      <c r="IU224" s="120"/>
      <c r="IV224" s="120"/>
      <c r="IW224" s="120"/>
      <c r="IX224" s="205"/>
      <c r="IY224" s="205"/>
      <c r="IZ224" s="205">
        <f t="shared" si="2063"/>
        <v>0</v>
      </c>
      <c r="JA224" s="120"/>
      <c r="JB224" s="120"/>
      <c r="JC224" s="120"/>
      <c r="JD224" s="120"/>
      <c r="JE224" s="120"/>
      <c r="JF224" s="205"/>
      <c r="JG224" s="205"/>
      <c r="JH224" s="205">
        <f t="shared" si="2064"/>
        <v>0</v>
      </c>
      <c r="JI224" s="120"/>
      <c r="JJ224" s="120"/>
      <c r="JK224" s="120"/>
      <c r="JL224" s="120"/>
      <c r="JM224" s="120"/>
      <c r="JN224" s="205"/>
      <c r="JO224" s="205"/>
      <c r="JP224" s="205">
        <f t="shared" si="2065"/>
        <v>0</v>
      </c>
      <c r="JQ224" s="120"/>
      <c r="JR224" s="120"/>
      <c r="JS224" s="120"/>
      <c r="JT224" s="120"/>
      <c r="JU224" s="120"/>
      <c r="JV224" s="205"/>
      <c r="JW224" s="205"/>
      <c r="JX224" s="205">
        <f t="shared" si="2066"/>
        <v>0</v>
      </c>
      <c r="JY224" s="205">
        <f t="shared" si="2067"/>
        <v>0</v>
      </c>
      <c r="JZ224" s="120"/>
      <c r="KA224" s="120"/>
      <c r="KB224" s="120"/>
      <c r="KC224" s="120"/>
      <c r="KD224" s="120"/>
      <c r="KE224" s="205"/>
      <c r="KF224" s="205"/>
      <c r="KG224" s="205">
        <f t="shared" si="2068"/>
        <v>0</v>
      </c>
      <c r="KH224" s="120"/>
      <c r="KI224" s="120"/>
      <c r="KJ224" s="120"/>
      <c r="KK224" s="206">
        <v>807</v>
      </c>
      <c r="KL224" s="120"/>
      <c r="KM224" s="205"/>
      <c r="KN224" s="205"/>
      <c r="KO224" s="205">
        <f t="shared" si="2069"/>
        <v>807</v>
      </c>
      <c r="KP224" s="120"/>
      <c r="KQ224" s="120"/>
      <c r="KR224" s="120"/>
      <c r="KS224" s="120"/>
      <c r="KT224" s="120"/>
      <c r="KU224" s="205"/>
      <c r="KV224" s="205"/>
      <c r="KW224" s="205">
        <f t="shared" si="2070"/>
        <v>0</v>
      </c>
      <c r="KX224" s="120"/>
      <c r="KY224" s="120"/>
      <c r="KZ224" s="120"/>
      <c r="LA224" s="120"/>
      <c r="LB224" s="120"/>
      <c r="LC224" s="205"/>
      <c r="LD224" s="205"/>
      <c r="LE224" s="205">
        <f t="shared" si="2071"/>
        <v>0</v>
      </c>
      <c r="LF224" s="205"/>
      <c r="LG224" s="120"/>
      <c r="LH224" s="120"/>
      <c r="LI224" s="120"/>
      <c r="LJ224" s="120"/>
      <c r="LK224" s="205"/>
      <c r="LL224" s="205"/>
      <c r="LM224" s="205">
        <f t="shared" si="2072"/>
        <v>0</v>
      </c>
      <c r="LN224" s="205">
        <f t="shared" si="2073"/>
        <v>807</v>
      </c>
      <c r="LO224" s="205"/>
      <c r="LP224" s="120"/>
      <c r="LQ224" s="120"/>
      <c r="LR224" s="120"/>
      <c r="LS224" s="205"/>
      <c r="LT224" s="205"/>
      <c r="LU224" s="205"/>
      <c r="LV224" s="205">
        <f t="shared" si="2074"/>
        <v>0</v>
      </c>
      <c r="LW224" s="120"/>
      <c r="LX224" s="120"/>
      <c r="LY224" s="124">
        <v>367</v>
      </c>
      <c r="LZ224" s="120"/>
      <c r="MA224" s="120"/>
      <c r="MB224" s="205"/>
      <c r="MC224" s="205"/>
      <c r="MD224" s="205">
        <f t="shared" si="2075"/>
        <v>367</v>
      </c>
      <c r="ME224" s="120"/>
      <c r="MF224" s="120"/>
      <c r="MG224" s="120"/>
      <c r="MH224" s="201">
        <v>1107</v>
      </c>
      <c r="MI224" s="205"/>
      <c r="MJ224" s="205"/>
      <c r="MK224" s="205"/>
      <c r="ML224" s="205">
        <f t="shared" si="2076"/>
        <v>1107</v>
      </c>
      <c r="MM224" s="120" t="s">
        <v>712</v>
      </c>
      <c r="MN224" s="120"/>
      <c r="MO224" s="120"/>
      <c r="MP224" s="120"/>
      <c r="MQ224" s="120"/>
      <c r="MR224" s="205"/>
      <c r="MS224" s="205"/>
      <c r="MT224" s="205">
        <f t="shared" si="2077"/>
        <v>0</v>
      </c>
      <c r="MU224" s="205">
        <f t="shared" si="2078"/>
        <v>1474</v>
      </c>
      <c r="MV224" s="120"/>
      <c r="MW224" s="120"/>
      <c r="MX224" s="195">
        <v>2007</v>
      </c>
      <c r="MY224" s="120"/>
      <c r="MZ224" s="120"/>
      <c r="NA224" s="205"/>
      <c r="NB224" s="205"/>
      <c r="NC224" s="205">
        <f t="shared" si="2079"/>
        <v>2007</v>
      </c>
      <c r="ND224" s="120"/>
      <c r="NE224" s="120"/>
      <c r="NF224" s="120"/>
      <c r="NG224" s="120"/>
      <c r="NH224" s="120"/>
      <c r="NI224" s="205"/>
      <c r="NJ224" s="205"/>
      <c r="NK224" s="205">
        <f t="shared" si="2080"/>
        <v>0</v>
      </c>
      <c r="NL224" s="120"/>
      <c r="NM224" s="120"/>
      <c r="NN224" s="120"/>
      <c r="NO224" s="120"/>
      <c r="NP224" s="120"/>
      <c r="NQ224" s="205"/>
      <c r="NR224" s="205"/>
      <c r="NS224" s="205">
        <f t="shared" si="2081"/>
        <v>0</v>
      </c>
      <c r="NT224" s="217">
        <v>1007</v>
      </c>
      <c r="NU224" s="120"/>
      <c r="NV224" s="120"/>
      <c r="NW224" s="120"/>
      <c r="NX224" s="120"/>
      <c r="NY224" s="205"/>
      <c r="NZ224" s="205"/>
      <c r="OA224" s="205">
        <f t="shared" si="2082"/>
        <v>1007</v>
      </c>
      <c r="OB224" s="205">
        <f t="shared" si="2083"/>
        <v>3014</v>
      </c>
      <c r="OC224" s="120"/>
      <c r="OD224" s="120"/>
      <c r="OE224" s="120"/>
      <c r="OF224" s="120"/>
      <c r="OG224" s="120"/>
      <c r="OH224" s="205"/>
      <c r="OI224" s="205"/>
      <c r="OJ224" s="205">
        <f t="shared" si="2084"/>
        <v>0</v>
      </c>
      <c r="OK224" s="120"/>
      <c r="OL224" s="120"/>
      <c r="OM224" s="120"/>
      <c r="ON224" s="120"/>
      <c r="OO224" s="120"/>
      <c r="OP224" s="205"/>
      <c r="OQ224" s="205"/>
      <c r="OR224" s="205">
        <f t="shared" si="2085"/>
        <v>0</v>
      </c>
      <c r="OS224" s="120"/>
      <c r="OT224" s="120"/>
      <c r="OU224" s="120"/>
      <c r="OV224" s="120"/>
      <c r="OW224" s="120"/>
      <c r="OX224" s="205"/>
      <c r="OY224" s="205"/>
      <c r="OZ224" s="205">
        <f t="shared" si="2086"/>
        <v>0</v>
      </c>
      <c r="PA224" s="120"/>
      <c r="PB224" s="120"/>
      <c r="PC224" s="120"/>
      <c r="PD224" s="205"/>
      <c r="PE224" s="217"/>
      <c r="PF224" s="205"/>
      <c r="PG224" s="205"/>
      <c r="PH224" s="205">
        <f t="shared" si="2087"/>
        <v>0</v>
      </c>
      <c r="PI224" s="120"/>
      <c r="PJ224" s="120"/>
      <c r="PK224" s="120"/>
      <c r="PL224" s="205"/>
      <c r="PM224" s="217"/>
      <c r="PN224" s="205"/>
      <c r="PO224" s="205"/>
      <c r="PP224" s="205">
        <f t="shared" si="2088"/>
        <v>0</v>
      </c>
      <c r="PQ224" s="205">
        <f t="shared" si="2089"/>
        <v>0</v>
      </c>
      <c r="PR224" s="120"/>
      <c r="PS224" s="207"/>
      <c r="PT224" s="207"/>
      <c r="PU224" s="207"/>
      <c r="PV224" s="207"/>
      <c r="PW224" s="272"/>
      <c r="PX224" s="272"/>
      <c r="PY224" s="205">
        <f t="shared" si="2090"/>
        <v>0</v>
      </c>
      <c r="PZ224" s="207"/>
      <c r="QA224" s="207"/>
      <c r="QB224" s="207"/>
      <c r="QC224" s="207"/>
      <c r="QD224" s="207"/>
      <c r="QE224" s="272"/>
      <c r="QF224" s="272"/>
      <c r="QG224" s="205">
        <f t="shared" si="2091"/>
        <v>0</v>
      </c>
      <c r="QH224" s="207"/>
      <c r="QI224" s="207"/>
      <c r="QJ224" s="294"/>
      <c r="QK224" s="207"/>
      <c r="QL224" s="207"/>
      <c r="QM224" s="272"/>
      <c r="QN224" s="272"/>
      <c r="QO224" s="205">
        <f t="shared" si="2092"/>
        <v>0</v>
      </c>
      <c r="QP224" s="207"/>
      <c r="QQ224" s="304"/>
      <c r="QR224" s="207"/>
      <c r="QS224" s="207"/>
      <c r="QT224" s="217">
        <v>800</v>
      </c>
      <c r="QU224" s="272"/>
      <c r="QV224" s="272"/>
      <c r="QW224" s="205">
        <f t="shared" si="2093"/>
        <v>800</v>
      </c>
      <c r="QX224" s="205">
        <f t="shared" si="2094"/>
        <v>800</v>
      </c>
      <c r="QY224" s="207"/>
      <c r="QZ224" s="207"/>
      <c r="RA224" s="207"/>
      <c r="RB224" s="207"/>
      <c r="RC224" s="308"/>
      <c r="RD224" s="272"/>
      <c r="RE224" s="272"/>
      <c r="RF224" s="205">
        <f t="shared" si="2148"/>
        <v>0</v>
      </c>
      <c r="RG224" s="207"/>
      <c r="RH224" s="207"/>
      <c r="RI224" s="207"/>
      <c r="RJ224" s="120"/>
      <c r="RK224" s="207"/>
      <c r="RL224" s="272"/>
      <c r="RM224" s="272"/>
      <c r="RN224" s="205">
        <f t="shared" si="2096"/>
        <v>0</v>
      </c>
      <c r="RO224" s="272"/>
      <c r="RP224" s="272"/>
      <c r="RQ224" s="272"/>
      <c r="RR224" s="272"/>
      <c r="RS224" s="272"/>
      <c r="RT224" s="272"/>
      <c r="RU224" s="272"/>
      <c r="RV224" s="205">
        <f t="shared" si="2097"/>
        <v>0</v>
      </c>
      <c r="RW224" s="207"/>
      <c r="RX224" s="207"/>
      <c r="RY224" s="207"/>
      <c r="RZ224" s="207"/>
      <c r="SA224" s="272"/>
      <c r="SB224" s="272"/>
      <c r="SC224" s="272"/>
      <c r="SD224" s="205">
        <f t="shared" si="2098"/>
        <v>0</v>
      </c>
      <c r="SE224" s="205">
        <f t="shared" si="2099"/>
        <v>0</v>
      </c>
      <c r="SF224" s="207"/>
      <c r="SG224" s="207"/>
      <c r="SH224" s="207"/>
      <c r="SI224" s="207"/>
      <c r="SJ224" s="207"/>
      <c r="SK224" s="272"/>
      <c r="SL224" s="272"/>
      <c r="SM224" s="205">
        <f t="shared" si="2100"/>
        <v>0</v>
      </c>
      <c r="SN224" s="207"/>
      <c r="SO224" s="207"/>
      <c r="SP224" s="207"/>
      <c r="SQ224" s="207"/>
      <c r="SR224" s="207"/>
      <c r="SS224" s="272"/>
      <c r="ST224" s="272"/>
      <c r="SU224" s="205">
        <f t="shared" si="2101"/>
        <v>0</v>
      </c>
      <c r="SV224" s="207"/>
      <c r="SW224" s="207"/>
      <c r="SX224" s="207"/>
      <c r="SY224" s="207"/>
      <c r="SZ224" s="207"/>
      <c r="TA224" s="272"/>
      <c r="TB224" s="272"/>
      <c r="TC224" s="205">
        <f t="shared" si="2102"/>
        <v>0</v>
      </c>
      <c r="TD224" s="207"/>
      <c r="TE224" s="207"/>
      <c r="TF224" s="207"/>
      <c r="TG224" s="207"/>
      <c r="TH224" s="207"/>
      <c r="TI224" s="272"/>
      <c r="TJ224" s="272"/>
      <c r="TK224" s="205">
        <f t="shared" si="2142"/>
        <v>0</v>
      </c>
      <c r="TL224" s="140"/>
      <c r="TM224" s="140"/>
      <c r="TO224" s="140"/>
      <c r="TP224" s="370"/>
      <c r="TQ224" s="272"/>
      <c r="TR224" s="272"/>
      <c r="TS224" s="205">
        <f t="shared" si="2151"/>
        <v>0</v>
      </c>
      <c r="TT224" s="205">
        <f t="shared" ref="TT224" si="2152">SUM(TL224:TM224,TK224,TC224,SU224,SM224,SC224)</f>
        <v>0</v>
      </c>
      <c r="TU224" s="272"/>
      <c r="TV224" s="207"/>
      <c r="TW224" s="207"/>
      <c r="TX224" s="207"/>
      <c r="TY224" s="207"/>
      <c r="TZ224" s="272"/>
      <c r="UA224" s="272"/>
      <c r="UB224" s="205">
        <f t="shared" si="2012"/>
        <v>0</v>
      </c>
      <c r="UC224" s="207"/>
      <c r="UD224" s="207"/>
      <c r="UE224" s="120"/>
      <c r="UF224" s="120"/>
      <c r="UG224" s="207"/>
      <c r="UH224" s="272"/>
      <c r="UI224" s="272"/>
      <c r="UJ224" s="205">
        <f t="shared" si="2013"/>
        <v>0</v>
      </c>
      <c r="UK224" s="207"/>
      <c r="UL224" s="207"/>
      <c r="UM224" s="356"/>
      <c r="UN224" s="207"/>
      <c r="UO224" s="120"/>
      <c r="UP224" s="272"/>
      <c r="UQ224" s="272"/>
      <c r="UR224" s="205">
        <f t="shared" si="2014"/>
        <v>0</v>
      </c>
      <c r="US224" s="207"/>
      <c r="UT224" s="207"/>
      <c r="UU224" s="207"/>
      <c r="UV224" s="207"/>
      <c r="UW224" s="272"/>
      <c r="UX224" s="272"/>
      <c r="UY224" s="272"/>
      <c r="UZ224" s="205">
        <f t="shared" si="2145"/>
        <v>0</v>
      </c>
      <c r="VA224" s="205">
        <f t="shared" si="2146"/>
        <v>0</v>
      </c>
      <c r="VB224" s="207"/>
      <c r="VC224" s="120"/>
      <c r="VD224" s="207"/>
      <c r="VE224" s="207"/>
      <c r="VF224" s="207"/>
      <c r="VG224" s="272"/>
      <c r="VH224" s="272"/>
      <c r="VI224" s="205">
        <f t="shared" si="2005"/>
        <v>0</v>
      </c>
      <c r="VJ224" s="385" t="s">
        <v>954</v>
      </c>
      <c r="VL224" s="207"/>
      <c r="VM224" s="124">
        <v>1400</v>
      </c>
      <c r="VN224" s="207"/>
      <c r="VO224" s="205"/>
      <c r="VP224" s="205"/>
      <c r="VQ224" s="205">
        <f t="shared" si="2015"/>
        <v>1400</v>
      </c>
      <c r="VR224" s="207"/>
      <c r="VS224" s="207"/>
      <c r="VT224" s="207"/>
      <c r="VU224" s="207"/>
      <c r="VV224" s="207"/>
      <c r="VW224" s="272"/>
      <c r="VX224" s="272"/>
      <c r="VY224" s="205">
        <f t="shared" si="2006"/>
        <v>0</v>
      </c>
      <c r="VZ224" s="207"/>
      <c r="WA224" s="207"/>
      <c r="WB224" s="207"/>
      <c r="WC224" s="207"/>
      <c r="WD224" s="207"/>
      <c r="WE224" s="272"/>
      <c r="WF224" s="272"/>
      <c r="WG224" s="205">
        <f t="shared" si="2007"/>
        <v>0</v>
      </c>
      <c r="WH224" s="205">
        <f t="shared" si="2008"/>
        <v>1400</v>
      </c>
      <c r="WI224" s="207"/>
      <c r="WJ224" s="207"/>
      <c r="WK224" s="207"/>
      <c r="WL224" s="387"/>
      <c r="WM224" s="207"/>
      <c r="WN224" s="272"/>
      <c r="WO224" s="272"/>
      <c r="WP224" s="205">
        <f t="shared" si="2016"/>
        <v>0</v>
      </c>
      <c r="WQ224" s="356"/>
      <c r="WR224" s="356"/>
      <c r="WS224" s="207"/>
      <c r="WT224" s="207"/>
      <c r="WU224" s="207"/>
      <c r="WV224" s="272"/>
      <c r="WW224" s="272"/>
      <c r="WX224" s="205">
        <f t="shared" si="2017"/>
        <v>0</v>
      </c>
      <c r="WY224" s="392">
        <v>90</v>
      </c>
      <c r="WZ224" s="120"/>
      <c r="XA224" s="124">
        <v>1000</v>
      </c>
      <c r="XB224" s="207"/>
      <c r="XC224" s="272"/>
      <c r="XD224" s="272"/>
      <c r="XE224" s="272"/>
      <c r="XF224" s="205">
        <f t="shared" si="2009"/>
        <v>1090</v>
      </c>
      <c r="XG224" s="207"/>
      <c r="XH224" s="207"/>
      <c r="XI224" s="207"/>
      <c r="XJ224" s="207"/>
      <c r="XK224" s="207"/>
      <c r="XL224" s="272"/>
      <c r="XM224" s="272"/>
      <c r="XN224" s="205">
        <f t="shared" si="2105"/>
        <v>0</v>
      </c>
      <c r="XO224" s="207"/>
      <c r="XP224" s="207"/>
      <c r="XQ224" s="207"/>
      <c r="XR224" s="207"/>
      <c r="XS224" s="207"/>
      <c r="XT224" s="272"/>
      <c r="XU224" s="272"/>
      <c r="XV224" s="205">
        <f t="shared" si="2106"/>
        <v>0</v>
      </c>
      <c r="XW224" s="205">
        <f t="shared" si="2107"/>
        <v>1090</v>
      </c>
      <c r="XX224" s="207"/>
      <c r="XY224" s="207"/>
      <c r="XZ224" s="207"/>
      <c r="YA224" s="207"/>
      <c r="YB224" s="207"/>
      <c r="YC224" s="272"/>
      <c r="YD224" s="272"/>
      <c r="YE224" s="205">
        <f t="shared" si="2018"/>
        <v>0</v>
      </c>
      <c r="YF224" s="207"/>
      <c r="YG224" s="207"/>
      <c r="YH224" s="207"/>
      <c r="YI224" s="207"/>
      <c r="YJ224" s="207"/>
      <c r="YK224" s="272"/>
      <c r="YL224" s="272"/>
      <c r="YM224" s="205">
        <f t="shared" si="2019"/>
        <v>0</v>
      </c>
      <c r="YN224" s="207"/>
      <c r="YO224" s="207"/>
      <c r="YP224" s="207"/>
      <c r="YQ224" s="207"/>
      <c r="YR224" s="207"/>
      <c r="YS224" s="272"/>
      <c r="YT224" s="272"/>
      <c r="YU224" s="205">
        <f t="shared" si="2020"/>
        <v>0</v>
      </c>
      <c r="YV224" s="207"/>
      <c r="YW224" s="207"/>
      <c r="YX224" s="207"/>
      <c r="YY224" s="207"/>
      <c r="YZ224" s="207"/>
      <c r="ZA224" s="272"/>
      <c r="ZB224" s="272"/>
      <c r="ZC224" s="205">
        <f t="shared" si="2021"/>
        <v>0</v>
      </c>
      <c r="ZD224" s="205">
        <f t="shared" si="2022"/>
        <v>1090</v>
      </c>
      <c r="ZE224" s="207"/>
      <c r="ZF224" s="207"/>
      <c r="ZG224" s="207"/>
      <c r="ZH224" s="207"/>
      <c r="ZI224" s="207"/>
      <c r="ZJ224" s="272"/>
      <c r="ZK224" s="272"/>
      <c r="ZL224" s="205">
        <f t="shared" si="2023"/>
        <v>0</v>
      </c>
      <c r="ZM224" s="207"/>
      <c r="ZN224" s="207"/>
      <c r="ZO224" s="207"/>
      <c r="ZP224" s="207"/>
      <c r="ZQ224" s="207"/>
      <c r="ZR224" s="272"/>
      <c r="ZS224" s="272"/>
      <c r="ZT224" s="205">
        <f t="shared" si="2010"/>
        <v>0</v>
      </c>
      <c r="ZU224" s="207"/>
      <c r="ZV224" s="207"/>
      <c r="ZW224" s="207"/>
      <c r="ZX224" s="207"/>
      <c r="ZY224" s="207"/>
      <c r="ZZ224" s="272"/>
      <c r="AAA224" s="272"/>
      <c r="AAB224" s="205">
        <f t="shared" si="2024"/>
        <v>0</v>
      </c>
      <c r="AAC224" s="207"/>
      <c r="AAD224" s="207"/>
      <c r="AAE224" s="207"/>
      <c r="AAF224" s="207"/>
      <c r="AAG224" s="207"/>
      <c r="AAH224" s="272"/>
      <c r="AAI224" s="272"/>
      <c r="AAJ224" s="205">
        <f t="shared" si="2011"/>
        <v>0</v>
      </c>
      <c r="AAK224" s="207"/>
      <c r="AAL224" s="207"/>
      <c r="AAM224" s="207"/>
      <c r="AAN224" s="207"/>
      <c r="AAO224" s="207"/>
      <c r="AAP224" s="272"/>
      <c r="AAQ224" s="272"/>
      <c r="AAR224" s="205">
        <f t="shared" si="2025"/>
        <v>0</v>
      </c>
      <c r="AAS224" s="205">
        <f t="shared" si="2026"/>
        <v>0</v>
      </c>
    </row>
    <row r="225" spans="1:721" ht="74.099999999999994" customHeight="1">
      <c r="B225" s="313"/>
      <c r="C225" s="362" t="s">
        <v>899</v>
      </c>
      <c r="D225" s="357" t="s">
        <v>922</v>
      </c>
      <c r="E225" s="130" t="s">
        <v>4</v>
      </c>
      <c r="F225" s="120"/>
      <c r="G225" s="120"/>
      <c r="H225" s="120"/>
      <c r="I225" s="120"/>
      <c r="J225" s="120"/>
      <c r="K225" s="209"/>
      <c r="L225" s="205"/>
      <c r="M225" s="205">
        <f t="shared" si="2108"/>
        <v>0</v>
      </c>
      <c r="N225" s="120"/>
      <c r="O225" s="120"/>
      <c r="P225" s="120"/>
      <c r="Q225" s="120"/>
      <c r="R225" s="120"/>
      <c r="S225" s="209"/>
      <c r="T225" s="205"/>
      <c r="U225" s="205"/>
      <c r="V225" s="120"/>
      <c r="W225" s="120"/>
      <c r="X225" s="120"/>
      <c r="Y225" s="120"/>
      <c r="Z225" s="120"/>
      <c r="AA225" s="209"/>
      <c r="AB225" s="205"/>
      <c r="AC225" s="205"/>
      <c r="AD225" s="205"/>
      <c r="AE225" s="205"/>
      <c r="AF225" s="205"/>
      <c r="AG225" s="205"/>
      <c r="AH225" s="205"/>
      <c r="AI225" s="209"/>
      <c r="AJ225" s="205"/>
      <c r="AK225" s="205"/>
      <c r="AL225" s="205"/>
      <c r="AM225" s="120"/>
      <c r="AN225" s="120"/>
      <c r="AO225" s="120"/>
      <c r="AP225" s="120"/>
      <c r="AQ225" s="120"/>
      <c r="AR225" s="209"/>
      <c r="AS225" s="205"/>
      <c r="AT225" s="205"/>
      <c r="AU225" s="120"/>
      <c r="AV225" s="120"/>
      <c r="AW225" s="120"/>
      <c r="AX225" s="120"/>
      <c r="AY225" s="120"/>
      <c r="AZ225" s="209"/>
      <c r="BA225" s="205"/>
      <c r="BB225" s="205"/>
      <c r="BC225" s="120"/>
      <c r="BD225" s="120"/>
      <c r="BE225" s="120"/>
      <c r="BF225" s="120"/>
      <c r="BG225" s="120"/>
      <c r="BH225" s="209"/>
      <c r="BI225" s="205"/>
      <c r="BJ225" s="205"/>
      <c r="BK225" s="120"/>
      <c r="BL225" s="120"/>
      <c r="BM225" s="217"/>
      <c r="BN225" s="120"/>
      <c r="BO225" s="205"/>
      <c r="BP225" s="209"/>
      <c r="BQ225" s="205"/>
      <c r="BR225" s="205"/>
      <c r="BS225" s="205"/>
      <c r="BT225" s="120"/>
      <c r="BU225" s="250"/>
      <c r="BV225" s="120"/>
      <c r="BW225" s="120"/>
      <c r="BX225" s="120"/>
      <c r="BY225" s="209"/>
      <c r="BZ225" s="205"/>
      <c r="CA225" s="205"/>
      <c r="CB225" s="120"/>
      <c r="CC225" s="120"/>
      <c r="CD225" s="120"/>
      <c r="CE225" s="120"/>
      <c r="CF225" s="120"/>
      <c r="CG225" s="209"/>
      <c r="CH225" s="205"/>
      <c r="CI225" s="205"/>
      <c r="CJ225" s="120"/>
      <c r="CK225" s="120"/>
      <c r="CL225" s="250"/>
      <c r="CM225" s="120"/>
      <c r="CN225" s="120"/>
      <c r="CO225" s="209"/>
      <c r="CP225" s="205"/>
      <c r="CQ225" s="205"/>
      <c r="CR225" s="120"/>
      <c r="CS225" s="120"/>
      <c r="CT225" s="120"/>
      <c r="CU225" s="120"/>
      <c r="CV225" s="120"/>
      <c r="CW225" s="209"/>
      <c r="CX225" s="205"/>
      <c r="CY225" s="205"/>
      <c r="CZ225" s="120"/>
      <c r="DA225" s="120"/>
      <c r="DB225" s="120"/>
      <c r="DC225" s="205"/>
      <c r="DD225" s="205"/>
      <c r="DE225" s="209"/>
      <c r="DF225" s="205"/>
      <c r="DG225" s="205"/>
      <c r="DH225" s="205"/>
      <c r="DI225" s="120"/>
      <c r="DJ225" s="120"/>
      <c r="DK225" s="120"/>
      <c r="DL225" s="120"/>
      <c r="DM225" s="120"/>
      <c r="DN225" s="209"/>
      <c r="DO225" s="205"/>
      <c r="DP225" s="205"/>
      <c r="DQ225" s="217"/>
      <c r="DR225" s="120"/>
      <c r="DS225" s="120"/>
      <c r="DT225" s="120"/>
      <c r="DU225" s="120"/>
      <c r="DV225" s="209"/>
      <c r="DW225" s="205"/>
      <c r="DX225" s="205"/>
      <c r="DY225" s="120"/>
      <c r="DZ225" s="120"/>
      <c r="EA225" s="120"/>
      <c r="EB225" s="120"/>
      <c r="EC225" s="120"/>
      <c r="ED225" s="209"/>
      <c r="EE225" s="205"/>
      <c r="EF225" s="205"/>
      <c r="EG225" s="120"/>
      <c r="EH225" s="120"/>
      <c r="EI225" s="120"/>
      <c r="EJ225" s="205"/>
      <c r="EK225" s="205"/>
      <c r="EL225" s="209"/>
      <c r="EM225" s="205"/>
      <c r="EN225" s="205"/>
      <c r="EO225" s="205"/>
      <c r="EP225" s="120"/>
      <c r="EQ225" s="250"/>
      <c r="ER225" s="120"/>
      <c r="ES225" s="120"/>
      <c r="ET225" s="120"/>
      <c r="EU225" s="209"/>
      <c r="EV225" s="205"/>
      <c r="EW225" s="205"/>
      <c r="EX225" s="120"/>
      <c r="EY225" s="120"/>
      <c r="EZ225" s="120"/>
      <c r="FA225" s="120"/>
      <c r="FB225" s="120"/>
      <c r="FC225" s="209"/>
      <c r="FD225" s="205"/>
      <c r="FE225" s="205"/>
      <c r="FF225" s="120"/>
      <c r="FG225" s="195"/>
      <c r="FH225" s="120"/>
      <c r="FI225" s="120"/>
      <c r="FJ225" s="120"/>
      <c r="FK225" s="209"/>
      <c r="FL225" s="205"/>
      <c r="FM225" s="205"/>
      <c r="FN225" s="120"/>
      <c r="FO225" s="120"/>
      <c r="FP225" s="120"/>
      <c r="FQ225" s="120"/>
      <c r="FR225" s="205"/>
      <c r="FS225" s="209"/>
      <c r="FT225" s="205"/>
      <c r="FU225" s="205"/>
      <c r="FV225" s="205"/>
      <c r="FW225" s="120"/>
      <c r="FX225" s="120"/>
      <c r="FY225" s="120"/>
      <c r="FZ225" s="120"/>
      <c r="GA225" s="120"/>
      <c r="GB225" s="209"/>
      <c r="GC225" s="205"/>
      <c r="GD225" s="205"/>
      <c r="GE225" s="120"/>
      <c r="GF225" s="120"/>
      <c r="GG225" s="120"/>
      <c r="GH225" s="120"/>
      <c r="GI225" s="120"/>
      <c r="GJ225" s="209"/>
      <c r="GK225" s="205"/>
      <c r="GL225" s="205"/>
      <c r="GM225" s="120"/>
      <c r="GN225" s="120"/>
      <c r="GO225" s="120"/>
      <c r="GP225" s="120"/>
      <c r="GQ225" s="120"/>
      <c r="GR225" s="209"/>
      <c r="GS225" s="205"/>
      <c r="GT225" s="205"/>
      <c r="GU225" s="120"/>
      <c r="GV225" s="120"/>
      <c r="GW225" s="120"/>
      <c r="GX225" s="120"/>
      <c r="GY225" s="120"/>
      <c r="GZ225" s="209"/>
      <c r="HA225" s="205"/>
      <c r="HB225" s="205"/>
      <c r="HC225" s="120"/>
      <c r="HD225" s="120"/>
      <c r="HE225" s="120"/>
      <c r="HF225" s="120"/>
      <c r="HG225" s="120"/>
      <c r="HH225" s="209"/>
      <c r="HI225" s="205"/>
      <c r="HJ225" s="205"/>
      <c r="HK225" s="205"/>
      <c r="HL225" s="124"/>
      <c r="HM225" s="120"/>
      <c r="HN225" s="120"/>
      <c r="HO225" s="123"/>
      <c r="HP225" s="120"/>
      <c r="HQ225" s="205"/>
      <c r="HR225" s="205"/>
      <c r="HS225" s="205"/>
      <c r="HT225" s="120"/>
      <c r="HU225" s="120"/>
      <c r="HV225" s="120"/>
      <c r="HW225" s="120"/>
      <c r="HX225" s="120"/>
      <c r="HY225" s="205"/>
      <c r="HZ225" s="205"/>
      <c r="IA225" s="205"/>
      <c r="IB225" s="120"/>
      <c r="IC225" s="120"/>
      <c r="ID225" s="120"/>
      <c r="IE225" s="120"/>
      <c r="IF225" s="120"/>
      <c r="IG225" s="205"/>
      <c r="IH225" s="205"/>
      <c r="II225" s="205"/>
      <c r="IJ225" s="120"/>
      <c r="IK225" s="120"/>
      <c r="IL225" s="201"/>
      <c r="IM225" s="120"/>
      <c r="IN225" s="120"/>
      <c r="IO225" s="205"/>
      <c r="IP225" s="205"/>
      <c r="IQ225" s="205"/>
      <c r="IR225" s="205"/>
      <c r="IS225" s="120"/>
      <c r="IT225" s="120"/>
      <c r="IU225" s="120"/>
      <c r="IV225" s="120"/>
      <c r="IW225" s="120"/>
      <c r="IX225" s="205"/>
      <c r="IY225" s="205"/>
      <c r="IZ225" s="205"/>
      <c r="JA225" s="120"/>
      <c r="JB225" s="120"/>
      <c r="JC225" s="120"/>
      <c r="JD225" s="120"/>
      <c r="JE225" s="120"/>
      <c r="JF225" s="205"/>
      <c r="JG225" s="205"/>
      <c r="JH225" s="205"/>
      <c r="JI225" s="120"/>
      <c r="JJ225" s="120"/>
      <c r="JK225" s="120"/>
      <c r="JL225" s="120"/>
      <c r="JM225" s="120"/>
      <c r="JN225" s="205"/>
      <c r="JO225" s="205"/>
      <c r="JP225" s="205"/>
      <c r="JQ225" s="120"/>
      <c r="JR225" s="120"/>
      <c r="JS225" s="120"/>
      <c r="JT225" s="120"/>
      <c r="JU225" s="120"/>
      <c r="JV225" s="205"/>
      <c r="JW225" s="205"/>
      <c r="JX225" s="205"/>
      <c r="JY225" s="205"/>
      <c r="JZ225" s="120"/>
      <c r="KA225" s="120"/>
      <c r="KB225" s="120"/>
      <c r="KC225" s="120"/>
      <c r="KD225" s="120"/>
      <c r="KE225" s="205"/>
      <c r="KF225" s="205"/>
      <c r="KG225" s="205"/>
      <c r="KH225" s="120"/>
      <c r="KI225" s="120"/>
      <c r="KJ225" s="120"/>
      <c r="KK225" s="206"/>
      <c r="KL225" s="120"/>
      <c r="KM225" s="205"/>
      <c r="KN225" s="205"/>
      <c r="KO225" s="205"/>
      <c r="KP225" s="120"/>
      <c r="KQ225" s="120"/>
      <c r="KR225" s="120"/>
      <c r="KS225" s="120"/>
      <c r="KT225" s="120"/>
      <c r="KU225" s="205"/>
      <c r="KV225" s="205"/>
      <c r="KW225" s="205"/>
      <c r="KX225" s="120"/>
      <c r="KY225" s="120"/>
      <c r="KZ225" s="120"/>
      <c r="LA225" s="120"/>
      <c r="LB225" s="120"/>
      <c r="LC225" s="205"/>
      <c r="LD225" s="205"/>
      <c r="LE225" s="205"/>
      <c r="LF225" s="205"/>
      <c r="LG225" s="120"/>
      <c r="LH225" s="120"/>
      <c r="LI225" s="120"/>
      <c r="LJ225" s="120"/>
      <c r="LK225" s="205"/>
      <c r="LL225" s="205"/>
      <c r="LM225" s="205"/>
      <c r="LN225" s="205"/>
      <c r="LO225" s="205"/>
      <c r="LP225" s="120"/>
      <c r="LQ225" s="120"/>
      <c r="LR225" s="120"/>
      <c r="LS225" s="205"/>
      <c r="LT225" s="205"/>
      <c r="LU225" s="205"/>
      <c r="LV225" s="205"/>
      <c r="LW225" s="120"/>
      <c r="LX225" s="120"/>
      <c r="LY225" s="124"/>
      <c r="LZ225" s="120"/>
      <c r="MA225" s="120"/>
      <c r="MB225" s="205"/>
      <c r="MC225" s="205"/>
      <c r="MD225" s="205"/>
      <c r="ME225" s="120"/>
      <c r="MF225" s="120"/>
      <c r="MG225" s="120"/>
      <c r="MH225" s="201"/>
      <c r="MI225" s="205"/>
      <c r="MJ225" s="205"/>
      <c r="MK225" s="205"/>
      <c r="ML225" s="205"/>
      <c r="MM225" s="120"/>
      <c r="MN225" s="120"/>
      <c r="MO225" s="120"/>
      <c r="MP225" s="120"/>
      <c r="MQ225" s="120"/>
      <c r="MR225" s="205"/>
      <c r="MS225" s="205"/>
      <c r="MT225" s="205"/>
      <c r="MU225" s="205"/>
      <c r="MV225" s="120"/>
      <c r="MW225" s="120"/>
      <c r="MX225" s="195"/>
      <c r="MY225" s="120"/>
      <c r="MZ225" s="120"/>
      <c r="NA225" s="205"/>
      <c r="NB225" s="205"/>
      <c r="NC225" s="205"/>
      <c r="ND225" s="120"/>
      <c r="NE225" s="120"/>
      <c r="NF225" s="120"/>
      <c r="NG225" s="120"/>
      <c r="NH225" s="120"/>
      <c r="NI225" s="205"/>
      <c r="NJ225" s="205"/>
      <c r="NK225" s="205"/>
      <c r="NL225" s="120"/>
      <c r="NM225" s="120"/>
      <c r="NN225" s="120"/>
      <c r="NO225" s="120"/>
      <c r="NP225" s="120"/>
      <c r="NQ225" s="205"/>
      <c r="NR225" s="205"/>
      <c r="NS225" s="205"/>
      <c r="NT225" s="217"/>
      <c r="NU225" s="120"/>
      <c r="NV225" s="120"/>
      <c r="NW225" s="120"/>
      <c r="NX225" s="120"/>
      <c r="NY225" s="205"/>
      <c r="NZ225" s="205"/>
      <c r="OA225" s="205"/>
      <c r="OB225" s="205"/>
      <c r="OC225" s="120"/>
      <c r="OD225" s="120"/>
      <c r="OE225" s="120"/>
      <c r="OF225" s="120"/>
      <c r="OG225" s="120"/>
      <c r="OH225" s="205"/>
      <c r="OI225" s="205"/>
      <c r="OJ225" s="205"/>
      <c r="OK225" s="120"/>
      <c r="OL225" s="120"/>
      <c r="OM225" s="120"/>
      <c r="ON225" s="120"/>
      <c r="OO225" s="120"/>
      <c r="OP225" s="205"/>
      <c r="OQ225" s="205"/>
      <c r="OR225" s="205"/>
      <c r="OS225" s="120"/>
      <c r="OT225" s="120"/>
      <c r="OU225" s="120"/>
      <c r="OV225" s="120"/>
      <c r="OW225" s="120"/>
      <c r="OX225" s="205"/>
      <c r="OY225" s="205"/>
      <c r="OZ225" s="205"/>
      <c r="PA225" s="120"/>
      <c r="PB225" s="120"/>
      <c r="PC225" s="120"/>
      <c r="PD225" s="205"/>
      <c r="PE225" s="217"/>
      <c r="PF225" s="205"/>
      <c r="PG225" s="205"/>
      <c r="PH225" s="205"/>
      <c r="PI225" s="120"/>
      <c r="PJ225" s="120"/>
      <c r="PK225" s="120"/>
      <c r="PL225" s="205"/>
      <c r="PM225" s="217"/>
      <c r="PN225" s="205"/>
      <c r="PO225" s="205"/>
      <c r="PP225" s="205"/>
      <c r="PQ225" s="205"/>
      <c r="PR225" s="120"/>
      <c r="PS225" s="207"/>
      <c r="PT225" s="207"/>
      <c r="PU225" s="207"/>
      <c r="PV225" s="207"/>
      <c r="PW225" s="272"/>
      <c r="PX225" s="272"/>
      <c r="PY225" s="205"/>
      <c r="PZ225" s="207"/>
      <c r="QA225" s="207"/>
      <c r="QB225" s="207"/>
      <c r="QC225" s="207"/>
      <c r="QD225" s="207"/>
      <c r="QE225" s="272"/>
      <c r="QF225" s="272"/>
      <c r="QG225" s="205"/>
      <c r="QH225" s="207"/>
      <c r="QI225" s="207"/>
      <c r="QJ225" s="294"/>
      <c r="QK225" s="207"/>
      <c r="QL225" s="207"/>
      <c r="QM225" s="272"/>
      <c r="QN225" s="272"/>
      <c r="QO225" s="205"/>
      <c r="QP225" s="207"/>
      <c r="QQ225" s="207"/>
      <c r="QR225" s="207"/>
      <c r="QS225" s="207"/>
      <c r="QT225" s="120"/>
      <c r="QU225" s="272"/>
      <c r="QV225" s="272"/>
      <c r="QW225" s="205"/>
      <c r="QX225" s="205"/>
      <c r="QY225" s="207"/>
      <c r="QZ225" s="207"/>
      <c r="RA225" s="207"/>
      <c r="RB225" s="207"/>
      <c r="RC225" s="207"/>
      <c r="RD225" s="272"/>
      <c r="RE225" s="272"/>
      <c r="RF225" s="205"/>
      <c r="RG225" s="207"/>
      <c r="RH225" s="207"/>
      <c r="RI225" s="207"/>
      <c r="RJ225" s="120"/>
      <c r="RK225" s="207"/>
      <c r="RL225" s="272"/>
      <c r="RM225" s="272"/>
      <c r="RN225" s="205"/>
      <c r="RO225" s="272"/>
      <c r="RP225" s="272"/>
      <c r="RQ225" s="272"/>
      <c r="RR225" s="272"/>
      <c r="RS225" s="272"/>
      <c r="RT225" s="272"/>
      <c r="RU225" s="272"/>
      <c r="RV225" s="205"/>
      <c r="RW225" s="207"/>
      <c r="RX225" s="207"/>
      <c r="RY225" s="207"/>
      <c r="RZ225" s="207"/>
      <c r="SA225" s="272"/>
      <c r="SB225" s="272"/>
      <c r="SC225" s="272"/>
      <c r="SD225" s="205"/>
      <c r="SE225" s="205"/>
      <c r="SF225" s="207"/>
      <c r="SG225" s="207"/>
      <c r="SH225" s="207"/>
      <c r="SI225" s="207"/>
      <c r="SJ225" s="207"/>
      <c r="SK225" s="272"/>
      <c r="SL225" s="272"/>
      <c r="SM225" s="205"/>
      <c r="SN225" s="207"/>
      <c r="SO225" s="207"/>
      <c r="SP225" s="207"/>
      <c r="SQ225" s="207"/>
      <c r="SR225" s="207"/>
      <c r="SS225" s="272"/>
      <c r="ST225" s="272"/>
      <c r="SU225" s="205"/>
      <c r="SV225" s="207"/>
      <c r="SW225" s="207"/>
      <c r="SX225" s="207"/>
      <c r="SY225" s="207"/>
      <c r="SZ225" s="207"/>
      <c r="TA225" s="272"/>
      <c r="TB225" s="272"/>
      <c r="TC225" s="205">
        <f t="shared" si="2102"/>
        <v>0</v>
      </c>
      <c r="TD225" s="207"/>
      <c r="TE225" s="207"/>
      <c r="TF225" s="207"/>
      <c r="TG225" s="207"/>
      <c r="TH225" s="207"/>
      <c r="TI225" s="272"/>
      <c r="TJ225" s="272"/>
      <c r="TK225" s="205">
        <f t="shared" si="2142"/>
        <v>0</v>
      </c>
      <c r="TL225" s="140"/>
      <c r="TM225" s="140"/>
      <c r="TN225" s="140"/>
      <c r="TO225" s="140"/>
      <c r="TP225" s="370"/>
      <c r="TQ225" s="272"/>
      <c r="TR225" s="272"/>
      <c r="TS225" s="205">
        <f t="shared" ref="TS225:TS235" si="2153">SUM(TL225:TR225)</f>
        <v>0</v>
      </c>
      <c r="TT225" s="205">
        <f t="shared" ref="TT225:TT235" si="2154">SUM(TL225:TM225,TK225,TC225,SU225,SM225,SC225)</f>
        <v>0</v>
      </c>
      <c r="TU225" s="272"/>
      <c r="TV225" s="207"/>
      <c r="TW225" s="207"/>
      <c r="TX225" s="207"/>
      <c r="TY225" s="207"/>
      <c r="TZ225" s="272"/>
      <c r="UA225" s="272"/>
      <c r="UB225" s="205">
        <f t="shared" si="2012"/>
        <v>0</v>
      </c>
      <c r="UC225" s="207"/>
      <c r="UD225" s="207"/>
      <c r="UE225" s="120"/>
      <c r="UF225" s="120"/>
      <c r="UG225" s="207"/>
      <c r="UH225" s="272"/>
      <c r="UI225" s="272"/>
      <c r="UJ225" s="205">
        <f t="shared" si="2013"/>
        <v>0</v>
      </c>
      <c r="UK225" s="207"/>
      <c r="UL225" s="207"/>
      <c r="UM225" s="120"/>
      <c r="UN225" s="356"/>
      <c r="UO225" s="207"/>
      <c r="UP225" s="272"/>
      <c r="UQ225" s="272"/>
      <c r="UR225" s="205">
        <f t="shared" si="2014"/>
        <v>0</v>
      </c>
      <c r="US225" s="207"/>
      <c r="UT225" s="207"/>
      <c r="UU225" s="207"/>
      <c r="UV225" s="207"/>
      <c r="UW225" s="272"/>
      <c r="UX225" s="272"/>
      <c r="UY225" s="272"/>
      <c r="UZ225" s="205">
        <f t="shared" si="2145"/>
        <v>0</v>
      </c>
      <c r="VA225" s="205">
        <f t="shared" si="2146"/>
        <v>0</v>
      </c>
      <c r="VB225" s="207"/>
      <c r="VC225" s="120"/>
      <c r="VD225" s="207"/>
      <c r="VE225" s="207"/>
      <c r="VF225" s="207"/>
      <c r="VG225" s="272"/>
      <c r="VH225" s="272"/>
      <c r="VI225" s="205">
        <f t="shared" si="2005"/>
        <v>0</v>
      </c>
      <c r="VJ225" s="207"/>
      <c r="VK225" s="207"/>
      <c r="VL225" s="207"/>
      <c r="VM225" s="207"/>
      <c r="VN225" s="307">
        <v>90</v>
      </c>
      <c r="VO225" s="205"/>
      <c r="VP225" s="205"/>
      <c r="VQ225" s="205">
        <f t="shared" si="2015"/>
        <v>90</v>
      </c>
      <c r="VR225" s="207"/>
      <c r="VS225" s="207"/>
      <c r="VT225" s="207"/>
      <c r="VU225" s="207"/>
      <c r="VV225" s="207"/>
      <c r="VW225" s="272"/>
      <c r="VX225" s="272"/>
      <c r="VY225" s="205">
        <f t="shared" si="2006"/>
        <v>0</v>
      </c>
      <c r="VZ225" s="207"/>
      <c r="WA225" s="207"/>
      <c r="WB225" s="207"/>
      <c r="WC225" s="201">
        <v>910</v>
      </c>
      <c r="WD225" s="207"/>
      <c r="WE225" s="272"/>
      <c r="WF225" s="272"/>
      <c r="WG225" s="205">
        <f t="shared" si="2007"/>
        <v>910</v>
      </c>
      <c r="WH225" s="205">
        <f t="shared" si="2008"/>
        <v>1000</v>
      </c>
      <c r="WI225" s="207"/>
      <c r="WJ225" s="207"/>
      <c r="WK225" s="207"/>
      <c r="WL225" s="207"/>
      <c r="WM225" s="207"/>
      <c r="WN225" s="272"/>
      <c r="WO225" s="272"/>
      <c r="WP225" s="205">
        <f t="shared" si="2016"/>
        <v>0</v>
      </c>
      <c r="WQ225" s="207"/>
      <c r="WR225" s="207"/>
      <c r="WS225" s="207"/>
      <c r="WT225" s="207"/>
      <c r="WU225" s="207"/>
      <c r="WV225" s="272"/>
      <c r="WW225" s="272"/>
      <c r="WX225" s="205">
        <f t="shared" si="2017"/>
        <v>0</v>
      </c>
      <c r="WY225" s="207"/>
      <c r="WZ225" s="207"/>
      <c r="XA225" s="207"/>
      <c r="XB225" s="207"/>
      <c r="XC225" s="272"/>
      <c r="XD225" s="272"/>
      <c r="XE225" s="272"/>
      <c r="XF225" s="205">
        <f t="shared" si="2009"/>
        <v>0</v>
      </c>
      <c r="XG225" s="207"/>
      <c r="XH225" s="207"/>
      <c r="XI225" s="207"/>
      <c r="XJ225" s="207"/>
      <c r="XK225" s="207"/>
      <c r="XL225" s="272"/>
      <c r="XM225" s="272"/>
      <c r="XN225" s="205"/>
      <c r="XO225" s="207"/>
      <c r="XP225" s="207"/>
      <c r="XQ225" s="207"/>
      <c r="XR225" s="207"/>
      <c r="XS225" s="207"/>
      <c r="XT225" s="272"/>
      <c r="XU225" s="272"/>
      <c r="XV225" s="205"/>
      <c r="XW225" s="205"/>
      <c r="XX225" s="207"/>
      <c r="XY225" s="207"/>
      <c r="XZ225" s="207"/>
      <c r="YA225" s="207"/>
      <c r="YB225" s="207"/>
      <c r="YC225" s="272"/>
      <c r="YD225" s="272"/>
      <c r="YE225" s="205">
        <f t="shared" si="2018"/>
        <v>0</v>
      </c>
      <c r="YF225" s="207"/>
      <c r="YG225" s="207"/>
      <c r="YH225" s="207"/>
      <c r="YI225" s="207"/>
      <c r="YJ225" s="207"/>
      <c r="YK225" s="272"/>
      <c r="YL225" s="272"/>
      <c r="YM225" s="205">
        <f t="shared" si="2019"/>
        <v>0</v>
      </c>
      <c r="YN225" s="207"/>
      <c r="YO225" s="207"/>
      <c r="YP225" s="207"/>
      <c r="YQ225" s="207"/>
      <c r="YR225" s="207"/>
      <c r="YS225" s="272"/>
      <c r="YT225" s="272"/>
      <c r="YU225" s="205">
        <f t="shared" si="2020"/>
        <v>0</v>
      </c>
      <c r="YV225" s="207"/>
      <c r="YW225" s="207"/>
      <c r="YX225" s="207"/>
      <c r="YY225" s="207"/>
      <c r="YZ225" s="207"/>
      <c r="ZA225" s="272"/>
      <c r="ZB225" s="272"/>
      <c r="ZC225" s="205">
        <f t="shared" si="2021"/>
        <v>0</v>
      </c>
      <c r="ZD225" s="205">
        <f t="shared" si="2022"/>
        <v>0</v>
      </c>
      <c r="ZE225" s="207"/>
      <c r="ZF225" s="207"/>
      <c r="ZG225" s="207"/>
      <c r="ZH225" s="207"/>
      <c r="ZI225" s="207"/>
      <c r="ZJ225" s="272"/>
      <c r="ZK225" s="272"/>
      <c r="ZL225" s="205">
        <f t="shared" si="2023"/>
        <v>0</v>
      </c>
      <c r="ZM225" s="207"/>
      <c r="ZN225" s="207"/>
      <c r="ZO225" s="207"/>
      <c r="ZP225" s="207"/>
      <c r="ZQ225" s="207"/>
      <c r="ZR225" s="272"/>
      <c r="ZS225" s="272"/>
      <c r="ZT225" s="205">
        <f t="shared" si="2010"/>
        <v>0</v>
      </c>
      <c r="ZU225" s="207"/>
      <c r="ZV225" s="207"/>
      <c r="ZW225" s="207"/>
      <c r="ZX225" s="207"/>
      <c r="ZY225" s="207"/>
      <c r="ZZ225" s="272"/>
      <c r="AAA225" s="272"/>
      <c r="AAB225" s="205">
        <f t="shared" si="2024"/>
        <v>0</v>
      </c>
      <c r="AAC225" s="207"/>
      <c r="AAD225" s="207"/>
      <c r="AAE225" s="207"/>
      <c r="AAF225" s="207"/>
      <c r="AAG225" s="207"/>
      <c r="AAH225" s="272"/>
      <c r="AAI225" s="272"/>
      <c r="AAJ225" s="205">
        <f t="shared" si="2011"/>
        <v>0</v>
      </c>
      <c r="AAK225" s="207"/>
      <c r="AAL225" s="207"/>
      <c r="AAM225" s="207"/>
      <c r="AAN225" s="207"/>
      <c r="AAO225" s="207"/>
      <c r="AAP225" s="272"/>
      <c r="AAQ225" s="272"/>
      <c r="AAR225" s="205">
        <f t="shared" si="2025"/>
        <v>0</v>
      </c>
      <c r="AAS225" s="205">
        <f t="shared" si="2026"/>
        <v>0</v>
      </c>
    </row>
    <row r="226" spans="1:721" ht="74.099999999999994" customHeight="1">
      <c r="B226" s="313"/>
      <c r="C226" s="362" t="s">
        <v>899</v>
      </c>
      <c r="D226" s="357" t="s">
        <v>923</v>
      </c>
      <c r="E226" s="130" t="s">
        <v>4</v>
      </c>
      <c r="F226" s="120"/>
      <c r="G226" s="120"/>
      <c r="H226" s="120"/>
      <c r="I226" s="120"/>
      <c r="J226" s="120"/>
      <c r="K226" s="209"/>
      <c r="L226" s="205"/>
      <c r="M226" s="205">
        <f t="shared" si="2108"/>
        <v>0</v>
      </c>
      <c r="N226" s="120"/>
      <c r="O226" s="120"/>
      <c r="P226" s="120"/>
      <c r="Q226" s="120"/>
      <c r="R226" s="120"/>
      <c r="S226" s="209"/>
      <c r="T226" s="205"/>
      <c r="U226" s="205"/>
      <c r="V226" s="120"/>
      <c r="W226" s="120"/>
      <c r="X226" s="120"/>
      <c r="Y226" s="120"/>
      <c r="Z226" s="120"/>
      <c r="AA226" s="209"/>
      <c r="AB226" s="205"/>
      <c r="AC226" s="205"/>
      <c r="AD226" s="205"/>
      <c r="AE226" s="205"/>
      <c r="AF226" s="205"/>
      <c r="AG226" s="205"/>
      <c r="AH226" s="205"/>
      <c r="AI226" s="209"/>
      <c r="AJ226" s="205"/>
      <c r="AK226" s="205"/>
      <c r="AL226" s="205"/>
      <c r="AM226" s="120"/>
      <c r="AN226" s="120"/>
      <c r="AO226" s="120"/>
      <c r="AP226" s="120"/>
      <c r="AQ226" s="120"/>
      <c r="AR226" s="209"/>
      <c r="AS226" s="205"/>
      <c r="AT226" s="205"/>
      <c r="AU226" s="120"/>
      <c r="AV226" s="120"/>
      <c r="AW226" s="120"/>
      <c r="AX226" s="120"/>
      <c r="AY226" s="120"/>
      <c r="AZ226" s="209"/>
      <c r="BA226" s="205"/>
      <c r="BB226" s="205"/>
      <c r="BC226" s="120"/>
      <c r="BD226" s="120"/>
      <c r="BE226" s="120"/>
      <c r="BF226" s="120"/>
      <c r="BG226" s="120"/>
      <c r="BH226" s="209"/>
      <c r="BI226" s="205"/>
      <c r="BJ226" s="205"/>
      <c r="BK226" s="120"/>
      <c r="BL226" s="120"/>
      <c r="BM226" s="217"/>
      <c r="BN226" s="120"/>
      <c r="BO226" s="205"/>
      <c r="BP226" s="209"/>
      <c r="BQ226" s="205"/>
      <c r="BR226" s="205"/>
      <c r="BS226" s="205"/>
      <c r="BT226" s="120"/>
      <c r="BU226" s="250"/>
      <c r="BV226" s="120"/>
      <c r="BW226" s="120"/>
      <c r="BX226" s="120"/>
      <c r="BY226" s="209"/>
      <c r="BZ226" s="205"/>
      <c r="CA226" s="205"/>
      <c r="CB226" s="120"/>
      <c r="CC226" s="120"/>
      <c r="CD226" s="120"/>
      <c r="CE226" s="120"/>
      <c r="CF226" s="120"/>
      <c r="CG226" s="209"/>
      <c r="CH226" s="205"/>
      <c r="CI226" s="205"/>
      <c r="CJ226" s="120"/>
      <c r="CK226" s="120"/>
      <c r="CL226" s="250"/>
      <c r="CM226" s="120"/>
      <c r="CN226" s="120"/>
      <c r="CO226" s="209"/>
      <c r="CP226" s="205"/>
      <c r="CQ226" s="205"/>
      <c r="CR226" s="120"/>
      <c r="CS226" s="120"/>
      <c r="CT226" s="120"/>
      <c r="CU226" s="120"/>
      <c r="CV226" s="120"/>
      <c r="CW226" s="209"/>
      <c r="CX226" s="205"/>
      <c r="CY226" s="205"/>
      <c r="CZ226" s="120"/>
      <c r="DA226" s="120"/>
      <c r="DB226" s="120"/>
      <c r="DC226" s="205"/>
      <c r="DD226" s="205"/>
      <c r="DE226" s="209"/>
      <c r="DF226" s="205"/>
      <c r="DG226" s="205"/>
      <c r="DH226" s="205"/>
      <c r="DI226" s="120"/>
      <c r="DJ226" s="120"/>
      <c r="DK226" s="120"/>
      <c r="DL226" s="120"/>
      <c r="DM226" s="120"/>
      <c r="DN226" s="209"/>
      <c r="DO226" s="205"/>
      <c r="DP226" s="205"/>
      <c r="DQ226" s="217"/>
      <c r="DR226" s="120"/>
      <c r="DS226" s="120"/>
      <c r="DT226" s="120"/>
      <c r="DU226" s="120"/>
      <c r="DV226" s="209"/>
      <c r="DW226" s="205"/>
      <c r="DX226" s="205"/>
      <c r="DY226" s="120"/>
      <c r="DZ226" s="120"/>
      <c r="EA226" s="120"/>
      <c r="EB226" s="120"/>
      <c r="EC226" s="120"/>
      <c r="ED226" s="209"/>
      <c r="EE226" s="205"/>
      <c r="EF226" s="205"/>
      <c r="EG226" s="120"/>
      <c r="EH226" s="120"/>
      <c r="EI226" s="120"/>
      <c r="EJ226" s="205"/>
      <c r="EK226" s="205"/>
      <c r="EL226" s="209"/>
      <c r="EM226" s="205"/>
      <c r="EN226" s="205"/>
      <c r="EO226" s="205"/>
      <c r="EP226" s="120"/>
      <c r="EQ226" s="250"/>
      <c r="ER226" s="120"/>
      <c r="ES226" s="120"/>
      <c r="ET226" s="120"/>
      <c r="EU226" s="209"/>
      <c r="EV226" s="205"/>
      <c r="EW226" s="205"/>
      <c r="EX226" s="120"/>
      <c r="EY226" s="120"/>
      <c r="EZ226" s="120"/>
      <c r="FA226" s="120"/>
      <c r="FB226" s="120"/>
      <c r="FC226" s="209"/>
      <c r="FD226" s="205"/>
      <c r="FE226" s="205"/>
      <c r="FF226" s="120"/>
      <c r="FG226" s="195"/>
      <c r="FH226" s="120"/>
      <c r="FI226" s="120"/>
      <c r="FJ226" s="120"/>
      <c r="FK226" s="209"/>
      <c r="FL226" s="205"/>
      <c r="FM226" s="205"/>
      <c r="FN226" s="120"/>
      <c r="FO226" s="120"/>
      <c r="FP226" s="120"/>
      <c r="FQ226" s="120"/>
      <c r="FR226" s="205"/>
      <c r="FS226" s="209"/>
      <c r="FT226" s="205"/>
      <c r="FU226" s="205"/>
      <c r="FV226" s="205"/>
      <c r="FW226" s="120"/>
      <c r="FX226" s="120"/>
      <c r="FY226" s="120"/>
      <c r="FZ226" s="120"/>
      <c r="GA226" s="120"/>
      <c r="GB226" s="209"/>
      <c r="GC226" s="205"/>
      <c r="GD226" s="205"/>
      <c r="GE226" s="120"/>
      <c r="GF226" s="120"/>
      <c r="GG226" s="120"/>
      <c r="GH226" s="120"/>
      <c r="GI226" s="120"/>
      <c r="GJ226" s="209"/>
      <c r="GK226" s="205"/>
      <c r="GL226" s="205"/>
      <c r="GM226" s="120"/>
      <c r="GN226" s="120"/>
      <c r="GO226" s="120"/>
      <c r="GP226" s="120"/>
      <c r="GQ226" s="120"/>
      <c r="GR226" s="209"/>
      <c r="GS226" s="205"/>
      <c r="GT226" s="205"/>
      <c r="GU226" s="120"/>
      <c r="GV226" s="120"/>
      <c r="GW226" s="120"/>
      <c r="GX226" s="120"/>
      <c r="GY226" s="120"/>
      <c r="GZ226" s="209"/>
      <c r="HA226" s="205"/>
      <c r="HB226" s="205"/>
      <c r="HC226" s="120"/>
      <c r="HD226" s="120"/>
      <c r="HE226" s="120"/>
      <c r="HF226" s="120"/>
      <c r="HG226" s="120"/>
      <c r="HH226" s="209"/>
      <c r="HI226" s="205"/>
      <c r="HJ226" s="205"/>
      <c r="HK226" s="205"/>
      <c r="HL226" s="124"/>
      <c r="HM226" s="120"/>
      <c r="HN226" s="120"/>
      <c r="HO226" s="123"/>
      <c r="HP226" s="120"/>
      <c r="HQ226" s="205"/>
      <c r="HR226" s="205"/>
      <c r="HS226" s="205"/>
      <c r="HT226" s="120"/>
      <c r="HU226" s="120"/>
      <c r="HV226" s="120"/>
      <c r="HW226" s="120"/>
      <c r="HX226" s="120"/>
      <c r="HY226" s="205"/>
      <c r="HZ226" s="205"/>
      <c r="IA226" s="205"/>
      <c r="IB226" s="120"/>
      <c r="IC226" s="120"/>
      <c r="ID226" s="120"/>
      <c r="IE226" s="120"/>
      <c r="IF226" s="120"/>
      <c r="IG226" s="205"/>
      <c r="IH226" s="205"/>
      <c r="II226" s="205"/>
      <c r="IJ226" s="120"/>
      <c r="IK226" s="120"/>
      <c r="IL226" s="201"/>
      <c r="IM226" s="120"/>
      <c r="IN226" s="120"/>
      <c r="IO226" s="205"/>
      <c r="IP226" s="205"/>
      <c r="IQ226" s="205"/>
      <c r="IR226" s="205"/>
      <c r="IS226" s="120"/>
      <c r="IT226" s="120"/>
      <c r="IU226" s="120"/>
      <c r="IV226" s="120"/>
      <c r="IW226" s="120"/>
      <c r="IX226" s="205"/>
      <c r="IY226" s="205"/>
      <c r="IZ226" s="205"/>
      <c r="JA226" s="120"/>
      <c r="JB226" s="120"/>
      <c r="JC226" s="120"/>
      <c r="JD226" s="120"/>
      <c r="JE226" s="120"/>
      <c r="JF226" s="205"/>
      <c r="JG226" s="205"/>
      <c r="JH226" s="205"/>
      <c r="JI226" s="120"/>
      <c r="JJ226" s="120"/>
      <c r="JK226" s="120"/>
      <c r="JL226" s="120"/>
      <c r="JM226" s="120"/>
      <c r="JN226" s="205"/>
      <c r="JO226" s="205"/>
      <c r="JP226" s="205"/>
      <c r="JQ226" s="120"/>
      <c r="JR226" s="120"/>
      <c r="JS226" s="120"/>
      <c r="JT226" s="120"/>
      <c r="JU226" s="120"/>
      <c r="JV226" s="205"/>
      <c r="JW226" s="205"/>
      <c r="JX226" s="205"/>
      <c r="JY226" s="205"/>
      <c r="JZ226" s="120"/>
      <c r="KA226" s="120"/>
      <c r="KB226" s="120"/>
      <c r="KC226" s="120"/>
      <c r="KD226" s="120"/>
      <c r="KE226" s="205"/>
      <c r="KF226" s="205"/>
      <c r="KG226" s="205"/>
      <c r="KH226" s="120"/>
      <c r="KI226" s="120"/>
      <c r="KJ226" s="120"/>
      <c r="KK226" s="206"/>
      <c r="KL226" s="120"/>
      <c r="KM226" s="205"/>
      <c r="KN226" s="205"/>
      <c r="KO226" s="205"/>
      <c r="KP226" s="120"/>
      <c r="KQ226" s="120"/>
      <c r="KR226" s="120"/>
      <c r="KS226" s="120"/>
      <c r="KT226" s="120"/>
      <c r="KU226" s="205"/>
      <c r="KV226" s="205"/>
      <c r="KW226" s="205"/>
      <c r="KX226" s="120"/>
      <c r="KY226" s="120"/>
      <c r="KZ226" s="120"/>
      <c r="LA226" s="120"/>
      <c r="LB226" s="120"/>
      <c r="LC226" s="205"/>
      <c r="LD226" s="205"/>
      <c r="LE226" s="205"/>
      <c r="LF226" s="205"/>
      <c r="LG226" s="120"/>
      <c r="LH226" s="120"/>
      <c r="LI226" s="120"/>
      <c r="LJ226" s="120"/>
      <c r="LK226" s="205"/>
      <c r="LL226" s="205"/>
      <c r="LM226" s="205"/>
      <c r="LN226" s="205"/>
      <c r="LO226" s="205"/>
      <c r="LP226" s="120"/>
      <c r="LQ226" s="120"/>
      <c r="LR226" s="120"/>
      <c r="LS226" s="205"/>
      <c r="LT226" s="205"/>
      <c r="LU226" s="205"/>
      <c r="LV226" s="205"/>
      <c r="LW226" s="120"/>
      <c r="LX226" s="120"/>
      <c r="LY226" s="124"/>
      <c r="LZ226" s="120"/>
      <c r="MA226" s="120"/>
      <c r="MB226" s="205"/>
      <c r="MC226" s="205"/>
      <c r="MD226" s="205"/>
      <c r="ME226" s="120"/>
      <c r="MF226" s="120"/>
      <c r="MG226" s="120"/>
      <c r="MH226" s="201"/>
      <c r="MI226" s="205"/>
      <c r="MJ226" s="205"/>
      <c r="MK226" s="205"/>
      <c r="ML226" s="205"/>
      <c r="MM226" s="120"/>
      <c r="MN226" s="120"/>
      <c r="MO226" s="120"/>
      <c r="MP226" s="120"/>
      <c r="MQ226" s="120"/>
      <c r="MR226" s="205"/>
      <c r="MS226" s="205"/>
      <c r="MT226" s="205"/>
      <c r="MU226" s="205"/>
      <c r="MV226" s="120"/>
      <c r="MW226" s="120"/>
      <c r="MX226" s="195"/>
      <c r="MY226" s="120"/>
      <c r="MZ226" s="120"/>
      <c r="NA226" s="205"/>
      <c r="NB226" s="205"/>
      <c r="NC226" s="205"/>
      <c r="ND226" s="120"/>
      <c r="NE226" s="120"/>
      <c r="NF226" s="120"/>
      <c r="NG226" s="120"/>
      <c r="NH226" s="120"/>
      <c r="NI226" s="205"/>
      <c r="NJ226" s="205"/>
      <c r="NK226" s="205"/>
      <c r="NL226" s="120"/>
      <c r="NM226" s="120"/>
      <c r="NN226" s="120"/>
      <c r="NO226" s="120"/>
      <c r="NP226" s="120"/>
      <c r="NQ226" s="205"/>
      <c r="NR226" s="205"/>
      <c r="NS226" s="205"/>
      <c r="NT226" s="217"/>
      <c r="NU226" s="120"/>
      <c r="NV226" s="120"/>
      <c r="NW226" s="120"/>
      <c r="NX226" s="120"/>
      <c r="NY226" s="205"/>
      <c r="NZ226" s="205"/>
      <c r="OA226" s="205"/>
      <c r="OB226" s="205"/>
      <c r="OC226" s="120"/>
      <c r="OD226" s="120"/>
      <c r="OE226" s="120"/>
      <c r="OF226" s="120"/>
      <c r="OG226" s="120"/>
      <c r="OH226" s="205"/>
      <c r="OI226" s="205"/>
      <c r="OJ226" s="205"/>
      <c r="OK226" s="120"/>
      <c r="OL226" s="120"/>
      <c r="OM226" s="120"/>
      <c r="ON226" s="120"/>
      <c r="OO226" s="120"/>
      <c r="OP226" s="205"/>
      <c r="OQ226" s="205"/>
      <c r="OR226" s="205"/>
      <c r="OS226" s="120"/>
      <c r="OT226" s="120"/>
      <c r="OU226" s="120"/>
      <c r="OV226" s="120"/>
      <c r="OW226" s="120"/>
      <c r="OX226" s="205"/>
      <c r="OY226" s="205"/>
      <c r="OZ226" s="205"/>
      <c r="PA226" s="120"/>
      <c r="PB226" s="120"/>
      <c r="PC226" s="120"/>
      <c r="PD226" s="205"/>
      <c r="PE226" s="217"/>
      <c r="PF226" s="205"/>
      <c r="PG226" s="205"/>
      <c r="PH226" s="205"/>
      <c r="PI226" s="120"/>
      <c r="PJ226" s="120"/>
      <c r="PK226" s="120"/>
      <c r="PL226" s="205"/>
      <c r="PM226" s="217"/>
      <c r="PN226" s="205"/>
      <c r="PO226" s="205"/>
      <c r="PP226" s="205"/>
      <c r="PQ226" s="205"/>
      <c r="PR226" s="120"/>
      <c r="PS226" s="207"/>
      <c r="PT226" s="207"/>
      <c r="PU226" s="207"/>
      <c r="PV226" s="207"/>
      <c r="PW226" s="272"/>
      <c r="PX226" s="272"/>
      <c r="PY226" s="205"/>
      <c r="PZ226" s="207"/>
      <c r="QA226" s="207"/>
      <c r="QB226" s="207"/>
      <c r="QC226" s="207"/>
      <c r="QD226" s="207"/>
      <c r="QE226" s="272"/>
      <c r="QF226" s="272"/>
      <c r="QG226" s="205"/>
      <c r="QH226" s="207"/>
      <c r="QI226" s="207"/>
      <c r="QJ226" s="294"/>
      <c r="QK226" s="207"/>
      <c r="QL226" s="207"/>
      <c r="QM226" s="272"/>
      <c r="QN226" s="272"/>
      <c r="QO226" s="205"/>
      <c r="QP226" s="207"/>
      <c r="QQ226" s="207"/>
      <c r="QR226" s="207"/>
      <c r="QS226" s="207"/>
      <c r="QT226" s="120"/>
      <c r="QU226" s="272"/>
      <c r="QV226" s="272"/>
      <c r="QW226" s="205"/>
      <c r="QX226" s="205"/>
      <c r="QY226" s="207"/>
      <c r="QZ226" s="207"/>
      <c r="RA226" s="207"/>
      <c r="RB226" s="207"/>
      <c r="RC226" s="207"/>
      <c r="RD226" s="272"/>
      <c r="RE226" s="272"/>
      <c r="RF226" s="205"/>
      <c r="RG226" s="207"/>
      <c r="RH226" s="207"/>
      <c r="RI226" s="207"/>
      <c r="RJ226" s="120"/>
      <c r="RK226" s="207"/>
      <c r="RL226" s="272"/>
      <c r="RM226" s="272"/>
      <c r="RN226" s="205"/>
      <c r="RO226" s="272"/>
      <c r="RP226" s="272"/>
      <c r="RQ226" s="272"/>
      <c r="RR226" s="272"/>
      <c r="RS226" s="272"/>
      <c r="RT226" s="272"/>
      <c r="RU226" s="272"/>
      <c r="RV226" s="205"/>
      <c r="RW226" s="207"/>
      <c r="RX226" s="207"/>
      <c r="RY226" s="207"/>
      <c r="RZ226" s="207"/>
      <c r="SA226" s="272"/>
      <c r="SB226" s="272"/>
      <c r="SC226" s="272"/>
      <c r="SD226" s="205"/>
      <c r="SE226" s="205"/>
      <c r="SF226" s="207"/>
      <c r="SG226" s="207"/>
      <c r="SH226" s="207"/>
      <c r="SI226" s="207"/>
      <c r="SJ226" s="207"/>
      <c r="SK226" s="272"/>
      <c r="SL226" s="272"/>
      <c r="SM226" s="205"/>
      <c r="SN226" s="207"/>
      <c r="SO226" s="207"/>
      <c r="SP226" s="207"/>
      <c r="SQ226" s="207"/>
      <c r="SR226" s="207"/>
      <c r="SS226" s="272"/>
      <c r="ST226" s="272"/>
      <c r="SU226" s="205"/>
      <c r="SV226" s="207"/>
      <c r="SW226" s="207"/>
      <c r="SX226" s="207"/>
      <c r="SY226" s="207"/>
      <c r="SZ226" s="207"/>
      <c r="TA226" s="272"/>
      <c r="TB226" s="272"/>
      <c r="TC226" s="205">
        <f t="shared" si="2102"/>
        <v>0</v>
      </c>
      <c r="TD226" s="207"/>
      <c r="TE226" s="207"/>
      <c r="TF226" s="207"/>
      <c r="TG226" s="207"/>
      <c r="TH226" s="207"/>
      <c r="TI226" s="272"/>
      <c r="TJ226" s="272"/>
      <c r="TK226" s="205">
        <f t="shared" si="2142"/>
        <v>0</v>
      </c>
      <c r="TL226" s="140"/>
      <c r="TM226" s="140"/>
      <c r="TN226" s="140"/>
      <c r="TO226" s="140"/>
      <c r="TP226" s="370"/>
      <c r="TQ226" s="272"/>
      <c r="TR226" s="272"/>
      <c r="TS226" s="205">
        <f t="shared" si="2153"/>
        <v>0</v>
      </c>
      <c r="TT226" s="205">
        <f t="shared" si="2154"/>
        <v>0</v>
      </c>
      <c r="TU226" s="272"/>
      <c r="TV226" s="207"/>
      <c r="TW226" s="207"/>
      <c r="TX226" s="207"/>
      <c r="TY226" s="207"/>
      <c r="TZ226" s="272"/>
      <c r="UA226" s="272"/>
      <c r="UB226" s="205">
        <f t="shared" si="2012"/>
        <v>0</v>
      </c>
      <c r="UC226" s="207"/>
      <c r="UD226" s="207"/>
      <c r="UE226" s="120"/>
      <c r="UF226" s="120"/>
      <c r="UG226" s="207"/>
      <c r="UH226" s="272"/>
      <c r="UI226" s="272"/>
      <c r="UJ226" s="205">
        <f t="shared" si="2013"/>
        <v>0</v>
      </c>
      <c r="UK226" s="207"/>
      <c r="UL226" s="207"/>
      <c r="UM226" s="120"/>
      <c r="UN226" s="120"/>
      <c r="UO226" s="356"/>
      <c r="UP226" s="272"/>
      <c r="UQ226" s="272"/>
      <c r="UR226" s="205">
        <f t="shared" si="2014"/>
        <v>0</v>
      </c>
      <c r="US226" s="207"/>
      <c r="UT226" s="207"/>
      <c r="UU226" s="207"/>
      <c r="UV226" s="207"/>
      <c r="UW226" s="272"/>
      <c r="UX226" s="272"/>
      <c r="UY226" s="272"/>
      <c r="UZ226" s="205">
        <f t="shared" si="2145"/>
        <v>0</v>
      </c>
      <c r="VA226" s="205">
        <f ca="1">SUM(TN226:TR226,UB226,UJ226,UR226,US226:VD226)</f>
        <v>90</v>
      </c>
      <c r="VB226" s="207"/>
      <c r="VC226" s="120"/>
      <c r="VD226" s="207"/>
      <c r="VE226" s="207"/>
      <c r="VF226" s="207"/>
      <c r="VG226" s="272"/>
      <c r="VH226" s="272"/>
      <c r="VI226" s="205">
        <f t="shared" si="2005"/>
        <v>0</v>
      </c>
      <c r="VJ226" s="207"/>
      <c r="VK226" s="207"/>
      <c r="VL226" s="207"/>
      <c r="VM226" s="207"/>
      <c r="VN226" s="307">
        <v>90</v>
      </c>
      <c r="VO226" s="272"/>
      <c r="VP226" s="272"/>
      <c r="VQ226" s="205">
        <f t="shared" si="2015"/>
        <v>90</v>
      </c>
      <c r="VR226" s="207"/>
      <c r="VS226" s="207"/>
      <c r="VT226" s="207"/>
      <c r="VU226" s="207"/>
      <c r="VV226" s="207"/>
      <c r="VW226" s="272"/>
      <c r="VX226" s="272"/>
      <c r="VY226" s="205">
        <f t="shared" si="2006"/>
        <v>0</v>
      </c>
      <c r="VZ226" s="207"/>
      <c r="WA226" s="207"/>
      <c r="WB226" s="207"/>
      <c r="WC226" s="201">
        <v>910</v>
      </c>
      <c r="WD226" s="207"/>
      <c r="WE226" s="272"/>
      <c r="WF226" s="272"/>
      <c r="WG226" s="205">
        <f t="shared" si="2007"/>
        <v>910</v>
      </c>
      <c r="WH226" s="205">
        <f t="shared" si="2008"/>
        <v>1000</v>
      </c>
      <c r="WI226" s="207"/>
      <c r="WJ226" s="207"/>
      <c r="WK226" s="207"/>
      <c r="WL226" s="207"/>
      <c r="WM226" s="207"/>
      <c r="WN226" s="272"/>
      <c r="WO226" s="272"/>
      <c r="WP226" s="205">
        <f t="shared" si="2016"/>
        <v>0</v>
      </c>
      <c r="WQ226" s="207"/>
      <c r="WR226" s="207"/>
      <c r="WS226" s="207"/>
      <c r="WT226" s="207"/>
      <c r="WU226" s="207"/>
      <c r="WV226" s="272"/>
      <c r="WW226" s="272"/>
      <c r="WX226" s="205">
        <f t="shared" si="2017"/>
        <v>0</v>
      </c>
      <c r="WY226" s="392">
        <v>90</v>
      </c>
      <c r="WZ226" s="207"/>
      <c r="XA226" s="207"/>
      <c r="XB226" s="124">
        <v>500</v>
      </c>
      <c r="XC226" s="272"/>
      <c r="XD226" s="272"/>
      <c r="XE226" s="272"/>
      <c r="XF226" s="205">
        <f t="shared" si="2009"/>
        <v>590</v>
      </c>
      <c r="XG226" s="207"/>
      <c r="XH226" s="207"/>
      <c r="XI226" s="207"/>
      <c r="XJ226" s="207"/>
      <c r="XK226" s="207"/>
      <c r="XL226" s="272"/>
      <c r="XM226" s="272"/>
      <c r="XN226" s="205"/>
      <c r="XO226" s="207"/>
      <c r="XP226" s="207"/>
      <c r="XQ226" s="207"/>
      <c r="XR226" s="207"/>
      <c r="XS226" s="207"/>
      <c r="XT226" s="272"/>
      <c r="XU226" s="272"/>
      <c r="XV226" s="205"/>
      <c r="XW226" s="205"/>
      <c r="XX226" s="207"/>
      <c r="XY226" s="207"/>
      <c r="XZ226" s="207"/>
      <c r="YA226" s="207"/>
      <c r="YB226" s="207"/>
      <c r="YC226" s="272"/>
      <c r="YD226" s="272"/>
      <c r="YE226" s="205">
        <f t="shared" si="2018"/>
        <v>0</v>
      </c>
      <c r="YF226" s="207"/>
      <c r="YG226" s="207"/>
      <c r="YH226" s="207"/>
      <c r="YI226" s="207"/>
      <c r="YJ226" s="207"/>
      <c r="YK226" s="272"/>
      <c r="YL226" s="272"/>
      <c r="YM226" s="205">
        <f t="shared" si="2019"/>
        <v>0</v>
      </c>
      <c r="YN226" s="207"/>
      <c r="YO226" s="207"/>
      <c r="YP226" s="207"/>
      <c r="YQ226" s="207"/>
      <c r="YR226" s="207"/>
      <c r="YS226" s="272"/>
      <c r="YT226" s="272"/>
      <c r="YU226" s="205">
        <f t="shared" si="2020"/>
        <v>0</v>
      </c>
      <c r="YV226" s="207"/>
      <c r="YW226" s="207"/>
      <c r="YX226" s="207"/>
      <c r="YY226" s="207"/>
      <c r="YZ226" s="207"/>
      <c r="ZA226" s="272"/>
      <c r="ZB226" s="272"/>
      <c r="ZC226" s="205">
        <f t="shared" si="2021"/>
        <v>0</v>
      </c>
      <c r="ZD226" s="205">
        <f t="shared" si="2022"/>
        <v>0</v>
      </c>
      <c r="ZE226" s="207"/>
      <c r="ZF226" s="207"/>
      <c r="ZG226" s="207"/>
      <c r="ZH226" s="207"/>
      <c r="ZI226" s="207"/>
      <c r="ZJ226" s="272"/>
      <c r="ZK226" s="272"/>
      <c r="ZL226" s="205">
        <f t="shared" si="2023"/>
        <v>0</v>
      </c>
      <c r="ZM226" s="207"/>
      <c r="ZN226" s="207"/>
      <c r="ZO226" s="207"/>
      <c r="ZP226" s="207"/>
      <c r="ZQ226" s="207"/>
      <c r="ZR226" s="272"/>
      <c r="ZS226" s="272"/>
      <c r="ZT226" s="205">
        <f t="shared" si="2010"/>
        <v>0</v>
      </c>
      <c r="ZU226" s="207"/>
      <c r="ZV226" s="207"/>
      <c r="ZW226" s="207"/>
      <c r="ZX226" s="207"/>
      <c r="ZY226" s="207"/>
      <c r="ZZ226" s="272"/>
      <c r="AAA226" s="272"/>
      <c r="AAB226" s="205">
        <f t="shared" si="2024"/>
        <v>0</v>
      </c>
      <c r="AAC226" s="207"/>
      <c r="AAD226" s="207"/>
      <c r="AAE226" s="207"/>
      <c r="AAF226" s="207"/>
      <c r="AAG226" s="207"/>
      <c r="AAH226" s="272"/>
      <c r="AAI226" s="272"/>
      <c r="AAJ226" s="205">
        <f t="shared" si="2011"/>
        <v>0</v>
      </c>
      <c r="AAK226" s="207"/>
      <c r="AAL226" s="207"/>
      <c r="AAM226" s="207"/>
      <c r="AAN226" s="207"/>
      <c r="AAO226" s="207"/>
      <c r="AAP226" s="272"/>
      <c r="AAQ226" s="272"/>
      <c r="AAR226" s="205">
        <f t="shared" si="2025"/>
        <v>0</v>
      </c>
      <c r="AAS226" s="205">
        <f t="shared" si="2026"/>
        <v>0</v>
      </c>
    </row>
    <row r="227" spans="1:721" ht="74.099999999999994" customHeight="1">
      <c r="B227" s="313"/>
      <c r="C227" s="362" t="s">
        <v>899</v>
      </c>
      <c r="D227" s="357" t="s">
        <v>924</v>
      </c>
      <c r="E227" s="130" t="s">
        <v>4</v>
      </c>
      <c r="F227" s="120"/>
      <c r="G227" s="120"/>
      <c r="H227" s="120"/>
      <c r="I227" s="120"/>
      <c r="J227" s="120"/>
      <c r="K227" s="209"/>
      <c r="L227" s="205"/>
      <c r="M227" s="205">
        <f t="shared" si="2108"/>
        <v>0</v>
      </c>
      <c r="N227" s="120"/>
      <c r="O227" s="120"/>
      <c r="P227" s="120"/>
      <c r="Q227" s="120"/>
      <c r="R227" s="120"/>
      <c r="S227" s="209"/>
      <c r="T227" s="205"/>
      <c r="U227" s="205"/>
      <c r="V227" s="120"/>
      <c r="W227" s="120"/>
      <c r="X227" s="120"/>
      <c r="Y227" s="120"/>
      <c r="Z227" s="120"/>
      <c r="AA227" s="209"/>
      <c r="AB227" s="205"/>
      <c r="AC227" s="205"/>
      <c r="AD227" s="205"/>
      <c r="AE227" s="205"/>
      <c r="AF227" s="205"/>
      <c r="AG227" s="205"/>
      <c r="AH227" s="205"/>
      <c r="AI227" s="209"/>
      <c r="AJ227" s="205"/>
      <c r="AK227" s="205"/>
      <c r="AL227" s="205"/>
      <c r="AM227" s="120"/>
      <c r="AN227" s="120"/>
      <c r="AO227" s="120"/>
      <c r="AP227" s="120"/>
      <c r="AQ227" s="120"/>
      <c r="AR227" s="209"/>
      <c r="AS227" s="205"/>
      <c r="AT227" s="205"/>
      <c r="AU227" s="120"/>
      <c r="AV227" s="120"/>
      <c r="AW227" s="120"/>
      <c r="AX227" s="120"/>
      <c r="AY227" s="120"/>
      <c r="AZ227" s="209"/>
      <c r="BA227" s="205"/>
      <c r="BB227" s="205"/>
      <c r="BC227" s="120"/>
      <c r="BD227" s="120"/>
      <c r="BE227" s="120"/>
      <c r="BF227" s="120"/>
      <c r="BG227" s="120"/>
      <c r="BH227" s="209"/>
      <c r="BI227" s="205"/>
      <c r="BJ227" s="205"/>
      <c r="BK227" s="120"/>
      <c r="BL227" s="120"/>
      <c r="BM227" s="217"/>
      <c r="BN227" s="120"/>
      <c r="BO227" s="205"/>
      <c r="BP227" s="209"/>
      <c r="BQ227" s="205"/>
      <c r="BR227" s="205"/>
      <c r="BS227" s="205"/>
      <c r="BT227" s="120"/>
      <c r="BU227" s="250"/>
      <c r="BV227" s="120"/>
      <c r="BW227" s="120"/>
      <c r="BX227" s="120"/>
      <c r="BY227" s="209"/>
      <c r="BZ227" s="205"/>
      <c r="CA227" s="205"/>
      <c r="CB227" s="120"/>
      <c r="CC227" s="120"/>
      <c r="CD227" s="120"/>
      <c r="CE227" s="120"/>
      <c r="CF227" s="120"/>
      <c r="CG227" s="209"/>
      <c r="CH227" s="205"/>
      <c r="CI227" s="205"/>
      <c r="CJ227" s="120"/>
      <c r="CK227" s="120"/>
      <c r="CL227" s="250"/>
      <c r="CM227" s="120"/>
      <c r="CN227" s="120"/>
      <c r="CO227" s="209"/>
      <c r="CP227" s="205"/>
      <c r="CQ227" s="205"/>
      <c r="CR227" s="120"/>
      <c r="CS227" s="120"/>
      <c r="CT227" s="120"/>
      <c r="CU227" s="120"/>
      <c r="CV227" s="120"/>
      <c r="CW227" s="209"/>
      <c r="CX227" s="205"/>
      <c r="CY227" s="205"/>
      <c r="CZ227" s="120"/>
      <c r="DA227" s="120"/>
      <c r="DB227" s="120"/>
      <c r="DC227" s="205"/>
      <c r="DD227" s="205"/>
      <c r="DE227" s="209"/>
      <c r="DF227" s="205"/>
      <c r="DG227" s="205"/>
      <c r="DH227" s="205"/>
      <c r="DI227" s="120"/>
      <c r="DJ227" s="120"/>
      <c r="DK227" s="120"/>
      <c r="DL227" s="120"/>
      <c r="DM227" s="120"/>
      <c r="DN227" s="209"/>
      <c r="DO227" s="205"/>
      <c r="DP227" s="205"/>
      <c r="DQ227" s="217"/>
      <c r="DR227" s="120"/>
      <c r="DS227" s="120"/>
      <c r="DT227" s="120"/>
      <c r="DU227" s="120"/>
      <c r="DV227" s="209"/>
      <c r="DW227" s="205"/>
      <c r="DX227" s="205"/>
      <c r="DY227" s="120"/>
      <c r="DZ227" s="120"/>
      <c r="EA227" s="120"/>
      <c r="EB227" s="120"/>
      <c r="EC227" s="120"/>
      <c r="ED227" s="209"/>
      <c r="EE227" s="205"/>
      <c r="EF227" s="205"/>
      <c r="EG227" s="120"/>
      <c r="EH227" s="120"/>
      <c r="EI227" s="120"/>
      <c r="EJ227" s="205"/>
      <c r="EK227" s="205"/>
      <c r="EL227" s="209"/>
      <c r="EM227" s="205"/>
      <c r="EN227" s="205"/>
      <c r="EO227" s="205"/>
      <c r="EP227" s="120"/>
      <c r="EQ227" s="250"/>
      <c r="ER227" s="120"/>
      <c r="ES227" s="120"/>
      <c r="ET227" s="120"/>
      <c r="EU227" s="209"/>
      <c r="EV227" s="205"/>
      <c r="EW227" s="205"/>
      <c r="EX227" s="120"/>
      <c r="EY227" s="120"/>
      <c r="EZ227" s="120"/>
      <c r="FA227" s="120"/>
      <c r="FB227" s="120"/>
      <c r="FC227" s="209"/>
      <c r="FD227" s="205"/>
      <c r="FE227" s="205"/>
      <c r="FF227" s="120"/>
      <c r="FG227" s="195"/>
      <c r="FH227" s="120"/>
      <c r="FI227" s="120"/>
      <c r="FJ227" s="120"/>
      <c r="FK227" s="209"/>
      <c r="FL227" s="205"/>
      <c r="FM227" s="205"/>
      <c r="FN227" s="120"/>
      <c r="FO227" s="120"/>
      <c r="FP227" s="120"/>
      <c r="FQ227" s="120"/>
      <c r="FR227" s="205"/>
      <c r="FS227" s="209"/>
      <c r="FT227" s="205"/>
      <c r="FU227" s="205"/>
      <c r="FV227" s="205"/>
      <c r="FW227" s="120"/>
      <c r="FX227" s="120"/>
      <c r="FY227" s="120"/>
      <c r="FZ227" s="120"/>
      <c r="GA227" s="120"/>
      <c r="GB227" s="209"/>
      <c r="GC227" s="205"/>
      <c r="GD227" s="205"/>
      <c r="GE227" s="120"/>
      <c r="GF227" s="120"/>
      <c r="GG227" s="120"/>
      <c r="GH227" s="120"/>
      <c r="GI227" s="120"/>
      <c r="GJ227" s="209"/>
      <c r="GK227" s="205"/>
      <c r="GL227" s="205"/>
      <c r="GM227" s="120"/>
      <c r="GN227" s="120"/>
      <c r="GO227" s="120"/>
      <c r="GP227" s="120"/>
      <c r="GQ227" s="120"/>
      <c r="GR227" s="209"/>
      <c r="GS227" s="205"/>
      <c r="GT227" s="205"/>
      <c r="GU227" s="120"/>
      <c r="GV227" s="120"/>
      <c r="GW227" s="120"/>
      <c r="GX227" s="120"/>
      <c r="GY227" s="120"/>
      <c r="GZ227" s="209"/>
      <c r="HA227" s="205"/>
      <c r="HB227" s="205"/>
      <c r="HC227" s="120"/>
      <c r="HD227" s="120"/>
      <c r="HE227" s="120"/>
      <c r="HF227" s="120"/>
      <c r="HG227" s="120"/>
      <c r="HH227" s="209"/>
      <c r="HI227" s="205"/>
      <c r="HJ227" s="205"/>
      <c r="HK227" s="205"/>
      <c r="HL227" s="124"/>
      <c r="HM227" s="120"/>
      <c r="HN227" s="120"/>
      <c r="HO227" s="123"/>
      <c r="HP227" s="120"/>
      <c r="HQ227" s="205"/>
      <c r="HR227" s="205"/>
      <c r="HS227" s="205"/>
      <c r="HT227" s="120"/>
      <c r="HU227" s="120"/>
      <c r="HV227" s="120"/>
      <c r="HW227" s="120"/>
      <c r="HX227" s="120"/>
      <c r="HY227" s="205"/>
      <c r="HZ227" s="205"/>
      <c r="IA227" s="205"/>
      <c r="IB227" s="120"/>
      <c r="IC227" s="120"/>
      <c r="ID227" s="120"/>
      <c r="IE227" s="120"/>
      <c r="IF227" s="120"/>
      <c r="IG227" s="205"/>
      <c r="IH227" s="205"/>
      <c r="II227" s="205"/>
      <c r="IJ227" s="120"/>
      <c r="IK227" s="120"/>
      <c r="IL227" s="201"/>
      <c r="IM227" s="120"/>
      <c r="IN227" s="120"/>
      <c r="IO227" s="205"/>
      <c r="IP227" s="205"/>
      <c r="IQ227" s="205"/>
      <c r="IR227" s="205"/>
      <c r="IS227" s="120"/>
      <c r="IT227" s="120"/>
      <c r="IU227" s="120"/>
      <c r="IV227" s="120"/>
      <c r="IW227" s="120"/>
      <c r="IX227" s="205"/>
      <c r="IY227" s="205"/>
      <c r="IZ227" s="205"/>
      <c r="JA227" s="120"/>
      <c r="JB227" s="120"/>
      <c r="JC227" s="120"/>
      <c r="JD227" s="120"/>
      <c r="JE227" s="120"/>
      <c r="JF227" s="205"/>
      <c r="JG227" s="205"/>
      <c r="JH227" s="205"/>
      <c r="JI227" s="120"/>
      <c r="JJ227" s="120"/>
      <c r="JK227" s="120"/>
      <c r="JL227" s="120"/>
      <c r="JM227" s="120"/>
      <c r="JN227" s="205"/>
      <c r="JO227" s="205"/>
      <c r="JP227" s="205"/>
      <c r="JQ227" s="120"/>
      <c r="JR227" s="120"/>
      <c r="JS227" s="120"/>
      <c r="JT227" s="120"/>
      <c r="JU227" s="120"/>
      <c r="JV227" s="205"/>
      <c r="JW227" s="205"/>
      <c r="JX227" s="205"/>
      <c r="JY227" s="205"/>
      <c r="JZ227" s="120"/>
      <c r="KA227" s="120"/>
      <c r="KB227" s="120"/>
      <c r="KC227" s="120"/>
      <c r="KD227" s="120"/>
      <c r="KE227" s="205"/>
      <c r="KF227" s="205"/>
      <c r="KG227" s="205"/>
      <c r="KH227" s="120"/>
      <c r="KI227" s="120"/>
      <c r="KJ227" s="120"/>
      <c r="KK227" s="206"/>
      <c r="KL227" s="120"/>
      <c r="KM227" s="205"/>
      <c r="KN227" s="205"/>
      <c r="KO227" s="205"/>
      <c r="KP227" s="120"/>
      <c r="KQ227" s="120"/>
      <c r="KR227" s="120"/>
      <c r="KS227" s="120"/>
      <c r="KT227" s="120"/>
      <c r="KU227" s="205"/>
      <c r="KV227" s="205"/>
      <c r="KW227" s="205"/>
      <c r="KX227" s="120"/>
      <c r="KY227" s="120"/>
      <c r="KZ227" s="120"/>
      <c r="LA227" s="120"/>
      <c r="LB227" s="120"/>
      <c r="LC227" s="205"/>
      <c r="LD227" s="205"/>
      <c r="LE227" s="205"/>
      <c r="LF227" s="205"/>
      <c r="LG227" s="120"/>
      <c r="LH227" s="120"/>
      <c r="LI227" s="120"/>
      <c r="LJ227" s="120"/>
      <c r="LK227" s="205"/>
      <c r="LL227" s="205"/>
      <c r="LM227" s="205"/>
      <c r="LN227" s="205"/>
      <c r="LO227" s="205"/>
      <c r="LP227" s="120"/>
      <c r="LQ227" s="120"/>
      <c r="LR227" s="120"/>
      <c r="LS227" s="205"/>
      <c r="LT227" s="205"/>
      <c r="LU227" s="205"/>
      <c r="LV227" s="205"/>
      <c r="LW227" s="120"/>
      <c r="LX227" s="120"/>
      <c r="LY227" s="124"/>
      <c r="LZ227" s="120"/>
      <c r="MA227" s="120"/>
      <c r="MB227" s="205"/>
      <c r="MC227" s="205"/>
      <c r="MD227" s="205"/>
      <c r="ME227" s="120"/>
      <c r="MF227" s="120"/>
      <c r="MG227" s="120"/>
      <c r="MH227" s="201"/>
      <c r="MI227" s="205"/>
      <c r="MJ227" s="205"/>
      <c r="MK227" s="205"/>
      <c r="ML227" s="205"/>
      <c r="MM227" s="120"/>
      <c r="MN227" s="120"/>
      <c r="MO227" s="120"/>
      <c r="MP227" s="120"/>
      <c r="MQ227" s="120"/>
      <c r="MR227" s="205"/>
      <c r="MS227" s="205"/>
      <c r="MT227" s="205"/>
      <c r="MU227" s="205"/>
      <c r="MV227" s="120"/>
      <c r="MW227" s="120"/>
      <c r="MX227" s="195"/>
      <c r="MY227" s="120"/>
      <c r="MZ227" s="120"/>
      <c r="NA227" s="205"/>
      <c r="NB227" s="205"/>
      <c r="NC227" s="205"/>
      <c r="ND227" s="120"/>
      <c r="NE227" s="120"/>
      <c r="NF227" s="120"/>
      <c r="NG227" s="120"/>
      <c r="NH227" s="120"/>
      <c r="NI227" s="205"/>
      <c r="NJ227" s="205"/>
      <c r="NK227" s="205"/>
      <c r="NL227" s="120"/>
      <c r="NM227" s="120"/>
      <c r="NN227" s="120"/>
      <c r="NO227" s="120"/>
      <c r="NP227" s="120"/>
      <c r="NQ227" s="205"/>
      <c r="NR227" s="205"/>
      <c r="NS227" s="205"/>
      <c r="NT227" s="217"/>
      <c r="NU227" s="120"/>
      <c r="NV227" s="120"/>
      <c r="NW227" s="120"/>
      <c r="NX227" s="120"/>
      <c r="NY227" s="205"/>
      <c r="NZ227" s="205"/>
      <c r="OA227" s="205"/>
      <c r="OB227" s="205"/>
      <c r="OC227" s="120"/>
      <c r="OD227" s="120"/>
      <c r="OE227" s="120"/>
      <c r="OF227" s="120"/>
      <c r="OG227" s="120"/>
      <c r="OH227" s="205"/>
      <c r="OI227" s="205"/>
      <c r="OJ227" s="205"/>
      <c r="OK227" s="120"/>
      <c r="OL227" s="120"/>
      <c r="OM227" s="120"/>
      <c r="ON227" s="120"/>
      <c r="OO227" s="120"/>
      <c r="OP227" s="205"/>
      <c r="OQ227" s="205"/>
      <c r="OR227" s="205"/>
      <c r="OS227" s="120"/>
      <c r="OT227" s="120"/>
      <c r="OU227" s="120"/>
      <c r="OV227" s="120"/>
      <c r="OW227" s="120"/>
      <c r="OX227" s="205"/>
      <c r="OY227" s="205"/>
      <c r="OZ227" s="205"/>
      <c r="PA227" s="120"/>
      <c r="PB227" s="120"/>
      <c r="PC227" s="120"/>
      <c r="PD227" s="205"/>
      <c r="PE227" s="217"/>
      <c r="PF227" s="205"/>
      <c r="PG227" s="205"/>
      <c r="PH227" s="205"/>
      <c r="PI227" s="120"/>
      <c r="PJ227" s="120"/>
      <c r="PK227" s="120"/>
      <c r="PL227" s="205"/>
      <c r="PM227" s="217"/>
      <c r="PN227" s="205"/>
      <c r="PO227" s="205"/>
      <c r="PP227" s="205"/>
      <c r="PQ227" s="205"/>
      <c r="PR227" s="120"/>
      <c r="PS227" s="207"/>
      <c r="PT227" s="207"/>
      <c r="PU227" s="207"/>
      <c r="PV227" s="207"/>
      <c r="PW227" s="272"/>
      <c r="PX227" s="272"/>
      <c r="PY227" s="205"/>
      <c r="PZ227" s="207"/>
      <c r="QA227" s="207"/>
      <c r="QB227" s="207"/>
      <c r="QC227" s="207"/>
      <c r="QD227" s="207"/>
      <c r="QE227" s="272"/>
      <c r="QF227" s="272"/>
      <c r="QG227" s="205"/>
      <c r="QH227" s="207"/>
      <c r="QI227" s="207"/>
      <c r="QJ227" s="294"/>
      <c r="QK227" s="207"/>
      <c r="QL227" s="207"/>
      <c r="QM227" s="272"/>
      <c r="QN227" s="272"/>
      <c r="QO227" s="205"/>
      <c r="QP227" s="207"/>
      <c r="QQ227" s="207"/>
      <c r="QR227" s="207"/>
      <c r="QS227" s="207"/>
      <c r="QT227" s="120"/>
      <c r="QU227" s="272"/>
      <c r="QV227" s="272"/>
      <c r="QW227" s="205"/>
      <c r="QX227" s="205"/>
      <c r="QY227" s="207"/>
      <c r="QZ227" s="207"/>
      <c r="RA227" s="207"/>
      <c r="RB227" s="207"/>
      <c r="RC227" s="207"/>
      <c r="RD227" s="272"/>
      <c r="RE227" s="272"/>
      <c r="RF227" s="205"/>
      <c r="RG227" s="207"/>
      <c r="RH227" s="207"/>
      <c r="RI227" s="207"/>
      <c r="RJ227" s="120"/>
      <c r="RK227" s="207"/>
      <c r="RL227" s="272"/>
      <c r="RM227" s="272"/>
      <c r="RN227" s="205"/>
      <c r="RO227" s="272"/>
      <c r="RP227" s="272"/>
      <c r="RQ227" s="272"/>
      <c r="RR227" s="272"/>
      <c r="RS227" s="272"/>
      <c r="RT227" s="272"/>
      <c r="RU227" s="272"/>
      <c r="RV227" s="205"/>
      <c r="RW227" s="207"/>
      <c r="RX227" s="207"/>
      <c r="RY227" s="207"/>
      <c r="RZ227" s="207"/>
      <c r="SA227" s="272"/>
      <c r="SB227" s="272"/>
      <c r="SC227" s="272"/>
      <c r="SD227" s="205"/>
      <c r="SE227" s="205"/>
      <c r="SF227" s="207"/>
      <c r="SG227" s="207"/>
      <c r="SH227" s="207"/>
      <c r="SI227" s="207"/>
      <c r="SJ227" s="207"/>
      <c r="SK227" s="272"/>
      <c r="SL227" s="272"/>
      <c r="SM227" s="205"/>
      <c r="SN227" s="207"/>
      <c r="SO227" s="207"/>
      <c r="SP227" s="207"/>
      <c r="SQ227" s="207"/>
      <c r="SR227" s="207"/>
      <c r="SS227" s="272"/>
      <c r="ST227" s="272"/>
      <c r="SU227" s="205"/>
      <c r="SV227" s="207"/>
      <c r="SW227" s="207"/>
      <c r="SX227" s="207"/>
      <c r="SY227" s="207"/>
      <c r="SZ227" s="207"/>
      <c r="TA227" s="272"/>
      <c r="TB227" s="272"/>
      <c r="TC227" s="205">
        <f t="shared" si="2102"/>
        <v>0</v>
      </c>
      <c r="TD227" s="207"/>
      <c r="TE227" s="207"/>
      <c r="TF227" s="207"/>
      <c r="TG227" s="207"/>
      <c r="TH227" s="207"/>
      <c r="TI227" s="272"/>
      <c r="TJ227" s="272"/>
      <c r="TK227" s="205">
        <f t="shared" si="2142"/>
        <v>0</v>
      </c>
      <c r="TL227" s="140"/>
      <c r="TM227" s="140"/>
      <c r="TN227" s="140"/>
      <c r="TO227" s="140"/>
      <c r="TP227" s="370"/>
      <c r="TQ227" s="272"/>
      <c r="TR227" s="272"/>
      <c r="TS227" s="205">
        <f t="shared" si="2153"/>
        <v>0</v>
      </c>
      <c r="TT227" s="205">
        <f t="shared" si="2154"/>
        <v>0</v>
      </c>
      <c r="TU227" s="272"/>
      <c r="TV227" s="207"/>
      <c r="TW227" s="207"/>
      <c r="TX227" s="207"/>
      <c r="TY227" s="207"/>
      <c r="TZ227" s="272"/>
      <c r="UA227" s="272"/>
      <c r="UB227" s="205">
        <f t="shared" si="2012"/>
        <v>0</v>
      </c>
      <c r="UC227" s="207"/>
      <c r="UD227" s="207"/>
      <c r="UE227" s="120"/>
      <c r="UF227" s="120"/>
      <c r="UG227" s="207"/>
      <c r="UH227" s="272"/>
      <c r="UI227" s="272"/>
      <c r="UJ227" s="205">
        <f t="shared" si="2013"/>
        <v>0</v>
      </c>
      <c r="UK227" s="207"/>
      <c r="UL227" s="207"/>
      <c r="UM227" s="207"/>
      <c r="UN227" s="207"/>
      <c r="UO227" s="207"/>
      <c r="UP227" s="272"/>
      <c r="UQ227" s="272"/>
      <c r="UR227" s="205">
        <f t="shared" si="2014"/>
        <v>0</v>
      </c>
      <c r="US227" s="207"/>
      <c r="UT227" s="207"/>
      <c r="UU227" s="207"/>
      <c r="UV227" s="207"/>
      <c r="UW227" s="272"/>
      <c r="UX227" s="272"/>
      <c r="UY227" s="272"/>
      <c r="UZ227" s="205">
        <f t="shared" si="2145"/>
        <v>0</v>
      </c>
      <c r="VA227" s="205">
        <f t="shared" si="2146"/>
        <v>0</v>
      </c>
      <c r="VB227" s="207"/>
      <c r="VC227" s="120"/>
      <c r="VD227" s="207"/>
      <c r="VE227" s="207"/>
      <c r="VF227" s="207"/>
      <c r="VG227" s="272"/>
      <c r="VH227" s="272"/>
      <c r="VI227" s="205">
        <f t="shared" si="2005"/>
        <v>0</v>
      </c>
      <c r="VJ227" s="207"/>
      <c r="VK227" s="207"/>
      <c r="VL227" s="207"/>
      <c r="VM227" s="207"/>
      <c r="VN227" s="207"/>
      <c r="VO227" s="272"/>
      <c r="VP227" s="272"/>
      <c r="VQ227" s="205">
        <f t="shared" si="2015"/>
        <v>0</v>
      </c>
      <c r="VR227" s="307">
        <v>90</v>
      </c>
      <c r="VS227" s="207"/>
      <c r="VT227" s="207"/>
      <c r="VU227" s="207"/>
      <c r="VV227" s="207"/>
      <c r="VW227" s="272"/>
      <c r="VX227" s="272"/>
      <c r="VY227" s="205">
        <f t="shared" si="2006"/>
        <v>90</v>
      </c>
      <c r="VZ227" s="207"/>
      <c r="WA227" s="207"/>
      <c r="WB227" s="207"/>
      <c r="WC227" s="356"/>
      <c r="WD227" s="201">
        <v>910</v>
      </c>
      <c r="WE227" s="272"/>
      <c r="WF227" s="272"/>
      <c r="WG227" s="205">
        <f t="shared" si="2007"/>
        <v>910</v>
      </c>
      <c r="WH227" s="205">
        <f t="shared" si="2008"/>
        <v>1000</v>
      </c>
      <c r="WI227" s="207"/>
      <c r="WJ227" s="207"/>
      <c r="WK227" s="207"/>
      <c r="WL227" s="207"/>
      <c r="WM227" s="207"/>
      <c r="WN227" s="272"/>
      <c r="WO227" s="272"/>
      <c r="WP227" s="205">
        <f t="shared" si="2016"/>
        <v>0</v>
      </c>
      <c r="WQ227" s="207"/>
      <c r="WR227" s="207"/>
      <c r="WS227" s="207"/>
      <c r="WT227" s="207"/>
      <c r="WU227" s="207"/>
      <c r="WV227" s="272"/>
      <c r="WW227" s="272"/>
      <c r="WX227" s="205">
        <f t="shared" si="2017"/>
        <v>0</v>
      </c>
      <c r="WY227" s="207"/>
      <c r="WZ227" s="207"/>
      <c r="XA227" s="207"/>
      <c r="XB227" s="207"/>
      <c r="XC227" s="272"/>
      <c r="XD227" s="272"/>
      <c r="XE227" s="272"/>
      <c r="XF227" s="205">
        <f t="shared" si="2009"/>
        <v>0</v>
      </c>
      <c r="XG227" s="207"/>
      <c r="XH227" s="207"/>
      <c r="XI227" s="207"/>
      <c r="XJ227" s="207"/>
      <c r="XK227" s="207"/>
      <c r="XL227" s="272"/>
      <c r="XM227" s="272"/>
      <c r="XN227" s="205"/>
      <c r="XO227" s="207"/>
      <c r="XP227" s="207"/>
      <c r="XQ227" s="207"/>
      <c r="XR227" s="207"/>
      <c r="XS227" s="207"/>
      <c r="XT227" s="272"/>
      <c r="XU227" s="272"/>
      <c r="XV227" s="205"/>
      <c r="XW227" s="205"/>
      <c r="XX227" s="207"/>
      <c r="XY227" s="207"/>
      <c r="XZ227" s="207"/>
      <c r="YA227" s="207"/>
      <c r="YB227" s="207"/>
      <c r="YC227" s="272"/>
      <c r="YD227" s="272"/>
      <c r="YE227" s="205">
        <f t="shared" si="2018"/>
        <v>0</v>
      </c>
      <c r="YF227" s="207"/>
      <c r="YG227" s="207"/>
      <c r="YH227" s="207"/>
      <c r="YI227" s="207"/>
      <c r="YJ227" s="207"/>
      <c r="YK227" s="272"/>
      <c r="YL227" s="272"/>
      <c r="YM227" s="205">
        <f t="shared" si="2019"/>
        <v>0</v>
      </c>
      <c r="YN227" s="207"/>
      <c r="YO227" s="207"/>
      <c r="YP227" s="207"/>
      <c r="YQ227" s="207"/>
      <c r="YR227" s="207"/>
      <c r="YS227" s="272"/>
      <c r="YT227" s="272"/>
      <c r="YU227" s="205">
        <f t="shared" si="2020"/>
        <v>0</v>
      </c>
      <c r="YV227" s="207"/>
      <c r="YW227" s="207"/>
      <c r="YX227" s="207"/>
      <c r="YY227" s="207"/>
      <c r="YZ227" s="207"/>
      <c r="ZA227" s="272"/>
      <c r="ZB227" s="272"/>
      <c r="ZC227" s="205">
        <f t="shared" si="2021"/>
        <v>0</v>
      </c>
      <c r="ZD227" s="205">
        <f t="shared" si="2022"/>
        <v>0</v>
      </c>
      <c r="ZE227" s="207"/>
      <c r="ZF227" s="207"/>
      <c r="ZG227" s="207"/>
      <c r="ZH227" s="207"/>
      <c r="ZI227" s="207"/>
      <c r="ZJ227" s="272"/>
      <c r="ZK227" s="272"/>
      <c r="ZL227" s="205">
        <f t="shared" si="2023"/>
        <v>0</v>
      </c>
      <c r="ZM227" s="207"/>
      <c r="ZN227" s="207"/>
      <c r="ZO227" s="207"/>
      <c r="ZP227" s="207"/>
      <c r="ZQ227" s="207"/>
      <c r="ZR227" s="272"/>
      <c r="ZS227" s="272"/>
      <c r="ZT227" s="205">
        <f t="shared" si="2010"/>
        <v>0</v>
      </c>
      <c r="ZU227" s="207"/>
      <c r="ZV227" s="207"/>
      <c r="ZW227" s="207"/>
      <c r="ZX227" s="207"/>
      <c r="ZY227" s="207"/>
      <c r="ZZ227" s="272"/>
      <c r="AAA227" s="272"/>
      <c r="AAB227" s="205">
        <f t="shared" si="2024"/>
        <v>0</v>
      </c>
      <c r="AAC227" s="207"/>
      <c r="AAD227" s="207"/>
      <c r="AAE227" s="207"/>
      <c r="AAF227" s="207"/>
      <c r="AAG227" s="207"/>
      <c r="AAH227" s="272"/>
      <c r="AAI227" s="272"/>
      <c r="AAJ227" s="205">
        <f t="shared" si="2011"/>
        <v>0</v>
      </c>
      <c r="AAK227" s="207"/>
      <c r="AAL227" s="207"/>
      <c r="AAM227" s="207"/>
      <c r="AAN227" s="207"/>
      <c r="AAO227" s="207"/>
      <c r="AAP227" s="272"/>
      <c r="AAQ227" s="272"/>
      <c r="AAR227" s="205">
        <f t="shared" si="2025"/>
        <v>0</v>
      </c>
      <c r="AAS227" s="205">
        <f t="shared" si="2026"/>
        <v>0</v>
      </c>
    </row>
    <row r="228" spans="1:721" ht="74.099999999999994" customHeight="1">
      <c r="B228" s="313"/>
      <c r="C228" s="362" t="s">
        <v>899</v>
      </c>
      <c r="D228" s="357" t="s">
        <v>925</v>
      </c>
      <c r="E228" s="130" t="s">
        <v>4</v>
      </c>
      <c r="F228" s="120"/>
      <c r="G228" s="120"/>
      <c r="H228" s="120"/>
      <c r="I228" s="120"/>
      <c r="J228" s="120"/>
      <c r="K228" s="209"/>
      <c r="L228" s="205"/>
      <c r="M228" s="205">
        <f t="shared" si="2108"/>
        <v>0</v>
      </c>
      <c r="N228" s="120"/>
      <c r="O228" s="120"/>
      <c r="P228" s="120"/>
      <c r="Q228" s="120"/>
      <c r="R228" s="120"/>
      <c r="S228" s="209"/>
      <c r="T228" s="205"/>
      <c r="U228" s="205"/>
      <c r="V228" s="120"/>
      <c r="W228" s="120"/>
      <c r="X228" s="120"/>
      <c r="Y228" s="120"/>
      <c r="Z228" s="120"/>
      <c r="AA228" s="209"/>
      <c r="AB228" s="205"/>
      <c r="AC228" s="205"/>
      <c r="AD228" s="205"/>
      <c r="AE228" s="205"/>
      <c r="AF228" s="205"/>
      <c r="AG228" s="205"/>
      <c r="AH228" s="205"/>
      <c r="AI228" s="209"/>
      <c r="AJ228" s="205"/>
      <c r="AK228" s="205"/>
      <c r="AL228" s="205"/>
      <c r="AM228" s="120"/>
      <c r="AN228" s="120"/>
      <c r="AO228" s="120"/>
      <c r="AP228" s="120"/>
      <c r="AQ228" s="120"/>
      <c r="AR228" s="209"/>
      <c r="AS228" s="205"/>
      <c r="AT228" s="205"/>
      <c r="AU228" s="120"/>
      <c r="AV228" s="120"/>
      <c r="AW228" s="120"/>
      <c r="AX228" s="120"/>
      <c r="AY228" s="120"/>
      <c r="AZ228" s="209"/>
      <c r="BA228" s="205"/>
      <c r="BB228" s="205"/>
      <c r="BC228" s="120"/>
      <c r="BD228" s="120"/>
      <c r="BE228" s="120"/>
      <c r="BF228" s="120"/>
      <c r="BG228" s="120"/>
      <c r="BH228" s="209"/>
      <c r="BI228" s="205"/>
      <c r="BJ228" s="205"/>
      <c r="BK228" s="120"/>
      <c r="BL228" s="120"/>
      <c r="BM228" s="217"/>
      <c r="BN228" s="120"/>
      <c r="BO228" s="205"/>
      <c r="BP228" s="209"/>
      <c r="BQ228" s="205"/>
      <c r="BR228" s="205"/>
      <c r="BS228" s="205"/>
      <c r="BT228" s="120"/>
      <c r="BU228" s="250"/>
      <c r="BV228" s="120"/>
      <c r="BW228" s="120"/>
      <c r="BX228" s="120"/>
      <c r="BY228" s="209"/>
      <c r="BZ228" s="205"/>
      <c r="CA228" s="205"/>
      <c r="CB228" s="120"/>
      <c r="CC228" s="120"/>
      <c r="CD228" s="120"/>
      <c r="CE228" s="120"/>
      <c r="CF228" s="120"/>
      <c r="CG228" s="209"/>
      <c r="CH228" s="205"/>
      <c r="CI228" s="205"/>
      <c r="CJ228" s="120"/>
      <c r="CK228" s="120"/>
      <c r="CL228" s="250"/>
      <c r="CM228" s="120"/>
      <c r="CN228" s="120"/>
      <c r="CO228" s="209"/>
      <c r="CP228" s="205"/>
      <c r="CQ228" s="205"/>
      <c r="CR228" s="120"/>
      <c r="CS228" s="120"/>
      <c r="CT228" s="120"/>
      <c r="CU228" s="120"/>
      <c r="CV228" s="120"/>
      <c r="CW228" s="209"/>
      <c r="CX228" s="205"/>
      <c r="CY228" s="205"/>
      <c r="CZ228" s="120"/>
      <c r="DA228" s="120"/>
      <c r="DB228" s="120"/>
      <c r="DC228" s="205"/>
      <c r="DD228" s="205"/>
      <c r="DE228" s="209"/>
      <c r="DF228" s="205"/>
      <c r="DG228" s="205"/>
      <c r="DH228" s="205"/>
      <c r="DI228" s="120"/>
      <c r="DJ228" s="120"/>
      <c r="DK228" s="120"/>
      <c r="DL228" s="120"/>
      <c r="DM228" s="120"/>
      <c r="DN228" s="209"/>
      <c r="DO228" s="205"/>
      <c r="DP228" s="205"/>
      <c r="DQ228" s="217"/>
      <c r="DR228" s="120"/>
      <c r="DS228" s="120"/>
      <c r="DT228" s="120"/>
      <c r="DU228" s="120"/>
      <c r="DV228" s="209"/>
      <c r="DW228" s="205"/>
      <c r="DX228" s="205"/>
      <c r="DY228" s="120"/>
      <c r="DZ228" s="120"/>
      <c r="EA228" s="120"/>
      <c r="EB228" s="120"/>
      <c r="EC228" s="120"/>
      <c r="ED228" s="209"/>
      <c r="EE228" s="205"/>
      <c r="EF228" s="205"/>
      <c r="EG228" s="120"/>
      <c r="EH228" s="120"/>
      <c r="EI228" s="120"/>
      <c r="EJ228" s="205"/>
      <c r="EK228" s="205"/>
      <c r="EL228" s="209"/>
      <c r="EM228" s="205"/>
      <c r="EN228" s="205"/>
      <c r="EO228" s="205"/>
      <c r="EP228" s="120"/>
      <c r="EQ228" s="250"/>
      <c r="ER228" s="120"/>
      <c r="ES228" s="120"/>
      <c r="ET228" s="120"/>
      <c r="EU228" s="209"/>
      <c r="EV228" s="205"/>
      <c r="EW228" s="205"/>
      <c r="EX228" s="120"/>
      <c r="EY228" s="120"/>
      <c r="EZ228" s="120"/>
      <c r="FA228" s="120"/>
      <c r="FB228" s="120"/>
      <c r="FC228" s="209"/>
      <c r="FD228" s="205"/>
      <c r="FE228" s="205"/>
      <c r="FF228" s="120"/>
      <c r="FG228" s="195"/>
      <c r="FH228" s="120"/>
      <c r="FI228" s="120"/>
      <c r="FJ228" s="120"/>
      <c r="FK228" s="209"/>
      <c r="FL228" s="205"/>
      <c r="FM228" s="205"/>
      <c r="FN228" s="120"/>
      <c r="FO228" s="120"/>
      <c r="FP228" s="120"/>
      <c r="FQ228" s="120"/>
      <c r="FR228" s="205"/>
      <c r="FS228" s="209"/>
      <c r="FT228" s="205"/>
      <c r="FU228" s="205"/>
      <c r="FV228" s="205"/>
      <c r="FW228" s="120"/>
      <c r="FX228" s="120"/>
      <c r="FY228" s="120"/>
      <c r="FZ228" s="120"/>
      <c r="GA228" s="120"/>
      <c r="GB228" s="209"/>
      <c r="GC228" s="205"/>
      <c r="GD228" s="205"/>
      <c r="GE228" s="120"/>
      <c r="GF228" s="120"/>
      <c r="GG228" s="120"/>
      <c r="GH228" s="120"/>
      <c r="GI228" s="120"/>
      <c r="GJ228" s="209"/>
      <c r="GK228" s="205"/>
      <c r="GL228" s="205"/>
      <c r="GM228" s="120"/>
      <c r="GN228" s="120"/>
      <c r="GO228" s="120"/>
      <c r="GP228" s="120"/>
      <c r="GQ228" s="120"/>
      <c r="GR228" s="209"/>
      <c r="GS228" s="205"/>
      <c r="GT228" s="205"/>
      <c r="GU228" s="120"/>
      <c r="GV228" s="120"/>
      <c r="GW228" s="120"/>
      <c r="GX228" s="120"/>
      <c r="GY228" s="120"/>
      <c r="GZ228" s="209"/>
      <c r="HA228" s="205"/>
      <c r="HB228" s="205"/>
      <c r="HC228" s="120"/>
      <c r="HD228" s="120"/>
      <c r="HE228" s="120"/>
      <c r="HF228" s="120"/>
      <c r="HG228" s="120"/>
      <c r="HH228" s="209"/>
      <c r="HI228" s="205"/>
      <c r="HJ228" s="205"/>
      <c r="HK228" s="205"/>
      <c r="HL228" s="124"/>
      <c r="HM228" s="120"/>
      <c r="HN228" s="120"/>
      <c r="HO228" s="123"/>
      <c r="HP228" s="120"/>
      <c r="HQ228" s="205"/>
      <c r="HR228" s="205"/>
      <c r="HS228" s="205"/>
      <c r="HT228" s="120"/>
      <c r="HU228" s="120"/>
      <c r="HV228" s="120"/>
      <c r="HW228" s="120"/>
      <c r="HX228" s="120"/>
      <c r="HY228" s="205"/>
      <c r="HZ228" s="205"/>
      <c r="IA228" s="205"/>
      <c r="IB228" s="120"/>
      <c r="IC228" s="120"/>
      <c r="ID228" s="120"/>
      <c r="IE228" s="120"/>
      <c r="IF228" s="120"/>
      <c r="IG228" s="205"/>
      <c r="IH228" s="205"/>
      <c r="II228" s="205"/>
      <c r="IJ228" s="120"/>
      <c r="IK228" s="120"/>
      <c r="IL228" s="201"/>
      <c r="IM228" s="120"/>
      <c r="IN228" s="120"/>
      <c r="IO228" s="205"/>
      <c r="IP228" s="205"/>
      <c r="IQ228" s="205"/>
      <c r="IR228" s="205"/>
      <c r="IS228" s="120"/>
      <c r="IT228" s="120"/>
      <c r="IU228" s="120"/>
      <c r="IV228" s="120"/>
      <c r="IW228" s="120"/>
      <c r="IX228" s="205"/>
      <c r="IY228" s="205"/>
      <c r="IZ228" s="205"/>
      <c r="JA228" s="120"/>
      <c r="JB228" s="120"/>
      <c r="JC228" s="120"/>
      <c r="JD228" s="120"/>
      <c r="JE228" s="120"/>
      <c r="JF228" s="205"/>
      <c r="JG228" s="205"/>
      <c r="JH228" s="205"/>
      <c r="JI228" s="120"/>
      <c r="JJ228" s="120"/>
      <c r="JK228" s="120"/>
      <c r="JL228" s="120"/>
      <c r="JM228" s="120"/>
      <c r="JN228" s="205"/>
      <c r="JO228" s="205"/>
      <c r="JP228" s="205"/>
      <c r="JQ228" s="120"/>
      <c r="JR228" s="120"/>
      <c r="JS228" s="120"/>
      <c r="JT228" s="120"/>
      <c r="JU228" s="120"/>
      <c r="JV228" s="205"/>
      <c r="JW228" s="205"/>
      <c r="JX228" s="205"/>
      <c r="JY228" s="205"/>
      <c r="JZ228" s="120"/>
      <c r="KA228" s="120"/>
      <c r="KB228" s="120"/>
      <c r="KC228" s="120"/>
      <c r="KD228" s="120"/>
      <c r="KE228" s="205"/>
      <c r="KF228" s="205"/>
      <c r="KG228" s="205"/>
      <c r="KH228" s="120"/>
      <c r="KI228" s="120"/>
      <c r="KJ228" s="120"/>
      <c r="KK228" s="206"/>
      <c r="KL228" s="120"/>
      <c r="KM228" s="205"/>
      <c r="KN228" s="205"/>
      <c r="KO228" s="205"/>
      <c r="KP228" s="120"/>
      <c r="KQ228" s="120"/>
      <c r="KR228" s="120"/>
      <c r="KS228" s="120"/>
      <c r="KT228" s="120"/>
      <c r="KU228" s="205"/>
      <c r="KV228" s="205"/>
      <c r="KW228" s="205"/>
      <c r="KX228" s="120"/>
      <c r="KY228" s="120"/>
      <c r="KZ228" s="120"/>
      <c r="LA228" s="120"/>
      <c r="LB228" s="120"/>
      <c r="LC228" s="205"/>
      <c r="LD228" s="205"/>
      <c r="LE228" s="205"/>
      <c r="LF228" s="205"/>
      <c r="LG228" s="120"/>
      <c r="LH228" s="120"/>
      <c r="LI228" s="120"/>
      <c r="LJ228" s="120"/>
      <c r="LK228" s="205"/>
      <c r="LL228" s="205"/>
      <c r="LM228" s="205"/>
      <c r="LN228" s="205"/>
      <c r="LO228" s="205"/>
      <c r="LP228" s="120"/>
      <c r="LQ228" s="120"/>
      <c r="LR228" s="120"/>
      <c r="LS228" s="205"/>
      <c r="LT228" s="205"/>
      <c r="LU228" s="205"/>
      <c r="LV228" s="205"/>
      <c r="LW228" s="120"/>
      <c r="LX228" s="120"/>
      <c r="LY228" s="124"/>
      <c r="LZ228" s="120"/>
      <c r="MA228" s="120"/>
      <c r="MB228" s="205"/>
      <c r="MC228" s="205"/>
      <c r="MD228" s="205"/>
      <c r="ME228" s="120"/>
      <c r="MF228" s="120"/>
      <c r="MG228" s="120"/>
      <c r="MH228" s="201"/>
      <c r="MI228" s="205"/>
      <c r="MJ228" s="205"/>
      <c r="MK228" s="205"/>
      <c r="ML228" s="205"/>
      <c r="MM228" s="120"/>
      <c r="MN228" s="120"/>
      <c r="MO228" s="120"/>
      <c r="MP228" s="120"/>
      <c r="MQ228" s="120"/>
      <c r="MR228" s="205"/>
      <c r="MS228" s="205"/>
      <c r="MT228" s="205"/>
      <c r="MU228" s="205"/>
      <c r="MV228" s="120"/>
      <c r="MW228" s="120"/>
      <c r="MX228" s="195"/>
      <c r="MY228" s="120"/>
      <c r="MZ228" s="120"/>
      <c r="NA228" s="205"/>
      <c r="NB228" s="205"/>
      <c r="NC228" s="205"/>
      <c r="ND228" s="120"/>
      <c r="NE228" s="120"/>
      <c r="NF228" s="120"/>
      <c r="NG228" s="120"/>
      <c r="NH228" s="120"/>
      <c r="NI228" s="205"/>
      <c r="NJ228" s="205"/>
      <c r="NK228" s="205"/>
      <c r="NL228" s="120"/>
      <c r="NM228" s="120"/>
      <c r="NN228" s="120"/>
      <c r="NO228" s="120"/>
      <c r="NP228" s="120"/>
      <c r="NQ228" s="205"/>
      <c r="NR228" s="205"/>
      <c r="NS228" s="205"/>
      <c r="NT228" s="217"/>
      <c r="NU228" s="120"/>
      <c r="NV228" s="120"/>
      <c r="NW228" s="120"/>
      <c r="NX228" s="120"/>
      <c r="NY228" s="205"/>
      <c r="NZ228" s="205"/>
      <c r="OA228" s="205"/>
      <c r="OB228" s="205"/>
      <c r="OC228" s="120"/>
      <c r="OD228" s="120"/>
      <c r="OE228" s="120"/>
      <c r="OF228" s="120"/>
      <c r="OG228" s="120"/>
      <c r="OH228" s="205"/>
      <c r="OI228" s="205"/>
      <c r="OJ228" s="205"/>
      <c r="OK228" s="120"/>
      <c r="OL228" s="120"/>
      <c r="OM228" s="120"/>
      <c r="ON228" s="120"/>
      <c r="OO228" s="120"/>
      <c r="OP228" s="205"/>
      <c r="OQ228" s="205"/>
      <c r="OR228" s="205"/>
      <c r="OS228" s="120"/>
      <c r="OT228" s="120"/>
      <c r="OU228" s="120"/>
      <c r="OV228" s="120"/>
      <c r="OW228" s="120"/>
      <c r="OX228" s="205"/>
      <c r="OY228" s="205"/>
      <c r="OZ228" s="205"/>
      <c r="PA228" s="120"/>
      <c r="PB228" s="120"/>
      <c r="PC228" s="120"/>
      <c r="PD228" s="205"/>
      <c r="PE228" s="217"/>
      <c r="PF228" s="205"/>
      <c r="PG228" s="205"/>
      <c r="PH228" s="205"/>
      <c r="PI228" s="120"/>
      <c r="PJ228" s="120"/>
      <c r="PK228" s="120"/>
      <c r="PL228" s="205"/>
      <c r="PM228" s="217"/>
      <c r="PN228" s="205"/>
      <c r="PO228" s="205"/>
      <c r="PP228" s="205"/>
      <c r="PQ228" s="205"/>
      <c r="PR228" s="120"/>
      <c r="PS228" s="207"/>
      <c r="PT228" s="207"/>
      <c r="PU228" s="207"/>
      <c r="PV228" s="207"/>
      <c r="PW228" s="272"/>
      <c r="PX228" s="272"/>
      <c r="PY228" s="205"/>
      <c r="PZ228" s="207"/>
      <c r="QA228" s="207"/>
      <c r="QB228" s="207"/>
      <c r="QC228" s="207"/>
      <c r="QD228" s="207"/>
      <c r="QE228" s="272"/>
      <c r="QF228" s="272"/>
      <c r="QG228" s="205"/>
      <c r="QH228" s="207"/>
      <c r="QI228" s="207"/>
      <c r="QJ228" s="294"/>
      <c r="QK228" s="207"/>
      <c r="QL228" s="207"/>
      <c r="QM228" s="272"/>
      <c r="QN228" s="272"/>
      <c r="QO228" s="205"/>
      <c r="QP228" s="207"/>
      <c r="QQ228" s="207"/>
      <c r="QR228" s="207"/>
      <c r="QS228" s="207"/>
      <c r="QT228" s="120"/>
      <c r="QU228" s="272"/>
      <c r="QV228" s="272"/>
      <c r="QW228" s="205"/>
      <c r="QX228" s="205"/>
      <c r="QY228" s="207"/>
      <c r="QZ228" s="207"/>
      <c r="RA228" s="207"/>
      <c r="RB228" s="207"/>
      <c r="RC228" s="207"/>
      <c r="RD228" s="272"/>
      <c r="RE228" s="272"/>
      <c r="RF228" s="205"/>
      <c r="RG228" s="207"/>
      <c r="RH228" s="207"/>
      <c r="RI228" s="207"/>
      <c r="RJ228" s="120"/>
      <c r="RK228" s="207"/>
      <c r="RL228" s="272"/>
      <c r="RM228" s="272"/>
      <c r="RN228" s="205"/>
      <c r="RO228" s="272"/>
      <c r="RP228" s="272"/>
      <c r="RQ228" s="272"/>
      <c r="RR228" s="272"/>
      <c r="RS228" s="272"/>
      <c r="RT228" s="272"/>
      <c r="RU228" s="272"/>
      <c r="RV228" s="205"/>
      <c r="RW228" s="207"/>
      <c r="RX228" s="207"/>
      <c r="RY228" s="207"/>
      <c r="RZ228" s="207"/>
      <c r="SA228" s="272"/>
      <c r="SB228" s="272"/>
      <c r="SC228" s="272"/>
      <c r="SD228" s="205"/>
      <c r="SE228" s="205"/>
      <c r="SF228" s="207"/>
      <c r="SG228" s="207"/>
      <c r="SH228" s="207"/>
      <c r="SI228" s="207"/>
      <c r="SJ228" s="207"/>
      <c r="SK228" s="272"/>
      <c r="SL228" s="272"/>
      <c r="SM228" s="205"/>
      <c r="SN228" s="207"/>
      <c r="SO228" s="207"/>
      <c r="SP228" s="207"/>
      <c r="SQ228" s="207"/>
      <c r="SR228" s="207"/>
      <c r="SS228" s="272"/>
      <c r="ST228" s="272"/>
      <c r="SU228" s="205"/>
      <c r="SV228" s="207"/>
      <c r="SW228" s="207"/>
      <c r="SX228" s="207"/>
      <c r="SY228" s="207"/>
      <c r="SZ228" s="207"/>
      <c r="TA228" s="272"/>
      <c r="TB228" s="272"/>
      <c r="TC228" s="205">
        <f t="shared" si="2102"/>
        <v>0</v>
      </c>
      <c r="TD228" s="207"/>
      <c r="TE228" s="207"/>
      <c r="TF228" s="207"/>
      <c r="TG228" s="207"/>
      <c r="TH228" s="207"/>
      <c r="TI228" s="272"/>
      <c r="TJ228" s="272"/>
      <c r="TK228" s="205">
        <f t="shared" si="2142"/>
        <v>0</v>
      </c>
      <c r="TL228" s="140"/>
      <c r="TM228" s="140"/>
      <c r="TN228" s="140"/>
      <c r="TO228" s="140"/>
      <c r="TP228" s="370"/>
      <c r="TQ228" s="272"/>
      <c r="TR228" s="272"/>
      <c r="TS228" s="205">
        <f t="shared" si="2153"/>
        <v>0</v>
      </c>
      <c r="TT228" s="205">
        <f t="shared" si="2154"/>
        <v>0</v>
      </c>
      <c r="TU228" s="272"/>
      <c r="TV228" s="207"/>
      <c r="TW228" s="207"/>
      <c r="TX228" s="207"/>
      <c r="TY228" s="207"/>
      <c r="TZ228" s="272"/>
      <c r="UA228" s="272"/>
      <c r="UB228" s="205">
        <f t="shared" si="2012"/>
        <v>0</v>
      </c>
      <c r="UC228" s="207"/>
      <c r="UD228" s="207"/>
      <c r="UE228" s="120"/>
      <c r="UF228" s="120"/>
      <c r="UG228" s="207"/>
      <c r="UH228" s="272"/>
      <c r="UI228" s="272"/>
      <c r="UJ228" s="205">
        <f t="shared" si="2013"/>
        <v>0</v>
      </c>
      <c r="UK228" s="207"/>
      <c r="UL228" s="207"/>
      <c r="UM228" s="207"/>
      <c r="UN228" s="207"/>
      <c r="UO228" s="207"/>
      <c r="UP228" s="272"/>
      <c r="UQ228" s="272"/>
      <c r="UR228" s="205">
        <f t="shared" si="2014"/>
        <v>0</v>
      </c>
      <c r="US228" s="207"/>
      <c r="UT228" s="207"/>
      <c r="UU228" s="207"/>
      <c r="UV228" s="207"/>
      <c r="UW228" s="272"/>
      <c r="UX228" s="272"/>
      <c r="UY228" s="272"/>
      <c r="UZ228" s="205">
        <f t="shared" si="2145"/>
        <v>0</v>
      </c>
      <c r="VA228" s="205">
        <f t="shared" si="2146"/>
        <v>0</v>
      </c>
      <c r="VB228" s="207"/>
      <c r="VC228" s="120"/>
      <c r="VD228" s="207"/>
      <c r="VE228" s="207"/>
      <c r="VF228" s="207"/>
      <c r="VG228" s="272"/>
      <c r="VH228" s="272"/>
      <c r="VI228" s="205">
        <f t="shared" si="2005"/>
        <v>0</v>
      </c>
      <c r="VJ228" s="207"/>
      <c r="VK228" s="207"/>
      <c r="VL228" s="207"/>
      <c r="VM228" s="207"/>
      <c r="VN228" s="207"/>
      <c r="VO228" s="272"/>
      <c r="VP228" s="272"/>
      <c r="VQ228" s="205">
        <f t="shared" si="2015"/>
        <v>0</v>
      </c>
      <c r="VR228" s="307">
        <v>90</v>
      </c>
      <c r="VS228" s="207"/>
      <c r="VT228" s="207"/>
      <c r="VU228" s="207"/>
      <c r="VV228" s="207"/>
      <c r="VW228" s="272"/>
      <c r="VX228" s="272"/>
      <c r="VY228" s="205">
        <f t="shared" si="2006"/>
        <v>90</v>
      </c>
      <c r="VZ228" s="207"/>
      <c r="WA228" s="207"/>
      <c r="WB228" s="207"/>
      <c r="WC228" s="356"/>
      <c r="WD228" s="201">
        <v>910</v>
      </c>
      <c r="WE228" s="272"/>
      <c r="WF228" s="272"/>
      <c r="WG228" s="205">
        <f t="shared" si="2007"/>
        <v>910</v>
      </c>
      <c r="WH228" s="205">
        <f t="shared" si="2008"/>
        <v>1000</v>
      </c>
      <c r="WI228" s="207"/>
      <c r="WJ228" s="207"/>
      <c r="WK228" s="207"/>
      <c r="WL228" s="207"/>
      <c r="WM228" s="207"/>
      <c r="WN228" s="272"/>
      <c r="WO228" s="272"/>
      <c r="WP228" s="205">
        <f t="shared" si="2016"/>
        <v>0</v>
      </c>
      <c r="WQ228" s="207"/>
      <c r="WR228" s="207"/>
      <c r="WS228" s="207"/>
      <c r="WT228" s="207"/>
      <c r="WU228" s="207"/>
      <c r="WV228" s="272"/>
      <c r="WW228" s="272"/>
      <c r="WX228" s="205">
        <f t="shared" si="2017"/>
        <v>0</v>
      </c>
      <c r="WY228" s="392">
        <v>90</v>
      </c>
      <c r="WZ228" s="207"/>
      <c r="XA228" s="207"/>
      <c r="XB228" s="124">
        <v>500</v>
      </c>
      <c r="XC228" s="272"/>
      <c r="XD228" s="272"/>
      <c r="XE228" s="272"/>
      <c r="XF228" s="205">
        <f t="shared" si="2009"/>
        <v>590</v>
      </c>
      <c r="XG228" s="207"/>
      <c r="XH228" s="207"/>
      <c r="XI228" s="207"/>
      <c r="XJ228" s="207"/>
      <c r="XK228" s="207"/>
      <c r="XL228" s="272"/>
      <c r="XM228" s="272"/>
      <c r="XN228" s="205"/>
      <c r="XO228" s="207"/>
      <c r="XP228" s="207"/>
      <c r="XQ228" s="207"/>
      <c r="XR228" s="207"/>
      <c r="XS228" s="207"/>
      <c r="XT228" s="272"/>
      <c r="XU228" s="272"/>
      <c r="XV228" s="205"/>
      <c r="XW228" s="205"/>
      <c r="XX228" s="207"/>
      <c r="XY228" s="207"/>
      <c r="XZ228" s="207"/>
      <c r="YA228" s="207"/>
      <c r="YB228" s="207"/>
      <c r="YC228" s="272"/>
      <c r="YD228" s="272"/>
      <c r="YE228" s="205">
        <f t="shared" si="2018"/>
        <v>0</v>
      </c>
      <c r="YF228" s="207"/>
      <c r="YG228" s="207"/>
      <c r="YH228" s="207"/>
      <c r="YI228" s="207"/>
      <c r="YJ228" s="207"/>
      <c r="YK228" s="272"/>
      <c r="YL228" s="272"/>
      <c r="YM228" s="205">
        <f t="shared" si="2019"/>
        <v>0</v>
      </c>
      <c r="YN228" s="207"/>
      <c r="YO228" s="207"/>
      <c r="YP228" s="207"/>
      <c r="YQ228" s="207"/>
      <c r="YR228" s="207"/>
      <c r="YS228" s="272"/>
      <c r="YT228" s="272"/>
      <c r="YU228" s="205">
        <f t="shared" si="2020"/>
        <v>0</v>
      </c>
      <c r="YV228" s="207"/>
      <c r="YW228" s="207"/>
      <c r="YX228" s="207"/>
      <c r="YY228" s="207"/>
      <c r="YZ228" s="207"/>
      <c r="ZA228" s="272"/>
      <c r="ZB228" s="272"/>
      <c r="ZC228" s="205">
        <f t="shared" si="2021"/>
        <v>0</v>
      </c>
      <c r="ZD228" s="205">
        <f t="shared" si="2022"/>
        <v>0</v>
      </c>
      <c r="ZE228" s="207"/>
      <c r="ZF228" s="207"/>
      <c r="ZG228" s="207"/>
      <c r="ZH228" s="207"/>
      <c r="ZI228" s="207"/>
      <c r="ZJ228" s="272"/>
      <c r="ZK228" s="272"/>
      <c r="ZL228" s="205">
        <f t="shared" si="2023"/>
        <v>0</v>
      </c>
      <c r="ZM228" s="207"/>
      <c r="ZN228" s="207"/>
      <c r="ZO228" s="207"/>
      <c r="ZP228" s="207"/>
      <c r="ZQ228" s="207"/>
      <c r="ZR228" s="272"/>
      <c r="ZS228" s="272"/>
      <c r="ZT228" s="205">
        <f t="shared" si="2010"/>
        <v>0</v>
      </c>
      <c r="ZU228" s="207"/>
      <c r="ZV228" s="207"/>
      <c r="ZW228" s="207"/>
      <c r="ZX228" s="207"/>
      <c r="ZY228" s="207"/>
      <c r="ZZ228" s="272"/>
      <c r="AAA228" s="272"/>
      <c r="AAB228" s="205">
        <f t="shared" si="2024"/>
        <v>0</v>
      </c>
      <c r="AAC228" s="207"/>
      <c r="AAD228" s="207"/>
      <c r="AAE228" s="207"/>
      <c r="AAF228" s="207"/>
      <c r="AAG228" s="207"/>
      <c r="AAH228" s="272"/>
      <c r="AAI228" s="272"/>
      <c r="AAJ228" s="205">
        <f t="shared" si="2011"/>
        <v>0</v>
      </c>
      <c r="AAK228" s="207"/>
      <c r="AAL228" s="207"/>
      <c r="AAM228" s="207"/>
      <c r="AAN228" s="207"/>
      <c r="AAO228" s="207"/>
      <c r="AAP228" s="272"/>
      <c r="AAQ228" s="272"/>
      <c r="AAR228" s="205">
        <f t="shared" si="2025"/>
        <v>0</v>
      </c>
      <c r="AAS228" s="205">
        <f t="shared" si="2026"/>
        <v>0</v>
      </c>
    </row>
    <row r="229" spans="1:721" ht="96" customHeight="1">
      <c r="A229" s="117">
        <v>10</v>
      </c>
      <c r="B229" s="310" t="s">
        <v>912</v>
      </c>
      <c r="C229" s="362" t="s">
        <v>898</v>
      </c>
      <c r="D229" s="316" t="s">
        <v>885</v>
      </c>
      <c r="E229" s="130" t="s">
        <v>4</v>
      </c>
      <c r="F229" s="120"/>
      <c r="G229" s="120"/>
      <c r="H229" s="120"/>
      <c r="I229" s="120"/>
      <c r="J229" s="120"/>
      <c r="K229" s="209"/>
      <c r="L229" s="205"/>
      <c r="M229" s="205">
        <f t="shared" si="2108"/>
        <v>0</v>
      </c>
      <c r="N229" s="120"/>
      <c r="O229" s="120"/>
      <c r="P229" s="120"/>
      <c r="Q229" s="120"/>
      <c r="R229" s="120"/>
      <c r="S229" s="209"/>
      <c r="T229" s="205"/>
      <c r="U229" s="205">
        <f t="shared" si="2028"/>
        <v>0</v>
      </c>
      <c r="V229" s="120"/>
      <c r="W229" s="120"/>
      <c r="X229" s="120"/>
      <c r="Y229" s="120"/>
      <c r="Z229" s="120"/>
      <c r="AA229" s="209"/>
      <c r="AB229" s="205"/>
      <c r="AC229" s="205">
        <f t="shared" si="2029"/>
        <v>0</v>
      </c>
      <c r="AD229" s="205"/>
      <c r="AE229" s="205"/>
      <c r="AF229" s="205"/>
      <c r="AG229" s="205"/>
      <c r="AH229" s="205"/>
      <c r="AI229" s="209"/>
      <c r="AJ229" s="205"/>
      <c r="AK229" s="205">
        <f t="shared" si="2030"/>
        <v>0</v>
      </c>
      <c r="AL229" s="205" t="e">
        <f>SUM(#REF!,M229,U229,AC229,AD229:AH229)</f>
        <v>#REF!</v>
      </c>
      <c r="AM229" s="120"/>
      <c r="AN229" s="120"/>
      <c r="AO229" s="120"/>
      <c r="AP229" s="120"/>
      <c r="AQ229" s="120"/>
      <c r="AR229" s="209"/>
      <c r="AS229" s="205"/>
      <c r="AT229" s="205">
        <f t="shared" si="2031"/>
        <v>0</v>
      </c>
      <c r="AU229" s="120"/>
      <c r="AV229" s="120"/>
      <c r="AW229" s="120"/>
      <c r="AX229" s="120"/>
      <c r="AY229" s="120"/>
      <c r="AZ229" s="209"/>
      <c r="BA229" s="205"/>
      <c r="BB229" s="205">
        <f t="shared" si="2032"/>
        <v>0</v>
      </c>
      <c r="BC229" s="120"/>
      <c r="BD229" s="120"/>
      <c r="BE229" s="120"/>
      <c r="BF229" s="120"/>
      <c r="BG229" s="120"/>
      <c r="BH229" s="209"/>
      <c r="BI229" s="205"/>
      <c r="BJ229" s="205">
        <f t="shared" si="2033"/>
        <v>0</v>
      </c>
      <c r="BK229" s="120"/>
      <c r="BL229" s="120"/>
      <c r="BM229" s="217">
        <v>3108</v>
      </c>
      <c r="BN229" s="120"/>
      <c r="BO229" s="205"/>
      <c r="BP229" s="209"/>
      <c r="BQ229" s="205"/>
      <c r="BR229" s="205">
        <f t="shared" si="2034"/>
        <v>3108</v>
      </c>
      <c r="BS229" s="205">
        <f t="shared" si="2035"/>
        <v>3108</v>
      </c>
      <c r="BT229" s="120"/>
      <c r="BU229" s="250">
        <v>708</v>
      </c>
      <c r="BV229" s="120"/>
      <c r="BW229" s="120"/>
      <c r="BX229" s="120"/>
      <c r="BY229" s="209"/>
      <c r="BZ229" s="205"/>
      <c r="CA229" s="205">
        <f t="shared" si="2036"/>
        <v>708</v>
      </c>
      <c r="CB229" s="120"/>
      <c r="CC229" s="120"/>
      <c r="CD229" s="120"/>
      <c r="CE229" s="120"/>
      <c r="CF229" s="120"/>
      <c r="CG229" s="209"/>
      <c r="CH229" s="205"/>
      <c r="CI229" s="205">
        <f t="shared" si="2037"/>
        <v>0</v>
      </c>
      <c r="CJ229" s="120"/>
      <c r="CK229" s="120"/>
      <c r="CL229" s="250">
        <v>1208</v>
      </c>
      <c r="CM229" s="120"/>
      <c r="CN229" s="120"/>
      <c r="CO229" s="209"/>
      <c r="CP229" s="205"/>
      <c r="CQ229" s="205">
        <f t="shared" si="2038"/>
        <v>1208</v>
      </c>
      <c r="CR229" s="120" t="s">
        <v>216</v>
      </c>
      <c r="CS229" s="120"/>
      <c r="CT229" s="120"/>
      <c r="CU229" s="120"/>
      <c r="CV229" s="120"/>
      <c r="CW229" s="209"/>
      <c r="CX229" s="205"/>
      <c r="CY229" s="205">
        <f t="shared" si="2039"/>
        <v>0</v>
      </c>
      <c r="CZ229" s="120"/>
      <c r="DA229" s="120"/>
      <c r="DB229" s="120"/>
      <c r="DC229" s="205"/>
      <c r="DD229" s="205"/>
      <c r="DE229" s="209"/>
      <c r="DF229" s="205"/>
      <c r="DG229" s="205">
        <f t="shared" si="2040"/>
        <v>0</v>
      </c>
      <c r="DH229" s="205">
        <f t="shared" si="2041"/>
        <v>1916</v>
      </c>
      <c r="DI229" s="120"/>
      <c r="DJ229" s="120"/>
      <c r="DK229" s="120"/>
      <c r="DL229" s="120"/>
      <c r="DM229" s="120"/>
      <c r="DN229" s="209"/>
      <c r="DO229" s="205"/>
      <c r="DP229" s="205">
        <f t="shared" si="2042"/>
        <v>0</v>
      </c>
      <c r="DQ229" s="217">
        <v>658</v>
      </c>
      <c r="DR229" s="120"/>
      <c r="DS229" s="120"/>
      <c r="DT229" s="120"/>
      <c r="DU229" s="120"/>
      <c r="DV229" s="209"/>
      <c r="DW229" s="205"/>
      <c r="DX229" s="205">
        <f t="shared" si="2043"/>
        <v>658</v>
      </c>
      <c r="DY229" s="120"/>
      <c r="DZ229" s="120"/>
      <c r="EA229" s="120"/>
      <c r="EB229" s="120"/>
      <c r="EC229" s="120"/>
      <c r="ED229" s="209"/>
      <c r="EE229" s="205"/>
      <c r="EF229" s="205">
        <f t="shared" si="2044"/>
        <v>0</v>
      </c>
      <c r="EG229" s="120"/>
      <c r="EH229" s="120"/>
      <c r="EI229" s="120"/>
      <c r="EJ229" s="205"/>
      <c r="EK229" s="205"/>
      <c r="EL229" s="209"/>
      <c r="EM229" s="205"/>
      <c r="EN229" s="205">
        <f t="shared" si="2045"/>
        <v>0</v>
      </c>
      <c r="EO229" s="205">
        <f t="shared" si="2046"/>
        <v>658</v>
      </c>
      <c r="EP229" s="120"/>
      <c r="EQ229" s="250">
        <v>508</v>
      </c>
      <c r="ER229" s="120"/>
      <c r="ES229" s="120"/>
      <c r="ET229" s="120"/>
      <c r="EU229" s="209"/>
      <c r="EV229" s="205"/>
      <c r="EW229" s="205">
        <f t="shared" si="2047"/>
        <v>508</v>
      </c>
      <c r="EX229" s="120"/>
      <c r="EY229" s="120"/>
      <c r="EZ229" s="120"/>
      <c r="FA229" s="120"/>
      <c r="FB229" s="120"/>
      <c r="FC229" s="209"/>
      <c r="FD229" s="205"/>
      <c r="FE229" s="205">
        <f t="shared" si="2048"/>
        <v>0</v>
      </c>
      <c r="FF229" s="120"/>
      <c r="FG229" s="195">
        <v>508</v>
      </c>
      <c r="FH229" s="120"/>
      <c r="FI229" s="120"/>
      <c r="FJ229" s="120"/>
      <c r="FK229" s="209"/>
      <c r="FL229" s="205"/>
      <c r="FM229" s="205">
        <f t="shared" si="2049"/>
        <v>508</v>
      </c>
      <c r="FN229" s="120"/>
      <c r="FO229" s="120"/>
      <c r="FP229" s="120"/>
      <c r="FQ229" s="120"/>
      <c r="FR229" s="205"/>
      <c r="FS229" s="209"/>
      <c r="FT229" s="205"/>
      <c r="FU229" s="205">
        <f t="shared" si="2050"/>
        <v>0</v>
      </c>
      <c r="FV229" s="205">
        <f t="shared" si="2051"/>
        <v>1016</v>
      </c>
      <c r="FW229" s="120"/>
      <c r="FX229" s="120"/>
      <c r="FY229" s="120"/>
      <c r="FZ229" s="120"/>
      <c r="GA229" s="120"/>
      <c r="GB229" s="209"/>
      <c r="GC229" s="205"/>
      <c r="GD229" s="205">
        <f t="shared" si="2052"/>
        <v>0</v>
      </c>
      <c r="GE229" s="120"/>
      <c r="GF229" s="120"/>
      <c r="GG229" s="120"/>
      <c r="GH229" s="120"/>
      <c r="GI229" s="120"/>
      <c r="GJ229" s="209"/>
      <c r="GK229" s="205"/>
      <c r="GL229" s="205">
        <f t="shared" si="2053"/>
        <v>0</v>
      </c>
      <c r="GM229" s="120"/>
      <c r="GN229" s="120"/>
      <c r="GO229" s="120"/>
      <c r="GP229" s="120"/>
      <c r="GQ229" s="120"/>
      <c r="GR229" s="209"/>
      <c r="GS229" s="205"/>
      <c r="GT229" s="205">
        <f t="shared" si="2054"/>
        <v>0</v>
      </c>
      <c r="GU229" s="120"/>
      <c r="GV229" s="120"/>
      <c r="GW229" s="120"/>
      <c r="GX229" s="120"/>
      <c r="GY229" s="120"/>
      <c r="GZ229" s="209"/>
      <c r="HA229" s="205"/>
      <c r="HB229" s="205">
        <f t="shared" si="2055"/>
        <v>0</v>
      </c>
      <c r="HC229" s="120"/>
      <c r="HD229" s="120"/>
      <c r="HE229" s="120"/>
      <c r="HF229" s="120"/>
      <c r="HG229" s="120"/>
      <c r="HH229" s="209"/>
      <c r="HI229" s="205"/>
      <c r="HJ229" s="205">
        <f t="shared" si="2056"/>
        <v>0</v>
      </c>
      <c r="HK229" s="205">
        <f t="shared" si="2057"/>
        <v>0</v>
      </c>
      <c r="HL229" s="124"/>
      <c r="HM229" s="120"/>
      <c r="HN229" s="120"/>
      <c r="HO229" s="123">
        <v>1758</v>
      </c>
      <c r="HP229" s="120"/>
      <c r="HQ229" s="205"/>
      <c r="HR229" s="205"/>
      <c r="HS229" s="205">
        <f t="shared" si="2058"/>
        <v>1758</v>
      </c>
      <c r="HT229" s="120"/>
      <c r="HU229" s="120"/>
      <c r="HV229" s="120"/>
      <c r="HW229" s="120"/>
      <c r="HX229" s="120"/>
      <c r="HY229" s="205"/>
      <c r="HZ229" s="205"/>
      <c r="IA229" s="205">
        <f t="shared" si="2059"/>
        <v>0</v>
      </c>
      <c r="IB229" s="120"/>
      <c r="IC229" s="120"/>
      <c r="ID229" s="120"/>
      <c r="IE229" s="120"/>
      <c r="IF229" s="120"/>
      <c r="IG229" s="205"/>
      <c r="IH229" s="205"/>
      <c r="II229" s="205">
        <f t="shared" si="2060"/>
        <v>0</v>
      </c>
      <c r="IJ229" s="120"/>
      <c r="IK229" s="120"/>
      <c r="IL229" s="201">
        <v>1808</v>
      </c>
      <c r="IM229" s="120"/>
      <c r="IN229" s="120"/>
      <c r="IO229" s="205"/>
      <c r="IP229" s="205"/>
      <c r="IQ229" s="205">
        <f t="shared" si="2061"/>
        <v>1808</v>
      </c>
      <c r="IR229" s="205">
        <f t="shared" si="2062"/>
        <v>3566</v>
      </c>
      <c r="IS229" s="120"/>
      <c r="IT229" s="120"/>
      <c r="IU229" s="120"/>
      <c r="IV229" s="120"/>
      <c r="IW229" s="120"/>
      <c r="IX229" s="205"/>
      <c r="IY229" s="205"/>
      <c r="IZ229" s="205">
        <f t="shared" si="2063"/>
        <v>0</v>
      </c>
      <c r="JA229" s="120"/>
      <c r="JB229" s="120"/>
      <c r="JC229" s="120"/>
      <c r="JD229" s="120"/>
      <c r="JE229" s="120"/>
      <c r="JF229" s="205"/>
      <c r="JG229" s="205"/>
      <c r="JH229" s="205">
        <f t="shared" si="2064"/>
        <v>0</v>
      </c>
      <c r="JI229" s="120"/>
      <c r="JJ229" s="120"/>
      <c r="JK229" s="120"/>
      <c r="JL229" s="120"/>
      <c r="JM229" s="120"/>
      <c r="JN229" s="205"/>
      <c r="JO229" s="205"/>
      <c r="JP229" s="205">
        <f t="shared" si="2065"/>
        <v>0</v>
      </c>
      <c r="JQ229" s="120"/>
      <c r="JR229" s="120"/>
      <c r="JS229" s="120"/>
      <c r="JT229" s="120"/>
      <c r="JU229" s="120"/>
      <c r="JV229" s="205"/>
      <c r="JW229" s="205"/>
      <c r="JX229" s="205">
        <f t="shared" si="2066"/>
        <v>0</v>
      </c>
      <c r="JY229" s="205">
        <f t="shared" si="2067"/>
        <v>0</v>
      </c>
      <c r="JZ229" s="120"/>
      <c r="KA229" s="120"/>
      <c r="KB229" s="120"/>
      <c r="KC229" s="120"/>
      <c r="KD229" s="120"/>
      <c r="KE229" s="205"/>
      <c r="KF229" s="205"/>
      <c r="KG229" s="205">
        <f t="shared" si="2068"/>
        <v>0</v>
      </c>
      <c r="KH229" s="120"/>
      <c r="KI229" s="120"/>
      <c r="KJ229" s="120"/>
      <c r="KK229" s="206">
        <v>808</v>
      </c>
      <c r="KL229" s="120"/>
      <c r="KM229" s="205"/>
      <c r="KN229" s="205"/>
      <c r="KO229" s="205">
        <f t="shared" si="2069"/>
        <v>808</v>
      </c>
      <c r="KP229" s="120"/>
      <c r="KQ229" s="120"/>
      <c r="KR229" s="120"/>
      <c r="KS229" s="120"/>
      <c r="KT229" s="120"/>
      <c r="KU229" s="205"/>
      <c r="KV229" s="205"/>
      <c r="KW229" s="205">
        <f t="shared" si="2070"/>
        <v>0</v>
      </c>
      <c r="KX229" s="120"/>
      <c r="KY229" s="120"/>
      <c r="KZ229" s="120"/>
      <c r="LA229" s="120"/>
      <c r="LB229" s="120"/>
      <c r="LC229" s="205"/>
      <c r="LD229" s="205"/>
      <c r="LE229" s="205">
        <f t="shared" si="2071"/>
        <v>0</v>
      </c>
      <c r="LF229" s="205"/>
      <c r="LG229" s="120"/>
      <c r="LH229" s="120"/>
      <c r="LI229" s="120"/>
      <c r="LJ229" s="120"/>
      <c r="LK229" s="205"/>
      <c r="LL229" s="205"/>
      <c r="LM229" s="205">
        <f t="shared" si="2072"/>
        <v>0</v>
      </c>
      <c r="LN229" s="205">
        <f t="shared" si="2073"/>
        <v>808</v>
      </c>
      <c r="LO229" s="205"/>
      <c r="LP229" s="120"/>
      <c r="LQ229" s="120"/>
      <c r="LR229" s="120"/>
      <c r="LS229" s="205"/>
      <c r="LT229" s="205"/>
      <c r="LU229" s="205"/>
      <c r="LV229" s="205">
        <f t="shared" si="2074"/>
        <v>0</v>
      </c>
      <c r="LW229" s="120"/>
      <c r="LX229" s="120"/>
      <c r="LY229" s="124">
        <v>368</v>
      </c>
      <c r="LZ229" s="120"/>
      <c r="MA229" s="120"/>
      <c r="MB229" s="205"/>
      <c r="MC229" s="205"/>
      <c r="MD229" s="205">
        <f t="shared" si="2075"/>
        <v>368</v>
      </c>
      <c r="ME229" s="120"/>
      <c r="MF229" s="120"/>
      <c r="MG229" s="120"/>
      <c r="MH229" s="201">
        <v>1108</v>
      </c>
      <c r="MI229" s="205"/>
      <c r="MJ229" s="205"/>
      <c r="MK229" s="205"/>
      <c r="ML229" s="205">
        <f t="shared" si="2076"/>
        <v>1108</v>
      </c>
      <c r="MM229" s="120" t="s">
        <v>712</v>
      </c>
      <c r="MN229" s="120"/>
      <c r="MO229" s="120"/>
      <c r="MP229" s="120"/>
      <c r="MQ229" s="120"/>
      <c r="MR229" s="205"/>
      <c r="MS229" s="205"/>
      <c r="MT229" s="205">
        <f t="shared" si="2077"/>
        <v>0</v>
      </c>
      <c r="MU229" s="205">
        <f t="shared" si="2078"/>
        <v>1476</v>
      </c>
      <c r="MV229" s="120"/>
      <c r="MW229" s="120"/>
      <c r="MX229" s="195">
        <v>2008</v>
      </c>
      <c r="MY229" s="120"/>
      <c r="MZ229" s="120"/>
      <c r="NA229" s="205"/>
      <c r="NB229" s="205"/>
      <c r="NC229" s="205">
        <f t="shared" si="2079"/>
        <v>2008</v>
      </c>
      <c r="ND229" s="120"/>
      <c r="NE229" s="120"/>
      <c r="NF229" s="120"/>
      <c r="NG229" s="120"/>
      <c r="NH229" s="120"/>
      <c r="NI229" s="205"/>
      <c r="NJ229" s="205"/>
      <c r="NK229" s="205">
        <f t="shared" si="2080"/>
        <v>0</v>
      </c>
      <c r="NL229" s="120"/>
      <c r="NM229" s="120"/>
      <c r="NN229" s="120"/>
      <c r="NO229" s="120"/>
      <c r="NP229" s="120"/>
      <c r="NQ229" s="205"/>
      <c r="NR229" s="205"/>
      <c r="NS229" s="205">
        <f t="shared" si="2081"/>
        <v>0</v>
      </c>
      <c r="NT229" s="217">
        <v>1008</v>
      </c>
      <c r="NU229" s="120"/>
      <c r="NV229" s="120"/>
      <c r="NW229" s="120"/>
      <c r="NX229" s="120"/>
      <c r="NY229" s="205"/>
      <c r="NZ229" s="205"/>
      <c r="OA229" s="205">
        <f t="shared" si="2082"/>
        <v>1008</v>
      </c>
      <c r="OB229" s="205">
        <f t="shared" si="2083"/>
        <v>3016</v>
      </c>
      <c r="OC229" s="120"/>
      <c r="OD229" s="120"/>
      <c r="OE229" s="120"/>
      <c r="OF229" s="120"/>
      <c r="OG229" s="120"/>
      <c r="OH229" s="205"/>
      <c r="OI229" s="205"/>
      <c r="OJ229" s="205">
        <f t="shared" si="2084"/>
        <v>0</v>
      </c>
      <c r="OK229" s="120"/>
      <c r="OL229" s="120"/>
      <c r="OM229" s="120"/>
      <c r="ON229" s="120"/>
      <c r="OO229" s="120"/>
      <c r="OP229" s="205"/>
      <c r="OQ229" s="205"/>
      <c r="OR229" s="205">
        <f t="shared" si="2085"/>
        <v>0</v>
      </c>
      <c r="OS229" s="120"/>
      <c r="OT229" s="120"/>
      <c r="OU229" s="120"/>
      <c r="OV229" s="120"/>
      <c r="OW229" s="120"/>
      <c r="OX229" s="205"/>
      <c r="OY229" s="205"/>
      <c r="OZ229" s="205">
        <f t="shared" si="2086"/>
        <v>0</v>
      </c>
      <c r="PA229" s="120"/>
      <c r="PB229" s="120"/>
      <c r="PC229" s="120"/>
      <c r="PD229" s="205"/>
      <c r="PE229" s="217"/>
      <c r="PF229" s="205"/>
      <c r="PG229" s="205"/>
      <c r="PH229" s="205">
        <f t="shared" si="2087"/>
        <v>0</v>
      </c>
      <c r="PI229" s="120"/>
      <c r="PJ229" s="120"/>
      <c r="PK229" s="120"/>
      <c r="PL229" s="205"/>
      <c r="PM229" s="217"/>
      <c r="PN229" s="205"/>
      <c r="PO229" s="205"/>
      <c r="PP229" s="205">
        <f t="shared" si="2088"/>
        <v>0</v>
      </c>
      <c r="PQ229" s="205">
        <f t="shared" si="2089"/>
        <v>0</v>
      </c>
      <c r="PR229" s="120"/>
      <c r="PS229" s="207"/>
      <c r="PT229" s="207"/>
      <c r="PU229" s="207"/>
      <c r="PV229" s="207"/>
      <c r="PW229" s="272"/>
      <c r="PX229" s="272"/>
      <c r="PY229" s="205">
        <f t="shared" si="2090"/>
        <v>0</v>
      </c>
      <c r="PZ229" s="207"/>
      <c r="QA229" s="207"/>
      <c r="QB229" s="207"/>
      <c r="QC229" s="207"/>
      <c r="QD229" s="207"/>
      <c r="QE229" s="272"/>
      <c r="QF229" s="272"/>
      <c r="QG229" s="205">
        <f t="shared" si="2091"/>
        <v>0</v>
      </c>
      <c r="QH229" s="207"/>
      <c r="QI229" s="207"/>
      <c r="QJ229" s="294"/>
      <c r="QK229" s="207"/>
      <c r="QL229" s="207"/>
      <c r="QM229" s="272"/>
      <c r="QN229" s="272"/>
      <c r="QO229" s="205">
        <f t="shared" si="2092"/>
        <v>0</v>
      </c>
      <c r="QP229" s="207"/>
      <c r="QQ229" s="120"/>
      <c r="QR229" s="207"/>
      <c r="QS229" s="207"/>
      <c r="QT229" s="207"/>
      <c r="QU229" s="272"/>
      <c r="QV229" s="272"/>
      <c r="QW229" s="205">
        <f t="shared" si="2093"/>
        <v>0</v>
      </c>
      <c r="QX229" s="205">
        <f t="shared" si="2094"/>
        <v>0</v>
      </c>
      <c r="QY229" s="207"/>
      <c r="QZ229" s="207"/>
      <c r="RA229" s="207"/>
      <c r="RB229" s="207"/>
      <c r="RC229" s="207"/>
      <c r="RD229" s="272"/>
      <c r="RE229" s="272"/>
      <c r="RF229" s="205">
        <f>SUM(QZ229:RE229)</f>
        <v>0</v>
      </c>
      <c r="RG229" s="207"/>
      <c r="RH229" s="207"/>
      <c r="RI229" s="207"/>
      <c r="RJ229" s="120"/>
      <c r="RK229" s="207"/>
      <c r="RL229" s="272"/>
      <c r="RM229" s="272"/>
      <c r="RN229" s="205">
        <f t="shared" si="2096"/>
        <v>0</v>
      </c>
      <c r="RO229" s="272"/>
      <c r="RP229" s="272"/>
      <c r="RQ229" s="272"/>
      <c r="RR229" s="272"/>
      <c r="RS229" s="272"/>
      <c r="RT229" s="272"/>
      <c r="RU229" s="272"/>
      <c r="RV229" s="205">
        <f t="shared" si="2097"/>
        <v>0</v>
      </c>
      <c r="RW229" s="207"/>
      <c r="RX229" s="207"/>
      <c r="RY229" s="201">
        <v>490</v>
      </c>
      <c r="RZ229" s="207"/>
      <c r="SA229" s="272"/>
      <c r="SB229" s="272"/>
      <c r="SC229" s="272"/>
      <c r="SD229" s="205">
        <f t="shared" si="2098"/>
        <v>490</v>
      </c>
      <c r="SE229" s="205">
        <f t="shared" si="2099"/>
        <v>490</v>
      </c>
      <c r="SF229" s="207"/>
      <c r="SG229" s="207"/>
      <c r="SH229" s="207"/>
      <c r="SI229" s="207"/>
      <c r="SJ229" s="207"/>
      <c r="SK229" s="272"/>
      <c r="SL229" s="272"/>
      <c r="SM229" s="205">
        <f t="shared" si="2100"/>
        <v>0</v>
      </c>
      <c r="SN229" s="207"/>
      <c r="SO229" s="123">
        <v>500</v>
      </c>
      <c r="SP229" s="207"/>
      <c r="SQ229" s="207"/>
      <c r="SR229" s="207"/>
      <c r="SS229" s="272"/>
      <c r="ST229" s="272"/>
      <c r="SU229" s="205">
        <f t="shared" si="2101"/>
        <v>500</v>
      </c>
      <c r="SV229" s="207"/>
      <c r="SW229" s="207"/>
      <c r="SX229" s="207"/>
      <c r="SY229" s="207"/>
      <c r="SZ229" s="123">
        <v>140</v>
      </c>
      <c r="TA229" s="272"/>
      <c r="TB229" s="272"/>
      <c r="TC229" s="205">
        <f t="shared" si="2102"/>
        <v>140</v>
      </c>
      <c r="TD229" s="207"/>
      <c r="TE229" s="201">
        <v>1860</v>
      </c>
      <c r="TF229" s="304"/>
      <c r="TG229" s="225"/>
      <c r="TH229" s="225"/>
      <c r="TI229" s="272"/>
      <c r="TJ229" s="272"/>
      <c r="TK229" s="205">
        <f t="shared" si="2142"/>
        <v>1860</v>
      </c>
      <c r="TL229" s="225"/>
      <c r="TM229" s="140"/>
      <c r="TN229" s="140"/>
      <c r="TO229" s="140"/>
      <c r="TP229" s="370"/>
      <c r="TQ229" s="272"/>
      <c r="TR229" s="272"/>
      <c r="TS229" s="205">
        <f t="shared" si="2153"/>
        <v>0</v>
      </c>
      <c r="TT229" s="205">
        <f t="shared" si="2154"/>
        <v>2500</v>
      </c>
      <c r="TU229" s="272"/>
      <c r="TV229" s="207"/>
      <c r="TW229" s="207"/>
      <c r="TX229" s="207"/>
      <c r="TY229" s="207"/>
      <c r="TZ229" s="272"/>
      <c r="UA229" s="272"/>
      <c r="UB229" s="205">
        <f t="shared" si="2012"/>
        <v>0</v>
      </c>
      <c r="UC229" s="207"/>
      <c r="UD229" s="207"/>
      <c r="UE229" s="120"/>
      <c r="UF229" s="120"/>
      <c r="UH229" s="272"/>
      <c r="UI229" s="272"/>
      <c r="UJ229" s="205">
        <f t="shared" si="2013"/>
        <v>0</v>
      </c>
      <c r="UL229" s="207"/>
      <c r="UM229" s="207"/>
      <c r="UN229" s="207"/>
      <c r="UP229" s="272"/>
      <c r="UQ229" s="272"/>
      <c r="UR229" s="205">
        <f>SUM(UL229:UQ229)</f>
        <v>0</v>
      </c>
      <c r="US229" s="207"/>
      <c r="UT229" s="207"/>
      <c r="UU229" s="207"/>
      <c r="UV229" s="207"/>
      <c r="UW229" s="272"/>
      <c r="UX229" s="272"/>
      <c r="UY229" s="272"/>
      <c r="UZ229" s="205">
        <f>SUM(UU229:UY229)</f>
        <v>0</v>
      </c>
      <c r="VA229" s="205">
        <f>SUM(TN229:TR229,UB229,UJ229,UR229,VL229:VM229)</f>
        <v>0</v>
      </c>
      <c r="VB229" s="207"/>
      <c r="VC229" s="120"/>
      <c r="VD229" s="207"/>
      <c r="VE229" s="207"/>
      <c r="VF229" s="207"/>
      <c r="VG229" s="272"/>
      <c r="VH229" s="272"/>
      <c r="VI229" s="205">
        <f t="shared" si="2005"/>
        <v>0</v>
      </c>
      <c r="VK229" s="120"/>
      <c r="VL229" s="207"/>
      <c r="VM229" s="207"/>
      <c r="VN229" s="124">
        <v>260</v>
      </c>
      <c r="VO229" s="272"/>
      <c r="VP229" s="272"/>
      <c r="VQ229" s="205">
        <f t="shared" si="2015"/>
        <v>260</v>
      </c>
      <c r="VS229" s="124">
        <v>1000</v>
      </c>
      <c r="VT229" s="124">
        <v>1000</v>
      </c>
      <c r="VU229" s="124">
        <v>1000</v>
      </c>
      <c r="VV229" s="207"/>
      <c r="VW229" s="272"/>
      <c r="VX229" s="272"/>
      <c r="VY229" s="205">
        <f t="shared" si="2006"/>
        <v>3000</v>
      </c>
      <c r="VZ229" s="207"/>
      <c r="WA229" s="207"/>
      <c r="WB229" s="207"/>
      <c r="WC229" s="356"/>
      <c r="WD229" s="207"/>
      <c r="WE229" s="272"/>
      <c r="WF229" s="272"/>
      <c r="WG229" s="205">
        <f t="shared" si="2007"/>
        <v>0</v>
      </c>
      <c r="WH229" s="205">
        <f t="shared" si="2008"/>
        <v>3260</v>
      </c>
      <c r="WI229" s="207"/>
      <c r="WK229" s="207"/>
      <c r="WL229" s="207"/>
      <c r="WM229" s="207"/>
      <c r="WN229" s="272"/>
      <c r="WO229" s="272"/>
      <c r="WP229" s="205">
        <f t="shared" si="2016"/>
        <v>0</v>
      </c>
      <c r="WQ229" s="207"/>
      <c r="WR229" s="207"/>
      <c r="WS229" s="207"/>
      <c r="WT229" s="207"/>
      <c r="WU229" s="207"/>
      <c r="WV229" s="272"/>
      <c r="WW229" s="272"/>
      <c r="WX229" s="205">
        <f t="shared" si="2017"/>
        <v>0</v>
      </c>
      <c r="WY229" s="207"/>
      <c r="WZ229" s="207"/>
      <c r="XA229" s="207"/>
      <c r="XB229" s="207"/>
      <c r="XC229" s="272"/>
      <c r="XD229" s="272"/>
      <c r="XE229" s="272"/>
      <c r="XF229" s="205">
        <f>SUM(WT229:XE229)</f>
        <v>0</v>
      </c>
      <c r="XG229" s="207"/>
      <c r="XH229" s="207"/>
      <c r="XI229" s="207"/>
      <c r="XJ229" s="207"/>
      <c r="XK229" s="207"/>
      <c r="XL229" s="272"/>
      <c r="XM229" s="272"/>
      <c r="XN229" s="205">
        <f t="shared" si="2105"/>
        <v>0</v>
      </c>
      <c r="XO229" s="207"/>
      <c r="XP229" s="207"/>
      <c r="XQ229" s="207"/>
      <c r="XR229" s="207"/>
      <c r="XS229" s="207"/>
      <c r="XT229" s="272"/>
      <c r="XU229" s="272"/>
      <c r="XV229" s="205">
        <f t="shared" si="2106"/>
        <v>0</v>
      </c>
      <c r="XW229" s="205">
        <f t="shared" si="2107"/>
        <v>0</v>
      </c>
      <c r="XX229" s="207"/>
      <c r="XY229" s="207"/>
      <c r="XZ229" s="207"/>
      <c r="YA229" s="207"/>
      <c r="YB229" s="207"/>
      <c r="YC229" s="272"/>
      <c r="YD229" s="272"/>
      <c r="YE229" s="205">
        <f t="shared" si="2018"/>
        <v>0</v>
      </c>
      <c r="YF229" s="207"/>
      <c r="YG229" s="207"/>
      <c r="YH229" s="207"/>
      <c r="YI229" s="207"/>
      <c r="YJ229" s="207"/>
      <c r="YK229" s="272"/>
      <c r="YL229" s="272"/>
      <c r="YM229" s="205">
        <f t="shared" si="2019"/>
        <v>0</v>
      </c>
      <c r="YN229" s="207"/>
      <c r="YO229" s="207"/>
      <c r="YP229" s="207"/>
      <c r="YQ229" s="207"/>
      <c r="YR229" s="207"/>
      <c r="YS229" s="272"/>
      <c r="YT229" s="272"/>
      <c r="YU229" s="205">
        <f t="shared" si="2020"/>
        <v>0</v>
      </c>
      <c r="YV229" s="207"/>
      <c r="YW229" s="207"/>
      <c r="YX229" s="207"/>
      <c r="YY229" s="207"/>
      <c r="YZ229" s="207"/>
      <c r="ZA229" s="272"/>
      <c r="ZB229" s="272"/>
      <c r="ZC229" s="205">
        <f t="shared" si="2021"/>
        <v>0</v>
      </c>
      <c r="ZD229" s="205">
        <f t="shared" si="2022"/>
        <v>0</v>
      </c>
      <c r="ZE229" s="207"/>
      <c r="ZF229" s="207"/>
      <c r="ZG229" s="207"/>
      <c r="ZH229" s="207"/>
      <c r="ZI229" s="207"/>
      <c r="ZJ229" s="272"/>
      <c r="ZK229" s="272"/>
      <c r="ZL229" s="205">
        <f t="shared" si="2023"/>
        <v>0</v>
      </c>
      <c r="ZM229" s="207"/>
      <c r="ZN229" s="207"/>
      <c r="ZO229" s="207"/>
      <c r="ZP229" s="207"/>
      <c r="ZQ229" s="207"/>
      <c r="ZR229" s="272"/>
      <c r="ZS229" s="272"/>
      <c r="ZT229" s="205">
        <f t="shared" si="2010"/>
        <v>0</v>
      </c>
      <c r="ZU229" s="207"/>
      <c r="ZV229" s="207"/>
      <c r="ZW229" s="207"/>
      <c r="ZX229" s="207"/>
      <c r="ZY229" s="207"/>
      <c r="ZZ229" s="272"/>
      <c r="AAA229" s="272"/>
      <c r="AAB229" s="205">
        <f t="shared" si="2024"/>
        <v>0</v>
      </c>
      <c r="AAC229" s="207"/>
      <c r="AAD229" s="207"/>
      <c r="AAE229" s="207"/>
      <c r="AAF229" s="207"/>
      <c r="AAG229" s="207"/>
      <c r="AAH229" s="272"/>
      <c r="AAI229" s="272"/>
      <c r="AAJ229" s="205">
        <f t="shared" si="2011"/>
        <v>0</v>
      </c>
      <c r="AAK229" s="207"/>
      <c r="AAL229" s="207"/>
      <c r="AAM229" s="207"/>
      <c r="AAN229" s="207"/>
      <c r="AAO229" s="207"/>
      <c r="AAP229" s="272"/>
      <c r="AAQ229" s="272"/>
      <c r="AAR229" s="205">
        <f t="shared" si="2025"/>
        <v>0</v>
      </c>
      <c r="AAS229" s="205">
        <f t="shared" si="2026"/>
        <v>0</v>
      </c>
    </row>
    <row r="230" spans="1:721" ht="74.099999999999994" customHeight="1">
      <c r="A230" s="117">
        <v>5</v>
      </c>
      <c r="B230" s="317">
        <v>3638101101</v>
      </c>
      <c r="C230" s="362" t="s">
        <v>881</v>
      </c>
      <c r="D230" s="318" t="s">
        <v>868</v>
      </c>
      <c r="E230" s="130" t="s">
        <v>4</v>
      </c>
      <c r="F230" s="120"/>
      <c r="G230" s="120"/>
      <c r="H230" s="120"/>
      <c r="I230" s="120"/>
      <c r="J230" s="120"/>
      <c r="K230" s="209"/>
      <c r="L230" s="205"/>
      <c r="M230" s="205">
        <f t="shared" si="2108"/>
        <v>0</v>
      </c>
      <c r="N230" s="120"/>
      <c r="O230" s="120"/>
      <c r="P230" s="120"/>
      <c r="Q230" s="120"/>
      <c r="R230" s="120"/>
      <c r="S230" s="209"/>
      <c r="T230" s="205"/>
      <c r="U230" s="205">
        <f t="shared" si="2028"/>
        <v>0</v>
      </c>
      <c r="V230" s="120"/>
      <c r="W230" s="120"/>
      <c r="X230" s="120"/>
      <c r="Y230" s="120"/>
      <c r="Z230" s="120"/>
      <c r="AA230" s="209"/>
      <c r="AB230" s="205"/>
      <c r="AC230" s="205">
        <f t="shared" si="2029"/>
        <v>0</v>
      </c>
      <c r="AD230" s="205"/>
      <c r="AE230" s="205"/>
      <c r="AF230" s="205"/>
      <c r="AG230" s="205"/>
      <c r="AH230" s="205"/>
      <c r="AI230" s="209"/>
      <c r="AJ230" s="205"/>
      <c r="AK230" s="205">
        <f t="shared" si="2030"/>
        <v>0</v>
      </c>
      <c r="AL230" s="205" t="e">
        <f>SUM(#REF!,M230,U230,AC230,AD230:AH230)</f>
        <v>#REF!</v>
      </c>
      <c r="AM230" s="120"/>
      <c r="AN230" s="120"/>
      <c r="AO230" s="120"/>
      <c r="AP230" s="120"/>
      <c r="AQ230" s="120"/>
      <c r="AR230" s="209"/>
      <c r="AS230" s="205"/>
      <c r="AT230" s="205">
        <f t="shared" si="2031"/>
        <v>0</v>
      </c>
      <c r="AU230" s="120"/>
      <c r="AV230" s="120"/>
      <c r="AW230" s="120"/>
      <c r="AX230" s="120"/>
      <c r="AY230" s="120"/>
      <c r="AZ230" s="209"/>
      <c r="BA230" s="205"/>
      <c r="BB230" s="205">
        <f t="shared" si="2032"/>
        <v>0</v>
      </c>
      <c r="BC230" s="120"/>
      <c r="BD230" s="120"/>
      <c r="BE230" s="120"/>
      <c r="BF230" s="120"/>
      <c r="BG230" s="120"/>
      <c r="BH230" s="209"/>
      <c r="BI230" s="205"/>
      <c r="BJ230" s="205">
        <f t="shared" si="2033"/>
        <v>0</v>
      </c>
      <c r="BK230" s="120"/>
      <c r="BL230" s="120"/>
      <c r="BM230" s="217">
        <v>3109</v>
      </c>
      <c r="BN230" s="120"/>
      <c r="BO230" s="205"/>
      <c r="BP230" s="209"/>
      <c r="BQ230" s="205"/>
      <c r="BR230" s="205">
        <f t="shared" si="2034"/>
        <v>3109</v>
      </c>
      <c r="BS230" s="205">
        <f t="shared" si="2035"/>
        <v>3109</v>
      </c>
      <c r="BT230" s="120"/>
      <c r="BU230" s="250">
        <v>709</v>
      </c>
      <c r="BV230" s="120"/>
      <c r="BW230" s="120"/>
      <c r="BX230" s="120"/>
      <c r="BY230" s="209"/>
      <c r="BZ230" s="205"/>
      <c r="CA230" s="205">
        <f t="shared" si="2036"/>
        <v>709</v>
      </c>
      <c r="CB230" s="120"/>
      <c r="CC230" s="120"/>
      <c r="CD230" s="120"/>
      <c r="CE230" s="120"/>
      <c r="CF230" s="120"/>
      <c r="CG230" s="209"/>
      <c r="CH230" s="205"/>
      <c r="CI230" s="205">
        <f t="shared" si="2037"/>
        <v>0</v>
      </c>
      <c r="CJ230" s="120"/>
      <c r="CK230" s="120"/>
      <c r="CL230" s="250">
        <v>1209</v>
      </c>
      <c r="CM230" s="120"/>
      <c r="CN230" s="120"/>
      <c r="CO230" s="209"/>
      <c r="CP230" s="205"/>
      <c r="CQ230" s="205">
        <f t="shared" si="2038"/>
        <v>1209</v>
      </c>
      <c r="CR230" s="120" t="s">
        <v>216</v>
      </c>
      <c r="CS230" s="120"/>
      <c r="CT230" s="120"/>
      <c r="CU230" s="120"/>
      <c r="CV230" s="120"/>
      <c r="CW230" s="209"/>
      <c r="CX230" s="205"/>
      <c r="CY230" s="205">
        <f t="shared" si="2039"/>
        <v>0</v>
      </c>
      <c r="CZ230" s="120"/>
      <c r="DA230" s="120"/>
      <c r="DB230" s="120"/>
      <c r="DC230" s="205"/>
      <c r="DD230" s="205"/>
      <c r="DE230" s="209"/>
      <c r="DF230" s="205"/>
      <c r="DG230" s="205">
        <f t="shared" si="2040"/>
        <v>0</v>
      </c>
      <c r="DH230" s="205">
        <f t="shared" si="2041"/>
        <v>1918</v>
      </c>
      <c r="DI230" s="120"/>
      <c r="DJ230" s="120"/>
      <c r="DK230" s="120"/>
      <c r="DL230" s="120"/>
      <c r="DM230" s="120"/>
      <c r="DN230" s="209"/>
      <c r="DO230" s="205"/>
      <c r="DP230" s="205">
        <f t="shared" si="2042"/>
        <v>0</v>
      </c>
      <c r="DQ230" s="217">
        <v>659</v>
      </c>
      <c r="DR230" s="120"/>
      <c r="DS230" s="120"/>
      <c r="DT230" s="120"/>
      <c r="DU230" s="120"/>
      <c r="DV230" s="209"/>
      <c r="DW230" s="205"/>
      <c r="DX230" s="205">
        <f t="shared" si="2043"/>
        <v>659</v>
      </c>
      <c r="DY230" s="120"/>
      <c r="DZ230" s="120"/>
      <c r="EA230" s="120"/>
      <c r="EB230" s="120"/>
      <c r="EC230" s="120"/>
      <c r="ED230" s="209"/>
      <c r="EE230" s="205"/>
      <c r="EF230" s="205">
        <f t="shared" si="2044"/>
        <v>0</v>
      </c>
      <c r="EG230" s="120"/>
      <c r="EH230" s="120"/>
      <c r="EI230" s="120"/>
      <c r="EJ230" s="205"/>
      <c r="EK230" s="205"/>
      <c r="EL230" s="209"/>
      <c r="EM230" s="205"/>
      <c r="EN230" s="205">
        <f t="shared" si="2045"/>
        <v>0</v>
      </c>
      <c r="EO230" s="205">
        <f t="shared" si="2046"/>
        <v>659</v>
      </c>
      <c r="EP230" s="120"/>
      <c r="EQ230" s="250">
        <v>509</v>
      </c>
      <c r="ER230" s="120"/>
      <c r="ES230" s="120"/>
      <c r="ET230" s="120"/>
      <c r="EU230" s="209"/>
      <c r="EV230" s="205"/>
      <c r="EW230" s="205">
        <f t="shared" si="2047"/>
        <v>509</v>
      </c>
      <c r="EX230" s="120"/>
      <c r="EY230" s="120"/>
      <c r="EZ230" s="120"/>
      <c r="FA230" s="120"/>
      <c r="FB230" s="120"/>
      <c r="FC230" s="209"/>
      <c r="FD230" s="205"/>
      <c r="FE230" s="205">
        <f t="shared" si="2048"/>
        <v>0</v>
      </c>
      <c r="FF230" s="120"/>
      <c r="FG230" s="195">
        <v>509</v>
      </c>
      <c r="FH230" s="120"/>
      <c r="FI230" s="120"/>
      <c r="FJ230" s="120"/>
      <c r="FK230" s="209"/>
      <c r="FL230" s="205"/>
      <c r="FM230" s="205">
        <f t="shared" si="2049"/>
        <v>509</v>
      </c>
      <c r="FN230" s="120"/>
      <c r="FO230" s="120"/>
      <c r="FP230" s="120"/>
      <c r="FQ230" s="120"/>
      <c r="FR230" s="205"/>
      <c r="FS230" s="209"/>
      <c r="FT230" s="205"/>
      <c r="FU230" s="205">
        <f t="shared" si="2050"/>
        <v>0</v>
      </c>
      <c r="FV230" s="205">
        <f t="shared" si="2051"/>
        <v>1018</v>
      </c>
      <c r="FW230" s="120"/>
      <c r="FX230" s="120"/>
      <c r="FY230" s="120"/>
      <c r="FZ230" s="120"/>
      <c r="GA230" s="120"/>
      <c r="GB230" s="209"/>
      <c r="GC230" s="205"/>
      <c r="GD230" s="205">
        <f t="shared" si="2052"/>
        <v>0</v>
      </c>
      <c r="GE230" s="120"/>
      <c r="GF230" s="120"/>
      <c r="GG230" s="120"/>
      <c r="GH230" s="120"/>
      <c r="GI230" s="120"/>
      <c r="GJ230" s="209"/>
      <c r="GK230" s="205"/>
      <c r="GL230" s="205">
        <f t="shared" si="2053"/>
        <v>0</v>
      </c>
      <c r="GM230" s="120"/>
      <c r="GN230" s="120"/>
      <c r="GO230" s="120"/>
      <c r="GP230" s="120"/>
      <c r="GQ230" s="120"/>
      <c r="GR230" s="209"/>
      <c r="GS230" s="205"/>
      <c r="GT230" s="205">
        <f t="shared" si="2054"/>
        <v>0</v>
      </c>
      <c r="GU230" s="120"/>
      <c r="GV230" s="120"/>
      <c r="GW230" s="120"/>
      <c r="GX230" s="120"/>
      <c r="GY230" s="120"/>
      <c r="GZ230" s="209"/>
      <c r="HA230" s="205"/>
      <c r="HB230" s="205">
        <f t="shared" si="2055"/>
        <v>0</v>
      </c>
      <c r="HC230" s="120"/>
      <c r="HD230" s="120"/>
      <c r="HE230" s="120"/>
      <c r="HF230" s="120"/>
      <c r="HG230" s="120"/>
      <c r="HH230" s="209"/>
      <c r="HI230" s="205"/>
      <c r="HJ230" s="205">
        <f t="shared" si="2056"/>
        <v>0</v>
      </c>
      <c r="HK230" s="205">
        <f t="shared" si="2057"/>
        <v>0</v>
      </c>
      <c r="HL230" s="124"/>
      <c r="HM230" s="120"/>
      <c r="HN230" s="120"/>
      <c r="HO230" s="123">
        <v>1759</v>
      </c>
      <c r="HP230" s="120"/>
      <c r="HQ230" s="205"/>
      <c r="HR230" s="205"/>
      <c r="HS230" s="205">
        <f t="shared" si="2058"/>
        <v>1759</v>
      </c>
      <c r="HT230" s="120"/>
      <c r="HU230" s="120"/>
      <c r="HV230" s="120"/>
      <c r="HW230" s="120"/>
      <c r="HX230" s="120"/>
      <c r="HY230" s="205"/>
      <c r="HZ230" s="205"/>
      <c r="IA230" s="205">
        <f t="shared" si="2059"/>
        <v>0</v>
      </c>
      <c r="IB230" s="120"/>
      <c r="IC230" s="120"/>
      <c r="ID230" s="120"/>
      <c r="IE230" s="120"/>
      <c r="IF230" s="120"/>
      <c r="IG230" s="205"/>
      <c r="IH230" s="205"/>
      <c r="II230" s="205">
        <f t="shared" si="2060"/>
        <v>0</v>
      </c>
      <c r="IJ230" s="120"/>
      <c r="IK230" s="120"/>
      <c r="IL230" s="201">
        <v>1809</v>
      </c>
      <c r="IM230" s="120"/>
      <c r="IN230" s="120"/>
      <c r="IO230" s="205"/>
      <c r="IP230" s="205"/>
      <c r="IQ230" s="205">
        <f t="shared" si="2061"/>
        <v>1809</v>
      </c>
      <c r="IR230" s="205">
        <f t="shared" si="2062"/>
        <v>3568</v>
      </c>
      <c r="IS230" s="120"/>
      <c r="IT230" s="120"/>
      <c r="IU230" s="120"/>
      <c r="IV230" s="120"/>
      <c r="IW230" s="120"/>
      <c r="IX230" s="205"/>
      <c r="IY230" s="205"/>
      <c r="IZ230" s="205">
        <f t="shared" si="2063"/>
        <v>0</v>
      </c>
      <c r="JA230" s="120"/>
      <c r="JB230" s="120"/>
      <c r="JC230" s="120"/>
      <c r="JD230" s="120"/>
      <c r="JE230" s="120"/>
      <c r="JF230" s="205"/>
      <c r="JG230" s="205"/>
      <c r="JH230" s="205">
        <f t="shared" si="2064"/>
        <v>0</v>
      </c>
      <c r="JI230" s="120"/>
      <c r="JJ230" s="120"/>
      <c r="JK230" s="120"/>
      <c r="JL230" s="120"/>
      <c r="JM230" s="120"/>
      <c r="JN230" s="205"/>
      <c r="JO230" s="205"/>
      <c r="JP230" s="205">
        <f t="shared" si="2065"/>
        <v>0</v>
      </c>
      <c r="JQ230" s="120"/>
      <c r="JR230" s="120"/>
      <c r="JS230" s="120"/>
      <c r="JT230" s="120"/>
      <c r="JU230" s="120"/>
      <c r="JV230" s="205"/>
      <c r="JW230" s="205"/>
      <c r="JX230" s="205">
        <f t="shared" si="2066"/>
        <v>0</v>
      </c>
      <c r="JY230" s="205">
        <f t="shared" si="2067"/>
        <v>0</v>
      </c>
      <c r="JZ230" s="120"/>
      <c r="KA230" s="120"/>
      <c r="KB230" s="120"/>
      <c r="KC230" s="120"/>
      <c r="KD230" s="120"/>
      <c r="KE230" s="205"/>
      <c r="KF230" s="205"/>
      <c r="KG230" s="205">
        <f t="shared" si="2068"/>
        <v>0</v>
      </c>
      <c r="KH230" s="120"/>
      <c r="KI230" s="120"/>
      <c r="KJ230" s="120"/>
      <c r="KK230" s="206">
        <v>809</v>
      </c>
      <c r="KL230" s="120"/>
      <c r="KM230" s="205"/>
      <c r="KN230" s="205"/>
      <c r="KO230" s="205">
        <f t="shared" si="2069"/>
        <v>809</v>
      </c>
      <c r="KP230" s="120"/>
      <c r="KQ230" s="120"/>
      <c r="KR230" s="120"/>
      <c r="KS230" s="120"/>
      <c r="KT230" s="120"/>
      <c r="KU230" s="205"/>
      <c r="KV230" s="205"/>
      <c r="KW230" s="205">
        <f t="shared" si="2070"/>
        <v>0</v>
      </c>
      <c r="KX230" s="120"/>
      <c r="KY230" s="120"/>
      <c r="KZ230" s="120"/>
      <c r="LA230" s="120"/>
      <c r="LB230" s="120"/>
      <c r="LC230" s="205"/>
      <c r="LD230" s="205"/>
      <c r="LE230" s="205">
        <f t="shared" si="2071"/>
        <v>0</v>
      </c>
      <c r="LF230" s="205"/>
      <c r="LG230" s="120"/>
      <c r="LH230" s="120"/>
      <c r="LI230" s="120"/>
      <c r="LJ230" s="120"/>
      <c r="LK230" s="205"/>
      <c r="LL230" s="205"/>
      <c r="LM230" s="205">
        <f t="shared" si="2072"/>
        <v>0</v>
      </c>
      <c r="LN230" s="205">
        <f t="shared" si="2073"/>
        <v>809</v>
      </c>
      <c r="LO230" s="205"/>
      <c r="LP230" s="120"/>
      <c r="LQ230" s="120"/>
      <c r="LR230" s="120"/>
      <c r="LS230" s="205"/>
      <c r="LT230" s="205"/>
      <c r="LU230" s="205"/>
      <c r="LV230" s="205">
        <f t="shared" si="2074"/>
        <v>0</v>
      </c>
      <c r="LW230" s="120"/>
      <c r="LX230" s="120"/>
      <c r="LY230" s="124">
        <v>369</v>
      </c>
      <c r="LZ230" s="120"/>
      <c r="MA230" s="120"/>
      <c r="MB230" s="205"/>
      <c r="MC230" s="205"/>
      <c r="MD230" s="205">
        <f t="shared" si="2075"/>
        <v>369</v>
      </c>
      <c r="ME230" s="120"/>
      <c r="MF230" s="120"/>
      <c r="MG230" s="120"/>
      <c r="MH230" s="201">
        <v>1109</v>
      </c>
      <c r="MI230" s="205"/>
      <c r="MJ230" s="205"/>
      <c r="MK230" s="205"/>
      <c r="ML230" s="205">
        <f t="shared" si="2076"/>
        <v>1109</v>
      </c>
      <c r="MM230" s="120" t="s">
        <v>712</v>
      </c>
      <c r="MN230" s="120"/>
      <c r="MO230" s="120"/>
      <c r="MP230" s="120"/>
      <c r="MQ230" s="120"/>
      <c r="MR230" s="205"/>
      <c r="MS230" s="205"/>
      <c r="MT230" s="205">
        <f t="shared" si="2077"/>
        <v>0</v>
      </c>
      <c r="MU230" s="205">
        <f t="shared" si="2078"/>
        <v>1478</v>
      </c>
      <c r="MV230" s="120"/>
      <c r="MW230" s="120"/>
      <c r="MX230" s="195">
        <v>2009</v>
      </c>
      <c r="MY230" s="120"/>
      <c r="MZ230" s="120"/>
      <c r="NA230" s="205"/>
      <c r="NB230" s="205"/>
      <c r="NC230" s="205">
        <f t="shared" si="2079"/>
        <v>2009</v>
      </c>
      <c r="ND230" s="120"/>
      <c r="NE230" s="120"/>
      <c r="NF230" s="120"/>
      <c r="NG230" s="120"/>
      <c r="NH230" s="120"/>
      <c r="NI230" s="205"/>
      <c r="NJ230" s="205"/>
      <c r="NK230" s="205">
        <f t="shared" si="2080"/>
        <v>0</v>
      </c>
      <c r="NL230" s="120"/>
      <c r="NM230" s="120"/>
      <c r="NN230" s="120"/>
      <c r="NO230" s="120"/>
      <c r="NP230" s="120"/>
      <c r="NQ230" s="205"/>
      <c r="NR230" s="205"/>
      <c r="NS230" s="205">
        <f t="shared" si="2081"/>
        <v>0</v>
      </c>
      <c r="NT230" s="217">
        <v>1009</v>
      </c>
      <c r="NU230" s="120"/>
      <c r="NV230" s="120"/>
      <c r="NW230" s="120"/>
      <c r="NX230" s="120"/>
      <c r="NY230" s="205"/>
      <c r="NZ230" s="205"/>
      <c r="OA230" s="205">
        <f t="shared" si="2082"/>
        <v>1009</v>
      </c>
      <c r="OB230" s="205">
        <f t="shared" si="2083"/>
        <v>3018</v>
      </c>
      <c r="OC230" s="120"/>
      <c r="OD230" s="120"/>
      <c r="OE230" s="120"/>
      <c r="OF230" s="120"/>
      <c r="OG230" s="120"/>
      <c r="OH230" s="205"/>
      <c r="OI230" s="205"/>
      <c r="OJ230" s="205">
        <f t="shared" si="2084"/>
        <v>0</v>
      </c>
      <c r="OK230" s="120"/>
      <c r="OL230" s="120"/>
      <c r="OM230" s="120"/>
      <c r="ON230" s="120"/>
      <c r="OO230" s="120"/>
      <c r="OP230" s="205"/>
      <c r="OQ230" s="205"/>
      <c r="OR230" s="205">
        <f t="shared" si="2085"/>
        <v>0</v>
      </c>
      <c r="OS230" s="120"/>
      <c r="OT230" s="120"/>
      <c r="OU230" s="120"/>
      <c r="OV230" s="120"/>
      <c r="OW230" s="120"/>
      <c r="OX230" s="205"/>
      <c r="OY230" s="205"/>
      <c r="OZ230" s="205">
        <f t="shared" si="2086"/>
        <v>0</v>
      </c>
      <c r="PA230" s="120"/>
      <c r="PB230" s="120"/>
      <c r="PC230" s="120"/>
      <c r="PD230" s="205"/>
      <c r="PE230" s="217"/>
      <c r="PF230" s="205"/>
      <c r="PG230" s="205"/>
      <c r="PH230" s="205">
        <f t="shared" si="2087"/>
        <v>0</v>
      </c>
      <c r="PI230" s="120"/>
      <c r="PJ230" s="120"/>
      <c r="PK230" s="120"/>
      <c r="PL230" s="205"/>
      <c r="PM230" s="217"/>
      <c r="PN230" s="205"/>
      <c r="PO230" s="205"/>
      <c r="PP230" s="205">
        <f t="shared" si="2088"/>
        <v>0</v>
      </c>
      <c r="PQ230" s="205">
        <f t="shared" si="2089"/>
        <v>0</v>
      </c>
      <c r="PR230" s="120"/>
      <c r="PS230" s="207"/>
      <c r="PT230" s="207"/>
      <c r="PU230" s="207"/>
      <c r="PV230" s="207"/>
      <c r="PW230" s="272"/>
      <c r="PX230" s="272"/>
      <c r="PY230" s="205">
        <f t="shared" si="2090"/>
        <v>0</v>
      </c>
      <c r="PZ230" s="207"/>
      <c r="QA230" s="207"/>
      <c r="QB230" s="207"/>
      <c r="QC230" s="207"/>
      <c r="QD230" s="207"/>
      <c r="QE230" s="272"/>
      <c r="QF230" s="272"/>
      <c r="QG230" s="205">
        <f t="shared" si="2091"/>
        <v>0</v>
      </c>
      <c r="QH230" s="207"/>
      <c r="QI230" s="207"/>
      <c r="QJ230" s="294"/>
      <c r="QK230" s="207"/>
      <c r="QL230" s="207"/>
      <c r="QM230" s="272"/>
      <c r="QN230" s="272"/>
      <c r="QO230" s="205">
        <f t="shared" si="2092"/>
        <v>0</v>
      </c>
      <c r="QP230" s="207"/>
      <c r="QQ230" s="120"/>
      <c r="QR230" s="207"/>
      <c r="QS230" s="207"/>
      <c r="QT230" s="207"/>
      <c r="QU230" s="272"/>
      <c r="QV230" s="272"/>
      <c r="QW230" s="205">
        <f t="shared" si="2093"/>
        <v>0</v>
      </c>
      <c r="QX230" s="205">
        <f t="shared" si="2094"/>
        <v>0</v>
      </c>
      <c r="QY230" s="207"/>
      <c r="QZ230" s="207"/>
      <c r="RA230" s="207"/>
      <c r="RB230" s="207"/>
      <c r="RC230" s="207"/>
      <c r="RD230" s="272"/>
      <c r="RE230" s="272"/>
      <c r="RF230" s="205">
        <f t="shared" si="2148"/>
        <v>0</v>
      </c>
      <c r="RG230" s="207"/>
      <c r="RH230" s="207"/>
      <c r="RI230" s="207"/>
      <c r="RJ230" s="120"/>
      <c r="RK230" s="207"/>
      <c r="RL230" s="272"/>
      <c r="RM230" s="272"/>
      <c r="RN230" s="205">
        <f t="shared" si="2096"/>
        <v>0</v>
      </c>
      <c r="RO230" s="272"/>
      <c r="RP230" s="272"/>
      <c r="RQ230" s="272"/>
      <c r="RR230" s="272"/>
      <c r="RS230" s="272"/>
      <c r="RT230" s="272"/>
      <c r="RU230" s="272"/>
      <c r="RV230" s="205">
        <f t="shared" si="2097"/>
        <v>0</v>
      </c>
      <c r="RW230" s="207"/>
      <c r="RX230" s="207"/>
      <c r="RY230" s="207"/>
      <c r="RZ230" s="207"/>
      <c r="SA230" s="272"/>
      <c r="SB230" s="272"/>
      <c r="SC230" s="272"/>
      <c r="SD230" s="205">
        <f t="shared" si="2098"/>
        <v>0</v>
      </c>
      <c r="SE230" s="205">
        <f t="shared" si="2099"/>
        <v>0</v>
      </c>
      <c r="SF230" s="207"/>
      <c r="SG230" s="207"/>
      <c r="SH230" s="207"/>
      <c r="SI230" s="207"/>
      <c r="SJ230" s="207"/>
      <c r="SK230" s="272"/>
      <c r="SL230" s="272"/>
      <c r="SM230" s="205">
        <f t="shared" si="2100"/>
        <v>0</v>
      </c>
      <c r="SN230" s="207"/>
      <c r="SO230" s="207"/>
      <c r="SP230" s="207"/>
      <c r="SQ230" s="207"/>
      <c r="SR230" s="207"/>
      <c r="SS230" s="272"/>
      <c r="ST230" s="272"/>
      <c r="SU230" s="205">
        <f t="shared" si="2101"/>
        <v>0</v>
      </c>
      <c r="SV230" s="207"/>
      <c r="SW230" s="207"/>
      <c r="SX230" s="207"/>
      <c r="SY230" s="207"/>
      <c r="SZ230" s="207"/>
      <c r="TA230" s="272"/>
      <c r="TB230" s="272"/>
      <c r="TC230" s="205">
        <f t="shared" si="2102"/>
        <v>0</v>
      </c>
      <c r="TD230" s="207"/>
      <c r="TE230" s="207"/>
      <c r="TF230" s="120"/>
      <c r="TG230" s="195">
        <v>130</v>
      </c>
      <c r="TH230" s="207"/>
      <c r="TI230" s="272"/>
      <c r="TJ230" s="272"/>
      <c r="TK230" s="205">
        <f t="shared" si="2142"/>
        <v>130</v>
      </c>
      <c r="TL230" s="140"/>
      <c r="TM230" s="250">
        <v>1100</v>
      </c>
      <c r="TN230" s="140"/>
      <c r="TO230" s="140"/>
      <c r="TP230" s="370"/>
      <c r="TQ230" s="272"/>
      <c r="TR230" s="272"/>
      <c r="TS230" s="205">
        <f t="shared" si="2153"/>
        <v>1100</v>
      </c>
      <c r="TT230" s="205">
        <f t="shared" si="2154"/>
        <v>1230</v>
      </c>
      <c r="TU230" s="272"/>
      <c r="TV230" s="207"/>
      <c r="TW230" s="207"/>
      <c r="TX230" s="207"/>
      <c r="TY230" s="207"/>
      <c r="TZ230" s="272"/>
      <c r="UA230" s="272"/>
      <c r="UB230" s="205">
        <f t="shared" si="2012"/>
        <v>0</v>
      </c>
      <c r="UC230" s="207"/>
      <c r="UD230" s="207"/>
      <c r="UE230" s="120"/>
      <c r="UF230" s="120"/>
      <c r="UG230" s="207"/>
      <c r="UH230" s="272"/>
      <c r="UI230" s="272"/>
      <c r="UJ230" s="205">
        <f t="shared" si="2013"/>
        <v>0</v>
      </c>
      <c r="UK230" s="207"/>
      <c r="UM230" s="201">
        <v>130</v>
      </c>
      <c r="UO230" s="207"/>
      <c r="UP230" s="272"/>
      <c r="UQ230" s="272"/>
      <c r="UR230" s="205">
        <f>SUM(UM230:UQ230)</f>
        <v>130</v>
      </c>
      <c r="US230" s="217">
        <v>1000</v>
      </c>
      <c r="UT230" s="207"/>
      <c r="UU230" s="207"/>
      <c r="UV230" s="207"/>
      <c r="UW230" s="272"/>
      <c r="UX230" s="272"/>
      <c r="UY230" s="272"/>
      <c r="UZ230" s="205">
        <f>SUM(UM230:UY230)</f>
        <v>1260</v>
      </c>
      <c r="VA230" s="205">
        <f>SUM(TN230:TR230,UB230,UJ230,UR230,UM230:UV230)</f>
        <v>1390</v>
      </c>
      <c r="VB230" s="207"/>
      <c r="VC230" s="120"/>
      <c r="VD230" s="207"/>
      <c r="VE230" s="207"/>
      <c r="VF230" s="207"/>
      <c r="VG230" s="272"/>
      <c r="VH230" s="272"/>
      <c r="VI230" s="205">
        <f t="shared" si="2005"/>
        <v>0</v>
      </c>
      <c r="VJ230" s="207"/>
      <c r="VK230" s="120"/>
      <c r="VL230" s="207"/>
      <c r="VM230" s="207"/>
      <c r="VN230" s="207"/>
      <c r="VO230" s="272"/>
      <c r="VP230" s="272"/>
      <c r="VQ230" s="205">
        <f t="shared" si="2015"/>
        <v>0</v>
      </c>
      <c r="VR230" s="207"/>
      <c r="VS230" s="207"/>
      <c r="VT230" s="207"/>
      <c r="VU230" s="207"/>
      <c r="VV230" s="207"/>
      <c r="VW230" s="272"/>
      <c r="VX230" s="272"/>
      <c r="VY230" s="205">
        <f t="shared" si="2006"/>
        <v>0</v>
      </c>
      <c r="VZ230" s="207"/>
      <c r="WA230" s="207"/>
      <c r="WB230" s="207"/>
      <c r="WC230" s="356"/>
      <c r="WD230" s="207"/>
      <c r="WE230" s="272"/>
      <c r="WF230" s="272"/>
      <c r="WG230" s="205">
        <f t="shared" si="2007"/>
        <v>0</v>
      </c>
      <c r="WH230" s="205">
        <f t="shared" si="2008"/>
        <v>0</v>
      </c>
      <c r="WI230" s="207"/>
      <c r="WJ230" s="207"/>
      <c r="WK230" s="207"/>
      <c r="WL230" s="207"/>
      <c r="WM230" s="207"/>
      <c r="WN230" s="272"/>
      <c r="WO230" s="272"/>
      <c r="WP230" s="205">
        <f t="shared" si="2016"/>
        <v>0</v>
      </c>
      <c r="WQ230" s="207"/>
      <c r="WR230" s="207"/>
      <c r="WS230" s="207"/>
      <c r="WT230" s="207"/>
      <c r="WU230" s="207"/>
      <c r="WV230" s="272"/>
      <c r="WW230" s="272"/>
      <c r="WX230" s="205">
        <f t="shared" si="2017"/>
        <v>0</v>
      </c>
      <c r="WY230" s="207"/>
      <c r="WZ230" s="207"/>
      <c r="XA230" s="207"/>
      <c r="XB230" s="207"/>
      <c r="XC230" s="272"/>
      <c r="XD230" s="272"/>
      <c r="XE230" s="272"/>
      <c r="XF230" s="205">
        <f t="shared" si="2009"/>
        <v>0</v>
      </c>
      <c r="XG230" s="207"/>
      <c r="XH230" s="207"/>
      <c r="XI230" s="207"/>
      <c r="XJ230" s="207"/>
      <c r="XK230" s="207"/>
      <c r="XL230" s="272"/>
      <c r="XM230" s="272"/>
      <c r="XN230" s="205">
        <f t="shared" si="2105"/>
        <v>0</v>
      </c>
      <c r="XO230" s="207"/>
      <c r="XP230" s="207"/>
      <c r="XQ230" s="207"/>
      <c r="XR230" s="207"/>
      <c r="XS230" s="207"/>
      <c r="XT230" s="272"/>
      <c r="XU230" s="272"/>
      <c r="XV230" s="205">
        <f t="shared" si="2106"/>
        <v>0</v>
      </c>
      <c r="XW230" s="205">
        <f t="shared" si="2107"/>
        <v>0</v>
      </c>
      <c r="XX230" s="207"/>
      <c r="XY230" s="207"/>
      <c r="XZ230" s="207"/>
      <c r="YA230" s="207"/>
      <c r="YB230" s="207"/>
      <c r="YC230" s="272"/>
      <c r="YD230" s="272"/>
      <c r="YE230" s="205">
        <f t="shared" si="2018"/>
        <v>0</v>
      </c>
      <c r="YF230" s="207"/>
      <c r="YG230" s="207"/>
      <c r="YH230" s="207"/>
      <c r="YI230" s="207"/>
      <c r="YJ230" s="207"/>
      <c r="YK230" s="272"/>
      <c r="YL230" s="272"/>
      <c r="YM230" s="205">
        <f t="shared" si="2019"/>
        <v>0</v>
      </c>
      <c r="YN230" s="207"/>
      <c r="YO230" s="207"/>
      <c r="YP230" s="207"/>
      <c r="YQ230" s="207"/>
      <c r="YR230" s="207"/>
      <c r="YS230" s="272"/>
      <c r="YT230" s="272"/>
      <c r="YU230" s="205">
        <f t="shared" si="2020"/>
        <v>0</v>
      </c>
      <c r="YV230" s="207"/>
      <c r="YW230" s="207"/>
      <c r="YX230" s="207"/>
      <c r="YY230" s="207"/>
      <c r="YZ230" s="207"/>
      <c r="ZA230" s="272"/>
      <c r="ZB230" s="272"/>
      <c r="ZC230" s="205">
        <f t="shared" si="2021"/>
        <v>0</v>
      </c>
      <c r="ZD230" s="205">
        <f t="shared" si="2022"/>
        <v>0</v>
      </c>
      <c r="ZE230" s="207"/>
      <c r="ZF230" s="207"/>
      <c r="ZG230" s="207"/>
      <c r="ZH230" s="207"/>
      <c r="ZI230" s="207"/>
      <c r="ZJ230" s="272"/>
      <c r="ZK230" s="272"/>
      <c r="ZL230" s="205">
        <f t="shared" si="2023"/>
        <v>0</v>
      </c>
      <c r="ZM230" s="207"/>
      <c r="ZN230" s="207"/>
      <c r="ZO230" s="207"/>
      <c r="ZP230" s="207"/>
      <c r="ZQ230" s="207"/>
      <c r="ZR230" s="272"/>
      <c r="ZS230" s="272"/>
      <c r="ZT230" s="205">
        <f t="shared" si="2010"/>
        <v>0</v>
      </c>
      <c r="ZU230" s="207"/>
      <c r="ZV230" s="207"/>
      <c r="ZW230" s="207"/>
      <c r="ZX230" s="207"/>
      <c r="ZY230" s="207"/>
      <c r="ZZ230" s="272"/>
      <c r="AAA230" s="272"/>
      <c r="AAB230" s="205">
        <f t="shared" si="2024"/>
        <v>0</v>
      </c>
      <c r="AAC230" s="207"/>
      <c r="AAD230" s="207"/>
      <c r="AAE230" s="207"/>
      <c r="AAF230" s="207"/>
      <c r="AAG230" s="207"/>
      <c r="AAH230" s="272"/>
      <c r="AAI230" s="272"/>
      <c r="AAJ230" s="205">
        <f t="shared" si="2011"/>
        <v>0</v>
      </c>
      <c r="AAK230" s="207"/>
      <c r="AAL230" s="207"/>
      <c r="AAM230" s="207"/>
      <c r="AAN230" s="207"/>
      <c r="AAO230" s="207"/>
      <c r="AAP230" s="272"/>
      <c r="AAQ230" s="272"/>
      <c r="AAR230" s="205">
        <f t="shared" si="2025"/>
        <v>0</v>
      </c>
      <c r="AAS230" s="205">
        <f t="shared" si="2026"/>
        <v>0</v>
      </c>
    </row>
    <row r="231" spans="1:721" ht="74.099999999999994" customHeight="1">
      <c r="B231" s="317"/>
      <c r="C231" s="362" t="s">
        <v>901</v>
      </c>
      <c r="D231" s="318" t="s">
        <v>900</v>
      </c>
      <c r="E231" s="130" t="s">
        <v>4</v>
      </c>
      <c r="F231" s="120"/>
      <c r="G231" s="120"/>
      <c r="H231" s="120"/>
      <c r="I231" s="120"/>
      <c r="J231" s="120"/>
      <c r="K231" s="209"/>
      <c r="L231" s="205"/>
      <c r="M231" s="205">
        <f t="shared" si="2108"/>
        <v>0</v>
      </c>
      <c r="N231" s="120"/>
      <c r="O231" s="120"/>
      <c r="P231" s="120"/>
      <c r="Q231" s="120"/>
      <c r="R231" s="120"/>
      <c r="S231" s="209"/>
      <c r="T231" s="205"/>
      <c r="U231" s="205"/>
      <c r="V231" s="120"/>
      <c r="W231" s="120"/>
      <c r="X231" s="120"/>
      <c r="Y231" s="120"/>
      <c r="Z231" s="120"/>
      <c r="AA231" s="209"/>
      <c r="AB231" s="205"/>
      <c r="AC231" s="205"/>
      <c r="AD231" s="205"/>
      <c r="AE231" s="205"/>
      <c r="AF231" s="205"/>
      <c r="AG231" s="205"/>
      <c r="AH231" s="205"/>
      <c r="AI231" s="209"/>
      <c r="AJ231" s="205"/>
      <c r="AK231" s="205"/>
      <c r="AL231" s="205"/>
      <c r="AM231" s="120"/>
      <c r="AN231" s="120"/>
      <c r="AO231" s="120"/>
      <c r="AP231" s="120"/>
      <c r="AQ231" s="120"/>
      <c r="AR231" s="209"/>
      <c r="AS231" s="205"/>
      <c r="AT231" s="205"/>
      <c r="AU231" s="120"/>
      <c r="AV231" s="120"/>
      <c r="AW231" s="120"/>
      <c r="AX231" s="120"/>
      <c r="AY231" s="120"/>
      <c r="AZ231" s="209"/>
      <c r="BA231" s="205"/>
      <c r="BB231" s="205"/>
      <c r="BC231" s="120"/>
      <c r="BD231" s="120"/>
      <c r="BE231" s="120"/>
      <c r="BF231" s="120"/>
      <c r="BG231" s="120"/>
      <c r="BH231" s="209"/>
      <c r="BI231" s="205"/>
      <c r="BJ231" s="205"/>
      <c r="BK231" s="120"/>
      <c r="BL231" s="120"/>
      <c r="BM231" s="217"/>
      <c r="BN231" s="120"/>
      <c r="BO231" s="205"/>
      <c r="BP231" s="209"/>
      <c r="BQ231" s="205"/>
      <c r="BR231" s="205"/>
      <c r="BS231" s="205"/>
      <c r="BT231" s="120"/>
      <c r="BU231" s="250"/>
      <c r="BV231" s="120"/>
      <c r="BW231" s="120"/>
      <c r="BX231" s="120"/>
      <c r="BY231" s="209"/>
      <c r="BZ231" s="205"/>
      <c r="CA231" s="205"/>
      <c r="CB231" s="120"/>
      <c r="CC231" s="120"/>
      <c r="CD231" s="120"/>
      <c r="CE231" s="120"/>
      <c r="CF231" s="120"/>
      <c r="CG231" s="209"/>
      <c r="CH231" s="205"/>
      <c r="CI231" s="205"/>
      <c r="CJ231" s="120"/>
      <c r="CK231" s="120"/>
      <c r="CL231" s="250"/>
      <c r="CM231" s="120"/>
      <c r="CN231" s="120"/>
      <c r="CO231" s="209"/>
      <c r="CP231" s="205"/>
      <c r="CQ231" s="205"/>
      <c r="CR231" s="120"/>
      <c r="CS231" s="120"/>
      <c r="CT231" s="120"/>
      <c r="CU231" s="120"/>
      <c r="CV231" s="120"/>
      <c r="CW231" s="209"/>
      <c r="CX231" s="205"/>
      <c r="CY231" s="205"/>
      <c r="CZ231" s="120"/>
      <c r="DA231" s="120"/>
      <c r="DB231" s="120"/>
      <c r="DC231" s="205"/>
      <c r="DD231" s="205"/>
      <c r="DE231" s="209"/>
      <c r="DF231" s="205"/>
      <c r="DG231" s="205"/>
      <c r="DH231" s="205"/>
      <c r="DI231" s="120"/>
      <c r="DJ231" s="120"/>
      <c r="DK231" s="120"/>
      <c r="DL231" s="120"/>
      <c r="DM231" s="120"/>
      <c r="DN231" s="209"/>
      <c r="DO231" s="205"/>
      <c r="DP231" s="205"/>
      <c r="DQ231" s="217"/>
      <c r="DR231" s="120"/>
      <c r="DS231" s="120"/>
      <c r="DT231" s="120"/>
      <c r="DU231" s="120"/>
      <c r="DV231" s="209"/>
      <c r="DW231" s="205"/>
      <c r="DX231" s="205"/>
      <c r="DY231" s="120"/>
      <c r="DZ231" s="120"/>
      <c r="EA231" s="120"/>
      <c r="EB231" s="120"/>
      <c r="EC231" s="120"/>
      <c r="ED231" s="209"/>
      <c r="EE231" s="205"/>
      <c r="EF231" s="205"/>
      <c r="EG231" s="120"/>
      <c r="EH231" s="120"/>
      <c r="EI231" s="120"/>
      <c r="EJ231" s="205"/>
      <c r="EK231" s="205"/>
      <c r="EL231" s="209"/>
      <c r="EM231" s="205"/>
      <c r="EN231" s="205"/>
      <c r="EO231" s="205"/>
      <c r="EP231" s="120"/>
      <c r="EQ231" s="250"/>
      <c r="ER231" s="120"/>
      <c r="ES231" s="120"/>
      <c r="ET231" s="120"/>
      <c r="EU231" s="209"/>
      <c r="EV231" s="205"/>
      <c r="EW231" s="205"/>
      <c r="EX231" s="120"/>
      <c r="EY231" s="120"/>
      <c r="EZ231" s="120"/>
      <c r="FA231" s="120"/>
      <c r="FB231" s="120"/>
      <c r="FC231" s="209"/>
      <c r="FD231" s="205"/>
      <c r="FE231" s="205"/>
      <c r="FF231" s="120"/>
      <c r="FG231" s="195"/>
      <c r="FH231" s="120"/>
      <c r="FI231" s="120"/>
      <c r="FJ231" s="120"/>
      <c r="FK231" s="209"/>
      <c r="FL231" s="205"/>
      <c r="FM231" s="205"/>
      <c r="FN231" s="120"/>
      <c r="FO231" s="120"/>
      <c r="FP231" s="120"/>
      <c r="FQ231" s="120"/>
      <c r="FR231" s="205"/>
      <c r="FS231" s="209"/>
      <c r="FT231" s="205"/>
      <c r="FU231" s="205"/>
      <c r="FV231" s="205"/>
      <c r="FW231" s="120"/>
      <c r="FX231" s="120"/>
      <c r="FY231" s="120"/>
      <c r="FZ231" s="120"/>
      <c r="GA231" s="120"/>
      <c r="GB231" s="209"/>
      <c r="GC231" s="205"/>
      <c r="GD231" s="205"/>
      <c r="GE231" s="120"/>
      <c r="GF231" s="120"/>
      <c r="GG231" s="120"/>
      <c r="GH231" s="120"/>
      <c r="GI231" s="120"/>
      <c r="GJ231" s="209"/>
      <c r="GK231" s="205"/>
      <c r="GL231" s="205"/>
      <c r="GM231" s="120"/>
      <c r="GN231" s="120"/>
      <c r="GO231" s="120"/>
      <c r="GP231" s="120"/>
      <c r="GQ231" s="120"/>
      <c r="GR231" s="209"/>
      <c r="GS231" s="205"/>
      <c r="GT231" s="205"/>
      <c r="GU231" s="120"/>
      <c r="GV231" s="120"/>
      <c r="GW231" s="120"/>
      <c r="GX231" s="120"/>
      <c r="GY231" s="120"/>
      <c r="GZ231" s="209"/>
      <c r="HA231" s="205"/>
      <c r="HB231" s="205"/>
      <c r="HC231" s="120"/>
      <c r="HD231" s="120"/>
      <c r="HE231" s="120"/>
      <c r="HF231" s="120"/>
      <c r="HG231" s="120"/>
      <c r="HH231" s="209"/>
      <c r="HI231" s="205"/>
      <c r="HJ231" s="205"/>
      <c r="HK231" s="205"/>
      <c r="HL231" s="124"/>
      <c r="HM231" s="120"/>
      <c r="HN231" s="120"/>
      <c r="HO231" s="123"/>
      <c r="HP231" s="120"/>
      <c r="HQ231" s="205"/>
      <c r="HR231" s="205"/>
      <c r="HS231" s="205"/>
      <c r="HT231" s="120"/>
      <c r="HU231" s="120"/>
      <c r="HV231" s="120"/>
      <c r="HW231" s="120"/>
      <c r="HX231" s="120"/>
      <c r="HY231" s="205"/>
      <c r="HZ231" s="205"/>
      <c r="IA231" s="205"/>
      <c r="IB231" s="120"/>
      <c r="IC231" s="120"/>
      <c r="ID231" s="120"/>
      <c r="IE231" s="120"/>
      <c r="IF231" s="120"/>
      <c r="IG231" s="205"/>
      <c r="IH231" s="205"/>
      <c r="II231" s="205"/>
      <c r="IJ231" s="120"/>
      <c r="IK231" s="120"/>
      <c r="IL231" s="201"/>
      <c r="IM231" s="120"/>
      <c r="IN231" s="120"/>
      <c r="IO231" s="205"/>
      <c r="IP231" s="205"/>
      <c r="IQ231" s="205"/>
      <c r="IR231" s="205"/>
      <c r="IS231" s="120"/>
      <c r="IT231" s="120"/>
      <c r="IU231" s="120"/>
      <c r="IV231" s="120"/>
      <c r="IW231" s="120"/>
      <c r="IX231" s="205"/>
      <c r="IY231" s="205"/>
      <c r="IZ231" s="205"/>
      <c r="JA231" s="120"/>
      <c r="JB231" s="120"/>
      <c r="JC231" s="120"/>
      <c r="JD231" s="120"/>
      <c r="JE231" s="120"/>
      <c r="JF231" s="205"/>
      <c r="JG231" s="205"/>
      <c r="JH231" s="205"/>
      <c r="JI231" s="120"/>
      <c r="JJ231" s="120"/>
      <c r="JK231" s="120"/>
      <c r="JL231" s="120"/>
      <c r="JM231" s="120"/>
      <c r="JN231" s="205"/>
      <c r="JO231" s="205"/>
      <c r="JP231" s="205"/>
      <c r="JQ231" s="120"/>
      <c r="JR231" s="120"/>
      <c r="JS231" s="120"/>
      <c r="JT231" s="120"/>
      <c r="JU231" s="120"/>
      <c r="JV231" s="205"/>
      <c r="JW231" s="205"/>
      <c r="JX231" s="205"/>
      <c r="JY231" s="205"/>
      <c r="JZ231" s="120"/>
      <c r="KA231" s="120"/>
      <c r="KB231" s="120"/>
      <c r="KC231" s="120"/>
      <c r="KD231" s="120"/>
      <c r="KE231" s="205"/>
      <c r="KF231" s="205"/>
      <c r="KG231" s="205"/>
      <c r="KH231" s="120"/>
      <c r="KI231" s="120"/>
      <c r="KJ231" s="120"/>
      <c r="KK231" s="206"/>
      <c r="KL231" s="120"/>
      <c r="KM231" s="205"/>
      <c r="KN231" s="205"/>
      <c r="KO231" s="205"/>
      <c r="KP231" s="120"/>
      <c r="KQ231" s="120"/>
      <c r="KR231" s="120"/>
      <c r="KS231" s="120"/>
      <c r="KT231" s="120"/>
      <c r="KU231" s="205"/>
      <c r="KV231" s="205"/>
      <c r="KW231" s="205"/>
      <c r="KX231" s="120"/>
      <c r="KY231" s="120"/>
      <c r="KZ231" s="120"/>
      <c r="LA231" s="120"/>
      <c r="LB231" s="120"/>
      <c r="LC231" s="205"/>
      <c r="LD231" s="205"/>
      <c r="LE231" s="205"/>
      <c r="LF231" s="205"/>
      <c r="LG231" s="120"/>
      <c r="LH231" s="120"/>
      <c r="LI231" s="120"/>
      <c r="LJ231" s="120"/>
      <c r="LK231" s="205"/>
      <c r="LL231" s="205"/>
      <c r="LM231" s="205"/>
      <c r="LN231" s="205"/>
      <c r="LO231" s="205"/>
      <c r="LP231" s="120"/>
      <c r="LQ231" s="120"/>
      <c r="LR231" s="120"/>
      <c r="LS231" s="205"/>
      <c r="LT231" s="205"/>
      <c r="LU231" s="205"/>
      <c r="LV231" s="205"/>
      <c r="LW231" s="120"/>
      <c r="LX231" s="120"/>
      <c r="LY231" s="124"/>
      <c r="LZ231" s="120"/>
      <c r="MA231" s="120"/>
      <c r="MB231" s="205"/>
      <c r="MC231" s="205"/>
      <c r="MD231" s="205"/>
      <c r="ME231" s="120"/>
      <c r="MF231" s="120"/>
      <c r="MG231" s="120"/>
      <c r="MH231" s="201"/>
      <c r="MI231" s="205"/>
      <c r="MJ231" s="205"/>
      <c r="MK231" s="205"/>
      <c r="ML231" s="205"/>
      <c r="MM231" s="120"/>
      <c r="MN231" s="120"/>
      <c r="MO231" s="120"/>
      <c r="MP231" s="120"/>
      <c r="MQ231" s="120"/>
      <c r="MR231" s="205"/>
      <c r="MS231" s="205"/>
      <c r="MT231" s="205"/>
      <c r="MU231" s="205"/>
      <c r="MV231" s="120"/>
      <c r="MW231" s="120"/>
      <c r="MX231" s="195"/>
      <c r="MY231" s="120"/>
      <c r="MZ231" s="120"/>
      <c r="NA231" s="205"/>
      <c r="NB231" s="205"/>
      <c r="NC231" s="205"/>
      <c r="ND231" s="120"/>
      <c r="NE231" s="120"/>
      <c r="NF231" s="120"/>
      <c r="NG231" s="120"/>
      <c r="NH231" s="120"/>
      <c r="NI231" s="205"/>
      <c r="NJ231" s="205"/>
      <c r="NK231" s="205"/>
      <c r="NL231" s="120"/>
      <c r="NM231" s="120"/>
      <c r="NN231" s="120"/>
      <c r="NO231" s="120"/>
      <c r="NP231" s="120"/>
      <c r="NQ231" s="205"/>
      <c r="NR231" s="205"/>
      <c r="NS231" s="205"/>
      <c r="NT231" s="217"/>
      <c r="NU231" s="120"/>
      <c r="NV231" s="120"/>
      <c r="NW231" s="120"/>
      <c r="NX231" s="120"/>
      <c r="NY231" s="205"/>
      <c r="NZ231" s="205"/>
      <c r="OA231" s="205"/>
      <c r="OB231" s="205"/>
      <c r="OC231" s="120"/>
      <c r="OD231" s="120"/>
      <c r="OE231" s="120"/>
      <c r="OF231" s="120"/>
      <c r="OG231" s="120"/>
      <c r="OH231" s="205"/>
      <c r="OI231" s="205"/>
      <c r="OJ231" s="205"/>
      <c r="OK231" s="120"/>
      <c r="OL231" s="120"/>
      <c r="OM231" s="120"/>
      <c r="ON231" s="120"/>
      <c r="OO231" s="120"/>
      <c r="OP231" s="205"/>
      <c r="OQ231" s="205"/>
      <c r="OR231" s="205"/>
      <c r="OS231" s="120"/>
      <c r="OT231" s="120"/>
      <c r="OU231" s="120"/>
      <c r="OV231" s="120"/>
      <c r="OW231" s="120"/>
      <c r="OX231" s="205"/>
      <c r="OY231" s="205"/>
      <c r="OZ231" s="205"/>
      <c r="PA231" s="120"/>
      <c r="PB231" s="120"/>
      <c r="PC231" s="120"/>
      <c r="PD231" s="205"/>
      <c r="PE231" s="217"/>
      <c r="PF231" s="205"/>
      <c r="PG231" s="205"/>
      <c r="PH231" s="205"/>
      <c r="PI231" s="120"/>
      <c r="PJ231" s="120"/>
      <c r="PK231" s="120"/>
      <c r="PL231" s="205"/>
      <c r="PM231" s="217"/>
      <c r="PN231" s="205"/>
      <c r="PO231" s="205"/>
      <c r="PP231" s="205"/>
      <c r="PQ231" s="205"/>
      <c r="PR231" s="120"/>
      <c r="PS231" s="207"/>
      <c r="PT231" s="207"/>
      <c r="PU231" s="207"/>
      <c r="PV231" s="207"/>
      <c r="PW231" s="272"/>
      <c r="PX231" s="272"/>
      <c r="PY231" s="205"/>
      <c r="PZ231" s="207"/>
      <c r="QA231" s="207"/>
      <c r="QB231" s="207"/>
      <c r="QC231" s="207"/>
      <c r="QD231" s="207"/>
      <c r="QE231" s="272"/>
      <c r="QF231" s="272"/>
      <c r="QG231" s="205"/>
      <c r="QH231" s="207"/>
      <c r="QI231" s="207"/>
      <c r="QJ231" s="294"/>
      <c r="QK231" s="207"/>
      <c r="QL231" s="207"/>
      <c r="QM231" s="272"/>
      <c r="QN231" s="272"/>
      <c r="QO231" s="205"/>
      <c r="QP231" s="207"/>
      <c r="QQ231" s="120"/>
      <c r="QR231" s="207"/>
      <c r="QS231" s="207"/>
      <c r="QT231" s="207"/>
      <c r="QU231" s="272"/>
      <c r="QV231" s="272"/>
      <c r="QW231" s="205"/>
      <c r="QX231" s="205"/>
      <c r="QY231" s="207"/>
      <c r="QZ231" s="207"/>
      <c r="RA231" s="207"/>
      <c r="RB231" s="207"/>
      <c r="RC231" s="207"/>
      <c r="RD231" s="272"/>
      <c r="RE231" s="272"/>
      <c r="RF231" s="205"/>
      <c r="RG231" s="207"/>
      <c r="RH231" s="207"/>
      <c r="RI231" s="207"/>
      <c r="RJ231" s="120"/>
      <c r="RK231" s="207"/>
      <c r="RL231" s="272"/>
      <c r="RM231" s="272"/>
      <c r="RN231" s="205"/>
      <c r="RO231" s="272"/>
      <c r="RP231" s="272"/>
      <c r="RQ231" s="272"/>
      <c r="RR231" s="272"/>
      <c r="RS231" s="272"/>
      <c r="RT231" s="272"/>
      <c r="RU231" s="272"/>
      <c r="RV231" s="205"/>
      <c r="RW231" s="207"/>
      <c r="RX231" s="207"/>
      <c r="RY231" s="207"/>
      <c r="RZ231" s="207"/>
      <c r="SA231" s="272"/>
      <c r="SB231" s="272"/>
      <c r="SC231" s="272"/>
      <c r="SD231" s="205"/>
      <c r="SE231" s="205"/>
      <c r="SF231" s="207"/>
      <c r="SG231" s="207"/>
      <c r="SH231" s="207"/>
      <c r="SI231" s="207"/>
      <c r="SJ231" s="207"/>
      <c r="SK231" s="272"/>
      <c r="SL231" s="272"/>
      <c r="SM231" s="205"/>
      <c r="SN231" s="207"/>
      <c r="SO231" s="207"/>
      <c r="SP231" s="207"/>
      <c r="SQ231" s="207"/>
      <c r="SR231" s="207"/>
      <c r="SS231" s="272"/>
      <c r="ST231" s="272"/>
      <c r="SU231" s="205"/>
      <c r="SV231" s="207"/>
      <c r="SW231" s="207"/>
      <c r="SX231" s="207"/>
      <c r="SY231" s="207"/>
      <c r="SZ231" s="207"/>
      <c r="TA231" s="272"/>
      <c r="TB231" s="272"/>
      <c r="TC231" s="205">
        <f t="shared" si="2102"/>
        <v>0</v>
      </c>
      <c r="TD231" s="207"/>
      <c r="TE231" s="207"/>
      <c r="TF231" s="207"/>
      <c r="TG231" s="207"/>
      <c r="TH231" s="207"/>
      <c r="TI231" s="272"/>
      <c r="TJ231" s="272"/>
      <c r="TK231" s="205">
        <f t="shared" si="2142"/>
        <v>0</v>
      </c>
      <c r="TL231" s="140"/>
      <c r="TM231" s="140"/>
      <c r="TN231" s="140"/>
      <c r="TO231" s="140"/>
      <c r="TP231" s="370"/>
      <c r="TQ231" s="272"/>
      <c r="TR231" s="272"/>
      <c r="TS231" s="205">
        <f t="shared" si="2153"/>
        <v>0</v>
      </c>
      <c r="TT231" s="205">
        <f t="shared" si="2154"/>
        <v>0</v>
      </c>
      <c r="TU231" s="272"/>
      <c r="TV231" s="207"/>
      <c r="TW231" s="207"/>
      <c r="TX231" s="207"/>
      <c r="TY231" s="207"/>
      <c r="TZ231" s="272"/>
      <c r="UA231" s="272"/>
      <c r="UB231" s="205">
        <f t="shared" si="2012"/>
        <v>0</v>
      </c>
      <c r="UC231" s="207"/>
      <c r="UD231" s="207"/>
      <c r="UE231" s="120"/>
      <c r="UF231" s="120"/>
      <c r="UG231" s="207"/>
      <c r="UH231" s="272"/>
      <c r="UI231" s="272"/>
      <c r="UJ231" s="205">
        <f t="shared" si="2013"/>
        <v>0</v>
      </c>
      <c r="UK231" s="207"/>
      <c r="UL231" s="207"/>
      <c r="UM231" s="207"/>
      <c r="UN231" s="207"/>
      <c r="UO231" s="207"/>
      <c r="UP231" s="272"/>
      <c r="UQ231" s="272"/>
      <c r="UR231" s="205">
        <f t="shared" si="2014"/>
        <v>0</v>
      </c>
      <c r="US231" s="207"/>
      <c r="UT231" s="207"/>
      <c r="UU231" s="207"/>
      <c r="UV231" s="207"/>
      <c r="UW231" s="272"/>
      <c r="UX231" s="272"/>
      <c r="UY231" s="272"/>
      <c r="UZ231" s="205">
        <f t="shared" si="2145"/>
        <v>0</v>
      </c>
      <c r="VA231" s="205">
        <f t="shared" si="2146"/>
        <v>0</v>
      </c>
      <c r="VB231" s="207"/>
      <c r="VC231" s="120"/>
      <c r="VD231" s="207"/>
      <c r="VE231" s="207"/>
      <c r="VF231" s="207"/>
      <c r="VG231" s="272"/>
      <c r="VH231" s="272"/>
      <c r="VI231" s="205">
        <f t="shared" si="2005"/>
        <v>0</v>
      </c>
      <c r="VJ231" s="207"/>
      <c r="VK231" s="120"/>
      <c r="VL231" s="120"/>
      <c r="VM231" s="207"/>
      <c r="VN231" s="207"/>
      <c r="VO231" s="272"/>
      <c r="VP231" s="272"/>
      <c r="VQ231" s="205">
        <f t="shared" si="2015"/>
        <v>0</v>
      </c>
      <c r="VR231" s="207"/>
      <c r="VS231" s="207"/>
      <c r="VT231" s="207"/>
      <c r="VU231" s="207"/>
      <c r="VV231" s="207"/>
      <c r="VW231" s="272"/>
      <c r="VX231" s="272"/>
      <c r="VY231" s="205">
        <f t="shared" si="2006"/>
        <v>0</v>
      </c>
      <c r="VZ231" s="207"/>
      <c r="WA231" s="207"/>
      <c r="WB231" s="207"/>
      <c r="WC231" s="356"/>
      <c r="WD231" s="207"/>
      <c r="WE231" s="272"/>
      <c r="WF231" s="272"/>
      <c r="WG231" s="205">
        <f t="shared" si="2007"/>
        <v>0</v>
      </c>
      <c r="WH231" s="205">
        <f t="shared" si="2008"/>
        <v>0</v>
      </c>
      <c r="WI231" s="207"/>
      <c r="WJ231" s="207"/>
      <c r="WK231" s="207"/>
      <c r="WL231" s="207"/>
      <c r="WM231" s="207"/>
      <c r="WN231" s="272"/>
      <c r="WO231" s="272"/>
      <c r="WP231" s="205">
        <f t="shared" si="2016"/>
        <v>0</v>
      </c>
      <c r="WQ231" s="207"/>
      <c r="WR231" s="207"/>
      <c r="WS231" s="207"/>
      <c r="WT231" s="207"/>
      <c r="WU231" s="207"/>
      <c r="WV231" s="272"/>
      <c r="WW231" s="272"/>
      <c r="WX231" s="205">
        <f t="shared" si="2017"/>
        <v>0</v>
      </c>
      <c r="WY231" s="207"/>
      <c r="WZ231" s="207"/>
      <c r="XA231" s="207"/>
      <c r="XB231" s="207"/>
      <c r="XC231" s="272"/>
      <c r="XD231" s="272"/>
      <c r="XE231" s="272"/>
      <c r="XF231" s="205">
        <f t="shared" si="2009"/>
        <v>0</v>
      </c>
      <c r="XG231" s="207"/>
      <c r="XH231" s="207"/>
      <c r="XI231" s="207"/>
      <c r="XJ231" s="207"/>
      <c r="XK231" s="207"/>
      <c r="XL231" s="272"/>
      <c r="XM231" s="272"/>
      <c r="XN231" s="205"/>
      <c r="XO231" s="207"/>
      <c r="XP231" s="207"/>
      <c r="XQ231" s="207"/>
      <c r="XR231" s="207"/>
      <c r="XS231" s="207"/>
      <c r="XT231" s="272"/>
      <c r="XU231" s="272"/>
      <c r="XV231" s="205"/>
      <c r="XW231" s="205"/>
      <c r="XX231" s="207"/>
      <c r="XY231" s="207"/>
      <c r="XZ231" s="207"/>
      <c r="YA231" s="207"/>
      <c r="YB231" s="207"/>
      <c r="YC231" s="272"/>
      <c r="YD231" s="272"/>
      <c r="YE231" s="205">
        <f t="shared" si="2018"/>
        <v>0</v>
      </c>
      <c r="YF231" s="207"/>
      <c r="YG231" s="207"/>
      <c r="YH231" s="207"/>
      <c r="YI231" s="207"/>
      <c r="YJ231" s="207"/>
      <c r="YK231" s="272"/>
      <c r="YL231" s="272"/>
      <c r="YM231" s="205">
        <f t="shared" si="2019"/>
        <v>0</v>
      </c>
      <c r="YN231" s="207"/>
      <c r="YO231" s="207"/>
      <c r="YP231" s="207"/>
      <c r="YQ231" s="207"/>
      <c r="YR231" s="207"/>
      <c r="YS231" s="272"/>
      <c r="YT231" s="272"/>
      <c r="YU231" s="205">
        <f t="shared" si="2020"/>
        <v>0</v>
      </c>
      <c r="YV231" s="207"/>
      <c r="YW231" s="207"/>
      <c r="YX231" s="207"/>
      <c r="YY231" s="207"/>
      <c r="YZ231" s="207"/>
      <c r="ZA231" s="272"/>
      <c r="ZB231" s="272"/>
      <c r="ZC231" s="205">
        <f t="shared" si="2021"/>
        <v>0</v>
      </c>
      <c r="ZD231" s="205">
        <f t="shared" si="2022"/>
        <v>0</v>
      </c>
      <c r="ZE231" s="207"/>
      <c r="ZF231" s="207"/>
      <c r="ZG231" s="207"/>
      <c r="ZH231" s="207"/>
      <c r="ZI231" s="207"/>
      <c r="ZJ231" s="272"/>
      <c r="ZK231" s="272"/>
      <c r="ZL231" s="205">
        <f t="shared" si="2023"/>
        <v>0</v>
      </c>
      <c r="ZM231" s="207"/>
      <c r="ZN231" s="207"/>
      <c r="ZO231" s="207"/>
      <c r="ZP231" s="207"/>
      <c r="ZQ231" s="207"/>
      <c r="ZR231" s="272"/>
      <c r="ZS231" s="272"/>
      <c r="ZT231" s="205">
        <f t="shared" si="2010"/>
        <v>0</v>
      </c>
      <c r="ZU231" s="207"/>
      <c r="ZV231" s="207"/>
      <c r="ZW231" s="207"/>
      <c r="ZX231" s="207"/>
      <c r="ZY231" s="207"/>
      <c r="ZZ231" s="272"/>
      <c r="AAA231" s="272"/>
      <c r="AAB231" s="205">
        <f t="shared" si="2024"/>
        <v>0</v>
      </c>
      <c r="AAC231" s="207"/>
      <c r="AAD231" s="207"/>
      <c r="AAE231" s="207"/>
      <c r="AAF231" s="207"/>
      <c r="AAG231" s="207"/>
      <c r="AAH231" s="272"/>
      <c r="AAI231" s="272"/>
      <c r="AAJ231" s="205">
        <f t="shared" si="2011"/>
        <v>0</v>
      </c>
      <c r="AAK231" s="207"/>
      <c r="AAL231" s="207"/>
      <c r="AAM231" s="207"/>
      <c r="AAN231" s="207"/>
      <c r="AAO231" s="207"/>
      <c r="AAP231" s="272"/>
      <c r="AAQ231" s="272"/>
      <c r="AAR231" s="205">
        <f t="shared" si="2025"/>
        <v>0</v>
      </c>
      <c r="AAS231" s="205">
        <f t="shared" si="2026"/>
        <v>0</v>
      </c>
    </row>
    <row r="232" spans="1:721" ht="96" customHeight="1">
      <c r="A232" s="117">
        <v>10</v>
      </c>
      <c r="B232" s="319" t="s">
        <v>863</v>
      </c>
      <c r="C232" s="362" t="s">
        <v>956</v>
      </c>
      <c r="D232" s="320" t="s">
        <v>869</v>
      </c>
      <c r="E232" s="130" t="s">
        <v>4</v>
      </c>
      <c r="F232" s="120"/>
      <c r="G232" s="120"/>
      <c r="H232" s="120"/>
      <c r="I232" s="120"/>
      <c r="J232" s="120"/>
      <c r="K232" s="209"/>
      <c r="L232" s="205"/>
      <c r="M232" s="205">
        <f t="shared" si="2108"/>
        <v>0</v>
      </c>
      <c r="N232" s="120"/>
      <c r="O232" s="120"/>
      <c r="P232" s="120"/>
      <c r="Q232" s="120"/>
      <c r="R232" s="120"/>
      <c r="S232" s="209"/>
      <c r="T232" s="205"/>
      <c r="U232" s="205">
        <f t="shared" ref="U232:U242" si="2155">SUM(N232:T232)</f>
        <v>0</v>
      </c>
      <c r="V232" s="120"/>
      <c r="W232" s="120"/>
      <c r="X232" s="120"/>
      <c r="Y232" s="120"/>
      <c r="Z232" s="120"/>
      <c r="AA232" s="209"/>
      <c r="AB232" s="205"/>
      <c r="AC232" s="205">
        <f t="shared" ref="AC232:AC242" si="2156">SUM(V232:AB232)</f>
        <v>0</v>
      </c>
      <c r="AD232" s="205"/>
      <c r="AE232" s="205"/>
      <c r="AF232" s="205"/>
      <c r="AG232" s="205"/>
      <c r="AH232" s="205"/>
      <c r="AI232" s="209"/>
      <c r="AJ232" s="205"/>
      <c r="AK232" s="205">
        <f t="shared" ref="AK232:AK242" si="2157">SUM(AD232:AJ232)</f>
        <v>0</v>
      </c>
      <c r="AL232" s="205" t="e">
        <f>SUM(#REF!,M232,U232,AC232,AD232:AH232)</f>
        <v>#REF!</v>
      </c>
      <c r="AM232" s="120"/>
      <c r="AN232" s="120"/>
      <c r="AO232" s="120"/>
      <c r="AP232" s="120"/>
      <c r="AQ232" s="120"/>
      <c r="AR232" s="209"/>
      <c r="AS232" s="205"/>
      <c r="AT232" s="205">
        <f t="shared" ref="AT232:AT242" si="2158">SUM(AM232:AS232)</f>
        <v>0</v>
      </c>
      <c r="AU232" s="120"/>
      <c r="AV232" s="120"/>
      <c r="AW232" s="120"/>
      <c r="AX232" s="120"/>
      <c r="AY232" s="120"/>
      <c r="AZ232" s="209"/>
      <c r="BA232" s="205"/>
      <c r="BB232" s="205">
        <f t="shared" ref="BB232:BB242" si="2159">SUM(AU232:BA232)</f>
        <v>0</v>
      </c>
      <c r="BC232" s="120"/>
      <c r="BD232" s="120"/>
      <c r="BE232" s="120"/>
      <c r="BF232" s="120"/>
      <c r="BG232" s="120"/>
      <c r="BH232" s="209"/>
      <c r="BI232" s="205"/>
      <c r="BJ232" s="205">
        <f t="shared" ref="BJ232:BJ242" si="2160">SUM(BC232:BI232)</f>
        <v>0</v>
      </c>
      <c r="BK232" s="120"/>
      <c r="BL232" s="120"/>
      <c r="BM232" s="217">
        <v>3110</v>
      </c>
      <c r="BN232" s="120"/>
      <c r="BO232" s="205"/>
      <c r="BP232" s="209"/>
      <c r="BQ232" s="205"/>
      <c r="BR232" s="205">
        <f t="shared" ref="BR232:BR242" si="2161">SUM(BK232:BQ232)</f>
        <v>3110</v>
      </c>
      <c r="BS232" s="205">
        <f t="shared" ref="BS232:BS242" si="2162">SUM(AI232:AJ232,AT232,BB232,BJ232,BK232:BO232)</f>
        <v>3110</v>
      </c>
      <c r="BT232" s="120"/>
      <c r="BU232" s="250">
        <v>710</v>
      </c>
      <c r="BV232" s="120"/>
      <c r="BW232" s="120"/>
      <c r="BX232" s="120"/>
      <c r="BY232" s="209"/>
      <c r="BZ232" s="205"/>
      <c r="CA232" s="205">
        <f t="shared" ref="CA232:CA242" si="2163">SUM(BT232:BZ232)</f>
        <v>710</v>
      </c>
      <c r="CB232" s="120"/>
      <c r="CC232" s="120"/>
      <c r="CD232" s="120"/>
      <c r="CE232" s="120"/>
      <c r="CF232" s="120"/>
      <c r="CG232" s="209"/>
      <c r="CH232" s="205"/>
      <c r="CI232" s="205">
        <f t="shared" ref="CI232:CI242" si="2164">SUM(CB232:CH232)</f>
        <v>0</v>
      </c>
      <c r="CJ232" s="120"/>
      <c r="CK232" s="120"/>
      <c r="CL232" s="250">
        <v>1210</v>
      </c>
      <c r="CM232" s="120"/>
      <c r="CN232" s="120"/>
      <c r="CO232" s="209"/>
      <c r="CP232" s="205"/>
      <c r="CQ232" s="205">
        <f t="shared" ref="CQ232:CQ242" si="2165">SUM(CJ232:CP232)</f>
        <v>1210</v>
      </c>
      <c r="CR232" s="120" t="s">
        <v>216</v>
      </c>
      <c r="CS232" s="120"/>
      <c r="CT232" s="120"/>
      <c r="CU232" s="120"/>
      <c r="CV232" s="120"/>
      <c r="CW232" s="209"/>
      <c r="CX232" s="205"/>
      <c r="CY232" s="205">
        <f t="shared" ref="CY232:CY242" si="2166">SUM(CR232:CX232)</f>
        <v>0</v>
      </c>
      <c r="CZ232" s="120"/>
      <c r="DA232" s="120"/>
      <c r="DB232" s="120"/>
      <c r="DC232" s="205"/>
      <c r="DD232" s="205"/>
      <c r="DE232" s="209"/>
      <c r="DF232" s="205"/>
      <c r="DG232" s="205">
        <f t="shared" ref="DG232:DG242" si="2167">SUM(CZ232:DF232)</f>
        <v>0</v>
      </c>
      <c r="DH232" s="205">
        <f t="shared" ref="DH232:DH242" si="2168">SUM(CA232,CI232,CQ232,CY232,CZ232)</f>
        <v>1920</v>
      </c>
      <c r="DI232" s="120"/>
      <c r="DJ232" s="120"/>
      <c r="DK232" s="120"/>
      <c r="DL232" s="120"/>
      <c r="DM232" s="120"/>
      <c r="DN232" s="209"/>
      <c r="DO232" s="205"/>
      <c r="DP232" s="205">
        <f t="shared" ref="DP232:DP242" si="2169">SUM(DI232:DO232)</f>
        <v>0</v>
      </c>
      <c r="DQ232" s="217">
        <v>660</v>
      </c>
      <c r="DR232" s="120"/>
      <c r="DS232" s="120"/>
      <c r="DT232" s="120"/>
      <c r="DU232" s="120"/>
      <c r="DV232" s="209"/>
      <c r="DW232" s="205"/>
      <c r="DX232" s="205">
        <f t="shared" ref="DX232:DX242" si="2170">SUM(DQ232:DW232)</f>
        <v>660</v>
      </c>
      <c r="DY232" s="120"/>
      <c r="DZ232" s="120"/>
      <c r="EA232" s="120"/>
      <c r="EB232" s="120"/>
      <c r="EC232" s="120"/>
      <c r="ED232" s="209"/>
      <c r="EE232" s="205"/>
      <c r="EF232" s="205">
        <f t="shared" ref="EF232:EF242" si="2171">SUM(DY232:EE232)</f>
        <v>0</v>
      </c>
      <c r="EG232" s="120"/>
      <c r="EH232" s="120"/>
      <c r="EI232" s="120"/>
      <c r="EJ232" s="205"/>
      <c r="EK232" s="205"/>
      <c r="EL232" s="209"/>
      <c r="EM232" s="205"/>
      <c r="EN232" s="205">
        <f t="shared" ref="EN232:EN242" si="2172">SUM(EG232:EM232)</f>
        <v>0</v>
      </c>
      <c r="EO232" s="205">
        <f t="shared" ref="EO232:EO242" si="2173">SUM(DA232:DF232,DP232,DX232,EF232,EG232:EI232)</f>
        <v>660</v>
      </c>
      <c r="EP232" s="120"/>
      <c r="EQ232" s="250">
        <v>510</v>
      </c>
      <c r="ER232" s="120"/>
      <c r="ES232" s="120"/>
      <c r="ET232" s="120"/>
      <c r="EU232" s="209"/>
      <c r="EV232" s="205"/>
      <c r="EW232" s="205">
        <f t="shared" ref="EW232:EW242" si="2174">SUM(EP232:EV232)</f>
        <v>510</v>
      </c>
      <c r="EX232" s="120"/>
      <c r="EY232" s="120"/>
      <c r="EZ232" s="120"/>
      <c r="FA232" s="120"/>
      <c r="FB232" s="120"/>
      <c r="FC232" s="209"/>
      <c r="FD232" s="205"/>
      <c r="FE232" s="205">
        <f t="shared" ref="FE232:FE242" si="2175">SUM(EX232:FD232)</f>
        <v>0</v>
      </c>
      <c r="FF232" s="120"/>
      <c r="FG232" s="195">
        <v>510</v>
      </c>
      <c r="FH232" s="120"/>
      <c r="FI232" s="120"/>
      <c r="FJ232" s="120"/>
      <c r="FK232" s="209"/>
      <c r="FL232" s="205"/>
      <c r="FM232" s="205">
        <f t="shared" ref="FM232:FM242" si="2176">SUM(FF232:FL232)</f>
        <v>510</v>
      </c>
      <c r="FN232" s="120"/>
      <c r="FO232" s="120"/>
      <c r="FP232" s="120"/>
      <c r="FQ232" s="120"/>
      <c r="FR232" s="205"/>
      <c r="FS232" s="209"/>
      <c r="FT232" s="205"/>
      <c r="FU232" s="205">
        <f t="shared" ref="FU232:FU242" si="2177">SUM(FN232:FT232)</f>
        <v>0</v>
      </c>
      <c r="FV232" s="205">
        <f t="shared" ref="FV232:FV242" si="2178">SUM(EJ232:EK232,EW232,FE232,FM232,FU232)</f>
        <v>1020</v>
      </c>
      <c r="FW232" s="120"/>
      <c r="FX232" s="120"/>
      <c r="FY232" s="120"/>
      <c r="FZ232" s="120"/>
      <c r="GA232" s="120"/>
      <c r="GB232" s="209"/>
      <c r="GC232" s="205"/>
      <c r="GD232" s="205">
        <f t="shared" ref="GD232:GD242" si="2179">SUM(FW232:GC232)</f>
        <v>0</v>
      </c>
      <c r="GE232" s="120"/>
      <c r="GF232" s="120"/>
      <c r="GG232" s="120"/>
      <c r="GH232" s="120"/>
      <c r="GI232" s="120"/>
      <c r="GJ232" s="209"/>
      <c r="GK232" s="205"/>
      <c r="GL232" s="205">
        <f t="shared" ref="GL232:GL242" si="2180">SUM(GE232:GK232)</f>
        <v>0</v>
      </c>
      <c r="GM232" s="120"/>
      <c r="GN232" s="120"/>
      <c r="GO232" s="120"/>
      <c r="GP232" s="120"/>
      <c r="GQ232" s="120"/>
      <c r="GR232" s="209"/>
      <c r="GS232" s="205"/>
      <c r="GT232" s="205">
        <f t="shared" ref="GT232:GT242" si="2181">SUM(GM232:GS232)</f>
        <v>0</v>
      </c>
      <c r="GU232" s="120"/>
      <c r="GV232" s="120"/>
      <c r="GW232" s="120"/>
      <c r="GX232" s="120"/>
      <c r="GY232" s="120"/>
      <c r="GZ232" s="209"/>
      <c r="HA232" s="205"/>
      <c r="HB232" s="205">
        <f t="shared" ref="HB232:HB242" si="2182">SUM(GU232:HA232)</f>
        <v>0</v>
      </c>
      <c r="HC232" s="120"/>
      <c r="HD232" s="120"/>
      <c r="HE232" s="120"/>
      <c r="HF232" s="120"/>
      <c r="HG232" s="120"/>
      <c r="HH232" s="209"/>
      <c r="HI232" s="205"/>
      <c r="HJ232" s="205">
        <f t="shared" ref="HJ232:HJ242" si="2183">SUM(HC232:HI232)</f>
        <v>0</v>
      </c>
      <c r="HK232" s="205">
        <f t="shared" ref="HK232:HK242" si="2184">SUM(GD232,GL232,GT232,HB232,HC232)</f>
        <v>0</v>
      </c>
      <c r="HL232" s="124"/>
      <c r="HM232" s="120"/>
      <c r="HN232" s="120"/>
      <c r="HO232" s="123">
        <v>1760</v>
      </c>
      <c r="HP232" s="120"/>
      <c r="HQ232" s="205"/>
      <c r="HR232" s="205"/>
      <c r="HS232" s="205">
        <f t="shared" ref="HS232:HS242" si="2185">SUM(HL232:HR232)</f>
        <v>1760</v>
      </c>
      <c r="HT232" s="120"/>
      <c r="HU232" s="120"/>
      <c r="HV232" s="120"/>
      <c r="HW232" s="120"/>
      <c r="HX232" s="120"/>
      <c r="HY232" s="205"/>
      <c r="HZ232" s="205"/>
      <c r="IA232" s="205">
        <f t="shared" ref="IA232:IA242" si="2186">SUM(HT232:HZ232)</f>
        <v>0</v>
      </c>
      <c r="IB232" s="120"/>
      <c r="IC232" s="120"/>
      <c r="ID232" s="120"/>
      <c r="IE232" s="120"/>
      <c r="IF232" s="120"/>
      <c r="IG232" s="205"/>
      <c r="IH232" s="205"/>
      <c r="II232" s="205">
        <f t="shared" ref="II232:II242" si="2187">SUM(IB232:IH232)</f>
        <v>0</v>
      </c>
      <c r="IJ232" s="120"/>
      <c r="IK232" s="120"/>
      <c r="IL232" s="201">
        <v>1810</v>
      </c>
      <c r="IM232" s="120"/>
      <c r="IN232" s="120"/>
      <c r="IO232" s="205"/>
      <c r="IP232" s="205"/>
      <c r="IQ232" s="205">
        <f t="shared" ref="IQ232:IQ242" si="2188">SUM(IJ232:IP232)</f>
        <v>1810</v>
      </c>
      <c r="IR232" s="205">
        <f t="shared" ref="IR232:IR242" si="2189">SUM(IJ232:IM232,II232,IA232,HS232,HD232:HG232,HH232:HI232)</f>
        <v>3570</v>
      </c>
      <c r="IS232" s="120"/>
      <c r="IT232" s="120"/>
      <c r="IU232" s="120"/>
      <c r="IV232" s="120"/>
      <c r="IW232" s="120"/>
      <c r="IX232" s="205"/>
      <c r="IY232" s="205"/>
      <c r="IZ232" s="205">
        <f t="shared" ref="IZ232:IZ242" si="2190">SUM(IS232:IY232)</f>
        <v>0</v>
      </c>
      <c r="JA232" s="120"/>
      <c r="JB232" s="120"/>
      <c r="JC232" s="120"/>
      <c r="JD232" s="120"/>
      <c r="JE232" s="120"/>
      <c r="JF232" s="205"/>
      <c r="JG232" s="205"/>
      <c r="JH232" s="205">
        <f t="shared" ref="JH232:JH242" si="2191">SUM(JA232:JG232)</f>
        <v>0</v>
      </c>
      <c r="JI232" s="120"/>
      <c r="JJ232" s="120"/>
      <c r="JK232" s="120"/>
      <c r="JL232" s="120"/>
      <c r="JM232" s="120"/>
      <c r="JN232" s="205"/>
      <c r="JO232" s="205"/>
      <c r="JP232" s="205">
        <f t="shared" ref="JP232:JP242" si="2192">SUM(JI232:JO232)</f>
        <v>0</v>
      </c>
      <c r="JQ232" s="120"/>
      <c r="JR232" s="120"/>
      <c r="JS232" s="120"/>
      <c r="JT232" s="120"/>
      <c r="JU232" s="120"/>
      <c r="JV232" s="205"/>
      <c r="JW232" s="205"/>
      <c r="JX232" s="205">
        <f t="shared" ref="JX232:JX242" si="2193">SUM(JQ232:JW232)</f>
        <v>0</v>
      </c>
      <c r="JY232" s="205">
        <f t="shared" ref="JY232:JY242" si="2194">SUM(JX232,JP232,JH232,IZ232,IN232:IP232)</f>
        <v>0</v>
      </c>
      <c r="JZ232" s="120"/>
      <c r="KA232" s="120"/>
      <c r="KB232" s="120"/>
      <c r="KC232" s="120"/>
      <c r="KD232" s="120"/>
      <c r="KE232" s="205"/>
      <c r="KF232" s="205"/>
      <c r="KG232" s="205">
        <f t="shared" ref="KG232:KG242" si="2195">SUM(JZ232:KF232)</f>
        <v>0</v>
      </c>
      <c r="KH232" s="120"/>
      <c r="KI232" s="120"/>
      <c r="KJ232" s="120"/>
      <c r="KK232" s="206">
        <v>810</v>
      </c>
      <c r="KL232" s="120"/>
      <c r="KM232" s="205"/>
      <c r="KN232" s="205"/>
      <c r="KO232" s="205">
        <f t="shared" ref="KO232:KO242" si="2196">SUM(KH232:KN232)</f>
        <v>810</v>
      </c>
      <c r="KP232" s="120"/>
      <c r="KQ232" s="120"/>
      <c r="KR232" s="120"/>
      <c r="KS232" s="120"/>
      <c r="KT232" s="120"/>
      <c r="KU232" s="205"/>
      <c r="KV232" s="205"/>
      <c r="KW232" s="205">
        <f t="shared" ref="KW232:KW242" si="2197">SUM(KP232:KV232)</f>
        <v>0</v>
      </c>
      <c r="KX232" s="120"/>
      <c r="KY232" s="120"/>
      <c r="KZ232" s="120"/>
      <c r="LA232" s="120"/>
      <c r="LB232" s="120"/>
      <c r="LC232" s="205"/>
      <c r="LD232" s="205"/>
      <c r="LE232" s="205">
        <f t="shared" ref="LE232:LE242" si="2198">SUM(KX232:LD232)</f>
        <v>0</v>
      </c>
      <c r="LF232" s="205"/>
      <c r="LG232" s="120"/>
      <c r="LH232" s="120"/>
      <c r="LI232" s="120"/>
      <c r="LJ232" s="120"/>
      <c r="LK232" s="205"/>
      <c r="LL232" s="205"/>
      <c r="LM232" s="205">
        <f t="shared" ref="LM232:LM242" si="2199">SUM(LF232:LL232)</f>
        <v>0</v>
      </c>
      <c r="LN232" s="205">
        <f t="shared" ref="LN232:LN242" si="2200">SUM(LF232:LG232,LE232,KW232,KO232,KG232)</f>
        <v>810</v>
      </c>
      <c r="LO232" s="205"/>
      <c r="LP232" s="120"/>
      <c r="LQ232" s="120"/>
      <c r="LR232" s="120"/>
      <c r="LS232" s="205"/>
      <c r="LT232" s="205"/>
      <c r="LU232" s="205"/>
      <c r="LV232" s="205">
        <f t="shared" ref="LV232:LV242" si="2201">SUM(LO232:LU232)</f>
        <v>0</v>
      </c>
      <c r="LW232" s="120"/>
      <c r="LX232" s="120"/>
      <c r="LY232" s="124">
        <v>370</v>
      </c>
      <c r="LZ232" s="120"/>
      <c r="MA232" s="120"/>
      <c r="MB232" s="205"/>
      <c r="MC232" s="205"/>
      <c r="MD232" s="205">
        <f t="shared" ref="MD232:MD242" si="2202">SUM(LW232:MC232)</f>
        <v>370</v>
      </c>
      <c r="ME232" s="120"/>
      <c r="MF232" s="120"/>
      <c r="MG232" s="120"/>
      <c r="MH232" s="201">
        <v>1110</v>
      </c>
      <c r="MI232" s="205"/>
      <c r="MJ232" s="205"/>
      <c r="MK232" s="205"/>
      <c r="ML232" s="205">
        <f t="shared" ref="ML232:ML242" si="2203">SUM(ME232:MK232)</f>
        <v>1110</v>
      </c>
      <c r="MM232" s="120" t="s">
        <v>712</v>
      </c>
      <c r="MN232" s="120"/>
      <c r="MO232" s="120"/>
      <c r="MP232" s="120"/>
      <c r="MQ232" s="120"/>
      <c r="MR232" s="205"/>
      <c r="MS232" s="205"/>
      <c r="MT232" s="205">
        <f t="shared" ref="MT232:MT242" si="2204">SUM(MM232:MS232)</f>
        <v>0</v>
      </c>
      <c r="MU232" s="205">
        <f t="shared" ref="MU232:MU242" si="2205">SUM(LH232:LL232,LV232,MD232,ML232,MM232:MQ232)</f>
        <v>1480</v>
      </c>
      <c r="MV232" s="120"/>
      <c r="MW232" s="120"/>
      <c r="MX232" s="195">
        <v>2010</v>
      </c>
      <c r="MY232" s="120"/>
      <c r="MZ232" s="120"/>
      <c r="NA232" s="205"/>
      <c r="NB232" s="205"/>
      <c r="NC232" s="205">
        <f t="shared" ref="NC232:NC242" si="2206">SUM(MV232:NB232)</f>
        <v>2010</v>
      </c>
      <c r="ND232" s="120"/>
      <c r="NE232" s="120"/>
      <c r="NF232" s="120"/>
      <c r="NG232" s="120"/>
      <c r="NH232" s="120"/>
      <c r="NI232" s="205"/>
      <c r="NJ232" s="205"/>
      <c r="NK232" s="205">
        <f t="shared" ref="NK232:NK242" si="2207">SUM(ND232:NJ232)</f>
        <v>0</v>
      </c>
      <c r="NL232" s="120"/>
      <c r="NM232" s="120"/>
      <c r="NN232" s="120"/>
      <c r="NO232" s="120"/>
      <c r="NP232" s="120"/>
      <c r="NQ232" s="205"/>
      <c r="NR232" s="205"/>
      <c r="NS232" s="205">
        <f t="shared" ref="NS232:NS242" si="2208">SUM(NL232:NR232)</f>
        <v>0</v>
      </c>
      <c r="NT232" s="217">
        <v>1010</v>
      </c>
      <c r="NU232" s="120"/>
      <c r="NV232" s="120"/>
      <c r="NW232" s="120"/>
      <c r="NX232" s="120"/>
      <c r="NY232" s="205"/>
      <c r="NZ232" s="205"/>
      <c r="OA232" s="205">
        <f t="shared" ref="OA232:OA242" si="2209">SUM(NT232:NZ232)</f>
        <v>1010</v>
      </c>
      <c r="OB232" s="205">
        <f t="shared" ref="OB232:OB242" si="2210">SUM(MR232:MS232,NC232,NK232,NS232,OA232)</f>
        <v>3020</v>
      </c>
      <c r="OC232" s="120"/>
      <c r="OD232" s="120"/>
      <c r="OE232" s="120"/>
      <c r="OF232" s="120"/>
      <c r="OG232" s="120"/>
      <c r="OH232" s="205"/>
      <c r="OI232" s="205"/>
      <c r="OJ232" s="205">
        <f t="shared" ref="OJ232:OJ242" si="2211">SUM(OC232:OI232)</f>
        <v>0</v>
      </c>
      <c r="OK232" s="120"/>
      <c r="OL232" s="120"/>
      <c r="OM232" s="120"/>
      <c r="ON232" s="120"/>
      <c r="OO232" s="120"/>
      <c r="OP232" s="205"/>
      <c r="OQ232" s="205"/>
      <c r="OR232" s="205">
        <f t="shared" ref="OR232:OR242" si="2212">SUM(OK232:OQ232)</f>
        <v>0</v>
      </c>
      <c r="OS232" s="120"/>
      <c r="OT232" s="120"/>
      <c r="OU232" s="120"/>
      <c r="OV232" s="120"/>
      <c r="OW232" s="120"/>
      <c r="OX232" s="205"/>
      <c r="OY232" s="205"/>
      <c r="OZ232" s="205">
        <f t="shared" ref="OZ232:OZ242" si="2213">SUM(OS232:OY232)</f>
        <v>0</v>
      </c>
      <c r="PA232" s="120"/>
      <c r="PB232" s="120"/>
      <c r="PC232" s="120"/>
      <c r="PD232" s="205"/>
      <c r="PE232" s="217"/>
      <c r="PF232" s="205"/>
      <c r="PG232" s="205"/>
      <c r="PH232" s="205">
        <f t="shared" ref="PH232:PH242" si="2214">SUM(PA232:PG232)</f>
        <v>0</v>
      </c>
      <c r="PI232" s="120"/>
      <c r="PJ232" s="120"/>
      <c r="PK232" s="120"/>
      <c r="PL232" s="205"/>
      <c r="PM232" s="217"/>
      <c r="PN232" s="205"/>
      <c r="PO232" s="205"/>
      <c r="PP232" s="205">
        <f t="shared" ref="PP232:PP242" si="2215">SUM(PI232:PO232)</f>
        <v>0</v>
      </c>
      <c r="PQ232" s="205">
        <f t="shared" ref="PQ232:PQ242" si="2216">SUM(OJ232,OR232,OZ232,PH232,PI232:PK232)</f>
        <v>0</v>
      </c>
      <c r="PR232" s="120"/>
      <c r="PS232" s="207"/>
      <c r="PT232" s="207"/>
      <c r="PU232" s="207"/>
      <c r="PV232" s="207"/>
      <c r="PW232" s="272"/>
      <c r="PX232" s="272"/>
      <c r="PY232" s="205">
        <f t="shared" ref="PY232:PY242" si="2217">SUM(PR232:PX232)</f>
        <v>0</v>
      </c>
      <c r="PZ232" s="207"/>
      <c r="QA232" s="207"/>
      <c r="QB232" s="207"/>
      <c r="QC232" s="207"/>
      <c r="QD232" s="207"/>
      <c r="QE232" s="272"/>
      <c r="QF232" s="272"/>
      <c r="QG232" s="205">
        <f t="shared" ref="QG232:QG242" si="2218">SUM(PZ232:QF232)</f>
        <v>0</v>
      </c>
      <c r="QH232" s="207"/>
      <c r="QI232" s="207"/>
      <c r="QJ232" s="294"/>
      <c r="QK232" s="207"/>
      <c r="QL232" s="207"/>
      <c r="QM232" s="272"/>
      <c r="QN232" s="272"/>
      <c r="QO232" s="205">
        <f t="shared" ref="QO232:QO242" si="2219">SUM(QH232:QN232)</f>
        <v>0</v>
      </c>
      <c r="QP232" s="207"/>
      <c r="QQ232" s="120"/>
      <c r="QR232" s="207"/>
      <c r="QS232" s="207"/>
      <c r="QT232" s="207"/>
      <c r="QU232" s="272"/>
      <c r="QV232" s="272"/>
      <c r="QW232" s="205">
        <f t="shared" ref="QW232:QW242" si="2220">SUM(QP232:QV232)</f>
        <v>0</v>
      </c>
      <c r="QX232" s="205">
        <f t="shared" ref="QX232:QX242" si="2221">SUM(QW232,QO232,QG232,PY232,PL232,PM232,PN232,PO232)</f>
        <v>0</v>
      </c>
      <c r="QY232" s="207"/>
      <c r="QZ232" s="207"/>
      <c r="RA232" s="207"/>
      <c r="RB232" s="207"/>
      <c r="RC232" s="207"/>
      <c r="RD232" s="272"/>
      <c r="RE232" s="272"/>
      <c r="RF232" s="205">
        <f t="shared" si="2148"/>
        <v>0</v>
      </c>
      <c r="RG232" s="207"/>
      <c r="RH232" s="207"/>
      <c r="RI232" s="207"/>
      <c r="RJ232" s="120"/>
      <c r="RK232" s="207"/>
      <c r="RL232" s="272"/>
      <c r="RM232" s="272"/>
      <c r="RN232" s="205">
        <f t="shared" si="2096"/>
        <v>0</v>
      </c>
      <c r="RO232" s="272"/>
      <c r="RP232" s="272"/>
      <c r="RQ232" s="272"/>
      <c r="RR232" s="272"/>
      <c r="RS232" s="272"/>
      <c r="RT232" s="272"/>
      <c r="RU232" s="272"/>
      <c r="RV232" s="205">
        <f t="shared" si="2097"/>
        <v>0</v>
      </c>
      <c r="RW232" s="207"/>
      <c r="RX232" s="207"/>
      <c r="RY232" s="207"/>
      <c r="RZ232" s="207"/>
      <c r="SA232" s="272"/>
      <c r="SB232" s="272"/>
      <c r="SC232" s="272"/>
      <c r="SD232" s="205">
        <f t="shared" si="2098"/>
        <v>0</v>
      </c>
      <c r="SE232" s="205">
        <f t="shared" si="2099"/>
        <v>0</v>
      </c>
      <c r="SF232" s="207"/>
      <c r="SG232" s="207"/>
      <c r="SH232" s="207"/>
      <c r="SI232" s="207"/>
      <c r="SJ232" s="207"/>
      <c r="SK232" s="272"/>
      <c r="SL232" s="272"/>
      <c r="SM232" s="205">
        <f t="shared" si="2100"/>
        <v>0</v>
      </c>
      <c r="SN232" s="207"/>
      <c r="SO232" s="207"/>
      <c r="SP232" s="207"/>
      <c r="SQ232" s="207"/>
      <c r="SR232" s="207"/>
      <c r="SS232" s="272"/>
      <c r="ST232" s="272"/>
      <c r="SU232" s="205">
        <f t="shared" si="2101"/>
        <v>0</v>
      </c>
      <c r="SV232" s="207"/>
      <c r="SW232" s="207"/>
      <c r="SX232" s="207"/>
      <c r="SY232" s="207"/>
      <c r="SZ232" s="207"/>
      <c r="TA232" s="272"/>
      <c r="TB232" s="272"/>
      <c r="TC232" s="205">
        <f t="shared" si="2102"/>
        <v>0</v>
      </c>
      <c r="TD232" s="207"/>
      <c r="TE232" s="207"/>
      <c r="TF232" s="207"/>
      <c r="TG232" s="207"/>
      <c r="TH232" s="207"/>
      <c r="TI232" s="272"/>
      <c r="TJ232" s="272"/>
      <c r="TK232" s="205">
        <f t="shared" si="2142"/>
        <v>0</v>
      </c>
      <c r="TL232" s="130"/>
      <c r="TM232" s="140"/>
      <c r="TN232" s="140"/>
      <c r="TO232" s="140"/>
      <c r="TP232" s="370"/>
      <c r="TQ232" s="272"/>
      <c r="TR232" s="272"/>
      <c r="TS232" s="205">
        <f t="shared" si="2153"/>
        <v>0</v>
      </c>
      <c r="TT232" s="205">
        <f t="shared" si="2154"/>
        <v>0</v>
      </c>
      <c r="TU232" s="272"/>
      <c r="TV232" s="207"/>
      <c r="TW232" s="378">
        <v>300</v>
      </c>
      <c r="TX232" s="207"/>
      <c r="TY232" s="207"/>
      <c r="TZ232" s="272"/>
      <c r="UA232" s="272"/>
      <c r="UB232" s="205">
        <f t="shared" si="2012"/>
        <v>300</v>
      </c>
      <c r="UC232" s="378">
        <v>700</v>
      </c>
      <c r="UD232" s="207"/>
      <c r="UE232" s="120"/>
      <c r="UF232" s="120"/>
      <c r="UG232" s="207"/>
      <c r="UH232" s="272"/>
      <c r="UI232" s="272"/>
      <c r="UJ232" s="205">
        <f t="shared" si="2013"/>
        <v>700</v>
      </c>
      <c r="UK232" s="207"/>
      <c r="UL232" s="207"/>
      <c r="UM232" s="207"/>
      <c r="UN232" s="207"/>
      <c r="UO232" s="207"/>
      <c r="UP232" s="272"/>
      <c r="UQ232" s="272"/>
      <c r="UR232" s="205">
        <f t="shared" si="2014"/>
        <v>0</v>
      </c>
      <c r="US232" s="207"/>
      <c r="UT232" s="207"/>
      <c r="UU232" s="207"/>
      <c r="UV232" s="207"/>
      <c r="UW232" s="272"/>
      <c r="UX232" s="272"/>
      <c r="UY232" s="272"/>
      <c r="UZ232" s="205">
        <f t="shared" si="2145"/>
        <v>0</v>
      </c>
      <c r="VA232" s="205">
        <f>SUM(TN232:TR232,UB232,UJ232,UR232,US232:UV232)</f>
        <v>1000</v>
      </c>
      <c r="VB232" s="207"/>
      <c r="VC232" s="120"/>
      <c r="VD232" s="207"/>
      <c r="VE232" s="207"/>
      <c r="VF232" s="207"/>
      <c r="VG232" s="272"/>
      <c r="VH232" s="272"/>
      <c r="VI232" s="205">
        <f t="shared" si="2005"/>
        <v>0</v>
      </c>
      <c r="VJ232" s="207"/>
      <c r="VK232" s="120"/>
      <c r="VL232" s="120"/>
      <c r="VM232" s="207"/>
      <c r="VN232" s="207"/>
      <c r="VO232" s="272"/>
      <c r="VP232" s="272"/>
      <c r="VQ232" s="205">
        <f t="shared" si="2015"/>
        <v>0</v>
      </c>
      <c r="VR232" s="120"/>
      <c r="VS232" s="207"/>
      <c r="VT232" s="207"/>
      <c r="VU232" s="207"/>
      <c r="VV232" s="207"/>
      <c r="VW232" s="272"/>
      <c r="VX232" s="272"/>
      <c r="VY232" s="205">
        <f t="shared" si="2006"/>
        <v>0</v>
      </c>
      <c r="VZ232" s="207"/>
      <c r="WA232" s="207"/>
      <c r="WB232" s="120"/>
      <c r="WC232" s="356"/>
      <c r="WD232" s="207"/>
      <c r="WE232" s="272"/>
      <c r="WF232" s="272"/>
      <c r="WG232" s="205">
        <f t="shared" si="2007"/>
        <v>0</v>
      </c>
      <c r="WH232" s="205">
        <f t="shared" si="2008"/>
        <v>0</v>
      </c>
      <c r="WJ232" s="207"/>
      <c r="WK232" s="207"/>
      <c r="WL232" s="207"/>
      <c r="WM232" s="207"/>
      <c r="WN232" s="272"/>
      <c r="WO232" s="272"/>
      <c r="WP232" s="205">
        <f t="shared" si="2016"/>
        <v>0</v>
      </c>
      <c r="WQ232" s="207"/>
      <c r="WR232" s="207"/>
      <c r="WS232" s="207"/>
      <c r="WT232" s="207"/>
      <c r="WU232" s="207"/>
      <c r="WV232" s="272"/>
      <c r="WW232" s="272"/>
      <c r="WX232" s="205">
        <f t="shared" si="2017"/>
        <v>0</v>
      </c>
      <c r="WY232" s="207"/>
      <c r="WZ232" s="207"/>
      <c r="XA232" s="207"/>
      <c r="XB232" s="207"/>
      <c r="XC232" s="272"/>
      <c r="XD232" s="272"/>
      <c r="XE232" s="272"/>
      <c r="XF232" s="205">
        <f t="shared" si="2009"/>
        <v>0</v>
      </c>
      <c r="XG232" s="207"/>
      <c r="XH232" s="207"/>
      <c r="XI232" s="124">
        <v>135</v>
      </c>
      <c r="XJ232" s="207"/>
      <c r="XK232" s="124">
        <v>500</v>
      </c>
      <c r="XL232" s="272"/>
      <c r="XM232" s="272"/>
      <c r="XN232" s="205">
        <f t="shared" si="2105"/>
        <v>635</v>
      </c>
      <c r="XO232" s="207"/>
      <c r="XP232" s="207"/>
      <c r="XQ232" s="207"/>
      <c r="XR232" s="207"/>
      <c r="XS232" s="207"/>
      <c r="XT232" s="272"/>
      <c r="XU232" s="272"/>
      <c r="XV232" s="205">
        <f t="shared" ref="XV232:XV241" si="2222">SUM(XO232:XU232)</f>
        <v>0</v>
      </c>
      <c r="XW232" s="205">
        <f t="shared" ref="XW232:XW241" si="2223">SUM(XO232:XP232,XN232,XF232,WX232,WP232)</f>
        <v>635</v>
      </c>
      <c r="XX232" s="207"/>
      <c r="XY232" s="207"/>
      <c r="XZ232" s="207"/>
      <c r="YA232" s="207"/>
      <c r="YB232" s="207"/>
      <c r="YC232" s="272"/>
      <c r="YD232" s="272"/>
      <c r="YE232" s="205">
        <f t="shared" si="2018"/>
        <v>0</v>
      </c>
      <c r="YF232" s="207"/>
      <c r="YG232" s="207"/>
      <c r="YH232" s="207"/>
      <c r="YI232" s="207"/>
      <c r="YJ232" s="207"/>
      <c r="YK232" s="272"/>
      <c r="YL232" s="272"/>
      <c r="YM232" s="205">
        <f t="shared" si="2019"/>
        <v>0</v>
      </c>
      <c r="YN232" s="207"/>
      <c r="YO232" s="207"/>
      <c r="YP232" s="207"/>
      <c r="YQ232" s="207"/>
      <c r="YR232" s="207"/>
      <c r="YS232" s="272"/>
      <c r="YT232" s="272"/>
      <c r="YU232" s="205">
        <f t="shared" si="2020"/>
        <v>0</v>
      </c>
      <c r="YV232" s="207"/>
      <c r="YW232" s="207"/>
      <c r="YX232" s="207"/>
      <c r="YY232" s="207"/>
      <c r="YZ232" s="207"/>
      <c r="ZA232" s="272"/>
      <c r="ZB232" s="272"/>
      <c r="ZC232" s="205">
        <f t="shared" si="2021"/>
        <v>0</v>
      </c>
      <c r="ZD232" s="205">
        <f t="shared" si="2022"/>
        <v>635</v>
      </c>
      <c r="ZE232" s="207"/>
      <c r="ZF232" s="207"/>
      <c r="ZG232" s="207"/>
      <c r="ZH232" s="207"/>
      <c r="ZI232" s="207"/>
      <c r="ZJ232" s="272"/>
      <c r="ZK232" s="272"/>
      <c r="ZL232" s="205">
        <f t="shared" si="2023"/>
        <v>0</v>
      </c>
      <c r="ZM232" s="207"/>
      <c r="ZN232" s="207"/>
      <c r="ZO232" s="207"/>
      <c r="ZP232" s="207"/>
      <c r="ZQ232" s="207"/>
      <c r="ZR232" s="272"/>
      <c r="ZS232" s="272"/>
      <c r="ZT232" s="205">
        <f t="shared" si="2010"/>
        <v>0</v>
      </c>
      <c r="ZU232" s="207"/>
      <c r="ZV232" s="207"/>
      <c r="ZW232" s="207"/>
      <c r="ZX232" s="207"/>
      <c r="ZY232" s="207"/>
      <c r="ZZ232" s="272"/>
      <c r="AAA232" s="272"/>
      <c r="AAB232" s="205">
        <f t="shared" si="2024"/>
        <v>0</v>
      </c>
      <c r="AAC232" s="207"/>
      <c r="AAD232" s="207"/>
      <c r="AAE232" s="207"/>
      <c r="AAF232" s="207"/>
      <c r="AAG232" s="207"/>
      <c r="AAH232" s="272"/>
      <c r="AAI232" s="272"/>
      <c r="AAJ232" s="205">
        <f t="shared" si="2011"/>
        <v>0</v>
      </c>
      <c r="AAK232" s="207"/>
      <c r="AAL232" s="207"/>
      <c r="AAM232" s="207"/>
      <c r="AAN232" s="207"/>
      <c r="AAO232" s="207"/>
      <c r="AAP232" s="272"/>
      <c r="AAQ232" s="272"/>
      <c r="AAR232" s="205">
        <f t="shared" si="2025"/>
        <v>0</v>
      </c>
      <c r="AAS232" s="205">
        <f t="shared" si="2026"/>
        <v>0</v>
      </c>
    </row>
    <row r="233" spans="1:721" ht="74.099999999999994" customHeight="1">
      <c r="A233" s="117">
        <v>10</v>
      </c>
      <c r="B233" s="319" t="s">
        <v>864</v>
      </c>
      <c r="C233" s="362" t="s">
        <v>892</v>
      </c>
      <c r="D233" s="320" t="s">
        <v>870</v>
      </c>
      <c r="E233" s="130" t="s">
        <v>4</v>
      </c>
      <c r="F233" s="120"/>
      <c r="G233" s="120"/>
      <c r="H233" s="120"/>
      <c r="I233" s="120"/>
      <c r="J233" s="120"/>
      <c r="K233" s="209"/>
      <c r="L233" s="205"/>
      <c r="M233" s="205">
        <f t="shared" si="2108"/>
        <v>0</v>
      </c>
      <c r="N233" s="120"/>
      <c r="O233" s="120"/>
      <c r="P233" s="120"/>
      <c r="Q233" s="120"/>
      <c r="R233" s="120"/>
      <c r="S233" s="209"/>
      <c r="T233" s="205"/>
      <c r="U233" s="205">
        <f t="shared" si="2155"/>
        <v>0</v>
      </c>
      <c r="V233" s="120"/>
      <c r="W233" s="120"/>
      <c r="X233" s="120"/>
      <c r="Y233" s="120"/>
      <c r="Z233" s="120"/>
      <c r="AA233" s="209"/>
      <c r="AB233" s="205"/>
      <c r="AC233" s="205">
        <f t="shared" si="2156"/>
        <v>0</v>
      </c>
      <c r="AD233" s="205"/>
      <c r="AE233" s="205"/>
      <c r="AF233" s="205"/>
      <c r="AG233" s="205"/>
      <c r="AH233" s="205"/>
      <c r="AI233" s="209"/>
      <c r="AJ233" s="205"/>
      <c r="AK233" s="205">
        <f t="shared" si="2157"/>
        <v>0</v>
      </c>
      <c r="AL233" s="205" t="e">
        <f>SUM(#REF!,M233,U233,AC233,AD233:AH233)</f>
        <v>#REF!</v>
      </c>
      <c r="AM233" s="120"/>
      <c r="AN233" s="120"/>
      <c r="AO233" s="120"/>
      <c r="AP233" s="120"/>
      <c r="AQ233" s="120"/>
      <c r="AR233" s="209"/>
      <c r="AS233" s="205"/>
      <c r="AT233" s="205">
        <f t="shared" si="2158"/>
        <v>0</v>
      </c>
      <c r="AU233" s="120"/>
      <c r="AV233" s="120"/>
      <c r="AW233" s="120"/>
      <c r="AX233" s="120"/>
      <c r="AY233" s="120"/>
      <c r="AZ233" s="209"/>
      <c r="BA233" s="205"/>
      <c r="BB233" s="205">
        <f t="shared" si="2159"/>
        <v>0</v>
      </c>
      <c r="BC233" s="120"/>
      <c r="BD233" s="120"/>
      <c r="BE233" s="120"/>
      <c r="BF233" s="120"/>
      <c r="BG233" s="120"/>
      <c r="BH233" s="209"/>
      <c r="BI233" s="205"/>
      <c r="BJ233" s="205">
        <f t="shared" si="2160"/>
        <v>0</v>
      </c>
      <c r="BK233" s="120"/>
      <c r="BL233" s="120"/>
      <c r="BM233" s="217">
        <v>3111</v>
      </c>
      <c r="BN233" s="120"/>
      <c r="BO233" s="205"/>
      <c r="BP233" s="209"/>
      <c r="BQ233" s="205"/>
      <c r="BR233" s="205">
        <f t="shared" si="2161"/>
        <v>3111</v>
      </c>
      <c r="BS233" s="205">
        <f t="shared" si="2162"/>
        <v>3111</v>
      </c>
      <c r="BT233" s="120"/>
      <c r="BU233" s="250">
        <v>711</v>
      </c>
      <c r="BV233" s="120"/>
      <c r="BW233" s="120"/>
      <c r="BX233" s="120"/>
      <c r="BY233" s="209"/>
      <c r="BZ233" s="205"/>
      <c r="CA233" s="205">
        <f t="shared" si="2163"/>
        <v>711</v>
      </c>
      <c r="CB233" s="120"/>
      <c r="CC233" s="120"/>
      <c r="CD233" s="120"/>
      <c r="CE233" s="120"/>
      <c r="CF233" s="120"/>
      <c r="CG233" s="209"/>
      <c r="CH233" s="205"/>
      <c r="CI233" s="205">
        <f t="shared" si="2164"/>
        <v>0</v>
      </c>
      <c r="CJ233" s="120"/>
      <c r="CK233" s="120"/>
      <c r="CL233" s="250">
        <v>1211</v>
      </c>
      <c r="CM233" s="120"/>
      <c r="CN233" s="120"/>
      <c r="CO233" s="209"/>
      <c r="CP233" s="205"/>
      <c r="CQ233" s="205">
        <f t="shared" si="2165"/>
        <v>1211</v>
      </c>
      <c r="CR233" s="120" t="s">
        <v>216</v>
      </c>
      <c r="CS233" s="120"/>
      <c r="CT233" s="120"/>
      <c r="CU233" s="120"/>
      <c r="CV233" s="120"/>
      <c r="CW233" s="209"/>
      <c r="CX233" s="205"/>
      <c r="CY233" s="205">
        <f t="shared" si="2166"/>
        <v>0</v>
      </c>
      <c r="CZ233" s="120"/>
      <c r="DA233" s="120"/>
      <c r="DB233" s="120"/>
      <c r="DC233" s="205"/>
      <c r="DD233" s="205"/>
      <c r="DE233" s="209"/>
      <c r="DF233" s="205"/>
      <c r="DG233" s="205">
        <f t="shared" si="2167"/>
        <v>0</v>
      </c>
      <c r="DH233" s="205">
        <f t="shared" si="2168"/>
        <v>1922</v>
      </c>
      <c r="DI233" s="120"/>
      <c r="DJ233" s="120"/>
      <c r="DK233" s="120"/>
      <c r="DL233" s="120"/>
      <c r="DM233" s="120"/>
      <c r="DN233" s="209"/>
      <c r="DO233" s="205"/>
      <c r="DP233" s="205">
        <f t="shared" si="2169"/>
        <v>0</v>
      </c>
      <c r="DQ233" s="217">
        <v>661</v>
      </c>
      <c r="DR233" s="120"/>
      <c r="DS233" s="120"/>
      <c r="DT233" s="120"/>
      <c r="DU233" s="120"/>
      <c r="DV233" s="209"/>
      <c r="DW233" s="205"/>
      <c r="DX233" s="205">
        <f t="shared" si="2170"/>
        <v>661</v>
      </c>
      <c r="DY233" s="120"/>
      <c r="DZ233" s="120"/>
      <c r="EA233" s="120"/>
      <c r="EB233" s="120"/>
      <c r="EC233" s="120"/>
      <c r="ED233" s="209"/>
      <c r="EE233" s="205"/>
      <c r="EF233" s="205">
        <f t="shared" si="2171"/>
        <v>0</v>
      </c>
      <c r="EG233" s="120"/>
      <c r="EH233" s="120"/>
      <c r="EI233" s="120"/>
      <c r="EJ233" s="205"/>
      <c r="EK233" s="205"/>
      <c r="EL233" s="209"/>
      <c r="EM233" s="205"/>
      <c r="EN233" s="205">
        <f t="shared" si="2172"/>
        <v>0</v>
      </c>
      <c r="EO233" s="205">
        <f t="shared" si="2173"/>
        <v>661</v>
      </c>
      <c r="EP233" s="120"/>
      <c r="EQ233" s="250">
        <v>511</v>
      </c>
      <c r="ER233" s="120"/>
      <c r="ES233" s="120"/>
      <c r="ET233" s="120"/>
      <c r="EU233" s="209"/>
      <c r="EV233" s="205"/>
      <c r="EW233" s="205">
        <f t="shared" si="2174"/>
        <v>511</v>
      </c>
      <c r="EX233" s="120"/>
      <c r="EY233" s="120"/>
      <c r="EZ233" s="120"/>
      <c r="FA233" s="120"/>
      <c r="FB233" s="120"/>
      <c r="FC233" s="209"/>
      <c r="FD233" s="205"/>
      <c r="FE233" s="205">
        <f t="shared" si="2175"/>
        <v>0</v>
      </c>
      <c r="FF233" s="120"/>
      <c r="FG233" s="195">
        <v>511</v>
      </c>
      <c r="FH233" s="120"/>
      <c r="FI233" s="120"/>
      <c r="FJ233" s="120"/>
      <c r="FK233" s="209"/>
      <c r="FL233" s="205"/>
      <c r="FM233" s="205">
        <f t="shared" si="2176"/>
        <v>511</v>
      </c>
      <c r="FN233" s="120"/>
      <c r="FO233" s="120"/>
      <c r="FP233" s="120"/>
      <c r="FQ233" s="120"/>
      <c r="FR233" s="205"/>
      <c r="FS233" s="209"/>
      <c r="FT233" s="205"/>
      <c r="FU233" s="205">
        <f t="shared" si="2177"/>
        <v>0</v>
      </c>
      <c r="FV233" s="205">
        <f t="shared" si="2178"/>
        <v>1022</v>
      </c>
      <c r="FW233" s="120"/>
      <c r="FX233" s="120"/>
      <c r="FY233" s="120"/>
      <c r="FZ233" s="120"/>
      <c r="GA233" s="120"/>
      <c r="GB233" s="209"/>
      <c r="GC233" s="205"/>
      <c r="GD233" s="205">
        <f t="shared" si="2179"/>
        <v>0</v>
      </c>
      <c r="GE233" s="120"/>
      <c r="GF233" s="120"/>
      <c r="GG233" s="120"/>
      <c r="GH233" s="120"/>
      <c r="GI233" s="120"/>
      <c r="GJ233" s="209"/>
      <c r="GK233" s="205"/>
      <c r="GL233" s="205">
        <f t="shared" si="2180"/>
        <v>0</v>
      </c>
      <c r="GM233" s="120"/>
      <c r="GN233" s="120"/>
      <c r="GO233" s="120"/>
      <c r="GP233" s="120"/>
      <c r="GQ233" s="120"/>
      <c r="GR233" s="209"/>
      <c r="GS233" s="205"/>
      <c r="GT233" s="205">
        <f t="shared" si="2181"/>
        <v>0</v>
      </c>
      <c r="GU233" s="120"/>
      <c r="GV233" s="120"/>
      <c r="GW233" s="120"/>
      <c r="GX233" s="120"/>
      <c r="GY233" s="120"/>
      <c r="GZ233" s="209"/>
      <c r="HA233" s="205"/>
      <c r="HB233" s="205">
        <f t="shared" si="2182"/>
        <v>0</v>
      </c>
      <c r="HC233" s="120"/>
      <c r="HD233" s="120"/>
      <c r="HE233" s="120"/>
      <c r="HF233" s="120"/>
      <c r="HG233" s="120"/>
      <c r="HH233" s="209"/>
      <c r="HI233" s="205"/>
      <c r="HJ233" s="205">
        <f t="shared" si="2183"/>
        <v>0</v>
      </c>
      <c r="HK233" s="205">
        <f t="shared" si="2184"/>
        <v>0</v>
      </c>
      <c r="HL233" s="124"/>
      <c r="HM233" s="120"/>
      <c r="HN233" s="120"/>
      <c r="HO233" s="123">
        <v>1761</v>
      </c>
      <c r="HP233" s="120"/>
      <c r="HQ233" s="205"/>
      <c r="HR233" s="205"/>
      <c r="HS233" s="205">
        <f t="shared" si="2185"/>
        <v>1761</v>
      </c>
      <c r="HT233" s="120"/>
      <c r="HU233" s="120"/>
      <c r="HV233" s="120"/>
      <c r="HW233" s="120"/>
      <c r="HX233" s="120"/>
      <c r="HY233" s="205"/>
      <c r="HZ233" s="205"/>
      <c r="IA233" s="205">
        <f t="shared" si="2186"/>
        <v>0</v>
      </c>
      <c r="IB233" s="120"/>
      <c r="IC233" s="120"/>
      <c r="ID233" s="120"/>
      <c r="IE233" s="120"/>
      <c r="IF233" s="120"/>
      <c r="IG233" s="205"/>
      <c r="IH233" s="205"/>
      <c r="II233" s="205">
        <f t="shared" si="2187"/>
        <v>0</v>
      </c>
      <c r="IJ233" s="120"/>
      <c r="IK233" s="120"/>
      <c r="IL233" s="201">
        <v>1811</v>
      </c>
      <c r="IM233" s="120"/>
      <c r="IN233" s="120"/>
      <c r="IO233" s="205"/>
      <c r="IP233" s="205"/>
      <c r="IQ233" s="205">
        <f t="shared" si="2188"/>
        <v>1811</v>
      </c>
      <c r="IR233" s="205">
        <f t="shared" si="2189"/>
        <v>3572</v>
      </c>
      <c r="IS233" s="120"/>
      <c r="IT233" s="120"/>
      <c r="IU233" s="120"/>
      <c r="IV233" s="120"/>
      <c r="IW233" s="120"/>
      <c r="IX233" s="205"/>
      <c r="IY233" s="205"/>
      <c r="IZ233" s="205">
        <f t="shared" si="2190"/>
        <v>0</v>
      </c>
      <c r="JA233" s="120"/>
      <c r="JB233" s="120"/>
      <c r="JC233" s="120"/>
      <c r="JD233" s="120"/>
      <c r="JE233" s="120"/>
      <c r="JF233" s="205"/>
      <c r="JG233" s="205"/>
      <c r="JH233" s="205">
        <f t="shared" si="2191"/>
        <v>0</v>
      </c>
      <c r="JI233" s="120"/>
      <c r="JJ233" s="120"/>
      <c r="JK233" s="120"/>
      <c r="JL233" s="120"/>
      <c r="JM233" s="120"/>
      <c r="JN233" s="205"/>
      <c r="JO233" s="205"/>
      <c r="JP233" s="205">
        <f t="shared" si="2192"/>
        <v>0</v>
      </c>
      <c r="JQ233" s="120"/>
      <c r="JR233" s="120"/>
      <c r="JS233" s="120"/>
      <c r="JT233" s="120"/>
      <c r="JU233" s="120"/>
      <c r="JV233" s="205"/>
      <c r="JW233" s="205"/>
      <c r="JX233" s="205">
        <f t="shared" si="2193"/>
        <v>0</v>
      </c>
      <c r="JY233" s="205">
        <f t="shared" si="2194"/>
        <v>0</v>
      </c>
      <c r="JZ233" s="120"/>
      <c r="KA233" s="120"/>
      <c r="KB233" s="120"/>
      <c r="KC233" s="120"/>
      <c r="KD233" s="120"/>
      <c r="KE233" s="205"/>
      <c r="KF233" s="205"/>
      <c r="KG233" s="205">
        <f t="shared" si="2195"/>
        <v>0</v>
      </c>
      <c r="KH233" s="120"/>
      <c r="KI233" s="120"/>
      <c r="KJ233" s="120"/>
      <c r="KK233" s="206">
        <v>811</v>
      </c>
      <c r="KL233" s="120"/>
      <c r="KM233" s="205"/>
      <c r="KN233" s="205"/>
      <c r="KO233" s="205">
        <f t="shared" si="2196"/>
        <v>811</v>
      </c>
      <c r="KP233" s="120"/>
      <c r="KQ233" s="120"/>
      <c r="KR233" s="120"/>
      <c r="KS233" s="120"/>
      <c r="KT233" s="120"/>
      <c r="KU233" s="205"/>
      <c r="KV233" s="205"/>
      <c r="KW233" s="205">
        <f t="shared" si="2197"/>
        <v>0</v>
      </c>
      <c r="KX233" s="120"/>
      <c r="KY233" s="120"/>
      <c r="KZ233" s="120"/>
      <c r="LA233" s="120"/>
      <c r="LB233" s="120"/>
      <c r="LC233" s="205"/>
      <c r="LD233" s="205"/>
      <c r="LE233" s="205">
        <f t="shared" si="2198"/>
        <v>0</v>
      </c>
      <c r="LF233" s="205"/>
      <c r="LG233" s="120"/>
      <c r="LH233" s="120"/>
      <c r="LI233" s="120"/>
      <c r="LJ233" s="120"/>
      <c r="LK233" s="205"/>
      <c r="LL233" s="205"/>
      <c r="LM233" s="205">
        <f t="shared" si="2199"/>
        <v>0</v>
      </c>
      <c r="LN233" s="205">
        <f t="shared" si="2200"/>
        <v>811</v>
      </c>
      <c r="LO233" s="205"/>
      <c r="LP233" s="120"/>
      <c r="LQ233" s="120"/>
      <c r="LR233" s="120"/>
      <c r="LS233" s="205"/>
      <c r="LT233" s="205"/>
      <c r="LU233" s="205"/>
      <c r="LV233" s="205">
        <f t="shared" si="2201"/>
        <v>0</v>
      </c>
      <c r="LW233" s="120"/>
      <c r="LX233" s="120"/>
      <c r="LY233" s="124">
        <v>371</v>
      </c>
      <c r="LZ233" s="120"/>
      <c r="MA233" s="120"/>
      <c r="MB233" s="205"/>
      <c r="MC233" s="205"/>
      <c r="MD233" s="205">
        <f t="shared" si="2202"/>
        <v>371</v>
      </c>
      <c r="ME233" s="120"/>
      <c r="MF233" s="120"/>
      <c r="MG233" s="120"/>
      <c r="MH233" s="201">
        <v>1111</v>
      </c>
      <c r="MI233" s="205"/>
      <c r="MJ233" s="205"/>
      <c r="MK233" s="205"/>
      <c r="ML233" s="205">
        <f t="shared" si="2203"/>
        <v>1111</v>
      </c>
      <c r="MM233" s="120" t="s">
        <v>712</v>
      </c>
      <c r="MN233" s="120"/>
      <c r="MO233" s="120"/>
      <c r="MP233" s="120"/>
      <c r="MQ233" s="120"/>
      <c r="MR233" s="205"/>
      <c r="MS233" s="205"/>
      <c r="MT233" s="205">
        <f t="shared" si="2204"/>
        <v>0</v>
      </c>
      <c r="MU233" s="205">
        <f t="shared" si="2205"/>
        <v>1482</v>
      </c>
      <c r="MV233" s="120"/>
      <c r="MW233" s="120"/>
      <c r="MX233" s="195">
        <v>2011</v>
      </c>
      <c r="MY233" s="120"/>
      <c r="MZ233" s="120"/>
      <c r="NA233" s="205"/>
      <c r="NB233" s="205"/>
      <c r="NC233" s="205">
        <f t="shared" si="2206"/>
        <v>2011</v>
      </c>
      <c r="ND233" s="120"/>
      <c r="NE233" s="120"/>
      <c r="NF233" s="120"/>
      <c r="NG233" s="120"/>
      <c r="NH233" s="120"/>
      <c r="NI233" s="205"/>
      <c r="NJ233" s="205"/>
      <c r="NK233" s="205">
        <f t="shared" si="2207"/>
        <v>0</v>
      </c>
      <c r="NL233" s="120"/>
      <c r="NM233" s="120"/>
      <c r="NN233" s="120"/>
      <c r="NO233" s="120"/>
      <c r="NP233" s="120"/>
      <c r="NQ233" s="205"/>
      <c r="NR233" s="205"/>
      <c r="NS233" s="205">
        <f t="shared" si="2208"/>
        <v>0</v>
      </c>
      <c r="NT233" s="217">
        <v>1011</v>
      </c>
      <c r="NU233" s="120"/>
      <c r="NV233" s="120"/>
      <c r="NW233" s="120"/>
      <c r="NX233" s="120"/>
      <c r="NY233" s="205"/>
      <c r="NZ233" s="205"/>
      <c r="OA233" s="205">
        <f t="shared" si="2209"/>
        <v>1011</v>
      </c>
      <c r="OB233" s="205">
        <f t="shared" si="2210"/>
        <v>3022</v>
      </c>
      <c r="OC233" s="120"/>
      <c r="OD233" s="120"/>
      <c r="OE233" s="120"/>
      <c r="OF233" s="120"/>
      <c r="OG233" s="120"/>
      <c r="OH233" s="205"/>
      <c r="OI233" s="205"/>
      <c r="OJ233" s="205">
        <f t="shared" si="2211"/>
        <v>0</v>
      </c>
      <c r="OK233" s="120"/>
      <c r="OL233" s="120"/>
      <c r="OM233" s="120"/>
      <c r="ON233" s="120"/>
      <c r="OO233" s="120"/>
      <c r="OP233" s="205"/>
      <c r="OQ233" s="205"/>
      <c r="OR233" s="205">
        <f t="shared" si="2212"/>
        <v>0</v>
      </c>
      <c r="OS233" s="120"/>
      <c r="OT233" s="120"/>
      <c r="OU233" s="120"/>
      <c r="OV233" s="120"/>
      <c r="OW233" s="120"/>
      <c r="OX233" s="205"/>
      <c r="OY233" s="205"/>
      <c r="OZ233" s="205">
        <f t="shared" si="2213"/>
        <v>0</v>
      </c>
      <c r="PA233" s="120"/>
      <c r="PB233" s="120"/>
      <c r="PC233" s="120"/>
      <c r="PD233" s="205"/>
      <c r="PE233" s="217"/>
      <c r="PF233" s="205"/>
      <c r="PG233" s="205"/>
      <c r="PH233" s="205">
        <f t="shared" si="2214"/>
        <v>0</v>
      </c>
      <c r="PI233" s="120"/>
      <c r="PJ233" s="120"/>
      <c r="PK233" s="120"/>
      <c r="PL233" s="205"/>
      <c r="PM233" s="217"/>
      <c r="PN233" s="205"/>
      <c r="PO233" s="205"/>
      <c r="PP233" s="205">
        <f t="shared" si="2215"/>
        <v>0</v>
      </c>
      <c r="PQ233" s="205">
        <f t="shared" si="2216"/>
        <v>0</v>
      </c>
      <c r="PR233" s="120"/>
      <c r="PS233" s="207"/>
      <c r="PT233" s="207"/>
      <c r="PU233" s="207"/>
      <c r="PV233" s="207"/>
      <c r="PW233" s="272"/>
      <c r="PX233" s="272"/>
      <c r="PY233" s="205">
        <f t="shared" si="2217"/>
        <v>0</v>
      </c>
      <c r="PZ233" s="207"/>
      <c r="QA233" s="207"/>
      <c r="QB233" s="207"/>
      <c r="QC233" s="207"/>
      <c r="QD233" s="207"/>
      <c r="QE233" s="272"/>
      <c r="QF233" s="272"/>
      <c r="QG233" s="205">
        <f t="shared" si="2218"/>
        <v>0</v>
      </c>
      <c r="QH233" s="207"/>
      <c r="QI233" s="207"/>
      <c r="QJ233" s="294"/>
      <c r="QK233" s="207"/>
      <c r="QL233" s="207"/>
      <c r="QM233" s="272"/>
      <c r="QN233" s="272"/>
      <c r="QO233" s="205">
        <f t="shared" si="2219"/>
        <v>0</v>
      </c>
      <c r="QP233" s="207"/>
      <c r="QQ233" s="120"/>
      <c r="QR233" s="207"/>
      <c r="QS233" s="207"/>
      <c r="QT233" s="207"/>
      <c r="QU233" s="272"/>
      <c r="QV233" s="272"/>
      <c r="QW233" s="205">
        <f t="shared" si="2220"/>
        <v>0</v>
      </c>
      <c r="QX233" s="205">
        <f t="shared" si="2221"/>
        <v>0</v>
      </c>
      <c r="QY233" s="207"/>
      <c r="QZ233" s="207"/>
      <c r="RA233" s="207"/>
      <c r="RB233" s="207"/>
      <c r="RC233" s="207"/>
      <c r="RD233" s="272"/>
      <c r="RE233" s="272"/>
      <c r="RF233" s="205">
        <f t="shared" si="2148"/>
        <v>0</v>
      </c>
      <c r="RG233" s="207"/>
      <c r="RH233" s="207"/>
      <c r="RI233" s="207"/>
      <c r="RJ233" s="120"/>
      <c r="RK233" s="207"/>
      <c r="RL233" s="272"/>
      <c r="RM233" s="272"/>
      <c r="RN233" s="205">
        <f t="shared" si="2096"/>
        <v>0</v>
      </c>
      <c r="RO233" s="272"/>
      <c r="RP233" s="272"/>
      <c r="RQ233" s="272"/>
      <c r="RR233" s="272"/>
      <c r="RS233" s="272"/>
      <c r="RT233" s="272"/>
      <c r="RU233" s="272"/>
      <c r="RV233" s="205">
        <f t="shared" si="2097"/>
        <v>0</v>
      </c>
      <c r="RW233" s="207"/>
      <c r="RX233" s="207"/>
      <c r="RY233" s="207"/>
      <c r="RZ233" s="207"/>
      <c r="SA233" s="272"/>
      <c r="SB233" s="272"/>
      <c r="SC233" s="272"/>
      <c r="SD233" s="205">
        <f t="shared" ref="SD233:SD242" si="2224">SUM(RW233:SC233)</f>
        <v>0</v>
      </c>
      <c r="SE233" s="205">
        <f t="shared" ref="SE233:SE242" si="2225">SUM(SD233,RV233,RN233,RF233,QV233)</f>
        <v>0</v>
      </c>
      <c r="SF233" s="207"/>
      <c r="SG233" s="207"/>
      <c r="SH233" s="207"/>
      <c r="SI233" s="207"/>
      <c r="SJ233" s="207"/>
      <c r="SK233" s="272"/>
      <c r="SL233" s="272"/>
      <c r="SM233" s="205">
        <f t="shared" si="2100"/>
        <v>0</v>
      </c>
      <c r="SN233" s="207"/>
      <c r="SO233" s="207"/>
      <c r="SP233" s="207"/>
      <c r="SQ233" s="207"/>
      <c r="SR233" s="207"/>
      <c r="SS233" s="272"/>
      <c r="ST233" s="272"/>
      <c r="SU233" s="205">
        <f t="shared" si="2101"/>
        <v>0</v>
      </c>
      <c r="SV233" s="207"/>
      <c r="SW233" s="207"/>
      <c r="SX233" s="207"/>
      <c r="SY233" s="207"/>
      <c r="SZ233" s="207"/>
      <c r="TA233" s="272"/>
      <c r="TB233" s="272"/>
      <c r="TC233" s="205">
        <f t="shared" si="2102"/>
        <v>0</v>
      </c>
      <c r="TD233" s="207"/>
      <c r="TE233" s="207"/>
      <c r="TF233" s="207"/>
      <c r="TG233" s="207"/>
      <c r="TH233" s="207"/>
      <c r="TI233" s="272"/>
      <c r="TJ233" s="272"/>
      <c r="TK233" s="205">
        <f t="shared" si="2142"/>
        <v>0</v>
      </c>
      <c r="TL233" s="140"/>
      <c r="TM233" s="140"/>
      <c r="TN233" s="140"/>
      <c r="TO233" s="140"/>
      <c r="TP233" s="370"/>
      <c r="TQ233" s="272"/>
      <c r="TR233" s="272"/>
      <c r="TS233" s="205">
        <f t="shared" si="2153"/>
        <v>0</v>
      </c>
      <c r="TT233" s="205">
        <f t="shared" si="2154"/>
        <v>0</v>
      </c>
      <c r="TU233" s="272"/>
      <c r="TV233" s="207"/>
      <c r="TW233" s="140"/>
      <c r="TX233" s="207"/>
      <c r="TY233" s="207"/>
      <c r="TZ233" s="272"/>
      <c r="UA233" s="272"/>
      <c r="UB233" s="205">
        <f t="shared" si="2012"/>
        <v>0</v>
      </c>
      <c r="UC233" s="130"/>
      <c r="UD233" s="207"/>
      <c r="UE233" s="120"/>
      <c r="UF233" s="120"/>
      <c r="UG233" s="207"/>
      <c r="UH233" s="272"/>
      <c r="UI233" s="272"/>
      <c r="UJ233" s="205">
        <f>SUM(UC233:UI233)</f>
        <v>0</v>
      </c>
      <c r="UK233" s="207"/>
      <c r="UL233" s="207"/>
      <c r="UM233" s="207"/>
      <c r="UN233" s="207"/>
      <c r="UO233" s="207"/>
      <c r="UP233" s="272"/>
      <c r="UQ233" s="272"/>
      <c r="UR233" s="205">
        <f t="shared" si="2014"/>
        <v>0</v>
      </c>
      <c r="US233" s="207"/>
      <c r="UT233" s="207"/>
      <c r="UU233" s="207"/>
      <c r="UV233" s="207"/>
      <c r="UW233" s="272"/>
      <c r="UX233" s="272"/>
      <c r="UY233" s="272"/>
      <c r="UZ233" s="205">
        <f t="shared" si="2145"/>
        <v>0</v>
      </c>
      <c r="VA233" s="205">
        <f t="shared" si="2146"/>
        <v>0</v>
      </c>
      <c r="VB233" s="207"/>
      <c r="VC233" s="120"/>
      <c r="VD233" s="207"/>
      <c r="VE233" s="207"/>
      <c r="VF233" s="207"/>
      <c r="VG233" s="272"/>
      <c r="VH233" s="272"/>
      <c r="VI233" s="205">
        <f t="shared" si="2005"/>
        <v>0</v>
      </c>
      <c r="VJ233" s="207"/>
      <c r="VK233" s="120"/>
      <c r="VL233" s="120"/>
      <c r="VM233" s="207"/>
      <c r="VN233" s="207"/>
      <c r="VO233" s="272"/>
      <c r="VP233" s="272"/>
      <c r="VQ233" s="205">
        <f t="shared" si="2015"/>
        <v>0</v>
      </c>
      <c r="VR233" s="120"/>
      <c r="VS233" s="207"/>
      <c r="VT233" s="207"/>
      <c r="VU233" s="207"/>
      <c r="VV233" s="124">
        <v>140</v>
      </c>
      <c r="VW233" s="272"/>
      <c r="VX233" s="272"/>
      <c r="VY233" s="205">
        <f t="shared" si="2006"/>
        <v>140</v>
      </c>
      <c r="VZ233" s="207"/>
      <c r="WA233" s="124">
        <v>500</v>
      </c>
      <c r="WB233" s="120"/>
      <c r="WC233" s="356"/>
      <c r="WD233" s="207"/>
      <c r="WE233" s="272"/>
      <c r="WF233" s="272"/>
      <c r="WG233" s="205">
        <f t="shared" si="2007"/>
        <v>500</v>
      </c>
      <c r="WH233" s="205">
        <f t="shared" si="2008"/>
        <v>640</v>
      </c>
      <c r="WI233" s="207"/>
      <c r="WJ233" s="207"/>
      <c r="WK233" s="207"/>
      <c r="WL233" s="207"/>
      <c r="WM233" s="207"/>
      <c r="WN233" s="272"/>
      <c r="WO233" s="272"/>
      <c r="WP233" s="205">
        <f t="shared" si="2016"/>
        <v>0</v>
      </c>
      <c r="WQ233" s="207"/>
      <c r="WR233" s="207"/>
      <c r="WS233" s="207"/>
      <c r="WT233" s="207"/>
      <c r="WU233" s="207"/>
      <c r="WV233" s="272"/>
      <c r="WW233" s="272"/>
      <c r="WX233" s="205">
        <f t="shared" si="2017"/>
        <v>0</v>
      </c>
      <c r="WY233" s="207"/>
      <c r="WZ233" s="207"/>
      <c r="XA233" s="207"/>
      <c r="XB233" s="207"/>
      <c r="XC233" s="272"/>
      <c r="XD233" s="272"/>
      <c r="XE233" s="272"/>
      <c r="XF233" s="205">
        <f t="shared" si="2009"/>
        <v>0</v>
      </c>
      <c r="XG233" s="207"/>
      <c r="XH233" s="207"/>
      <c r="XI233" s="207"/>
      <c r="XJ233" s="207"/>
      <c r="XK233" s="207"/>
      <c r="XL233" s="272"/>
      <c r="XM233" s="272"/>
      <c r="XN233" s="205">
        <f t="shared" si="2105"/>
        <v>0</v>
      </c>
      <c r="XO233" s="207"/>
      <c r="XP233" s="207"/>
      <c r="XQ233" s="207"/>
      <c r="XR233" s="207"/>
      <c r="XS233" s="207"/>
      <c r="XT233" s="272"/>
      <c r="XU233" s="272"/>
      <c r="XV233" s="205">
        <f t="shared" si="2222"/>
        <v>0</v>
      </c>
      <c r="XW233" s="205">
        <f t="shared" si="2223"/>
        <v>0</v>
      </c>
      <c r="XX233" s="207"/>
      <c r="XY233" s="207"/>
      <c r="XZ233" s="207"/>
      <c r="YA233" s="207"/>
      <c r="YB233" s="207"/>
      <c r="YC233" s="272"/>
      <c r="YD233" s="272"/>
      <c r="YE233" s="205">
        <f t="shared" si="2018"/>
        <v>0</v>
      </c>
      <c r="YF233" s="207"/>
      <c r="YG233" s="207"/>
      <c r="YH233" s="207"/>
      <c r="YI233" s="207"/>
      <c r="YJ233" s="207"/>
      <c r="YK233" s="272"/>
      <c r="YL233" s="272"/>
      <c r="YM233" s="205">
        <f t="shared" si="2019"/>
        <v>0</v>
      </c>
      <c r="YN233" s="207"/>
      <c r="YO233" s="207"/>
      <c r="YP233" s="207"/>
      <c r="YQ233" s="207"/>
      <c r="YR233" s="207"/>
      <c r="YS233" s="272"/>
      <c r="YT233" s="272"/>
      <c r="YU233" s="205">
        <f t="shared" si="2020"/>
        <v>0</v>
      </c>
      <c r="YV233" s="207"/>
      <c r="YW233" s="207"/>
      <c r="YX233" s="207"/>
      <c r="YY233" s="207"/>
      <c r="YZ233" s="207"/>
      <c r="ZA233" s="272"/>
      <c r="ZB233" s="272"/>
      <c r="ZC233" s="205">
        <f t="shared" si="2021"/>
        <v>0</v>
      </c>
      <c r="ZD233" s="205">
        <f t="shared" si="2022"/>
        <v>0</v>
      </c>
      <c r="ZE233" s="207"/>
      <c r="ZF233" s="207"/>
      <c r="ZG233" s="207"/>
      <c r="ZH233" s="207"/>
      <c r="ZI233" s="207"/>
      <c r="ZJ233" s="272"/>
      <c r="ZK233" s="272"/>
      <c r="ZL233" s="205">
        <f t="shared" si="2023"/>
        <v>0</v>
      </c>
      <c r="ZM233" s="207"/>
      <c r="ZN233" s="207"/>
      <c r="ZO233" s="207"/>
      <c r="ZP233" s="207"/>
      <c r="ZQ233" s="207"/>
      <c r="ZR233" s="272"/>
      <c r="ZS233" s="272"/>
      <c r="ZT233" s="205">
        <f t="shared" si="2010"/>
        <v>0</v>
      </c>
      <c r="ZU233" s="207"/>
      <c r="ZV233" s="207"/>
      <c r="ZW233" s="207"/>
      <c r="ZX233" s="207"/>
      <c r="ZY233" s="207"/>
      <c r="ZZ233" s="272"/>
      <c r="AAA233" s="272"/>
      <c r="AAB233" s="205">
        <f t="shared" si="2024"/>
        <v>0</v>
      </c>
      <c r="AAC233" s="207"/>
      <c r="AAD233" s="207"/>
      <c r="AAE233" s="207"/>
      <c r="AAF233" s="207"/>
      <c r="AAG233" s="207"/>
      <c r="AAH233" s="272"/>
      <c r="AAI233" s="272"/>
      <c r="AAJ233" s="205">
        <f t="shared" si="2011"/>
        <v>0</v>
      </c>
      <c r="AAK233" s="207"/>
      <c r="AAL233" s="207"/>
      <c r="AAM233" s="207"/>
      <c r="AAN233" s="207"/>
      <c r="AAO233" s="207"/>
      <c r="AAP233" s="272"/>
      <c r="AAQ233" s="272"/>
      <c r="AAR233" s="205">
        <f t="shared" si="2025"/>
        <v>0</v>
      </c>
      <c r="AAS233" s="205">
        <f t="shared" si="2026"/>
        <v>0</v>
      </c>
    </row>
    <row r="234" spans="1:721" ht="74.099999999999994" customHeight="1">
      <c r="A234" s="117">
        <v>10</v>
      </c>
      <c r="B234" s="319" t="s">
        <v>865</v>
      </c>
      <c r="C234" s="362" t="s">
        <v>895</v>
      </c>
      <c r="D234" s="320" t="s">
        <v>871</v>
      </c>
      <c r="E234" s="130" t="s">
        <v>4</v>
      </c>
      <c r="F234" s="120"/>
      <c r="G234" s="120"/>
      <c r="H234" s="120"/>
      <c r="I234" s="120"/>
      <c r="J234" s="120"/>
      <c r="K234" s="209"/>
      <c r="L234" s="205"/>
      <c r="M234" s="205">
        <f t="shared" si="2108"/>
        <v>0</v>
      </c>
      <c r="N234" s="120"/>
      <c r="O234" s="120"/>
      <c r="P234" s="120"/>
      <c r="Q234" s="120"/>
      <c r="R234" s="120"/>
      <c r="S234" s="209"/>
      <c r="T234" s="205"/>
      <c r="U234" s="205">
        <f t="shared" si="2155"/>
        <v>0</v>
      </c>
      <c r="V234" s="120"/>
      <c r="W234" s="120"/>
      <c r="X234" s="120"/>
      <c r="Y234" s="120"/>
      <c r="Z234" s="120"/>
      <c r="AA234" s="209"/>
      <c r="AB234" s="205"/>
      <c r="AC234" s="205">
        <f t="shared" si="2156"/>
        <v>0</v>
      </c>
      <c r="AD234" s="205"/>
      <c r="AE234" s="205"/>
      <c r="AF234" s="205"/>
      <c r="AG234" s="205"/>
      <c r="AH234" s="205"/>
      <c r="AI234" s="209"/>
      <c r="AJ234" s="205"/>
      <c r="AK234" s="205">
        <f t="shared" si="2157"/>
        <v>0</v>
      </c>
      <c r="AL234" s="205" t="e">
        <f>SUM(#REF!,M234,U234,AC234,AD234:AH234)</f>
        <v>#REF!</v>
      </c>
      <c r="AM234" s="120"/>
      <c r="AN234" s="120"/>
      <c r="AO234" s="120"/>
      <c r="AP234" s="120"/>
      <c r="AQ234" s="120"/>
      <c r="AR234" s="209"/>
      <c r="AS234" s="205"/>
      <c r="AT234" s="205">
        <f t="shared" si="2158"/>
        <v>0</v>
      </c>
      <c r="AU234" s="120"/>
      <c r="AV234" s="120"/>
      <c r="AW234" s="120"/>
      <c r="AX234" s="120"/>
      <c r="AY234" s="120"/>
      <c r="AZ234" s="209"/>
      <c r="BA234" s="205"/>
      <c r="BB234" s="205">
        <f t="shared" si="2159"/>
        <v>0</v>
      </c>
      <c r="BC234" s="120"/>
      <c r="BD234" s="120"/>
      <c r="BE234" s="120"/>
      <c r="BF234" s="120"/>
      <c r="BG234" s="120"/>
      <c r="BH234" s="209"/>
      <c r="BI234" s="205"/>
      <c r="BJ234" s="205">
        <f t="shared" si="2160"/>
        <v>0</v>
      </c>
      <c r="BK234" s="120"/>
      <c r="BL234" s="120"/>
      <c r="BM234" s="217">
        <v>3112</v>
      </c>
      <c r="BN234" s="120"/>
      <c r="BO234" s="205"/>
      <c r="BP234" s="209"/>
      <c r="BQ234" s="205"/>
      <c r="BR234" s="205">
        <f t="shared" si="2161"/>
        <v>3112</v>
      </c>
      <c r="BS234" s="205">
        <f t="shared" si="2162"/>
        <v>3112</v>
      </c>
      <c r="BT234" s="120"/>
      <c r="BU234" s="250">
        <v>712</v>
      </c>
      <c r="BV234" s="120"/>
      <c r="BW234" s="120"/>
      <c r="BX234" s="120"/>
      <c r="BY234" s="209"/>
      <c r="BZ234" s="205"/>
      <c r="CA234" s="205">
        <f t="shared" si="2163"/>
        <v>712</v>
      </c>
      <c r="CB234" s="120"/>
      <c r="CC234" s="120"/>
      <c r="CD234" s="120"/>
      <c r="CE234" s="120"/>
      <c r="CF234" s="120"/>
      <c r="CG234" s="209"/>
      <c r="CH234" s="205"/>
      <c r="CI234" s="205">
        <f t="shared" si="2164"/>
        <v>0</v>
      </c>
      <c r="CJ234" s="120"/>
      <c r="CK234" s="120"/>
      <c r="CL234" s="250">
        <v>1212</v>
      </c>
      <c r="CM234" s="120"/>
      <c r="CN234" s="120"/>
      <c r="CO234" s="209"/>
      <c r="CP234" s="205"/>
      <c r="CQ234" s="205">
        <f t="shared" si="2165"/>
        <v>1212</v>
      </c>
      <c r="CR234" s="120" t="s">
        <v>216</v>
      </c>
      <c r="CS234" s="120"/>
      <c r="CT234" s="120"/>
      <c r="CU234" s="120"/>
      <c r="CV234" s="120"/>
      <c r="CW234" s="209"/>
      <c r="CX234" s="205"/>
      <c r="CY234" s="205">
        <f t="shared" si="2166"/>
        <v>0</v>
      </c>
      <c r="CZ234" s="120"/>
      <c r="DA234" s="120"/>
      <c r="DB234" s="120"/>
      <c r="DC234" s="205"/>
      <c r="DD234" s="205"/>
      <c r="DE234" s="209"/>
      <c r="DF234" s="205"/>
      <c r="DG234" s="205">
        <f t="shared" si="2167"/>
        <v>0</v>
      </c>
      <c r="DH234" s="205">
        <f t="shared" si="2168"/>
        <v>1924</v>
      </c>
      <c r="DI234" s="120"/>
      <c r="DJ234" s="120"/>
      <c r="DK234" s="120"/>
      <c r="DL234" s="120"/>
      <c r="DM234" s="120"/>
      <c r="DN234" s="209"/>
      <c r="DO234" s="205"/>
      <c r="DP234" s="205">
        <f t="shared" si="2169"/>
        <v>0</v>
      </c>
      <c r="DQ234" s="217">
        <v>662</v>
      </c>
      <c r="DR234" s="120"/>
      <c r="DS234" s="120"/>
      <c r="DT234" s="120"/>
      <c r="DU234" s="120"/>
      <c r="DV234" s="209"/>
      <c r="DW234" s="205"/>
      <c r="DX234" s="205">
        <f t="shared" si="2170"/>
        <v>662</v>
      </c>
      <c r="DY234" s="120"/>
      <c r="DZ234" s="120"/>
      <c r="EA234" s="120"/>
      <c r="EB234" s="120"/>
      <c r="EC234" s="120"/>
      <c r="ED234" s="209"/>
      <c r="EE234" s="205"/>
      <c r="EF234" s="205">
        <f t="shared" si="2171"/>
        <v>0</v>
      </c>
      <c r="EG234" s="120"/>
      <c r="EH234" s="120"/>
      <c r="EI234" s="120"/>
      <c r="EJ234" s="205"/>
      <c r="EK234" s="205"/>
      <c r="EL234" s="209"/>
      <c r="EM234" s="205"/>
      <c r="EN234" s="205">
        <f t="shared" si="2172"/>
        <v>0</v>
      </c>
      <c r="EO234" s="205">
        <f t="shared" si="2173"/>
        <v>662</v>
      </c>
      <c r="EP234" s="120"/>
      <c r="EQ234" s="250">
        <v>512</v>
      </c>
      <c r="ER234" s="120"/>
      <c r="ES234" s="120"/>
      <c r="ET234" s="120"/>
      <c r="EU234" s="209"/>
      <c r="EV234" s="205"/>
      <c r="EW234" s="205">
        <f t="shared" si="2174"/>
        <v>512</v>
      </c>
      <c r="EX234" s="120"/>
      <c r="EY234" s="120"/>
      <c r="EZ234" s="120"/>
      <c r="FA234" s="120"/>
      <c r="FB234" s="120"/>
      <c r="FC234" s="209"/>
      <c r="FD234" s="205"/>
      <c r="FE234" s="205">
        <f t="shared" si="2175"/>
        <v>0</v>
      </c>
      <c r="FF234" s="120"/>
      <c r="FG234" s="195">
        <v>512</v>
      </c>
      <c r="FH234" s="120"/>
      <c r="FI234" s="120"/>
      <c r="FJ234" s="120"/>
      <c r="FK234" s="209"/>
      <c r="FL234" s="205"/>
      <c r="FM234" s="205">
        <f t="shared" si="2176"/>
        <v>512</v>
      </c>
      <c r="FN234" s="120"/>
      <c r="FO234" s="120"/>
      <c r="FP234" s="120"/>
      <c r="FQ234" s="120"/>
      <c r="FR234" s="205"/>
      <c r="FS234" s="209"/>
      <c r="FT234" s="205"/>
      <c r="FU234" s="205">
        <f t="shared" si="2177"/>
        <v>0</v>
      </c>
      <c r="FV234" s="205">
        <f t="shared" si="2178"/>
        <v>1024</v>
      </c>
      <c r="FW234" s="120"/>
      <c r="FX234" s="120"/>
      <c r="FY234" s="120"/>
      <c r="FZ234" s="120"/>
      <c r="GA234" s="120"/>
      <c r="GB234" s="209"/>
      <c r="GC234" s="205"/>
      <c r="GD234" s="205">
        <f t="shared" si="2179"/>
        <v>0</v>
      </c>
      <c r="GE234" s="120"/>
      <c r="GF234" s="120"/>
      <c r="GG234" s="120"/>
      <c r="GH234" s="120"/>
      <c r="GI234" s="120"/>
      <c r="GJ234" s="209"/>
      <c r="GK234" s="205"/>
      <c r="GL234" s="205">
        <f t="shared" si="2180"/>
        <v>0</v>
      </c>
      <c r="GM234" s="120"/>
      <c r="GN234" s="120"/>
      <c r="GO234" s="120"/>
      <c r="GP234" s="120"/>
      <c r="GQ234" s="120"/>
      <c r="GR234" s="209"/>
      <c r="GS234" s="205"/>
      <c r="GT234" s="205">
        <f t="shared" si="2181"/>
        <v>0</v>
      </c>
      <c r="GU234" s="120"/>
      <c r="GV234" s="120"/>
      <c r="GW234" s="120"/>
      <c r="GX234" s="120"/>
      <c r="GY234" s="120"/>
      <c r="GZ234" s="209"/>
      <c r="HA234" s="205"/>
      <c r="HB234" s="205">
        <f t="shared" si="2182"/>
        <v>0</v>
      </c>
      <c r="HC234" s="120"/>
      <c r="HD234" s="120"/>
      <c r="HE234" s="120"/>
      <c r="HF234" s="120"/>
      <c r="HG234" s="120"/>
      <c r="HH234" s="209"/>
      <c r="HI234" s="205"/>
      <c r="HJ234" s="205">
        <f t="shared" si="2183"/>
        <v>0</v>
      </c>
      <c r="HK234" s="205">
        <f t="shared" si="2184"/>
        <v>0</v>
      </c>
      <c r="HL234" s="124"/>
      <c r="HM234" s="120"/>
      <c r="HN234" s="120"/>
      <c r="HO234" s="123">
        <v>1762</v>
      </c>
      <c r="HP234" s="120"/>
      <c r="HQ234" s="205"/>
      <c r="HR234" s="205"/>
      <c r="HS234" s="205">
        <f t="shared" si="2185"/>
        <v>1762</v>
      </c>
      <c r="HT234" s="120"/>
      <c r="HU234" s="120"/>
      <c r="HV234" s="120"/>
      <c r="HW234" s="120"/>
      <c r="HX234" s="120"/>
      <c r="HY234" s="205"/>
      <c r="HZ234" s="205"/>
      <c r="IA234" s="205">
        <f t="shared" si="2186"/>
        <v>0</v>
      </c>
      <c r="IB234" s="120"/>
      <c r="IC234" s="120"/>
      <c r="ID234" s="120"/>
      <c r="IE234" s="120"/>
      <c r="IF234" s="120"/>
      <c r="IG234" s="205"/>
      <c r="IH234" s="205"/>
      <c r="II234" s="205">
        <f t="shared" si="2187"/>
        <v>0</v>
      </c>
      <c r="IJ234" s="120"/>
      <c r="IK234" s="120"/>
      <c r="IL234" s="201">
        <v>1812</v>
      </c>
      <c r="IM234" s="120"/>
      <c r="IN234" s="120"/>
      <c r="IO234" s="205"/>
      <c r="IP234" s="205"/>
      <c r="IQ234" s="205">
        <f t="shared" si="2188"/>
        <v>1812</v>
      </c>
      <c r="IR234" s="205">
        <f t="shared" si="2189"/>
        <v>3574</v>
      </c>
      <c r="IS234" s="120"/>
      <c r="IT234" s="120"/>
      <c r="IU234" s="120"/>
      <c r="IV234" s="120"/>
      <c r="IW234" s="120"/>
      <c r="IX234" s="205"/>
      <c r="IY234" s="205"/>
      <c r="IZ234" s="205">
        <f t="shared" si="2190"/>
        <v>0</v>
      </c>
      <c r="JA234" s="120"/>
      <c r="JB234" s="120"/>
      <c r="JC234" s="120"/>
      <c r="JD234" s="120"/>
      <c r="JE234" s="120"/>
      <c r="JF234" s="205"/>
      <c r="JG234" s="205"/>
      <c r="JH234" s="205">
        <f t="shared" si="2191"/>
        <v>0</v>
      </c>
      <c r="JI234" s="120"/>
      <c r="JJ234" s="120"/>
      <c r="JK234" s="120"/>
      <c r="JL234" s="120"/>
      <c r="JM234" s="120"/>
      <c r="JN234" s="205"/>
      <c r="JO234" s="205"/>
      <c r="JP234" s="205">
        <f t="shared" si="2192"/>
        <v>0</v>
      </c>
      <c r="JQ234" s="120"/>
      <c r="JR234" s="120"/>
      <c r="JS234" s="120"/>
      <c r="JT234" s="120"/>
      <c r="JU234" s="120"/>
      <c r="JV234" s="205"/>
      <c r="JW234" s="205"/>
      <c r="JX234" s="205">
        <f t="shared" si="2193"/>
        <v>0</v>
      </c>
      <c r="JY234" s="205">
        <f t="shared" si="2194"/>
        <v>0</v>
      </c>
      <c r="JZ234" s="120"/>
      <c r="KA234" s="120"/>
      <c r="KB234" s="120"/>
      <c r="KC234" s="120"/>
      <c r="KD234" s="120"/>
      <c r="KE234" s="205"/>
      <c r="KF234" s="205"/>
      <c r="KG234" s="205">
        <f t="shared" si="2195"/>
        <v>0</v>
      </c>
      <c r="KH234" s="120"/>
      <c r="KI234" s="120"/>
      <c r="KJ234" s="120"/>
      <c r="KK234" s="206">
        <v>812</v>
      </c>
      <c r="KL234" s="120"/>
      <c r="KM234" s="205"/>
      <c r="KN234" s="205"/>
      <c r="KO234" s="205">
        <f t="shared" si="2196"/>
        <v>812</v>
      </c>
      <c r="KP234" s="120"/>
      <c r="KQ234" s="120"/>
      <c r="KR234" s="120"/>
      <c r="KS234" s="120"/>
      <c r="KT234" s="120"/>
      <c r="KU234" s="205"/>
      <c r="KV234" s="205"/>
      <c r="KW234" s="205">
        <f t="shared" si="2197"/>
        <v>0</v>
      </c>
      <c r="KX234" s="120"/>
      <c r="KY234" s="120"/>
      <c r="KZ234" s="120"/>
      <c r="LA234" s="120"/>
      <c r="LB234" s="120"/>
      <c r="LC234" s="205"/>
      <c r="LD234" s="205"/>
      <c r="LE234" s="205">
        <f t="shared" si="2198"/>
        <v>0</v>
      </c>
      <c r="LF234" s="205"/>
      <c r="LG234" s="120"/>
      <c r="LH234" s="120"/>
      <c r="LI234" s="120"/>
      <c r="LJ234" s="120"/>
      <c r="LK234" s="205"/>
      <c r="LL234" s="205"/>
      <c r="LM234" s="205">
        <f t="shared" si="2199"/>
        <v>0</v>
      </c>
      <c r="LN234" s="205">
        <f t="shared" si="2200"/>
        <v>812</v>
      </c>
      <c r="LO234" s="205"/>
      <c r="LP234" s="120"/>
      <c r="LQ234" s="120"/>
      <c r="LR234" s="120"/>
      <c r="LS234" s="205"/>
      <c r="LT234" s="205"/>
      <c r="LU234" s="205"/>
      <c r="LV234" s="205">
        <f t="shared" si="2201"/>
        <v>0</v>
      </c>
      <c r="LW234" s="120"/>
      <c r="LX234" s="120"/>
      <c r="LY234" s="124">
        <v>372</v>
      </c>
      <c r="LZ234" s="120"/>
      <c r="MA234" s="120"/>
      <c r="MB234" s="205"/>
      <c r="MC234" s="205"/>
      <c r="MD234" s="205">
        <f t="shared" si="2202"/>
        <v>372</v>
      </c>
      <c r="ME234" s="120"/>
      <c r="MF234" s="120"/>
      <c r="MG234" s="120"/>
      <c r="MH234" s="201">
        <v>1112</v>
      </c>
      <c r="MI234" s="205"/>
      <c r="MJ234" s="205"/>
      <c r="MK234" s="205"/>
      <c r="ML234" s="205">
        <f t="shared" si="2203"/>
        <v>1112</v>
      </c>
      <c r="MM234" s="120" t="s">
        <v>712</v>
      </c>
      <c r="MN234" s="120"/>
      <c r="MO234" s="120"/>
      <c r="MP234" s="120"/>
      <c r="MQ234" s="120"/>
      <c r="MR234" s="205"/>
      <c r="MS234" s="205"/>
      <c r="MT234" s="205">
        <f t="shared" si="2204"/>
        <v>0</v>
      </c>
      <c r="MU234" s="205">
        <f t="shared" si="2205"/>
        <v>1484</v>
      </c>
      <c r="MV234" s="120"/>
      <c r="MW234" s="120"/>
      <c r="MX234" s="195">
        <v>2012</v>
      </c>
      <c r="MY234" s="120"/>
      <c r="MZ234" s="120"/>
      <c r="NA234" s="205"/>
      <c r="NB234" s="205"/>
      <c r="NC234" s="205">
        <f t="shared" si="2206"/>
        <v>2012</v>
      </c>
      <c r="ND234" s="120"/>
      <c r="NE234" s="120"/>
      <c r="NF234" s="120"/>
      <c r="NG234" s="120"/>
      <c r="NH234" s="120"/>
      <c r="NI234" s="205"/>
      <c r="NJ234" s="205"/>
      <c r="NK234" s="205">
        <f t="shared" si="2207"/>
        <v>0</v>
      </c>
      <c r="NL234" s="120"/>
      <c r="NM234" s="120"/>
      <c r="NN234" s="120"/>
      <c r="NO234" s="120"/>
      <c r="NP234" s="120"/>
      <c r="NQ234" s="205"/>
      <c r="NR234" s="205"/>
      <c r="NS234" s="205">
        <f t="shared" si="2208"/>
        <v>0</v>
      </c>
      <c r="NT234" s="217">
        <v>1012</v>
      </c>
      <c r="NU234" s="120"/>
      <c r="NV234" s="120"/>
      <c r="NW234" s="120"/>
      <c r="NX234" s="120"/>
      <c r="NY234" s="205"/>
      <c r="NZ234" s="205"/>
      <c r="OA234" s="205">
        <f t="shared" si="2209"/>
        <v>1012</v>
      </c>
      <c r="OB234" s="205">
        <f t="shared" si="2210"/>
        <v>3024</v>
      </c>
      <c r="OC234" s="120"/>
      <c r="OD234" s="120"/>
      <c r="OE234" s="120"/>
      <c r="OF234" s="120"/>
      <c r="OG234" s="120"/>
      <c r="OH234" s="205"/>
      <c r="OI234" s="205"/>
      <c r="OJ234" s="205">
        <f t="shared" si="2211"/>
        <v>0</v>
      </c>
      <c r="OK234" s="120"/>
      <c r="OL234" s="120"/>
      <c r="OM234" s="120"/>
      <c r="ON234" s="120"/>
      <c r="OO234" s="120"/>
      <c r="OP234" s="205"/>
      <c r="OQ234" s="205"/>
      <c r="OR234" s="205">
        <f t="shared" si="2212"/>
        <v>0</v>
      </c>
      <c r="OS234" s="120"/>
      <c r="OT234" s="120"/>
      <c r="OU234" s="120"/>
      <c r="OV234" s="120"/>
      <c r="OW234" s="120"/>
      <c r="OX234" s="205"/>
      <c r="OY234" s="205"/>
      <c r="OZ234" s="205">
        <f t="shared" si="2213"/>
        <v>0</v>
      </c>
      <c r="PA234" s="120"/>
      <c r="PB234" s="120"/>
      <c r="PC234" s="120"/>
      <c r="PD234" s="205"/>
      <c r="PE234" s="217"/>
      <c r="PF234" s="205"/>
      <c r="PG234" s="205"/>
      <c r="PH234" s="205">
        <f t="shared" si="2214"/>
        <v>0</v>
      </c>
      <c r="PI234" s="120"/>
      <c r="PJ234" s="120"/>
      <c r="PK234" s="120"/>
      <c r="PL234" s="205"/>
      <c r="PM234" s="217"/>
      <c r="PN234" s="205"/>
      <c r="PO234" s="205"/>
      <c r="PP234" s="205">
        <f t="shared" si="2215"/>
        <v>0</v>
      </c>
      <c r="PQ234" s="205">
        <f t="shared" si="2216"/>
        <v>0</v>
      </c>
      <c r="PR234" s="120"/>
      <c r="PS234" s="207"/>
      <c r="PT234" s="207"/>
      <c r="PU234" s="207"/>
      <c r="PV234" s="207"/>
      <c r="PW234" s="272"/>
      <c r="PX234" s="272"/>
      <c r="PY234" s="205">
        <f t="shared" si="2217"/>
        <v>0</v>
      </c>
      <c r="PZ234" s="207"/>
      <c r="QA234" s="207"/>
      <c r="QB234" s="207"/>
      <c r="QC234" s="207"/>
      <c r="QD234" s="207"/>
      <c r="QE234" s="272"/>
      <c r="QF234" s="272"/>
      <c r="QG234" s="205">
        <f t="shared" si="2218"/>
        <v>0</v>
      </c>
      <c r="QH234" s="207"/>
      <c r="QI234" s="207"/>
      <c r="QJ234" s="294"/>
      <c r="QK234" s="207"/>
      <c r="QL234" s="207"/>
      <c r="QM234" s="272"/>
      <c r="QN234" s="272"/>
      <c r="QO234" s="205">
        <f t="shared" si="2219"/>
        <v>0</v>
      </c>
      <c r="QP234" s="207"/>
      <c r="QQ234" s="120"/>
      <c r="QR234" s="207"/>
      <c r="QS234" s="207"/>
      <c r="QT234" s="207"/>
      <c r="QU234" s="272"/>
      <c r="QV234" s="272"/>
      <c r="QW234" s="205">
        <f t="shared" si="2220"/>
        <v>0</v>
      </c>
      <c r="QX234" s="205">
        <f t="shared" si="2221"/>
        <v>0</v>
      </c>
      <c r="QY234" s="207"/>
      <c r="QZ234" s="207"/>
      <c r="RA234" s="207"/>
      <c r="RB234" s="207"/>
      <c r="RC234" s="207"/>
      <c r="RD234" s="272"/>
      <c r="RE234" s="272"/>
      <c r="RF234" s="205">
        <f t="shared" si="2148"/>
        <v>0</v>
      </c>
      <c r="RG234" s="207"/>
      <c r="RH234" s="207"/>
      <c r="RI234" s="207"/>
      <c r="RJ234" s="120"/>
      <c r="RK234" s="207"/>
      <c r="RL234" s="272"/>
      <c r="RM234" s="272"/>
      <c r="RN234" s="205">
        <f t="shared" si="2096"/>
        <v>0</v>
      </c>
      <c r="RO234" s="272"/>
      <c r="RP234" s="272"/>
      <c r="RQ234" s="272"/>
      <c r="RR234" s="272"/>
      <c r="RS234" s="272"/>
      <c r="RT234" s="272"/>
      <c r="RU234" s="272"/>
      <c r="RV234" s="205">
        <f t="shared" si="2097"/>
        <v>0</v>
      </c>
      <c r="RW234" s="207"/>
      <c r="RX234" s="207"/>
      <c r="RY234" s="207"/>
      <c r="RZ234" s="207"/>
      <c r="SA234" s="272"/>
      <c r="SB234" s="272"/>
      <c r="SC234" s="272"/>
      <c r="SD234" s="205">
        <f t="shared" si="2224"/>
        <v>0</v>
      </c>
      <c r="SE234" s="205">
        <f t="shared" si="2225"/>
        <v>0</v>
      </c>
      <c r="SF234" s="207"/>
      <c r="SG234" s="207"/>
      <c r="SH234" s="207"/>
      <c r="SI234" s="207"/>
      <c r="SJ234" s="207"/>
      <c r="SK234" s="272"/>
      <c r="SL234" s="272"/>
      <c r="SM234" s="205">
        <f t="shared" si="2100"/>
        <v>0</v>
      </c>
      <c r="SN234" s="207"/>
      <c r="SO234" s="207"/>
      <c r="SP234" s="207"/>
      <c r="SQ234" s="207"/>
      <c r="SR234" s="207"/>
      <c r="SS234" s="272"/>
      <c r="ST234" s="272"/>
      <c r="SU234" s="205">
        <f t="shared" si="2101"/>
        <v>0</v>
      </c>
      <c r="SV234" s="207"/>
      <c r="SW234" s="207"/>
      <c r="SX234" s="207"/>
      <c r="SY234" s="207"/>
      <c r="SZ234" s="207"/>
      <c r="TA234" s="272"/>
      <c r="TB234" s="272"/>
      <c r="TC234" s="205">
        <f t="shared" si="2102"/>
        <v>0</v>
      </c>
      <c r="TD234" s="207"/>
      <c r="TE234" s="207"/>
      <c r="TF234" s="207"/>
      <c r="TG234" s="207"/>
      <c r="TH234" s="207"/>
      <c r="TI234" s="272"/>
      <c r="TJ234" s="272"/>
      <c r="TK234" s="205">
        <f t="shared" si="2142"/>
        <v>0</v>
      </c>
      <c r="TL234" s="140"/>
      <c r="TM234" s="130"/>
      <c r="TN234" s="140"/>
      <c r="TO234" s="140"/>
      <c r="TP234" s="370"/>
      <c r="TQ234" s="272"/>
      <c r="TR234" s="272"/>
      <c r="TS234" s="205">
        <f t="shared" si="2153"/>
        <v>0</v>
      </c>
      <c r="TT234" s="205">
        <f t="shared" si="2154"/>
        <v>0</v>
      </c>
      <c r="TU234" s="272"/>
      <c r="TV234" s="140"/>
      <c r="TW234" s="140"/>
      <c r="TX234" s="207"/>
      <c r="TY234" s="207"/>
      <c r="TZ234" s="272"/>
      <c r="UA234" s="272"/>
      <c r="UB234" s="205">
        <f t="shared" si="2012"/>
        <v>0</v>
      </c>
      <c r="UC234" s="130"/>
      <c r="UD234" s="383">
        <v>650</v>
      </c>
      <c r="UE234" s="120"/>
      <c r="UF234" s="120"/>
      <c r="UH234" s="272"/>
      <c r="UI234" s="272"/>
      <c r="UJ234" s="205">
        <f t="shared" si="2013"/>
        <v>650</v>
      </c>
      <c r="UK234" s="207"/>
      <c r="UM234" s="207"/>
      <c r="UO234" s="207"/>
      <c r="UP234" s="272"/>
      <c r="UQ234" s="272"/>
      <c r="UR234" s="205">
        <f>SUM(UK234:UQ234)</f>
        <v>0</v>
      </c>
      <c r="US234" s="207"/>
      <c r="UT234" s="207"/>
      <c r="UU234" s="207"/>
      <c r="UV234" s="207"/>
      <c r="UW234" s="272"/>
      <c r="UX234" s="272"/>
      <c r="UY234" s="272"/>
      <c r="UZ234" s="205">
        <f>SUM(US234:UY234)</f>
        <v>0</v>
      </c>
      <c r="VA234" s="205">
        <f>SUM(TN234:TR234,UB234,UJ234,UR234,US234:UV234)</f>
        <v>650</v>
      </c>
      <c r="VB234" s="207"/>
      <c r="VC234" s="207"/>
      <c r="VD234" s="207"/>
      <c r="VE234" s="207"/>
      <c r="VF234" s="207"/>
      <c r="VG234" s="272"/>
      <c r="VH234" s="272"/>
      <c r="VI234" s="205">
        <f t="shared" si="2005"/>
        <v>0</v>
      </c>
      <c r="VJ234" s="207"/>
      <c r="VK234" s="207"/>
      <c r="VL234" s="207"/>
      <c r="VM234" s="207"/>
      <c r="VN234" s="207"/>
      <c r="VO234" s="272"/>
      <c r="VP234" s="272"/>
      <c r="VQ234" s="205">
        <f t="shared" si="2015"/>
        <v>0</v>
      </c>
      <c r="VR234" s="120"/>
      <c r="VS234" s="207"/>
      <c r="VT234" s="207"/>
      <c r="VU234" s="207"/>
      <c r="VV234" s="124">
        <v>140</v>
      </c>
      <c r="VW234" s="272"/>
      <c r="VX234" s="272"/>
      <c r="VY234" s="205">
        <f t="shared" si="2006"/>
        <v>140</v>
      </c>
      <c r="VZ234" s="207"/>
      <c r="WA234" s="124">
        <v>500</v>
      </c>
      <c r="WB234" s="207"/>
      <c r="WC234" s="356"/>
      <c r="WD234" s="207"/>
      <c r="WE234" s="272"/>
      <c r="WF234" s="272"/>
      <c r="WG234" s="205">
        <f t="shared" si="2007"/>
        <v>500</v>
      </c>
      <c r="WH234" s="205">
        <f t="shared" si="2008"/>
        <v>640</v>
      </c>
      <c r="WI234" s="207"/>
      <c r="WJ234" s="207"/>
      <c r="WK234" s="207"/>
      <c r="WL234" s="207"/>
      <c r="WM234" s="207"/>
      <c r="WN234" s="272"/>
      <c r="WO234" s="272"/>
      <c r="WP234" s="205">
        <f t="shared" si="2016"/>
        <v>0</v>
      </c>
      <c r="WQ234" s="207"/>
      <c r="WR234" s="207"/>
      <c r="WS234" s="207"/>
      <c r="WT234" s="207"/>
      <c r="WU234" s="207"/>
      <c r="WV234" s="272"/>
      <c r="WW234" s="272"/>
      <c r="WX234" s="205">
        <f t="shared" si="2017"/>
        <v>0</v>
      </c>
      <c r="WY234" s="207"/>
      <c r="WZ234" s="207"/>
      <c r="XA234" s="207"/>
      <c r="XB234" s="207"/>
      <c r="XC234" s="272"/>
      <c r="XD234" s="272"/>
      <c r="XE234" s="272"/>
      <c r="XF234" s="205">
        <f t="shared" si="2009"/>
        <v>0</v>
      </c>
      <c r="XG234" s="207"/>
      <c r="XH234" s="207"/>
      <c r="XI234" s="207"/>
      <c r="XJ234" s="207"/>
      <c r="XK234" s="207"/>
      <c r="XL234" s="272"/>
      <c r="XM234" s="272"/>
      <c r="XN234" s="205">
        <f t="shared" si="2105"/>
        <v>0</v>
      </c>
      <c r="XO234" s="207"/>
      <c r="XP234" s="207"/>
      <c r="XQ234" s="207"/>
      <c r="XR234" s="207"/>
      <c r="XS234" s="207"/>
      <c r="XT234" s="272"/>
      <c r="XU234" s="272"/>
      <c r="XV234" s="205">
        <f t="shared" si="2222"/>
        <v>0</v>
      </c>
      <c r="XW234" s="205">
        <f t="shared" si="2223"/>
        <v>0</v>
      </c>
      <c r="XX234" s="207"/>
      <c r="XY234" s="207"/>
      <c r="XZ234" s="207"/>
      <c r="YA234" s="207"/>
      <c r="YB234" s="207"/>
      <c r="YC234" s="272"/>
      <c r="YD234" s="272"/>
      <c r="YE234" s="205">
        <f t="shared" si="2018"/>
        <v>0</v>
      </c>
      <c r="YF234" s="207"/>
      <c r="YG234" s="207"/>
      <c r="YH234" s="207"/>
      <c r="YI234" s="207"/>
      <c r="YJ234" s="207"/>
      <c r="YK234" s="272"/>
      <c r="YL234" s="272"/>
      <c r="YM234" s="205">
        <f t="shared" si="2019"/>
        <v>0</v>
      </c>
      <c r="YN234" s="207"/>
      <c r="YO234" s="207"/>
      <c r="YP234" s="207"/>
      <c r="YQ234" s="207"/>
      <c r="YR234" s="207"/>
      <c r="YS234" s="272"/>
      <c r="YT234" s="272"/>
      <c r="YU234" s="205">
        <f t="shared" si="2020"/>
        <v>0</v>
      </c>
      <c r="YV234" s="207"/>
      <c r="YW234" s="207"/>
      <c r="YX234" s="207"/>
      <c r="YY234" s="207"/>
      <c r="YZ234" s="207"/>
      <c r="ZA234" s="272"/>
      <c r="ZB234" s="272"/>
      <c r="ZC234" s="205">
        <f t="shared" si="2021"/>
        <v>0</v>
      </c>
      <c r="ZD234" s="205">
        <f t="shared" si="2022"/>
        <v>0</v>
      </c>
      <c r="ZE234" s="207"/>
      <c r="ZF234" s="207"/>
      <c r="ZG234" s="207"/>
      <c r="ZH234" s="207"/>
      <c r="ZI234" s="207"/>
      <c r="ZJ234" s="272"/>
      <c r="ZK234" s="272"/>
      <c r="ZL234" s="205">
        <f t="shared" si="2023"/>
        <v>0</v>
      </c>
      <c r="ZM234" s="207"/>
      <c r="ZN234" s="207"/>
      <c r="ZO234" s="207"/>
      <c r="ZP234" s="207"/>
      <c r="ZQ234" s="207"/>
      <c r="ZR234" s="272"/>
      <c r="ZS234" s="272"/>
      <c r="ZT234" s="205">
        <f t="shared" si="2010"/>
        <v>0</v>
      </c>
      <c r="ZU234" s="207"/>
      <c r="ZV234" s="207"/>
      <c r="ZW234" s="207"/>
      <c r="ZX234" s="207"/>
      <c r="ZY234" s="207"/>
      <c r="ZZ234" s="272"/>
      <c r="AAA234" s="272"/>
      <c r="AAB234" s="205">
        <f t="shared" si="2024"/>
        <v>0</v>
      </c>
      <c r="AAC234" s="207"/>
      <c r="AAD234" s="207"/>
      <c r="AAE234" s="207"/>
      <c r="AAF234" s="207"/>
      <c r="AAG234" s="207"/>
      <c r="AAH234" s="272"/>
      <c r="AAI234" s="272"/>
      <c r="AAJ234" s="205">
        <f t="shared" si="2011"/>
        <v>0</v>
      </c>
      <c r="AAK234" s="207"/>
      <c r="AAL234" s="207"/>
      <c r="AAM234" s="207"/>
      <c r="AAN234" s="207"/>
      <c r="AAO234" s="207"/>
      <c r="AAP234" s="272"/>
      <c r="AAQ234" s="272"/>
      <c r="AAR234" s="205">
        <f t="shared" si="2025"/>
        <v>0</v>
      </c>
      <c r="AAS234" s="205">
        <f t="shared" si="2026"/>
        <v>0</v>
      </c>
    </row>
    <row r="235" spans="1:721" ht="74.099999999999994" customHeight="1">
      <c r="A235" s="117">
        <v>10</v>
      </c>
      <c r="B235" s="319" t="s">
        <v>866</v>
      </c>
      <c r="C235" s="362" t="s">
        <v>895</v>
      </c>
      <c r="D235" s="320" t="s">
        <v>872</v>
      </c>
      <c r="E235" s="130" t="s">
        <v>4</v>
      </c>
      <c r="F235" s="120"/>
      <c r="G235" s="120"/>
      <c r="H235" s="120"/>
      <c r="I235" s="120"/>
      <c r="J235" s="120"/>
      <c r="K235" s="209"/>
      <c r="L235" s="205"/>
      <c r="M235" s="205">
        <f t="shared" si="2108"/>
        <v>0</v>
      </c>
      <c r="N235" s="120"/>
      <c r="O235" s="120"/>
      <c r="P235" s="120"/>
      <c r="Q235" s="120"/>
      <c r="R235" s="120"/>
      <c r="S235" s="209"/>
      <c r="T235" s="205"/>
      <c r="U235" s="205">
        <f t="shared" si="2155"/>
        <v>0</v>
      </c>
      <c r="V235" s="120"/>
      <c r="W235" s="120"/>
      <c r="X235" s="120"/>
      <c r="Y235" s="120"/>
      <c r="Z235" s="120"/>
      <c r="AA235" s="209"/>
      <c r="AB235" s="205"/>
      <c r="AC235" s="205">
        <f t="shared" si="2156"/>
        <v>0</v>
      </c>
      <c r="AD235" s="205"/>
      <c r="AE235" s="205"/>
      <c r="AF235" s="205"/>
      <c r="AG235" s="205"/>
      <c r="AH235" s="205"/>
      <c r="AI235" s="209"/>
      <c r="AJ235" s="205"/>
      <c r="AK235" s="205">
        <f t="shared" si="2157"/>
        <v>0</v>
      </c>
      <c r="AL235" s="205" t="e">
        <f>SUM(#REF!,M235,U235,AC235,AD235:AH235)</f>
        <v>#REF!</v>
      </c>
      <c r="AM235" s="120"/>
      <c r="AN235" s="120"/>
      <c r="AO235" s="120"/>
      <c r="AP235" s="120"/>
      <c r="AQ235" s="120"/>
      <c r="AR235" s="209"/>
      <c r="AS235" s="205"/>
      <c r="AT235" s="205">
        <f t="shared" si="2158"/>
        <v>0</v>
      </c>
      <c r="AU235" s="120"/>
      <c r="AV235" s="120"/>
      <c r="AW235" s="120"/>
      <c r="AX235" s="120"/>
      <c r="AY235" s="120"/>
      <c r="AZ235" s="209"/>
      <c r="BA235" s="205"/>
      <c r="BB235" s="205">
        <f t="shared" si="2159"/>
        <v>0</v>
      </c>
      <c r="BC235" s="120"/>
      <c r="BD235" s="120"/>
      <c r="BE235" s="120"/>
      <c r="BF235" s="120"/>
      <c r="BG235" s="120"/>
      <c r="BH235" s="209"/>
      <c r="BI235" s="205"/>
      <c r="BJ235" s="205">
        <f t="shared" si="2160"/>
        <v>0</v>
      </c>
      <c r="BK235" s="120"/>
      <c r="BL235" s="120"/>
      <c r="BM235" s="217">
        <v>3113</v>
      </c>
      <c r="BN235" s="120"/>
      <c r="BO235" s="205"/>
      <c r="BP235" s="209"/>
      <c r="BQ235" s="205"/>
      <c r="BR235" s="205">
        <f t="shared" si="2161"/>
        <v>3113</v>
      </c>
      <c r="BS235" s="205">
        <f t="shared" si="2162"/>
        <v>3113</v>
      </c>
      <c r="BT235" s="120"/>
      <c r="BU235" s="250">
        <v>713</v>
      </c>
      <c r="BV235" s="120"/>
      <c r="BW235" s="120"/>
      <c r="BX235" s="120"/>
      <c r="BY235" s="209"/>
      <c r="BZ235" s="205"/>
      <c r="CA235" s="205">
        <f t="shared" si="2163"/>
        <v>713</v>
      </c>
      <c r="CB235" s="120"/>
      <c r="CC235" s="120"/>
      <c r="CD235" s="120"/>
      <c r="CE235" s="120"/>
      <c r="CF235" s="120"/>
      <c r="CG235" s="209"/>
      <c r="CH235" s="205"/>
      <c r="CI235" s="205">
        <f t="shared" si="2164"/>
        <v>0</v>
      </c>
      <c r="CJ235" s="120"/>
      <c r="CK235" s="120"/>
      <c r="CL235" s="250">
        <v>1213</v>
      </c>
      <c r="CM235" s="120"/>
      <c r="CN235" s="120"/>
      <c r="CO235" s="209"/>
      <c r="CP235" s="205"/>
      <c r="CQ235" s="205">
        <f t="shared" si="2165"/>
        <v>1213</v>
      </c>
      <c r="CR235" s="120" t="s">
        <v>216</v>
      </c>
      <c r="CS235" s="120"/>
      <c r="CT235" s="120"/>
      <c r="CU235" s="120"/>
      <c r="CV235" s="120"/>
      <c r="CW235" s="209"/>
      <c r="CX235" s="205"/>
      <c r="CY235" s="205">
        <f t="shared" si="2166"/>
        <v>0</v>
      </c>
      <c r="CZ235" s="120"/>
      <c r="DA235" s="120"/>
      <c r="DB235" s="120"/>
      <c r="DC235" s="205"/>
      <c r="DD235" s="205"/>
      <c r="DE235" s="209"/>
      <c r="DF235" s="205"/>
      <c r="DG235" s="205">
        <f t="shared" si="2167"/>
        <v>0</v>
      </c>
      <c r="DH235" s="205">
        <f t="shared" si="2168"/>
        <v>1926</v>
      </c>
      <c r="DI235" s="120"/>
      <c r="DJ235" s="120"/>
      <c r="DK235" s="120"/>
      <c r="DL235" s="120"/>
      <c r="DM235" s="120"/>
      <c r="DN235" s="209"/>
      <c r="DO235" s="205"/>
      <c r="DP235" s="205">
        <f t="shared" si="2169"/>
        <v>0</v>
      </c>
      <c r="DQ235" s="217">
        <v>663</v>
      </c>
      <c r="DR235" s="120"/>
      <c r="DS235" s="120"/>
      <c r="DT235" s="120"/>
      <c r="DU235" s="120"/>
      <c r="DV235" s="209"/>
      <c r="DW235" s="205"/>
      <c r="DX235" s="205">
        <f t="shared" si="2170"/>
        <v>663</v>
      </c>
      <c r="DY235" s="120"/>
      <c r="DZ235" s="120"/>
      <c r="EA235" s="120"/>
      <c r="EB235" s="120"/>
      <c r="EC235" s="120"/>
      <c r="ED235" s="209"/>
      <c r="EE235" s="205"/>
      <c r="EF235" s="205">
        <f t="shared" si="2171"/>
        <v>0</v>
      </c>
      <c r="EG235" s="120"/>
      <c r="EH235" s="120"/>
      <c r="EI235" s="120"/>
      <c r="EJ235" s="205"/>
      <c r="EK235" s="205"/>
      <c r="EL235" s="209"/>
      <c r="EM235" s="205"/>
      <c r="EN235" s="205">
        <f t="shared" si="2172"/>
        <v>0</v>
      </c>
      <c r="EO235" s="205">
        <f t="shared" si="2173"/>
        <v>663</v>
      </c>
      <c r="EP235" s="120"/>
      <c r="EQ235" s="250">
        <v>513</v>
      </c>
      <c r="ER235" s="120"/>
      <c r="ES235" s="120"/>
      <c r="ET235" s="120"/>
      <c r="EU235" s="209"/>
      <c r="EV235" s="205"/>
      <c r="EW235" s="205">
        <f t="shared" si="2174"/>
        <v>513</v>
      </c>
      <c r="EX235" s="120"/>
      <c r="EY235" s="120"/>
      <c r="EZ235" s="120"/>
      <c r="FA235" s="120"/>
      <c r="FB235" s="120"/>
      <c r="FC235" s="209"/>
      <c r="FD235" s="205"/>
      <c r="FE235" s="205">
        <f t="shared" si="2175"/>
        <v>0</v>
      </c>
      <c r="FF235" s="120"/>
      <c r="FG235" s="195">
        <v>513</v>
      </c>
      <c r="FH235" s="120"/>
      <c r="FI235" s="120"/>
      <c r="FJ235" s="120"/>
      <c r="FK235" s="209"/>
      <c r="FL235" s="205"/>
      <c r="FM235" s="205">
        <f t="shared" si="2176"/>
        <v>513</v>
      </c>
      <c r="FN235" s="120"/>
      <c r="FO235" s="120"/>
      <c r="FP235" s="120"/>
      <c r="FQ235" s="120"/>
      <c r="FR235" s="205"/>
      <c r="FS235" s="209"/>
      <c r="FT235" s="205"/>
      <c r="FU235" s="205">
        <f t="shared" si="2177"/>
        <v>0</v>
      </c>
      <c r="FV235" s="205">
        <f t="shared" si="2178"/>
        <v>1026</v>
      </c>
      <c r="FW235" s="120"/>
      <c r="FX235" s="120"/>
      <c r="FY235" s="120"/>
      <c r="FZ235" s="120"/>
      <c r="GA235" s="120"/>
      <c r="GB235" s="209"/>
      <c r="GC235" s="205"/>
      <c r="GD235" s="205">
        <f t="shared" si="2179"/>
        <v>0</v>
      </c>
      <c r="GE235" s="120"/>
      <c r="GF235" s="120"/>
      <c r="GG235" s="120"/>
      <c r="GH235" s="120"/>
      <c r="GI235" s="120"/>
      <c r="GJ235" s="209"/>
      <c r="GK235" s="205"/>
      <c r="GL235" s="205">
        <f t="shared" si="2180"/>
        <v>0</v>
      </c>
      <c r="GM235" s="120"/>
      <c r="GN235" s="120"/>
      <c r="GO235" s="120"/>
      <c r="GP235" s="120"/>
      <c r="GQ235" s="120"/>
      <c r="GR235" s="209"/>
      <c r="GS235" s="205"/>
      <c r="GT235" s="205">
        <f t="shared" si="2181"/>
        <v>0</v>
      </c>
      <c r="GU235" s="120"/>
      <c r="GV235" s="120"/>
      <c r="GW235" s="120"/>
      <c r="GX235" s="120"/>
      <c r="GY235" s="120"/>
      <c r="GZ235" s="209"/>
      <c r="HA235" s="205"/>
      <c r="HB235" s="205">
        <f t="shared" si="2182"/>
        <v>0</v>
      </c>
      <c r="HC235" s="120"/>
      <c r="HD235" s="120"/>
      <c r="HE235" s="120"/>
      <c r="HF235" s="120"/>
      <c r="HG235" s="120"/>
      <c r="HH235" s="209"/>
      <c r="HI235" s="205"/>
      <c r="HJ235" s="205">
        <f t="shared" si="2183"/>
        <v>0</v>
      </c>
      <c r="HK235" s="205">
        <f t="shared" si="2184"/>
        <v>0</v>
      </c>
      <c r="HL235" s="124"/>
      <c r="HM235" s="120"/>
      <c r="HN235" s="120"/>
      <c r="HO235" s="123">
        <v>1763</v>
      </c>
      <c r="HP235" s="120"/>
      <c r="HQ235" s="205"/>
      <c r="HR235" s="205"/>
      <c r="HS235" s="205">
        <f t="shared" si="2185"/>
        <v>1763</v>
      </c>
      <c r="HT235" s="120"/>
      <c r="HU235" s="120"/>
      <c r="HV235" s="120"/>
      <c r="HW235" s="120"/>
      <c r="HX235" s="120"/>
      <c r="HY235" s="205"/>
      <c r="HZ235" s="205"/>
      <c r="IA235" s="205">
        <f t="shared" si="2186"/>
        <v>0</v>
      </c>
      <c r="IB235" s="120"/>
      <c r="IC235" s="120"/>
      <c r="ID235" s="120"/>
      <c r="IE235" s="120"/>
      <c r="IF235" s="120"/>
      <c r="IG235" s="205"/>
      <c r="IH235" s="205"/>
      <c r="II235" s="205">
        <f t="shared" si="2187"/>
        <v>0</v>
      </c>
      <c r="IJ235" s="120"/>
      <c r="IK235" s="120"/>
      <c r="IL235" s="201">
        <v>1813</v>
      </c>
      <c r="IM235" s="120"/>
      <c r="IN235" s="120"/>
      <c r="IO235" s="205"/>
      <c r="IP235" s="205"/>
      <c r="IQ235" s="205">
        <f t="shared" si="2188"/>
        <v>1813</v>
      </c>
      <c r="IR235" s="205">
        <f t="shared" si="2189"/>
        <v>3576</v>
      </c>
      <c r="IS235" s="120"/>
      <c r="IT235" s="120"/>
      <c r="IU235" s="120"/>
      <c r="IV235" s="120"/>
      <c r="IW235" s="120"/>
      <c r="IX235" s="205"/>
      <c r="IY235" s="205"/>
      <c r="IZ235" s="205">
        <f t="shared" si="2190"/>
        <v>0</v>
      </c>
      <c r="JA235" s="120"/>
      <c r="JB235" s="120"/>
      <c r="JC235" s="120"/>
      <c r="JD235" s="120"/>
      <c r="JE235" s="120"/>
      <c r="JF235" s="205"/>
      <c r="JG235" s="205"/>
      <c r="JH235" s="205">
        <f t="shared" si="2191"/>
        <v>0</v>
      </c>
      <c r="JI235" s="120"/>
      <c r="JJ235" s="120"/>
      <c r="JK235" s="120"/>
      <c r="JL235" s="120"/>
      <c r="JM235" s="120"/>
      <c r="JN235" s="205"/>
      <c r="JO235" s="205"/>
      <c r="JP235" s="205">
        <f t="shared" si="2192"/>
        <v>0</v>
      </c>
      <c r="JQ235" s="120"/>
      <c r="JR235" s="120"/>
      <c r="JS235" s="120"/>
      <c r="JT235" s="120"/>
      <c r="JU235" s="120"/>
      <c r="JV235" s="205"/>
      <c r="JW235" s="205"/>
      <c r="JX235" s="205">
        <f t="shared" si="2193"/>
        <v>0</v>
      </c>
      <c r="JY235" s="205">
        <f t="shared" si="2194"/>
        <v>0</v>
      </c>
      <c r="JZ235" s="120"/>
      <c r="KA235" s="120"/>
      <c r="KB235" s="120"/>
      <c r="KC235" s="120"/>
      <c r="KD235" s="120"/>
      <c r="KE235" s="205"/>
      <c r="KF235" s="205"/>
      <c r="KG235" s="205">
        <f t="shared" si="2195"/>
        <v>0</v>
      </c>
      <c r="KH235" s="120"/>
      <c r="KI235" s="120"/>
      <c r="KJ235" s="120"/>
      <c r="KK235" s="206">
        <v>813</v>
      </c>
      <c r="KL235" s="120"/>
      <c r="KM235" s="205"/>
      <c r="KN235" s="205"/>
      <c r="KO235" s="205">
        <f t="shared" si="2196"/>
        <v>813</v>
      </c>
      <c r="KP235" s="120"/>
      <c r="KQ235" s="120"/>
      <c r="KR235" s="120"/>
      <c r="KS235" s="120"/>
      <c r="KT235" s="120"/>
      <c r="KU235" s="205"/>
      <c r="KV235" s="205"/>
      <c r="KW235" s="205">
        <f t="shared" si="2197"/>
        <v>0</v>
      </c>
      <c r="KX235" s="120"/>
      <c r="KY235" s="120"/>
      <c r="KZ235" s="120"/>
      <c r="LA235" s="120"/>
      <c r="LB235" s="120"/>
      <c r="LC235" s="205"/>
      <c r="LD235" s="205"/>
      <c r="LE235" s="205">
        <f t="shared" si="2198"/>
        <v>0</v>
      </c>
      <c r="LF235" s="205"/>
      <c r="LG235" s="120"/>
      <c r="LH235" s="120"/>
      <c r="LI235" s="120"/>
      <c r="LJ235" s="120"/>
      <c r="LK235" s="205"/>
      <c r="LL235" s="205"/>
      <c r="LM235" s="205">
        <f t="shared" si="2199"/>
        <v>0</v>
      </c>
      <c r="LN235" s="205">
        <f t="shared" si="2200"/>
        <v>813</v>
      </c>
      <c r="LO235" s="205"/>
      <c r="LP235" s="120"/>
      <c r="LQ235" s="120"/>
      <c r="LR235" s="120"/>
      <c r="LS235" s="205"/>
      <c r="LT235" s="205"/>
      <c r="LU235" s="205"/>
      <c r="LV235" s="205">
        <f t="shared" si="2201"/>
        <v>0</v>
      </c>
      <c r="LW235" s="120"/>
      <c r="LX235" s="120"/>
      <c r="LY235" s="124">
        <v>373</v>
      </c>
      <c r="LZ235" s="120"/>
      <c r="MA235" s="120"/>
      <c r="MB235" s="205"/>
      <c r="MC235" s="205"/>
      <c r="MD235" s="205">
        <f t="shared" si="2202"/>
        <v>373</v>
      </c>
      <c r="ME235" s="120"/>
      <c r="MF235" s="120"/>
      <c r="MG235" s="120"/>
      <c r="MH235" s="201">
        <v>1113</v>
      </c>
      <c r="MI235" s="205"/>
      <c r="MJ235" s="205"/>
      <c r="MK235" s="205"/>
      <c r="ML235" s="205">
        <f t="shared" si="2203"/>
        <v>1113</v>
      </c>
      <c r="MM235" s="120" t="s">
        <v>712</v>
      </c>
      <c r="MN235" s="120"/>
      <c r="MO235" s="120"/>
      <c r="MP235" s="120"/>
      <c r="MQ235" s="120"/>
      <c r="MR235" s="205"/>
      <c r="MS235" s="205"/>
      <c r="MT235" s="205">
        <f t="shared" si="2204"/>
        <v>0</v>
      </c>
      <c r="MU235" s="205">
        <f t="shared" si="2205"/>
        <v>1486</v>
      </c>
      <c r="MV235" s="120"/>
      <c r="MW235" s="120"/>
      <c r="MX235" s="195">
        <v>2013</v>
      </c>
      <c r="MY235" s="120"/>
      <c r="MZ235" s="120"/>
      <c r="NA235" s="205"/>
      <c r="NB235" s="205"/>
      <c r="NC235" s="205">
        <f t="shared" si="2206"/>
        <v>2013</v>
      </c>
      <c r="ND235" s="120"/>
      <c r="NE235" s="120"/>
      <c r="NF235" s="120"/>
      <c r="NG235" s="120"/>
      <c r="NH235" s="120"/>
      <c r="NI235" s="205"/>
      <c r="NJ235" s="205"/>
      <c r="NK235" s="205">
        <f t="shared" si="2207"/>
        <v>0</v>
      </c>
      <c r="NL235" s="120"/>
      <c r="NM235" s="120"/>
      <c r="NN235" s="120"/>
      <c r="NO235" s="120"/>
      <c r="NP235" s="120"/>
      <c r="NQ235" s="205"/>
      <c r="NR235" s="205"/>
      <c r="NS235" s="205">
        <f t="shared" si="2208"/>
        <v>0</v>
      </c>
      <c r="NT235" s="217">
        <v>1013</v>
      </c>
      <c r="NU235" s="120"/>
      <c r="NV235" s="120"/>
      <c r="NW235" s="120"/>
      <c r="NX235" s="120"/>
      <c r="NY235" s="205"/>
      <c r="NZ235" s="205"/>
      <c r="OA235" s="205">
        <f t="shared" si="2209"/>
        <v>1013</v>
      </c>
      <c r="OB235" s="205">
        <f t="shared" si="2210"/>
        <v>3026</v>
      </c>
      <c r="OC235" s="120"/>
      <c r="OD235" s="120"/>
      <c r="OE235" s="120"/>
      <c r="OF235" s="120"/>
      <c r="OG235" s="120"/>
      <c r="OH235" s="205"/>
      <c r="OI235" s="205"/>
      <c r="OJ235" s="205">
        <f t="shared" si="2211"/>
        <v>0</v>
      </c>
      <c r="OK235" s="120"/>
      <c r="OL235" s="120"/>
      <c r="OM235" s="120"/>
      <c r="ON235" s="120"/>
      <c r="OO235" s="120"/>
      <c r="OP235" s="205"/>
      <c r="OQ235" s="205"/>
      <c r="OR235" s="205">
        <f t="shared" si="2212"/>
        <v>0</v>
      </c>
      <c r="OS235" s="120"/>
      <c r="OT235" s="120"/>
      <c r="OU235" s="120"/>
      <c r="OV235" s="120"/>
      <c r="OW235" s="120"/>
      <c r="OX235" s="205"/>
      <c r="OY235" s="205"/>
      <c r="OZ235" s="205">
        <f t="shared" si="2213"/>
        <v>0</v>
      </c>
      <c r="PA235" s="120"/>
      <c r="PB235" s="120"/>
      <c r="PC235" s="120"/>
      <c r="PD235" s="205"/>
      <c r="PE235" s="217"/>
      <c r="PF235" s="205"/>
      <c r="PG235" s="205"/>
      <c r="PH235" s="205">
        <f t="shared" si="2214"/>
        <v>0</v>
      </c>
      <c r="PI235" s="120"/>
      <c r="PJ235" s="120"/>
      <c r="PK235" s="120"/>
      <c r="PL235" s="205"/>
      <c r="PM235" s="217"/>
      <c r="PN235" s="205"/>
      <c r="PO235" s="205"/>
      <c r="PP235" s="205">
        <f t="shared" si="2215"/>
        <v>0</v>
      </c>
      <c r="PQ235" s="205">
        <f t="shared" si="2216"/>
        <v>0</v>
      </c>
      <c r="PR235" s="120"/>
      <c r="PS235" s="207"/>
      <c r="PT235" s="207"/>
      <c r="PU235" s="207"/>
      <c r="PV235" s="207"/>
      <c r="PW235" s="272"/>
      <c r="PX235" s="272"/>
      <c r="PY235" s="205">
        <f t="shared" si="2217"/>
        <v>0</v>
      </c>
      <c r="PZ235" s="207"/>
      <c r="QA235" s="207"/>
      <c r="QB235" s="207"/>
      <c r="QC235" s="207"/>
      <c r="QD235" s="207"/>
      <c r="QE235" s="272"/>
      <c r="QF235" s="272"/>
      <c r="QG235" s="205">
        <f t="shared" si="2218"/>
        <v>0</v>
      </c>
      <c r="QH235" s="207"/>
      <c r="QI235" s="207"/>
      <c r="QJ235" s="294"/>
      <c r="QK235" s="207"/>
      <c r="QL235" s="207"/>
      <c r="QM235" s="272"/>
      <c r="QN235" s="272"/>
      <c r="QO235" s="205">
        <f t="shared" si="2219"/>
        <v>0</v>
      </c>
      <c r="QP235" s="207"/>
      <c r="QQ235" s="120"/>
      <c r="QR235" s="207"/>
      <c r="QS235" s="207"/>
      <c r="QT235" s="207"/>
      <c r="QU235" s="272"/>
      <c r="QV235" s="272"/>
      <c r="QW235" s="205">
        <f t="shared" si="2220"/>
        <v>0</v>
      </c>
      <c r="QX235" s="205">
        <f t="shared" si="2221"/>
        <v>0</v>
      </c>
      <c r="QY235" s="207"/>
      <c r="QZ235" s="207"/>
      <c r="RA235" s="207"/>
      <c r="RB235" s="207"/>
      <c r="RC235" s="207"/>
      <c r="RD235" s="272"/>
      <c r="RE235" s="272"/>
      <c r="RF235" s="205">
        <f t="shared" si="2148"/>
        <v>0</v>
      </c>
      <c r="RG235" s="207"/>
      <c r="RH235" s="207"/>
      <c r="RI235" s="207"/>
      <c r="RJ235" s="120"/>
      <c r="RK235" s="207"/>
      <c r="RL235" s="272"/>
      <c r="RM235" s="272"/>
      <c r="RN235" s="205">
        <f t="shared" si="2096"/>
        <v>0</v>
      </c>
      <c r="RO235" s="272"/>
      <c r="RP235" s="272"/>
      <c r="RQ235" s="272"/>
      <c r="RR235" s="272"/>
      <c r="RS235" s="272"/>
      <c r="RT235" s="272"/>
      <c r="RU235" s="272"/>
      <c r="RV235" s="205">
        <f t="shared" si="2097"/>
        <v>0</v>
      </c>
      <c r="RW235" s="207"/>
      <c r="RX235" s="207"/>
      <c r="RY235" s="207"/>
      <c r="RZ235" s="207"/>
      <c r="SA235" s="272"/>
      <c r="SB235" s="272"/>
      <c r="SC235" s="272"/>
      <c r="SD235" s="205">
        <f t="shared" si="2224"/>
        <v>0</v>
      </c>
      <c r="SE235" s="205">
        <f t="shared" si="2225"/>
        <v>0</v>
      </c>
      <c r="SF235" s="207"/>
      <c r="SG235" s="207"/>
      <c r="SH235" s="207"/>
      <c r="SI235" s="207"/>
      <c r="SJ235" s="207"/>
      <c r="SK235" s="272"/>
      <c r="SL235" s="272"/>
      <c r="SM235" s="205">
        <f t="shared" si="2100"/>
        <v>0</v>
      </c>
      <c r="SN235" s="207"/>
      <c r="SO235" s="207"/>
      <c r="SP235" s="207"/>
      <c r="SQ235" s="207"/>
      <c r="SR235" s="207"/>
      <c r="SS235" s="272"/>
      <c r="ST235" s="272"/>
      <c r="SU235" s="205">
        <f t="shared" si="2101"/>
        <v>0</v>
      </c>
      <c r="SV235" s="207"/>
      <c r="SW235" s="207"/>
      <c r="SX235" s="207"/>
      <c r="SY235" s="207"/>
      <c r="SZ235" s="207"/>
      <c r="TA235" s="272"/>
      <c r="TB235" s="272"/>
      <c r="TC235" s="205">
        <f t="shared" si="2102"/>
        <v>0</v>
      </c>
      <c r="TD235" s="207"/>
      <c r="TE235" s="207"/>
      <c r="TF235" s="207"/>
      <c r="TG235" s="207"/>
      <c r="TH235" s="207"/>
      <c r="TI235" s="272"/>
      <c r="TJ235" s="272"/>
      <c r="TK235" s="205">
        <f t="shared" si="2142"/>
        <v>0</v>
      </c>
      <c r="TL235" s="140"/>
      <c r="TM235" s="140"/>
      <c r="TN235" s="140"/>
      <c r="TO235" s="140"/>
      <c r="TP235" s="370"/>
      <c r="TQ235" s="272"/>
      <c r="TR235" s="272"/>
      <c r="TS235" s="205">
        <f t="shared" si="2153"/>
        <v>0</v>
      </c>
      <c r="TT235" s="205">
        <f t="shared" si="2154"/>
        <v>0</v>
      </c>
      <c r="TU235" s="272"/>
      <c r="TV235" s="207"/>
      <c r="TW235" s="140"/>
      <c r="TX235" s="207"/>
      <c r="TY235" s="207"/>
      <c r="TZ235" s="272"/>
      <c r="UA235" s="272"/>
      <c r="UB235" s="205">
        <f t="shared" si="2012"/>
        <v>0</v>
      </c>
      <c r="UC235" s="130"/>
      <c r="UD235" s="207"/>
      <c r="UE235" s="356"/>
      <c r="UF235" s="120"/>
      <c r="UG235" s="120"/>
      <c r="UH235" s="272"/>
      <c r="UI235" s="272"/>
      <c r="UJ235" s="205">
        <f t="shared" si="2013"/>
        <v>0</v>
      </c>
      <c r="UK235" s="207"/>
      <c r="UL235" s="207"/>
      <c r="UM235" s="207"/>
      <c r="UN235" s="207"/>
      <c r="UO235" s="207"/>
      <c r="UP235" s="272"/>
      <c r="UQ235" s="272"/>
      <c r="UR235" s="205">
        <f t="shared" si="2014"/>
        <v>0</v>
      </c>
      <c r="US235" s="207"/>
      <c r="UT235" s="207"/>
      <c r="UU235" s="207"/>
      <c r="UV235" s="207"/>
      <c r="UW235" s="272"/>
      <c r="UX235" s="272"/>
      <c r="UY235" s="272"/>
      <c r="UZ235" s="205">
        <f t="shared" si="2145"/>
        <v>0</v>
      </c>
      <c r="VA235" s="205">
        <f t="shared" si="2146"/>
        <v>0</v>
      </c>
      <c r="VB235" s="207"/>
      <c r="VC235" s="207"/>
      <c r="VD235" s="207"/>
      <c r="VE235" s="207"/>
      <c r="VF235" s="207"/>
      <c r="VG235" s="272"/>
      <c r="VH235" s="272"/>
      <c r="VI235" s="205">
        <f t="shared" si="2005"/>
        <v>0</v>
      </c>
      <c r="VJ235" s="207"/>
      <c r="VK235" s="207"/>
      <c r="VL235" s="207"/>
      <c r="VM235" s="207"/>
      <c r="VN235" s="207"/>
      <c r="VO235" s="272"/>
      <c r="VP235" s="272"/>
      <c r="VQ235" s="205">
        <f t="shared" si="2015"/>
        <v>0</v>
      </c>
      <c r="VR235" s="120"/>
      <c r="VS235" s="207"/>
      <c r="VT235" s="207"/>
      <c r="VU235" s="207"/>
      <c r="VV235" s="124">
        <v>140</v>
      </c>
      <c r="VW235" s="272"/>
      <c r="VX235" s="272"/>
      <c r="VY235" s="205">
        <f t="shared" si="2006"/>
        <v>140</v>
      </c>
      <c r="VZ235" s="207"/>
      <c r="WA235" s="124">
        <v>500</v>
      </c>
      <c r="WB235" s="207"/>
      <c r="WC235" s="356"/>
      <c r="WD235" s="207"/>
      <c r="WE235" s="272"/>
      <c r="WF235" s="272"/>
      <c r="WG235" s="205">
        <f t="shared" si="2007"/>
        <v>500</v>
      </c>
      <c r="WH235" s="205">
        <f t="shared" si="2008"/>
        <v>640</v>
      </c>
      <c r="WI235" s="207"/>
      <c r="WJ235" s="207"/>
      <c r="WK235" s="207"/>
      <c r="WL235" s="207"/>
      <c r="WM235" s="207"/>
      <c r="WN235" s="272"/>
      <c r="WO235" s="272"/>
      <c r="WP235" s="205">
        <f>SUM(WD235:WO235)</f>
        <v>1140</v>
      </c>
      <c r="WQ235" s="207"/>
      <c r="WR235" s="207"/>
      <c r="WS235" s="207"/>
      <c r="WT235" s="207"/>
      <c r="WU235" s="207"/>
      <c r="WV235" s="272"/>
      <c r="WW235" s="272"/>
      <c r="WX235" s="205">
        <f t="shared" si="2017"/>
        <v>0</v>
      </c>
      <c r="WY235" s="207"/>
      <c r="WZ235" s="207"/>
      <c r="XA235" s="207"/>
      <c r="XB235" s="207"/>
      <c r="XC235" s="272"/>
      <c r="XD235" s="272"/>
      <c r="XE235" s="272"/>
      <c r="XF235" s="205">
        <f t="shared" si="2009"/>
        <v>0</v>
      </c>
      <c r="XG235" s="207"/>
      <c r="XH235" s="207"/>
      <c r="XI235" s="207"/>
      <c r="XJ235" s="207"/>
      <c r="XK235" s="207"/>
      <c r="XL235" s="272"/>
      <c r="XM235" s="272"/>
      <c r="XN235" s="205">
        <f t="shared" si="2105"/>
        <v>0</v>
      </c>
      <c r="XO235" s="207"/>
      <c r="XP235" s="207"/>
      <c r="XQ235" s="207"/>
      <c r="XR235" s="207"/>
      <c r="XS235" s="207"/>
      <c r="XT235" s="272"/>
      <c r="XU235" s="272"/>
      <c r="XV235" s="205">
        <f t="shared" si="2222"/>
        <v>0</v>
      </c>
      <c r="XW235" s="205">
        <f t="shared" si="2223"/>
        <v>1140</v>
      </c>
      <c r="XX235" s="207"/>
      <c r="XY235" s="207"/>
      <c r="XZ235" s="207"/>
      <c r="YA235" s="207"/>
      <c r="YB235" s="207"/>
      <c r="YC235" s="272"/>
      <c r="YD235" s="272"/>
      <c r="YE235" s="205">
        <f t="shared" si="2018"/>
        <v>0</v>
      </c>
      <c r="YF235" s="207"/>
      <c r="YG235" s="207"/>
      <c r="YH235" s="207"/>
      <c r="YI235" s="207"/>
      <c r="YJ235" s="207"/>
      <c r="YK235" s="272"/>
      <c r="YL235" s="272"/>
      <c r="YM235" s="205">
        <f t="shared" si="2019"/>
        <v>0</v>
      </c>
      <c r="YN235" s="207"/>
      <c r="YO235" s="207"/>
      <c r="YP235" s="207"/>
      <c r="YQ235" s="207"/>
      <c r="YR235" s="207"/>
      <c r="YS235" s="272"/>
      <c r="YT235" s="272"/>
      <c r="YU235" s="205">
        <f t="shared" si="2020"/>
        <v>0</v>
      </c>
      <c r="YV235" s="207"/>
      <c r="YW235" s="207"/>
      <c r="YX235" s="207"/>
      <c r="YY235" s="207"/>
      <c r="YZ235" s="207"/>
      <c r="ZA235" s="272"/>
      <c r="ZB235" s="272"/>
      <c r="ZC235" s="205">
        <f t="shared" si="2021"/>
        <v>0</v>
      </c>
      <c r="ZD235" s="205">
        <f t="shared" si="2022"/>
        <v>1140</v>
      </c>
      <c r="ZE235" s="207"/>
      <c r="ZF235" s="207"/>
      <c r="ZG235" s="207"/>
      <c r="ZH235" s="207"/>
      <c r="ZI235" s="207"/>
      <c r="ZJ235" s="272"/>
      <c r="ZK235" s="272"/>
      <c r="ZL235" s="205">
        <f t="shared" si="2023"/>
        <v>0</v>
      </c>
      <c r="ZM235" s="207"/>
      <c r="ZN235" s="207"/>
      <c r="ZO235" s="207"/>
      <c r="ZP235" s="207"/>
      <c r="ZQ235" s="207"/>
      <c r="ZR235" s="272"/>
      <c r="ZS235" s="272"/>
      <c r="ZT235" s="205">
        <f t="shared" si="2010"/>
        <v>0</v>
      </c>
      <c r="ZU235" s="207"/>
      <c r="ZV235" s="207"/>
      <c r="ZW235" s="207"/>
      <c r="ZX235" s="207"/>
      <c r="ZY235" s="207"/>
      <c r="ZZ235" s="272"/>
      <c r="AAA235" s="272"/>
      <c r="AAB235" s="205">
        <f t="shared" si="2024"/>
        <v>0</v>
      </c>
      <c r="AAC235" s="207"/>
      <c r="AAD235" s="207"/>
      <c r="AAE235" s="207"/>
      <c r="AAF235" s="207"/>
      <c r="AAG235" s="207"/>
      <c r="AAH235" s="272"/>
      <c r="AAI235" s="272"/>
      <c r="AAJ235" s="205">
        <f t="shared" si="2011"/>
        <v>0</v>
      </c>
      <c r="AAK235" s="207"/>
      <c r="AAL235" s="207"/>
      <c r="AAM235" s="207"/>
      <c r="AAN235" s="207"/>
      <c r="AAO235" s="207"/>
      <c r="AAP235" s="272"/>
      <c r="AAQ235" s="272"/>
      <c r="AAR235" s="205">
        <f t="shared" si="2025"/>
        <v>0</v>
      </c>
      <c r="AAS235" s="205">
        <f t="shared" si="2026"/>
        <v>0</v>
      </c>
    </row>
    <row r="236" spans="1:721" ht="85.5">
      <c r="A236" s="117">
        <v>10</v>
      </c>
      <c r="B236" s="319" t="s">
        <v>867</v>
      </c>
      <c r="C236" s="362" t="s">
        <v>919</v>
      </c>
      <c r="D236" s="367" t="s">
        <v>920</v>
      </c>
      <c r="E236" s="130" t="s">
        <v>4</v>
      </c>
      <c r="F236" s="120"/>
      <c r="G236" s="120"/>
      <c r="H236" s="120"/>
      <c r="I236" s="120"/>
      <c r="J236" s="120"/>
      <c r="K236" s="209"/>
      <c r="L236" s="205"/>
      <c r="M236" s="205">
        <f t="shared" si="2108"/>
        <v>0</v>
      </c>
      <c r="N236" s="120"/>
      <c r="O236" s="120"/>
      <c r="P236" s="120"/>
      <c r="Q236" s="120"/>
      <c r="R236" s="120"/>
      <c r="S236" s="209"/>
      <c r="T236" s="205"/>
      <c r="U236" s="205">
        <f t="shared" si="2155"/>
        <v>0</v>
      </c>
      <c r="V236" s="120"/>
      <c r="W236" s="120"/>
      <c r="X236" s="120"/>
      <c r="Y236" s="120"/>
      <c r="Z236" s="120"/>
      <c r="AA236" s="209"/>
      <c r="AB236" s="205"/>
      <c r="AC236" s="205">
        <f t="shared" si="2156"/>
        <v>0</v>
      </c>
      <c r="AD236" s="205"/>
      <c r="AE236" s="205"/>
      <c r="AF236" s="205"/>
      <c r="AG236" s="205"/>
      <c r="AH236" s="205"/>
      <c r="AI236" s="209"/>
      <c r="AJ236" s="205"/>
      <c r="AK236" s="205">
        <f t="shared" si="2157"/>
        <v>0</v>
      </c>
      <c r="AL236" s="205" t="e">
        <f>SUM(#REF!,M236,U236,AC236,AD236:AH236)</f>
        <v>#REF!</v>
      </c>
      <c r="AM236" s="120"/>
      <c r="AN236" s="120"/>
      <c r="AO236" s="120"/>
      <c r="AP236" s="120"/>
      <c r="AQ236" s="120"/>
      <c r="AR236" s="209"/>
      <c r="AS236" s="205"/>
      <c r="AT236" s="205">
        <f t="shared" si="2158"/>
        <v>0</v>
      </c>
      <c r="AU236" s="120"/>
      <c r="AV236" s="120"/>
      <c r="AW236" s="120"/>
      <c r="AX236" s="120"/>
      <c r="AY236" s="120"/>
      <c r="AZ236" s="209"/>
      <c r="BA236" s="205"/>
      <c r="BB236" s="205">
        <f t="shared" si="2159"/>
        <v>0</v>
      </c>
      <c r="BC236" s="120"/>
      <c r="BD236" s="120"/>
      <c r="BE236" s="120"/>
      <c r="BF236" s="120"/>
      <c r="BG236" s="120"/>
      <c r="BH236" s="209"/>
      <c r="BI236" s="205"/>
      <c r="BJ236" s="205">
        <f t="shared" si="2160"/>
        <v>0</v>
      </c>
      <c r="BK236" s="120"/>
      <c r="BL236" s="120"/>
      <c r="BM236" s="217">
        <v>3114</v>
      </c>
      <c r="BN236" s="120"/>
      <c r="BO236" s="205"/>
      <c r="BP236" s="209"/>
      <c r="BQ236" s="205"/>
      <c r="BR236" s="205">
        <f t="shared" si="2161"/>
        <v>3114</v>
      </c>
      <c r="BS236" s="205">
        <f t="shared" si="2162"/>
        <v>3114</v>
      </c>
      <c r="BT236" s="120"/>
      <c r="BU236" s="250">
        <v>714</v>
      </c>
      <c r="BV236" s="120"/>
      <c r="BW236" s="120"/>
      <c r="BX236" s="120"/>
      <c r="BY236" s="209"/>
      <c r="BZ236" s="205"/>
      <c r="CA236" s="205">
        <f t="shared" si="2163"/>
        <v>714</v>
      </c>
      <c r="CB236" s="120"/>
      <c r="CC236" s="120"/>
      <c r="CD236" s="120"/>
      <c r="CE236" s="120"/>
      <c r="CF236" s="120"/>
      <c r="CG236" s="209"/>
      <c r="CH236" s="205"/>
      <c r="CI236" s="205">
        <f t="shared" si="2164"/>
        <v>0</v>
      </c>
      <c r="CJ236" s="120"/>
      <c r="CK236" s="120"/>
      <c r="CL236" s="250">
        <v>1214</v>
      </c>
      <c r="CM236" s="120"/>
      <c r="CN236" s="120"/>
      <c r="CO236" s="209"/>
      <c r="CP236" s="205"/>
      <c r="CQ236" s="205">
        <f t="shared" si="2165"/>
        <v>1214</v>
      </c>
      <c r="CR236" s="120" t="s">
        <v>216</v>
      </c>
      <c r="CS236" s="120"/>
      <c r="CT236" s="120"/>
      <c r="CU236" s="120"/>
      <c r="CV236" s="120"/>
      <c r="CW236" s="209"/>
      <c r="CX236" s="205"/>
      <c r="CY236" s="205">
        <f t="shared" si="2166"/>
        <v>0</v>
      </c>
      <c r="CZ236" s="120"/>
      <c r="DA236" s="120"/>
      <c r="DB236" s="120"/>
      <c r="DC236" s="205"/>
      <c r="DD236" s="205"/>
      <c r="DE236" s="209"/>
      <c r="DF236" s="205"/>
      <c r="DG236" s="205">
        <f t="shared" si="2167"/>
        <v>0</v>
      </c>
      <c r="DH236" s="205">
        <f t="shared" si="2168"/>
        <v>1928</v>
      </c>
      <c r="DI236" s="120"/>
      <c r="DJ236" s="120"/>
      <c r="DK236" s="120"/>
      <c r="DL236" s="120"/>
      <c r="DM236" s="120"/>
      <c r="DN236" s="209"/>
      <c r="DO236" s="205"/>
      <c r="DP236" s="205">
        <f t="shared" si="2169"/>
        <v>0</v>
      </c>
      <c r="DQ236" s="217">
        <v>664</v>
      </c>
      <c r="DR236" s="120"/>
      <c r="DS236" s="120"/>
      <c r="DT236" s="120"/>
      <c r="DU236" s="120"/>
      <c r="DV236" s="209"/>
      <c r="DW236" s="205"/>
      <c r="DX236" s="205">
        <f t="shared" si="2170"/>
        <v>664</v>
      </c>
      <c r="DY236" s="120"/>
      <c r="DZ236" s="120"/>
      <c r="EA236" s="120"/>
      <c r="EB236" s="120"/>
      <c r="EC236" s="120"/>
      <c r="ED236" s="209"/>
      <c r="EE236" s="205"/>
      <c r="EF236" s="205">
        <f t="shared" si="2171"/>
        <v>0</v>
      </c>
      <c r="EG236" s="120"/>
      <c r="EH236" s="120"/>
      <c r="EI236" s="120"/>
      <c r="EJ236" s="205"/>
      <c r="EK236" s="205"/>
      <c r="EL236" s="209"/>
      <c r="EM236" s="205"/>
      <c r="EN236" s="205">
        <f t="shared" si="2172"/>
        <v>0</v>
      </c>
      <c r="EO236" s="205">
        <f t="shared" si="2173"/>
        <v>664</v>
      </c>
      <c r="EP236" s="120"/>
      <c r="EQ236" s="250">
        <v>514</v>
      </c>
      <c r="ER236" s="120"/>
      <c r="ES236" s="120"/>
      <c r="ET236" s="120"/>
      <c r="EU236" s="209"/>
      <c r="EV236" s="205"/>
      <c r="EW236" s="205">
        <f t="shared" si="2174"/>
        <v>514</v>
      </c>
      <c r="EX236" s="120"/>
      <c r="EY236" s="120"/>
      <c r="EZ236" s="120"/>
      <c r="FA236" s="120"/>
      <c r="FB236" s="120"/>
      <c r="FC236" s="209"/>
      <c r="FD236" s="205"/>
      <c r="FE236" s="205">
        <f t="shared" si="2175"/>
        <v>0</v>
      </c>
      <c r="FF236" s="120"/>
      <c r="FG236" s="195">
        <v>514</v>
      </c>
      <c r="FH236" s="120"/>
      <c r="FI236" s="120"/>
      <c r="FJ236" s="120"/>
      <c r="FK236" s="209"/>
      <c r="FL236" s="205"/>
      <c r="FM236" s="205">
        <f t="shared" si="2176"/>
        <v>514</v>
      </c>
      <c r="FN236" s="120"/>
      <c r="FO236" s="120"/>
      <c r="FP236" s="120"/>
      <c r="FQ236" s="120"/>
      <c r="FR236" s="205"/>
      <c r="FS236" s="209"/>
      <c r="FT236" s="205"/>
      <c r="FU236" s="205">
        <f t="shared" si="2177"/>
        <v>0</v>
      </c>
      <c r="FV236" s="205">
        <f t="shared" si="2178"/>
        <v>1028</v>
      </c>
      <c r="FW236" s="120"/>
      <c r="FX236" s="120"/>
      <c r="FY236" s="120"/>
      <c r="FZ236" s="120"/>
      <c r="GA236" s="120"/>
      <c r="GB236" s="209"/>
      <c r="GC236" s="205"/>
      <c r="GD236" s="205">
        <f t="shared" si="2179"/>
        <v>0</v>
      </c>
      <c r="GE236" s="120"/>
      <c r="GF236" s="120"/>
      <c r="GG236" s="120"/>
      <c r="GH236" s="120"/>
      <c r="GI236" s="120"/>
      <c r="GJ236" s="209"/>
      <c r="GK236" s="205"/>
      <c r="GL236" s="205">
        <f t="shared" si="2180"/>
        <v>0</v>
      </c>
      <c r="GM236" s="120"/>
      <c r="GN236" s="120"/>
      <c r="GO236" s="120"/>
      <c r="GP236" s="120"/>
      <c r="GQ236" s="120"/>
      <c r="GR236" s="209"/>
      <c r="GS236" s="205"/>
      <c r="GT236" s="205">
        <f t="shared" si="2181"/>
        <v>0</v>
      </c>
      <c r="GU236" s="120"/>
      <c r="GV236" s="120"/>
      <c r="GW236" s="120"/>
      <c r="GX236" s="120"/>
      <c r="GY236" s="120"/>
      <c r="GZ236" s="209"/>
      <c r="HA236" s="205"/>
      <c r="HB236" s="205">
        <f t="shared" si="2182"/>
        <v>0</v>
      </c>
      <c r="HC236" s="120"/>
      <c r="HD236" s="120"/>
      <c r="HE236" s="120"/>
      <c r="HF236" s="120"/>
      <c r="HG236" s="120"/>
      <c r="HH236" s="209"/>
      <c r="HI236" s="205"/>
      <c r="HJ236" s="205">
        <f t="shared" si="2183"/>
        <v>0</v>
      </c>
      <c r="HK236" s="205">
        <f t="shared" si="2184"/>
        <v>0</v>
      </c>
      <c r="HL236" s="124"/>
      <c r="HM236" s="120"/>
      <c r="HN236" s="120"/>
      <c r="HO236" s="123">
        <v>1764</v>
      </c>
      <c r="HP236" s="120"/>
      <c r="HQ236" s="205"/>
      <c r="HR236" s="205"/>
      <c r="HS236" s="205">
        <f t="shared" si="2185"/>
        <v>1764</v>
      </c>
      <c r="HT236" s="120"/>
      <c r="HU236" s="120"/>
      <c r="HV236" s="120"/>
      <c r="HW236" s="120"/>
      <c r="HX236" s="120"/>
      <c r="HY236" s="205"/>
      <c r="HZ236" s="205"/>
      <c r="IA236" s="205">
        <f t="shared" si="2186"/>
        <v>0</v>
      </c>
      <c r="IB236" s="120"/>
      <c r="IC236" s="120"/>
      <c r="ID236" s="120"/>
      <c r="IE236" s="120"/>
      <c r="IF236" s="120"/>
      <c r="IG236" s="205"/>
      <c r="IH236" s="205"/>
      <c r="II236" s="205">
        <f t="shared" si="2187"/>
        <v>0</v>
      </c>
      <c r="IJ236" s="120"/>
      <c r="IK236" s="120"/>
      <c r="IL236" s="201">
        <v>1814</v>
      </c>
      <c r="IM236" s="120"/>
      <c r="IN236" s="120"/>
      <c r="IO236" s="205"/>
      <c r="IP236" s="205"/>
      <c r="IQ236" s="205">
        <f t="shared" si="2188"/>
        <v>1814</v>
      </c>
      <c r="IR236" s="205">
        <f t="shared" si="2189"/>
        <v>3578</v>
      </c>
      <c r="IS236" s="120"/>
      <c r="IT236" s="120"/>
      <c r="IU236" s="120"/>
      <c r="IV236" s="120"/>
      <c r="IW236" s="120"/>
      <c r="IX236" s="205"/>
      <c r="IY236" s="205"/>
      <c r="IZ236" s="205">
        <f t="shared" si="2190"/>
        <v>0</v>
      </c>
      <c r="JA236" s="120"/>
      <c r="JB236" s="120"/>
      <c r="JC236" s="120"/>
      <c r="JD236" s="120"/>
      <c r="JE236" s="120"/>
      <c r="JF236" s="205"/>
      <c r="JG236" s="205"/>
      <c r="JH236" s="205">
        <f t="shared" si="2191"/>
        <v>0</v>
      </c>
      <c r="JI236" s="120"/>
      <c r="JJ236" s="120"/>
      <c r="JK236" s="120"/>
      <c r="JL236" s="120"/>
      <c r="JM236" s="120"/>
      <c r="JN236" s="205"/>
      <c r="JO236" s="205"/>
      <c r="JP236" s="205">
        <f t="shared" si="2192"/>
        <v>0</v>
      </c>
      <c r="JQ236" s="120"/>
      <c r="JR236" s="120"/>
      <c r="JS236" s="120"/>
      <c r="JT236" s="120"/>
      <c r="JU236" s="120"/>
      <c r="JV236" s="205"/>
      <c r="JW236" s="205"/>
      <c r="JX236" s="205">
        <f t="shared" si="2193"/>
        <v>0</v>
      </c>
      <c r="JY236" s="205">
        <f t="shared" si="2194"/>
        <v>0</v>
      </c>
      <c r="JZ236" s="120"/>
      <c r="KA236" s="120"/>
      <c r="KB236" s="120"/>
      <c r="KC236" s="120"/>
      <c r="KD236" s="120"/>
      <c r="KE236" s="205"/>
      <c r="KF236" s="205"/>
      <c r="KG236" s="205">
        <f t="shared" si="2195"/>
        <v>0</v>
      </c>
      <c r="KH236" s="120"/>
      <c r="KI236" s="120"/>
      <c r="KJ236" s="120"/>
      <c r="KK236" s="206">
        <v>814</v>
      </c>
      <c r="KL236" s="120"/>
      <c r="KM236" s="205"/>
      <c r="KN236" s="205"/>
      <c r="KO236" s="205">
        <f t="shared" si="2196"/>
        <v>814</v>
      </c>
      <c r="KP236" s="120"/>
      <c r="KQ236" s="120"/>
      <c r="KR236" s="120"/>
      <c r="KS236" s="120"/>
      <c r="KT236" s="120"/>
      <c r="KU236" s="205"/>
      <c r="KV236" s="205"/>
      <c r="KW236" s="205">
        <f t="shared" si="2197"/>
        <v>0</v>
      </c>
      <c r="KX236" s="120"/>
      <c r="KY236" s="120"/>
      <c r="KZ236" s="120"/>
      <c r="LA236" s="120"/>
      <c r="LB236" s="120"/>
      <c r="LC236" s="205"/>
      <c r="LD236" s="205"/>
      <c r="LE236" s="205">
        <f t="shared" si="2198"/>
        <v>0</v>
      </c>
      <c r="LF236" s="205"/>
      <c r="LG236" s="120"/>
      <c r="LH236" s="120"/>
      <c r="LI236" s="120"/>
      <c r="LJ236" s="120"/>
      <c r="LK236" s="205"/>
      <c r="LL236" s="205"/>
      <c r="LM236" s="205">
        <f t="shared" si="2199"/>
        <v>0</v>
      </c>
      <c r="LN236" s="205">
        <f t="shared" si="2200"/>
        <v>814</v>
      </c>
      <c r="LO236" s="205"/>
      <c r="LP236" s="120"/>
      <c r="LQ236" s="120"/>
      <c r="LR236" s="120"/>
      <c r="LS236" s="205"/>
      <c r="LT236" s="205"/>
      <c r="LU236" s="205"/>
      <c r="LV236" s="205">
        <f t="shared" si="2201"/>
        <v>0</v>
      </c>
      <c r="LW236" s="120"/>
      <c r="LX236" s="120"/>
      <c r="LY236" s="124">
        <v>374</v>
      </c>
      <c r="LZ236" s="120"/>
      <c r="MA236" s="120"/>
      <c r="MB236" s="205"/>
      <c r="MC236" s="205"/>
      <c r="MD236" s="205">
        <f t="shared" si="2202"/>
        <v>374</v>
      </c>
      <c r="ME236" s="120"/>
      <c r="MF236" s="120"/>
      <c r="MG236" s="120"/>
      <c r="MH236" s="201">
        <v>1114</v>
      </c>
      <c r="MI236" s="205"/>
      <c r="MJ236" s="205"/>
      <c r="MK236" s="205"/>
      <c r="ML236" s="205">
        <f t="shared" si="2203"/>
        <v>1114</v>
      </c>
      <c r="MM236" s="120" t="s">
        <v>712</v>
      </c>
      <c r="MN236" s="120"/>
      <c r="MO236" s="120"/>
      <c r="MP236" s="120"/>
      <c r="MQ236" s="120"/>
      <c r="MR236" s="205"/>
      <c r="MS236" s="205"/>
      <c r="MT236" s="205">
        <f t="shared" si="2204"/>
        <v>0</v>
      </c>
      <c r="MU236" s="205">
        <f t="shared" si="2205"/>
        <v>1488</v>
      </c>
      <c r="MV236" s="120"/>
      <c r="MW236" s="120"/>
      <c r="MX236" s="195">
        <v>2014</v>
      </c>
      <c r="MY236" s="120"/>
      <c r="MZ236" s="120"/>
      <c r="NA236" s="205"/>
      <c r="NB236" s="205"/>
      <c r="NC236" s="205">
        <f t="shared" si="2206"/>
        <v>2014</v>
      </c>
      <c r="ND236" s="120"/>
      <c r="NE236" s="120"/>
      <c r="NF236" s="120"/>
      <c r="NG236" s="120"/>
      <c r="NH236" s="120"/>
      <c r="NI236" s="205"/>
      <c r="NJ236" s="205"/>
      <c r="NK236" s="205">
        <f t="shared" si="2207"/>
        <v>0</v>
      </c>
      <c r="NL236" s="120"/>
      <c r="NM236" s="120"/>
      <c r="NN236" s="120"/>
      <c r="NO236" s="120"/>
      <c r="NP236" s="120"/>
      <c r="NQ236" s="205"/>
      <c r="NR236" s="205"/>
      <c r="NS236" s="205">
        <f t="shared" si="2208"/>
        <v>0</v>
      </c>
      <c r="NT236" s="217">
        <v>1014</v>
      </c>
      <c r="NU236" s="120"/>
      <c r="NV236" s="120"/>
      <c r="NW236" s="120"/>
      <c r="NX236" s="120"/>
      <c r="NY236" s="205"/>
      <c r="NZ236" s="205"/>
      <c r="OA236" s="205">
        <f t="shared" si="2209"/>
        <v>1014</v>
      </c>
      <c r="OB236" s="205">
        <f t="shared" si="2210"/>
        <v>3028</v>
      </c>
      <c r="OC236" s="120"/>
      <c r="OD236" s="120"/>
      <c r="OE236" s="120"/>
      <c r="OF236" s="120"/>
      <c r="OG236" s="120"/>
      <c r="OH236" s="205"/>
      <c r="OI236" s="205"/>
      <c r="OJ236" s="205">
        <f t="shared" si="2211"/>
        <v>0</v>
      </c>
      <c r="OK236" s="120"/>
      <c r="OL236" s="120"/>
      <c r="OM236" s="120"/>
      <c r="ON236" s="120"/>
      <c r="OO236" s="120"/>
      <c r="OP236" s="205"/>
      <c r="OQ236" s="205"/>
      <c r="OR236" s="205">
        <f t="shared" si="2212"/>
        <v>0</v>
      </c>
      <c r="OS236" s="120"/>
      <c r="OT236" s="120"/>
      <c r="OU236" s="120"/>
      <c r="OV236" s="120"/>
      <c r="OW236" s="120"/>
      <c r="OX236" s="205"/>
      <c r="OY236" s="205"/>
      <c r="OZ236" s="205">
        <f t="shared" si="2213"/>
        <v>0</v>
      </c>
      <c r="PA236" s="120"/>
      <c r="PB236" s="120"/>
      <c r="PC236" s="120"/>
      <c r="PD236" s="205"/>
      <c r="PE236" s="217"/>
      <c r="PF236" s="205"/>
      <c r="PG236" s="205"/>
      <c r="PH236" s="205">
        <f t="shared" si="2214"/>
        <v>0</v>
      </c>
      <c r="PI236" s="120"/>
      <c r="PJ236" s="120"/>
      <c r="PK236" s="120"/>
      <c r="PL236" s="205"/>
      <c r="PM236" s="217"/>
      <c r="PN236" s="205"/>
      <c r="PO236" s="205"/>
      <c r="PP236" s="205">
        <f t="shared" si="2215"/>
        <v>0</v>
      </c>
      <c r="PQ236" s="205">
        <f t="shared" si="2216"/>
        <v>0</v>
      </c>
      <c r="PR236" s="120"/>
      <c r="PS236" s="207"/>
      <c r="PT236" s="207"/>
      <c r="PU236" s="207"/>
      <c r="PV236" s="207"/>
      <c r="PW236" s="272"/>
      <c r="PX236" s="272"/>
      <c r="PY236" s="205">
        <f t="shared" si="2217"/>
        <v>0</v>
      </c>
      <c r="PZ236" s="207"/>
      <c r="QA236" s="207"/>
      <c r="QB236" s="207"/>
      <c r="QC236" s="207"/>
      <c r="QD236" s="207"/>
      <c r="QE236" s="272"/>
      <c r="QF236" s="272"/>
      <c r="QG236" s="205">
        <f t="shared" si="2218"/>
        <v>0</v>
      </c>
      <c r="QH236" s="207"/>
      <c r="QI236" s="207"/>
      <c r="QJ236" s="294"/>
      <c r="QK236" s="207"/>
      <c r="QL236" s="207"/>
      <c r="QM236" s="272"/>
      <c r="QN236" s="272"/>
      <c r="QO236" s="205">
        <f t="shared" si="2219"/>
        <v>0</v>
      </c>
      <c r="QP236" s="207"/>
      <c r="QQ236" s="120"/>
      <c r="QR236" s="207"/>
      <c r="QS236" s="207"/>
      <c r="QT236" s="207"/>
      <c r="QU236" s="272"/>
      <c r="QV236" s="272"/>
      <c r="QW236" s="205">
        <f t="shared" si="2220"/>
        <v>0</v>
      </c>
      <c r="QX236" s="205">
        <f t="shared" si="2221"/>
        <v>0</v>
      </c>
      <c r="QY236" s="207"/>
      <c r="QZ236" s="207"/>
      <c r="RA236" s="207"/>
      <c r="RB236" s="207"/>
      <c r="RC236" s="207"/>
      <c r="RD236" s="272"/>
      <c r="RE236" s="272"/>
      <c r="RF236" s="205">
        <f t="shared" si="2148"/>
        <v>0</v>
      </c>
      <c r="RG236" s="207"/>
      <c r="RH236" s="207"/>
      <c r="RI236" s="207"/>
      <c r="RJ236" s="120"/>
      <c r="RK236" s="207"/>
      <c r="RL236" s="272"/>
      <c r="RM236" s="272"/>
      <c r="RN236" s="205">
        <f t="shared" si="2096"/>
        <v>0</v>
      </c>
      <c r="RO236" s="272"/>
      <c r="RP236" s="272"/>
      <c r="RQ236" s="272"/>
      <c r="RR236" s="272"/>
      <c r="RS236" s="272"/>
      <c r="RT236" s="272"/>
      <c r="RU236" s="272"/>
      <c r="RV236" s="205">
        <f t="shared" si="2097"/>
        <v>0</v>
      </c>
      <c r="RW236" s="207"/>
      <c r="RX236" s="207"/>
      <c r="RY236" s="207"/>
      <c r="RZ236" s="207"/>
      <c r="SA236" s="272"/>
      <c r="SB236" s="272"/>
      <c r="SC236" s="272"/>
      <c r="SD236" s="205">
        <f t="shared" si="2224"/>
        <v>0</v>
      </c>
      <c r="SE236" s="205">
        <f t="shared" si="2225"/>
        <v>0</v>
      </c>
      <c r="SF236" s="207"/>
      <c r="SG236" s="207"/>
      <c r="SH236" s="207"/>
      <c r="SI236" s="207"/>
      <c r="SJ236" s="207"/>
      <c r="SK236" s="272"/>
      <c r="SL236" s="272"/>
      <c r="SM236" s="205">
        <f t="shared" si="2100"/>
        <v>0</v>
      </c>
      <c r="SN236" s="207"/>
      <c r="SO236" s="207"/>
      <c r="SP236" s="207"/>
      <c r="SQ236" s="207"/>
      <c r="SR236" s="207"/>
      <c r="SS236" s="272"/>
      <c r="ST236" s="272"/>
      <c r="SU236" s="205">
        <f t="shared" si="2101"/>
        <v>0</v>
      </c>
      <c r="SV236" s="207"/>
      <c r="SW236" s="207"/>
      <c r="SX236" s="207"/>
      <c r="SY236" s="207"/>
      <c r="SZ236" s="207"/>
      <c r="TA236" s="272"/>
      <c r="TB236" s="272"/>
      <c r="TC236" s="205">
        <f t="shared" si="2102"/>
        <v>0</v>
      </c>
      <c r="TD236" s="207"/>
      <c r="TE236" s="207"/>
      <c r="TF236" s="207"/>
      <c r="TG236" s="207"/>
      <c r="TH236" s="207"/>
      <c r="TI236" s="272"/>
      <c r="TJ236" s="272"/>
      <c r="TK236" s="205">
        <f t="shared" si="2142"/>
        <v>0</v>
      </c>
      <c r="TL236" s="207"/>
      <c r="TM236" s="207"/>
      <c r="TN236" s="207"/>
      <c r="TO236" s="140"/>
      <c r="TP236" s="272"/>
      <c r="TQ236" s="272"/>
      <c r="TR236" s="272"/>
      <c r="TS236" s="205">
        <f t="shared" ref="TS236:TS241" si="2226">SUM(TL236:TR236)</f>
        <v>0</v>
      </c>
      <c r="TT236" s="205">
        <f t="shared" ref="TT236:TT241" si="2227">SUM(TL236:TM236,TK236,TC236,SU236,SM236,SC236)</f>
        <v>0</v>
      </c>
      <c r="TU236" s="272"/>
      <c r="TV236" s="207"/>
      <c r="TW236" s="140"/>
      <c r="TX236" s="207"/>
      <c r="TY236" s="207"/>
      <c r="TZ236" s="272"/>
      <c r="UA236" s="272"/>
      <c r="UB236" s="205">
        <f t="shared" si="2012"/>
        <v>0</v>
      </c>
      <c r="UC236" s="207"/>
      <c r="UD236" s="207"/>
      <c r="UE236" s="207"/>
      <c r="UF236" s="207"/>
      <c r="UG236" s="207"/>
      <c r="UH236" s="272"/>
      <c r="UI236" s="272"/>
      <c r="UJ236" s="205">
        <f t="shared" si="2013"/>
        <v>0</v>
      </c>
      <c r="UK236" s="207"/>
      <c r="UL236" s="207"/>
      <c r="UM236" s="207"/>
      <c r="UN236" s="207"/>
      <c r="UO236" s="207"/>
      <c r="UP236" s="272"/>
      <c r="UQ236" s="272"/>
      <c r="UR236" s="205">
        <f t="shared" si="2014"/>
        <v>0</v>
      </c>
      <c r="US236" s="207"/>
      <c r="UT236" s="207"/>
      <c r="UU236" s="207"/>
      <c r="UV236" s="207"/>
      <c r="UW236" s="272"/>
      <c r="UX236" s="272"/>
      <c r="UY236" s="272"/>
      <c r="UZ236" s="205">
        <f t="shared" si="2145"/>
        <v>0</v>
      </c>
      <c r="VA236" s="205">
        <f>SUM(TN236:TR236,UB236,UJ236,UR236,US236:UV236)</f>
        <v>0</v>
      </c>
      <c r="VB236" s="207"/>
      <c r="VC236" s="201">
        <v>140</v>
      </c>
      <c r="VD236" s="207"/>
      <c r="VE236" s="207"/>
      <c r="VF236" s="201">
        <v>500</v>
      </c>
      <c r="VG236" s="272"/>
      <c r="VH236" s="272"/>
      <c r="VI236" s="205">
        <f t="shared" si="2005"/>
        <v>640</v>
      </c>
      <c r="VJ236" s="207"/>
      <c r="VK236" s="207"/>
      <c r="VL236" s="207"/>
      <c r="VM236" s="207"/>
      <c r="VN236" s="207"/>
      <c r="VO236" s="272"/>
      <c r="VP236" s="272"/>
      <c r="VQ236" s="205">
        <f t="shared" si="2015"/>
        <v>0</v>
      </c>
      <c r="VR236" s="120"/>
      <c r="VS236" s="207"/>
      <c r="VT236" s="207"/>
      <c r="VU236" s="207"/>
      <c r="VV236" s="207"/>
      <c r="VW236" s="272"/>
      <c r="VX236" s="272"/>
      <c r="VY236" s="205">
        <f t="shared" si="2006"/>
        <v>0</v>
      </c>
      <c r="VZ236" s="207"/>
      <c r="WA236" s="207"/>
      <c r="WB236" s="207"/>
      <c r="WC236" s="356"/>
      <c r="WD236" s="207"/>
      <c r="WE236" s="272"/>
      <c r="WF236" s="272"/>
      <c r="WG236" s="205">
        <f t="shared" si="2007"/>
        <v>0</v>
      </c>
      <c r="WH236" s="205">
        <f t="shared" si="2008"/>
        <v>640</v>
      </c>
      <c r="WI236" s="207"/>
      <c r="WJ236" s="207"/>
      <c r="WK236" s="207"/>
      <c r="WL236" s="207"/>
      <c r="WM236" s="207"/>
      <c r="WN236" s="272"/>
      <c r="WO236" s="272"/>
      <c r="WP236" s="205">
        <f>SUM(WD236:WO236)</f>
        <v>640</v>
      </c>
      <c r="WQ236" s="207"/>
      <c r="WR236" s="207"/>
      <c r="WS236" s="207"/>
      <c r="WT236" s="207"/>
      <c r="WU236" s="207"/>
      <c r="WV236" s="272"/>
      <c r="WW236" s="272"/>
      <c r="WX236" s="205">
        <f t="shared" si="2017"/>
        <v>0</v>
      </c>
      <c r="WY236" s="207"/>
      <c r="WZ236" s="207"/>
      <c r="XA236" s="207"/>
      <c r="XB236" s="207"/>
      <c r="XC236" s="272"/>
      <c r="XD236" s="272"/>
      <c r="XE236" s="272"/>
      <c r="XF236" s="205">
        <f t="shared" si="2009"/>
        <v>0</v>
      </c>
      <c r="XG236" s="207"/>
      <c r="XH236" s="207"/>
      <c r="XI236" s="207"/>
      <c r="XJ236" s="207"/>
      <c r="XK236" s="207"/>
      <c r="XL236" s="272"/>
      <c r="XM236" s="272"/>
      <c r="XN236" s="205">
        <f t="shared" si="2105"/>
        <v>0</v>
      </c>
      <c r="XO236" s="207"/>
      <c r="XP236" s="207"/>
      <c r="XQ236" s="207"/>
      <c r="XR236" s="207"/>
      <c r="XS236" s="207"/>
      <c r="XT236" s="272"/>
      <c r="XU236" s="272"/>
      <c r="XV236" s="205">
        <f t="shared" si="2222"/>
        <v>0</v>
      </c>
      <c r="XW236" s="205">
        <f t="shared" si="2223"/>
        <v>640</v>
      </c>
      <c r="XX236" s="207"/>
      <c r="XY236" s="207"/>
      <c r="XZ236" s="207"/>
      <c r="YA236" s="207"/>
      <c r="YB236" s="207"/>
      <c r="YC236" s="272"/>
      <c r="YD236" s="272"/>
      <c r="YE236" s="205">
        <f t="shared" si="2018"/>
        <v>0</v>
      </c>
      <c r="YF236" s="207"/>
      <c r="YG236" s="207"/>
      <c r="YH236" s="207"/>
      <c r="YI236" s="207"/>
      <c r="YJ236" s="207"/>
      <c r="YK236" s="272"/>
      <c r="YL236" s="272"/>
      <c r="YM236" s="205">
        <f t="shared" si="2019"/>
        <v>0</v>
      </c>
      <c r="YN236" s="207"/>
      <c r="YO236" s="207"/>
      <c r="YP236" s="207"/>
      <c r="YQ236" s="207"/>
      <c r="YR236" s="207"/>
      <c r="YS236" s="272"/>
      <c r="YT236" s="272"/>
      <c r="YU236" s="205">
        <f t="shared" si="2020"/>
        <v>0</v>
      </c>
      <c r="YV236" s="207"/>
      <c r="YW236" s="207"/>
      <c r="YX236" s="207"/>
      <c r="YY236" s="207"/>
      <c r="YZ236" s="207"/>
      <c r="ZA236" s="272"/>
      <c r="ZB236" s="272"/>
      <c r="ZC236" s="205">
        <f t="shared" si="2021"/>
        <v>0</v>
      </c>
      <c r="ZD236" s="205">
        <f t="shared" si="2022"/>
        <v>640</v>
      </c>
      <c r="ZE236" s="207"/>
      <c r="ZF236" s="207"/>
      <c r="ZG236" s="207"/>
      <c r="ZH236" s="207"/>
      <c r="ZI236" s="207"/>
      <c r="ZJ236" s="272"/>
      <c r="ZK236" s="272"/>
      <c r="ZL236" s="205">
        <f t="shared" si="2023"/>
        <v>0</v>
      </c>
      <c r="ZM236" s="207"/>
      <c r="ZN236" s="207"/>
      <c r="ZO236" s="207"/>
      <c r="ZP236" s="207"/>
      <c r="ZQ236" s="207"/>
      <c r="ZR236" s="272"/>
      <c r="ZS236" s="272"/>
      <c r="ZT236" s="205">
        <f t="shared" si="2010"/>
        <v>0</v>
      </c>
      <c r="ZU236" s="207"/>
      <c r="ZV236" s="207"/>
      <c r="ZW236" s="207"/>
      <c r="ZX236" s="207"/>
      <c r="ZY236" s="207"/>
      <c r="ZZ236" s="272"/>
      <c r="AAA236" s="272"/>
      <c r="AAB236" s="205">
        <f t="shared" si="2024"/>
        <v>0</v>
      </c>
      <c r="AAC236" s="207"/>
      <c r="AAD236" s="207"/>
      <c r="AAE236" s="207"/>
      <c r="AAF236" s="207"/>
      <c r="AAG236" s="207"/>
      <c r="AAH236" s="272"/>
      <c r="AAI236" s="272"/>
      <c r="AAJ236" s="205">
        <f t="shared" si="2011"/>
        <v>0</v>
      </c>
      <c r="AAK236" s="207"/>
      <c r="AAL236" s="207"/>
      <c r="AAM236" s="207"/>
      <c r="AAN236" s="207"/>
      <c r="AAO236" s="207"/>
      <c r="AAP236" s="272"/>
      <c r="AAQ236" s="272"/>
      <c r="AAR236" s="205">
        <f t="shared" si="2025"/>
        <v>0</v>
      </c>
      <c r="AAS236" s="205">
        <f t="shared" si="2026"/>
        <v>0</v>
      </c>
    </row>
    <row r="237" spans="1:721" ht="67.5" hidden="1">
      <c r="A237" s="117">
        <v>10</v>
      </c>
      <c r="B237" s="352">
        <v>3630102406</v>
      </c>
      <c r="C237" s="366" t="s">
        <v>882</v>
      </c>
      <c r="D237" s="353" t="s">
        <v>873</v>
      </c>
      <c r="E237" s="130" t="s">
        <v>4</v>
      </c>
      <c r="F237" s="120"/>
      <c r="G237" s="120"/>
      <c r="H237" s="120"/>
      <c r="I237" s="120"/>
      <c r="J237" s="120"/>
      <c r="K237" s="209"/>
      <c r="L237" s="205"/>
      <c r="M237" s="205">
        <f t="shared" si="2108"/>
        <v>0</v>
      </c>
      <c r="N237" s="120"/>
      <c r="O237" s="120"/>
      <c r="P237" s="120"/>
      <c r="Q237" s="120"/>
      <c r="R237" s="120"/>
      <c r="S237" s="209"/>
      <c r="T237" s="205"/>
      <c r="U237" s="205">
        <f t="shared" si="2155"/>
        <v>0</v>
      </c>
      <c r="V237" s="120"/>
      <c r="W237" s="120"/>
      <c r="X237" s="120"/>
      <c r="Y237" s="120"/>
      <c r="Z237" s="120"/>
      <c r="AA237" s="209"/>
      <c r="AB237" s="205"/>
      <c r="AC237" s="205">
        <f t="shared" si="2156"/>
        <v>0</v>
      </c>
      <c r="AD237" s="205"/>
      <c r="AE237" s="205"/>
      <c r="AF237" s="205"/>
      <c r="AG237" s="205"/>
      <c r="AH237" s="205"/>
      <c r="AI237" s="209"/>
      <c r="AJ237" s="205"/>
      <c r="AK237" s="205">
        <f t="shared" si="2157"/>
        <v>0</v>
      </c>
      <c r="AL237" s="205" t="e">
        <f>SUM(#REF!,M237,U237,AC237,AD237:AH237)</f>
        <v>#REF!</v>
      </c>
      <c r="AM237" s="120"/>
      <c r="AN237" s="120"/>
      <c r="AO237" s="120"/>
      <c r="AP237" s="120"/>
      <c r="AQ237" s="120"/>
      <c r="AR237" s="209"/>
      <c r="AS237" s="205"/>
      <c r="AT237" s="205">
        <f t="shared" si="2158"/>
        <v>0</v>
      </c>
      <c r="AU237" s="120"/>
      <c r="AV237" s="120"/>
      <c r="AW237" s="120"/>
      <c r="AX237" s="120"/>
      <c r="AY237" s="120"/>
      <c r="AZ237" s="209"/>
      <c r="BA237" s="205"/>
      <c r="BB237" s="205">
        <f t="shared" si="2159"/>
        <v>0</v>
      </c>
      <c r="BC237" s="120"/>
      <c r="BD237" s="120"/>
      <c r="BE237" s="120"/>
      <c r="BF237" s="120"/>
      <c r="BG237" s="120"/>
      <c r="BH237" s="209"/>
      <c r="BI237" s="205"/>
      <c r="BJ237" s="205">
        <f t="shared" si="2160"/>
        <v>0</v>
      </c>
      <c r="BK237" s="120"/>
      <c r="BL237" s="120"/>
      <c r="BM237" s="217">
        <v>3115</v>
      </c>
      <c r="BN237" s="120"/>
      <c r="BO237" s="205"/>
      <c r="BP237" s="209"/>
      <c r="BQ237" s="205"/>
      <c r="BR237" s="205">
        <f t="shared" si="2161"/>
        <v>3115</v>
      </c>
      <c r="BS237" s="205">
        <f t="shared" si="2162"/>
        <v>3115</v>
      </c>
      <c r="BT237" s="120"/>
      <c r="BU237" s="250">
        <v>715</v>
      </c>
      <c r="BV237" s="120"/>
      <c r="BW237" s="120"/>
      <c r="BX237" s="120"/>
      <c r="BY237" s="209"/>
      <c r="BZ237" s="205"/>
      <c r="CA237" s="205">
        <f t="shared" si="2163"/>
        <v>715</v>
      </c>
      <c r="CB237" s="120"/>
      <c r="CC237" s="120"/>
      <c r="CD237" s="120"/>
      <c r="CE237" s="120"/>
      <c r="CF237" s="120"/>
      <c r="CG237" s="209"/>
      <c r="CH237" s="205"/>
      <c r="CI237" s="205">
        <f t="shared" si="2164"/>
        <v>0</v>
      </c>
      <c r="CJ237" s="120"/>
      <c r="CK237" s="120"/>
      <c r="CL237" s="250">
        <v>1215</v>
      </c>
      <c r="CM237" s="120"/>
      <c r="CN237" s="120"/>
      <c r="CO237" s="209"/>
      <c r="CP237" s="205"/>
      <c r="CQ237" s="205">
        <f t="shared" si="2165"/>
        <v>1215</v>
      </c>
      <c r="CR237" s="120" t="s">
        <v>216</v>
      </c>
      <c r="CS237" s="120"/>
      <c r="CT237" s="120"/>
      <c r="CU237" s="120"/>
      <c r="CV237" s="120"/>
      <c r="CW237" s="209"/>
      <c r="CX237" s="205"/>
      <c r="CY237" s="205">
        <f t="shared" si="2166"/>
        <v>0</v>
      </c>
      <c r="CZ237" s="120"/>
      <c r="DA237" s="120"/>
      <c r="DB237" s="120"/>
      <c r="DC237" s="205"/>
      <c r="DD237" s="205"/>
      <c r="DE237" s="209"/>
      <c r="DF237" s="205"/>
      <c r="DG237" s="205">
        <f t="shared" si="2167"/>
        <v>0</v>
      </c>
      <c r="DH237" s="205">
        <f t="shared" si="2168"/>
        <v>1930</v>
      </c>
      <c r="DI237" s="120"/>
      <c r="DJ237" s="120"/>
      <c r="DK237" s="120"/>
      <c r="DL237" s="120"/>
      <c r="DM237" s="120"/>
      <c r="DN237" s="209"/>
      <c r="DO237" s="205"/>
      <c r="DP237" s="205">
        <f t="shared" si="2169"/>
        <v>0</v>
      </c>
      <c r="DQ237" s="217">
        <v>665</v>
      </c>
      <c r="DR237" s="120"/>
      <c r="DS237" s="120"/>
      <c r="DT237" s="120"/>
      <c r="DU237" s="120"/>
      <c r="DV237" s="209"/>
      <c r="DW237" s="205"/>
      <c r="DX237" s="205">
        <f t="shared" si="2170"/>
        <v>665</v>
      </c>
      <c r="DY237" s="120"/>
      <c r="DZ237" s="120"/>
      <c r="EA237" s="120"/>
      <c r="EB237" s="120"/>
      <c r="EC237" s="120"/>
      <c r="ED237" s="209"/>
      <c r="EE237" s="205"/>
      <c r="EF237" s="205">
        <f t="shared" si="2171"/>
        <v>0</v>
      </c>
      <c r="EG237" s="120"/>
      <c r="EH237" s="120"/>
      <c r="EI237" s="120"/>
      <c r="EJ237" s="205"/>
      <c r="EK237" s="205"/>
      <c r="EL237" s="209"/>
      <c r="EM237" s="205"/>
      <c r="EN237" s="205">
        <f t="shared" si="2172"/>
        <v>0</v>
      </c>
      <c r="EO237" s="205">
        <f t="shared" si="2173"/>
        <v>665</v>
      </c>
      <c r="EP237" s="120"/>
      <c r="EQ237" s="250">
        <v>515</v>
      </c>
      <c r="ER237" s="120"/>
      <c r="ES237" s="120"/>
      <c r="ET237" s="120"/>
      <c r="EU237" s="209"/>
      <c r="EV237" s="205"/>
      <c r="EW237" s="205">
        <f t="shared" si="2174"/>
        <v>515</v>
      </c>
      <c r="EX237" s="120"/>
      <c r="EY237" s="120"/>
      <c r="EZ237" s="120"/>
      <c r="FA237" s="120"/>
      <c r="FB237" s="120"/>
      <c r="FC237" s="209"/>
      <c r="FD237" s="205"/>
      <c r="FE237" s="205">
        <f t="shared" si="2175"/>
        <v>0</v>
      </c>
      <c r="FF237" s="120"/>
      <c r="FG237" s="195">
        <v>515</v>
      </c>
      <c r="FH237" s="120"/>
      <c r="FI237" s="120"/>
      <c r="FJ237" s="120"/>
      <c r="FK237" s="209"/>
      <c r="FL237" s="205"/>
      <c r="FM237" s="205">
        <f t="shared" si="2176"/>
        <v>515</v>
      </c>
      <c r="FN237" s="120"/>
      <c r="FO237" s="120"/>
      <c r="FP237" s="120"/>
      <c r="FQ237" s="120"/>
      <c r="FR237" s="205"/>
      <c r="FS237" s="209"/>
      <c r="FT237" s="205"/>
      <c r="FU237" s="205">
        <f t="shared" si="2177"/>
        <v>0</v>
      </c>
      <c r="FV237" s="205">
        <f t="shared" si="2178"/>
        <v>1030</v>
      </c>
      <c r="FW237" s="120"/>
      <c r="FX237" s="120"/>
      <c r="FY237" s="120"/>
      <c r="FZ237" s="120"/>
      <c r="GA237" s="120"/>
      <c r="GB237" s="209"/>
      <c r="GC237" s="205"/>
      <c r="GD237" s="205">
        <f t="shared" si="2179"/>
        <v>0</v>
      </c>
      <c r="GE237" s="120"/>
      <c r="GF237" s="120"/>
      <c r="GG237" s="120"/>
      <c r="GH237" s="120"/>
      <c r="GI237" s="120"/>
      <c r="GJ237" s="209"/>
      <c r="GK237" s="205"/>
      <c r="GL237" s="205">
        <f t="shared" si="2180"/>
        <v>0</v>
      </c>
      <c r="GM237" s="120"/>
      <c r="GN237" s="120"/>
      <c r="GO237" s="120"/>
      <c r="GP237" s="120"/>
      <c r="GQ237" s="120"/>
      <c r="GR237" s="209"/>
      <c r="GS237" s="205"/>
      <c r="GT237" s="205">
        <f t="shared" si="2181"/>
        <v>0</v>
      </c>
      <c r="GU237" s="120"/>
      <c r="GV237" s="120"/>
      <c r="GW237" s="120"/>
      <c r="GX237" s="120"/>
      <c r="GY237" s="120"/>
      <c r="GZ237" s="209"/>
      <c r="HA237" s="205"/>
      <c r="HB237" s="205">
        <f t="shared" si="2182"/>
        <v>0</v>
      </c>
      <c r="HC237" s="120"/>
      <c r="HD237" s="120"/>
      <c r="HE237" s="120"/>
      <c r="HF237" s="120"/>
      <c r="HG237" s="120"/>
      <c r="HH237" s="209"/>
      <c r="HI237" s="205"/>
      <c r="HJ237" s="205">
        <f t="shared" si="2183"/>
        <v>0</v>
      </c>
      <c r="HK237" s="205">
        <f t="shared" si="2184"/>
        <v>0</v>
      </c>
      <c r="HL237" s="124"/>
      <c r="HM237" s="120"/>
      <c r="HN237" s="120"/>
      <c r="HO237" s="123">
        <v>1765</v>
      </c>
      <c r="HP237" s="120"/>
      <c r="HQ237" s="205"/>
      <c r="HR237" s="205"/>
      <c r="HS237" s="205">
        <f t="shared" si="2185"/>
        <v>1765</v>
      </c>
      <c r="HT237" s="120"/>
      <c r="HU237" s="120"/>
      <c r="HV237" s="120"/>
      <c r="HW237" s="120"/>
      <c r="HX237" s="120"/>
      <c r="HY237" s="205"/>
      <c r="HZ237" s="205"/>
      <c r="IA237" s="205">
        <f t="shared" si="2186"/>
        <v>0</v>
      </c>
      <c r="IB237" s="120"/>
      <c r="IC237" s="120"/>
      <c r="ID237" s="120"/>
      <c r="IE237" s="120"/>
      <c r="IF237" s="120"/>
      <c r="IG237" s="205"/>
      <c r="IH237" s="205"/>
      <c r="II237" s="205">
        <f t="shared" si="2187"/>
        <v>0</v>
      </c>
      <c r="IJ237" s="120"/>
      <c r="IK237" s="120"/>
      <c r="IL237" s="201">
        <v>1815</v>
      </c>
      <c r="IM237" s="120"/>
      <c r="IN237" s="120"/>
      <c r="IO237" s="205"/>
      <c r="IP237" s="205"/>
      <c r="IQ237" s="205">
        <f t="shared" si="2188"/>
        <v>1815</v>
      </c>
      <c r="IR237" s="205">
        <f t="shared" si="2189"/>
        <v>3580</v>
      </c>
      <c r="IS237" s="120"/>
      <c r="IT237" s="120"/>
      <c r="IU237" s="120"/>
      <c r="IV237" s="120"/>
      <c r="IW237" s="120"/>
      <c r="IX237" s="205"/>
      <c r="IY237" s="205"/>
      <c r="IZ237" s="205">
        <f t="shared" si="2190"/>
        <v>0</v>
      </c>
      <c r="JA237" s="120"/>
      <c r="JB237" s="120"/>
      <c r="JC237" s="120"/>
      <c r="JD237" s="120"/>
      <c r="JE237" s="120"/>
      <c r="JF237" s="205"/>
      <c r="JG237" s="205"/>
      <c r="JH237" s="205">
        <f t="shared" si="2191"/>
        <v>0</v>
      </c>
      <c r="JI237" s="120"/>
      <c r="JJ237" s="120"/>
      <c r="JK237" s="120"/>
      <c r="JL237" s="120"/>
      <c r="JM237" s="120"/>
      <c r="JN237" s="205"/>
      <c r="JO237" s="205"/>
      <c r="JP237" s="205">
        <f t="shared" si="2192"/>
        <v>0</v>
      </c>
      <c r="JQ237" s="120"/>
      <c r="JR237" s="120"/>
      <c r="JS237" s="120"/>
      <c r="JT237" s="120"/>
      <c r="JU237" s="120"/>
      <c r="JV237" s="205"/>
      <c r="JW237" s="205"/>
      <c r="JX237" s="205">
        <f t="shared" si="2193"/>
        <v>0</v>
      </c>
      <c r="JY237" s="205">
        <f t="shared" si="2194"/>
        <v>0</v>
      </c>
      <c r="JZ237" s="120"/>
      <c r="KA237" s="120"/>
      <c r="KB237" s="120"/>
      <c r="KC237" s="120"/>
      <c r="KD237" s="120"/>
      <c r="KE237" s="205"/>
      <c r="KF237" s="205"/>
      <c r="KG237" s="205">
        <f t="shared" si="2195"/>
        <v>0</v>
      </c>
      <c r="KH237" s="120"/>
      <c r="KI237" s="120"/>
      <c r="KJ237" s="120"/>
      <c r="KK237" s="206">
        <v>815</v>
      </c>
      <c r="KL237" s="120"/>
      <c r="KM237" s="205"/>
      <c r="KN237" s="205"/>
      <c r="KO237" s="205">
        <f t="shared" si="2196"/>
        <v>815</v>
      </c>
      <c r="KP237" s="120"/>
      <c r="KQ237" s="120"/>
      <c r="KR237" s="120"/>
      <c r="KS237" s="120"/>
      <c r="KT237" s="120"/>
      <c r="KU237" s="205"/>
      <c r="KV237" s="205"/>
      <c r="KW237" s="205">
        <f t="shared" si="2197"/>
        <v>0</v>
      </c>
      <c r="KX237" s="120"/>
      <c r="KY237" s="120"/>
      <c r="KZ237" s="120"/>
      <c r="LA237" s="120"/>
      <c r="LB237" s="120"/>
      <c r="LC237" s="205"/>
      <c r="LD237" s="205"/>
      <c r="LE237" s="205">
        <f t="shared" si="2198"/>
        <v>0</v>
      </c>
      <c r="LF237" s="205"/>
      <c r="LG237" s="120"/>
      <c r="LH237" s="120"/>
      <c r="LI237" s="120"/>
      <c r="LJ237" s="120"/>
      <c r="LK237" s="205"/>
      <c r="LL237" s="205"/>
      <c r="LM237" s="205">
        <f t="shared" si="2199"/>
        <v>0</v>
      </c>
      <c r="LN237" s="205">
        <f t="shared" si="2200"/>
        <v>815</v>
      </c>
      <c r="LO237" s="205"/>
      <c r="LP237" s="120"/>
      <c r="LQ237" s="120"/>
      <c r="LR237" s="120"/>
      <c r="LS237" s="205"/>
      <c r="LT237" s="205"/>
      <c r="LU237" s="205"/>
      <c r="LV237" s="205">
        <f t="shared" si="2201"/>
        <v>0</v>
      </c>
      <c r="LW237" s="120"/>
      <c r="LX237" s="120"/>
      <c r="LY237" s="124">
        <v>375</v>
      </c>
      <c r="LZ237" s="120"/>
      <c r="MA237" s="120"/>
      <c r="MB237" s="205"/>
      <c r="MC237" s="205"/>
      <c r="MD237" s="205">
        <f t="shared" si="2202"/>
        <v>375</v>
      </c>
      <c r="ME237" s="120"/>
      <c r="MF237" s="120"/>
      <c r="MG237" s="120"/>
      <c r="MH237" s="201">
        <v>1115</v>
      </c>
      <c r="MI237" s="205"/>
      <c r="MJ237" s="205"/>
      <c r="MK237" s="205"/>
      <c r="ML237" s="205">
        <f t="shared" si="2203"/>
        <v>1115</v>
      </c>
      <c r="MM237" s="120" t="s">
        <v>712</v>
      </c>
      <c r="MN237" s="120"/>
      <c r="MO237" s="120"/>
      <c r="MP237" s="120"/>
      <c r="MQ237" s="120"/>
      <c r="MR237" s="205"/>
      <c r="MS237" s="205"/>
      <c r="MT237" s="205">
        <f t="shared" si="2204"/>
        <v>0</v>
      </c>
      <c r="MU237" s="205">
        <f t="shared" si="2205"/>
        <v>1490</v>
      </c>
      <c r="MV237" s="120"/>
      <c r="MW237" s="120"/>
      <c r="MX237" s="195">
        <v>2015</v>
      </c>
      <c r="MY237" s="120"/>
      <c r="MZ237" s="120"/>
      <c r="NA237" s="205"/>
      <c r="NB237" s="205"/>
      <c r="NC237" s="205">
        <f t="shared" si="2206"/>
        <v>2015</v>
      </c>
      <c r="ND237" s="120"/>
      <c r="NE237" s="120"/>
      <c r="NF237" s="120"/>
      <c r="NG237" s="120"/>
      <c r="NH237" s="120"/>
      <c r="NI237" s="205"/>
      <c r="NJ237" s="205"/>
      <c r="NK237" s="205">
        <f t="shared" si="2207"/>
        <v>0</v>
      </c>
      <c r="NL237" s="120"/>
      <c r="NM237" s="120"/>
      <c r="NN237" s="120"/>
      <c r="NO237" s="120"/>
      <c r="NP237" s="120"/>
      <c r="NQ237" s="205"/>
      <c r="NR237" s="205"/>
      <c r="NS237" s="205">
        <f t="shared" si="2208"/>
        <v>0</v>
      </c>
      <c r="NT237" s="217">
        <v>1015</v>
      </c>
      <c r="NU237" s="120"/>
      <c r="NV237" s="120"/>
      <c r="NW237" s="120"/>
      <c r="NX237" s="120"/>
      <c r="NY237" s="205"/>
      <c r="NZ237" s="205"/>
      <c r="OA237" s="205">
        <f t="shared" si="2209"/>
        <v>1015</v>
      </c>
      <c r="OB237" s="205">
        <f t="shared" si="2210"/>
        <v>3030</v>
      </c>
      <c r="OC237" s="120"/>
      <c r="OD237" s="120"/>
      <c r="OE237" s="120"/>
      <c r="OF237" s="120"/>
      <c r="OG237" s="120"/>
      <c r="OH237" s="205"/>
      <c r="OI237" s="205"/>
      <c r="OJ237" s="205">
        <f t="shared" si="2211"/>
        <v>0</v>
      </c>
      <c r="OK237" s="120"/>
      <c r="OL237" s="120"/>
      <c r="OM237" s="120"/>
      <c r="ON237" s="120"/>
      <c r="OO237" s="120"/>
      <c r="OP237" s="205"/>
      <c r="OQ237" s="205"/>
      <c r="OR237" s="205">
        <f t="shared" si="2212"/>
        <v>0</v>
      </c>
      <c r="OS237" s="120"/>
      <c r="OT237" s="120"/>
      <c r="OU237" s="120"/>
      <c r="OV237" s="120"/>
      <c r="OW237" s="120"/>
      <c r="OX237" s="205"/>
      <c r="OY237" s="205"/>
      <c r="OZ237" s="205">
        <f t="shared" si="2213"/>
        <v>0</v>
      </c>
      <c r="PA237" s="120"/>
      <c r="PB237" s="120"/>
      <c r="PC237" s="120"/>
      <c r="PD237" s="205"/>
      <c r="PE237" s="217"/>
      <c r="PF237" s="205"/>
      <c r="PG237" s="205"/>
      <c r="PH237" s="205">
        <f t="shared" si="2214"/>
        <v>0</v>
      </c>
      <c r="PI237" s="120"/>
      <c r="PJ237" s="120"/>
      <c r="PK237" s="120"/>
      <c r="PL237" s="205"/>
      <c r="PM237" s="217"/>
      <c r="PN237" s="205"/>
      <c r="PO237" s="205"/>
      <c r="PP237" s="205">
        <f t="shared" si="2215"/>
        <v>0</v>
      </c>
      <c r="PQ237" s="205">
        <f t="shared" si="2216"/>
        <v>0</v>
      </c>
      <c r="PR237" s="120"/>
      <c r="PS237" s="207"/>
      <c r="PT237" s="207"/>
      <c r="PU237" s="207"/>
      <c r="PV237" s="207"/>
      <c r="PW237" s="272"/>
      <c r="PX237" s="272"/>
      <c r="PY237" s="205">
        <f t="shared" si="2217"/>
        <v>0</v>
      </c>
      <c r="PZ237" s="207"/>
      <c r="QA237" s="207"/>
      <c r="QB237" s="207"/>
      <c r="QC237" s="207"/>
      <c r="QD237" s="207"/>
      <c r="QE237" s="272"/>
      <c r="QF237" s="272"/>
      <c r="QG237" s="205">
        <f t="shared" si="2218"/>
        <v>0</v>
      </c>
      <c r="QH237" s="207"/>
      <c r="QI237" s="207"/>
      <c r="QJ237" s="294"/>
      <c r="QK237" s="207"/>
      <c r="QL237" s="207"/>
      <c r="QM237" s="272"/>
      <c r="QN237" s="272"/>
      <c r="QO237" s="205">
        <f t="shared" si="2219"/>
        <v>0</v>
      </c>
      <c r="QP237" s="207"/>
      <c r="QQ237" s="120"/>
      <c r="QR237" s="207"/>
      <c r="QS237" s="207"/>
      <c r="QT237" s="207"/>
      <c r="QU237" s="272"/>
      <c r="QV237" s="272"/>
      <c r="QW237" s="205">
        <f t="shared" si="2220"/>
        <v>0</v>
      </c>
      <c r="QX237" s="205">
        <f t="shared" si="2221"/>
        <v>0</v>
      </c>
      <c r="QY237" s="207"/>
      <c r="QZ237" s="207"/>
      <c r="RA237" s="207"/>
      <c r="RB237" s="207"/>
      <c r="RC237" s="207"/>
      <c r="RD237" s="272"/>
      <c r="RE237" s="272"/>
      <c r="RF237" s="205">
        <f t="shared" si="2148"/>
        <v>0</v>
      </c>
      <c r="RG237" s="207"/>
      <c r="RH237" s="207"/>
      <c r="RI237" s="207"/>
      <c r="RJ237" s="120"/>
      <c r="RK237" s="207"/>
      <c r="RL237" s="272"/>
      <c r="RM237" s="272"/>
      <c r="RN237" s="205">
        <f t="shared" si="2096"/>
        <v>0</v>
      </c>
      <c r="RO237" s="272"/>
      <c r="RP237" s="272"/>
      <c r="RQ237" s="272"/>
      <c r="RR237" s="272"/>
      <c r="RS237" s="272"/>
      <c r="RT237" s="272"/>
      <c r="RU237" s="272"/>
      <c r="RV237" s="205">
        <f t="shared" si="2097"/>
        <v>0</v>
      </c>
      <c r="RW237" s="207"/>
      <c r="RX237" s="207"/>
      <c r="RY237" s="207"/>
      <c r="RZ237" s="207"/>
      <c r="SA237" s="272"/>
      <c r="SB237" s="272"/>
      <c r="SC237" s="272"/>
      <c r="SD237" s="205">
        <f t="shared" si="2224"/>
        <v>0</v>
      </c>
      <c r="SE237" s="205">
        <f t="shared" si="2225"/>
        <v>0</v>
      </c>
      <c r="SF237" s="207"/>
      <c r="SG237" s="207"/>
      <c r="SH237" s="207"/>
      <c r="SI237" s="207"/>
      <c r="SJ237" s="207"/>
      <c r="SK237" s="272"/>
      <c r="SL237" s="272"/>
      <c r="SM237" s="205">
        <f t="shared" si="2100"/>
        <v>0</v>
      </c>
      <c r="SN237" s="207"/>
      <c r="SO237" s="207"/>
      <c r="SP237" s="207"/>
      <c r="SQ237" s="207"/>
      <c r="SR237" s="207"/>
      <c r="SS237" s="272"/>
      <c r="ST237" s="272"/>
      <c r="SU237" s="205">
        <f t="shared" si="2101"/>
        <v>0</v>
      </c>
      <c r="SV237" s="207"/>
      <c r="SW237" s="207"/>
      <c r="SX237" s="207"/>
      <c r="SY237" s="207"/>
      <c r="SZ237" s="207"/>
      <c r="TA237" s="272"/>
      <c r="TB237" s="272"/>
      <c r="TC237" s="205">
        <f t="shared" si="2102"/>
        <v>0</v>
      </c>
      <c r="TD237" s="207"/>
      <c r="TE237" s="207"/>
      <c r="TF237" s="207"/>
      <c r="TG237" s="207"/>
      <c r="TH237" s="207"/>
      <c r="TI237" s="272"/>
      <c r="TJ237" s="272"/>
      <c r="TK237" s="205">
        <f t="shared" si="2142"/>
        <v>0</v>
      </c>
      <c r="TL237" s="207"/>
      <c r="TM237" s="207"/>
      <c r="TN237" s="207"/>
      <c r="TO237" s="207"/>
      <c r="TP237" s="272"/>
      <c r="TQ237" s="272"/>
      <c r="TR237" s="272"/>
      <c r="TS237" s="205">
        <f t="shared" si="2226"/>
        <v>0</v>
      </c>
      <c r="TT237" s="205">
        <f t="shared" si="2227"/>
        <v>0</v>
      </c>
      <c r="TU237" s="272"/>
      <c r="TV237" s="207"/>
      <c r="TW237" s="207"/>
      <c r="TX237" s="207"/>
      <c r="TY237" s="207"/>
      <c r="TZ237" s="272"/>
      <c r="UA237" s="272"/>
      <c r="UB237" s="205">
        <f t="shared" si="2012"/>
        <v>0</v>
      </c>
      <c r="UC237" s="207"/>
      <c r="UD237" s="207"/>
      <c r="UE237" s="207"/>
      <c r="UF237" s="356"/>
      <c r="UG237" s="207"/>
      <c r="UH237" s="272"/>
      <c r="UI237" s="272"/>
      <c r="UJ237" s="205">
        <f t="shared" si="2013"/>
        <v>0</v>
      </c>
      <c r="UK237" s="207"/>
      <c r="UL237" s="207"/>
      <c r="UM237" s="207"/>
      <c r="UN237" s="207"/>
      <c r="UO237" s="207"/>
      <c r="UP237" s="272"/>
      <c r="UQ237" s="272"/>
      <c r="UR237" s="205">
        <f t="shared" si="2014"/>
        <v>0</v>
      </c>
      <c r="US237" s="207"/>
      <c r="UT237" s="207"/>
      <c r="UU237" s="207"/>
      <c r="UV237" s="207"/>
      <c r="UW237" s="272"/>
      <c r="UX237" s="272"/>
      <c r="UY237" s="272"/>
      <c r="UZ237" s="205">
        <f t="shared" si="2145"/>
        <v>0</v>
      </c>
      <c r="VA237" s="205">
        <f t="shared" si="2146"/>
        <v>0</v>
      </c>
      <c r="VB237" s="207"/>
      <c r="VC237" s="120"/>
      <c r="VD237" s="207"/>
      <c r="VE237" s="207"/>
      <c r="VF237" s="207"/>
      <c r="VG237" s="272"/>
      <c r="VH237" s="272"/>
      <c r="VI237" s="205">
        <f t="shared" si="2005"/>
        <v>0</v>
      </c>
      <c r="VJ237" s="207"/>
      <c r="VK237" s="207"/>
      <c r="VL237" s="207"/>
      <c r="VM237" s="207"/>
      <c r="VN237" s="207"/>
      <c r="VO237" s="272"/>
      <c r="VP237" s="272"/>
      <c r="VQ237" s="205">
        <f t="shared" si="2015"/>
        <v>0</v>
      </c>
      <c r="VR237" s="120"/>
      <c r="VS237" s="207"/>
      <c r="VT237" s="207"/>
      <c r="VU237" s="207"/>
      <c r="VV237" s="207"/>
      <c r="VW237" s="272"/>
      <c r="VX237" s="272"/>
      <c r="VY237" s="205">
        <f t="shared" si="2006"/>
        <v>0</v>
      </c>
      <c r="VZ237" s="207"/>
      <c r="WA237" s="207"/>
      <c r="WB237" s="207"/>
      <c r="WC237" s="356"/>
      <c r="WD237" s="207"/>
      <c r="WE237" s="272"/>
      <c r="WF237" s="272"/>
      <c r="WG237" s="205">
        <f t="shared" si="2007"/>
        <v>0</v>
      </c>
      <c r="WH237" s="205">
        <f t="shared" si="2008"/>
        <v>0</v>
      </c>
      <c r="WI237" s="207"/>
      <c r="WJ237" s="207"/>
      <c r="WK237" s="207"/>
      <c r="WL237" s="207"/>
      <c r="WM237" s="207"/>
      <c r="WN237" s="272"/>
      <c r="WO237" s="272"/>
      <c r="WP237" s="205">
        <f>SUM(WD237:WO237)</f>
        <v>0</v>
      </c>
      <c r="WQ237" s="207"/>
      <c r="WR237" s="207"/>
      <c r="WS237" s="207"/>
      <c r="WT237" s="120"/>
      <c r="WU237" s="207"/>
      <c r="WV237" s="272"/>
      <c r="WW237" s="272"/>
      <c r="WX237" s="205">
        <f t="shared" si="2017"/>
        <v>0</v>
      </c>
      <c r="WY237" s="207"/>
      <c r="WZ237" s="207"/>
      <c r="XA237" s="207"/>
      <c r="XB237" s="207"/>
      <c r="XC237" s="272"/>
      <c r="XD237" s="272"/>
      <c r="XE237" s="272"/>
      <c r="XF237" s="205">
        <f t="shared" si="2009"/>
        <v>0</v>
      </c>
      <c r="XG237" s="207"/>
      <c r="XH237" s="207"/>
      <c r="XI237" s="207"/>
      <c r="XJ237" s="207"/>
      <c r="XK237" s="207"/>
      <c r="XL237" s="272"/>
      <c r="XM237" s="272"/>
      <c r="XN237" s="205">
        <f t="shared" si="2105"/>
        <v>0</v>
      </c>
      <c r="XO237" s="207"/>
      <c r="XP237" s="207"/>
      <c r="XQ237" s="207"/>
      <c r="XR237" s="207"/>
      <c r="XS237" s="207"/>
      <c r="XT237" s="272"/>
      <c r="XU237" s="272"/>
      <c r="XV237" s="205">
        <f t="shared" si="2222"/>
        <v>0</v>
      </c>
      <c r="XW237" s="205">
        <f t="shared" si="2223"/>
        <v>0</v>
      </c>
      <c r="XX237" s="207"/>
      <c r="XY237" s="207"/>
      <c r="XZ237" s="207"/>
      <c r="YA237" s="207"/>
      <c r="YB237" s="207"/>
      <c r="YC237" s="272"/>
      <c r="YD237" s="272"/>
      <c r="YE237" s="205">
        <f t="shared" si="2018"/>
        <v>0</v>
      </c>
      <c r="YF237" s="207"/>
      <c r="YG237" s="207"/>
      <c r="YH237" s="207"/>
      <c r="YI237" s="207"/>
      <c r="YJ237" s="207"/>
      <c r="YK237" s="272"/>
      <c r="YL237" s="272"/>
      <c r="YM237" s="205">
        <f t="shared" si="2019"/>
        <v>0</v>
      </c>
      <c r="YN237" s="207"/>
      <c r="YO237" s="207"/>
      <c r="YP237" s="207"/>
      <c r="YQ237" s="207"/>
      <c r="YR237" s="207"/>
      <c r="YS237" s="272"/>
      <c r="YT237" s="272"/>
      <c r="YU237" s="205">
        <f t="shared" si="2020"/>
        <v>0</v>
      </c>
      <c r="YV237" s="207"/>
      <c r="YW237" s="207"/>
      <c r="YX237" s="207"/>
      <c r="YY237" s="207"/>
      <c r="YZ237" s="207"/>
      <c r="ZA237" s="272"/>
      <c r="ZB237" s="272"/>
      <c r="ZC237" s="205">
        <f t="shared" si="2021"/>
        <v>0</v>
      </c>
      <c r="ZD237" s="205">
        <f t="shared" si="2022"/>
        <v>0</v>
      </c>
      <c r="ZE237" s="207"/>
      <c r="ZF237" s="207"/>
      <c r="ZG237" s="207"/>
      <c r="ZH237" s="207"/>
      <c r="ZI237" s="207"/>
      <c r="ZJ237" s="272"/>
      <c r="ZK237" s="272"/>
      <c r="ZL237" s="205">
        <f t="shared" si="2023"/>
        <v>0</v>
      </c>
      <c r="ZM237" s="207"/>
      <c r="ZN237" s="207"/>
      <c r="ZO237" s="207"/>
      <c r="ZP237" s="207"/>
      <c r="ZQ237" s="207"/>
      <c r="ZR237" s="272"/>
      <c r="ZS237" s="272"/>
      <c r="ZT237" s="205">
        <f t="shared" si="2010"/>
        <v>0</v>
      </c>
      <c r="ZU237" s="207"/>
      <c r="ZV237" s="207"/>
      <c r="ZW237" s="207"/>
      <c r="ZX237" s="207"/>
      <c r="ZY237" s="207"/>
      <c r="ZZ237" s="272"/>
      <c r="AAA237" s="272"/>
      <c r="AAB237" s="205">
        <f t="shared" si="2024"/>
        <v>0</v>
      </c>
      <c r="AAC237" s="207"/>
      <c r="AAD237" s="207"/>
      <c r="AAE237" s="207"/>
      <c r="AAF237" s="207"/>
      <c r="AAG237" s="207"/>
      <c r="AAH237" s="272"/>
      <c r="AAI237" s="272"/>
      <c r="AAJ237" s="205">
        <f t="shared" si="2011"/>
        <v>0</v>
      </c>
      <c r="AAK237" s="207"/>
      <c r="AAL237" s="207"/>
      <c r="AAM237" s="207"/>
      <c r="AAN237" s="207"/>
      <c r="AAO237" s="207"/>
      <c r="AAP237" s="272"/>
      <c r="AAQ237" s="272"/>
      <c r="AAR237" s="205">
        <f t="shared" si="2025"/>
        <v>0</v>
      </c>
      <c r="AAS237" s="205">
        <f t="shared" si="2026"/>
        <v>0</v>
      </c>
    </row>
    <row r="238" spans="1:721" ht="67.5">
      <c r="A238" s="117">
        <v>10</v>
      </c>
      <c r="B238" s="321">
        <v>3630102407</v>
      </c>
      <c r="C238" s="362" t="s">
        <v>897</v>
      </c>
      <c r="D238" s="320" t="s">
        <v>873</v>
      </c>
      <c r="E238" s="130" t="s">
        <v>4</v>
      </c>
      <c r="F238" s="120"/>
      <c r="G238" s="120"/>
      <c r="H238" s="120"/>
      <c r="I238" s="120"/>
      <c r="J238" s="120"/>
      <c r="K238" s="209"/>
      <c r="L238" s="205"/>
      <c r="M238" s="205">
        <f t="shared" si="2108"/>
        <v>0</v>
      </c>
      <c r="N238" s="120"/>
      <c r="O238" s="120"/>
      <c r="P238" s="120"/>
      <c r="Q238" s="120"/>
      <c r="R238" s="120"/>
      <c r="S238" s="209"/>
      <c r="T238" s="205"/>
      <c r="U238" s="205">
        <f t="shared" si="2155"/>
        <v>0</v>
      </c>
      <c r="V238" s="120"/>
      <c r="W238" s="120"/>
      <c r="X238" s="120"/>
      <c r="Y238" s="120"/>
      <c r="Z238" s="120"/>
      <c r="AA238" s="209"/>
      <c r="AB238" s="205"/>
      <c r="AC238" s="205">
        <f t="shared" si="2156"/>
        <v>0</v>
      </c>
      <c r="AD238" s="205"/>
      <c r="AE238" s="205"/>
      <c r="AF238" s="205"/>
      <c r="AG238" s="205"/>
      <c r="AH238" s="205"/>
      <c r="AI238" s="209"/>
      <c r="AJ238" s="205"/>
      <c r="AK238" s="205">
        <f t="shared" si="2157"/>
        <v>0</v>
      </c>
      <c r="AL238" s="205" t="e">
        <f>SUM(#REF!,M238,U238,AC238,AD238:AH238)</f>
        <v>#REF!</v>
      </c>
      <c r="AM238" s="120"/>
      <c r="AN238" s="120"/>
      <c r="AO238" s="120"/>
      <c r="AP238" s="120"/>
      <c r="AQ238" s="120"/>
      <c r="AR238" s="209"/>
      <c r="AS238" s="205"/>
      <c r="AT238" s="205">
        <f t="shared" si="2158"/>
        <v>0</v>
      </c>
      <c r="AU238" s="120"/>
      <c r="AV238" s="120"/>
      <c r="AW238" s="120"/>
      <c r="AX238" s="120"/>
      <c r="AY238" s="120"/>
      <c r="AZ238" s="209"/>
      <c r="BA238" s="205"/>
      <c r="BB238" s="205">
        <f t="shared" si="2159"/>
        <v>0</v>
      </c>
      <c r="BC238" s="120"/>
      <c r="BD238" s="120"/>
      <c r="BE238" s="120"/>
      <c r="BF238" s="120"/>
      <c r="BG238" s="120"/>
      <c r="BH238" s="209"/>
      <c r="BI238" s="205"/>
      <c r="BJ238" s="205">
        <f t="shared" si="2160"/>
        <v>0</v>
      </c>
      <c r="BK238" s="120"/>
      <c r="BL238" s="120"/>
      <c r="BM238" s="217">
        <v>3116</v>
      </c>
      <c r="BN238" s="120"/>
      <c r="BO238" s="205"/>
      <c r="BP238" s="209"/>
      <c r="BQ238" s="205"/>
      <c r="BR238" s="205">
        <f t="shared" si="2161"/>
        <v>3116</v>
      </c>
      <c r="BS238" s="205">
        <f t="shared" si="2162"/>
        <v>3116</v>
      </c>
      <c r="BT238" s="120"/>
      <c r="BU238" s="250">
        <v>716</v>
      </c>
      <c r="BV238" s="120"/>
      <c r="BW238" s="120"/>
      <c r="BX238" s="120"/>
      <c r="BY238" s="209"/>
      <c r="BZ238" s="205"/>
      <c r="CA238" s="205">
        <f t="shared" si="2163"/>
        <v>716</v>
      </c>
      <c r="CB238" s="120"/>
      <c r="CC238" s="120"/>
      <c r="CD238" s="120"/>
      <c r="CE238" s="120"/>
      <c r="CF238" s="120"/>
      <c r="CG238" s="209"/>
      <c r="CH238" s="205"/>
      <c r="CI238" s="205">
        <f t="shared" si="2164"/>
        <v>0</v>
      </c>
      <c r="CJ238" s="120"/>
      <c r="CK238" s="120"/>
      <c r="CL238" s="250">
        <v>1216</v>
      </c>
      <c r="CM238" s="120"/>
      <c r="CN238" s="120"/>
      <c r="CO238" s="209"/>
      <c r="CP238" s="205"/>
      <c r="CQ238" s="205">
        <f t="shared" si="2165"/>
        <v>1216</v>
      </c>
      <c r="CR238" s="120" t="s">
        <v>216</v>
      </c>
      <c r="CS238" s="120"/>
      <c r="CT238" s="120"/>
      <c r="CU238" s="120"/>
      <c r="CV238" s="120"/>
      <c r="CW238" s="209"/>
      <c r="CX238" s="205"/>
      <c r="CY238" s="205">
        <f t="shared" si="2166"/>
        <v>0</v>
      </c>
      <c r="CZ238" s="120"/>
      <c r="DA238" s="120"/>
      <c r="DB238" s="120"/>
      <c r="DC238" s="205"/>
      <c r="DD238" s="205"/>
      <c r="DE238" s="209"/>
      <c r="DF238" s="205"/>
      <c r="DG238" s="205">
        <f t="shared" si="2167"/>
        <v>0</v>
      </c>
      <c r="DH238" s="205">
        <f t="shared" si="2168"/>
        <v>1932</v>
      </c>
      <c r="DI238" s="120"/>
      <c r="DJ238" s="120"/>
      <c r="DK238" s="120"/>
      <c r="DL238" s="120"/>
      <c r="DM238" s="120"/>
      <c r="DN238" s="209"/>
      <c r="DO238" s="205"/>
      <c r="DP238" s="205">
        <f t="shared" si="2169"/>
        <v>0</v>
      </c>
      <c r="DQ238" s="217">
        <v>666</v>
      </c>
      <c r="DR238" s="120"/>
      <c r="DS238" s="120"/>
      <c r="DT238" s="120"/>
      <c r="DU238" s="120"/>
      <c r="DV238" s="209"/>
      <c r="DW238" s="205"/>
      <c r="DX238" s="205">
        <f t="shared" si="2170"/>
        <v>666</v>
      </c>
      <c r="DY238" s="120"/>
      <c r="DZ238" s="120"/>
      <c r="EA238" s="120"/>
      <c r="EB238" s="120"/>
      <c r="EC238" s="120"/>
      <c r="ED238" s="209"/>
      <c r="EE238" s="205"/>
      <c r="EF238" s="205">
        <f t="shared" si="2171"/>
        <v>0</v>
      </c>
      <c r="EG238" s="120"/>
      <c r="EH238" s="120"/>
      <c r="EI238" s="120"/>
      <c r="EJ238" s="205"/>
      <c r="EK238" s="205"/>
      <c r="EL238" s="209"/>
      <c r="EM238" s="205"/>
      <c r="EN238" s="205">
        <f t="shared" si="2172"/>
        <v>0</v>
      </c>
      <c r="EO238" s="205">
        <f t="shared" si="2173"/>
        <v>666</v>
      </c>
      <c r="EP238" s="120"/>
      <c r="EQ238" s="250">
        <v>516</v>
      </c>
      <c r="ER238" s="120"/>
      <c r="ES238" s="120"/>
      <c r="ET238" s="120"/>
      <c r="EU238" s="209"/>
      <c r="EV238" s="205"/>
      <c r="EW238" s="205">
        <f t="shared" si="2174"/>
        <v>516</v>
      </c>
      <c r="EX238" s="120"/>
      <c r="EY238" s="120"/>
      <c r="EZ238" s="120"/>
      <c r="FA238" s="120"/>
      <c r="FB238" s="120"/>
      <c r="FC238" s="209"/>
      <c r="FD238" s="205"/>
      <c r="FE238" s="205">
        <f t="shared" si="2175"/>
        <v>0</v>
      </c>
      <c r="FF238" s="120"/>
      <c r="FG238" s="195">
        <v>516</v>
      </c>
      <c r="FH238" s="120"/>
      <c r="FI238" s="120"/>
      <c r="FJ238" s="120"/>
      <c r="FK238" s="209"/>
      <c r="FL238" s="205"/>
      <c r="FM238" s="205">
        <f t="shared" si="2176"/>
        <v>516</v>
      </c>
      <c r="FN238" s="120"/>
      <c r="FO238" s="120"/>
      <c r="FP238" s="120"/>
      <c r="FQ238" s="120"/>
      <c r="FR238" s="205"/>
      <c r="FS238" s="209"/>
      <c r="FT238" s="205"/>
      <c r="FU238" s="205">
        <f t="shared" si="2177"/>
        <v>0</v>
      </c>
      <c r="FV238" s="205">
        <f t="shared" si="2178"/>
        <v>1032</v>
      </c>
      <c r="FW238" s="120"/>
      <c r="FX238" s="120"/>
      <c r="FY238" s="120"/>
      <c r="FZ238" s="120"/>
      <c r="GA238" s="120"/>
      <c r="GB238" s="209"/>
      <c r="GC238" s="205"/>
      <c r="GD238" s="205">
        <f t="shared" si="2179"/>
        <v>0</v>
      </c>
      <c r="GE238" s="120"/>
      <c r="GF238" s="120"/>
      <c r="GG238" s="120"/>
      <c r="GH238" s="120"/>
      <c r="GI238" s="120"/>
      <c r="GJ238" s="209"/>
      <c r="GK238" s="205"/>
      <c r="GL238" s="205">
        <f t="shared" si="2180"/>
        <v>0</v>
      </c>
      <c r="GM238" s="120"/>
      <c r="GN238" s="120"/>
      <c r="GO238" s="120"/>
      <c r="GP238" s="120"/>
      <c r="GQ238" s="120"/>
      <c r="GR238" s="209"/>
      <c r="GS238" s="205"/>
      <c r="GT238" s="205">
        <f t="shared" si="2181"/>
        <v>0</v>
      </c>
      <c r="GU238" s="120"/>
      <c r="GV238" s="120"/>
      <c r="GW238" s="120"/>
      <c r="GX238" s="120"/>
      <c r="GY238" s="120"/>
      <c r="GZ238" s="209"/>
      <c r="HA238" s="205"/>
      <c r="HB238" s="205">
        <f t="shared" si="2182"/>
        <v>0</v>
      </c>
      <c r="HC238" s="120"/>
      <c r="HD238" s="120"/>
      <c r="HE238" s="120"/>
      <c r="HF238" s="120"/>
      <c r="HG238" s="120"/>
      <c r="HH238" s="209"/>
      <c r="HI238" s="205"/>
      <c r="HJ238" s="205">
        <f t="shared" si="2183"/>
        <v>0</v>
      </c>
      <c r="HK238" s="205">
        <f t="shared" si="2184"/>
        <v>0</v>
      </c>
      <c r="HL238" s="124"/>
      <c r="HM238" s="120"/>
      <c r="HN238" s="120"/>
      <c r="HO238" s="123">
        <v>1766</v>
      </c>
      <c r="HP238" s="120"/>
      <c r="HQ238" s="205"/>
      <c r="HR238" s="205"/>
      <c r="HS238" s="205">
        <f t="shared" si="2185"/>
        <v>1766</v>
      </c>
      <c r="HT238" s="120"/>
      <c r="HU238" s="120"/>
      <c r="HV238" s="120"/>
      <c r="HW238" s="120"/>
      <c r="HX238" s="120"/>
      <c r="HY238" s="205"/>
      <c r="HZ238" s="205"/>
      <c r="IA238" s="205">
        <f t="shared" si="2186"/>
        <v>0</v>
      </c>
      <c r="IB238" s="120"/>
      <c r="IC238" s="120"/>
      <c r="ID238" s="120"/>
      <c r="IE238" s="120"/>
      <c r="IF238" s="120"/>
      <c r="IG238" s="205"/>
      <c r="IH238" s="205"/>
      <c r="II238" s="205">
        <f t="shared" si="2187"/>
        <v>0</v>
      </c>
      <c r="IJ238" s="120"/>
      <c r="IK238" s="120"/>
      <c r="IL238" s="201">
        <v>1816</v>
      </c>
      <c r="IM238" s="120"/>
      <c r="IN238" s="120"/>
      <c r="IO238" s="205"/>
      <c r="IP238" s="205"/>
      <c r="IQ238" s="205">
        <f t="shared" si="2188"/>
        <v>1816</v>
      </c>
      <c r="IR238" s="205">
        <f t="shared" si="2189"/>
        <v>3582</v>
      </c>
      <c r="IS238" s="120"/>
      <c r="IT238" s="120"/>
      <c r="IU238" s="120"/>
      <c r="IV238" s="120"/>
      <c r="IW238" s="120"/>
      <c r="IX238" s="205"/>
      <c r="IY238" s="205"/>
      <c r="IZ238" s="205">
        <f t="shared" si="2190"/>
        <v>0</v>
      </c>
      <c r="JA238" s="120"/>
      <c r="JB238" s="120"/>
      <c r="JC238" s="120"/>
      <c r="JD238" s="120"/>
      <c r="JE238" s="120"/>
      <c r="JF238" s="205"/>
      <c r="JG238" s="205"/>
      <c r="JH238" s="205">
        <f t="shared" si="2191"/>
        <v>0</v>
      </c>
      <c r="JI238" s="120"/>
      <c r="JJ238" s="120"/>
      <c r="JK238" s="120"/>
      <c r="JL238" s="120"/>
      <c r="JM238" s="120"/>
      <c r="JN238" s="205"/>
      <c r="JO238" s="205"/>
      <c r="JP238" s="205">
        <f t="shared" si="2192"/>
        <v>0</v>
      </c>
      <c r="JQ238" s="120"/>
      <c r="JR238" s="120"/>
      <c r="JS238" s="120"/>
      <c r="JT238" s="120"/>
      <c r="JU238" s="120"/>
      <c r="JV238" s="205"/>
      <c r="JW238" s="205"/>
      <c r="JX238" s="205">
        <f t="shared" si="2193"/>
        <v>0</v>
      </c>
      <c r="JY238" s="205">
        <f t="shared" si="2194"/>
        <v>0</v>
      </c>
      <c r="JZ238" s="120"/>
      <c r="KA238" s="120"/>
      <c r="KB238" s="120"/>
      <c r="KC238" s="120"/>
      <c r="KD238" s="120"/>
      <c r="KE238" s="205"/>
      <c r="KF238" s="205"/>
      <c r="KG238" s="205">
        <f t="shared" si="2195"/>
        <v>0</v>
      </c>
      <c r="KH238" s="120"/>
      <c r="KI238" s="120"/>
      <c r="KJ238" s="120"/>
      <c r="KK238" s="206">
        <v>816</v>
      </c>
      <c r="KL238" s="120"/>
      <c r="KM238" s="205"/>
      <c r="KN238" s="205"/>
      <c r="KO238" s="205">
        <f t="shared" si="2196"/>
        <v>816</v>
      </c>
      <c r="KP238" s="120"/>
      <c r="KQ238" s="120"/>
      <c r="KR238" s="120"/>
      <c r="KS238" s="120"/>
      <c r="KT238" s="120"/>
      <c r="KU238" s="205"/>
      <c r="KV238" s="205"/>
      <c r="KW238" s="205">
        <f t="shared" si="2197"/>
        <v>0</v>
      </c>
      <c r="KX238" s="120"/>
      <c r="KY238" s="120"/>
      <c r="KZ238" s="120"/>
      <c r="LA238" s="120"/>
      <c r="LB238" s="120"/>
      <c r="LC238" s="205"/>
      <c r="LD238" s="205"/>
      <c r="LE238" s="205">
        <f t="shared" si="2198"/>
        <v>0</v>
      </c>
      <c r="LF238" s="205"/>
      <c r="LG238" s="120"/>
      <c r="LH238" s="120"/>
      <c r="LI238" s="120"/>
      <c r="LJ238" s="120"/>
      <c r="LK238" s="205"/>
      <c r="LL238" s="205"/>
      <c r="LM238" s="205">
        <f t="shared" si="2199"/>
        <v>0</v>
      </c>
      <c r="LN238" s="205">
        <f t="shared" si="2200"/>
        <v>816</v>
      </c>
      <c r="LO238" s="205"/>
      <c r="LP238" s="120"/>
      <c r="LQ238" s="120"/>
      <c r="LR238" s="120"/>
      <c r="LS238" s="205"/>
      <c r="LT238" s="205"/>
      <c r="LU238" s="205"/>
      <c r="LV238" s="205">
        <f t="shared" si="2201"/>
        <v>0</v>
      </c>
      <c r="LW238" s="120"/>
      <c r="LX238" s="120"/>
      <c r="LY238" s="124">
        <v>376</v>
      </c>
      <c r="LZ238" s="120"/>
      <c r="MA238" s="120"/>
      <c r="MB238" s="205"/>
      <c r="MC238" s="205"/>
      <c r="MD238" s="205">
        <f t="shared" si="2202"/>
        <v>376</v>
      </c>
      <c r="ME238" s="120"/>
      <c r="MF238" s="120"/>
      <c r="MG238" s="120"/>
      <c r="MH238" s="201">
        <v>1116</v>
      </c>
      <c r="MI238" s="205"/>
      <c r="MJ238" s="205"/>
      <c r="MK238" s="205"/>
      <c r="ML238" s="205">
        <f t="shared" si="2203"/>
        <v>1116</v>
      </c>
      <c r="MM238" s="120" t="s">
        <v>712</v>
      </c>
      <c r="MN238" s="120"/>
      <c r="MO238" s="120"/>
      <c r="MP238" s="120"/>
      <c r="MQ238" s="120"/>
      <c r="MR238" s="205"/>
      <c r="MS238" s="205"/>
      <c r="MT238" s="205">
        <f t="shared" si="2204"/>
        <v>0</v>
      </c>
      <c r="MU238" s="205">
        <f t="shared" si="2205"/>
        <v>1492</v>
      </c>
      <c r="MV238" s="120"/>
      <c r="MW238" s="120"/>
      <c r="MX238" s="195">
        <v>2016</v>
      </c>
      <c r="MY238" s="120"/>
      <c r="MZ238" s="120"/>
      <c r="NA238" s="205"/>
      <c r="NB238" s="205"/>
      <c r="NC238" s="205">
        <f t="shared" si="2206"/>
        <v>2016</v>
      </c>
      <c r="ND238" s="120"/>
      <c r="NE238" s="120"/>
      <c r="NF238" s="120"/>
      <c r="NG238" s="120"/>
      <c r="NH238" s="120"/>
      <c r="NI238" s="205"/>
      <c r="NJ238" s="205"/>
      <c r="NK238" s="205">
        <f t="shared" si="2207"/>
        <v>0</v>
      </c>
      <c r="NL238" s="120"/>
      <c r="NM238" s="120"/>
      <c r="NN238" s="120"/>
      <c r="NO238" s="120"/>
      <c r="NP238" s="120"/>
      <c r="NQ238" s="205"/>
      <c r="NR238" s="205"/>
      <c r="NS238" s="205">
        <f t="shared" si="2208"/>
        <v>0</v>
      </c>
      <c r="NT238" s="217">
        <v>1016</v>
      </c>
      <c r="NU238" s="120"/>
      <c r="NV238" s="120"/>
      <c r="NW238" s="120"/>
      <c r="NX238" s="120"/>
      <c r="NY238" s="205"/>
      <c r="NZ238" s="205"/>
      <c r="OA238" s="205">
        <f t="shared" si="2209"/>
        <v>1016</v>
      </c>
      <c r="OB238" s="205">
        <f t="shared" si="2210"/>
        <v>3032</v>
      </c>
      <c r="OC238" s="120"/>
      <c r="OD238" s="120"/>
      <c r="OE238" s="120"/>
      <c r="OF238" s="120"/>
      <c r="OG238" s="120"/>
      <c r="OH238" s="205"/>
      <c r="OI238" s="205"/>
      <c r="OJ238" s="205">
        <f t="shared" si="2211"/>
        <v>0</v>
      </c>
      <c r="OK238" s="120"/>
      <c r="OL238" s="120"/>
      <c r="OM238" s="120"/>
      <c r="ON238" s="120"/>
      <c r="OO238" s="120"/>
      <c r="OP238" s="205"/>
      <c r="OQ238" s="205"/>
      <c r="OR238" s="205">
        <f t="shared" si="2212"/>
        <v>0</v>
      </c>
      <c r="OS238" s="120"/>
      <c r="OT238" s="120"/>
      <c r="OU238" s="120"/>
      <c r="OV238" s="120"/>
      <c r="OW238" s="120"/>
      <c r="OX238" s="205"/>
      <c r="OY238" s="205"/>
      <c r="OZ238" s="205">
        <f t="shared" si="2213"/>
        <v>0</v>
      </c>
      <c r="PA238" s="120"/>
      <c r="PB238" s="120"/>
      <c r="PC238" s="120"/>
      <c r="PD238" s="205"/>
      <c r="PE238" s="217"/>
      <c r="PF238" s="205"/>
      <c r="PG238" s="205"/>
      <c r="PH238" s="205">
        <f t="shared" si="2214"/>
        <v>0</v>
      </c>
      <c r="PI238" s="120"/>
      <c r="PJ238" s="120"/>
      <c r="PK238" s="120"/>
      <c r="PL238" s="205"/>
      <c r="PM238" s="217"/>
      <c r="PN238" s="205"/>
      <c r="PO238" s="205"/>
      <c r="PP238" s="205">
        <f t="shared" si="2215"/>
        <v>0</v>
      </c>
      <c r="PQ238" s="205">
        <f t="shared" si="2216"/>
        <v>0</v>
      </c>
      <c r="PR238" s="120"/>
      <c r="PS238" s="207"/>
      <c r="PT238" s="207"/>
      <c r="PU238" s="207"/>
      <c r="PV238" s="207"/>
      <c r="PW238" s="272"/>
      <c r="PX238" s="272"/>
      <c r="PY238" s="205">
        <f t="shared" si="2217"/>
        <v>0</v>
      </c>
      <c r="PZ238" s="207"/>
      <c r="QA238" s="207"/>
      <c r="QB238" s="207"/>
      <c r="QC238" s="207"/>
      <c r="QD238" s="207"/>
      <c r="QE238" s="272"/>
      <c r="QF238" s="272"/>
      <c r="QG238" s="205">
        <f t="shared" si="2218"/>
        <v>0</v>
      </c>
      <c r="QH238" s="207"/>
      <c r="QI238" s="207"/>
      <c r="QJ238" s="294"/>
      <c r="QK238" s="207"/>
      <c r="QL238" s="207"/>
      <c r="QM238" s="272"/>
      <c r="QN238" s="272"/>
      <c r="QO238" s="205">
        <f t="shared" si="2219"/>
        <v>0</v>
      </c>
      <c r="QP238" s="207"/>
      <c r="QQ238" s="120"/>
      <c r="QR238" s="207"/>
      <c r="QS238" s="207"/>
      <c r="QT238" s="207"/>
      <c r="QU238" s="272"/>
      <c r="QV238" s="272"/>
      <c r="QW238" s="205">
        <f t="shared" si="2220"/>
        <v>0</v>
      </c>
      <c r="QX238" s="205">
        <f t="shared" si="2221"/>
        <v>0</v>
      </c>
      <c r="QY238" s="207"/>
      <c r="QZ238" s="207"/>
      <c r="RA238" s="207"/>
      <c r="RB238" s="207"/>
      <c r="RC238" s="207"/>
      <c r="RD238" s="272"/>
      <c r="RE238" s="272"/>
      <c r="RF238" s="205">
        <f t="shared" si="2148"/>
        <v>0</v>
      </c>
      <c r="RG238" s="207"/>
      <c r="RH238" s="207"/>
      <c r="RI238" s="207"/>
      <c r="RJ238" s="120"/>
      <c r="RK238" s="207"/>
      <c r="RL238" s="272"/>
      <c r="RM238" s="272"/>
      <c r="RN238" s="205">
        <f t="shared" si="2096"/>
        <v>0</v>
      </c>
      <c r="RO238" s="272"/>
      <c r="RP238" s="272"/>
      <c r="RQ238" s="272"/>
      <c r="RR238" s="272"/>
      <c r="RS238" s="272"/>
      <c r="RT238" s="272"/>
      <c r="RU238" s="272"/>
      <c r="RV238" s="205">
        <f t="shared" si="2097"/>
        <v>0</v>
      </c>
      <c r="RW238" s="207"/>
      <c r="RX238" s="207"/>
      <c r="RY238" s="207"/>
      <c r="RZ238" s="207"/>
      <c r="SA238" s="272"/>
      <c r="SB238" s="272"/>
      <c r="SC238" s="272"/>
      <c r="SD238" s="205">
        <f t="shared" si="2224"/>
        <v>0</v>
      </c>
      <c r="SE238" s="205">
        <f t="shared" si="2225"/>
        <v>0</v>
      </c>
      <c r="SF238" s="207"/>
      <c r="SG238" s="207"/>
      <c r="SH238" s="207"/>
      <c r="SI238" s="207"/>
      <c r="SJ238" s="207"/>
      <c r="SK238" s="272"/>
      <c r="SL238" s="272"/>
      <c r="SM238" s="205">
        <f t="shared" si="2100"/>
        <v>0</v>
      </c>
      <c r="SN238" s="207"/>
      <c r="SO238" s="207"/>
      <c r="SP238" s="207"/>
      <c r="SQ238" s="207"/>
      <c r="SR238" s="207"/>
      <c r="SS238" s="272"/>
      <c r="ST238" s="272"/>
      <c r="SU238" s="205">
        <f t="shared" si="2101"/>
        <v>0</v>
      </c>
      <c r="SV238" s="207"/>
      <c r="SW238" s="207"/>
      <c r="SX238" s="207"/>
      <c r="SY238" s="207"/>
      <c r="SZ238" s="207"/>
      <c r="TA238" s="272"/>
      <c r="TB238" s="272"/>
      <c r="TC238" s="205">
        <f t="shared" si="2102"/>
        <v>0</v>
      </c>
      <c r="TD238" s="207"/>
      <c r="TE238" s="207"/>
      <c r="TF238" s="207"/>
      <c r="TG238" s="207"/>
      <c r="TH238" s="207"/>
      <c r="TI238" s="272"/>
      <c r="TJ238" s="272"/>
      <c r="TK238" s="205">
        <f t="shared" si="2142"/>
        <v>0</v>
      </c>
      <c r="TL238" s="207"/>
      <c r="TM238" s="207"/>
      <c r="TN238" s="207"/>
      <c r="TO238" s="207"/>
      <c r="TP238" s="272"/>
      <c r="TQ238" s="272"/>
      <c r="TR238" s="272"/>
      <c r="TS238" s="205">
        <f t="shared" si="2226"/>
        <v>0</v>
      </c>
      <c r="TT238" s="205">
        <f t="shared" si="2227"/>
        <v>0</v>
      </c>
      <c r="TU238" s="272"/>
      <c r="TV238" s="207"/>
      <c r="TW238" s="207"/>
      <c r="TX238" s="207"/>
      <c r="TY238" s="207"/>
      <c r="TZ238" s="272"/>
      <c r="UA238" s="272"/>
      <c r="UB238" s="205">
        <f t="shared" si="2012"/>
        <v>0</v>
      </c>
      <c r="UC238" s="207"/>
      <c r="UD238" s="207"/>
      <c r="UE238" s="207"/>
      <c r="UF238" s="207"/>
      <c r="UG238" s="356"/>
      <c r="UH238" s="272"/>
      <c r="UI238" s="272"/>
      <c r="UJ238" s="205">
        <f t="shared" si="2013"/>
        <v>0</v>
      </c>
      <c r="UK238" s="207"/>
      <c r="UL238" s="207"/>
      <c r="UM238" s="207"/>
      <c r="UN238" s="207"/>
      <c r="UO238" s="207"/>
      <c r="UP238" s="272"/>
      <c r="UQ238" s="272"/>
      <c r="UR238" s="205">
        <f t="shared" si="2014"/>
        <v>0</v>
      </c>
      <c r="US238" s="207"/>
      <c r="UT238" s="207"/>
      <c r="UU238" s="207"/>
      <c r="UV238" s="207"/>
      <c r="UW238" s="272"/>
      <c r="UX238" s="272"/>
      <c r="UY238" s="272"/>
      <c r="UZ238" s="205">
        <f t="shared" si="2145"/>
        <v>0</v>
      </c>
      <c r="VA238" s="205">
        <f t="shared" si="2146"/>
        <v>0</v>
      </c>
      <c r="VB238" s="207"/>
      <c r="VC238" s="120"/>
      <c r="VD238" s="207"/>
      <c r="VE238" s="207"/>
      <c r="VF238" s="207"/>
      <c r="VG238" s="272"/>
      <c r="VH238" s="272"/>
      <c r="VI238" s="205">
        <f t="shared" si="2005"/>
        <v>0</v>
      </c>
      <c r="VJ238" s="207"/>
      <c r="VK238" s="207"/>
      <c r="VL238" s="207"/>
      <c r="VM238" s="207"/>
      <c r="VN238" s="207"/>
      <c r="VO238" s="272"/>
      <c r="VP238" s="272"/>
      <c r="VQ238" s="205">
        <f t="shared" si="2015"/>
        <v>0</v>
      </c>
      <c r="VR238" s="120"/>
      <c r="VS238" s="207"/>
      <c r="VT238" s="207"/>
      <c r="VU238" s="207"/>
      <c r="VV238" s="124">
        <v>140</v>
      </c>
      <c r="VW238" s="272"/>
      <c r="VX238" s="272"/>
      <c r="VY238" s="205">
        <f t="shared" si="2006"/>
        <v>140</v>
      </c>
      <c r="VZ238" s="207"/>
      <c r="WA238" s="124">
        <v>600</v>
      </c>
      <c r="WB238" s="207"/>
      <c r="WC238" s="356"/>
      <c r="WD238" s="207"/>
      <c r="WE238" s="272"/>
      <c r="WF238" s="272"/>
      <c r="WG238" s="205">
        <f t="shared" si="2007"/>
        <v>600</v>
      </c>
      <c r="WH238" s="205">
        <f t="shared" si="2008"/>
        <v>740</v>
      </c>
      <c r="WI238" s="207"/>
      <c r="WJ238" s="207"/>
      <c r="WK238" s="207"/>
      <c r="WL238" s="207"/>
      <c r="WM238" s="207"/>
      <c r="WN238" s="272"/>
      <c r="WO238" s="272"/>
      <c r="WP238" s="205">
        <f>SUM(WD238:WO238)</f>
        <v>1340</v>
      </c>
      <c r="WQ238" s="207"/>
      <c r="WR238" s="207"/>
      <c r="WS238" s="207"/>
      <c r="WT238" s="120"/>
      <c r="WU238" s="207"/>
      <c r="WV238" s="272"/>
      <c r="WW238" s="272"/>
      <c r="WX238" s="205">
        <f t="shared" si="2017"/>
        <v>0</v>
      </c>
      <c r="WY238" s="207"/>
      <c r="WZ238" s="207"/>
      <c r="XA238" s="207"/>
      <c r="XB238" s="207"/>
      <c r="XC238" s="272"/>
      <c r="XD238" s="272"/>
      <c r="XE238" s="272"/>
      <c r="XF238" s="205">
        <f t="shared" si="2009"/>
        <v>0</v>
      </c>
      <c r="XG238" s="207"/>
      <c r="XH238" s="207"/>
      <c r="XI238" s="207"/>
      <c r="XJ238" s="207"/>
      <c r="XK238" s="207"/>
      <c r="XL238" s="272"/>
      <c r="XM238" s="272"/>
      <c r="XN238" s="205">
        <f t="shared" si="2105"/>
        <v>0</v>
      </c>
      <c r="XO238" s="207"/>
      <c r="XP238" s="207"/>
      <c r="XQ238" s="207"/>
      <c r="XR238" s="207"/>
      <c r="XS238" s="207"/>
      <c r="XT238" s="272"/>
      <c r="XU238" s="272"/>
      <c r="XV238" s="205">
        <f t="shared" si="2222"/>
        <v>0</v>
      </c>
      <c r="XW238" s="205">
        <f t="shared" si="2223"/>
        <v>1340</v>
      </c>
      <c r="XX238" s="207"/>
      <c r="XY238" s="207"/>
      <c r="XZ238" s="207"/>
      <c r="YA238" s="207"/>
      <c r="YB238" s="207"/>
      <c r="YC238" s="272"/>
      <c r="YD238" s="272"/>
      <c r="YE238" s="205">
        <f t="shared" si="2018"/>
        <v>0</v>
      </c>
      <c r="YF238" s="207"/>
      <c r="YG238" s="207"/>
      <c r="YH238" s="207"/>
      <c r="YI238" s="207"/>
      <c r="YJ238" s="207"/>
      <c r="YK238" s="272"/>
      <c r="YL238" s="272"/>
      <c r="YM238" s="205">
        <f t="shared" si="2019"/>
        <v>0</v>
      </c>
      <c r="YN238" s="207"/>
      <c r="YO238" s="207"/>
      <c r="YP238" s="207"/>
      <c r="YQ238" s="207"/>
      <c r="YR238" s="207"/>
      <c r="YS238" s="272"/>
      <c r="YT238" s="272"/>
      <c r="YU238" s="205">
        <f t="shared" si="2020"/>
        <v>0</v>
      </c>
      <c r="YV238" s="207"/>
      <c r="YW238" s="207"/>
      <c r="YX238" s="207"/>
      <c r="YY238" s="207"/>
      <c r="YZ238" s="207"/>
      <c r="ZA238" s="272"/>
      <c r="ZB238" s="272"/>
      <c r="ZC238" s="205">
        <f t="shared" si="2021"/>
        <v>0</v>
      </c>
      <c r="ZD238" s="205">
        <f t="shared" si="2022"/>
        <v>1340</v>
      </c>
      <c r="ZE238" s="207"/>
      <c r="ZF238" s="207"/>
      <c r="ZG238" s="207"/>
      <c r="ZH238" s="207"/>
      <c r="ZI238" s="207"/>
      <c r="ZJ238" s="272"/>
      <c r="ZK238" s="272"/>
      <c r="ZL238" s="205">
        <f t="shared" si="2023"/>
        <v>0</v>
      </c>
      <c r="ZM238" s="207"/>
      <c r="ZN238" s="207"/>
      <c r="ZO238" s="207"/>
      <c r="ZP238" s="207"/>
      <c r="ZQ238" s="207"/>
      <c r="ZR238" s="272"/>
      <c r="ZS238" s="272"/>
      <c r="ZT238" s="205">
        <f t="shared" si="2010"/>
        <v>0</v>
      </c>
      <c r="ZU238" s="207"/>
      <c r="ZV238" s="207"/>
      <c r="ZW238" s="207"/>
      <c r="ZX238" s="207"/>
      <c r="ZY238" s="207"/>
      <c r="ZZ238" s="272"/>
      <c r="AAA238" s="272"/>
      <c r="AAB238" s="205">
        <f t="shared" si="2024"/>
        <v>0</v>
      </c>
      <c r="AAC238" s="207"/>
      <c r="AAD238" s="207"/>
      <c r="AAE238" s="207"/>
      <c r="AAF238" s="207"/>
      <c r="AAG238" s="207"/>
      <c r="AAH238" s="272"/>
      <c r="AAI238" s="272"/>
      <c r="AAJ238" s="205">
        <f t="shared" si="2011"/>
        <v>0</v>
      </c>
      <c r="AAK238" s="207"/>
      <c r="AAL238" s="207"/>
      <c r="AAM238" s="207"/>
      <c r="AAN238" s="207"/>
      <c r="AAO238" s="207"/>
      <c r="AAP238" s="272"/>
      <c r="AAQ238" s="272"/>
      <c r="AAR238" s="205">
        <f t="shared" si="2025"/>
        <v>0</v>
      </c>
      <c r="AAS238" s="205">
        <f t="shared" si="2026"/>
        <v>0</v>
      </c>
    </row>
    <row r="239" spans="1:721" ht="69.95" customHeight="1">
      <c r="B239" s="302"/>
      <c r="C239" s="345"/>
      <c r="D239" s="305" t="s">
        <v>902</v>
      </c>
      <c r="E239" s="130" t="s">
        <v>4</v>
      </c>
      <c r="F239" s="120"/>
      <c r="G239" s="120"/>
      <c r="H239" s="120"/>
      <c r="I239" s="120"/>
      <c r="J239" s="120"/>
      <c r="K239" s="209"/>
      <c r="L239" s="205"/>
      <c r="M239" s="205">
        <f t="shared" si="2108"/>
        <v>0</v>
      </c>
      <c r="N239" s="120"/>
      <c r="O239" s="120"/>
      <c r="P239" s="120"/>
      <c r="Q239" s="120"/>
      <c r="R239" s="120"/>
      <c r="S239" s="209"/>
      <c r="T239" s="205"/>
      <c r="U239" s="205">
        <f t="shared" si="2155"/>
        <v>0</v>
      </c>
      <c r="V239" s="120"/>
      <c r="W239" s="120"/>
      <c r="X239" s="120"/>
      <c r="Y239" s="120"/>
      <c r="Z239" s="120"/>
      <c r="AA239" s="209"/>
      <c r="AB239" s="205"/>
      <c r="AC239" s="205">
        <f t="shared" si="2156"/>
        <v>0</v>
      </c>
      <c r="AD239" s="205"/>
      <c r="AE239" s="205"/>
      <c r="AF239" s="205"/>
      <c r="AG239" s="205"/>
      <c r="AH239" s="205"/>
      <c r="AI239" s="209"/>
      <c r="AJ239" s="205"/>
      <c r="AK239" s="205">
        <f t="shared" si="2157"/>
        <v>0</v>
      </c>
      <c r="AL239" s="205" t="e">
        <f>SUM(#REF!,M239,U239,AC239,AD239:AH239)</f>
        <v>#REF!</v>
      </c>
      <c r="AM239" s="120"/>
      <c r="AN239" s="120"/>
      <c r="AO239" s="120"/>
      <c r="AP239" s="120"/>
      <c r="AQ239" s="120"/>
      <c r="AR239" s="209"/>
      <c r="AS239" s="205"/>
      <c r="AT239" s="205">
        <f t="shared" si="2158"/>
        <v>0</v>
      </c>
      <c r="AU239" s="120"/>
      <c r="AV239" s="120"/>
      <c r="AW239" s="120"/>
      <c r="AX239" s="120"/>
      <c r="AY239" s="120"/>
      <c r="AZ239" s="209"/>
      <c r="BA239" s="205"/>
      <c r="BB239" s="205">
        <f t="shared" si="2159"/>
        <v>0</v>
      </c>
      <c r="BC239" s="120"/>
      <c r="BD239" s="120"/>
      <c r="BE239" s="120"/>
      <c r="BF239" s="120"/>
      <c r="BG239" s="120"/>
      <c r="BH239" s="209"/>
      <c r="BI239" s="205"/>
      <c r="BJ239" s="205">
        <f t="shared" si="2160"/>
        <v>0</v>
      </c>
      <c r="BK239" s="120"/>
      <c r="BL239" s="120"/>
      <c r="BM239" s="217">
        <v>3117</v>
      </c>
      <c r="BN239" s="120"/>
      <c r="BO239" s="205"/>
      <c r="BP239" s="209"/>
      <c r="BQ239" s="205"/>
      <c r="BR239" s="205">
        <f t="shared" si="2161"/>
        <v>3117</v>
      </c>
      <c r="BS239" s="205">
        <f t="shared" si="2162"/>
        <v>3117</v>
      </c>
      <c r="BT239" s="120"/>
      <c r="BU239" s="250">
        <v>717</v>
      </c>
      <c r="BV239" s="120"/>
      <c r="BW239" s="120"/>
      <c r="BX239" s="120"/>
      <c r="BY239" s="209"/>
      <c r="BZ239" s="205"/>
      <c r="CA239" s="205">
        <f t="shared" si="2163"/>
        <v>717</v>
      </c>
      <c r="CB239" s="120"/>
      <c r="CC239" s="120"/>
      <c r="CD239" s="120"/>
      <c r="CE239" s="120"/>
      <c r="CF239" s="120"/>
      <c r="CG239" s="209"/>
      <c r="CH239" s="205"/>
      <c r="CI239" s="205">
        <f t="shared" si="2164"/>
        <v>0</v>
      </c>
      <c r="CJ239" s="120"/>
      <c r="CK239" s="120"/>
      <c r="CL239" s="250">
        <v>1217</v>
      </c>
      <c r="CM239" s="120"/>
      <c r="CN239" s="120"/>
      <c r="CO239" s="209"/>
      <c r="CP239" s="205"/>
      <c r="CQ239" s="205">
        <f t="shared" si="2165"/>
        <v>1217</v>
      </c>
      <c r="CR239" s="120" t="s">
        <v>216</v>
      </c>
      <c r="CS239" s="120"/>
      <c r="CT239" s="120"/>
      <c r="CU239" s="120"/>
      <c r="CV239" s="120"/>
      <c r="CW239" s="209"/>
      <c r="CX239" s="205"/>
      <c r="CY239" s="205">
        <f t="shared" si="2166"/>
        <v>0</v>
      </c>
      <c r="CZ239" s="120"/>
      <c r="DA239" s="120"/>
      <c r="DB239" s="120"/>
      <c r="DC239" s="205"/>
      <c r="DD239" s="205"/>
      <c r="DE239" s="209"/>
      <c r="DF239" s="205"/>
      <c r="DG239" s="205">
        <f t="shared" si="2167"/>
        <v>0</v>
      </c>
      <c r="DH239" s="205">
        <f t="shared" si="2168"/>
        <v>1934</v>
      </c>
      <c r="DI239" s="120"/>
      <c r="DJ239" s="120"/>
      <c r="DK239" s="120"/>
      <c r="DL239" s="120"/>
      <c r="DM239" s="120"/>
      <c r="DN239" s="209"/>
      <c r="DO239" s="205"/>
      <c r="DP239" s="205">
        <f t="shared" si="2169"/>
        <v>0</v>
      </c>
      <c r="DQ239" s="217">
        <v>667</v>
      </c>
      <c r="DR239" s="120"/>
      <c r="DS239" s="120"/>
      <c r="DT239" s="120"/>
      <c r="DU239" s="120"/>
      <c r="DV239" s="209"/>
      <c r="DW239" s="205"/>
      <c r="DX239" s="205">
        <f t="shared" si="2170"/>
        <v>667</v>
      </c>
      <c r="DY239" s="120"/>
      <c r="DZ239" s="120"/>
      <c r="EA239" s="120"/>
      <c r="EB239" s="120"/>
      <c r="EC239" s="120"/>
      <c r="ED239" s="209"/>
      <c r="EE239" s="205"/>
      <c r="EF239" s="205">
        <f t="shared" si="2171"/>
        <v>0</v>
      </c>
      <c r="EG239" s="120"/>
      <c r="EH239" s="120"/>
      <c r="EI239" s="120"/>
      <c r="EJ239" s="205"/>
      <c r="EK239" s="205"/>
      <c r="EL239" s="209"/>
      <c r="EM239" s="205"/>
      <c r="EN239" s="205">
        <f t="shared" si="2172"/>
        <v>0</v>
      </c>
      <c r="EO239" s="205">
        <f t="shared" si="2173"/>
        <v>667</v>
      </c>
      <c r="EP239" s="120"/>
      <c r="EQ239" s="250">
        <v>517</v>
      </c>
      <c r="ER239" s="120"/>
      <c r="ES239" s="120"/>
      <c r="ET239" s="120"/>
      <c r="EU239" s="209"/>
      <c r="EV239" s="205"/>
      <c r="EW239" s="205">
        <f t="shared" si="2174"/>
        <v>517</v>
      </c>
      <c r="EX239" s="120"/>
      <c r="EY239" s="120"/>
      <c r="EZ239" s="120"/>
      <c r="FA239" s="120"/>
      <c r="FB239" s="120"/>
      <c r="FC239" s="209"/>
      <c r="FD239" s="205"/>
      <c r="FE239" s="205">
        <f t="shared" si="2175"/>
        <v>0</v>
      </c>
      <c r="FF239" s="120"/>
      <c r="FG239" s="195">
        <v>517</v>
      </c>
      <c r="FH239" s="120"/>
      <c r="FI239" s="120"/>
      <c r="FJ239" s="120"/>
      <c r="FK239" s="209"/>
      <c r="FL239" s="205"/>
      <c r="FM239" s="205">
        <f t="shared" si="2176"/>
        <v>517</v>
      </c>
      <c r="FN239" s="120"/>
      <c r="FO239" s="120"/>
      <c r="FP239" s="120"/>
      <c r="FQ239" s="120"/>
      <c r="FR239" s="205"/>
      <c r="FS239" s="209"/>
      <c r="FT239" s="205"/>
      <c r="FU239" s="205">
        <f t="shared" si="2177"/>
        <v>0</v>
      </c>
      <c r="FV239" s="205">
        <f t="shared" si="2178"/>
        <v>1034</v>
      </c>
      <c r="FW239" s="120"/>
      <c r="FX239" s="120"/>
      <c r="FY239" s="120"/>
      <c r="FZ239" s="120"/>
      <c r="GA239" s="120"/>
      <c r="GB239" s="209"/>
      <c r="GC239" s="205"/>
      <c r="GD239" s="205">
        <f t="shared" si="2179"/>
        <v>0</v>
      </c>
      <c r="GE239" s="120"/>
      <c r="GF239" s="120"/>
      <c r="GG239" s="120"/>
      <c r="GH239" s="120"/>
      <c r="GI239" s="120"/>
      <c r="GJ239" s="209"/>
      <c r="GK239" s="205"/>
      <c r="GL239" s="205">
        <f t="shared" si="2180"/>
        <v>0</v>
      </c>
      <c r="GM239" s="120"/>
      <c r="GN239" s="120"/>
      <c r="GO239" s="120"/>
      <c r="GP239" s="120"/>
      <c r="GQ239" s="120"/>
      <c r="GR239" s="209"/>
      <c r="GS239" s="205"/>
      <c r="GT239" s="205">
        <f t="shared" si="2181"/>
        <v>0</v>
      </c>
      <c r="GU239" s="120"/>
      <c r="GV239" s="120"/>
      <c r="GW239" s="120"/>
      <c r="GX239" s="120"/>
      <c r="GY239" s="120"/>
      <c r="GZ239" s="209"/>
      <c r="HA239" s="205"/>
      <c r="HB239" s="205">
        <f t="shared" si="2182"/>
        <v>0</v>
      </c>
      <c r="HC239" s="120"/>
      <c r="HD239" s="120"/>
      <c r="HE239" s="120"/>
      <c r="HF239" s="120"/>
      <c r="HG239" s="120"/>
      <c r="HH239" s="209"/>
      <c r="HI239" s="205"/>
      <c r="HJ239" s="205">
        <f t="shared" si="2183"/>
        <v>0</v>
      </c>
      <c r="HK239" s="205">
        <f t="shared" si="2184"/>
        <v>0</v>
      </c>
      <c r="HL239" s="124"/>
      <c r="HM239" s="120"/>
      <c r="HN239" s="120"/>
      <c r="HO239" s="123">
        <v>1767</v>
      </c>
      <c r="HP239" s="120"/>
      <c r="HQ239" s="205"/>
      <c r="HR239" s="205"/>
      <c r="HS239" s="205">
        <f t="shared" si="2185"/>
        <v>1767</v>
      </c>
      <c r="HT239" s="120"/>
      <c r="HU239" s="120"/>
      <c r="HV239" s="120"/>
      <c r="HW239" s="120"/>
      <c r="HX239" s="120"/>
      <c r="HY239" s="205"/>
      <c r="HZ239" s="205"/>
      <c r="IA239" s="205">
        <f t="shared" si="2186"/>
        <v>0</v>
      </c>
      <c r="IB239" s="120"/>
      <c r="IC239" s="120"/>
      <c r="ID239" s="120"/>
      <c r="IE239" s="120"/>
      <c r="IF239" s="120"/>
      <c r="IG239" s="205"/>
      <c r="IH239" s="205"/>
      <c r="II239" s="205">
        <f t="shared" si="2187"/>
        <v>0</v>
      </c>
      <c r="IJ239" s="120"/>
      <c r="IK239" s="120"/>
      <c r="IL239" s="201">
        <v>1817</v>
      </c>
      <c r="IM239" s="120"/>
      <c r="IN239" s="120"/>
      <c r="IO239" s="205"/>
      <c r="IP239" s="205"/>
      <c r="IQ239" s="205">
        <f t="shared" si="2188"/>
        <v>1817</v>
      </c>
      <c r="IR239" s="205">
        <f t="shared" si="2189"/>
        <v>3584</v>
      </c>
      <c r="IS239" s="120"/>
      <c r="IT239" s="120"/>
      <c r="IU239" s="120"/>
      <c r="IV239" s="120"/>
      <c r="IW239" s="120"/>
      <c r="IX239" s="205"/>
      <c r="IY239" s="205"/>
      <c r="IZ239" s="205">
        <f t="shared" si="2190"/>
        <v>0</v>
      </c>
      <c r="JA239" s="120"/>
      <c r="JB239" s="120"/>
      <c r="JC239" s="120"/>
      <c r="JD239" s="120"/>
      <c r="JE239" s="120"/>
      <c r="JF239" s="205"/>
      <c r="JG239" s="205"/>
      <c r="JH239" s="205">
        <f t="shared" si="2191"/>
        <v>0</v>
      </c>
      <c r="JI239" s="120"/>
      <c r="JJ239" s="120"/>
      <c r="JK239" s="120"/>
      <c r="JL239" s="120"/>
      <c r="JM239" s="120"/>
      <c r="JN239" s="205"/>
      <c r="JO239" s="205"/>
      <c r="JP239" s="205">
        <f t="shared" si="2192"/>
        <v>0</v>
      </c>
      <c r="JQ239" s="120"/>
      <c r="JR239" s="120"/>
      <c r="JS239" s="120"/>
      <c r="JT239" s="120"/>
      <c r="JU239" s="120"/>
      <c r="JV239" s="205"/>
      <c r="JW239" s="205"/>
      <c r="JX239" s="205">
        <f t="shared" si="2193"/>
        <v>0</v>
      </c>
      <c r="JY239" s="205">
        <f t="shared" si="2194"/>
        <v>0</v>
      </c>
      <c r="JZ239" s="120"/>
      <c r="KA239" s="120"/>
      <c r="KB239" s="120"/>
      <c r="KC239" s="120"/>
      <c r="KD239" s="120"/>
      <c r="KE239" s="205"/>
      <c r="KF239" s="205"/>
      <c r="KG239" s="205">
        <f t="shared" si="2195"/>
        <v>0</v>
      </c>
      <c r="KH239" s="120"/>
      <c r="KI239" s="120"/>
      <c r="KJ239" s="120"/>
      <c r="KK239" s="206">
        <v>817</v>
      </c>
      <c r="KL239" s="120"/>
      <c r="KM239" s="205"/>
      <c r="KN239" s="205"/>
      <c r="KO239" s="205">
        <f t="shared" si="2196"/>
        <v>817</v>
      </c>
      <c r="KP239" s="120"/>
      <c r="KQ239" s="120"/>
      <c r="KR239" s="120"/>
      <c r="KS239" s="120"/>
      <c r="KT239" s="120"/>
      <c r="KU239" s="205"/>
      <c r="KV239" s="205"/>
      <c r="KW239" s="205">
        <f t="shared" si="2197"/>
        <v>0</v>
      </c>
      <c r="KX239" s="120"/>
      <c r="KY239" s="120"/>
      <c r="KZ239" s="120"/>
      <c r="LA239" s="120"/>
      <c r="LB239" s="120"/>
      <c r="LC239" s="205"/>
      <c r="LD239" s="205"/>
      <c r="LE239" s="205">
        <f t="shared" si="2198"/>
        <v>0</v>
      </c>
      <c r="LF239" s="205"/>
      <c r="LG239" s="120"/>
      <c r="LH239" s="120"/>
      <c r="LI239" s="120"/>
      <c r="LJ239" s="120"/>
      <c r="LK239" s="205"/>
      <c r="LL239" s="205"/>
      <c r="LM239" s="205">
        <f t="shared" si="2199"/>
        <v>0</v>
      </c>
      <c r="LN239" s="205">
        <f t="shared" si="2200"/>
        <v>817</v>
      </c>
      <c r="LO239" s="205"/>
      <c r="LP239" s="120"/>
      <c r="LQ239" s="120"/>
      <c r="LR239" s="120"/>
      <c r="LS239" s="205"/>
      <c r="LT239" s="205"/>
      <c r="LU239" s="205"/>
      <c r="LV239" s="205">
        <f t="shared" si="2201"/>
        <v>0</v>
      </c>
      <c r="LW239" s="120"/>
      <c r="LX239" s="120"/>
      <c r="LY239" s="124">
        <v>377</v>
      </c>
      <c r="LZ239" s="120"/>
      <c r="MA239" s="120"/>
      <c r="MB239" s="205"/>
      <c r="MC239" s="205"/>
      <c r="MD239" s="205">
        <f t="shared" si="2202"/>
        <v>377</v>
      </c>
      <c r="ME239" s="120"/>
      <c r="MF239" s="120"/>
      <c r="MG239" s="120"/>
      <c r="MH239" s="201">
        <v>1117</v>
      </c>
      <c r="MI239" s="205"/>
      <c r="MJ239" s="205"/>
      <c r="MK239" s="205"/>
      <c r="ML239" s="205">
        <f t="shared" si="2203"/>
        <v>1117</v>
      </c>
      <c r="MM239" s="120" t="s">
        <v>712</v>
      </c>
      <c r="MN239" s="120"/>
      <c r="MO239" s="120"/>
      <c r="MP239" s="120"/>
      <c r="MQ239" s="120"/>
      <c r="MR239" s="205"/>
      <c r="MS239" s="205"/>
      <c r="MT239" s="205">
        <f t="shared" si="2204"/>
        <v>0</v>
      </c>
      <c r="MU239" s="205">
        <f t="shared" si="2205"/>
        <v>1494</v>
      </c>
      <c r="MV239" s="120"/>
      <c r="MW239" s="120"/>
      <c r="MX239" s="195">
        <v>2017</v>
      </c>
      <c r="MY239" s="120"/>
      <c r="MZ239" s="120"/>
      <c r="NA239" s="205"/>
      <c r="NB239" s="205"/>
      <c r="NC239" s="205">
        <f t="shared" si="2206"/>
        <v>2017</v>
      </c>
      <c r="ND239" s="120"/>
      <c r="NE239" s="120"/>
      <c r="NF239" s="120"/>
      <c r="NG239" s="120"/>
      <c r="NH239" s="120"/>
      <c r="NI239" s="205"/>
      <c r="NJ239" s="205"/>
      <c r="NK239" s="205">
        <f t="shared" si="2207"/>
        <v>0</v>
      </c>
      <c r="NL239" s="120"/>
      <c r="NM239" s="120"/>
      <c r="NN239" s="120"/>
      <c r="NO239" s="120"/>
      <c r="NP239" s="120"/>
      <c r="NQ239" s="205"/>
      <c r="NR239" s="205"/>
      <c r="NS239" s="205">
        <f t="shared" si="2208"/>
        <v>0</v>
      </c>
      <c r="NT239" s="217">
        <v>1017</v>
      </c>
      <c r="NU239" s="120"/>
      <c r="NV239" s="120"/>
      <c r="NW239" s="120"/>
      <c r="NX239" s="120"/>
      <c r="NY239" s="205"/>
      <c r="NZ239" s="205"/>
      <c r="OA239" s="205">
        <f t="shared" si="2209"/>
        <v>1017</v>
      </c>
      <c r="OB239" s="205">
        <f t="shared" si="2210"/>
        <v>3034</v>
      </c>
      <c r="OC239" s="120"/>
      <c r="OD239" s="120"/>
      <c r="OE239" s="120"/>
      <c r="OF239" s="120"/>
      <c r="OG239" s="120"/>
      <c r="OH239" s="205"/>
      <c r="OI239" s="205"/>
      <c r="OJ239" s="205">
        <f t="shared" si="2211"/>
        <v>0</v>
      </c>
      <c r="OK239" s="120"/>
      <c r="OL239" s="120"/>
      <c r="OM239" s="120"/>
      <c r="ON239" s="120"/>
      <c r="OO239" s="120"/>
      <c r="OP239" s="205"/>
      <c r="OQ239" s="205"/>
      <c r="OR239" s="205">
        <f t="shared" si="2212"/>
        <v>0</v>
      </c>
      <c r="OS239" s="120"/>
      <c r="OT239" s="120"/>
      <c r="OU239" s="120"/>
      <c r="OV239" s="120"/>
      <c r="OW239" s="120"/>
      <c r="OX239" s="205"/>
      <c r="OY239" s="205"/>
      <c r="OZ239" s="205">
        <f t="shared" si="2213"/>
        <v>0</v>
      </c>
      <c r="PA239" s="120"/>
      <c r="PB239" s="120"/>
      <c r="PC239" s="120"/>
      <c r="PD239" s="205"/>
      <c r="PE239" s="217"/>
      <c r="PF239" s="205"/>
      <c r="PG239" s="205"/>
      <c r="PH239" s="205">
        <f t="shared" si="2214"/>
        <v>0</v>
      </c>
      <c r="PI239" s="120"/>
      <c r="PJ239" s="120"/>
      <c r="PK239" s="120"/>
      <c r="PL239" s="205"/>
      <c r="PM239" s="217"/>
      <c r="PN239" s="205"/>
      <c r="PO239" s="205"/>
      <c r="PP239" s="205">
        <f t="shared" si="2215"/>
        <v>0</v>
      </c>
      <c r="PQ239" s="205">
        <f t="shared" si="2216"/>
        <v>0</v>
      </c>
      <c r="PR239" s="120"/>
      <c r="PS239" s="207"/>
      <c r="PT239" s="207"/>
      <c r="PU239" s="207"/>
      <c r="PV239" s="207"/>
      <c r="PW239" s="272"/>
      <c r="PX239" s="272"/>
      <c r="PY239" s="205">
        <f t="shared" si="2217"/>
        <v>0</v>
      </c>
      <c r="PZ239" s="207"/>
      <c r="QA239" s="207"/>
      <c r="QB239" s="207"/>
      <c r="QC239" s="207"/>
      <c r="QD239" s="207"/>
      <c r="QE239" s="272"/>
      <c r="QF239" s="272"/>
      <c r="QG239" s="205">
        <f t="shared" si="2218"/>
        <v>0</v>
      </c>
      <c r="QH239" s="207"/>
      <c r="QI239" s="207"/>
      <c r="QJ239" s="294"/>
      <c r="QK239" s="207"/>
      <c r="QL239" s="207"/>
      <c r="QM239" s="272"/>
      <c r="QN239" s="272"/>
      <c r="QO239" s="205">
        <f t="shared" si="2219"/>
        <v>0</v>
      </c>
      <c r="QP239" s="207"/>
      <c r="QQ239" s="120"/>
      <c r="QR239" s="207"/>
      <c r="QS239" s="207"/>
      <c r="QT239" s="207"/>
      <c r="QU239" s="272"/>
      <c r="QV239" s="272"/>
      <c r="QW239" s="205">
        <f t="shared" si="2220"/>
        <v>0</v>
      </c>
      <c r="QX239" s="205">
        <f t="shared" si="2221"/>
        <v>0</v>
      </c>
      <c r="QY239" s="207"/>
      <c r="QZ239" s="207"/>
      <c r="RA239" s="207"/>
      <c r="RB239" s="207"/>
      <c r="RC239" s="207"/>
      <c r="RD239" s="272"/>
      <c r="RE239" s="272"/>
      <c r="RF239" s="205">
        <f t="shared" si="2148"/>
        <v>0</v>
      </c>
      <c r="RG239" s="207"/>
      <c r="RH239" s="207"/>
      <c r="RI239" s="207"/>
      <c r="RJ239" s="120"/>
      <c r="RK239" s="207"/>
      <c r="RL239" s="272"/>
      <c r="RM239" s="272"/>
      <c r="RN239" s="205">
        <f t="shared" si="2096"/>
        <v>0</v>
      </c>
      <c r="RO239" s="272"/>
      <c r="RP239" s="272"/>
      <c r="RQ239" s="272"/>
      <c r="RR239" s="272"/>
      <c r="RS239" s="272"/>
      <c r="RT239" s="272"/>
      <c r="RU239" s="272"/>
      <c r="RV239" s="205">
        <f t="shared" si="2097"/>
        <v>0</v>
      </c>
      <c r="RW239" s="207"/>
      <c r="RX239" s="207"/>
      <c r="RY239" s="207"/>
      <c r="RZ239" s="207"/>
      <c r="SA239" s="272"/>
      <c r="SB239" s="272"/>
      <c r="SC239" s="272"/>
      <c r="SD239" s="205">
        <f t="shared" si="2224"/>
        <v>0</v>
      </c>
      <c r="SE239" s="205">
        <f t="shared" si="2225"/>
        <v>0</v>
      </c>
      <c r="SF239" s="207"/>
      <c r="SG239" s="207"/>
      <c r="SH239" s="207"/>
      <c r="SI239" s="207"/>
      <c r="SJ239" s="207"/>
      <c r="SK239" s="272"/>
      <c r="SL239" s="272"/>
      <c r="SM239" s="205">
        <f t="shared" si="2100"/>
        <v>0</v>
      </c>
      <c r="SN239" s="207"/>
      <c r="SO239" s="207"/>
      <c r="SP239" s="207"/>
      <c r="SQ239" s="207"/>
      <c r="SR239" s="195">
        <v>1440</v>
      </c>
      <c r="SS239" s="272"/>
      <c r="ST239" s="272"/>
      <c r="SU239" s="205">
        <f t="shared" si="2101"/>
        <v>1440</v>
      </c>
      <c r="SV239" s="207"/>
      <c r="SW239" s="207"/>
      <c r="SX239" s="207"/>
      <c r="SY239" s="123">
        <v>1500</v>
      </c>
      <c r="SZ239" s="123">
        <v>1000</v>
      </c>
      <c r="TA239" s="272"/>
      <c r="TB239" s="272"/>
      <c r="TC239" s="205">
        <f t="shared" si="2102"/>
        <v>2500</v>
      </c>
      <c r="TD239" s="207"/>
      <c r="TE239" s="207"/>
      <c r="TF239" s="207"/>
      <c r="TG239" s="207"/>
      <c r="TH239" s="207"/>
      <c r="TI239" s="272"/>
      <c r="TJ239" s="272"/>
      <c r="TK239" s="205">
        <f t="shared" si="2142"/>
        <v>0</v>
      </c>
      <c r="TL239" s="207"/>
      <c r="TM239" s="207"/>
      <c r="TN239" s="207"/>
      <c r="TO239" s="207"/>
      <c r="TP239" s="272"/>
      <c r="TQ239" s="272"/>
      <c r="TR239" s="272"/>
      <c r="TS239" s="205">
        <f t="shared" si="2226"/>
        <v>0</v>
      </c>
      <c r="TT239" s="205">
        <f t="shared" si="2227"/>
        <v>3940</v>
      </c>
      <c r="TU239" s="272"/>
      <c r="TV239" s="207"/>
      <c r="TW239" s="207"/>
      <c r="TX239" s="207"/>
      <c r="TY239" s="207"/>
      <c r="TZ239" s="272"/>
      <c r="UA239" s="272"/>
      <c r="UB239" s="205">
        <f t="shared" si="2012"/>
        <v>0</v>
      </c>
      <c r="UC239" s="207"/>
      <c r="UD239" s="207"/>
      <c r="UE239" s="207"/>
      <c r="UF239" s="207"/>
      <c r="UG239" s="207"/>
      <c r="UH239" s="272"/>
      <c r="UI239" s="272"/>
      <c r="UJ239" s="205">
        <f t="shared" si="2013"/>
        <v>0</v>
      </c>
      <c r="UK239" s="207"/>
      <c r="UL239" s="207"/>
      <c r="UM239" s="207"/>
      <c r="UN239" s="207"/>
      <c r="UO239" s="207"/>
      <c r="UP239" s="272"/>
      <c r="UQ239" s="272"/>
      <c r="UR239" s="205">
        <f t="shared" si="2014"/>
        <v>0</v>
      </c>
      <c r="US239" s="207"/>
      <c r="UT239" s="207"/>
      <c r="UU239" s="207"/>
      <c r="UV239" s="207"/>
      <c r="UW239" s="272"/>
      <c r="UX239" s="272"/>
      <c r="UY239" s="272"/>
      <c r="UZ239" s="205">
        <f t="shared" si="2145"/>
        <v>0</v>
      </c>
      <c r="VA239" s="205">
        <f t="shared" si="2146"/>
        <v>0</v>
      </c>
      <c r="VB239" s="207"/>
      <c r="VC239" s="120"/>
      <c r="VD239" s="207"/>
      <c r="VE239" s="207"/>
      <c r="VF239" s="207"/>
      <c r="VG239" s="272"/>
      <c r="VH239" s="272"/>
      <c r="VI239" s="205">
        <f t="shared" si="2005"/>
        <v>0</v>
      </c>
      <c r="VJ239" s="207"/>
      <c r="VK239" s="207"/>
      <c r="VL239" s="207"/>
      <c r="VM239" s="207"/>
      <c r="VN239" s="207"/>
      <c r="VO239" s="272"/>
      <c r="VP239" s="272"/>
      <c r="VQ239" s="205">
        <f t="shared" si="2015"/>
        <v>0</v>
      </c>
      <c r="VR239" s="120"/>
      <c r="VS239" s="207"/>
      <c r="VT239" s="207"/>
      <c r="VU239" s="207"/>
      <c r="VV239" s="207"/>
      <c r="VW239" s="272"/>
      <c r="VX239" s="272"/>
      <c r="VY239" s="205">
        <f t="shared" si="2006"/>
        <v>0</v>
      </c>
      <c r="VZ239" s="207"/>
      <c r="WA239" s="207"/>
      <c r="WB239" s="207"/>
      <c r="WC239" s="356"/>
      <c r="WD239" s="207"/>
      <c r="WE239" s="272"/>
      <c r="WF239" s="272"/>
      <c r="WG239" s="205">
        <f t="shared" si="2007"/>
        <v>0</v>
      </c>
      <c r="WH239" s="205">
        <f t="shared" si="2008"/>
        <v>0</v>
      </c>
      <c r="WI239" s="207"/>
      <c r="WJ239" s="207"/>
      <c r="WK239" s="207"/>
      <c r="WL239" s="207"/>
      <c r="WM239" s="207"/>
      <c r="WN239" s="272"/>
      <c r="WO239" s="272"/>
      <c r="WP239" s="205">
        <f t="shared" si="2016"/>
        <v>0</v>
      </c>
      <c r="WQ239" s="207"/>
      <c r="WR239" s="207"/>
      <c r="WS239" s="207"/>
      <c r="WT239" s="207"/>
      <c r="WU239" s="207"/>
      <c r="WV239" s="272"/>
      <c r="WW239" s="272"/>
      <c r="WX239" s="205">
        <f t="shared" si="2017"/>
        <v>0</v>
      </c>
      <c r="WY239" s="207"/>
      <c r="WZ239" s="207"/>
      <c r="XA239" s="207"/>
      <c r="XB239" s="207"/>
      <c r="XC239" s="272"/>
      <c r="XD239" s="272"/>
      <c r="XE239" s="272"/>
      <c r="XF239" s="205">
        <f t="shared" si="2009"/>
        <v>0</v>
      </c>
      <c r="XG239" s="207"/>
      <c r="XH239" s="207"/>
      <c r="XI239" s="207"/>
      <c r="XJ239" s="207"/>
      <c r="XK239" s="207"/>
      <c r="XL239" s="272"/>
      <c r="XM239" s="272"/>
      <c r="XN239" s="205">
        <f t="shared" si="2105"/>
        <v>0</v>
      </c>
      <c r="XO239" s="207"/>
      <c r="XP239" s="207"/>
      <c r="XQ239" s="207"/>
      <c r="XR239" s="207"/>
      <c r="XS239" s="207"/>
      <c r="XT239" s="272"/>
      <c r="XU239" s="272"/>
      <c r="XV239" s="205">
        <f t="shared" si="2222"/>
        <v>0</v>
      </c>
      <c r="XW239" s="205">
        <f t="shared" si="2223"/>
        <v>0</v>
      </c>
      <c r="XX239" s="207"/>
      <c r="XY239" s="207"/>
      <c r="XZ239" s="207"/>
      <c r="YA239" s="207"/>
      <c r="YB239" s="207"/>
      <c r="YC239" s="272"/>
      <c r="YD239" s="272"/>
      <c r="YE239" s="205">
        <f t="shared" si="2018"/>
        <v>0</v>
      </c>
      <c r="YF239" s="207"/>
      <c r="YG239" s="207"/>
      <c r="YH239" s="207"/>
      <c r="YI239" s="207"/>
      <c r="YJ239" s="207"/>
      <c r="YK239" s="272"/>
      <c r="YL239" s="272"/>
      <c r="YM239" s="205">
        <f t="shared" si="2019"/>
        <v>0</v>
      </c>
      <c r="YN239" s="207"/>
      <c r="YO239" s="207"/>
      <c r="YP239" s="207"/>
      <c r="YQ239" s="207"/>
      <c r="YR239" s="207"/>
      <c r="YS239" s="272"/>
      <c r="YT239" s="272"/>
      <c r="YU239" s="205">
        <f t="shared" si="2020"/>
        <v>0</v>
      </c>
      <c r="YV239" s="207"/>
      <c r="YW239" s="207"/>
      <c r="YX239" s="207"/>
      <c r="YY239" s="207"/>
      <c r="YZ239" s="207"/>
      <c r="ZA239" s="272"/>
      <c r="ZB239" s="272"/>
      <c r="ZC239" s="205">
        <f t="shared" si="2021"/>
        <v>0</v>
      </c>
      <c r="ZD239" s="205">
        <f t="shared" si="2022"/>
        <v>0</v>
      </c>
      <c r="ZE239" s="207"/>
      <c r="ZF239" s="207"/>
      <c r="ZG239" s="207"/>
      <c r="ZH239" s="207"/>
      <c r="ZI239" s="207"/>
      <c r="ZJ239" s="272"/>
      <c r="ZK239" s="272"/>
      <c r="ZL239" s="205">
        <f t="shared" si="2023"/>
        <v>0</v>
      </c>
      <c r="ZM239" s="207"/>
      <c r="ZN239" s="207"/>
      <c r="ZO239" s="207"/>
      <c r="ZP239" s="207"/>
      <c r="ZQ239" s="207"/>
      <c r="ZR239" s="272"/>
      <c r="ZS239" s="272"/>
      <c r="ZT239" s="205">
        <f t="shared" si="2010"/>
        <v>0</v>
      </c>
      <c r="ZU239" s="207"/>
      <c r="ZV239" s="207"/>
      <c r="ZW239" s="207"/>
      <c r="ZX239" s="207"/>
      <c r="ZY239" s="207"/>
      <c r="ZZ239" s="272"/>
      <c r="AAA239" s="272"/>
      <c r="AAB239" s="205">
        <f t="shared" si="2024"/>
        <v>0</v>
      </c>
      <c r="AAC239" s="207"/>
      <c r="AAD239" s="207"/>
      <c r="AAE239" s="207"/>
      <c r="AAF239" s="207"/>
      <c r="AAG239" s="207"/>
      <c r="AAH239" s="272"/>
      <c r="AAI239" s="272"/>
      <c r="AAJ239" s="205">
        <f t="shared" si="2011"/>
        <v>0</v>
      </c>
      <c r="AAK239" s="207"/>
      <c r="AAL239" s="207"/>
      <c r="AAM239" s="207"/>
      <c r="AAN239" s="207"/>
      <c r="AAO239" s="207"/>
      <c r="AAP239" s="272"/>
      <c r="AAQ239" s="272"/>
      <c r="AAR239" s="205">
        <f t="shared" si="2025"/>
        <v>0</v>
      </c>
      <c r="AAS239" s="205">
        <f t="shared" si="2026"/>
        <v>0</v>
      </c>
    </row>
    <row r="240" spans="1:721" ht="74.099999999999994" customHeight="1">
      <c r="B240" s="302"/>
      <c r="C240" s="345"/>
      <c r="D240" s="305"/>
      <c r="E240" s="130" t="s">
        <v>4</v>
      </c>
      <c r="F240" s="120"/>
      <c r="G240" s="120"/>
      <c r="H240" s="120"/>
      <c r="I240" s="120"/>
      <c r="J240" s="120"/>
      <c r="K240" s="209"/>
      <c r="L240" s="205"/>
      <c r="M240" s="205">
        <f t="shared" ref="M240:M242" si="2228">SUM(F240:L240)</f>
        <v>0</v>
      </c>
      <c r="N240" s="120"/>
      <c r="O240" s="120"/>
      <c r="P240" s="120"/>
      <c r="Q240" s="120"/>
      <c r="R240" s="120"/>
      <c r="S240" s="209"/>
      <c r="T240" s="205"/>
      <c r="U240" s="205">
        <f t="shared" si="2155"/>
        <v>0</v>
      </c>
      <c r="V240" s="120"/>
      <c r="W240" s="120"/>
      <c r="X240" s="120"/>
      <c r="Y240" s="120"/>
      <c r="Z240" s="120"/>
      <c r="AA240" s="209"/>
      <c r="AB240" s="205"/>
      <c r="AC240" s="205">
        <f t="shared" si="2156"/>
        <v>0</v>
      </c>
      <c r="AD240" s="205"/>
      <c r="AE240" s="205"/>
      <c r="AF240" s="205"/>
      <c r="AG240" s="205"/>
      <c r="AH240" s="205"/>
      <c r="AI240" s="209"/>
      <c r="AJ240" s="205"/>
      <c r="AK240" s="205">
        <f t="shared" si="2157"/>
        <v>0</v>
      </c>
      <c r="AL240" s="205" t="e">
        <f>SUM(#REF!,M240,U240,AC240,AD240:AH240)</f>
        <v>#REF!</v>
      </c>
      <c r="AM240" s="120"/>
      <c r="AN240" s="120"/>
      <c r="AO240" s="120"/>
      <c r="AP240" s="120"/>
      <c r="AQ240" s="120"/>
      <c r="AR240" s="209"/>
      <c r="AS240" s="205"/>
      <c r="AT240" s="205">
        <f t="shared" si="2158"/>
        <v>0</v>
      </c>
      <c r="AU240" s="120"/>
      <c r="AV240" s="120"/>
      <c r="AW240" s="120"/>
      <c r="AX240" s="120"/>
      <c r="AY240" s="120"/>
      <c r="AZ240" s="209"/>
      <c r="BA240" s="205"/>
      <c r="BB240" s="205">
        <f t="shared" si="2159"/>
        <v>0</v>
      </c>
      <c r="BC240" s="120"/>
      <c r="BD240" s="120"/>
      <c r="BE240" s="120"/>
      <c r="BF240" s="120"/>
      <c r="BG240" s="120"/>
      <c r="BH240" s="209"/>
      <c r="BI240" s="205"/>
      <c r="BJ240" s="205">
        <f t="shared" si="2160"/>
        <v>0</v>
      </c>
      <c r="BK240" s="120"/>
      <c r="BL240" s="120"/>
      <c r="BM240" s="217">
        <v>3118</v>
      </c>
      <c r="BN240" s="120"/>
      <c r="BO240" s="205"/>
      <c r="BP240" s="209"/>
      <c r="BQ240" s="205"/>
      <c r="BR240" s="205">
        <f t="shared" si="2161"/>
        <v>3118</v>
      </c>
      <c r="BS240" s="205">
        <f t="shared" si="2162"/>
        <v>3118</v>
      </c>
      <c r="BT240" s="120"/>
      <c r="BU240" s="250">
        <v>718</v>
      </c>
      <c r="BV240" s="120"/>
      <c r="BW240" s="120"/>
      <c r="BX240" s="120"/>
      <c r="BY240" s="209"/>
      <c r="BZ240" s="205"/>
      <c r="CA240" s="205">
        <f t="shared" si="2163"/>
        <v>718</v>
      </c>
      <c r="CB240" s="120"/>
      <c r="CC240" s="120"/>
      <c r="CD240" s="120"/>
      <c r="CE240" s="120"/>
      <c r="CF240" s="120"/>
      <c r="CG240" s="209"/>
      <c r="CH240" s="205"/>
      <c r="CI240" s="205">
        <f t="shared" si="2164"/>
        <v>0</v>
      </c>
      <c r="CJ240" s="120"/>
      <c r="CK240" s="120"/>
      <c r="CL240" s="250">
        <v>1218</v>
      </c>
      <c r="CM240" s="120"/>
      <c r="CN240" s="120"/>
      <c r="CO240" s="209"/>
      <c r="CP240" s="205"/>
      <c r="CQ240" s="205">
        <f t="shared" si="2165"/>
        <v>1218</v>
      </c>
      <c r="CR240" s="120" t="s">
        <v>216</v>
      </c>
      <c r="CS240" s="120"/>
      <c r="CT240" s="120"/>
      <c r="CU240" s="120"/>
      <c r="CV240" s="120"/>
      <c r="CW240" s="209"/>
      <c r="CX240" s="205"/>
      <c r="CY240" s="205">
        <f t="shared" si="2166"/>
        <v>0</v>
      </c>
      <c r="CZ240" s="120"/>
      <c r="DA240" s="120"/>
      <c r="DB240" s="120"/>
      <c r="DC240" s="205"/>
      <c r="DD240" s="205"/>
      <c r="DE240" s="209"/>
      <c r="DF240" s="205"/>
      <c r="DG240" s="205">
        <f t="shared" si="2167"/>
        <v>0</v>
      </c>
      <c r="DH240" s="205">
        <f t="shared" si="2168"/>
        <v>1936</v>
      </c>
      <c r="DI240" s="120"/>
      <c r="DJ240" s="120"/>
      <c r="DK240" s="120"/>
      <c r="DL240" s="120"/>
      <c r="DM240" s="120"/>
      <c r="DN240" s="209"/>
      <c r="DO240" s="205"/>
      <c r="DP240" s="205">
        <f t="shared" si="2169"/>
        <v>0</v>
      </c>
      <c r="DQ240" s="217">
        <v>668</v>
      </c>
      <c r="DR240" s="120"/>
      <c r="DS240" s="120"/>
      <c r="DT240" s="120"/>
      <c r="DU240" s="120"/>
      <c r="DV240" s="209"/>
      <c r="DW240" s="205"/>
      <c r="DX240" s="205">
        <f t="shared" si="2170"/>
        <v>668</v>
      </c>
      <c r="DY240" s="120"/>
      <c r="DZ240" s="120"/>
      <c r="EA240" s="120"/>
      <c r="EB240" s="120"/>
      <c r="EC240" s="120"/>
      <c r="ED240" s="209"/>
      <c r="EE240" s="205"/>
      <c r="EF240" s="205">
        <f t="shared" si="2171"/>
        <v>0</v>
      </c>
      <c r="EG240" s="120"/>
      <c r="EH240" s="120"/>
      <c r="EI240" s="120"/>
      <c r="EJ240" s="205"/>
      <c r="EK240" s="205"/>
      <c r="EL240" s="209"/>
      <c r="EM240" s="205"/>
      <c r="EN240" s="205">
        <f t="shared" si="2172"/>
        <v>0</v>
      </c>
      <c r="EO240" s="205">
        <f t="shared" si="2173"/>
        <v>668</v>
      </c>
      <c r="EP240" s="120"/>
      <c r="EQ240" s="250">
        <v>518</v>
      </c>
      <c r="ER240" s="120"/>
      <c r="ES240" s="120"/>
      <c r="ET240" s="120"/>
      <c r="EU240" s="209"/>
      <c r="EV240" s="205"/>
      <c r="EW240" s="205">
        <f t="shared" si="2174"/>
        <v>518</v>
      </c>
      <c r="EX240" s="120"/>
      <c r="EY240" s="120"/>
      <c r="EZ240" s="120"/>
      <c r="FA240" s="120"/>
      <c r="FB240" s="120"/>
      <c r="FC240" s="209"/>
      <c r="FD240" s="205"/>
      <c r="FE240" s="205">
        <f t="shared" si="2175"/>
        <v>0</v>
      </c>
      <c r="FF240" s="120"/>
      <c r="FG240" s="195">
        <v>518</v>
      </c>
      <c r="FH240" s="120"/>
      <c r="FI240" s="120"/>
      <c r="FJ240" s="120"/>
      <c r="FK240" s="209"/>
      <c r="FL240" s="205"/>
      <c r="FM240" s="205">
        <f t="shared" si="2176"/>
        <v>518</v>
      </c>
      <c r="FN240" s="120"/>
      <c r="FO240" s="120"/>
      <c r="FP240" s="120"/>
      <c r="FQ240" s="120"/>
      <c r="FR240" s="205"/>
      <c r="FS240" s="209"/>
      <c r="FT240" s="205"/>
      <c r="FU240" s="205">
        <f t="shared" si="2177"/>
        <v>0</v>
      </c>
      <c r="FV240" s="205">
        <f t="shared" si="2178"/>
        <v>1036</v>
      </c>
      <c r="FW240" s="120"/>
      <c r="FX240" s="120"/>
      <c r="FY240" s="120"/>
      <c r="FZ240" s="120"/>
      <c r="GA240" s="120"/>
      <c r="GB240" s="209"/>
      <c r="GC240" s="205"/>
      <c r="GD240" s="205">
        <f t="shared" si="2179"/>
        <v>0</v>
      </c>
      <c r="GE240" s="120"/>
      <c r="GF240" s="120"/>
      <c r="GG240" s="120"/>
      <c r="GH240" s="120"/>
      <c r="GI240" s="120"/>
      <c r="GJ240" s="209"/>
      <c r="GK240" s="205"/>
      <c r="GL240" s="205">
        <f t="shared" si="2180"/>
        <v>0</v>
      </c>
      <c r="GM240" s="120"/>
      <c r="GN240" s="120"/>
      <c r="GO240" s="120"/>
      <c r="GP240" s="120"/>
      <c r="GQ240" s="120"/>
      <c r="GR240" s="209"/>
      <c r="GS240" s="205"/>
      <c r="GT240" s="205">
        <f t="shared" si="2181"/>
        <v>0</v>
      </c>
      <c r="GU240" s="120"/>
      <c r="GV240" s="120"/>
      <c r="GW240" s="120"/>
      <c r="GX240" s="120"/>
      <c r="GY240" s="120"/>
      <c r="GZ240" s="209"/>
      <c r="HA240" s="205"/>
      <c r="HB240" s="205">
        <f t="shared" si="2182"/>
        <v>0</v>
      </c>
      <c r="HC240" s="120"/>
      <c r="HD240" s="120"/>
      <c r="HE240" s="120"/>
      <c r="HF240" s="120"/>
      <c r="HG240" s="120"/>
      <c r="HH240" s="209"/>
      <c r="HI240" s="205"/>
      <c r="HJ240" s="205">
        <f t="shared" si="2183"/>
        <v>0</v>
      </c>
      <c r="HK240" s="205">
        <f t="shared" si="2184"/>
        <v>0</v>
      </c>
      <c r="HL240" s="124"/>
      <c r="HM240" s="120"/>
      <c r="HN240" s="120"/>
      <c r="HO240" s="123">
        <v>1768</v>
      </c>
      <c r="HP240" s="120"/>
      <c r="HQ240" s="205"/>
      <c r="HR240" s="205"/>
      <c r="HS240" s="205">
        <f t="shared" si="2185"/>
        <v>1768</v>
      </c>
      <c r="HT240" s="120"/>
      <c r="HU240" s="120"/>
      <c r="HV240" s="120"/>
      <c r="HW240" s="120"/>
      <c r="HX240" s="120"/>
      <c r="HY240" s="205"/>
      <c r="HZ240" s="205"/>
      <c r="IA240" s="205">
        <f t="shared" si="2186"/>
        <v>0</v>
      </c>
      <c r="IB240" s="120"/>
      <c r="IC240" s="120"/>
      <c r="ID240" s="120"/>
      <c r="IE240" s="120"/>
      <c r="IF240" s="120"/>
      <c r="IG240" s="205"/>
      <c r="IH240" s="205"/>
      <c r="II240" s="205">
        <f t="shared" si="2187"/>
        <v>0</v>
      </c>
      <c r="IJ240" s="120"/>
      <c r="IK240" s="120"/>
      <c r="IL240" s="201">
        <v>1818</v>
      </c>
      <c r="IM240" s="120"/>
      <c r="IN240" s="120"/>
      <c r="IO240" s="205"/>
      <c r="IP240" s="205"/>
      <c r="IQ240" s="205">
        <f t="shared" si="2188"/>
        <v>1818</v>
      </c>
      <c r="IR240" s="205">
        <f t="shared" si="2189"/>
        <v>3586</v>
      </c>
      <c r="IS240" s="120"/>
      <c r="IT240" s="120"/>
      <c r="IU240" s="120"/>
      <c r="IV240" s="120"/>
      <c r="IW240" s="120"/>
      <c r="IX240" s="205"/>
      <c r="IY240" s="205"/>
      <c r="IZ240" s="205">
        <f t="shared" si="2190"/>
        <v>0</v>
      </c>
      <c r="JA240" s="120"/>
      <c r="JB240" s="120"/>
      <c r="JC240" s="120"/>
      <c r="JD240" s="120"/>
      <c r="JE240" s="120"/>
      <c r="JF240" s="205"/>
      <c r="JG240" s="205"/>
      <c r="JH240" s="205">
        <f t="shared" si="2191"/>
        <v>0</v>
      </c>
      <c r="JI240" s="120"/>
      <c r="JJ240" s="120"/>
      <c r="JK240" s="120"/>
      <c r="JL240" s="120"/>
      <c r="JM240" s="120"/>
      <c r="JN240" s="205"/>
      <c r="JO240" s="205"/>
      <c r="JP240" s="205">
        <f t="shared" si="2192"/>
        <v>0</v>
      </c>
      <c r="JQ240" s="120"/>
      <c r="JR240" s="120"/>
      <c r="JS240" s="120"/>
      <c r="JT240" s="120"/>
      <c r="JU240" s="120"/>
      <c r="JV240" s="205"/>
      <c r="JW240" s="205"/>
      <c r="JX240" s="205">
        <f t="shared" si="2193"/>
        <v>0</v>
      </c>
      <c r="JY240" s="205">
        <f t="shared" si="2194"/>
        <v>0</v>
      </c>
      <c r="JZ240" s="120"/>
      <c r="KA240" s="120"/>
      <c r="KB240" s="120"/>
      <c r="KC240" s="120"/>
      <c r="KD240" s="120"/>
      <c r="KE240" s="205"/>
      <c r="KF240" s="205"/>
      <c r="KG240" s="205">
        <f t="shared" si="2195"/>
        <v>0</v>
      </c>
      <c r="KH240" s="120"/>
      <c r="KI240" s="120"/>
      <c r="KJ240" s="120"/>
      <c r="KK240" s="206">
        <v>818</v>
      </c>
      <c r="KL240" s="120"/>
      <c r="KM240" s="205"/>
      <c r="KN240" s="205"/>
      <c r="KO240" s="205">
        <f t="shared" si="2196"/>
        <v>818</v>
      </c>
      <c r="KP240" s="120"/>
      <c r="KQ240" s="120"/>
      <c r="KR240" s="120"/>
      <c r="KS240" s="120"/>
      <c r="KT240" s="120"/>
      <c r="KU240" s="205"/>
      <c r="KV240" s="205"/>
      <c r="KW240" s="205">
        <f t="shared" si="2197"/>
        <v>0</v>
      </c>
      <c r="KX240" s="120"/>
      <c r="KY240" s="120"/>
      <c r="KZ240" s="120"/>
      <c r="LA240" s="120"/>
      <c r="LB240" s="120"/>
      <c r="LC240" s="205"/>
      <c r="LD240" s="205"/>
      <c r="LE240" s="205">
        <f t="shared" si="2198"/>
        <v>0</v>
      </c>
      <c r="LF240" s="205"/>
      <c r="LG240" s="120"/>
      <c r="LH240" s="120"/>
      <c r="LI240" s="120"/>
      <c r="LJ240" s="120"/>
      <c r="LK240" s="205"/>
      <c r="LL240" s="205"/>
      <c r="LM240" s="205">
        <f t="shared" si="2199"/>
        <v>0</v>
      </c>
      <c r="LN240" s="205">
        <f t="shared" si="2200"/>
        <v>818</v>
      </c>
      <c r="LO240" s="205"/>
      <c r="LP240" s="120"/>
      <c r="LQ240" s="120"/>
      <c r="LR240" s="120"/>
      <c r="LS240" s="205"/>
      <c r="LT240" s="205"/>
      <c r="LU240" s="205"/>
      <c r="LV240" s="205">
        <f t="shared" si="2201"/>
        <v>0</v>
      </c>
      <c r="LW240" s="120"/>
      <c r="LX240" s="120"/>
      <c r="LY240" s="124">
        <v>378</v>
      </c>
      <c r="LZ240" s="120"/>
      <c r="MA240" s="120"/>
      <c r="MB240" s="205"/>
      <c r="MC240" s="205"/>
      <c r="MD240" s="205">
        <f t="shared" si="2202"/>
        <v>378</v>
      </c>
      <c r="ME240" s="120"/>
      <c r="MF240" s="120"/>
      <c r="MG240" s="120"/>
      <c r="MH240" s="201">
        <v>1118</v>
      </c>
      <c r="MI240" s="205"/>
      <c r="MJ240" s="205"/>
      <c r="MK240" s="205"/>
      <c r="ML240" s="205">
        <f t="shared" si="2203"/>
        <v>1118</v>
      </c>
      <c r="MM240" s="120" t="s">
        <v>712</v>
      </c>
      <c r="MN240" s="120"/>
      <c r="MO240" s="120"/>
      <c r="MP240" s="120"/>
      <c r="MQ240" s="120"/>
      <c r="MR240" s="205"/>
      <c r="MS240" s="205"/>
      <c r="MT240" s="205">
        <f t="shared" si="2204"/>
        <v>0</v>
      </c>
      <c r="MU240" s="205">
        <f t="shared" si="2205"/>
        <v>1496</v>
      </c>
      <c r="MV240" s="120"/>
      <c r="MW240" s="120"/>
      <c r="MX240" s="195">
        <v>2018</v>
      </c>
      <c r="MY240" s="120"/>
      <c r="MZ240" s="120"/>
      <c r="NA240" s="205"/>
      <c r="NB240" s="205"/>
      <c r="NC240" s="205">
        <f t="shared" si="2206"/>
        <v>2018</v>
      </c>
      <c r="ND240" s="120"/>
      <c r="NE240" s="120"/>
      <c r="NF240" s="120"/>
      <c r="NG240" s="120"/>
      <c r="NH240" s="120"/>
      <c r="NI240" s="205"/>
      <c r="NJ240" s="205"/>
      <c r="NK240" s="205">
        <f t="shared" si="2207"/>
        <v>0</v>
      </c>
      <c r="NL240" s="120"/>
      <c r="NM240" s="120"/>
      <c r="NN240" s="120"/>
      <c r="NO240" s="120"/>
      <c r="NP240" s="120"/>
      <c r="NQ240" s="205"/>
      <c r="NR240" s="205"/>
      <c r="NS240" s="205">
        <f t="shared" si="2208"/>
        <v>0</v>
      </c>
      <c r="NT240" s="217">
        <v>1018</v>
      </c>
      <c r="NU240" s="120"/>
      <c r="NV240" s="120"/>
      <c r="NW240" s="120"/>
      <c r="NX240" s="120"/>
      <c r="NY240" s="205"/>
      <c r="NZ240" s="205"/>
      <c r="OA240" s="205">
        <f t="shared" si="2209"/>
        <v>1018</v>
      </c>
      <c r="OB240" s="205">
        <f t="shared" si="2210"/>
        <v>3036</v>
      </c>
      <c r="OC240" s="120"/>
      <c r="OD240" s="120"/>
      <c r="OE240" s="120"/>
      <c r="OF240" s="120"/>
      <c r="OG240" s="120"/>
      <c r="OH240" s="205"/>
      <c r="OI240" s="205"/>
      <c r="OJ240" s="205">
        <f t="shared" si="2211"/>
        <v>0</v>
      </c>
      <c r="OK240" s="120"/>
      <c r="OL240" s="120"/>
      <c r="OM240" s="120"/>
      <c r="ON240" s="120"/>
      <c r="OO240" s="120"/>
      <c r="OP240" s="205"/>
      <c r="OQ240" s="205"/>
      <c r="OR240" s="205">
        <f t="shared" si="2212"/>
        <v>0</v>
      </c>
      <c r="OS240" s="120"/>
      <c r="OT240" s="120"/>
      <c r="OU240" s="120"/>
      <c r="OV240" s="120"/>
      <c r="OW240" s="120"/>
      <c r="OX240" s="205"/>
      <c r="OY240" s="205"/>
      <c r="OZ240" s="205">
        <f t="shared" si="2213"/>
        <v>0</v>
      </c>
      <c r="PA240" s="120"/>
      <c r="PB240" s="120"/>
      <c r="PC240" s="120"/>
      <c r="PD240" s="205"/>
      <c r="PE240" s="217"/>
      <c r="PF240" s="205"/>
      <c r="PG240" s="205"/>
      <c r="PH240" s="205">
        <f t="shared" si="2214"/>
        <v>0</v>
      </c>
      <c r="PI240" s="120"/>
      <c r="PJ240" s="120"/>
      <c r="PK240" s="120"/>
      <c r="PL240" s="205"/>
      <c r="PM240" s="217"/>
      <c r="PN240" s="205"/>
      <c r="PO240" s="205"/>
      <c r="PP240" s="205">
        <f t="shared" si="2215"/>
        <v>0</v>
      </c>
      <c r="PQ240" s="205">
        <f t="shared" si="2216"/>
        <v>0</v>
      </c>
      <c r="PR240" s="120"/>
      <c r="PS240" s="207"/>
      <c r="PT240" s="207"/>
      <c r="PU240" s="207"/>
      <c r="PV240" s="207"/>
      <c r="PW240" s="272"/>
      <c r="PX240" s="272"/>
      <c r="PY240" s="205">
        <f t="shared" si="2217"/>
        <v>0</v>
      </c>
      <c r="PZ240" s="207"/>
      <c r="QA240" s="207"/>
      <c r="QB240" s="207"/>
      <c r="QC240" s="207"/>
      <c r="QD240" s="207"/>
      <c r="QE240" s="272"/>
      <c r="QF240" s="272"/>
      <c r="QG240" s="205">
        <f t="shared" si="2218"/>
        <v>0</v>
      </c>
      <c r="QH240" s="207"/>
      <c r="QI240" s="207"/>
      <c r="QJ240" s="294"/>
      <c r="QK240" s="207"/>
      <c r="QL240" s="207"/>
      <c r="QM240" s="272"/>
      <c r="QN240" s="272"/>
      <c r="QO240" s="205">
        <f t="shared" si="2219"/>
        <v>0</v>
      </c>
      <c r="QP240" s="207"/>
      <c r="QQ240" s="120"/>
      <c r="QR240" s="207"/>
      <c r="QS240" s="207"/>
      <c r="QT240" s="207"/>
      <c r="QU240" s="272"/>
      <c r="QV240" s="272"/>
      <c r="QW240" s="205">
        <f t="shared" si="2220"/>
        <v>0</v>
      </c>
      <c r="QX240" s="205">
        <f t="shared" si="2221"/>
        <v>0</v>
      </c>
      <c r="QY240" s="207"/>
      <c r="QZ240" s="207"/>
      <c r="RA240" s="207"/>
      <c r="RB240" s="207"/>
      <c r="RC240" s="207"/>
      <c r="RD240" s="272"/>
      <c r="RE240" s="272"/>
      <c r="RF240" s="205">
        <f t="shared" si="2148"/>
        <v>0</v>
      </c>
      <c r="RG240" s="207"/>
      <c r="RH240" s="207"/>
      <c r="RI240" s="207"/>
      <c r="RJ240" s="120"/>
      <c r="RK240" s="207"/>
      <c r="RL240" s="272"/>
      <c r="RM240" s="272"/>
      <c r="RN240" s="205">
        <f t="shared" si="2096"/>
        <v>0</v>
      </c>
      <c r="RO240" s="272"/>
      <c r="RP240" s="272"/>
      <c r="RQ240" s="272"/>
      <c r="RR240" s="272"/>
      <c r="RS240" s="272"/>
      <c r="RT240" s="272"/>
      <c r="RU240" s="272"/>
      <c r="RV240" s="205">
        <f t="shared" si="2097"/>
        <v>0</v>
      </c>
      <c r="RW240" s="207"/>
      <c r="RX240" s="207"/>
      <c r="RY240" s="207"/>
      <c r="RZ240" s="207"/>
      <c r="SA240" s="272"/>
      <c r="SB240" s="272"/>
      <c r="SC240" s="272"/>
      <c r="SD240" s="205">
        <f t="shared" si="2224"/>
        <v>0</v>
      </c>
      <c r="SE240" s="205">
        <f t="shared" si="2225"/>
        <v>0</v>
      </c>
      <c r="SF240" s="207"/>
      <c r="SG240" s="207"/>
      <c r="SH240" s="207"/>
      <c r="SI240" s="207"/>
      <c r="SJ240" s="207"/>
      <c r="SK240" s="272"/>
      <c r="SL240" s="272"/>
      <c r="SM240" s="205">
        <f t="shared" si="2100"/>
        <v>0</v>
      </c>
      <c r="SN240" s="207"/>
      <c r="SO240" s="207"/>
      <c r="SP240" s="207"/>
      <c r="SQ240" s="207"/>
      <c r="SR240" s="207"/>
      <c r="SS240" s="272"/>
      <c r="ST240" s="272"/>
      <c r="SU240" s="205">
        <f t="shared" si="2101"/>
        <v>0</v>
      </c>
      <c r="SV240" s="207"/>
      <c r="SW240" s="207"/>
      <c r="SX240" s="207"/>
      <c r="SY240" s="207"/>
      <c r="SZ240" s="207"/>
      <c r="TA240" s="272"/>
      <c r="TB240" s="272"/>
      <c r="TC240" s="205">
        <f t="shared" si="2102"/>
        <v>0</v>
      </c>
      <c r="TD240" s="207"/>
      <c r="TE240" s="207"/>
      <c r="TF240" s="207"/>
      <c r="TG240" s="207"/>
      <c r="TH240" s="207"/>
      <c r="TI240" s="272"/>
      <c r="TJ240" s="272"/>
      <c r="TK240" s="205">
        <f t="shared" si="2142"/>
        <v>0</v>
      </c>
      <c r="TL240" s="207"/>
      <c r="TM240" s="207"/>
      <c r="TN240" s="207"/>
      <c r="TO240" s="207"/>
      <c r="TP240" s="272"/>
      <c r="TQ240" s="272"/>
      <c r="TR240" s="272"/>
      <c r="TS240" s="205">
        <f t="shared" si="2226"/>
        <v>0</v>
      </c>
      <c r="TT240" s="205">
        <f t="shared" si="2227"/>
        <v>0</v>
      </c>
      <c r="TU240" s="272"/>
      <c r="TV240" s="207"/>
      <c r="TW240" s="207"/>
      <c r="TX240" s="207"/>
      <c r="TY240" s="207"/>
      <c r="TZ240" s="272"/>
      <c r="UA240" s="272"/>
      <c r="UB240" s="205">
        <f t="shared" si="2012"/>
        <v>0</v>
      </c>
      <c r="UC240" s="207"/>
      <c r="UD240" s="207"/>
      <c r="UE240" s="207"/>
      <c r="UF240" s="207"/>
      <c r="UG240" s="207"/>
      <c r="UH240" s="272"/>
      <c r="UI240" s="272"/>
      <c r="UJ240" s="205">
        <f t="shared" si="2013"/>
        <v>0</v>
      </c>
      <c r="UK240" s="207"/>
      <c r="UL240" s="207"/>
      <c r="UM240" s="207"/>
      <c r="UN240" s="207"/>
      <c r="UO240" s="207"/>
      <c r="UP240" s="272"/>
      <c r="UQ240" s="272"/>
      <c r="UR240" s="205">
        <f t="shared" si="2014"/>
        <v>0</v>
      </c>
      <c r="US240" s="207"/>
      <c r="UT240" s="207"/>
      <c r="UU240" s="207"/>
      <c r="UV240" s="207"/>
      <c r="UW240" s="272"/>
      <c r="UX240" s="272"/>
      <c r="UY240" s="272"/>
      <c r="UZ240" s="205">
        <f t="shared" si="2145"/>
        <v>0</v>
      </c>
      <c r="VA240" s="205">
        <f t="shared" si="2146"/>
        <v>0</v>
      </c>
      <c r="VB240" s="207"/>
      <c r="VC240" s="120"/>
      <c r="VD240" s="207"/>
      <c r="VE240" s="207"/>
      <c r="VF240" s="207"/>
      <c r="VG240" s="272"/>
      <c r="VH240" s="272"/>
      <c r="VI240" s="205">
        <f t="shared" si="2005"/>
        <v>0</v>
      </c>
      <c r="VJ240" s="207"/>
      <c r="VK240" s="207"/>
      <c r="VL240" s="207"/>
      <c r="VM240" s="207"/>
      <c r="VN240" s="207"/>
      <c r="VO240" s="272"/>
      <c r="VP240" s="272"/>
      <c r="VQ240" s="205">
        <f t="shared" si="2015"/>
        <v>0</v>
      </c>
      <c r="VR240" s="120"/>
      <c r="VS240" s="207"/>
      <c r="VT240" s="207"/>
      <c r="VU240" s="207"/>
      <c r="VV240" s="207"/>
      <c r="VW240" s="272"/>
      <c r="VX240" s="272"/>
      <c r="VY240" s="205">
        <f t="shared" si="2006"/>
        <v>0</v>
      </c>
      <c r="VZ240" s="207"/>
      <c r="WA240" s="207"/>
      <c r="WB240" s="207"/>
      <c r="WC240" s="207"/>
      <c r="WD240" s="207"/>
      <c r="WE240" s="272"/>
      <c r="WF240" s="272"/>
      <c r="WG240" s="205">
        <f t="shared" si="2007"/>
        <v>0</v>
      </c>
      <c r="WH240" s="205">
        <f t="shared" si="2008"/>
        <v>0</v>
      </c>
      <c r="WI240" s="207"/>
      <c r="WJ240" s="207"/>
      <c r="WK240" s="207"/>
      <c r="WL240" s="207"/>
      <c r="WM240" s="207"/>
      <c r="WN240" s="272"/>
      <c r="WO240" s="272"/>
      <c r="WP240" s="205">
        <f t="shared" si="2016"/>
        <v>0</v>
      </c>
      <c r="WQ240" s="207"/>
      <c r="WR240" s="207"/>
      <c r="WS240" s="207"/>
      <c r="WT240" s="207"/>
      <c r="WU240" s="207"/>
      <c r="WV240" s="272"/>
      <c r="WW240" s="272"/>
      <c r="WX240" s="205">
        <f t="shared" si="2017"/>
        <v>0</v>
      </c>
      <c r="WY240" s="207"/>
      <c r="WZ240" s="207"/>
      <c r="XA240" s="207"/>
      <c r="XB240" s="207"/>
      <c r="XC240" s="272"/>
      <c r="XD240" s="272"/>
      <c r="XE240" s="272"/>
      <c r="XF240" s="205">
        <f t="shared" si="2009"/>
        <v>0</v>
      </c>
      <c r="XG240" s="207"/>
      <c r="XH240" s="207"/>
      <c r="XI240" s="207"/>
      <c r="XJ240" s="207"/>
      <c r="XK240" s="207"/>
      <c r="XL240" s="272"/>
      <c r="XM240" s="272"/>
      <c r="XN240" s="205">
        <f t="shared" si="2105"/>
        <v>0</v>
      </c>
      <c r="XO240" s="207"/>
      <c r="XP240" s="207"/>
      <c r="XQ240" s="207"/>
      <c r="XR240" s="207"/>
      <c r="XS240" s="207"/>
      <c r="XT240" s="272"/>
      <c r="XU240" s="272"/>
      <c r="XV240" s="205">
        <f t="shared" si="2222"/>
        <v>0</v>
      </c>
      <c r="XW240" s="205">
        <f t="shared" si="2223"/>
        <v>0</v>
      </c>
      <c r="XX240" s="207"/>
      <c r="XY240" s="207"/>
      <c r="XZ240" s="207"/>
      <c r="YA240" s="207"/>
      <c r="YB240" s="207"/>
      <c r="YC240" s="272"/>
      <c r="YD240" s="272"/>
      <c r="YE240" s="205">
        <f t="shared" si="2018"/>
        <v>0</v>
      </c>
      <c r="YF240" s="207"/>
      <c r="YG240" s="207"/>
      <c r="YH240" s="207"/>
      <c r="YI240" s="207"/>
      <c r="YJ240" s="207"/>
      <c r="YK240" s="272"/>
      <c r="YL240" s="272"/>
      <c r="YM240" s="205">
        <f t="shared" si="2019"/>
        <v>0</v>
      </c>
      <c r="YN240" s="207"/>
      <c r="YO240" s="207"/>
      <c r="YP240" s="207"/>
      <c r="YQ240" s="207"/>
      <c r="YR240" s="207"/>
      <c r="YS240" s="272"/>
      <c r="YT240" s="272"/>
      <c r="YU240" s="205">
        <f t="shared" si="2020"/>
        <v>0</v>
      </c>
      <c r="YV240" s="207"/>
      <c r="YW240" s="207"/>
      <c r="YX240" s="207"/>
      <c r="YY240" s="207"/>
      <c r="YZ240" s="207"/>
      <c r="ZA240" s="272"/>
      <c r="ZB240" s="272"/>
      <c r="ZC240" s="205">
        <f t="shared" si="2021"/>
        <v>0</v>
      </c>
      <c r="ZD240" s="205">
        <f t="shared" si="2022"/>
        <v>0</v>
      </c>
      <c r="ZE240" s="207"/>
      <c r="ZF240" s="207"/>
      <c r="ZG240" s="207"/>
      <c r="ZH240" s="207"/>
      <c r="ZI240" s="207"/>
      <c r="ZJ240" s="272"/>
      <c r="ZK240" s="272"/>
      <c r="ZL240" s="205">
        <f t="shared" si="2023"/>
        <v>0</v>
      </c>
      <c r="ZM240" s="207"/>
      <c r="ZN240" s="207"/>
      <c r="ZO240" s="207"/>
      <c r="ZP240" s="207"/>
      <c r="ZQ240" s="207"/>
      <c r="ZR240" s="272"/>
      <c r="ZS240" s="272"/>
      <c r="ZT240" s="205">
        <f t="shared" si="2010"/>
        <v>0</v>
      </c>
      <c r="ZU240" s="207"/>
      <c r="ZV240" s="207"/>
      <c r="ZW240" s="207"/>
      <c r="ZX240" s="207"/>
      <c r="ZY240" s="207"/>
      <c r="ZZ240" s="272"/>
      <c r="AAA240" s="272"/>
      <c r="AAB240" s="205">
        <f t="shared" si="2024"/>
        <v>0</v>
      </c>
      <c r="AAC240" s="207"/>
      <c r="AAD240" s="207"/>
      <c r="AAE240" s="207"/>
      <c r="AAF240" s="207"/>
      <c r="AAG240" s="207"/>
      <c r="AAH240" s="272"/>
      <c r="AAI240" s="272"/>
      <c r="AAJ240" s="205">
        <f t="shared" si="2011"/>
        <v>0</v>
      </c>
      <c r="AAK240" s="207"/>
      <c r="AAL240" s="207"/>
      <c r="AAM240" s="207"/>
      <c r="AAN240" s="207"/>
      <c r="AAO240" s="207"/>
      <c r="AAP240" s="272"/>
      <c r="AAQ240" s="272"/>
      <c r="AAR240" s="205">
        <f t="shared" si="2025"/>
        <v>0</v>
      </c>
      <c r="AAS240" s="205">
        <f t="shared" si="2026"/>
        <v>0</v>
      </c>
    </row>
    <row r="241" spans="2:721" ht="75" customHeight="1">
      <c r="B241" s="302"/>
      <c r="C241" s="346"/>
      <c r="D241" s="303"/>
      <c r="E241" s="130" t="s">
        <v>4</v>
      </c>
      <c r="F241" s="120"/>
      <c r="G241" s="120"/>
      <c r="H241" s="120"/>
      <c r="I241" s="120"/>
      <c r="J241" s="120"/>
      <c r="K241" s="209"/>
      <c r="L241" s="205"/>
      <c r="M241" s="205">
        <f t="shared" si="2228"/>
        <v>0</v>
      </c>
      <c r="N241" s="120"/>
      <c r="O241" s="120"/>
      <c r="P241" s="120"/>
      <c r="Q241" s="120"/>
      <c r="R241" s="120"/>
      <c r="S241" s="209"/>
      <c r="T241" s="205"/>
      <c r="U241" s="205">
        <f t="shared" si="2155"/>
        <v>0</v>
      </c>
      <c r="V241" s="120"/>
      <c r="W241" s="120"/>
      <c r="X241" s="120"/>
      <c r="Y241" s="120"/>
      <c r="Z241" s="120"/>
      <c r="AA241" s="209"/>
      <c r="AB241" s="205"/>
      <c r="AC241" s="205">
        <f t="shared" si="2156"/>
        <v>0</v>
      </c>
      <c r="AD241" s="205"/>
      <c r="AE241" s="205"/>
      <c r="AF241" s="205"/>
      <c r="AG241" s="205"/>
      <c r="AH241" s="205"/>
      <c r="AI241" s="209"/>
      <c r="AJ241" s="205"/>
      <c r="AK241" s="205">
        <f t="shared" si="2157"/>
        <v>0</v>
      </c>
      <c r="AL241" s="205" t="e">
        <f>SUM(#REF!,M241,U241,AC241,AD241:AH241)</f>
        <v>#REF!</v>
      </c>
      <c r="AM241" s="120"/>
      <c r="AN241" s="120"/>
      <c r="AO241" s="120"/>
      <c r="AP241" s="120"/>
      <c r="AQ241" s="120"/>
      <c r="AR241" s="209"/>
      <c r="AS241" s="205"/>
      <c r="AT241" s="205">
        <f t="shared" si="2158"/>
        <v>0</v>
      </c>
      <c r="AU241" s="120"/>
      <c r="AV241" s="120"/>
      <c r="AW241" s="120"/>
      <c r="AX241" s="120"/>
      <c r="AY241" s="120"/>
      <c r="AZ241" s="209"/>
      <c r="BA241" s="205"/>
      <c r="BB241" s="205">
        <f t="shared" si="2159"/>
        <v>0</v>
      </c>
      <c r="BC241" s="120"/>
      <c r="BD241" s="120"/>
      <c r="BE241" s="120"/>
      <c r="BF241" s="120"/>
      <c r="BG241" s="120"/>
      <c r="BH241" s="209"/>
      <c r="BI241" s="205"/>
      <c r="BJ241" s="205">
        <f t="shared" si="2160"/>
        <v>0</v>
      </c>
      <c r="BK241" s="120"/>
      <c r="BL241" s="120"/>
      <c r="BM241" s="217">
        <v>3119</v>
      </c>
      <c r="BN241" s="120"/>
      <c r="BO241" s="205"/>
      <c r="BP241" s="209"/>
      <c r="BQ241" s="205"/>
      <c r="BR241" s="205">
        <f t="shared" si="2161"/>
        <v>3119</v>
      </c>
      <c r="BS241" s="205">
        <f t="shared" si="2162"/>
        <v>3119</v>
      </c>
      <c r="BT241" s="120"/>
      <c r="BU241" s="250">
        <v>719</v>
      </c>
      <c r="BV241" s="120"/>
      <c r="BW241" s="120"/>
      <c r="BX241" s="120"/>
      <c r="BY241" s="209"/>
      <c r="BZ241" s="205"/>
      <c r="CA241" s="205">
        <f t="shared" si="2163"/>
        <v>719</v>
      </c>
      <c r="CB241" s="120"/>
      <c r="CC241" s="120"/>
      <c r="CD241" s="120"/>
      <c r="CE241" s="120"/>
      <c r="CF241" s="120"/>
      <c r="CG241" s="209"/>
      <c r="CH241" s="205"/>
      <c r="CI241" s="205">
        <f t="shared" si="2164"/>
        <v>0</v>
      </c>
      <c r="CJ241" s="120"/>
      <c r="CK241" s="120"/>
      <c r="CL241" s="250">
        <v>1219</v>
      </c>
      <c r="CM241" s="120"/>
      <c r="CN241" s="120"/>
      <c r="CO241" s="209"/>
      <c r="CP241" s="205"/>
      <c r="CQ241" s="205">
        <f t="shared" si="2165"/>
        <v>1219</v>
      </c>
      <c r="CR241" s="120" t="s">
        <v>216</v>
      </c>
      <c r="CS241" s="120"/>
      <c r="CT241" s="120"/>
      <c r="CU241" s="120"/>
      <c r="CV241" s="120"/>
      <c r="CW241" s="209"/>
      <c r="CX241" s="205"/>
      <c r="CY241" s="205">
        <f t="shared" si="2166"/>
        <v>0</v>
      </c>
      <c r="CZ241" s="120"/>
      <c r="DA241" s="120"/>
      <c r="DB241" s="120"/>
      <c r="DC241" s="205"/>
      <c r="DD241" s="205"/>
      <c r="DE241" s="209"/>
      <c r="DF241" s="205"/>
      <c r="DG241" s="205">
        <f t="shared" si="2167"/>
        <v>0</v>
      </c>
      <c r="DH241" s="205">
        <f t="shared" si="2168"/>
        <v>1938</v>
      </c>
      <c r="DI241" s="120"/>
      <c r="DJ241" s="120"/>
      <c r="DK241" s="120"/>
      <c r="DL241" s="120"/>
      <c r="DM241" s="120"/>
      <c r="DN241" s="209"/>
      <c r="DO241" s="205"/>
      <c r="DP241" s="205">
        <f t="shared" si="2169"/>
        <v>0</v>
      </c>
      <c r="DQ241" s="217">
        <v>669</v>
      </c>
      <c r="DR241" s="120"/>
      <c r="DS241" s="120"/>
      <c r="DT241" s="120"/>
      <c r="DU241" s="120"/>
      <c r="DV241" s="209"/>
      <c r="DW241" s="205"/>
      <c r="DX241" s="205">
        <f t="shared" si="2170"/>
        <v>669</v>
      </c>
      <c r="DY241" s="120"/>
      <c r="DZ241" s="120"/>
      <c r="EA241" s="120"/>
      <c r="EB241" s="120"/>
      <c r="EC241" s="120"/>
      <c r="ED241" s="209"/>
      <c r="EE241" s="205"/>
      <c r="EF241" s="205">
        <f t="shared" si="2171"/>
        <v>0</v>
      </c>
      <c r="EG241" s="120"/>
      <c r="EH241" s="120"/>
      <c r="EI241" s="120"/>
      <c r="EJ241" s="205"/>
      <c r="EK241" s="205"/>
      <c r="EL241" s="209"/>
      <c r="EM241" s="205"/>
      <c r="EN241" s="205">
        <f t="shared" si="2172"/>
        <v>0</v>
      </c>
      <c r="EO241" s="205">
        <f t="shared" si="2173"/>
        <v>669</v>
      </c>
      <c r="EP241" s="120"/>
      <c r="EQ241" s="250">
        <v>519</v>
      </c>
      <c r="ER241" s="120"/>
      <c r="ES241" s="120"/>
      <c r="ET241" s="120"/>
      <c r="EU241" s="209"/>
      <c r="EV241" s="205"/>
      <c r="EW241" s="205">
        <f t="shared" si="2174"/>
        <v>519</v>
      </c>
      <c r="EX241" s="120"/>
      <c r="EY241" s="120"/>
      <c r="EZ241" s="120"/>
      <c r="FA241" s="120"/>
      <c r="FB241" s="120"/>
      <c r="FC241" s="209"/>
      <c r="FD241" s="205"/>
      <c r="FE241" s="205">
        <f t="shared" si="2175"/>
        <v>0</v>
      </c>
      <c r="FF241" s="120"/>
      <c r="FG241" s="195">
        <v>519</v>
      </c>
      <c r="FH241" s="120"/>
      <c r="FI241" s="120"/>
      <c r="FJ241" s="120"/>
      <c r="FK241" s="209"/>
      <c r="FL241" s="205"/>
      <c r="FM241" s="205">
        <f t="shared" si="2176"/>
        <v>519</v>
      </c>
      <c r="FN241" s="120"/>
      <c r="FO241" s="120"/>
      <c r="FP241" s="120"/>
      <c r="FQ241" s="120"/>
      <c r="FR241" s="205"/>
      <c r="FS241" s="209"/>
      <c r="FT241" s="205"/>
      <c r="FU241" s="205">
        <f t="shared" si="2177"/>
        <v>0</v>
      </c>
      <c r="FV241" s="205">
        <f t="shared" si="2178"/>
        <v>1038</v>
      </c>
      <c r="FW241" s="120"/>
      <c r="FX241" s="120"/>
      <c r="FY241" s="120"/>
      <c r="FZ241" s="120"/>
      <c r="GA241" s="120"/>
      <c r="GB241" s="209"/>
      <c r="GC241" s="205"/>
      <c r="GD241" s="205">
        <f t="shared" si="2179"/>
        <v>0</v>
      </c>
      <c r="GE241" s="120"/>
      <c r="GF241" s="120"/>
      <c r="GG241" s="120"/>
      <c r="GH241" s="120"/>
      <c r="GI241" s="120"/>
      <c r="GJ241" s="209"/>
      <c r="GK241" s="205"/>
      <c r="GL241" s="205">
        <f t="shared" si="2180"/>
        <v>0</v>
      </c>
      <c r="GM241" s="120"/>
      <c r="GN241" s="120"/>
      <c r="GO241" s="120"/>
      <c r="GP241" s="120"/>
      <c r="GQ241" s="120"/>
      <c r="GR241" s="209"/>
      <c r="GS241" s="205"/>
      <c r="GT241" s="205">
        <f t="shared" si="2181"/>
        <v>0</v>
      </c>
      <c r="GU241" s="120"/>
      <c r="GV241" s="120"/>
      <c r="GW241" s="120"/>
      <c r="GX241" s="120"/>
      <c r="GY241" s="120"/>
      <c r="GZ241" s="209"/>
      <c r="HA241" s="205"/>
      <c r="HB241" s="205">
        <f t="shared" si="2182"/>
        <v>0</v>
      </c>
      <c r="HC241" s="120"/>
      <c r="HD241" s="120"/>
      <c r="HE241" s="120"/>
      <c r="HF241" s="120"/>
      <c r="HG241" s="120"/>
      <c r="HH241" s="209"/>
      <c r="HI241" s="205"/>
      <c r="HJ241" s="205">
        <f t="shared" si="2183"/>
        <v>0</v>
      </c>
      <c r="HK241" s="205">
        <f t="shared" si="2184"/>
        <v>0</v>
      </c>
      <c r="HL241" s="124"/>
      <c r="HM241" s="120"/>
      <c r="HN241" s="120"/>
      <c r="HO241" s="123">
        <v>1769</v>
      </c>
      <c r="HP241" s="120"/>
      <c r="HQ241" s="205"/>
      <c r="HR241" s="205"/>
      <c r="HS241" s="205">
        <f t="shared" si="2185"/>
        <v>1769</v>
      </c>
      <c r="HT241" s="120"/>
      <c r="HU241" s="120"/>
      <c r="HV241" s="120"/>
      <c r="HW241" s="120"/>
      <c r="HX241" s="120"/>
      <c r="HY241" s="205"/>
      <c r="HZ241" s="205"/>
      <c r="IA241" s="205">
        <f t="shared" si="2186"/>
        <v>0</v>
      </c>
      <c r="IB241" s="120"/>
      <c r="IC241" s="120"/>
      <c r="ID241" s="120"/>
      <c r="IE241" s="120"/>
      <c r="IF241" s="120"/>
      <c r="IG241" s="205"/>
      <c r="IH241" s="205"/>
      <c r="II241" s="205">
        <f t="shared" si="2187"/>
        <v>0</v>
      </c>
      <c r="IJ241" s="120"/>
      <c r="IK241" s="120"/>
      <c r="IL241" s="201">
        <v>1819</v>
      </c>
      <c r="IM241" s="120"/>
      <c r="IN241" s="120"/>
      <c r="IO241" s="205"/>
      <c r="IP241" s="205"/>
      <c r="IQ241" s="205">
        <f t="shared" si="2188"/>
        <v>1819</v>
      </c>
      <c r="IR241" s="205">
        <f t="shared" si="2189"/>
        <v>3588</v>
      </c>
      <c r="IS241" s="120"/>
      <c r="IT241" s="120"/>
      <c r="IU241" s="120"/>
      <c r="IV241" s="120"/>
      <c r="IW241" s="120"/>
      <c r="IX241" s="205"/>
      <c r="IY241" s="205"/>
      <c r="IZ241" s="205">
        <f t="shared" si="2190"/>
        <v>0</v>
      </c>
      <c r="JA241" s="120"/>
      <c r="JB241" s="120"/>
      <c r="JC241" s="120"/>
      <c r="JD241" s="120"/>
      <c r="JE241" s="120"/>
      <c r="JF241" s="205"/>
      <c r="JG241" s="205"/>
      <c r="JH241" s="205">
        <f t="shared" si="2191"/>
        <v>0</v>
      </c>
      <c r="JI241" s="120"/>
      <c r="JJ241" s="120"/>
      <c r="JK241" s="120"/>
      <c r="JL241" s="120"/>
      <c r="JM241" s="120"/>
      <c r="JN241" s="205"/>
      <c r="JO241" s="205"/>
      <c r="JP241" s="205">
        <f t="shared" si="2192"/>
        <v>0</v>
      </c>
      <c r="JQ241" s="120"/>
      <c r="JR241" s="120"/>
      <c r="JS241" s="120"/>
      <c r="JT241" s="120"/>
      <c r="JU241" s="120"/>
      <c r="JV241" s="205"/>
      <c r="JW241" s="205"/>
      <c r="JX241" s="205">
        <f t="shared" si="2193"/>
        <v>0</v>
      </c>
      <c r="JY241" s="205">
        <f t="shared" si="2194"/>
        <v>0</v>
      </c>
      <c r="JZ241" s="120"/>
      <c r="KA241" s="120"/>
      <c r="KB241" s="120"/>
      <c r="KC241" s="120"/>
      <c r="KD241" s="120"/>
      <c r="KE241" s="205"/>
      <c r="KF241" s="205"/>
      <c r="KG241" s="205">
        <f t="shared" si="2195"/>
        <v>0</v>
      </c>
      <c r="KH241" s="120"/>
      <c r="KI241" s="120"/>
      <c r="KJ241" s="120"/>
      <c r="KK241" s="206">
        <v>819</v>
      </c>
      <c r="KL241" s="120"/>
      <c r="KM241" s="205"/>
      <c r="KN241" s="205"/>
      <c r="KO241" s="205">
        <f t="shared" si="2196"/>
        <v>819</v>
      </c>
      <c r="KP241" s="120"/>
      <c r="KQ241" s="120"/>
      <c r="KR241" s="120"/>
      <c r="KS241" s="120"/>
      <c r="KT241" s="120"/>
      <c r="KU241" s="205"/>
      <c r="KV241" s="205"/>
      <c r="KW241" s="205">
        <f t="shared" si="2197"/>
        <v>0</v>
      </c>
      <c r="KX241" s="120"/>
      <c r="KY241" s="120"/>
      <c r="KZ241" s="120"/>
      <c r="LA241" s="120"/>
      <c r="LB241" s="120"/>
      <c r="LC241" s="205"/>
      <c r="LD241" s="205"/>
      <c r="LE241" s="205">
        <f t="shared" si="2198"/>
        <v>0</v>
      </c>
      <c r="LF241" s="205"/>
      <c r="LG241" s="120"/>
      <c r="LH241" s="120"/>
      <c r="LI241" s="120"/>
      <c r="LJ241" s="120"/>
      <c r="LK241" s="205"/>
      <c r="LL241" s="205"/>
      <c r="LM241" s="205">
        <f t="shared" si="2199"/>
        <v>0</v>
      </c>
      <c r="LN241" s="205">
        <f t="shared" si="2200"/>
        <v>819</v>
      </c>
      <c r="LO241" s="205"/>
      <c r="LP241" s="120"/>
      <c r="LQ241" s="120"/>
      <c r="LR241" s="120"/>
      <c r="LS241" s="205"/>
      <c r="LT241" s="205"/>
      <c r="LU241" s="205"/>
      <c r="LV241" s="205">
        <f t="shared" si="2201"/>
        <v>0</v>
      </c>
      <c r="LW241" s="120"/>
      <c r="LX241" s="120"/>
      <c r="LY241" s="124">
        <v>379</v>
      </c>
      <c r="LZ241" s="120"/>
      <c r="MA241" s="120"/>
      <c r="MB241" s="205"/>
      <c r="MC241" s="205"/>
      <c r="MD241" s="205">
        <f t="shared" si="2202"/>
        <v>379</v>
      </c>
      <c r="ME241" s="120"/>
      <c r="MF241" s="120"/>
      <c r="MG241" s="120"/>
      <c r="MH241" s="201">
        <v>1119</v>
      </c>
      <c r="MI241" s="205"/>
      <c r="MJ241" s="205"/>
      <c r="MK241" s="205"/>
      <c r="ML241" s="205">
        <f t="shared" si="2203"/>
        <v>1119</v>
      </c>
      <c r="MM241" s="120" t="s">
        <v>712</v>
      </c>
      <c r="MN241" s="120"/>
      <c r="MO241" s="120"/>
      <c r="MP241" s="120"/>
      <c r="MQ241" s="120"/>
      <c r="MR241" s="205"/>
      <c r="MS241" s="205"/>
      <c r="MT241" s="205">
        <f t="shared" si="2204"/>
        <v>0</v>
      </c>
      <c r="MU241" s="205">
        <f t="shared" si="2205"/>
        <v>1498</v>
      </c>
      <c r="MV241" s="120"/>
      <c r="MW241" s="120"/>
      <c r="MX241" s="195">
        <v>2019</v>
      </c>
      <c r="MY241" s="120"/>
      <c r="MZ241" s="120"/>
      <c r="NA241" s="205"/>
      <c r="NB241" s="205"/>
      <c r="NC241" s="205">
        <f t="shared" si="2206"/>
        <v>2019</v>
      </c>
      <c r="ND241" s="120"/>
      <c r="NE241" s="120"/>
      <c r="NF241" s="120"/>
      <c r="NG241" s="120"/>
      <c r="NH241" s="120"/>
      <c r="NI241" s="205"/>
      <c r="NJ241" s="205"/>
      <c r="NK241" s="205">
        <f t="shared" si="2207"/>
        <v>0</v>
      </c>
      <c r="NL241" s="120"/>
      <c r="NM241" s="120"/>
      <c r="NN241" s="120"/>
      <c r="NO241" s="120"/>
      <c r="NP241" s="120"/>
      <c r="NQ241" s="205"/>
      <c r="NR241" s="205"/>
      <c r="NS241" s="205">
        <f t="shared" si="2208"/>
        <v>0</v>
      </c>
      <c r="NT241" s="217">
        <v>1019</v>
      </c>
      <c r="NU241" s="120"/>
      <c r="NV241" s="120"/>
      <c r="NW241" s="120"/>
      <c r="NX241" s="120"/>
      <c r="NY241" s="205"/>
      <c r="NZ241" s="205"/>
      <c r="OA241" s="205">
        <f t="shared" si="2209"/>
        <v>1019</v>
      </c>
      <c r="OB241" s="205">
        <f t="shared" si="2210"/>
        <v>3038</v>
      </c>
      <c r="OC241" s="120"/>
      <c r="OD241" s="120"/>
      <c r="OE241" s="120"/>
      <c r="OF241" s="120"/>
      <c r="OG241" s="120"/>
      <c r="OH241" s="205"/>
      <c r="OI241" s="205"/>
      <c r="OJ241" s="205">
        <f t="shared" si="2211"/>
        <v>0</v>
      </c>
      <c r="OK241" s="120"/>
      <c r="OL241" s="120"/>
      <c r="OM241" s="120"/>
      <c r="ON241" s="120"/>
      <c r="OO241" s="120"/>
      <c r="OP241" s="205"/>
      <c r="OQ241" s="205"/>
      <c r="OR241" s="205">
        <f t="shared" si="2212"/>
        <v>0</v>
      </c>
      <c r="OS241" s="120"/>
      <c r="OT241" s="120"/>
      <c r="OU241" s="120"/>
      <c r="OV241" s="120"/>
      <c r="OW241" s="120"/>
      <c r="OX241" s="205"/>
      <c r="OY241" s="205"/>
      <c r="OZ241" s="205">
        <f t="shared" si="2213"/>
        <v>0</v>
      </c>
      <c r="PA241" s="120"/>
      <c r="PB241" s="120"/>
      <c r="PC241" s="120"/>
      <c r="PD241" s="205"/>
      <c r="PE241" s="217"/>
      <c r="PF241" s="205"/>
      <c r="PG241" s="205"/>
      <c r="PH241" s="205">
        <f t="shared" si="2214"/>
        <v>0</v>
      </c>
      <c r="PI241" s="120"/>
      <c r="PJ241" s="120"/>
      <c r="PK241" s="120"/>
      <c r="PL241" s="205"/>
      <c r="PM241" s="217"/>
      <c r="PN241" s="205"/>
      <c r="PO241" s="205"/>
      <c r="PP241" s="205">
        <f t="shared" si="2215"/>
        <v>0</v>
      </c>
      <c r="PQ241" s="205">
        <f t="shared" si="2216"/>
        <v>0</v>
      </c>
      <c r="PR241" s="120"/>
      <c r="PS241" s="207"/>
      <c r="PT241" s="207"/>
      <c r="PU241" s="207"/>
      <c r="PV241" s="207"/>
      <c r="PW241" s="272"/>
      <c r="PX241" s="272"/>
      <c r="PY241" s="205">
        <f t="shared" si="2217"/>
        <v>0</v>
      </c>
      <c r="PZ241" s="207"/>
      <c r="QA241" s="207"/>
      <c r="QB241" s="207"/>
      <c r="QC241" s="207"/>
      <c r="QD241" s="207"/>
      <c r="QE241" s="272"/>
      <c r="QF241" s="272"/>
      <c r="QG241" s="205">
        <f t="shared" si="2218"/>
        <v>0</v>
      </c>
      <c r="QH241" s="207"/>
      <c r="QI241" s="207"/>
      <c r="QJ241" s="294"/>
      <c r="QK241" s="207"/>
      <c r="QL241" s="207"/>
      <c r="QM241" s="272"/>
      <c r="QN241" s="272"/>
      <c r="QO241" s="205">
        <f t="shared" si="2219"/>
        <v>0</v>
      </c>
      <c r="QP241" s="207"/>
      <c r="QQ241" s="120"/>
      <c r="QR241" s="207"/>
      <c r="QS241" s="207"/>
      <c r="QT241" s="207"/>
      <c r="QU241" s="272"/>
      <c r="QV241" s="272"/>
      <c r="QW241" s="205">
        <f t="shared" si="2220"/>
        <v>0</v>
      </c>
      <c r="QX241" s="205">
        <f t="shared" si="2221"/>
        <v>0</v>
      </c>
      <c r="QY241" s="207"/>
      <c r="QZ241" s="207"/>
      <c r="RA241" s="207"/>
      <c r="RB241" s="207"/>
      <c r="RC241" s="207"/>
      <c r="RD241" s="272"/>
      <c r="RE241" s="272"/>
      <c r="RF241" s="205">
        <f t="shared" si="2148"/>
        <v>0</v>
      </c>
      <c r="RG241" s="207"/>
      <c r="RH241" s="207"/>
      <c r="RI241" s="207"/>
      <c r="RJ241" s="207"/>
      <c r="RK241" s="207"/>
      <c r="RL241" s="272"/>
      <c r="RM241" s="272"/>
      <c r="RN241" s="205">
        <f t="shared" si="2096"/>
        <v>0</v>
      </c>
      <c r="RO241" s="272"/>
      <c r="RP241" s="272"/>
      <c r="RQ241" s="272"/>
      <c r="RR241" s="272"/>
      <c r="RS241" s="272"/>
      <c r="RT241" s="272"/>
      <c r="RU241" s="272"/>
      <c r="RV241" s="205">
        <f t="shared" si="2097"/>
        <v>0</v>
      </c>
      <c r="RW241" s="207"/>
      <c r="RX241" s="207"/>
      <c r="RY241" s="207"/>
      <c r="RZ241" s="207"/>
      <c r="SA241" s="272"/>
      <c r="SB241" s="272"/>
      <c r="SC241" s="272"/>
      <c r="SD241" s="205">
        <f t="shared" si="2224"/>
        <v>0</v>
      </c>
      <c r="SE241" s="205">
        <f t="shared" si="2225"/>
        <v>0</v>
      </c>
      <c r="SF241" s="207"/>
      <c r="SG241" s="207"/>
      <c r="SH241" s="207"/>
      <c r="SI241" s="207"/>
      <c r="SJ241" s="207"/>
      <c r="SK241" s="272"/>
      <c r="SL241" s="272"/>
      <c r="SM241" s="205">
        <f t="shared" si="2100"/>
        <v>0</v>
      </c>
      <c r="SN241" s="207"/>
      <c r="SO241" s="207"/>
      <c r="SP241" s="207"/>
      <c r="SQ241" s="207"/>
      <c r="SR241" s="207"/>
      <c r="SS241" s="272"/>
      <c r="ST241" s="272"/>
      <c r="SU241" s="205">
        <f t="shared" si="2101"/>
        <v>0</v>
      </c>
      <c r="SV241" s="207"/>
      <c r="SW241" s="207"/>
      <c r="SX241" s="207"/>
      <c r="SY241" s="207"/>
      <c r="SZ241" s="207"/>
      <c r="TA241" s="272"/>
      <c r="TB241" s="272"/>
      <c r="TC241" s="205">
        <f t="shared" si="2102"/>
        <v>0</v>
      </c>
      <c r="TD241" s="207"/>
      <c r="TE241" s="207"/>
      <c r="TF241" s="207"/>
      <c r="TG241" s="207"/>
      <c r="TH241" s="207"/>
      <c r="TI241" s="272"/>
      <c r="TJ241" s="272"/>
      <c r="TK241" s="205">
        <f t="shared" si="2142"/>
        <v>0</v>
      </c>
      <c r="TL241" s="207"/>
      <c r="TM241" s="207"/>
      <c r="TN241" s="207"/>
      <c r="TO241" s="207"/>
      <c r="TP241" s="272"/>
      <c r="TQ241" s="272"/>
      <c r="TR241" s="272"/>
      <c r="TS241" s="205">
        <f t="shared" si="2226"/>
        <v>0</v>
      </c>
      <c r="TT241" s="205">
        <f t="shared" si="2227"/>
        <v>0</v>
      </c>
      <c r="TU241" s="272"/>
      <c r="TV241" s="207"/>
      <c r="TW241" s="207"/>
      <c r="TX241" s="207"/>
      <c r="TY241" s="207"/>
      <c r="TZ241" s="272"/>
      <c r="UA241" s="272"/>
      <c r="UB241" s="205">
        <f t="shared" si="2012"/>
        <v>0</v>
      </c>
      <c r="UC241" s="207"/>
      <c r="UD241" s="207"/>
      <c r="UE241" s="207"/>
      <c r="UF241" s="207"/>
      <c r="UG241" s="207"/>
      <c r="UH241" s="272"/>
      <c r="UI241" s="272"/>
      <c r="UJ241" s="205">
        <f t="shared" si="2013"/>
        <v>0</v>
      </c>
      <c r="UK241" s="207"/>
      <c r="UL241" s="207"/>
      <c r="UM241" s="207"/>
      <c r="UN241" s="207"/>
      <c r="UO241" s="207"/>
      <c r="UP241" s="272"/>
      <c r="UQ241" s="272"/>
      <c r="UR241" s="205">
        <f t="shared" si="2014"/>
        <v>0</v>
      </c>
      <c r="US241" s="207"/>
      <c r="UT241" s="207"/>
      <c r="UU241" s="207"/>
      <c r="UV241" s="207"/>
      <c r="UW241" s="272"/>
      <c r="UX241" s="272"/>
      <c r="UY241" s="272"/>
      <c r="UZ241" s="205">
        <f t="shared" si="2145"/>
        <v>0</v>
      </c>
      <c r="VA241" s="205">
        <f t="shared" si="2146"/>
        <v>0</v>
      </c>
      <c r="VB241" s="207"/>
      <c r="VC241" s="120"/>
      <c r="VD241" s="207"/>
      <c r="VE241" s="207"/>
      <c r="VF241" s="207"/>
      <c r="VG241" s="272"/>
      <c r="VH241" s="272"/>
      <c r="VI241" s="205">
        <f t="shared" si="2005"/>
        <v>0</v>
      </c>
      <c r="VJ241" s="207"/>
      <c r="VK241" s="207"/>
      <c r="VL241" s="207"/>
      <c r="VM241" s="207"/>
      <c r="VN241" s="207"/>
      <c r="VO241" s="272"/>
      <c r="VP241" s="272"/>
      <c r="VQ241" s="205">
        <f t="shared" si="2015"/>
        <v>0</v>
      </c>
      <c r="VR241" s="207"/>
      <c r="VS241" s="207"/>
      <c r="VT241" s="207"/>
      <c r="VU241" s="207"/>
      <c r="VV241" s="207"/>
      <c r="VW241" s="272"/>
      <c r="VX241" s="272"/>
      <c r="VY241" s="205">
        <f t="shared" si="2006"/>
        <v>0</v>
      </c>
      <c r="VZ241" s="207"/>
      <c r="WA241" s="207"/>
      <c r="WB241" s="207"/>
      <c r="WC241" s="207"/>
      <c r="WD241" s="207"/>
      <c r="WE241" s="272"/>
      <c r="WF241" s="272"/>
      <c r="WG241" s="205">
        <f t="shared" si="2007"/>
        <v>0</v>
      </c>
      <c r="WH241" s="205">
        <f t="shared" si="2008"/>
        <v>0</v>
      </c>
      <c r="WI241" s="207"/>
      <c r="WJ241" s="207"/>
      <c r="WK241" s="207"/>
      <c r="WL241" s="207"/>
      <c r="WM241" s="207"/>
      <c r="WN241" s="272"/>
      <c r="WO241" s="272"/>
      <c r="WP241" s="205">
        <f t="shared" si="2016"/>
        <v>0</v>
      </c>
      <c r="WQ241" s="207"/>
      <c r="WR241" s="207"/>
      <c r="WS241" s="207"/>
      <c r="WT241" s="207"/>
      <c r="WU241" s="207"/>
      <c r="WV241" s="272"/>
      <c r="WW241" s="272"/>
      <c r="WX241" s="205">
        <f t="shared" si="2017"/>
        <v>0</v>
      </c>
      <c r="WY241" s="207"/>
      <c r="WZ241" s="207"/>
      <c r="XA241" s="207"/>
      <c r="XB241" s="207"/>
      <c r="XC241" s="272"/>
      <c r="XD241" s="272"/>
      <c r="XE241" s="272"/>
      <c r="XF241" s="205">
        <f t="shared" si="2009"/>
        <v>0</v>
      </c>
      <c r="XG241" s="207"/>
      <c r="XH241" s="207"/>
      <c r="XI241" s="207"/>
      <c r="XJ241" s="207"/>
      <c r="XK241" s="207"/>
      <c r="XL241" s="272"/>
      <c r="XM241" s="272"/>
      <c r="XN241" s="205">
        <f t="shared" si="2105"/>
        <v>0</v>
      </c>
      <c r="XO241" s="207"/>
      <c r="XP241" s="207"/>
      <c r="XQ241" s="207"/>
      <c r="XR241" s="207"/>
      <c r="XS241" s="207"/>
      <c r="XT241" s="272"/>
      <c r="XU241" s="272"/>
      <c r="XV241" s="205">
        <f t="shared" si="2222"/>
        <v>0</v>
      </c>
      <c r="XW241" s="205">
        <f t="shared" si="2223"/>
        <v>0</v>
      </c>
      <c r="XX241" s="207"/>
      <c r="XY241" s="207"/>
      <c r="XZ241" s="207"/>
      <c r="YA241" s="207"/>
      <c r="YB241" s="207"/>
      <c r="YC241" s="272"/>
      <c r="YD241" s="272"/>
      <c r="YE241" s="205">
        <f t="shared" si="2018"/>
        <v>0</v>
      </c>
      <c r="YF241" s="207"/>
      <c r="YG241" s="207"/>
      <c r="YH241" s="207"/>
      <c r="YI241" s="207"/>
      <c r="YJ241" s="207"/>
      <c r="YK241" s="272"/>
      <c r="YL241" s="272"/>
      <c r="YM241" s="205">
        <f t="shared" si="2019"/>
        <v>0</v>
      </c>
      <c r="YN241" s="207"/>
      <c r="YO241" s="207"/>
      <c r="YP241" s="207"/>
      <c r="YQ241" s="207"/>
      <c r="YR241" s="207"/>
      <c r="YS241" s="272"/>
      <c r="YT241" s="272"/>
      <c r="YU241" s="205">
        <f t="shared" si="2020"/>
        <v>0</v>
      </c>
      <c r="YV241" s="207"/>
      <c r="YW241" s="207"/>
      <c r="YX241" s="207"/>
      <c r="YY241" s="207"/>
      <c r="YZ241" s="207"/>
      <c r="ZA241" s="272"/>
      <c r="ZB241" s="272"/>
      <c r="ZC241" s="205">
        <f t="shared" si="2021"/>
        <v>0</v>
      </c>
      <c r="ZD241" s="205">
        <f t="shared" si="2022"/>
        <v>0</v>
      </c>
      <c r="ZE241" s="207"/>
      <c r="ZF241" s="207"/>
      <c r="ZG241" s="207"/>
      <c r="ZH241" s="207"/>
      <c r="ZI241" s="207"/>
      <c r="ZJ241" s="272"/>
      <c r="ZK241" s="272"/>
      <c r="ZL241" s="205">
        <f t="shared" si="2023"/>
        <v>0</v>
      </c>
      <c r="ZM241" s="207"/>
      <c r="ZN241" s="207"/>
      <c r="ZO241" s="207"/>
      <c r="ZP241" s="207"/>
      <c r="ZQ241" s="207"/>
      <c r="ZR241" s="272"/>
      <c r="ZS241" s="272"/>
      <c r="ZT241" s="205">
        <f t="shared" si="2010"/>
        <v>0</v>
      </c>
      <c r="ZU241" s="207"/>
      <c r="ZV241" s="207"/>
      <c r="ZW241" s="207"/>
      <c r="ZX241" s="207"/>
      <c r="ZY241" s="207"/>
      <c r="ZZ241" s="272"/>
      <c r="AAA241" s="272"/>
      <c r="AAB241" s="205">
        <f t="shared" si="2024"/>
        <v>0</v>
      </c>
      <c r="AAC241" s="207"/>
      <c r="AAD241" s="207"/>
      <c r="AAE241" s="207"/>
      <c r="AAF241" s="207"/>
      <c r="AAG241" s="207"/>
      <c r="AAH241" s="272"/>
      <c r="AAI241" s="272"/>
      <c r="AAJ241" s="205">
        <f t="shared" si="2011"/>
        <v>0</v>
      </c>
      <c r="AAK241" s="207"/>
      <c r="AAL241" s="207"/>
      <c r="AAM241" s="207"/>
      <c r="AAN241" s="207"/>
      <c r="AAO241" s="207"/>
      <c r="AAP241" s="272"/>
      <c r="AAQ241" s="272"/>
      <c r="AAR241" s="205">
        <f t="shared" si="2025"/>
        <v>0</v>
      </c>
      <c r="AAS241" s="205">
        <f t="shared" si="2026"/>
        <v>0</v>
      </c>
    </row>
    <row r="242" spans="2:721" ht="69.95" customHeight="1">
      <c r="B242" s="302"/>
      <c r="C242" s="346"/>
      <c r="D242" s="303"/>
      <c r="E242" s="130" t="s">
        <v>4</v>
      </c>
      <c r="F242" s="120"/>
      <c r="G242" s="120"/>
      <c r="H242" s="120"/>
      <c r="I242" s="120"/>
      <c r="J242" s="120"/>
      <c r="K242" s="209"/>
      <c r="L242" s="205"/>
      <c r="M242" s="205">
        <f t="shared" si="2228"/>
        <v>0</v>
      </c>
      <c r="N242" s="120"/>
      <c r="O242" s="120"/>
      <c r="P242" s="120"/>
      <c r="Q242" s="120"/>
      <c r="R242" s="120"/>
      <c r="S242" s="209"/>
      <c r="T242" s="205"/>
      <c r="U242" s="205">
        <f t="shared" si="2155"/>
        <v>0</v>
      </c>
      <c r="V242" s="120"/>
      <c r="W242" s="120"/>
      <c r="X242" s="120"/>
      <c r="Y242" s="120"/>
      <c r="Z242" s="120"/>
      <c r="AA242" s="209"/>
      <c r="AB242" s="205"/>
      <c r="AC242" s="205">
        <f t="shared" si="2156"/>
        <v>0</v>
      </c>
      <c r="AD242" s="205"/>
      <c r="AE242" s="205"/>
      <c r="AF242" s="205"/>
      <c r="AG242" s="205"/>
      <c r="AH242" s="205"/>
      <c r="AI242" s="209"/>
      <c r="AJ242" s="205"/>
      <c r="AK242" s="205">
        <f t="shared" si="2157"/>
        <v>0</v>
      </c>
      <c r="AL242" s="205" t="e">
        <f>SUM(#REF!,M242,U242,AC242,AD242:AH242)</f>
        <v>#REF!</v>
      </c>
      <c r="AM242" s="120"/>
      <c r="AN242" s="120"/>
      <c r="AO242" s="120"/>
      <c r="AP242" s="120"/>
      <c r="AQ242" s="120"/>
      <c r="AR242" s="209"/>
      <c r="AS242" s="205"/>
      <c r="AT242" s="205">
        <f t="shared" si="2158"/>
        <v>0</v>
      </c>
      <c r="AU242" s="120"/>
      <c r="AV242" s="120"/>
      <c r="AW242" s="120"/>
      <c r="AX242" s="120"/>
      <c r="AY242" s="120"/>
      <c r="AZ242" s="209"/>
      <c r="BA242" s="205"/>
      <c r="BB242" s="205">
        <f t="shared" si="2159"/>
        <v>0</v>
      </c>
      <c r="BC242" s="120"/>
      <c r="BD242" s="120"/>
      <c r="BE242" s="120"/>
      <c r="BF242" s="120"/>
      <c r="BG242" s="120"/>
      <c r="BH242" s="209"/>
      <c r="BI242" s="205"/>
      <c r="BJ242" s="205">
        <f t="shared" si="2160"/>
        <v>0</v>
      </c>
      <c r="BK242" s="120"/>
      <c r="BL242" s="120"/>
      <c r="BM242" s="217">
        <v>3120</v>
      </c>
      <c r="BN242" s="120"/>
      <c r="BO242" s="205"/>
      <c r="BP242" s="209"/>
      <c r="BQ242" s="205"/>
      <c r="BR242" s="205">
        <f t="shared" si="2161"/>
        <v>3120</v>
      </c>
      <c r="BS242" s="205">
        <f t="shared" si="2162"/>
        <v>3120</v>
      </c>
      <c r="BT242" s="120"/>
      <c r="BU242" s="250">
        <v>720</v>
      </c>
      <c r="BV242" s="120"/>
      <c r="BW242" s="120"/>
      <c r="BX242" s="120"/>
      <c r="BY242" s="209"/>
      <c r="BZ242" s="205"/>
      <c r="CA242" s="205">
        <f t="shared" si="2163"/>
        <v>720</v>
      </c>
      <c r="CB242" s="120"/>
      <c r="CC242" s="120"/>
      <c r="CD242" s="120"/>
      <c r="CE242" s="120"/>
      <c r="CF242" s="120"/>
      <c r="CG242" s="209"/>
      <c r="CH242" s="205"/>
      <c r="CI242" s="205">
        <f t="shared" si="2164"/>
        <v>0</v>
      </c>
      <c r="CJ242" s="120"/>
      <c r="CK242" s="120"/>
      <c r="CL242" s="250">
        <v>1220</v>
      </c>
      <c r="CM242" s="120"/>
      <c r="CN242" s="120"/>
      <c r="CO242" s="209"/>
      <c r="CP242" s="205"/>
      <c r="CQ242" s="205">
        <f t="shared" si="2165"/>
        <v>1220</v>
      </c>
      <c r="CR242" s="120" t="s">
        <v>216</v>
      </c>
      <c r="CS242" s="120"/>
      <c r="CT242" s="120"/>
      <c r="CU242" s="120"/>
      <c r="CV242" s="120"/>
      <c r="CW242" s="209"/>
      <c r="CX242" s="205"/>
      <c r="CY242" s="205">
        <f t="shared" si="2166"/>
        <v>0</v>
      </c>
      <c r="CZ242" s="120"/>
      <c r="DA242" s="120"/>
      <c r="DB242" s="120"/>
      <c r="DC242" s="205"/>
      <c r="DD242" s="205"/>
      <c r="DE242" s="209"/>
      <c r="DF242" s="205"/>
      <c r="DG242" s="205">
        <f t="shared" si="2167"/>
        <v>0</v>
      </c>
      <c r="DH242" s="205">
        <f t="shared" si="2168"/>
        <v>1940</v>
      </c>
      <c r="DI242" s="120"/>
      <c r="DJ242" s="120"/>
      <c r="DK242" s="120"/>
      <c r="DL242" s="120"/>
      <c r="DM242" s="120"/>
      <c r="DN242" s="209"/>
      <c r="DO242" s="205"/>
      <c r="DP242" s="205">
        <f t="shared" si="2169"/>
        <v>0</v>
      </c>
      <c r="DQ242" s="217">
        <v>670</v>
      </c>
      <c r="DR242" s="120"/>
      <c r="DS242" s="120"/>
      <c r="DT242" s="120"/>
      <c r="DU242" s="120"/>
      <c r="DV242" s="209"/>
      <c r="DW242" s="205"/>
      <c r="DX242" s="205">
        <f t="shared" si="2170"/>
        <v>670</v>
      </c>
      <c r="DY242" s="120"/>
      <c r="DZ242" s="120"/>
      <c r="EA242" s="120"/>
      <c r="EB242" s="120"/>
      <c r="EC242" s="120"/>
      <c r="ED242" s="209"/>
      <c r="EE242" s="205"/>
      <c r="EF242" s="205">
        <f t="shared" si="2171"/>
        <v>0</v>
      </c>
      <c r="EG242" s="120"/>
      <c r="EH242" s="120"/>
      <c r="EI242" s="120"/>
      <c r="EJ242" s="205"/>
      <c r="EK242" s="205"/>
      <c r="EL242" s="209"/>
      <c r="EM242" s="205"/>
      <c r="EN242" s="205">
        <f t="shared" si="2172"/>
        <v>0</v>
      </c>
      <c r="EO242" s="205">
        <f t="shared" si="2173"/>
        <v>670</v>
      </c>
      <c r="EP242" s="120"/>
      <c r="EQ242" s="250">
        <v>520</v>
      </c>
      <c r="ER242" s="120"/>
      <c r="ES242" s="120"/>
      <c r="ET242" s="120"/>
      <c r="EU242" s="209"/>
      <c r="EV242" s="205"/>
      <c r="EW242" s="205">
        <f t="shared" si="2174"/>
        <v>520</v>
      </c>
      <c r="EX242" s="120"/>
      <c r="EY242" s="120"/>
      <c r="EZ242" s="120"/>
      <c r="FA242" s="120"/>
      <c r="FB242" s="120"/>
      <c r="FC242" s="209"/>
      <c r="FD242" s="205"/>
      <c r="FE242" s="205">
        <f t="shared" si="2175"/>
        <v>0</v>
      </c>
      <c r="FF242" s="120"/>
      <c r="FG242" s="195">
        <v>520</v>
      </c>
      <c r="FH242" s="120"/>
      <c r="FI242" s="120"/>
      <c r="FJ242" s="120"/>
      <c r="FK242" s="209"/>
      <c r="FL242" s="205"/>
      <c r="FM242" s="205">
        <f t="shared" si="2176"/>
        <v>520</v>
      </c>
      <c r="FN242" s="120"/>
      <c r="FO242" s="120"/>
      <c r="FP242" s="120"/>
      <c r="FQ242" s="120"/>
      <c r="FR242" s="205"/>
      <c r="FS242" s="209"/>
      <c r="FT242" s="205"/>
      <c r="FU242" s="205">
        <f t="shared" si="2177"/>
        <v>0</v>
      </c>
      <c r="FV242" s="205">
        <f t="shared" si="2178"/>
        <v>1040</v>
      </c>
      <c r="FW242" s="120"/>
      <c r="FX242" s="120"/>
      <c r="FY242" s="120"/>
      <c r="FZ242" s="120"/>
      <c r="GA242" s="120"/>
      <c r="GB242" s="209"/>
      <c r="GC242" s="205"/>
      <c r="GD242" s="205">
        <f t="shared" si="2179"/>
        <v>0</v>
      </c>
      <c r="GE242" s="120"/>
      <c r="GF242" s="120"/>
      <c r="GG242" s="120"/>
      <c r="GH242" s="120"/>
      <c r="GI242" s="120"/>
      <c r="GJ242" s="209"/>
      <c r="GK242" s="205"/>
      <c r="GL242" s="205">
        <f t="shared" si="2180"/>
        <v>0</v>
      </c>
      <c r="GM242" s="120"/>
      <c r="GN242" s="120"/>
      <c r="GO242" s="120"/>
      <c r="GP242" s="120"/>
      <c r="GQ242" s="120"/>
      <c r="GR242" s="209"/>
      <c r="GS242" s="205"/>
      <c r="GT242" s="205">
        <f t="shared" si="2181"/>
        <v>0</v>
      </c>
      <c r="GU242" s="120"/>
      <c r="GV242" s="120"/>
      <c r="GW242" s="120"/>
      <c r="GX242" s="120"/>
      <c r="GY242" s="120"/>
      <c r="GZ242" s="209"/>
      <c r="HA242" s="205"/>
      <c r="HB242" s="205">
        <f t="shared" si="2182"/>
        <v>0</v>
      </c>
      <c r="HC242" s="120"/>
      <c r="HD242" s="120"/>
      <c r="HE242" s="120"/>
      <c r="HF242" s="120"/>
      <c r="HG242" s="120"/>
      <c r="HH242" s="209"/>
      <c r="HI242" s="205"/>
      <c r="HJ242" s="205">
        <f t="shared" si="2183"/>
        <v>0</v>
      </c>
      <c r="HK242" s="205">
        <f t="shared" si="2184"/>
        <v>0</v>
      </c>
      <c r="HL242" s="124"/>
      <c r="HM242" s="120"/>
      <c r="HN242" s="120"/>
      <c r="HO242" s="123">
        <v>1770</v>
      </c>
      <c r="HP242" s="120"/>
      <c r="HQ242" s="205"/>
      <c r="HR242" s="205"/>
      <c r="HS242" s="205">
        <f t="shared" si="2185"/>
        <v>1770</v>
      </c>
      <c r="HT242" s="120"/>
      <c r="HU242" s="120"/>
      <c r="HV242" s="120"/>
      <c r="HW242" s="120"/>
      <c r="HX242" s="120"/>
      <c r="HY242" s="205"/>
      <c r="HZ242" s="205"/>
      <c r="IA242" s="205">
        <f t="shared" si="2186"/>
        <v>0</v>
      </c>
      <c r="IB242" s="120"/>
      <c r="IC242" s="120"/>
      <c r="ID242" s="120"/>
      <c r="IE242" s="120"/>
      <c r="IF242" s="120"/>
      <c r="IG242" s="205"/>
      <c r="IH242" s="205"/>
      <c r="II242" s="205">
        <f t="shared" si="2187"/>
        <v>0</v>
      </c>
      <c r="IJ242" s="120"/>
      <c r="IK242" s="120"/>
      <c r="IL242" s="201">
        <v>1820</v>
      </c>
      <c r="IM242" s="120"/>
      <c r="IN242" s="120"/>
      <c r="IO242" s="205"/>
      <c r="IP242" s="205"/>
      <c r="IQ242" s="205">
        <f t="shared" si="2188"/>
        <v>1820</v>
      </c>
      <c r="IR242" s="205">
        <f t="shared" si="2189"/>
        <v>3590</v>
      </c>
      <c r="IS242" s="120"/>
      <c r="IT242" s="120"/>
      <c r="IU242" s="120"/>
      <c r="IV242" s="120"/>
      <c r="IW242" s="120"/>
      <c r="IX242" s="205"/>
      <c r="IY242" s="205"/>
      <c r="IZ242" s="205">
        <f t="shared" si="2190"/>
        <v>0</v>
      </c>
      <c r="JA242" s="120"/>
      <c r="JB242" s="120"/>
      <c r="JC242" s="120"/>
      <c r="JD242" s="120"/>
      <c r="JE242" s="120"/>
      <c r="JF242" s="205"/>
      <c r="JG242" s="205"/>
      <c r="JH242" s="205">
        <f t="shared" si="2191"/>
        <v>0</v>
      </c>
      <c r="JI242" s="120"/>
      <c r="JJ242" s="120"/>
      <c r="JK242" s="120"/>
      <c r="JL242" s="120"/>
      <c r="JM242" s="120"/>
      <c r="JN242" s="205"/>
      <c r="JO242" s="205"/>
      <c r="JP242" s="205">
        <f t="shared" si="2192"/>
        <v>0</v>
      </c>
      <c r="JQ242" s="120"/>
      <c r="JR242" s="120"/>
      <c r="JS242" s="120"/>
      <c r="JT242" s="120"/>
      <c r="JU242" s="120"/>
      <c r="JV242" s="205"/>
      <c r="JW242" s="205"/>
      <c r="JX242" s="205">
        <f t="shared" si="2193"/>
        <v>0</v>
      </c>
      <c r="JY242" s="205">
        <f t="shared" si="2194"/>
        <v>0</v>
      </c>
      <c r="JZ242" s="120"/>
      <c r="KA242" s="120"/>
      <c r="KB242" s="120"/>
      <c r="KC242" s="120"/>
      <c r="KD242" s="120"/>
      <c r="KE242" s="205"/>
      <c r="KF242" s="205"/>
      <c r="KG242" s="205">
        <f t="shared" si="2195"/>
        <v>0</v>
      </c>
      <c r="KH242" s="120"/>
      <c r="KI242" s="120"/>
      <c r="KJ242" s="120"/>
      <c r="KK242" s="206">
        <v>820</v>
      </c>
      <c r="KL242" s="120"/>
      <c r="KM242" s="205"/>
      <c r="KN242" s="205"/>
      <c r="KO242" s="205">
        <f t="shared" si="2196"/>
        <v>820</v>
      </c>
      <c r="KP242" s="120"/>
      <c r="KQ242" s="120"/>
      <c r="KR242" s="120"/>
      <c r="KS242" s="120"/>
      <c r="KT242" s="120"/>
      <c r="KU242" s="205"/>
      <c r="KV242" s="205"/>
      <c r="KW242" s="205">
        <f t="shared" si="2197"/>
        <v>0</v>
      </c>
      <c r="KX242" s="120"/>
      <c r="KY242" s="120"/>
      <c r="KZ242" s="120"/>
      <c r="LA242" s="120"/>
      <c r="LB242" s="120"/>
      <c r="LC242" s="205"/>
      <c r="LD242" s="205"/>
      <c r="LE242" s="205">
        <f t="shared" si="2198"/>
        <v>0</v>
      </c>
      <c r="LF242" s="205"/>
      <c r="LG242" s="120"/>
      <c r="LH242" s="120"/>
      <c r="LI242" s="120"/>
      <c r="LJ242" s="120"/>
      <c r="LK242" s="205"/>
      <c r="LL242" s="205"/>
      <c r="LM242" s="205">
        <f t="shared" si="2199"/>
        <v>0</v>
      </c>
      <c r="LN242" s="205">
        <f t="shared" si="2200"/>
        <v>820</v>
      </c>
      <c r="LO242" s="205"/>
      <c r="LP242" s="120"/>
      <c r="LQ242" s="120"/>
      <c r="LR242" s="120"/>
      <c r="LS242" s="205"/>
      <c r="LT242" s="205"/>
      <c r="LU242" s="205"/>
      <c r="LV242" s="205">
        <f t="shared" si="2201"/>
        <v>0</v>
      </c>
      <c r="LW242" s="120"/>
      <c r="LX242" s="120"/>
      <c r="LY242" s="124">
        <v>380</v>
      </c>
      <c r="LZ242" s="120"/>
      <c r="MA242" s="120"/>
      <c r="MB242" s="205"/>
      <c r="MC242" s="205"/>
      <c r="MD242" s="205">
        <f t="shared" si="2202"/>
        <v>380</v>
      </c>
      <c r="ME242" s="120"/>
      <c r="MF242" s="120"/>
      <c r="MG242" s="120"/>
      <c r="MH242" s="201">
        <v>1120</v>
      </c>
      <c r="MI242" s="205"/>
      <c r="MJ242" s="205"/>
      <c r="MK242" s="205"/>
      <c r="ML242" s="205">
        <f t="shared" si="2203"/>
        <v>1120</v>
      </c>
      <c r="MM242" s="120" t="s">
        <v>712</v>
      </c>
      <c r="MN242" s="120"/>
      <c r="MO242" s="120"/>
      <c r="MP242" s="120"/>
      <c r="MQ242" s="120"/>
      <c r="MR242" s="205"/>
      <c r="MS242" s="205"/>
      <c r="MT242" s="205">
        <f t="shared" si="2204"/>
        <v>0</v>
      </c>
      <c r="MU242" s="205">
        <f t="shared" si="2205"/>
        <v>1500</v>
      </c>
      <c r="MV242" s="120"/>
      <c r="MW242" s="120"/>
      <c r="MX242" s="195">
        <v>2020</v>
      </c>
      <c r="MY242" s="120"/>
      <c r="MZ242" s="120"/>
      <c r="NA242" s="205"/>
      <c r="NB242" s="205"/>
      <c r="NC242" s="205">
        <f t="shared" si="2206"/>
        <v>2020</v>
      </c>
      <c r="ND242" s="120"/>
      <c r="NE242" s="120"/>
      <c r="NF242" s="120"/>
      <c r="NG242" s="120"/>
      <c r="NH242" s="120"/>
      <c r="NI242" s="205"/>
      <c r="NJ242" s="205"/>
      <c r="NK242" s="205">
        <f t="shared" si="2207"/>
        <v>0</v>
      </c>
      <c r="NL242" s="120"/>
      <c r="NM242" s="120"/>
      <c r="NN242" s="120"/>
      <c r="NO242" s="120"/>
      <c r="NP242" s="120"/>
      <c r="NQ242" s="205"/>
      <c r="NR242" s="205"/>
      <c r="NS242" s="205">
        <f t="shared" si="2208"/>
        <v>0</v>
      </c>
      <c r="NT242" s="217">
        <v>1020</v>
      </c>
      <c r="NU242" s="120"/>
      <c r="NV242" s="120"/>
      <c r="NW242" s="120"/>
      <c r="NX242" s="120"/>
      <c r="NY242" s="205"/>
      <c r="NZ242" s="205"/>
      <c r="OA242" s="205">
        <f t="shared" si="2209"/>
        <v>1020</v>
      </c>
      <c r="OB242" s="205">
        <f t="shared" si="2210"/>
        <v>3040</v>
      </c>
      <c r="OC242" s="120"/>
      <c r="OD242" s="120"/>
      <c r="OE242" s="120"/>
      <c r="OF242" s="120"/>
      <c r="OG242" s="120"/>
      <c r="OH242" s="205"/>
      <c r="OI242" s="205"/>
      <c r="OJ242" s="205">
        <f t="shared" si="2211"/>
        <v>0</v>
      </c>
      <c r="OK242" s="120"/>
      <c r="OL242" s="120"/>
      <c r="OM242" s="120"/>
      <c r="ON242" s="120"/>
      <c r="OO242" s="120"/>
      <c r="OP242" s="205"/>
      <c r="OQ242" s="205"/>
      <c r="OR242" s="205">
        <f t="shared" si="2212"/>
        <v>0</v>
      </c>
      <c r="OS242" s="120"/>
      <c r="OT242" s="120"/>
      <c r="OU242" s="120"/>
      <c r="OV242" s="120"/>
      <c r="OW242" s="120"/>
      <c r="OX242" s="205"/>
      <c r="OY242" s="205"/>
      <c r="OZ242" s="205">
        <f t="shared" si="2213"/>
        <v>0</v>
      </c>
      <c r="PA242" s="120"/>
      <c r="PB242" s="120"/>
      <c r="PC242" s="120"/>
      <c r="PD242" s="205"/>
      <c r="PE242" s="217"/>
      <c r="PF242" s="205"/>
      <c r="PG242" s="205"/>
      <c r="PH242" s="205">
        <f t="shared" si="2214"/>
        <v>0</v>
      </c>
      <c r="PI242" s="120"/>
      <c r="PJ242" s="120"/>
      <c r="PK242" s="120"/>
      <c r="PL242" s="205"/>
      <c r="PM242" s="217"/>
      <c r="PN242" s="205"/>
      <c r="PO242" s="205"/>
      <c r="PP242" s="205">
        <f t="shared" si="2215"/>
        <v>0</v>
      </c>
      <c r="PQ242" s="205">
        <f t="shared" si="2216"/>
        <v>0</v>
      </c>
      <c r="PR242" s="120"/>
      <c r="PS242" s="207"/>
      <c r="PT242" s="207"/>
      <c r="PU242" s="207"/>
      <c r="PV242" s="207"/>
      <c r="PW242" s="272"/>
      <c r="PX242" s="272"/>
      <c r="PY242" s="205">
        <f t="shared" si="2217"/>
        <v>0</v>
      </c>
      <c r="PZ242" s="207"/>
      <c r="QA242" s="207"/>
      <c r="QB242" s="207"/>
      <c r="QC242" s="207"/>
      <c r="QD242" s="207"/>
      <c r="QE242" s="272"/>
      <c r="QF242" s="272"/>
      <c r="QG242" s="205">
        <f t="shared" si="2218"/>
        <v>0</v>
      </c>
      <c r="QH242" s="207"/>
      <c r="QI242" s="207"/>
      <c r="QJ242" s="294"/>
      <c r="QK242" s="207"/>
      <c r="QL242" s="207"/>
      <c r="QM242" s="272"/>
      <c r="QN242" s="272"/>
      <c r="QO242" s="205">
        <f t="shared" si="2219"/>
        <v>0</v>
      </c>
      <c r="QP242" s="207"/>
      <c r="QQ242" s="120"/>
      <c r="QR242" s="207"/>
      <c r="QS242" s="207"/>
      <c r="QT242" s="207"/>
      <c r="QU242" s="272"/>
      <c r="QV242" s="272"/>
      <c r="QW242" s="205">
        <f t="shared" si="2220"/>
        <v>0</v>
      </c>
      <c r="QX242" s="205">
        <f t="shared" si="2221"/>
        <v>0</v>
      </c>
      <c r="QY242" s="207"/>
      <c r="QZ242" s="207"/>
      <c r="RA242" s="207"/>
      <c r="RB242" s="207"/>
      <c r="RC242" s="207"/>
      <c r="RD242" s="272"/>
      <c r="RE242" s="272"/>
      <c r="RF242" s="205">
        <f t="shared" si="2148"/>
        <v>0</v>
      </c>
      <c r="RG242" s="207"/>
      <c r="RH242" s="207"/>
      <c r="RI242" s="207"/>
      <c r="RJ242" s="207"/>
      <c r="RK242" s="207"/>
      <c r="RL242" s="272"/>
      <c r="RM242" s="272"/>
      <c r="RN242" s="205">
        <f t="shared" si="2096"/>
        <v>0</v>
      </c>
      <c r="RO242" s="272"/>
      <c r="RP242" s="272"/>
      <c r="RQ242" s="272"/>
      <c r="RR242" s="272"/>
      <c r="RS242" s="272"/>
      <c r="RT242" s="272"/>
      <c r="RU242" s="272"/>
      <c r="RV242" s="205">
        <f t="shared" si="2097"/>
        <v>0</v>
      </c>
      <c r="RW242" s="207"/>
      <c r="RX242" s="207"/>
      <c r="RY242" s="207"/>
      <c r="RZ242" s="207"/>
      <c r="SA242" s="272"/>
      <c r="SB242" s="272"/>
      <c r="SC242" s="272"/>
      <c r="SD242" s="205">
        <f t="shared" si="2224"/>
        <v>0</v>
      </c>
      <c r="SE242" s="205">
        <f t="shared" si="2225"/>
        <v>0</v>
      </c>
      <c r="SF242" s="207"/>
      <c r="SG242" s="207"/>
      <c r="SH242" s="207"/>
      <c r="SI242" s="207"/>
      <c r="SJ242" s="207"/>
      <c r="SK242" s="272"/>
      <c r="SL242" s="272"/>
      <c r="SM242" s="205">
        <f t="shared" si="2100"/>
        <v>0</v>
      </c>
      <c r="SN242" s="207"/>
      <c r="SO242" s="207"/>
      <c r="SP242" s="207"/>
      <c r="SQ242" s="207"/>
      <c r="SR242" s="207"/>
      <c r="SS242" s="272"/>
      <c r="ST242" s="272"/>
      <c r="SU242" s="205">
        <f t="shared" si="2101"/>
        <v>0</v>
      </c>
      <c r="SV242" s="207"/>
      <c r="SW242" s="207"/>
      <c r="SX242" s="207"/>
      <c r="SY242" s="207"/>
      <c r="SZ242" s="207"/>
      <c r="TA242" s="272"/>
      <c r="TB242" s="272"/>
      <c r="TC242" s="205">
        <f t="shared" si="2102"/>
        <v>0</v>
      </c>
      <c r="TD242" s="207"/>
      <c r="TE242" s="207"/>
      <c r="TF242" s="207"/>
      <c r="TG242" s="207"/>
      <c r="TH242" s="207"/>
      <c r="TI242" s="272"/>
      <c r="TJ242" s="272"/>
      <c r="TK242" s="205">
        <f t="shared" si="2142"/>
        <v>0</v>
      </c>
      <c r="TL242" s="207"/>
      <c r="TM242" s="207"/>
      <c r="TN242" s="207"/>
      <c r="TO242" s="207"/>
      <c r="TP242" s="272"/>
      <c r="TQ242" s="272"/>
      <c r="TR242" s="272"/>
      <c r="TS242" s="205">
        <f t="shared" si="2103"/>
        <v>0</v>
      </c>
      <c r="TT242" s="205">
        <f t="shared" si="2104"/>
        <v>0</v>
      </c>
      <c r="TU242" s="272"/>
      <c r="TV242" s="207"/>
      <c r="TW242" s="207"/>
      <c r="TX242" s="207"/>
      <c r="TY242" s="207"/>
      <c r="TZ242" s="272"/>
      <c r="UA242" s="272"/>
      <c r="UB242" s="205">
        <f t="shared" si="2012"/>
        <v>0</v>
      </c>
      <c r="UC242" s="207"/>
      <c r="UD242" s="207"/>
      <c r="UE242" s="207"/>
      <c r="UF242" s="207"/>
      <c r="UG242" s="207"/>
      <c r="UH242" s="272"/>
      <c r="UI242" s="272"/>
      <c r="UJ242" s="205">
        <f t="shared" si="2013"/>
        <v>0</v>
      </c>
      <c r="UK242" s="207"/>
      <c r="UL242" s="207"/>
      <c r="UM242" s="207"/>
      <c r="UN242" s="207"/>
      <c r="UO242" s="207"/>
      <c r="UP242" s="272"/>
      <c r="UQ242" s="272"/>
      <c r="UR242" s="205">
        <f t="shared" si="2014"/>
        <v>0</v>
      </c>
      <c r="US242" s="207"/>
      <c r="UT242" s="207"/>
      <c r="UU242" s="207"/>
      <c r="UV242" s="207"/>
      <c r="UW242" s="272"/>
      <c r="UX242" s="272"/>
      <c r="UY242" s="272"/>
      <c r="UZ242" s="205">
        <f t="shared" si="2145"/>
        <v>0</v>
      </c>
      <c r="VA242" s="205">
        <f t="shared" si="2146"/>
        <v>0</v>
      </c>
      <c r="VB242" s="207"/>
      <c r="VC242" s="120"/>
      <c r="VD242" s="207"/>
      <c r="VE242" s="207"/>
      <c r="VF242" s="207"/>
      <c r="VG242" s="272"/>
      <c r="VH242" s="272"/>
      <c r="VI242" s="205">
        <f t="shared" si="2005"/>
        <v>0</v>
      </c>
      <c r="VJ242" s="207"/>
      <c r="VK242" s="207"/>
      <c r="VL242" s="207"/>
      <c r="VM242" s="207"/>
      <c r="VN242" s="207"/>
      <c r="VO242" s="272"/>
      <c r="VP242" s="272"/>
      <c r="VQ242" s="205">
        <f t="shared" si="2015"/>
        <v>0</v>
      </c>
      <c r="VR242" s="207"/>
      <c r="VS242" s="207"/>
      <c r="VT242" s="207"/>
      <c r="VU242" s="207"/>
      <c r="VV242" s="207"/>
      <c r="VW242" s="272"/>
      <c r="VX242" s="272"/>
      <c r="VY242" s="205">
        <f t="shared" si="2006"/>
        <v>0</v>
      </c>
      <c r="VZ242" s="207"/>
      <c r="WA242" s="207"/>
      <c r="WB242" s="207"/>
      <c r="WC242" s="207"/>
      <c r="WD242" s="207"/>
      <c r="WE242" s="272"/>
      <c r="WF242" s="272"/>
      <c r="WG242" s="205">
        <f t="shared" si="2007"/>
        <v>0</v>
      </c>
      <c r="WH242" s="205">
        <f t="shared" si="2008"/>
        <v>0</v>
      </c>
      <c r="WI242" s="207"/>
      <c r="WJ242" s="207"/>
      <c r="WK242" s="207"/>
      <c r="WL242" s="207"/>
      <c r="WM242" s="207"/>
      <c r="WN242" s="272"/>
      <c r="WO242" s="272"/>
      <c r="WP242" s="205">
        <f t="shared" si="2016"/>
        <v>0</v>
      </c>
      <c r="WQ242" s="207"/>
      <c r="WR242" s="207"/>
      <c r="WS242" s="207"/>
      <c r="WT242" s="207"/>
      <c r="WU242" s="207"/>
      <c r="WV242" s="272"/>
      <c r="WW242" s="272"/>
      <c r="WX242" s="205">
        <f t="shared" si="2017"/>
        <v>0</v>
      </c>
      <c r="WY242" s="207"/>
      <c r="WZ242" s="207"/>
      <c r="XA242" s="207"/>
      <c r="XB242" s="207"/>
      <c r="XC242" s="272"/>
      <c r="XD242" s="272"/>
      <c r="XE242" s="272"/>
      <c r="XF242" s="205">
        <f t="shared" si="2009"/>
        <v>0</v>
      </c>
      <c r="XG242" s="207"/>
      <c r="XH242" s="207"/>
      <c r="XI242" s="207"/>
      <c r="XJ242" s="207"/>
      <c r="XK242" s="207"/>
      <c r="XL242" s="272"/>
      <c r="XM242" s="272"/>
      <c r="XN242" s="205">
        <f t="shared" si="2105"/>
        <v>0</v>
      </c>
      <c r="XO242" s="207"/>
      <c r="XP242" s="207"/>
      <c r="XQ242" s="207"/>
      <c r="XR242" s="207"/>
      <c r="XS242" s="207"/>
      <c r="XT242" s="272"/>
      <c r="XU242" s="272"/>
      <c r="XV242" s="205">
        <f t="shared" si="2106"/>
        <v>0</v>
      </c>
      <c r="XW242" s="205">
        <f t="shared" si="2107"/>
        <v>0</v>
      </c>
      <c r="XX242" s="207"/>
      <c r="XY242" s="207"/>
      <c r="XZ242" s="207"/>
      <c r="YA242" s="207"/>
      <c r="YB242" s="207"/>
      <c r="YC242" s="272"/>
      <c r="YD242" s="272"/>
      <c r="YE242" s="205">
        <f t="shared" si="2018"/>
        <v>0</v>
      </c>
      <c r="YF242" s="207"/>
      <c r="YG242" s="207"/>
      <c r="YH242" s="207"/>
      <c r="YI242" s="207"/>
      <c r="YJ242" s="207"/>
      <c r="YK242" s="272"/>
      <c r="YL242" s="272"/>
      <c r="YM242" s="205">
        <f t="shared" si="2019"/>
        <v>0</v>
      </c>
      <c r="YN242" s="207"/>
      <c r="YO242" s="207"/>
      <c r="YP242" s="207"/>
      <c r="YQ242" s="207"/>
      <c r="YR242" s="207"/>
      <c r="YS242" s="272"/>
      <c r="YT242" s="272"/>
      <c r="YU242" s="205">
        <f t="shared" si="2020"/>
        <v>0</v>
      </c>
      <c r="YV242" s="207"/>
      <c r="YW242" s="207"/>
      <c r="YX242" s="207"/>
      <c r="YY242" s="207"/>
      <c r="YZ242" s="207"/>
      <c r="ZA242" s="272"/>
      <c r="ZB242" s="272"/>
      <c r="ZC242" s="205">
        <f t="shared" si="2021"/>
        <v>0</v>
      </c>
      <c r="ZD242" s="205">
        <f t="shared" si="2022"/>
        <v>0</v>
      </c>
      <c r="ZE242" s="207"/>
      <c r="ZF242" s="207"/>
      <c r="ZG242" s="207"/>
      <c r="ZH242" s="207"/>
      <c r="ZI242" s="207"/>
      <c r="ZJ242" s="272"/>
      <c r="ZK242" s="272"/>
      <c r="ZL242" s="205">
        <f t="shared" si="2023"/>
        <v>0</v>
      </c>
      <c r="ZM242" s="207"/>
      <c r="ZN242" s="207"/>
      <c r="ZO242" s="207"/>
      <c r="ZP242" s="207"/>
      <c r="ZQ242" s="207"/>
      <c r="ZR242" s="272"/>
      <c r="ZS242" s="272"/>
      <c r="ZT242" s="205">
        <f t="shared" si="2010"/>
        <v>0</v>
      </c>
      <c r="ZU242" s="207"/>
      <c r="ZV242" s="207"/>
      <c r="ZW242" s="207"/>
      <c r="ZX242" s="207"/>
      <c r="ZY242" s="207"/>
      <c r="ZZ242" s="272"/>
      <c r="AAA242" s="272"/>
      <c r="AAB242" s="205">
        <f t="shared" si="2024"/>
        <v>0</v>
      </c>
      <c r="AAC242" s="207"/>
      <c r="AAD242" s="207"/>
      <c r="AAE242" s="207"/>
      <c r="AAF242" s="207"/>
      <c r="AAG242" s="207"/>
      <c r="AAH242" s="272"/>
      <c r="AAI242" s="272"/>
      <c r="AAJ242" s="205">
        <f t="shared" si="2011"/>
        <v>0</v>
      </c>
      <c r="AAK242" s="207"/>
      <c r="AAL242" s="207"/>
      <c r="AAM242" s="207"/>
      <c r="AAN242" s="207"/>
      <c r="AAO242" s="207"/>
      <c r="AAP242" s="272"/>
      <c r="AAQ242" s="272"/>
      <c r="AAR242" s="205">
        <f t="shared" si="2025"/>
        <v>0</v>
      </c>
      <c r="AAS242" s="205">
        <f t="shared" si="2026"/>
        <v>0</v>
      </c>
    </row>
    <row r="243" spans="2:721" ht="69.95" customHeight="1">
      <c r="B243" s="302"/>
      <c r="C243" s="346"/>
      <c r="D243" s="303"/>
      <c r="E243" s="130" t="s">
        <v>4</v>
      </c>
      <c r="F243" s="120"/>
      <c r="G243" s="120"/>
      <c r="H243" s="120"/>
      <c r="I243" s="120"/>
      <c r="J243" s="120"/>
      <c r="K243" s="209"/>
      <c r="L243" s="205"/>
      <c r="M243" s="205">
        <f t="shared" si="2027"/>
        <v>0</v>
      </c>
      <c r="N243" s="120"/>
      <c r="O243" s="120"/>
      <c r="P243" s="120"/>
      <c r="Q243" s="120"/>
      <c r="R243" s="120"/>
      <c r="S243" s="209"/>
      <c r="T243" s="205"/>
      <c r="U243" s="205">
        <f t="shared" si="2028"/>
        <v>0</v>
      </c>
      <c r="V243" s="120"/>
      <c r="W243" s="120"/>
      <c r="X243" s="120"/>
      <c r="Y243" s="120"/>
      <c r="Z243" s="120"/>
      <c r="AA243" s="209"/>
      <c r="AB243" s="205"/>
      <c r="AC243" s="205">
        <f t="shared" si="2029"/>
        <v>0</v>
      </c>
      <c r="AD243" s="205"/>
      <c r="AE243" s="205"/>
      <c r="AF243" s="205"/>
      <c r="AG243" s="205"/>
      <c r="AH243" s="205"/>
      <c r="AI243" s="209"/>
      <c r="AJ243" s="205"/>
      <c r="AK243" s="205">
        <f t="shared" si="2030"/>
        <v>0</v>
      </c>
      <c r="AL243" s="205" t="e">
        <f>SUM(#REF!,M243,U243,AC243,AD243:AH243)</f>
        <v>#REF!</v>
      </c>
      <c r="AM243" s="120"/>
      <c r="AN243" s="120"/>
      <c r="AO243" s="120"/>
      <c r="AP243" s="120"/>
      <c r="AQ243" s="120"/>
      <c r="AR243" s="209"/>
      <c r="AS243" s="205"/>
      <c r="AT243" s="205">
        <f t="shared" si="2031"/>
        <v>0</v>
      </c>
      <c r="AU243" s="120"/>
      <c r="AV243" s="120"/>
      <c r="AW243" s="120"/>
      <c r="AX243" s="120"/>
      <c r="AY243" s="120"/>
      <c r="AZ243" s="209"/>
      <c r="BA243" s="205"/>
      <c r="BB243" s="205">
        <f t="shared" si="2032"/>
        <v>0</v>
      </c>
      <c r="BC243" s="120"/>
      <c r="BD243" s="120"/>
      <c r="BE243" s="120"/>
      <c r="BF243" s="120"/>
      <c r="BG243" s="120"/>
      <c r="BH243" s="209"/>
      <c r="BI243" s="205"/>
      <c r="BJ243" s="205">
        <f t="shared" si="2033"/>
        <v>0</v>
      </c>
      <c r="BK243" s="120"/>
      <c r="BL243" s="120"/>
      <c r="BM243" s="217">
        <v>3113</v>
      </c>
      <c r="BN243" s="120"/>
      <c r="BO243" s="205"/>
      <c r="BP243" s="209"/>
      <c r="BQ243" s="205"/>
      <c r="BR243" s="205">
        <f t="shared" si="2034"/>
        <v>3113</v>
      </c>
      <c r="BS243" s="205">
        <f t="shared" si="2035"/>
        <v>3113</v>
      </c>
      <c r="BT243" s="120"/>
      <c r="BU243" s="250">
        <v>713</v>
      </c>
      <c r="BV243" s="120"/>
      <c r="BW243" s="120"/>
      <c r="BX243" s="120"/>
      <c r="BY243" s="209"/>
      <c r="BZ243" s="205"/>
      <c r="CA243" s="205">
        <f t="shared" si="2036"/>
        <v>713</v>
      </c>
      <c r="CB243" s="120"/>
      <c r="CC243" s="120"/>
      <c r="CD243" s="120"/>
      <c r="CE243" s="120"/>
      <c r="CF243" s="120"/>
      <c r="CG243" s="209"/>
      <c r="CH243" s="205"/>
      <c r="CI243" s="205">
        <f t="shared" si="2037"/>
        <v>0</v>
      </c>
      <c r="CJ243" s="120"/>
      <c r="CK243" s="120"/>
      <c r="CL243" s="250">
        <v>1213</v>
      </c>
      <c r="CM243" s="120"/>
      <c r="CN243" s="120"/>
      <c r="CO243" s="209"/>
      <c r="CP243" s="205"/>
      <c r="CQ243" s="205">
        <f t="shared" si="2038"/>
        <v>1213</v>
      </c>
      <c r="CR243" s="120" t="s">
        <v>216</v>
      </c>
      <c r="CS243" s="120"/>
      <c r="CT243" s="120"/>
      <c r="CU243" s="120"/>
      <c r="CV243" s="120"/>
      <c r="CW243" s="209"/>
      <c r="CX243" s="205"/>
      <c r="CY243" s="205">
        <f t="shared" si="2039"/>
        <v>0</v>
      </c>
      <c r="CZ243" s="120"/>
      <c r="DA243" s="120"/>
      <c r="DB243" s="120"/>
      <c r="DC243" s="205"/>
      <c r="DD243" s="205"/>
      <c r="DE243" s="209"/>
      <c r="DF243" s="205"/>
      <c r="DG243" s="205">
        <f t="shared" si="2040"/>
        <v>0</v>
      </c>
      <c r="DH243" s="205">
        <f t="shared" si="2041"/>
        <v>1926</v>
      </c>
      <c r="DI243" s="120"/>
      <c r="DJ243" s="120"/>
      <c r="DK243" s="120"/>
      <c r="DL243" s="120"/>
      <c r="DM243" s="120"/>
      <c r="DN243" s="209"/>
      <c r="DO243" s="205"/>
      <c r="DP243" s="205">
        <f t="shared" si="2042"/>
        <v>0</v>
      </c>
      <c r="DQ243" s="217">
        <v>663</v>
      </c>
      <c r="DR243" s="120"/>
      <c r="DS243" s="120"/>
      <c r="DT243" s="120"/>
      <c r="DU243" s="120"/>
      <c r="DV243" s="209"/>
      <c r="DW243" s="205"/>
      <c r="DX243" s="205">
        <f t="shared" si="2043"/>
        <v>663</v>
      </c>
      <c r="DY243" s="120"/>
      <c r="DZ243" s="120"/>
      <c r="EA243" s="120"/>
      <c r="EB243" s="120"/>
      <c r="EC243" s="120"/>
      <c r="ED243" s="209"/>
      <c r="EE243" s="205"/>
      <c r="EF243" s="205">
        <f t="shared" si="2044"/>
        <v>0</v>
      </c>
      <c r="EG243" s="120"/>
      <c r="EH243" s="120"/>
      <c r="EI243" s="120"/>
      <c r="EJ243" s="205"/>
      <c r="EK243" s="205"/>
      <c r="EL243" s="209"/>
      <c r="EM243" s="205"/>
      <c r="EN243" s="205">
        <f t="shared" si="2045"/>
        <v>0</v>
      </c>
      <c r="EO243" s="205">
        <f t="shared" si="2046"/>
        <v>663</v>
      </c>
      <c r="EP243" s="120"/>
      <c r="EQ243" s="250">
        <v>513</v>
      </c>
      <c r="ER243" s="120"/>
      <c r="ES243" s="120"/>
      <c r="ET243" s="120"/>
      <c r="EU243" s="209"/>
      <c r="EV243" s="205"/>
      <c r="EW243" s="205">
        <f t="shared" si="2047"/>
        <v>513</v>
      </c>
      <c r="EX243" s="120"/>
      <c r="EY243" s="120"/>
      <c r="EZ243" s="120"/>
      <c r="FA243" s="120"/>
      <c r="FB243" s="120"/>
      <c r="FC243" s="209"/>
      <c r="FD243" s="205"/>
      <c r="FE243" s="205">
        <f t="shared" si="2048"/>
        <v>0</v>
      </c>
      <c r="FF243" s="120"/>
      <c r="FG243" s="195">
        <v>513</v>
      </c>
      <c r="FH243" s="120"/>
      <c r="FI243" s="120"/>
      <c r="FJ243" s="120"/>
      <c r="FK243" s="209"/>
      <c r="FL243" s="205"/>
      <c r="FM243" s="205">
        <f t="shared" si="2049"/>
        <v>513</v>
      </c>
      <c r="FN243" s="120"/>
      <c r="FO243" s="120"/>
      <c r="FP243" s="120"/>
      <c r="FQ243" s="120"/>
      <c r="FR243" s="205"/>
      <c r="FS243" s="209"/>
      <c r="FT243" s="205"/>
      <c r="FU243" s="205">
        <f t="shared" si="2050"/>
        <v>0</v>
      </c>
      <c r="FV243" s="205">
        <f t="shared" si="2051"/>
        <v>1026</v>
      </c>
      <c r="FW243" s="120"/>
      <c r="FX243" s="120"/>
      <c r="FY243" s="120"/>
      <c r="FZ243" s="120"/>
      <c r="GA243" s="120"/>
      <c r="GB243" s="209"/>
      <c r="GC243" s="205"/>
      <c r="GD243" s="205">
        <f t="shared" si="2052"/>
        <v>0</v>
      </c>
      <c r="GE243" s="120"/>
      <c r="GF243" s="120"/>
      <c r="GG243" s="120"/>
      <c r="GH243" s="120"/>
      <c r="GI243" s="120"/>
      <c r="GJ243" s="209"/>
      <c r="GK243" s="205"/>
      <c r="GL243" s="205">
        <f t="shared" si="2053"/>
        <v>0</v>
      </c>
      <c r="GM243" s="120"/>
      <c r="GN243" s="120"/>
      <c r="GO243" s="120"/>
      <c r="GP243" s="120"/>
      <c r="GQ243" s="120"/>
      <c r="GR243" s="209"/>
      <c r="GS243" s="205"/>
      <c r="GT243" s="205">
        <f t="shared" si="2054"/>
        <v>0</v>
      </c>
      <c r="GU243" s="120"/>
      <c r="GV243" s="120"/>
      <c r="GW243" s="120"/>
      <c r="GX243" s="120"/>
      <c r="GY243" s="120"/>
      <c r="GZ243" s="209"/>
      <c r="HA243" s="205"/>
      <c r="HB243" s="205">
        <f t="shared" si="2055"/>
        <v>0</v>
      </c>
      <c r="HC243" s="120"/>
      <c r="HD243" s="120"/>
      <c r="HE243" s="120"/>
      <c r="HF243" s="120"/>
      <c r="HG243" s="120"/>
      <c r="HH243" s="209"/>
      <c r="HI243" s="205"/>
      <c r="HJ243" s="205">
        <f t="shared" si="2056"/>
        <v>0</v>
      </c>
      <c r="HK243" s="205">
        <f t="shared" si="2057"/>
        <v>0</v>
      </c>
      <c r="HL243" s="124"/>
      <c r="HM243" s="120"/>
      <c r="HN243" s="120"/>
      <c r="HO243" s="123">
        <v>1763</v>
      </c>
      <c r="HP243" s="120"/>
      <c r="HQ243" s="205"/>
      <c r="HR243" s="205"/>
      <c r="HS243" s="205">
        <f t="shared" si="2058"/>
        <v>1763</v>
      </c>
      <c r="HT243" s="120"/>
      <c r="HU243" s="120"/>
      <c r="HV243" s="120"/>
      <c r="HW243" s="120"/>
      <c r="HX243" s="120"/>
      <c r="HY243" s="205"/>
      <c r="HZ243" s="205"/>
      <c r="IA243" s="205">
        <f t="shared" si="2059"/>
        <v>0</v>
      </c>
      <c r="IB243" s="120"/>
      <c r="IC243" s="120"/>
      <c r="ID243" s="120"/>
      <c r="IE243" s="120"/>
      <c r="IF243" s="120"/>
      <c r="IG243" s="205"/>
      <c r="IH243" s="205"/>
      <c r="II243" s="205">
        <f t="shared" si="2060"/>
        <v>0</v>
      </c>
      <c r="IJ243" s="120"/>
      <c r="IK243" s="120"/>
      <c r="IL243" s="201">
        <v>1813</v>
      </c>
      <c r="IM243" s="120"/>
      <c r="IN243" s="120"/>
      <c r="IO243" s="205"/>
      <c r="IP243" s="205"/>
      <c r="IQ243" s="205">
        <f t="shared" si="2061"/>
        <v>1813</v>
      </c>
      <c r="IR243" s="205">
        <f t="shared" si="2062"/>
        <v>3576</v>
      </c>
      <c r="IS243" s="120"/>
      <c r="IT243" s="120"/>
      <c r="IU243" s="120"/>
      <c r="IV243" s="120"/>
      <c r="IW243" s="120"/>
      <c r="IX243" s="205"/>
      <c r="IY243" s="205"/>
      <c r="IZ243" s="205">
        <f t="shared" si="2063"/>
        <v>0</v>
      </c>
      <c r="JA243" s="120"/>
      <c r="JB243" s="120"/>
      <c r="JC243" s="120"/>
      <c r="JD243" s="120"/>
      <c r="JE243" s="120"/>
      <c r="JF243" s="205"/>
      <c r="JG243" s="205"/>
      <c r="JH243" s="205">
        <f t="shared" si="2064"/>
        <v>0</v>
      </c>
      <c r="JI243" s="120"/>
      <c r="JJ243" s="120"/>
      <c r="JK243" s="120"/>
      <c r="JL243" s="120"/>
      <c r="JM243" s="120"/>
      <c r="JN243" s="205"/>
      <c r="JO243" s="205"/>
      <c r="JP243" s="205">
        <f t="shared" si="2065"/>
        <v>0</v>
      </c>
      <c r="JQ243" s="120"/>
      <c r="JR243" s="120"/>
      <c r="JS243" s="120"/>
      <c r="JT243" s="120"/>
      <c r="JU243" s="120"/>
      <c r="JV243" s="205"/>
      <c r="JW243" s="205"/>
      <c r="JX243" s="205">
        <f t="shared" si="2066"/>
        <v>0</v>
      </c>
      <c r="JY243" s="205">
        <f t="shared" si="2067"/>
        <v>0</v>
      </c>
      <c r="JZ243" s="120"/>
      <c r="KA243" s="120"/>
      <c r="KB243" s="120"/>
      <c r="KC243" s="120"/>
      <c r="KD243" s="120"/>
      <c r="KE243" s="205"/>
      <c r="KF243" s="205"/>
      <c r="KG243" s="205">
        <f t="shared" si="2068"/>
        <v>0</v>
      </c>
      <c r="KH243" s="120"/>
      <c r="KI243" s="120"/>
      <c r="KJ243" s="120"/>
      <c r="KK243" s="206">
        <v>813</v>
      </c>
      <c r="KL243" s="120"/>
      <c r="KM243" s="205"/>
      <c r="KN243" s="205"/>
      <c r="KO243" s="205">
        <f t="shared" si="2069"/>
        <v>813</v>
      </c>
      <c r="KP243" s="120"/>
      <c r="KQ243" s="120"/>
      <c r="KR243" s="120"/>
      <c r="KS243" s="120"/>
      <c r="KT243" s="120"/>
      <c r="KU243" s="205"/>
      <c r="KV243" s="205"/>
      <c r="KW243" s="205">
        <f t="shared" si="2070"/>
        <v>0</v>
      </c>
      <c r="KX243" s="120"/>
      <c r="KY243" s="120"/>
      <c r="KZ243" s="120"/>
      <c r="LA243" s="120"/>
      <c r="LB243" s="120"/>
      <c r="LC243" s="205"/>
      <c r="LD243" s="205"/>
      <c r="LE243" s="205">
        <f t="shared" si="2071"/>
        <v>0</v>
      </c>
      <c r="LF243" s="205"/>
      <c r="LG243" s="120"/>
      <c r="LH243" s="120"/>
      <c r="LI243" s="120"/>
      <c r="LJ243" s="120"/>
      <c r="LK243" s="205"/>
      <c r="LL243" s="205"/>
      <c r="LM243" s="205">
        <f t="shared" si="2072"/>
        <v>0</v>
      </c>
      <c r="LN243" s="205">
        <f t="shared" si="2073"/>
        <v>813</v>
      </c>
      <c r="LO243" s="205"/>
      <c r="LP243" s="120"/>
      <c r="LQ243" s="120"/>
      <c r="LR243" s="120"/>
      <c r="LS243" s="205"/>
      <c r="LT243" s="205"/>
      <c r="LU243" s="205"/>
      <c r="LV243" s="205">
        <f t="shared" si="2074"/>
        <v>0</v>
      </c>
      <c r="LW243" s="120"/>
      <c r="LX243" s="120"/>
      <c r="LY243" s="124">
        <v>373</v>
      </c>
      <c r="LZ243" s="120"/>
      <c r="MA243" s="120"/>
      <c r="MB243" s="205"/>
      <c r="MC243" s="205"/>
      <c r="MD243" s="205">
        <f t="shared" si="2075"/>
        <v>373</v>
      </c>
      <c r="ME243" s="120"/>
      <c r="MF243" s="120"/>
      <c r="MG243" s="120"/>
      <c r="MH243" s="201">
        <v>1113</v>
      </c>
      <c r="MI243" s="205"/>
      <c r="MJ243" s="205"/>
      <c r="MK243" s="205"/>
      <c r="ML243" s="205">
        <f t="shared" si="2076"/>
        <v>1113</v>
      </c>
      <c r="MM243" s="120" t="s">
        <v>712</v>
      </c>
      <c r="MN243" s="120"/>
      <c r="MO243" s="120"/>
      <c r="MP243" s="120"/>
      <c r="MQ243" s="120"/>
      <c r="MR243" s="205"/>
      <c r="MS243" s="205"/>
      <c r="MT243" s="205">
        <f t="shared" si="2077"/>
        <v>0</v>
      </c>
      <c r="MU243" s="205">
        <f t="shared" si="2078"/>
        <v>1486</v>
      </c>
      <c r="MV243" s="120"/>
      <c r="MW243" s="120"/>
      <c r="MX243" s="195">
        <v>2013</v>
      </c>
      <c r="MY243" s="120"/>
      <c r="MZ243" s="120"/>
      <c r="NA243" s="205"/>
      <c r="NB243" s="205"/>
      <c r="NC243" s="205">
        <f t="shared" si="2079"/>
        <v>2013</v>
      </c>
      <c r="ND243" s="120"/>
      <c r="NE243" s="120"/>
      <c r="NF243" s="120"/>
      <c r="NG243" s="120"/>
      <c r="NH243" s="120"/>
      <c r="NI243" s="205"/>
      <c r="NJ243" s="205"/>
      <c r="NK243" s="205">
        <f t="shared" si="2080"/>
        <v>0</v>
      </c>
      <c r="NL243" s="120"/>
      <c r="NM243" s="120"/>
      <c r="NN243" s="120"/>
      <c r="NO243" s="120"/>
      <c r="NP243" s="120"/>
      <c r="NQ243" s="205"/>
      <c r="NR243" s="205"/>
      <c r="NS243" s="205">
        <f t="shared" si="2081"/>
        <v>0</v>
      </c>
      <c r="NT243" s="217">
        <v>1013</v>
      </c>
      <c r="NU243" s="120"/>
      <c r="NV243" s="120"/>
      <c r="NW243" s="120"/>
      <c r="NX243" s="120"/>
      <c r="NY243" s="205"/>
      <c r="NZ243" s="205"/>
      <c r="OA243" s="205">
        <f t="shared" si="2082"/>
        <v>1013</v>
      </c>
      <c r="OB243" s="205">
        <f t="shared" si="2083"/>
        <v>3026</v>
      </c>
      <c r="OC243" s="120"/>
      <c r="OD243" s="120"/>
      <c r="OE243" s="120"/>
      <c r="OF243" s="120"/>
      <c r="OG243" s="120"/>
      <c r="OH243" s="205"/>
      <c r="OI243" s="205"/>
      <c r="OJ243" s="205">
        <f t="shared" si="2084"/>
        <v>0</v>
      </c>
      <c r="OK243" s="120"/>
      <c r="OL243" s="120"/>
      <c r="OM243" s="120"/>
      <c r="ON243" s="120"/>
      <c r="OO243" s="120"/>
      <c r="OP243" s="205"/>
      <c r="OQ243" s="205"/>
      <c r="OR243" s="205">
        <f t="shared" si="2085"/>
        <v>0</v>
      </c>
      <c r="OS243" s="120"/>
      <c r="OT243" s="120"/>
      <c r="OU243" s="120"/>
      <c r="OV243" s="120"/>
      <c r="OW243" s="120"/>
      <c r="OX243" s="205"/>
      <c r="OY243" s="205"/>
      <c r="OZ243" s="205">
        <f t="shared" si="2086"/>
        <v>0</v>
      </c>
      <c r="PA243" s="120"/>
      <c r="PB243" s="120"/>
      <c r="PC243" s="120"/>
      <c r="PD243" s="205"/>
      <c r="PE243" s="217"/>
      <c r="PF243" s="205"/>
      <c r="PG243" s="205"/>
      <c r="PH243" s="205">
        <f t="shared" si="2087"/>
        <v>0</v>
      </c>
      <c r="PI243" s="120"/>
      <c r="PJ243" s="120"/>
      <c r="PK243" s="120"/>
      <c r="PL243" s="205"/>
      <c r="PM243" s="217"/>
      <c r="PN243" s="205"/>
      <c r="PO243" s="205"/>
      <c r="PP243" s="205">
        <f t="shared" si="2088"/>
        <v>0</v>
      </c>
      <c r="PQ243" s="205">
        <f t="shared" si="2089"/>
        <v>0</v>
      </c>
      <c r="PR243" s="120"/>
      <c r="PS243" s="207"/>
      <c r="PT243" s="207"/>
      <c r="PU243" s="207"/>
      <c r="PV243" s="207"/>
      <c r="PW243" s="272"/>
      <c r="PX243" s="272"/>
      <c r="PY243" s="205">
        <f t="shared" si="2090"/>
        <v>0</v>
      </c>
      <c r="PZ243" s="207"/>
      <c r="QA243" s="207"/>
      <c r="QB243" s="207"/>
      <c r="QC243" s="207"/>
      <c r="QD243" s="207"/>
      <c r="QE243" s="272"/>
      <c r="QF243" s="272"/>
      <c r="QG243" s="205">
        <f t="shared" si="2091"/>
        <v>0</v>
      </c>
      <c r="QH243" s="207"/>
      <c r="QI243" s="207"/>
      <c r="QJ243" s="294"/>
      <c r="QK243" s="207"/>
      <c r="QL243" s="207"/>
      <c r="QM243" s="272"/>
      <c r="QN243" s="272"/>
      <c r="QO243" s="205">
        <f t="shared" si="2092"/>
        <v>0</v>
      </c>
      <c r="QP243" s="207"/>
      <c r="QQ243" s="120"/>
      <c r="QR243" s="207"/>
      <c r="QS243" s="207"/>
      <c r="QT243" s="207"/>
      <c r="QU243" s="272"/>
      <c r="QV243" s="272"/>
      <c r="QW243" s="205">
        <f t="shared" si="2093"/>
        <v>0</v>
      </c>
      <c r="QX243" s="205">
        <f t="shared" si="2094"/>
        <v>0</v>
      </c>
      <c r="QY243" s="207"/>
      <c r="QZ243" s="207"/>
      <c r="RA243" s="207"/>
      <c r="RB243" s="207"/>
      <c r="RC243" s="207"/>
      <c r="RD243" s="272"/>
      <c r="RE243" s="272"/>
      <c r="RF243" s="205">
        <f t="shared" si="2148"/>
        <v>0</v>
      </c>
      <c r="RG243" s="207"/>
      <c r="RH243" s="207"/>
      <c r="RI243" s="207"/>
      <c r="RJ243" s="207"/>
      <c r="RK243" s="207"/>
      <c r="RL243" s="272"/>
      <c r="RM243" s="272"/>
      <c r="RN243" s="205">
        <f t="shared" si="2096"/>
        <v>0</v>
      </c>
      <c r="RO243" s="272"/>
      <c r="RP243" s="272"/>
      <c r="RQ243" s="272"/>
      <c r="RR243" s="272"/>
      <c r="RS243" s="272"/>
      <c r="RT243" s="272"/>
      <c r="RU243" s="272"/>
      <c r="RV243" s="205">
        <f t="shared" si="2097"/>
        <v>0</v>
      </c>
      <c r="RW243" s="207"/>
      <c r="RX243" s="207"/>
      <c r="RY243" s="207"/>
      <c r="RZ243" s="207"/>
      <c r="SA243" s="272"/>
      <c r="SB243" s="272"/>
      <c r="SC243" s="272"/>
      <c r="SD243" s="205">
        <f t="shared" si="2098"/>
        <v>0</v>
      </c>
      <c r="SE243" s="205">
        <f t="shared" si="2099"/>
        <v>0</v>
      </c>
      <c r="SF243" s="207"/>
      <c r="SG243" s="207"/>
      <c r="SH243" s="207"/>
      <c r="SI243" s="207"/>
      <c r="SJ243" s="207"/>
      <c r="SK243" s="272"/>
      <c r="SL243" s="272"/>
      <c r="SM243" s="205">
        <f t="shared" si="2100"/>
        <v>0</v>
      </c>
      <c r="SN243" s="207"/>
      <c r="SO243" s="207"/>
      <c r="SP243" s="207"/>
      <c r="SQ243" s="207"/>
      <c r="SR243" s="207"/>
      <c r="SS243" s="272"/>
      <c r="ST243" s="272"/>
      <c r="SU243" s="205">
        <f t="shared" si="2101"/>
        <v>0</v>
      </c>
      <c r="SV243" s="207"/>
      <c r="SW243" s="207"/>
      <c r="SX243" s="207"/>
      <c r="SY243" s="207"/>
      <c r="SZ243" s="207"/>
      <c r="TA243" s="272"/>
      <c r="TB243" s="272"/>
      <c r="TC243" s="205">
        <f t="shared" ref="TC243" si="2229">SUM(SV243:TB243)</f>
        <v>0</v>
      </c>
      <c r="TD243" s="207"/>
      <c r="TE243" s="207"/>
      <c r="TF243" s="207"/>
      <c r="TG243" s="207"/>
      <c r="TH243" s="207"/>
      <c r="TI243" s="272"/>
      <c r="TJ243" s="272"/>
      <c r="TK243" s="205">
        <f t="shared" si="2142"/>
        <v>0</v>
      </c>
      <c r="TL243" s="207"/>
      <c r="TM243" s="207"/>
      <c r="TN243" s="207"/>
      <c r="TO243" s="207"/>
      <c r="TP243" s="272"/>
      <c r="TQ243" s="272"/>
      <c r="TR243" s="272"/>
      <c r="TS243" s="205">
        <f t="shared" si="2103"/>
        <v>0</v>
      </c>
      <c r="TT243" s="205">
        <f t="shared" si="2104"/>
        <v>0</v>
      </c>
      <c r="TU243" s="272"/>
      <c r="TV243" s="207"/>
      <c r="TW243" s="207"/>
      <c r="TX243" s="207"/>
      <c r="TY243" s="207"/>
      <c r="TZ243" s="272"/>
      <c r="UA243" s="272"/>
      <c r="UB243" s="205">
        <f t="shared" si="2012"/>
        <v>0</v>
      </c>
      <c r="UC243" s="207"/>
      <c r="UD243" s="207"/>
      <c r="UE243" s="207"/>
      <c r="UF243" s="207"/>
      <c r="UG243" s="207"/>
      <c r="UH243" s="272"/>
      <c r="UI243" s="272"/>
      <c r="UJ243" s="205">
        <f t="shared" si="2013"/>
        <v>0</v>
      </c>
      <c r="UK243" s="207"/>
      <c r="UL243" s="207"/>
      <c r="UM243" s="207"/>
      <c r="UN243" s="207"/>
      <c r="UO243" s="207"/>
      <c r="UP243" s="272"/>
      <c r="UQ243" s="272"/>
      <c r="UR243" s="205">
        <f t="shared" si="2014"/>
        <v>0</v>
      </c>
      <c r="US243" s="207"/>
      <c r="UT243" s="207"/>
      <c r="UU243" s="207"/>
      <c r="UV243" s="207"/>
      <c r="UW243" s="272"/>
      <c r="UX243" s="272"/>
      <c r="UY243" s="272"/>
      <c r="UZ243" s="205">
        <f t="shared" si="2145"/>
        <v>0</v>
      </c>
      <c r="VA243" s="205">
        <f t="shared" si="2146"/>
        <v>0</v>
      </c>
      <c r="VB243" s="207"/>
      <c r="VC243" s="120"/>
      <c r="VD243" s="207"/>
      <c r="VE243" s="207"/>
      <c r="VF243" s="207"/>
      <c r="VG243" s="272"/>
      <c r="VH243" s="272"/>
      <c r="VI243" s="205">
        <f t="shared" si="2005"/>
        <v>0</v>
      </c>
      <c r="VJ243" s="207"/>
      <c r="VK243" s="207"/>
      <c r="VL243" s="207"/>
      <c r="VM243" s="207"/>
      <c r="VN243" s="207"/>
      <c r="VO243" s="272"/>
      <c r="VP243" s="272"/>
      <c r="VQ243" s="205">
        <f t="shared" si="2015"/>
        <v>0</v>
      </c>
      <c r="VR243" s="207"/>
      <c r="VS243" s="207"/>
      <c r="VT243" s="207"/>
      <c r="VU243" s="207"/>
      <c r="VV243" s="207"/>
      <c r="VW243" s="272"/>
      <c r="VX243" s="272"/>
      <c r="VY243" s="205">
        <f t="shared" si="2006"/>
        <v>0</v>
      </c>
      <c r="VZ243" s="207"/>
      <c r="WA243" s="207"/>
      <c r="WB243" s="207"/>
      <c r="WC243" s="207"/>
      <c r="WD243" s="207"/>
      <c r="WE243" s="272"/>
      <c r="WF243" s="272"/>
      <c r="WG243" s="205">
        <f t="shared" si="2007"/>
        <v>0</v>
      </c>
      <c r="WH243" s="205">
        <f t="shared" si="2008"/>
        <v>0</v>
      </c>
      <c r="WI243" s="207"/>
      <c r="WJ243" s="207"/>
      <c r="WK243" s="207"/>
      <c r="WL243" s="207"/>
      <c r="WM243" s="207"/>
      <c r="WN243" s="272"/>
      <c r="WO243" s="272"/>
      <c r="WP243" s="205">
        <f t="shared" si="2016"/>
        <v>0</v>
      </c>
      <c r="WQ243" s="207"/>
      <c r="WR243" s="207"/>
      <c r="WS243" s="207"/>
      <c r="WT243" s="207"/>
      <c r="WU243" s="207"/>
      <c r="WV243" s="272"/>
      <c r="WW243" s="272"/>
      <c r="WX243" s="205">
        <f t="shared" si="2017"/>
        <v>0</v>
      </c>
      <c r="WY243" s="207"/>
      <c r="WZ243" s="207"/>
      <c r="XA243" s="207"/>
      <c r="XB243" s="207"/>
      <c r="XC243" s="272"/>
      <c r="XD243" s="272"/>
      <c r="XE243" s="272"/>
      <c r="XF243" s="205">
        <f t="shared" si="2009"/>
        <v>0</v>
      </c>
      <c r="XG243" s="207"/>
      <c r="XH243" s="207"/>
      <c r="XI243" s="207"/>
      <c r="XJ243" s="207"/>
      <c r="XK243" s="207"/>
      <c r="XL243" s="272"/>
      <c r="XM243" s="272"/>
      <c r="XN243" s="205">
        <f t="shared" si="2105"/>
        <v>0</v>
      </c>
      <c r="XO243" s="207"/>
      <c r="XP243" s="207"/>
      <c r="XQ243" s="207"/>
      <c r="XR243" s="207"/>
      <c r="XS243" s="207"/>
      <c r="XT243" s="272"/>
      <c r="XU243" s="272"/>
      <c r="XV243" s="205">
        <f t="shared" si="2106"/>
        <v>0</v>
      </c>
      <c r="XW243" s="205">
        <f t="shared" si="2107"/>
        <v>0</v>
      </c>
      <c r="XX243" s="207"/>
      <c r="XY243" s="207"/>
      <c r="XZ243" s="207"/>
      <c r="YA243" s="207"/>
      <c r="YB243" s="207"/>
      <c r="YC243" s="272"/>
      <c r="YD243" s="272"/>
      <c r="YE243" s="205">
        <f t="shared" si="2018"/>
        <v>0</v>
      </c>
      <c r="YF243" s="207"/>
      <c r="YG243" s="207"/>
      <c r="YH243" s="207"/>
      <c r="YI243" s="207"/>
      <c r="YJ243" s="207"/>
      <c r="YK243" s="272"/>
      <c r="YL243" s="272"/>
      <c r="YM243" s="205">
        <f t="shared" si="2019"/>
        <v>0</v>
      </c>
      <c r="YN243" s="207"/>
      <c r="YO243" s="207"/>
      <c r="YP243" s="207"/>
      <c r="YQ243" s="207"/>
      <c r="YR243" s="207"/>
      <c r="YS243" s="272"/>
      <c r="YT243" s="272"/>
      <c r="YU243" s="205">
        <f t="shared" si="2020"/>
        <v>0</v>
      </c>
      <c r="YV243" s="207"/>
      <c r="YW243" s="207"/>
      <c r="YX243" s="207"/>
      <c r="YY243" s="207"/>
      <c r="YZ243" s="207"/>
      <c r="ZA243" s="272"/>
      <c r="ZB243" s="272"/>
      <c r="ZC243" s="205">
        <f t="shared" si="2021"/>
        <v>0</v>
      </c>
      <c r="ZD243" s="205">
        <f t="shared" si="2022"/>
        <v>0</v>
      </c>
      <c r="ZE243" s="207"/>
      <c r="ZF243" s="207"/>
      <c r="ZG243" s="207"/>
      <c r="ZH243" s="207"/>
      <c r="ZI243" s="207"/>
      <c r="ZJ243" s="272"/>
      <c r="ZK243" s="272"/>
      <c r="ZL243" s="205">
        <f t="shared" si="2023"/>
        <v>0</v>
      </c>
      <c r="ZM243" s="207"/>
      <c r="ZN243" s="207"/>
      <c r="ZO243" s="207"/>
      <c r="ZP243" s="207"/>
      <c r="ZQ243" s="207"/>
      <c r="ZR243" s="272"/>
      <c r="ZS243" s="272"/>
      <c r="ZT243" s="205">
        <f t="shared" si="2010"/>
        <v>0</v>
      </c>
      <c r="ZU243" s="207"/>
      <c r="ZV243" s="207"/>
      <c r="ZW243" s="207"/>
      <c r="ZX243" s="207"/>
      <c r="ZY243" s="207"/>
      <c r="ZZ243" s="272"/>
      <c r="AAA243" s="272"/>
      <c r="AAB243" s="205">
        <f t="shared" si="2024"/>
        <v>0</v>
      </c>
      <c r="AAC243" s="207"/>
      <c r="AAD243" s="207"/>
      <c r="AAE243" s="207"/>
      <c r="AAF243" s="207"/>
      <c r="AAG243" s="207"/>
      <c r="AAH243" s="272"/>
      <c r="AAI243" s="272"/>
      <c r="AAJ243" s="205">
        <f t="shared" si="2011"/>
        <v>0</v>
      </c>
      <c r="AAK243" s="207"/>
      <c r="AAL243" s="207"/>
      <c r="AAM243" s="207"/>
      <c r="AAN243" s="207"/>
      <c r="AAO243" s="207"/>
      <c r="AAP243" s="272"/>
      <c r="AAQ243" s="272"/>
      <c r="AAR243" s="205">
        <f t="shared" si="2025"/>
        <v>0</v>
      </c>
      <c r="AAS243" s="205">
        <f t="shared" si="2026"/>
        <v>0</v>
      </c>
    </row>
    <row r="244" spans="2:721" ht="69.95" customHeight="1">
      <c r="E244" s="150" t="s">
        <v>5</v>
      </c>
      <c r="SV244" s="118">
        <f t="shared" ref="SV244:UA244" si="2230">SUM(SV194:SV243)</f>
        <v>0</v>
      </c>
      <c r="SW244" s="118">
        <f t="shared" si="2230"/>
        <v>0</v>
      </c>
      <c r="SX244" s="118">
        <f t="shared" si="2230"/>
        <v>0</v>
      </c>
      <c r="SY244" s="118">
        <f t="shared" si="2230"/>
        <v>1630</v>
      </c>
      <c r="SZ244" s="118">
        <f t="shared" si="2230"/>
        <v>1140</v>
      </c>
      <c r="TA244" s="118">
        <f t="shared" si="2230"/>
        <v>0</v>
      </c>
      <c r="TB244" s="118">
        <f t="shared" si="2230"/>
        <v>0</v>
      </c>
      <c r="TC244" s="118">
        <f t="shared" si="2230"/>
        <v>2770</v>
      </c>
      <c r="TD244" s="117">
        <f t="shared" si="2230"/>
        <v>803</v>
      </c>
      <c r="TE244" s="117">
        <f t="shared" si="2230"/>
        <v>1860</v>
      </c>
      <c r="TF244" s="117">
        <f t="shared" si="2230"/>
        <v>0</v>
      </c>
      <c r="TG244" s="117">
        <f t="shared" si="2230"/>
        <v>130</v>
      </c>
      <c r="TH244" s="117">
        <f t="shared" si="2230"/>
        <v>0</v>
      </c>
      <c r="TI244" s="117">
        <f t="shared" si="2230"/>
        <v>310</v>
      </c>
      <c r="TJ244" s="117">
        <f t="shared" si="2230"/>
        <v>0</v>
      </c>
      <c r="TK244" s="117">
        <f t="shared" si="2230"/>
        <v>3103</v>
      </c>
      <c r="TL244" s="117">
        <f t="shared" si="2230"/>
        <v>0</v>
      </c>
      <c r="TM244" s="117">
        <f t="shared" si="2230"/>
        <v>1575</v>
      </c>
      <c r="TN244" s="117">
        <f t="shared" si="2230"/>
        <v>0</v>
      </c>
      <c r="TO244" s="117">
        <f t="shared" si="2230"/>
        <v>0</v>
      </c>
      <c r="TP244" s="118">
        <f t="shared" si="2230"/>
        <v>0</v>
      </c>
      <c r="TQ244" s="118">
        <f t="shared" si="2230"/>
        <v>0</v>
      </c>
      <c r="TR244" s="118">
        <f t="shared" si="2230"/>
        <v>0</v>
      </c>
      <c r="TS244" s="118">
        <f t="shared" si="2230"/>
        <v>1575</v>
      </c>
      <c r="TT244" s="118">
        <f t="shared" si="2230"/>
        <v>11388</v>
      </c>
      <c r="TU244" s="118">
        <f t="shared" si="2230"/>
        <v>0</v>
      </c>
      <c r="TV244" s="118">
        <f t="shared" si="2230"/>
        <v>1550</v>
      </c>
      <c r="TW244" s="118">
        <f t="shared" si="2230"/>
        <v>956</v>
      </c>
      <c r="TX244" s="118">
        <f t="shared" si="2230"/>
        <v>0</v>
      </c>
      <c r="TY244" s="118">
        <f t="shared" si="2230"/>
        <v>0</v>
      </c>
      <c r="TZ244" s="118">
        <f t="shared" si="2230"/>
        <v>0</v>
      </c>
      <c r="UA244" s="118">
        <f t="shared" si="2230"/>
        <v>0</v>
      </c>
      <c r="UB244" s="118">
        <f t="shared" ref="UB244:WM244" si="2231">SUM(UB194:UB243)</f>
        <v>2506</v>
      </c>
      <c r="UC244" s="117">
        <f t="shared" si="2231"/>
        <v>975</v>
      </c>
      <c r="UD244" s="117">
        <f t="shared" si="2231"/>
        <v>810</v>
      </c>
      <c r="UE244" s="117">
        <f t="shared" si="2231"/>
        <v>1630</v>
      </c>
      <c r="UF244" s="117">
        <f t="shared" si="2231"/>
        <v>1440</v>
      </c>
      <c r="UG244" s="117">
        <f t="shared" si="2231"/>
        <v>500</v>
      </c>
      <c r="UH244" s="118">
        <f t="shared" si="2231"/>
        <v>0</v>
      </c>
      <c r="UI244" s="118">
        <f t="shared" si="2231"/>
        <v>0</v>
      </c>
      <c r="UJ244" s="118">
        <f t="shared" si="2231"/>
        <v>5355</v>
      </c>
      <c r="UK244" s="117">
        <f t="shared" si="2231"/>
        <v>270</v>
      </c>
      <c r="UL244" s="117">
        <f>SUM(UL194:UL243)</f>
        <v>705</v>
      </c>
      <c r="UM244" s="117">
        <f t="shared" si="2231"/>
        <v>1982</v>
      </c>
      <c r="UN244" s="117">
        <f>SUM(UN194:UN243)</f>
        <v>2650</v>
      </c>
      <c r="UO244" s="117">
        <f>SUM(UO194:UO243)</f>
        <v>1560</v>
      </c>
      <c r="UP244" s="118">
        <f t="shared" si="2231"/>
        <v>0</v>
      </c>
      <c r="UQ244" s="118">
        <f t="shared" si="2231"/>
        <v>0</v>
      </c>
      <c r="UR244" s="118">
        <f t="shared" si="2231"/>
        <v>7167</v>
      </c>
      <c r="US244" s="118">
        <f t="shared" si="2231"/>
        <v>1285</v>
      </c>
      <c r="UT244" s="118">
        <f t="shared" si="2231"/>
        <v>3000</v>
      </c>
      <c r="UU244" s="118">
        <f t="shared" si="2231"/>
        <v>1200</v>
      </c>
      <c r="UV244" s="118">
        <f t="shared" si="2231"/>
        <v>2850</v>
      </c>
      <c r="UW244" s="118">
        <f t="shared" si="2231"/>
        <v>0</v>
      </c>
      <c r="UX244" s="118">
        <f t="shared" si="2231"/>
        <v>0</v>
      </c>
      <c r="UY244" s="118">
        <f t="shared" si="2231"/>
        <v>0</v>
      </c>
      <c r="UZ244" s="118">
        <f t="shared" si="2231"/>
        <v>9025</v>
      </c>
      <c r="VA244" s="118">
        <f t="shared" ca="1" si="2231"/>
        <v>7302</v>
      </c>
      <c r="VB244" s="117">
        <f t="shared" si="2231"/>
        <v>1030</v>
      </c>
      <c r="VC244" s="117">
        <f t="shared" si="2231"/>
        <v>2450</v>
      </c>
      <c r="VD244" s="117">
        <f t="shared" si="2231"/>
        <v>2000</v>
      </c>
      <c r="VE244" s="117">
        <f t="shared" si="2231"/>
        <v>2000</v>
      </c>
      <c r="VF244" s="117">
        <f t="shared" si="2231"/>
        <v>1500</v>
      </c>
      <c r="VG244" s="117">
        <f t="shared" si="2231"/>
        <v>0</v>
      </c>
      <c r="VH244" s="118">
        <f t="shared" si="2231"/>
        <v>0</v>
      </c>
      <c r="VI244" s="118">
        <f t="shared" si="2231"/>
        <v>8980</v>
      </c>
      <c r="VJ244" s="118">
        <f t="shared" si="2231"/>
        <v>0</v>
      </c>
      <c r="VK244" s="118">
        <f t="shared" si="2231"/>
        <v>285</v>
      </c>
      <c r="VL244" s="118">
        <f t="shared" si="2231"/>
        <v>2000</v>
      </c>
      <c r="VM244" s="118">
        <f t="shared" si="2231"/>
        <v>1400</v>
      </c>
      <c r="VN244" s="118">
        <f t="shared" si="2231"/>
        <v>440</v>
      </c>
      <c r="VO244" s="118">
        <f t="shared" si="2231"/>
        <v>0</v>
      </c>
      <c r="VP244" s="118">
        <f t="shared" si="2231"/>
        <v>0</v>
      </c>
      <c r="VQ244" s="118">
        <f t="shared" si="2231"/>
        <v>4125</v>
      </c>
      <c r="VR244" s="118">
        <f t="shared" si="2231"/>
        <v>780</v>
      </c>
      <c r="VS244" s="118">
        <f t="shared" si="2231"/>
        <v>1000</v>
      </c>
      <c r="VT244" s="118">
        <f t="shared" si="2231"/>
        <v>1000</v>
      </c>
      <c r="VU244" s="118">
        <f t="shared" si="2231"/>
        <v>1000</v>
      </c>
      <c r="VV244" s="118">
        <f t="shared" si="2231"/>
        <v>960</v>
      </c>
      <c r="VW244" s="118">
        <f t="shared" si="2231"/>
        <v>0</v>
      </c>
      <c r="VX244" s="118">
        <f t="shared" si="2231"/>
        <v>0</v>
      </c>
      <c r="VY244" s="118">
        <f t="shared" si="2231"/>
        <v>4740</v>
      </c>
      <c r="VZ244" s="118">
        <f t="shared" si="2231"/>
        <v>570</v>
      </c>
      <c r="WA244" s="118">
        <f t="shared" si="2231"/>
        <v>2240</v>
      </c>
      <c r="WB244" s="118">
        <f t="shared" si="2231"/>
        <v>1000</v>
      </c>
      <c r="WC244" s="118">
        <f t="shared" si="2231"/>
        <v>1820</v>
      </c>
      <c r="WD244" s="118">
        <f t="shared" si="2231"/>
        <v>1820</v>
      </c>
      <c r="WE244" s="118">
        <f t="shared" si="2231"/>
        <v>0</v>
      </c>
      <c r="WF244" s="118">
        <f t="shared" si="2231"/>
        <v>0</v>
      </c>
      <c r="WG244" s="118">
        <f t="shared" si="2231"/>
        <v>7450</v>
      </c>
      <c r="WH244" s="118">
        <f t="shared" si="2231"/>
        <v>25295</v>
      </c>
      <c r="WI244" s="118">
        <f t="shared" si="2231"/>
        <v>2000</v>
      </c>
      <c r="WJ244" s="118">
        <f>SUM(WJ194:WJ243)</f>
        <v>2000</v>
      </c>
      <c r="WK244" s="118">
        <f t="shared" si="2231"/>
        <v>2000</v>
      </c>
      <c r="WL244" s="118">
        <f t="shared" si="2231"/>
        <v>2000</v>
      </c>
      <c r="WM244" s="118">
        <f t="shared" si="2231"/>
        <v>430</v>
      </c>
      <c r="WN244" s="118">
        <f t="shared" ref="WN244:YY244" si="2232">SUM(WN194:WN243)</f>
        <v>0</v>
      </c>
      <c r="WO244" s="118">
        <f t="shared" si="2232"/>
        <v>0</v>
      </c>
      <c r="WP244" s="118">
        <f t="shared" si="2232"/>
        <v>9550</v>
      </c>
      <c r="WQ244" s="118">
        <f t="shared" si="2232"/>
        <v>5000</v>
      </c>
      <c r="WR244" s="118">
        <f t="shared" si="2232"/>
        <v>0</v>
      </c>
      <c r="WS244" s="118">
        <f t="shared" si="2232"/>
        <v>1760</v>
      </c>
      <c r="WT244" s="118">
        <f t="shared" si="2232"/>
        <v>1500</v>
      </c>
      <c r="WU244" s="118">
        <f t="shared" si="2232"/>
        <v>590</v>
      </c>
      <c r="WV244" s="118">
        <f t="shared" si="2232"/>
        <v>0</v>
      </c>
      <c r="WW244" s="118">
        <f t="shared" si="2232"/>
        <v>0</v>
      </c>
      <c r="WX244" s="118">
        <f t="shared" si="2232"/>
        <v>8850</v>
      </c>
      <c r="WY244" s="118">
        <f t="shared" si="2232"/>
        <v>270</v>
      </c>
      <c r="WZ244" s="118">
        <f t="shared" si="2232"/>
        <v>1000</v>
      </c>
      <c r="XA244" s="118">
        <f t="shared" si="2232"/>
        <v>1000</v>
      </c>
      <c r="XB244" s="118">
        <f t="shared" si="2232"/>
        <v>1130</v>
      </c>
      <c r="XC244" s="118">
        <f t="shared" si="2232"/>
        <v>0</v>
      </c>
      <c r="XD244" s="118">
        <f t="shared" si="2232"/>
        <v>0</v>
      </c>
      <c r="XE244" s="118">
        <f t="shared" si="2232"/>
        <v>0</v>
      </c>
      <c r="XF244" s="118">
        <f t="shared" si="2232"/>
        <v>3400</v>
      </c>
      <c r="XG244" s="118">
        <f t="shared" si="2232"/>
        <v>280</v>
      </c>
      <c r="XH244" s="118">
        <f t="shared" si="2232"/>
        <v>1866</v>
      </c>
      <c r="XI244" s="118">
        <f t="shared" si="2232"/>
        <v>564</v>
      </c>
      <c r="XJ244" s="118">
        <f t="shared" si="2232"/>
        <v>1642</v>
      </c>
      <c r="XK244" s="118">
        <f t="shared" si="2232"/>
        <v>790</v>
      </c>
      <c r="XL244" s="118">
        <f t="shared" si="2232"/>
        <v>0</v>
      </c>
      <c r="XM244" s="118">
        <f t="shared" si="2232"/>
        <v>0</v>
      </c>
      <c r="XN244" s="118">
        <f t="shared" si="2232"/>
        <v>5142</v>
      </c>
      <c r="XO244" s="118">
        <f t="shared" si="2232"/>
        <v>924</v>
      </c>
      <c r="XP244" s="118">
        <f t="shared" si="2232"/>
        <v>2000</v>
      </c>
      <c r="XQ244" s="118">
        <f t="shared" si="2232"/>
        <v>0</v>
      </c>
      <c r="XR244" s="118">
        <f t="shared" si="2232"/>
        <v>0</v>
      </c>
      <c r="XS244" s="118">
        <f t="shared" si="2232"/>
        <v>0</v>
      </c>
      <c r="XT244" s="118">
        <f t="shared" si="2232"/>
        <v>0</v>
      </c>
      <c r="XU244" s="118">
        <f t="shared" si="2232"/>
        <v>0</v>
      </c>
      <c r="XV244" s="118">
        <f t="shared" si="2232"/>
        <v>2924</v>
      </c>
      <c r="XW244" s="118">
        <f t="shared" si="2232"/>
        <v>28686</v>
      </c>
      <c r="XX244" s="118">
        <f t="shared" si="2232"/>
        <v>0</v>
      </c>
      <c r="XY244" s="118">
        <f t="shared" si="2232"/>
        <v>0</v>
      </c>
      <c r="XZ244" s="118">
        <f t="shared" si="2232"/>
        <v>0</v>
      </c>
      <c r="YA244" s="118">
        <f t="shared" si="2232"/>
        <v>0</v>
      </c>
      <c r="YB244" s="118">
        <f t="shared" si="2232"/>
        <v>0</v>
      </c>
      <c r="YC244" s="118">
        <f t="shared" si="2232"/>
        <v>0</v>
      </c>
      <c r="YD244" s="118">
        <f t="shared" si="2232"/>
        <v>0</v>
      </c>
      <c r="YE244" s="118">
        <f t="shared" si="2232"/>
        <v>0</v>
      </c>
      <c r="YF244" s="118">
        <f t="shared" si="2232"/>
        <v>130</v>
      </c>
      <c r="YG244" s="118">
        <f t="shared" si="2232"/>
        <v>0</v>
      </c>
      <c r="YH244" s="118">
        <f t="shared" si="2232"/>
        <v>1538</v>
      </c>
      <c r="YI244" s="118">
        <f t="shared" si="2232"/>
        <v>0</v>
      </c>
      <c r="YJ244" s="118">
        <f t="shared" si="2232"/>
        <v>0</v>
      </c>
      <c r="YK244" s="118">
        <f t="shared" si="2232"/>
        <v>0</v>
      </c>
      <c r="YL244" s="118">
        <f t="shared" si="2232"/>
        <v>0</v>
      </c>
      <c r="YM244" s="118">
        <f t="shared" si="2232"/>
        <v>1668</v>
      </c>
      <c r="YN244" s="118">
        <f t="shared" si="2232"/>
        <v>0</v>
      </c>
      <c r="YO244" s="118">
        <f t="shared" si="2232"/>
        <v>0</v>
      </c>
      <c r="YP244" s="118">
        <f t="shared" si="2232"/>
        <v>0</v>
      </c>
      <c r="YQ244" s="118">
        <f t="shared" si="2232"/>
        <v>0</v>
      </c>
      <c r="YR244" s="118">
        <f t="shared" si="2232"/>
        <v>0</v>
      </c>
      <c r="YS244" s="118">
        <f t="shared" si="2232"/>
        <v>0</v>
      </c>
      <c r="YT244" s="118">
        <f t="shared" si="2232"/>
        <v>0</v>
      </c>
      <c r="YU244" s="118">
        <f t="shared" si="2232"/>
        <v>0</v>
      </c>
      <c r="YV244" s="118">
        <f t="shared" si="2232"/>
        <v>0</v>
      </c>
      <c r="YW244" s="118">
        <f t="shared" si="2232"/>
        <v>0</v>
      </c>
      <c r="YX244" s="118">
        <f t="shared" si="2232"/>
        <v>0</v>
      </c>
      <c r="YY244" s="118">
        <f t="shared" si="2232"/>
        <v>0</v>
      </c>
      <c r="YZ244" s="118">
        <f t="shared" ref="YZ244:AAS244" si="2233">SUM(YZ194:YZ243)</f>
        <v>0</v>
      </c>
      <c r="ZA244" s="118">
        <f t="shared" si="2233"/>
        <v>0</v>
      </c>
      <c r="ZB244" s="118">
        <f t="shared" si="2233"/>
        <v>0</v>
      </c>
      <c r="ZC244" s="118">
        <f t="shared" si="2233"/>
        <v>0</v>
      </c>
      <c r="ZD244" s="118">
        <f t="shared" si="2233"/>
        <v>30354</v>
      </c>
      <c r="ZE244" s="118">
        <f t="shared" si="2233"/>
        <v>0</v>
      </c>
      <c r="ZF244" s="118">
        <f t="shared" si="2233"/>
        <v>0</v>
      </c>
      <c r="ZG244" s="118">
        <f t="shared" si="2233"/>
        <v>0</v>
      </c>
      <c r="ZH244" s="118">
        <f t="shared" si="2233"/>
        <v>0</v>
      </c>
      <c r="ZI244" s="118">
        <f t="shared" si="2233"/>
        <v>0</v>
      </c>
      <c r="ZJ244" s="118">
        <f t="shared" si="2233"/>
        <v>0</v>
      </c>
      <c r="ZK244" s="118">
        <f t="shared" si="2233"/>
        <v>0</v>
      </c>
      <c r="ZL244" s="118">
        <f t="shared" si="2233"/>
        <v>0</v>
      </c>
      <c r="ZM244" s="118">
        <f t="shared" si="2233"/>
        <v>0</v>
      </c>
      <c r="ZN244" s="118">
        <f t="shared" si="2233"/>
        <v>0</v>
      </c>
      <c r="ZO244" s="118">
        <f t="shared" si="2233"/>
        <v>0</v>
      </c>
      <c r="ZP244" s="118">
        <f t="shared" si="2233"/>
        <v>0</v>
      </c>
      <c r="ZQ244" s="118">
        <f t="shared" si="2233"/>
        <v>0</v>
      </c>
      <c r="ZR244" s="118">
        <f t="shared" si="2233"/>
        <v>0</v>
      </c>
      <c r="ZS244" s="118">
        <f t="shared" si="2233"/>
        <v>0</v>
      </c>
      <c r="ZT244" s="118">
        <f t="shared" si="2233"/>
        <v>0</v>
      </c>
      <c r="ZU244" s="118">
        <f t="shared" si="2233"/>
        <v>0</v>
      </c>
      <c r="ZV244" s="118">
        <f t="shared" si="2233"/>
        <v>0</v>
      </c>
      <c r="ZW244" s="118">
        <f t="shared" si="2233"/>
        <v>0</v>
      </c>
      <c r="ZX244" s="118">
        <f t="shared" si="2233"/>
        <v>0</v>
      </c>
      <c r="ZY244" s="118">
        <f t="shared" si="2233"/>
        <v>0</v>
      </c>
      <c r="ZZ244" s="118">
        <f t="shared" si="2233"/>
        <v>0</v>
      </c>
      <c r="AAA244" s="118">
        <f t="shared" si="2233"/>
        <v>0</v>
      </c>
      <c r="AAB244" s="118">
        <f t="shared" si="2233"/>
        <v>0</v>
      </c>
      <c r="AAC244" s="118">
        <f t="shared" si="2233"/>
        <v>0</v>
      </c>
      <c r="AAD244" s="118">
        <f t="shared" si="2233"/>
        <v>0</v>
      </c>
      <c r="AAE244" s="118">
        <f t="shared" si="2233"/>
        <v>0</v>
      </c>
      <c r="AAF244" s="118">
        <f t="shared" si="2233"/>
        <v>0</v>
      </c>
      <c r="AAG244" s="118">
        <f t="shared" si="2233"/>
        <v>0</v>
      </c>
      <c r="AAH244" s="118">
        <f t="shared" si="2233"/>
        <v>0</v>
      </c>
      <c r="AAI244" s="118">
        <f t="shared" si="2233"/>
        <v>0</v>
      </c>
      <c r="AAJ244" s="118">
        <f t="shared" si="2233"/>
        <v>0</v>
      </c>
      <c r="AAK244" s="118">
        <f t="shared" si="2233"/>
        <v>0</v>
      </c>
      <c r="AAL244" s="118">
        <f t="shared" si="2233"/>
        <v>0</v>
      </c>
      <c r="AAM244" s="118">
        <f t="shared" si="2233"/>
        <v>0</v>
      </c>
      <c r="AAN244" s="118">
        <f t="shared" si="2233"/>
        <v>0</v>
      </c>
      <c r="AAO244" s="118">
        <f t="shared" si="2233"/>
        <v>0</v>
      </c>
      <c r="AAP244" s="118">
        <f t="shared" si="2233"/>
        <v>0</v>
      </c>
      <c r="AAQ244" s="118">
        <f t="shared" si="2233"/>
        <v>0</v>
      </c>
      <c r="AAR244" s="118">
        <f t="shared" si="2233"/>
        <v>0</v>
      </c>
      <c r="AAS244" s="118">
        <f t="shared" si="2233"/>
        <v>0</v>
      </c>
    </row>
  </sheetData>
  <mergeCells count="28">
    <mergeCell ref="CB1:CF1"/>
    <mergeCell ref="AM1:AQ1"/>
    <mergeCell ref="AU1:AY1"/>
    <mergeCell ref="BC1:BG1"/>
    <mergeCell ref="BK1:BN1"/>
    <mergeCell ref="BT1:BX1"/>
    <mergeCell ref="FN1:FR1"/>
    <mergeCell ref="CJ1:CN1"/>
    <mergeCell ref="CR1:CV1"/>
    <mergeCell ref="CZ1:DD1"/>
    <mergeCell ref="DQ1:DU1"/>
    <mergeCell ref="EH1:EI1"/>
    <mergeCell ref="VU1:WA1"/>
    <mergeCell ref="SV192:SZ192"/>
    <mergeCell ref="FW1:FZ1"/>
    <mergeCell ref="DQ122:DU122"/>
    <mergeCell ref="DY122:EC122"/>
    <mergeCell ref="FF1:FJ1"/>
    <mergeCell ref="EX1:FB1"/>
    <mergeCell ref="SN192:SR192"/>
    <mergeCell ref="GE1:GI1"/>
    <mergeCell ref="GM1:GQ1"/>
    <mergeCell ref="GU1:GY1"/>
    <mergeCell ref="RW192:RZ192"/>
    <mergeCell ref="RL1:RU1"/>
    <mergeCell ref="NT1:NX1"/>
    <mergeCell ref="OK1:OO1"/>
    <mergeCell ref="OC1:OG1"/>
  </mergeCells>
  <phoneticPr fontId="2" type="noConversion"/>
  <conditionalFormatting sqref="B3:B81">
    <cfRule type="duplicateValues" dxfId="32" priority="2"/>
    <cfRule type="duplicateValues" dxfId="31" priority="6"/>
  </conditionalFormatting>
  <conditionalFormatting sqref="B85:B120">
    <cfRule type="duplicateValues" dxfId="30" priority="5"/>
  </conditionalFormatting>
  <conditionalFormatting sqref="B124:B190">
    <cfRule type="duplicateValues" dxfId="29" priority="4"/>
  </conditionalFormatting>
  <conditionalFormatting sqref="B194:B243">
    <cfRule type="duplicateValues" dxfId="28" priority="3"/>
  </conditionalFormatting>
  <conditionalFormatting sqref="B2:B238">
    <cfRule type="duplicateValues" dxfId="27" priority="7"/>
  </conditionalFormatting>
  <printOptions horizontalCentered="1" verticalCentered="1"/>
  <pageMargins left="0.19685039370078741" right="0.19685039370078741" top="0.19685039370078741" bottom="0.19685039370078741" header="0.31496062992125984" footer="0.31496062992125984"/>
  <pageSetup paperSize="9" scale="18" orientation="landscape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8E2BE-630C-4294-9EBE-85FC5733FD07}">
  <sheetPr codeName="工作表12">
    <tabColor rgb="FF00B0F0"/>
    <pageSetUpPr fitToPage="1"/>
  </sheetPr>
  <dimension ref="A1:AE93"/>
  <sheetViews>
    <sheetView showGridLines="0" zoomScale="40" zoomScaleNormal="40" workbookViewId="0">
      <pane xSplit="3" ySplit="2" topLeftCell="D66" activePane="bottomRight" state="frozen"/>
      <selection pane="topRight" activeCell="D1" sqref="D1"/>
      <selection pane="bottomLeft" activeCell="A3" sqref="A3"/>
      <selection pane="bottomRight" activeCell="AD74" sqref="AD74"/>
    </sheetView>
  </sheetViews>
  <sheetFormatPr defaultColWidth="8.75" defaultRowHeight="50.1" customHeight="1" outlineLevelCol="1"/>
  <cols>
    <col min="1" max="1" width="27.125" style="145" customWidth="1"/>
    <col min="2" max="2" width="43.75" style="131" bestFit="1" customWidth="1"/>
    <col min="3" max="3" width="68.5" style="248" customWidth="1"/>
    <col min="4" max="4" width="15.25" style="132" customWidth="1"/>
    <col min="5" max="19" width="12.625" style="249" hidden="1" customWidth="1" outlineLevel="1"/>
    <col min="20" max="20" width="12.625" style="249" customWidth="1" collapsed="1"/>
    <col min="21" max="31" width="12.625" style="249" customWidth="1"/>
    <col min="32" max="449" width="12.625" style="232" customWidth="1"/>
    <col min="450" max="16384" width="8.75" style="232"/>
  </cols>
  <sheetData>
    <row r="1" spans="1:31" s="133" customFormat="1" ht="49.5" customHeight="1">
      <c r="A1" s="145"/>
      <c r="B1" s="150" t="s">
        <v>543</v>
      </c>
      <c r="C1" s="149"/>
      <c r="D1" s="132"/>
      <c r="E1" s="132">
        <v>2023</v>
      </c>
      <c r="F1" s="132"/>
      <c r="G1" s="132"/>
      <c r="H1" s="132">
        <v>2024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>
        <v>2025</v>
      </c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</row>
    <row r="2" spans="1:31" s="133" customFormat="1" ht="50.1" customHeight="1">
      <c r="A2" s="231"/>
      <c r="B2" s="130" t="s">
        <v>2</v>
      </c>
      <c r="C2" s="136" t="s">
        <v>0</v>
      </c>
      <c r="D2" s="146"/>
      <c r="E2" s="134" t="s">
        <v>512</v>
      </c>
      <c r="F2" s="135" t="s">
        <v>514</v>
      </c>
      <c r="G2" s="135" t="s">
        <v>551</v>
      </c>
      <c r="H2" s="135" t="s">
        <v>552</v>
      </c>
      <c r="I2" s="135" t="s">
        <v>553</v>
      </c>
      <c r="J2" s="135" t="s">
        <v>554</v>
      </c>
      <c r="K2" s="135" t="s">
        <v>555</v>
      </c>
      <c r="L2" s="135" t="s">
        <v>556</v>
      </c>
      <c r="M2" s="135" t="s">
        <v>557</v>
      </c>
      <c r="N2" s="135" t="s">
        <v>600</v>
      </c>
      <c r="O2" s="135" t="s">
        <v>601</v>
      </c>
      <c r="P2" s="135" t="s">
        <v>602</v>
      </c>
      <c r="Q2" s="135" t="s">
        <v>603</v>
      </c>
      <c r="R2" s="135" t="s">
        <v>604</v>
      </c>
      <c r="S2" s="135" t="s">
        <v>551</v>
      </c>
      <c r="T2" s="135" t="s">
        <v>552</v>
      </c>
      <c r="U2" s="135" t="s">
        <v>553</v>
      </c>
      <c r="V2" s="135" t="s">
        <v>554</v>
      </c>
      <c r="W2" s="135" t="s">
        <v>555</v>
      </c>
      <c r="X2" s="135" t="s">
        <v>556</v>
      </c>
      <c r="Y2" s="135" t="s">
        <v>557</v>
      </c>
      <c r="Z2" s="135" t="s">
        <v>600</v>
      </c>
      <c r="AA2" s="135" t="s">
        <v>601</v>
      </c>
      <c r="AB2" s="135" t="s">
        <v>602</v>
      </c>
      <c r="AC2" s="135" t="s">
        <v>603</v>
      </c>
      <c r="AD2" s="135" t="s">
        <v>604</v>
      </c>
      <c r="AE2" s="135" t="s">
        <v>551</v>
      </c>
    </row>
    <row r="3" spans="1:31" ht="50.1" customHeight="1">
      <c r="A3" s="413" t="s">
        <v>155</v>
      </c>
      <c r="B3" s="136">
        <v>5712300161</v>
      </c>
      <c r="C3" s="137" t="s">
        <v>620</v>
      </c>
      <c r="D3" s="146" t="s">
        <v>4</v>
      </c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>
        <v>100</v>
      </c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</row>
    <row r="4" spans="1:31" ht="50.1" customHeight="1">
      <c r="A4" s="413"/>
      <c r="B4" s="138">
        <v>5713300131</v>
      </c>
      <c r="C4" s="139" t="s">
        <v>621</v>
      </c>
      <c r="D4" s="146" t="s">
        <v>4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>
        <v>100</v>
      </c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</row>
    <row r="5" spans="1:31" ht="50.1" customHeight="1">
      <c r="A5" s="413"/>
      <c r="B5" s="130">
        <v>5713900161</v>
      </c>
      <c r="C5" s="137" t="s">
        <v>622</v>
      </c>
      <c r="D5" s="146" t="s">
        <v>4</v>
      </c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>
        <v>66</v>
      </c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</row>
    <row r="6" spans="1:31" ht="50.1" customHeight="1">
      <c r="A6" s="413"/>
      <c r="B6" s="130">
        <v>5713600101</v>
      </c>
      <c r="C6" s="137" t="s">
        <v>623</v>
      </c>
      <c r="D6" s="146" t="s">
        <v>4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>
        <v>50</v>
      </c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</row>
    <row r="7" spans="1:31" ht="50.1" customHeight="1">
      <c r="A7" s="410" t="s">
        <v>624</v>
      </c>
      <c r="B7" s="130">
        <v>5713300151</v>
      </c>
      <c r="C7" s="143" t="s">
        <v>625</v>
      </c>
      <c r="D7" s="146" t="s">
        <v>4</v>
      </c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>
        <v>50</v>
      </c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</row>
    <row r="8" spans="1:31" ht="50.1" customHeight="1">
      <c r="A8" s="411"/>
      <c r="B8" s="130">
        <v>5712300221</v>
      </c>
      <c r="C8" s="143" t="s">
        <v>626</v>
      </c>
      <c r="D8" s="146" t="s">
        <v>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>
        <v>50</v>
      </c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</row>
    <row r="9" spans="1:31" ht="50.1" customHeight="1">
      <c r="A9" s="411"/>
      <c r="B9" s="130">
        <v>5713900191</v>
      </c>
      <c r="C9" s="143" t="s">
        <v>627</v>
      </c>
      <c r="D9" s="146" t="s">
        <v>4</v>
      </c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>
        <v>50</v>
      </c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</row>
    <row r="10" spans="1:31" ht="50.1" customHeight="1">
      <c r="A10" s="411"/>
      <c r="B10" s="130">
        <v>5713600121</v>
      </c>
      <c r="C10" s="143" t="s">
        <v>628</v>
      </c>
      <c r="D10" s="146" t="s">
        <v>4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>
        <v>50</v>
      </c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</row>
    <row r="11" spans="1:31" ht="50.1" customHeight="1">
      <c r="A11" s="412"/>
      <c r="B11" s="130">
        <v>5714100181</v>
      </c>
      <c r="C11" s="143" t="s">
        <v>629</v>
      </c>
      <c r="D11" s="146" t="s">
        <v>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>
        <v>50</v>
      </c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</row>
    <row r="12" spans="1:31" ht="50.1" customHeight="1">
      <c r="A12" s="413" t="s">
        <v>156</v>
      </c>
      <c r="B12" s="136">
        <v>5712200102</v>
      </c>
      <c r="C12" s="137" t="s">
        <v>564</v>
      </c>
      <c r="D12" s="146" t="s">
        <v>4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</row>
    <row r="13" spans="1:31" ht="50.1" customHeight="1">
      <c r="A13" s="413"/>
      <c r="B13" s="136">
        <v>5712200141</v>
      </c>
      <c r="C13" s="137" t="s">
        <v>630</v>
      </c>
      <c r="D13" s="146" t="s">
        <v>4</v>
      </c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>
        <v>30</v>
      </c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</row>
    <row r="14" spans="1:31" ht="50.1" customHeight="1">
      <c r="A14" s="413"/>
      <c r="B14" s="130">
        <v>5712600221</v>
      </c>
      <c r="C14" s="137" t="s">
        <v>631</v>
      </c>
      <c r="D14" s="146" t="s">
        <v>4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>
        <v>3</v>
      </c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</row>
    <row r="15" spans="1:31" ht="50.1" customHeight="1">
      <c r="A15" s="413"/>
      <c r="B15" s="130">
        <v>5712600241</v>
      </c>
      <c r="C15" s="137" t="s">
        <v>166</v>
      </c>
      <c r="D15" s="146" t="s">
        <v>4</v>
      </c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</row>
    <row r="16" spans="1:31" ht="50.1" customHeight="1">
      <c r="A16" s="413"/>
      <c r="B16" s="130">
        <v>5712600242</v>
      </c>
      <c r="C16" s="137" t="s">
        <v>632</v>
      </c>
      <c r="D16" s="146" t="s">
        <v>4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</row>
    <row r="17" spans="1:31" ht="50.1" customHeight="1">
      <c r="A17" s="410" t="s">
        <v>565</v>
      </c>
      <c r="B17" s="130">
        <v>5712600271</v>
      </c>
      <c r="C17" s="143" t="s">
        <v>633</v>
      </c>
      <c r="D17" s="146" t="s">
        <v>4</v>
      </c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>
        <v>50</v>
      </c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</row>
    <row r="18" spans="1:31" ht="50.1" customHeight="1">
      <c r="A18" s="411"/>
      <c r="B18" s="130">
        <v>5712200221</v>
      </c>
      <c r="C18" s="137" t="s">
        <v>566</v>
      </c>
      <c r="D18" s="146" t="s">
        <v>4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>
        <v>50</v>
      </c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</row>
    <row r="19" spans="1:31" ht="50.1" customHeight="1">
      <c r="A19" s="411"/>
      <c r="B19" s="130">
        <v>5713700151</v>
      </c>
      <c r="C19" s="143" t="s">
        <v>634</v>
      </c>
      <c r="D19" s="146" t="s">
        <v>4</v>
      </c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>
        <v>63</v>
      </c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</row>
    <row r="20" spans="1:31" ht="50.1" customHeight="1">
      <c r="A20" s="411"/>
      <c r="B20" s="130">
        <v>5713700181</v>
      </c>
      <c r="C20" s="143" t="s">
        <v>635</v>
      </c>
      <c r="D20" s="146" t="s">
        <v>4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>
        <v>50</v>
      </c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</row>
    <row r="21" spans="1:31" ht="50.1" customHeight="1">
      <c r="A21" s="412"/>
      <c r="B21" s="130">
        <v>5713700121</v>
      </c>
      <c r="C21" s="143" t="s">
        <v>636</v>
      </c>
      <c r="D21" s="146" t="s">
        <v>4</v>
      </c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>
        <v>27</v>
      </c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</row>
    <row r="22" spans="1:31" ht="50.1" customHeight="1">
      <c r="A22" s="410" t="s">
        <v>157</v>
      </c>
      <c r="B22" s="130">
        <v>5713800031</v>
      </c>
      <c r="C22" s="137" t="s">
        <v>114</v>
      </c>
      <c r="D22" s="146" t="s">
        <v>4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</row>
    <row r="23" spans="1:31" ht="50.1" customHeight="1">
      <c r="A23" s="411"/>
      <c r="B23" s="130">
        <v>5714100131</v>
      </c>
      <c r="C23" s="137" t="s">
        <v>567</v>
      </c>
      <c r="D23" s="146" t="s">
        <v>4</v>
      </c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</row>
    <row r="24" spans="1:31" ht="50.1" customHeight="1">
      <c r="A24" s="412"/>
      <c r="B24" s="130">
        <v>5712300131</v>
      </c>
      <c r="C24" s="137" t="s">
        <v>89</v>
      </c>
      <c r="D24" s="146" t="s">
        <v>4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</row>
    <row r="25" spans="1:31" ht="50.1" customHeight="1">
      <c r="A25" s="410" t="s">
        <v>158</v>
      </c>
      <c r="B25" s="130">
        <v>5712600191</v>
      </c>
      <c r="C25" s="137" t="s">
        <v>544</v>
      </c>
      <c r="D25" s="146" t="s">
        <v>4</v>
      </c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</row>
    <row r="26" spans="1:31" ht="50.1" customHeight="1">
      <c r="A26" s="411"/>
      <c r="B26" s="130">
        <v>5712600192</v>
      </c>
      <c r="C26" s="137" t="s">
        <v>637</v>
      </c>
      <c r="D26" s="146" t="s">
        <v>4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</row>
    <row r="27" spans="1:31" ht="50.1" customHeight="1">
      <c r="A27" s="411"/>
      <c r="B27" s="130">
        <v>5712600231</v>
      </c>
      <c r="C27" s="137" t="s">
        <v>113</v>
      </c>
      <c r="D27" s="146" t="s">
        <v>4</v>
      </c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</row>
    <row r="28" spans="1:31" ht="50.1" customHeight="1">
      <c r="A28" s="412"/>
      <c r="B28" s="130">
        <v>3641101001</v>
      </c>
      <c r="C28" s="137" t="s">
        <v>115</v>
      </c>
      <c r="D28" s="146" t="s">
        <v>4</v>
      </c>
      <c r="E28" s="146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</row>
    <row r="29" spans="1:31" ht="50.1" customHeight="1">
      <c r="A29" s="410" t="s">
        <v>165</v>
      </c>
      <c r="B29" s="233">
        <v>5711100221</v>
      </c>
      <c r="C29" s="234" t="s">
        <v>148</v>
      </c>
      <c r="D29" s="146" t="s">
        <v>4</v>
      </c>
      <c r="E29" s="147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>
        <v>30</v>
      </c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</row>
    <row r="30" spans="1:31" ht="50.1" customHeight="1">
      <c r="A30" s="411"/>
      <c r="B30" s="233">
        <v>5711100301</v>
      </c>
      <c r="C30" s="234" t="s">
        <v>560</v>
      </c>
      <c r="D30" s="146" t="s">
        <v>4</v>
      </c>
      <c r="E30" s="147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>
        <v>50</v>
      </c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</row>
    <row r="31" spans="1:31" ht="50.1" customHeight="1">
      <c r="A31" s="411"/>
      <c r="B31" s="233">
        <v>5711100302</v>
      </c>
      <c r="C31" s="234" t="s">
        <v>561</v>
      </c>
      <c r="D31" s="146" t="s">
        <v>4</v>
      </c>
      <c r="E31" s="147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</row>
    <row r="32" spans="1:31" ht="50.1" customHeight="1">
      <c r="A32" s="411"/>
      <c r="B32" s="233">
        <v>5711100303</v>
      </c>
      <c r="C32" s="234" t="s">
        <v>638</v>
      </c>
      <c r="D32" s="146" t="s">
        <v>4</v>
      </c>
      <c r="E32" s="147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>
        <v>5</v>
      </c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</row>
    <row r="33" spans="1:31" ht="50.1" customHeight="1">
      <c r="A33" s="411"/>
      <c r="B33" s="138">
        <v>5711100305</v>
      </c>
      <c r="C33" s="139" t="s">
        <v>563</v>
      </c>
      <c r="D33" s="146" t="s">
        <v>4</v>
      </c>
      <c r="E33" s="147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</row>
    <row r="34" spans="1:31" ht="50.1" customHeight="1">
      <c r="A34" s="411"/>
      <c r="B34" s="138">
        <v>5711100306</v>
      </c>
      <c r="C34" s="139" t="s">
        <v>562</v>
      </c>
      <c r="D34" s="146" t="s">
        <v>4</v>
      </c>
      <c r="E34" s="147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 t="s">
        <v>216</v>
      </c>
      <c r="X34" s="148"/>
      <c r="Y34" s="148"/>
      <c r="Z34" s="148"/>
      <c r="AA34" s="148"/>
      <c r="AB34" s="148"/>
      <c r="AC34" s="148"/>
      <c r="AD34" s="148"/>
      <c r="AE34" s="148"/>
    </row>
    <row r="35" spans="1:31" ht="50.1" customHeight="1">
      <c r="A35" s="411"/>
      <c r="B35" s="130">
        <v>5711100271</v>
      </c>
      <c r="C35" s="140" t="s">
        <v>164</v>
      </c>
      <c r="D35" s="146" t="s">
        <v>4</v>
      </c>
      <c r="E35" s="147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</row>
    <row r="36" spans="1:31" ht="50.1" customHeight="1">
      <c r="A36" s="411"/>
      <c r="B36" s="130">
        <v>5711100272</v>
      </c>
      <c r="C36" s="140" t="s">
        <v>559</v>
      </c>
      <c r="D36" s="146" t="s">
        <v>4</v>
      </c>
      <c r="E36" s="147">
        <v>5</v>
      </c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</row>
    <row r="37" spans="1:31" ht="50.1" customHeight="1">
      <c r="A37" s="411"/>
      <c r="B37" s="138">
        <v>5711100101</v>
      </c>
      <c r="C37" s="139" t="s">
        <v>149</v>
      </c>
      <c r="D37" s="146" t="s">
        <v>4</v>
      </c>
      <c r="E37" s="147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</row>
    <row r="38" spans="1:31" ht="50.1" customHeight="1">
      <c r="A38" s="411"/>
      <c r="B38" s="235">
        <v>5711100192</v>
      </c>
      <c r="C38" s="236" t="s">
        <v>153</v>
      </c>
      <c r="D38" s="146" t="s">
        <v>4</v>
      </c>
      <c r="E38" s="147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</row>
    <row r="39" spans="1:31" ht="50.1" customHeight="1">
      <c r="A39" s="411"/>
      <c r="B39" s="235">
        <v>5711100194</v>
      </c>
      <c r="C39" s="236" t="s">
        <v>558</v>
      </c>
      <c r="D39" s="146" t="s">
        <v>4</v>
      </c>
      <c r="E39" s="147">
        <v>5</v>
      </c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</row>
    <row r="40" spans="1:31" s="142" customFormat="1" ht="50.1" customHeight="1">
      <c r="A40" s="413" t="s">
        <v>639</v>
      </c>
      <c r="B40" s="235">
        <v>5713700011</v>
      </c>
      <c r="C40" s="237" t="s">
        <v>154</v>
      </c>
      <c r="D40" s="146" t="s">
        <v>4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>
        <v>118</v>
      </c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</row>
    <row r="41" spans="1:31" s="142" customFormat="1" ht="50.1" customHeight="1">
      <c r="A41" s="413"/>
      <c r="B41" s="130">
        <v>5715700011</v>
      </c>
      <c r="C41" s="143" t="s">
        <v>640</v>
      </c>
      <c r="D41" s="146" t="s">
        <v>4</v>
      </c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>
        <v>399</v>
      </c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</row>
    <row r="42" spans="1:31" s="142" customFormat="1" ht="49.5" customHeight="1">
      <c r="A42" s="413"/>
      <c r="B42" s="130">
        <v>5713700051</v>
      </c>
      <c r="C42" s="143" t="s">
        <v>641</v>
      </c>
      <c r="D42" s="146" t="s">
        <v>4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>
        <v>19</v>
      </c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</row>
    <row r="43" spans="1:31" s="142" customFormat="1" ht="49.5" customHeight="1">
      <c r="A43" s="413"/>
      <c r="B43" s="238">
        <v>5715500002</v>
      </c>
      <c r="C43" s="143" t="s">
        <v>642</v>
      </c>
      <c r="D43" s="146" t="s">
        <v>4</v>
      </c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>
        <v>200</v>
      </c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</row>
    <row r="44" spans="1:31" s="142" customFormat="1" ht="49.5" customHeight="1">
      <c r="A44" s="413"/>
      <c r="B44" s="155">
        <v>5715500004</v>
      </c>
      <c r="C44" s="143" t="s">
        <v>643</v>
      </c>
      <c r="D44" s="146" t="s">
        <v>4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>
        <v>5</v>
      </c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</row>
    <row r="45" spans="1:31" s="142" customFormat="1" ht="49.5" customHeight="1">
      <c r="A45" s="413"/>
      <c r="B45" s="235">
        <v>5713700031</v>
      </c>
      <c r="C45" s="236" t="s">
        <v>545</v>
      </c>
      <c r="D45" s="146" t="s">
        <v>4</v>
      </c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</row>
    <row r="46" spans="1:31" s="142" customFormat="1" ht="49.5" customHeight="1">
      <c r="A46" s="413"/>
      <c r="B46" s="235">
        <v>5713700032</v>
      </c>
      <c r="C46" s="236" t="s">
        <v>568</v>
      </c>
      <c r="D46" s="146" t="s">
        <v>4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</row>
    <row r="47" spans="1:31" s="142" customFormat="1" ht="50.1" customHeight="1">
      <c r="A47" s="413"/>
      <c r="B47" s="235">
        <v>5713700041</v>
      </c>
      <c r="C47" s="236" t="s">
        <v>546</v>
      </c>
      <c r="D47" s="146" t="s">
        <v>4</v>
      </c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</row>
    <row r="48" spans="1:31" s="142" customFormat="1" ht="50.1" customHeight="1">
      <c r="A48" s="413"/>
      <c r="B48" s="130">
        <v>5713700042</v>
      </c>
      <c r="C48" s="143" t="s">
        <v>568</v>
      </c>
      <c r="D48" s="146" t="s">
        <v>4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</row>
    <row r="49" spans="1:31" s="142" customFormat="1" ht="50.1" customHeight="1">
      <c r="A49" s="413"/>
      <c r="B49" s="130">
        <v>5713700053</v>
      </c>
      <c r="C49" s="143" t="s">
        <v>644</v>
      </c>
      <c r="D49" s="146" t="s">
        <v>4</v>
      </c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>
        <v>50</v>
      </c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</row>
    <row r="50" spans="1:31" s="142" customFormat="1" ht="50.1" customHeight="1">
      <c r="A50" s="145"/>
      <c r="B50" s="168"/>
      <c r="C50" s="239"/>
      <c r="D50" s="132" t="s">
        <v>5</v>
      </c>
      <c r="E50" s="144">
        <v>0</v>
      </c>
      <c r="F50" s="144">
        <v>0</v>
      </c>
      <c r="G50" s="144">
        <v>0</v>
      </c>
      <c r="H50" s="144">
        <v>0</v>
      </c>
      <c r="I50" s="144">
        <v>0</v>
      </c>
      <c r="J50" s="144">
        <v>0</v>
      </c>
      <c r="K50" s="144">
        <v>0</v>
      </c>
      <c r="L50" s="144">
        <v>0</v>
      </c>
      <c r="M50" s="144">
        <v>0</v>
      </c>
      <c r="N50" s="144"/>
      <c r="O50" s="144"/>
      <c r="P50" s="144"/>
      <c r="Q50" s="144"/>
      <c r="R50" s="144"/>
      <c r="S50" s="144"/>
      <c r="T50" s="144">
        <f t="shared" ref="T50:AE50" si="0">SUM(T3:T49)</f>
        <v>1715</v>
      </c>
      <c r="U50" s="144">
        <f t="shared" si="0"/>
        <v>0</v>
      </c>
      <c r="V50" s="144">
        <f t="shared" si="0"/>
        <v>0</v>
      </c>
      <c r="W50" s="144">
        <f t="shared" si="0"/>
        <v>0</v>
      </c>
      <c r="X50" s="144">
        <f t="shared" si="0"/>
        <v>0</v>
      </c>
      <c r="Y50" s="144">
        <f t="shared" si="0"/>
        <v>0</v>
      </c>
      <c r="Z50" s="144">
        <f t="shared" si="0"/>
        <v>0</v>
      </c>
      <c r="AA50" s="144">
        <f t="shared" si="0"/>
        <v>0</v>
      </c>
      <c r="AB50" s="144">
        <f t="shared" si="0"/>
        <v>0</v>
      </c>
      <c r="AC50" s="144">
        <f t="shared" si="0"/>
        <v>0</v>
      </c>
      <c r="AD50" s="144">
        <f t="shared" si="0"/>
        <v>0</v>
      </c>
      <c r="AE50" s="144">
        <f t="shared" si="0"/>
        <v>0</v>
      </c>
    </row>
    <row r="51" spans="1:31" s="142" customFormat="1" ht="50.1" customHeight="1">
      <c r="A51" s="145"/>
      <c r="B51" s="168"/>
      <c r="C51" s="239"/>
      <c r="D51" s="132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</row>
    <row r="52" spans="1:31" s="142" customFormat="1" ht="50.1" customHeight="1">
      <c r="A52" s="231"/>
      <c r="B52" s="130" t="s">
        <v>2</v>
      </c>
      <c r="C52" s="136" t="s">
        <v>0</v>
      </c>
      <c r="D52" s="240"/>
      <c r="E52" s="134" t="s">
        <v>512</v>
      </c>
      <c r="F52" s="135" t="s">
        <v>514</v>
      </c>
      <c r="G52" s="135" t="s">
        <v>514</v>
      </c>
      <c r="H52" s="135" t="s">
        <v>514</v>
      </c>
      <c r="I52" s="135" t="s">
        <v>514</v>
      </c>
      <c r="J52" s="135" t="s">
        <v>514</v>
      </c>
      <c r="K52" s="135" t="s">
        <v>514</v>
      </c>
      <c r="L52" s="135" t="s">
        <v>514</v>
      </c>
      <c r="M52" s="135" t="s">
        <v>514</v>
      </c>
      <c r="N52" s="135"/>
      <c r="O52" s="135"/>
      <c r="P52" s="135"/>
      <c r="Q52" s="135"/>
      <c r="R52" s="135"/>
      <c r="S52" s="135"/>
      <c r="T52" s="135" t="s">
        <v>552</v>
      </c>
      <c r="U52" s="135" t="s">
        <v>553</v>
      </c>
      <c r="V52" s="135" t="s">
        <v>554</v>
      </c>
      <c r="W52" s="135" t="s">
        <v>555</v>
      </c>
      <c r="X52" s="135" t="s">
        <v>556</v>
      </c>
      <c r="Y52" s="135" t="s">
        <v>557</v>
      </c>
      <c r="Z52" s="135" t="s">
        <v>600</v>
      </c>
      <c r="AA52" s="135" t="s">
        <v>601</v>
      </c>
      <c r="AB52" s="135" t="s">
        <v>602</v>
      </c>
      <c r="AC52" s="135" t="s">
        <v>603</v>
      </c>
      <c r="AD52" s="135" t="s">
        <v>604</v>
      </c>
      <c r="AE52" s="135" t="s">
        <v>551</v>
      </c>
    </row>
    <row r="53" spans="1:31" ht="49.5" customHeight="1">
      <c r="A53" s="410" t="s">
        <v>144</v>
      </c>
      <c r="B53" s="241" t="s">
        <v>135</v>
      </c>
      <c r="C53" s="241" t="s">
        <v>645</v>
      </c>
      <c r="D53" s="146" t="s">
        <v>4</v>
      </c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</row>
    <row r="54" spans="1:31" ht="50.1" customHeight="1">
      <c r="A54" s="411"/>
      <c r="B54" s="242" t="s">
        <v>119</v>
      </c>
      <c r="C54" s="242" t="s">
        <v>646</v>
      </c>
      <c r="D54" s="146" t="s">
        <v>4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</row>
    <row r="55" spans="1:31" ht="50.1" customHeight="1">
      <c r="A55" s="411"/>
      <c r="B55" s="242" t="s">
        <v>123</v>
      </c>
      <c r="C55" s="243" t="s">
        <v>647</v>
      </c>
      <c r="D55" s="146" t="s">
        <v>4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</row>
    <row r="56" spans="1:31" ht="50.1" customHeight="1">
      <c r="A56" s="411"/>
      <c r="B56" s="242" t="s">
        <v>125</v>
      </c>
      <c r="C56" s="242" t="s">
        <v>648</v>
      </c>
      <c r="D56" s="146" t="s">
        <v>4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</row>
    <row r="57" spans="1:31" ht="50.1" customHeight="1">
      <c r="A57" s="411"/>
      <c r="B57" s="242" t="s">
        <v>124</v>
      </c>
      <c r="C57" s="242" t="s">
        <v>649</v>
      </c>
      <c r="D57" s="146" t="s">
        <v>4</v>
      </c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</row>
    <row r="58" spans="1:31" ht="50.1" customHeight="1">
      <c r="A58" s="411"/>
      <c r="B58" s="242" t="s">
        <v>128</v>
      </c>
      <c r="C58" s="242" t="s">
        <v>650</v>
      </c>
      <c r="D58" s="146" t="s">
        <v>4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</row>
    <row r="59" spans="1:31" ht="50.1" customHeight="1">
      <c r="A59" s="411"/>
      <c r="B59" s="242" t="s">
        <v>129</v>
      </c>
      <c r="C59" s="242" t="s">
        <v>651</v>
      </c>
      <c r="D59" s="146" t="s">
        <v>4</v>
      </c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</row>
    <row r="60" spans="1:31" ht="50.1" customHeight="1">
      <c r="A60" s="411"/>
      <c r="B60" s="242" t="s">
        <v>120</v>
      </c>
      <c r="C60" s="243" t="s">
        <v>652</v>
      </c>
      <c r="D60" s="146" t="s">
        <v>4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</row>
    <row r="61" spans="1:31" ht="50.1" customHeight="1">
      <c r="A61" s="411"/>
      <c r="B61" s="242" t="s">
        <v>132</v>
      </c>
      <c r="C61" s="243" t="s">
        <v>653</v>
      </c>
      <c r="D61" s="146" t="s">
        <v>4</v>
      </c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</row>
    <row r="62" spans="1:31" ht="50.1" customHeight="1">
      <c r="A62" s="411"/>
      <c r="B62" s="242" t="s">
        <v>116</v>
      </c>
      <c r="C62" s="243" t="s">
        <v>654</v>
      </c>
      <c r="D62" s="146" t="s">
        <v>4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</row>
    <row r="63" spans="1:31" ht="50.1" customHeight="1">
      <c r="A63" s="411"/>
      <c r="B63" s="242" t="s">
        <v>117</v>
      </c>
      <c r="C63" s="243" t="s">
        <v>655</v>
      </c>
      <c r="D63" s="146" t="s">
        <v>4</v>
      </c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</row>
    <row r="64" spans="1:31" ht="50.1" customHeight="1">
      <c r="A64" s="411"/>
      <c r="B64" s="242" t="s">
        <v>131</v>
      </c>
      <c r="C64" s="243" t="s">
        <v>656</v>
      </c>
      <c r="D64" s="146" t="s">
        <v>4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</row>
    <row r="65" spans="1:31" ht="50.1" customHeight="1">
      <c r="A65" s="412"/>
      <c r="B65" s="242" t="s">
        <v>121</v>
      </c>
      <c r="C65" s="243" t="s">
        <v>657</v>
      </c>
      <c r="D65" s="146" t="s">
        <v>4</v>
      </c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</row>
    <row r="66" spans="1:31" ht="50.1" customHeight="1">
      <c r="A66" s="410" t="s">
        <v>658</v>
      </c>
      <c r="B66" s="244" t="s">
        <v>87</v>
      </c>
      <c r="C66" s="245" t="s">
        <v>659</v>
      </c>
      <c r="D66" s="146" t="s">
        <v>4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</row>
    <row r="67" spans="1:31" ht="50.1" customHeight="1">
      <c r="A67" s="412"/>
      <c r="B67" s="244" t="s">
        <v>660</v>
      </c>
      <c r="C67" s="245" t="s">
        <v>661</v>
      </c>
      <c r="D67" s="146" t="s">
        <v>4</v>
      </c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</row>
    <row r="68" spans="1:31" ht="50.1" customHeight="1">
      <c r="A68" s="410" t="s">
        <v>662</v>
      </c>
      <c r="B68" s="244" t="s">
        <v>663</v>
      </c>
      <c r="C68" s="245" t="s">
        <v>664</v>
      </c>
      <c r="D68" s="146" t="s">
        <v>4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>
        <v>300</v>
      </c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</row>
    <row r="69" spans="1:31" ht="50.1" customHeight="1">
      <c r="A69" s="411"/>
      <c r="B69" s="244" t="s">
        <v>97</v>
      </c>
      <c r="C69" s="245" t="s">
        <v>665</v>
      </c>
      <c r="D69" s="146" t="s">
        <v>4</v>
      </c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>
        <v>300</v>
      </c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</row>
    <row r="70" spans="1:31" ht="50.1" customHeight="1">
      <c r="A70" s="411"/>
      <c r="B70" s="244" t="s">
        <v>99</v>
      </c>
      <c r="C70" s="245" t="s">
        <v>666</v>
      </c>
      <c r="D70" s="146" t="s">
        <v>4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>
        <v>300</v>
      </c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</row>
    <row r="71" spans="1:31" ht="50.1" customHeight="1">
      <c r="A71" s="411"/>
      <c r="B71" s="244" t="s">
        <v>667</v>
      </c>
      <c r="C71" s="245" t="s">
        <v>668</v>
      </c>
      <c r="D71" s="146" t="s">
        <v>4</v>
      </c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>
        <v>300</v>
      </c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</row>
    <row r="72" spans="1:31" ht="50.1" customHeight="1">
      <c r="A72" s="412"/>
      <c r="B72" s="244" t="s">
        <v>669</v>
      </c>
      <c r="C72" s="245" t="s">
        <v>670</v>
      </c>
      <c r="D72" s="146" t="s">
        <v>4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>
        <v>300</v>
      </c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</row>
    <row r="73" spans="1:31" ht="50.1" customHeight="1">
      <c r="A73" s="410" t="s">
        <v>671</v>
      </c>
      <c r="B73" s="244" t="s">
        <v>141</v>
      </c>
      <c r="C73" s="245" t="s">
        <v>672</v>
      </c>
      <c r="D73" s="146" t="s">
        <v>4</v>
      </c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</row>
    <row r="74" spans="1:31" ht="50.1" customHeight="1">
      <c r="A74" s="412"/>
      <c r="B74" s="244" t="s">
        <v>137</v>
      </c>
      <c r="C74" s="244" t="s">
        <v>673</v>
      </c>
      <c r="D74" s="146" t="s">
        <v>4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</row>
    <row r="75" spans="1:31" ht="50.1" customHeight="1">
      <c r="A75" s="410" t="s">
        <v>674</v>
      </c>
      <c r="B75" s="244" t="s">
        <v>103</v>
      </c>
      <c r="C75" s="244" t="s">
        <v>675</v>
      </c>
      <c r="D75" s="146" t="s">
        <v>4</v>
      </c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</row>
    <row r="76" spans="1:31" ht="50.1" customHeight="1">
      <c r="A76" s="411"/>
      <c r="B76" s="244" t="s">
        <v>676</v>
      </c>
      <c r="C76" s="245" t="s">
        <v>677</v>
      </c>
      <c r="D76" s="146" t="s">
        <v>4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</row>
    <row r="77" spans="1:31" ht="50.1" customHeight="1">
      <c r="A77" s="411"/>
      <c r="B77" s="244" t="s">
        <v>678</v>
      </c>
      <c r="C77" s="245" t="s">
        <v>677</v>
      </c>
      <c r="D77" s="146" t="s">
        <v>4</v>
      </c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</row>
    <row r="78" spans="1:31" ht="50.1" customHeight="1">
      <c r="A78" s="412"/>
      <c r="B78" s="244" t="s">
        <v>679</v>
      </c>
      <c r="C78" s="245" t="s">
        <v>677</v>
      </c>
      <c r="D78" s="146" t="s">
        <v>4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</row>
    <row r="79" spans="1:31" ht="50.1" customHeight="1">
      <c r="A79" s="231" t="s">
        <v>680</v>
      </c>
      <c r="B79" s="246" t="s">
        <v>133</v>
      </c>
      <c r="C79" s="247" t="s">
        <v>681</v>
      </c>
      <c r="D79" s="146" t="s">
        <v>4</v>
      </c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</row>
    <row r="80" spans="1:31" ht="50.1" customHeight="1">
      <c r="A80" s="410" t="s">
        <v>624</v>
      </c>
      <c r="B80" s="246" t="s">
        <v>682</v>
      </c>
      <c r="C80" s="247" t="s">
        <v>683</v>
      </c>
      <c r="D80" s="146" t="s">
        <v>4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</row>
    <row r="81" spans="1:31" ht="50.1" customHeight="1">
      <c r="A81" s="411"/>
      <c r="B81" s="246" t="s">
        <v>684</v>
      </c>
      <c r="C81" s="247" t="s">
        <v>685</v>
      </c>
      <c r="D81" s="146" t="s">
        <v>4</v>
      </c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</row>
    <row r="82" spans="1:31" ht="50.1" customHeight="1">
      <c r="A82" s="411"/>
      <c r="B82" s="246" t="s">
        <v>686</v>
      </c>
      <c r="C82" s="247" t="s">
        <v>687</v>
      </c>
      <c r="D82" s="146" t="s">
        <v>4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</row>
    <row r="83" spans="1:31" ht="50.1" customHeight="1">
      <c r="A83" s="411"/>
      <c r="B83" s="246" t="s">
        <v>688</v>
      </c>
      <c r="C83" s="247" t="s">
        <v>689</v>
      </c>
      <c r="D83" s="146" t="s">
        <v>4</v>
      </c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</row>
    <row r="84" spans="1:31" ht="50.1" customHeight="1">
      <c r="A84" s="411"/>
      <c r="B84" s="246" t="s">
        <v>690</v>
      </c>
      <c r="C84" s="247" t="s">
        <v>691</v>
      </c>
      <c r="D84" s="146" t="s">
        <v>4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</row>
    <row r="85" spans="1:31" ht="50.1" customHeight="1">
      <c r="A85" s="411"/>
      <c r="B85" s="246" t="s">
        <v>692</v>
      </c>
      <c r="C85" s="247" t="s">
        <v>693</v>
      </c>
      <c r="D85" s="146" t="s">
        <v>4</v>
      </c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</row>
    <row r="86" spans="1:31" ht="50.1" customHeight="1">
      <c r="A86" s="412"/>
      <c r="B86" s="246" t="s">
        <v>694</v>
      </c>
      <c r="C86" s="247" t="s">
        <v>695</v>
      </c>
      <c r="D86" s="146" t="s">
        <v>4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</row>
    <row r="87" spans="1:31" ht="50.1" customHeight="1">
      <c r="A87" s="410" t="s">
        <v>696</v>
      </c>
      <c r="B87" s="246" t="s">
        <v>697</v>
      </c>
      <c r="C87" s="247" t="s">
        <v>698</v>
      </c>
      <c r="D87" s="146" t="s">
        <v>4</v>
      </c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</row>
    <row r="88" spans="1:31" ht="50.1" customHeight="1">
      <c r="A88" s="412"/>
      <c r="B88" s="246" t="s">
        <v>699</v>
      </c>
      <c r="C88" s="247" t="s">
        <v>700</v>
      </c>
      <c r="D88" s="146" t="s">
        <v>4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</row>
    <row r="89" spans="1:31" ht="50.1" customHeight="1">
      <c r="A89" s="410" t="s">
        <v>701</v>
      </c>
      <c r="B89" s="246" t="s">
        <v>702</v>
      </c>
      <c r="C89" s="247" t="s">
        <v>703</v>
      </c>
      <c r="D89" s="146" t="s">
        <v>4</v>
      </c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</row>
    <row r="90" spans="1:31" ht="50.1" customHeight="1">
      <c r="A90" s="411"/>
      <c r="B90" s="246" t="s">
        <v>704</v>
      </c>
      <c r="C90" s="247" t="s">
        <v>705</v>
      </c>
      <c r="D90" s="146" t="s">
        <v>4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</row>
    <row r="91" spans="1:31" ht="50.1" customHeight="1">
      <c r="A91" s="411"/>
      <c r="B91" s="246" t="s">
        <v>706</v>
      </c>
      <c r="C91" s="247" t="s">
        <v>707</v>
      </c>
      <c r="D91" s="146" t="s">
        <v>4</v>
      </c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</row>
    <row r="92" spans="1:31" ht="50.1" customHeight="1">
      <c r="A92" s="412"/>
      <c r="B92" s="246">
        <v>5712900001</v>
      </c>
      <c r="C92" s="247" t="s">
        <v>708</v>
      </c>
      <c r="D92" s="146" t="s">
        <v>4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</row>
    <row r="93" spans="1:31" ht="50.1" customHeight="1">
      <c r="T93" s="132">
        <f>SUM(T53:T92)</f>
        <v>1500</v>
      </c>
      <c r="U93" s="132">
        <f t="shared" ref="U93:AE93" si="1">SUM(U53:U92)</f>
        <v>0</v>
      </c>
      <c r="V93" s="132">
        <f t="shared" si="1"/>
        <v>0</v>
      </c>
      <c r="W93" s="132">
        <f t="shared" si="1"/>
        <v>0</v>
      </c>
      <c r="X93" s="132">
        <f t="shared" si="1"/>
        <v>0</v>
      </c>
      <c r="Y93" s="132">
        <f t="shared" si="1"/>
        <v>0</v>
      </c>
      <c r="Z93" s="132">
        <f t="shared" si="1"/>
        <v>0</v>
      </c>
      <c r="AA93" s="132">
        <f t="shared" si="1"/>
        <v>0</v>
      </c>
      <c r="AB93" s="132">
        <f t="shared" si="1"/>
        <v>0</v>
      </c>
      <c r="AC93" s="132">
        <f t="shared" si="1"/>
        <v>0</v>
      </c>
      <c r="AD93" s="132">
        <f t="shared" si="1"/>
        <v>0</v>
      </c>
      <c r="AE93" s="132">
        <f t="shared" si="1"/>
        <v>0</v>
      </c>
    </row>
  </sheetData>
  <mergeCells count="16">
    <mergeCell ref="A75:A78"/>
    <mergeCell ref="A80:A86"/>
    <mergeCell ref="A87:A88"/>
    <mergeCell ref="A89:A92"/>
    <mergeCell ref="A29:A39"/>
    <mergeCell ref="A40:A49"/>
    <mergeCell ref="A53:A65"/>
    <mergeCell ref="A66:A67"/>
    <mergeCell ref="A68:A72"/>
    <mergeCell ref="A73:A74"/>
    <mergeCell ref="A25:A28"/>
    <mergeCell ref="A3:A6"/>
    <mergeCell ref="A7:A11"/>
    <mergeCell ref="A12:A16"/>
    <mergeCell ref="A17:A21"/>
    <mergeCell ref="A22:A24"/>
  </mergeCells>
  <phoneticPr fontId="2" type="noConversion"/>
  <conditionalFormatting sqref="E2">
    <cfRule type="timePeriod" dxfId="12" priority="2" timePeriod="lastMonth">
      <formula>AND(MONTH(E2)=MONTH(EDATE(TODAY(),0-1)),YEAR(E2)=YEAR(EDATE(TODAY(),0-1)))</formula>
    </cfRule>
  </conditionalFormatting>
  <conditionalFormatting sqref="E52">
    <cfRule type="timePeriod" dxfId="11" priority="1" timePeriod="lastMonth">
      <formula>AND(MONTH(E52)=MONTH(EDATE(TODAY(),0-1)),YEAR(E52)=YEAR(EDATE(TODAY(),0-1)))</formula>
    </cfRule>
  </conditionalFormatting>
  <printOptions horizontalCentered="1" verticalCentered="1"/>
  <pageMargins left="0.19685039370078741" right="0.19685039370078741" top="0.19685039370078741" bottom="0.19685039370078741" header="0.51181102362204722" footer="0.51181102362204722"/>
  <pageSetup paperSize="9" scale="2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DA85-CE5D-41C6-ABCF-DFF342837FC0}">
  <sheetPr codeName="工作表3"/>
  <dimension ref="B4:L31"/>
  <sheetViews>
    <sheetView topLeftCell="D22" zoomScale="70" zoomScaleNormal="70" workbookViewId="0">
      <selection activeCell="L12" sqref="L12"/>
    </sheetView>
  </sheetViews>
  <sheetFormatPr defaultRowHeight="16.5"/>
  <cols>
    <col min="2" max="2" width="25" customWidth="1"/>
    <col min="3" max="3" width="49.25" customWidth="1"/>
    <col min="4" max="4" width="13.75" bestFit="1" customWidth="1"/>
    <col min="5" max="5" width="30.625" customWidth="1"/>
    <col min="6" max="6" width="32.375" customWidth="1"/>
    <col min="7" max="7" width="13.75" bestFit="1" customWidth="1"/>
    <col min="8" max="8" width="38.75" customWidth="1"/>
    <col min="9" max="9" width="13.75" bestFit="1" customWidth="1"/>
    <col min="10" max="10" width="27.875" customWidth="1"/>
  </cols>
  <sheetData>
    <row r="4" spans="2:12" ht="28.5">
      <c r="B4" s="111" t="s">
        <v>224</v>
      </c>
      <c r="C4" s="111" t="s">
        <v>237</v>
      </c>
      <c r="E4" s="107" t="s">
        <v>449</v>
      </c>
      <c r="F4" s="107" t="s">
        <v>450</v>
      </c>
      <c r="G4" s="107">
        <v>5714600131</v>
      </c>
      <c r="H4" s="107" t="s">
        <v>421</v>
      </c>
      <c r="I4" s="110">
        <v>5715600011</v>
      </c>
      <c r="J4" s="110" t="s">
        <v>443</v>
      </c>
      <c r="K4" s="110"/>
      <c r="L4" s="110"/>
    </row>
    <row r="5" spans="2:12" ht="28.5">
      <c r="B5" s="111" t="s">
        <v>225</v>
      </c>
      <c r="C5" s="111" t="s">
        <v>238</v>
      </c>
      <c r="E5" s="110"/>
      <c r="F5" s="110"/>
      <c r="G5" s="107">
        <v>5714400155</v>
      </c>
      <c r="H5" s="109" t="s">
        <v>447</v>
      </c>
      <c r="I5" s="110">
        <v>5715600014</v>
      </c>
      <c r="J5" s="110" t="s">
        <v>444</v>
      </c>
      <c r="K5" s="110"/>
      <c r="L5" s="110"/>
    </row>
    <row r="6" spans="2:12" ht="28.5">
      <c r="B6" s="111" t="s">
        <v>222</v>
      </c>
      <c r="C6" s="111" t="s">
        <v>239</v>
      </c>
      <c r="E6" s="110"/>
      <c r="F6" s="110"/>
      <c r="G6" s="107">
        <v>5714400154</v>
      </c>
      <c r="H6" s="109" t="s">
        <v>448</v>
      </c>
      <c r="I6" s="110"/>
      <c r="J6" s="110"/>
      <c r="K6" s="110"/>
      <c r="L6" s="110"/>
    </row>
    <row r="7" spans="2:12" ht="28.5">
      <c r="B7" s="111" t="s">
        <v>66</v>
      </c>
      <c r="C7" s="111" t="s">
        <v>240</v>
      </c>
    </row>
    <row r="8" spans="2:12" ht="28.5">
      <c r="B8" s="111">
        <v>3621101702</v>
      </c>
      <c r="C8" s="111" t="s">
        <v>241</v>
      </c>
      <c r="D8" s="108"/>
      <c r="E8" s="108"/>
      <c r="F8" s="108"/>
    </row>
    <row r="9" spans="2:12" ht="28.5">
      <c r="B9" s="111" t="s">
        <v>451</v>
      </c>
      <c r="C9" s="111" t="s">
        <v>452</v>
      </c>
      <c r="D9" s="108"/>
      <c r="E9" s="108"/>
      <c r="F9" s="108"/>
    </row>
    <row r="10" spans="2:12" ht="28.5">
      <c r="B10" s="111" t="s">
        <v>453</v>
      </c>
      <c r="C10" s="111" t="s">
        <v>244</v>
      </c>
      <c r="D10" s="108"/>
    </row>
    <row r="11" spans="2:12" ht="28.5">
      <c r="B11" s="112" t="s">
        <v>445</v>
      </c>
      <c r="C11" s="111" t="s">
        <v>242</v>
      </c>
      <c r="D11" s="108"/>
      <c r="E11" s="8" t="s">
        <v>30</v>
      </c>
      <c r="F11" s="73" t="s">
        <v>49</v>
      </c>
      <c r="G11" s="74">
        <v>5714600132</v>
      </c>
      <c r="H11" s="73" t="s">
        <v>459</v>
      </c>
      <c r="I11" s="2">
        <v>5715600013</v>
      </c>
      <c r="J11" s="1" t="s">
        <v>457</v>
      </c>
    </row>
    <row r="12" spans="2:12" ht="33">
      <c r="B12" s="112" t="s">
        <v>446</v>
      </c>
      <c r="C12" s="111" t="s">
        <v>243</v>
      </c>
      <c r="D12" s="108"/>
      <c r="E12" s="8" t="s">
        <v>456</v>
      </c>
      <c r="F12" s="73" t="s">
        <v>76</v>
      </c>
      <c r="G12" s="2">
        <v>5715600013</v>
      </c>
      <c r="H12" s="2" t="s">
        <v>457</v>
      </c>
      <c r="I12" s="1"/>
      <c r="J12" s="1"/>
    </row>
    <row r="13" spans="2:12">
      <c r="E13" s="8" t="s">
        <v>455</v>
      </c>
      <c r="F13" s="73" t="s">
        <v>50</v>
      </c>
      <c r="G13" s="2">
        <v>5714400175</v>
      </c>
      <c r="H13" s="2" t="s">
        <v>458</v>
      </c>
      <c r="I13" s="1"/>
      <c r="J13" s="1"/>
    </row>
    <row r="14" spans="2:12">
      <c r="E14" s="2" t="s">
        <v>454</v>
      </c>
      <c r="F14" s="73" t="s">
        <v>50</v>
      </c>
      <c r="G14" s="2"/>
      <c r="H14" s="2"/>
      <c r="I14" s="1"/>
      <c r="J14" s="1"/>
    </row>
    <row r="17" spans="5:10">
      <c r="E17" s="113" t="s">
        <v>460</v>
      </c>
      <c r="F17" s="114" t="s">
        <v>463</v>
      </c>
      <c r="G17" s="2">
        <v>5714600133</v>
      </c>
      <c r="H17" s="78" t="s">
        <v>468</v>
      </c>
      <c r="I17" s="2">
        <v>5715600015</v>
      </c>
      <c r="J17" s="13" t="s">
        <v>464</v>
      </c>
    </row>
    <row r="18" spans="5:10">
      <c r="E18" s="113" t="s">
        <v>461</v>
      </c>
      <c r="F18" s="114"/>
      <c r="G18" s="2">
        <v>5714400169</v>
      </c>
      <c r="H18" s="13" t="s">
        <v>465</v>
      </c>
      <c r="I18" s="1"/>
      <c r="J18" s="1"/>
    </row>
    <row r="19" spans="5:10">
      <c r="E19" s="113" t="s">
        <v>462</v>
      </c>
      <c r="F19" s="114"/>
      <c r="G19" s="2">
        <v>5714400170</v>
      </c>
      <c r="H19" s="13" t="s">
        <v>466</v>
      </c>
      <c r="I19" s="1"/>
      <c r="J19" s="1"/>
    </row>
    <row r="20" spans="5:10">
      <c r="E20" s="2"/>
      <c r="F20" s="2"/>
      <c r="G20" s="2">
        <v>5714400171</v>
      </c>
      <c r="H20" s="13" t="s">
        <v>467</v>
      </c>
      <c r="I20" s="1"/>
      <c r="J20" s="1"/>
    </row>
    <row r="21" spans="5:10">
      <c r="E21" s="3"/>
      <c r="F21" s="3"/>
    </row>
    <row r="22" spans="5:10">
      <c r="G22" s="3"/>
      <c r="H22" s="3"/>
    </row>
    <row r="24" spans="5:10" ht="31.5">
      <c r="E24" s="115">
        <v>3621101601</v>
      </c>
      <c r="F24" s="114" t="s">
        <v>469</v>
      </c>
      <c r="G24" s="2">
        <v>5711500197</v>
      </c>
      <c r="H24" s="114" t="s">
        <v>476</v>
      </c>
      <c r="I24" s="115">
        <v>5714302001</v>
      </c>
      <c r="J24" s="1" t="s">
        <v>477</v>
      </c>
    </row>
    <row r="25" spans="5:10" ht="31.5">
      <c r="E25" s="115">
        <v>3621101602</v>
      </c>
      <c r="F25" s="114" t="s">
        <v>470</v>
      </c>
      <c r="G25" s="1"/>
      <c r="H25" s="115"/>
      <c r="I25" s="115">
        <v>5714302002</v>
      </c>
      <c r="J25" s="1" t="s">
        <v>478</v>
      </c>
    </row>
    <row r="26" spans="5:10" ht="31.5">
      <c r="E26" s="115">
        <v>3621101603</v>
      </c>
      <c r="F26" s="114" t="s">
        <v>471</v>
      </c>
      <c r="G26" s="1"/>
      <c r="H26" s="115"/>
      <c r="I26" s="115">
        <v>5714302003</v>
      </c>
      <c r="J26" s="1" t="s">
        <v>479</v>
      </c>
    </row>
    <row r="27" spans="5:10" ht="31.5">
      <c r="E27" s="115">
        <v>3621101604</v>
      </c>
      <c r="F27" s="114" t="s">
        <v>472</v>
      </c>
      <c r="G27" s="1"/>
      <c r="H27" s="115"/>
      <c r="I27" s="115">
        <v>5714302004</v>
      </c>
      <c r="J27" s="1" t="s">
        <v>480</v>
      </c>
    </row>
    <row r="28" spans="5:10" ht="31.5">
      <c r="E28" s="115">
        <v>3621101605</v>
      </c>
      <c r="F28" s="116" t="s">
        <v>473</v>
      </c>
      <c r="G28" s="1"/>
      <c r="H28" s="115"/>
      <c r="I28" s="115">
        <v>5714302005</v>
      </c>
      <c r="J28" s="1" t="s">
        <v>481</v>
      </c>
    </row>
    <row r="29" spans="5:10" ht="31.5">
      <c r="E29" s="115">
        <v>3621101606</v>
      </c>
      <c r="F29" s="114" t="s">
        <v>474</v>
      </c>
      <c r="G29" s="1"/>
      <c r="H29" s="115"/>
      <c r="I29" s="115">
        <v>5714302006</v>
      </c>
      <c r="J29" s="1" t="s">
        <v>482</v>
      </c>
    </row>
    <row r="30" spans="5:10" ht="31.5">
      <c r="E30" s="115">
        <v>3621101609</v>
      </c>
      <c r="F30" s="114" t="s">
        <v>475</v>
      </c>
      <c r="G30" s="1"/>
      <c r="H30" s="115"/>
      <c r="I30" s="115">
        <v>5714302007</v>
      </c>
      <c r="J30" s="1" t="s">
        <v>483</v>
      </c>
    </row>
    <row r="31" spans="5:10" ht="36.6" customHeight="1">
      <c r="E31" s="1"/>
      <c r="F31" s="1"/>
      <c r="G31" s="1"/>
      <c r="H31" s="1"/>
      <c r="I31" s="115">
        <v>5714302008</v>
      </c>
      <c r="J31" s="1" t="s">
        <v>484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824E5-E8C7-4E28-8477-9C2A32582A2D}">
  <sheetPr codeName="工作表4"/>
  <dimension ref="B2:N29"/>
  <sheetViews>
    <sheetView zoomScale="55" zoomScaleNormal="55" workbookViewId="0">
      <selection activeCell="F11" sqref="F11"/>
    </sheetView>
  </sheetViews>
  <sheetFormatPr defaultColWidth="8.75" defaultRowHeight="30"/>
  <cols>
    <col min="1" max="1" width="8.75" style="94"/>
    <col min="2" max="2" width="28.125" style="94" bestFit="1" customWidth="1"/>
    <col min="3" max="3" width="14.875" style="94" bestFit="1" customWidth="1"/>
    <col min="4" max="4" width="28.375" style="94" customWidth="1"/>
    <col min="5" max="5" width="100.25" style="94" customWidth="1"/>
    <col min="6" max="6" width="22.375" style="93" bestFit="1" customWidth="1"/>
    <col min="7" max="7" width="79.5" style="94" customWidth="1"/>
    <col min="8" max="8" width="12.75" style="94" customWidth="1"/>
    <col min="9" max="11" width="36" style="94" customWidth="1"/>
    <col min="12" max="12" width="53.5" style="94" customWidth="1"/>
    <col min="13" max="13" width="22.375" style="94" bestFit="1" customWidth="1"/>
    <col min="14" max="14" width="56.75" style="94" bestFit="1" customWidth="1"/>
    <col min="15" max="16384" width="8.75" style="94"/>
  </cols>
  <sheetData>
    <row r="2" spans="2:14" ht="30.6" customHeight="1">
      <c r="B2" s="96" t="s">
        <v>314</v>
      </c>
      <c r="C2" s="100"/>
      <c r="D2" s="100"/>
      <c r="E2" s="100"/>
      <c r="F2" s="11"/>
      <c r="G2" s="100"/>
      <c r="I2" s="93" t="s">
        <v>430</v>
      </c>
    </row>
    <row r="3" spans="2:14">
      <c r="B3" s="95" t="s">
        <v>411</v>
      </c>
      <c r="C3" s="97" t="s">
        <v>311</v>
      </c>
      <c r="D3" s="97">
        <v>5711500264</v>
      </c>
      <c r="E3" s="100" t="s">
        <v>432</v>
      </c>
      <c r="F3" s="11"/>
      <c r="G3" s="100"/>
      <c r="I3" s="9">
        <v>3631101401</v>
      </c>
      <c r="J3" s="103" t="s">
        <v>32</v>
      </c>
      <c r="K3" s="9">
        <v>5714600141</v>
      </c>
      <c r="L3" s="103" t="s">
        <v>424</v>
      </c>
      <c r="M3" s="105"/>
      <c r="N3" s="105"/>
    </row>
    <row r="4" spans="2:14">
      <c r="B4" s="98"/>
      <c r="C4" s="99"/>
      <c r="D4" s="99"/>
      <c r="E4" s="100"/>
      <c r="F4" s="11">
        <v>5714400189</v>
      </c>
      <c r="G4" s="100" t="s">
        <v>434</v>
      </c>
      <c r="I4" s="9">
        <v>3631101411</v>
      </c>
      <c r="J4" s="103" t="s">
        <v>309</v>
      </c>
      <c r="K4" s="105"/>
      <c r="L4" s="105"/>
      <c r="M4" s="105"/>
      <c r="N4" s="105"/>
    </row>
    <row r="5" spans="2:14">
      <c r="B5" s="98"/>
      <c r="C5" s="99"/>
      <c r="D5" s="99"/>
      <c r="E5" s="100"/>
      <c r="F5" s="11">
        <v>5715600043</v>
      </c>
      <c r="G5" s="100" t="s">
        <v>435</v>
      </c>
      <c r="I5" s="9">
        <v>3631101402</v>
      </c>
      <c r="J5" s="104" t="s">
        <v>33</v>
      </c>
      <c r="K5" s="9">
        <v>5714600142</v>
      </c>
      <c r="L5" s="106" t="s">
        <v>423</v>
      </c>
      <c r="M5" s="105"/>
      <c r="N5" s="105"/>
    </row>
    <row r="6" spans="2:14">
      <c r="B6" s="98"/>
      <c r="C6" s="99"/>
      <c r="D6" s="99"/>
      <c r="E6" s="100"/>
      <c r="F6" s="11">
        <v>5715600044</v>
      </c>
      <c r="G6" s="100" t="s">
        <v>438</v>
      </c>
      <c r="I6" s="9">
        <v>3631101412</v>
      </c>
      <c r="J6" s="104" t="s">
        <v>305</v>
      </c>
      <c r="K6" s="105"/>
      <c r="L6" s="105"/>
      <c r="M6" s="105"/>
      <c r="N6" s="105"/>
    </row>
    <row r="7" spans="2:14">
      <c r="B7" s="98"/>
      <c r="C7" s="99"/>
      <c r="D7" s="99"/>
      <c r="E7" s="100"/>
      <c r="F7" s="11">
        <v>5715600045</v>
      </c>
      <c r="G7" s="100" t="s">
        <v>437</v>
      </c>
      <c r="I7" s="9">
        <v>3631101403</v>
      </c>
      <c r="J7" s="104" t="s">
        <v>34</v>
      </c>
      <c r="K7" s="9">
        <v>5714600143</v>
      </c>
      <c r="L7" s="104" t="s">
        <v>422</v>
      </c>
      <c r="M7" s="105"/>
      <c r="N7" s="105"/>
    </row>
    <row r="8" spans="2:14">
      <c r="B8" s="95" t="s">
        <v>395</v>
      </c>
      <c r="C8" s="97" t="s">
        <v>313</v>
      </c>
      <c r="D8" s="97">
        <v>5711500265</v>
      </c>
      <c r="E8" s="100" t="s">
        <v>431</v>
      </c>
      <c r="F8" s="11"/>
      <c r="G8" s="100"/>
      <c r="I8" s="9">
        <v>3631101413</v>
      </c>
      <c r="J8" s="104" t="s">
        <v>308</v>
      </c>
      <c r="K8" s="105"/>
      <c r="L8" s="105"/>
      <c r="M8" s="105"/>
      <c r="N8" s="105"/>
    </row>
    <row r="9" spans="2:14">
      <c r="B9" s="101"/>
      <c r="C9" s="100"/>
      <c r="D9" s="100"/>
      <c r="E9" s="100"/>
      <c r="F9" s="11">
        <v>5714400190</v>
      </c>
      <c r="G9" s="100" t="s">
        <v>439</v>
      </c>
      <c r="I9" s="9" t="s">
        <v>413</v>
      </c>
      <c r="J9" s="104" t="s">
        <v>303</v>
      </c>
      <c r="K9" s="9">
        <v>5714600146</v>
      </c>
      <c r="L9" s="104" t="s">
        <v>418</v>
      </c>
      <c r="M9" s="105"/>
      <c r="N9" s="105"/>
    </row>
    <row r="10" spans="2:14">
      <c r="B10" s="101"/>
      <c r="C10" s="100"/>
      <c r="D10" s="100"/>
      <c r="E10" s="100"/>
      <c r="F10" s="11">
        <v>5715600046</v>
      </c>
      <c r="G10" s="100" t="s">
        <v>440</v>
      </c>
      <c r="I10" s="9" t="s">
        <v>426</v>
      </c>
      <c r="J10" s="104" t="s">
        <v>401</v>
      </c>
      <c r="K10" s="9">
        <v>5714600145</v>
      </c>
      <c r="L10" s="104" t="s">
        <v>429</v>
      </c>
      <c r="M10" s="105"/>
      <c r="N10" s="105"/>
    </row>
    <row r="11" spans="2:14">
      <c r="B11" s="101"/>
      <c r="C11" s="100"/>
      <c r="D11" s="100"/>
      <c r="E11" s="100"/>
      <c r="F11" s="11">
        <v>5715600044</v>
      </c>
      <c r="G11" s="100" t="s">
        <v>436</v>
      </c>
      <c r="I11" s="9" t="s">
        <v>403</v>
      </c>
      <c r="J11" s="104" t="s">
        <v>402</v>
      </c>
      <c r="K11" s="105"/>
      <c r="L11" s="105"/>
      <c r="M11" s="105"/>
      <c r="N11" s="105"/>
    </row>
    <row r="12" spans="2:14">
      <c r="B12" s="101"/>
      <c r="C12" s="100"/>
      <c r="D12" s="100"/>
      <c r="E12" s="100"/>
      <c r="F12" s="11">
        <v>5715600045</v>
      </c>
      <c r="G12" s="100" t="s">
        <v>437</v>
      </c>
      <c r="I12" s="9" t="s">
        <v>405</v>
      </c>
      <c r="J12" s="104" t="s">
        <v>404</v>
      </c>
      <c r="K12" s="9">
        <v>5714600144</v>
      </c>
      <c r="L12" s="104" t="s">
        <v>425</v>
      </c>
      <c r="M12" s="105">
        <v>5715600041</v>
      </c>
      <c r="N12" s="105" t="s">
        <v>414</v>
      </c>
    </row>
    <row r="13" spans="2:14">
      <c r="B13" s="102" t="s">
        <v>396</v>
      </c>
      <c r="C13" s="97" t="s">
        <v>312</v>
      </c>
      <c r="D13" s="97">
        <v>5711500266</v>
      </c>
      <c r="E13" s="100" t="s">
        <v>433</v>
      </c>
      <c r="F13" s="11"/>
      <c r="G13" s="100"/>
      <c r="I13" s="9" t="s">
        <v>412</v>
      </c>
      <c r="J13" s="104" t="s">
        <v>406</v>
      </c>
      <c r="K13" s="9">
        <v>5714400155</v>
      </c>
      <c r="L13" s="9" t="s">
        <v>416</v>
      </c>
      <c r="M13" s="105">
        <v>5715600042</v>
      </c>
      <c r="N13" s="105" t="s">
        <v>415</v>
      </c>
    </row>
    <row r="14" spans="2:14">
      <c r="B14" s="100"/>
      <c r="C14" s="100"/>
      <c r="D14" s="100"/>
      <c r="E14" s="100"/>
      <c r="F14" s="11">
        <v>5714400191</v>
      </c>
      <c r="G14" s="100" t="s">
        <v>441</v>
      </c>
      <c r="I14" s="105"/>
      <c r="J14" s="105"/>
      <c r="K14" s="9">
        <v>5714400154</v>
      </c>
      <c r="L14" s="9" t="s">
        <v>417</v>
      </c>
    </row>
    <row r="15" spans="2:14">
      <c r="B15" s="100"/>
      <c r="C15" s="100"/>
      <c r="D15" s="100"/>
      <c r="E15" s="100"/>
      <c r="F15" s="11">
        <v>5715600047</v>
      </c>
      <c r="G15" s="100" t="s">
        <v>442</v>
      </c>
    </row>
    <row r="16" spans="2:14">
      <c r="B16" s="100"/>
      <c r="C16" s="100"/>
      <c r="D16" s="100"/>
      <c r="E16" s="100"/>
      <c r="F16" s="11">
        <v>5715600044</v>
      </c>
      <c r="G16" s="100" t="s">
        <v>438</v>
      </c>
    </row>
    <row r="17" spans="2:14">
      <c r="B17" s="100"/>
      <c r="C17" s="100"/>
      <c r="D17" s="100"/>
      <c r="E17" s="100"/>
      <c r="F17" s="11">
        <v>5715600045</v>
      </c>
      <c r="G17" s="100" t="s">
        <v>437</v>
      </c>
    </row>
    <row r="28" spans="2:14">
      <c r="I28" s="92"/>
      <c r="J28" s="92"/>
      <c r="M28" s="92"/>
      <c r="N28" s="92"/>
    </row>
    <row r="29" spans="2:14">
      <c r="I29" s="92"/>
      <c r="J29" s="92"/>
      <c r="M29" s="92"/>
      <c r="N29" s="92"/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C5CE6-F3A5-4BB7-B740-5F067DFBBC51}">
  <sheetPr codeName="工作表6"/>
  <dimension ref="A1:F35"/>
  <sheetViews>
    <sheetView zoomScale="85" zoomScaleNormal="85" workbookViewId="0">
      <selection activeCell="M13" sqref="M13"/>
    </sheetView>
  </sheetViews>
  <sheetFormatPr defaultRowHeight="16.5"/>
  <cols>
    <col min="2" max="2" width="21.5" bestFit="1" customWidth="1"/>
    <col min="3" max="3" width="22.125" customWidth="1"/>
    <col min="4" max="4" width="15.875" customWidth="1"/>
    <col min="5" max="5" width="13" customWidth="1"/>
    <col min="6" max="6" width="13.75" customWidth="1"/>
    <col min="7" max="7" width="9.5" customWidth="1"/>
  </cols>
  <sheetData>
    <row r="1" spans="1:6">
      <c r="B1" s="2"/>
      <c r="C1" s="2"/>
      <c r="D1" s="414" t="s">
        <v>169</v>
      </c>
      <c r="E1" s="414"/>
      <c r="F1" s="414"/>
    </row>
    <row r="2" spans="1:6">
      <c r="B2" s="13"/>
      <c r="C2" s="2" t="s">
        <v>168</v>
      </c>
      <c r="D2" s="2" t="s">
        <v>171</v>
      </c>
      <c r="E2" s="2" t="s">
        <v>170</v>
      </c>
      <c r="F2" s="2" t="s">
        <v>177</v>
      </c>
    </row>
    <row r="3" spans="1:6">
      <c r="B3" s="13" t="s">
        <v>172</v>
      </c>
      <c r="C3" s="2">
        <v>257</v>
      </c>
      <c r="D3" s="50">
        <f>C3*1.1</f>
        <v>282.70000000000005</v>
      </c>
      <c r="E3" s="50"/>
      <c r="F3" s="50">
        <f>SUM(D3:E3)</f>
        <v>282.70000000000005</v>
      </c>
    </row>
    <row r="4" spans="1:6">
      <c r="B4" s="13" t="s">
        <v>174</v>
      </c>
      <c r="C4" s="2">
        <v>606</v>
      </c>
      <c r="D4" s="50">
        <f>C4*1.1</f>
        <v>666.6</v>
      </c>
      <c r="E4" s="50"/>
      <c r="F4" s="50">
        <f>SUM(D4:E4)</f>
        <v>666.6</v>
      </c>
    </row>
    <row r="5" spans="1:6">
      <c r="B5" s="13" t="s">
        <v>173</v>
      </c>
      <c r="C5" s="2">
        <v>912</v>
      </c>
      <c r="D5" s="50">
        <f>C5*1.1</f>
        <v>1003.2</v>
      </c>
      <c r="E5" s="50"/>
      <c r="F5" s="50">
        <f>SUM(D5:E5)</f>
        <v>1003.2</v>
      </c>
    </row>
    <row r="6" spans="1:6">
      <c r="B6" s="13" t="s">
        <v>175</v>
      </c>
      <c r="C6" s="2">
        <v>493</v>
      </c>
      <c r="D6" s="50">
        <f>C6*1.1</f>
        <v>542.30000000000007</v>
      </c>
      <c r="E6" s="50"/>
      <c r="F6" s="50">
        <f>SUM(D6:E6)</f>
        <v>542.30000000000007</v>
      </c>
    </row>
    <row r="7" spans="1:6">
      <c r="B7" s="13" t="s">
        <v>210</v>
      </c>
      <c r="C7" s="2">
        <v>226</v>
      </c>
      <c r="D7" s="50">
        <f>C7*1.1</f>
        <v>248.60000000000002</v>
      </c>
      <c r="E7" s="50"/>
      <c r="F7" s="50">
        <f>SUM(D7:E7)</f>
        <v>248.60000000000002</v>
      </c>
    </row>
    <row r="9" spans="1:6">
      <c r="B9" s="1"/>
      <c r="C9" s="2" t="s">
        <v>211</v>
      </c>
      <c r="D9" s="2" t="s">
        <v>212</v>
      </c>
      <c r="E9" s="2" t="s">
        <v>213</v>
      </c>
      <c r="F9" s="2" t="s">
        <v>214</v>
      </c>
    </row>
    <row r="10" spans="1:6">
      <c r="B10" s="13" t="s">
        <v>206</v>
      </c>
      <c r="C10" s="2">
        <v>800</v>
      </c>
      <c r="D10" s="2">
        <v>0</v>
      </c>
      <c r="E10" s="50">
        <v>600</v>
      </c>
      <c r="F10" s="1"/>
    </row>
    <row r="11" spans="1:6">
      <c r="A11" s="53" t="s">
        <v>215</v>
      </c>
      <c r="B11" s="13" t="s">
        <v>209</v>
      </c>
      <c r="C11" s="2">
        <v>600</v>
      </c>
      <c r="D11" s="2">
        <v>600</v>
      </c>
      <c r="E11" s="1"/>
      <c r="F11" s="1"/>
    </row>
    <row r="12" spans="1:6">
      <c r="A12" s="53" t="s">
        <v>215</v>
      </c>
      <c r="B12" s="1" t="s">
        <v>145</v>
      </c>
      <c r="C12" s="2">
        <v>1100</v>
      </c>
      <c r="D12" s="2">
        <v>600</v>
      </c>
      <c r="E12" s="1"/>
      <c r="F12" s="12">
        <v>500</v>
      </c>
    </row>
    <row r="13" spans="1:6">
      <c r="B13" s="1" t="s">
        <v>176</v>
      </c>
      <c r="C13" s="2">
        <v>0</v>
      </c>
      <c r="D13" s="2">
        <v>0</v>
      </c>
      <c r="E13" s="1"/>
      <c r="F13" s="2">
        <v>0</v>
      </c>
    </row>
    <row r="14" spans="1:6">
      <c r="B14" s="13" t="s">
        <v>207</v>
      </c>
      <c r="C14" s="12">
        <v>2600</v>
      </c>
      <c r="D14" s="2">
        <v>0</v>
      </c>
      <c r="E14" s="12">
        <v>2600</v>
      </c>
      <c r="F14" s="1"/>
    </row>
    <row r="15" spans="1:6">
      <c r="B15" s="13" t="s">
        <v>104</v>
      </c>
      <c r="C15" s="2">
        <v>1700</v>
      </c>
      <c r="D15" s="2">
        <v>0</v>
      </c>
      <c r="E15" s="12">
        <v>1700</v>
      </c>
      <c r="F15" s="1"/>
    </row>
    <row r="16" spans="1:6">
      <c r="B16" s="13" t="s">
        <v>208</v>
      </c>
      <c r="C16" s="2">
        <v>1700</v>
      </c>
      <c r="D16" s="2">
        <v>900</v>
      </c>
      <c r="E16" s="12">
        <v>800</v>
      </c>
      <c r="F16" s="1"/>
    </row>
    <row r="21" spans="3:5" ht="17.25" thickBot="1">
      <c r="C21" s="51" t="s">
        <v>87</v>
      </c>
      <c r="D21" s="52" t="s">
        <v>178</v>
      </c>
      <c r="E21" s="51" t="s">
        <v>179</v>
      </c>
    </row>
    <row r="22" spans="3:5" ht="17.25" thickBot="1">
      <c r="C22" s="51" t="s">
        <v>180</v>
      </c>
      <c r="D22" s="52" t="s">
        <v>178</v>
      </c>
      <c r="E22" s="51" t="s">
        <v>179</v>
      </c>
    </row>
    <row r="23" spans="3:5" ht="17.25" thickBot="1">
      <c r="C23" s="51" t="s">
        <v>93</v>
      </c>
      <c r="D23" s="52" t="s">
        <v>181</v>
      </c>
      <c r="E23" s="51" t="s">
        <v>182</v>
      </c>
    </row>
    <row r="24" spans="3:5" ht="17.25" thickBot="1">
      <c r="C24" s="51" t="s">
        <v>183</v>
      </c>
      <c r="D24" s="52" t="s">
        <v>184</v>
      </c>
      <c r="E24" s="51" t="s">
        <v>185</v>
      </c>
    </row>
    <row r="25" spans="3:5" ht="17.25" thickBot="1">
      <c r="C25" s="51" t="s">
        <v>95</v>
      </c>
      <c r="D25" s="52" t="s">
        <v>186</v>
      </c>
      <c r="E25" s="51" t="s">
        <v>187</v>
      </c>
    </row>
    <row r="26" spans="3:5" ht="17.25" thickBot="1">
      <c r="C26" s="51" t="s">
        <v>188</v>
      </c>
      <c r="D26" s="52" t="s">
        <v>189</v>
      </c>
      <c r="E26" s="51" t="s">
        <v>187</v>
      </c>
    </row>
    <row r="27" spans="3:5" ht="17.25" thickBot="1">
      <c r="C27" s="51" t="s">
        <v>95</v>
      </c>
      <c r="D27" s="52" t="s">
        <v>190</v>
      </c>
      <c r="E27" s="51" t="s">
        <v>187</v>
      </c>
    </row>
    <row r="28" spans="3:5" ht="17.25" thickBot="1">
      <c r="C28" s="51" t="s">
        <v>91</v>
      </c>
      <c r="D28" s="52" t="s">
        <v>191</v>
      </c>
      <c r="E28" s="51" t="s">
        <v>192</v>
      </c>
    </row>
    <row r="29" spans="3:5" ht="17.25" thickBot="1">
      <c r="C29" s="51" t="s">
        <v>193</v>
      </c>
      <c r="D29" s="52" t="s">
        <v>194</v>
      </c>
      <c r="E29" s="51" t="s">
        <v>195</v>
      </c>
    </row>
    <row r="30" spans="3:5" ht="17.25" thickBot="1">
      <c r="C30" s="51" t="s">
        <v>99</v>
      </c>
      <c r="D30" s="52" t="s">
        <v>196</v>
      </c>
      <c r="E30" s="51" t="s">
        <v>197</v>
      </c>
    </row>
    <row r="31" spans="3:5" ht="17.25" thickBot="1">
      <c r="C31" s="51" t="s">
        <v>137</v>
      </c>
      <c r="D31" s="52" t="s">
        <v>198</v>
      </c>
      <c r="E31" s="51" t="s">
        <v>179</v>
      </c>
    </row>
    <row r="32" spans="3:5" ht="17.25" thickBot="1">
      <c r="C32" s="51" t="s">
        <v>199</v>
      </c>
      <c r="D32" s="52" t="s">
        <v>198</v>
      </c>
      <c r="E32" s="51" t="s">
        <v>179</v>
      </c>
    </row>
    <row r="33" spans="3:5" ht="17.25" thickBot="1">
      <c r="C33" s="51" t="s">
        <v>138</v>
      </c>
      <c r="D33" s="52" t="s">
        <v>200</v>
      </c>
      <c r="E33" s="51" t="s">
        <v>201</v>
      </c>
    </row>
    <row r="34" spans="3:5" ht="17.25" thickBot="1">
      <c r="C34" s="51" t="s">
        <v>97</v>
      </c>
      <c r="D34" s="52" t="s">
        <v>202</v>
      </c>
      <c r="E34" s="51" t="s">
        <v>203</v>
      </c>
    </row>
    <row r="35" spans="3:5" ht="17.25" thickBot="1">
      <c r="C35" s="51" t="s">
        <v>204</v>
      </c>
      <c r="D35" s="52" t="s">
        <v>205</v>
      </c>
      <c r="E35" s="51" t="s">
        <v>203</v>
      </c>
    </row>
  </sheetData>
  <mergeCells count="1">
    <mergeCell ref="D1:F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7FA57-199C-4ECA-80A1-884E6927C919}">
  <sheetPr codeName="工作表7"/>
  <dimension ref="F2:P50"/>
  <sheetViews>
    <sheetView zoomScale="40" zoomScaleNormal="40" workbookViewId="0">
      <selection activeCell="P30" sqref="P30"/>
    </sheetView>
  </sheetViews>
  <sheetFormatPr defaultRowHeight="16.5"/>
  <cols>
    <col min="6" max="6" width="27.25" customWidth="1"/>
    <col min="7" max="7" width="36.875" customWidth="1"/>
    <col min="8" max="8" width="47.625" customWidth="1"/>
    <col min="11" max="11" width="30.875" bestFit="1" customWidth="1"/>
    <col min="12" max="12" width="78.875" customWidth="1"/>
    <col min="15" max="15" width="29.875" customWidth="1"/>
    <col min="16" max="16" width="57.125" customWidth="1"/>
  </cols>
  <sheetData>
    <row r="2" spans="6:16" ht="38.1" customHeight="1"/>
    <row r="3" spans="6:16">
      <c r="F3" s="15" t="s">
        <v>143</v>
      </c>
    </row>
    <row r="4" spans="6:16" ht="23.25">
      <c r="F4" s="15"/>
      <c r="K4" s="30">
        <v>5712200101</v>
      </c>
      <c r="L4" s="31" t="s">
        <v>161</v>
      </c>
      <c r="O4" s="33">
        <v>5712300111</v>
      </c>
      <c r="P4" s="34" t="s">
        <v>89</v>
      </c>
    </row>
    <row r="5" spans="6:16" ht="23.25">
      <c r="F5" s="15"/>
      <c r="K5" s="32">
        <v>5712200131</v>
      </c>
      <c r="L5" s="31" t="s">
        <v>90</v>
      </c>
      <c r="O5" s="37">
        <v>5713300111</v>
      </c>
      <c r="P5" s="37" t="s">
        <v>147</v>
      </c>
    </row>
    <row r="6" spans="6:16" ht="23.25">
      <c r="F6" s="15"/>
      <c r="K6" s="32">
        <v>5712600101</v>
      </c>
      <c r="L6" s="31" t="s">
        <v>162</v>
      </c>
      <c r="O6" s="35">
        <v>5713900101</v>
      </c>
      <c r="P6" s="36" t="s">
        <v>101</v>
      </c>
    </row>
    <row r="7" spans="6:16" ht="23.25">
      <c r="F7" s="15"/>
      <c r="K7" s="30">
        <v>5712600131</v>
      </c>
      <c r="L7" s="31" t="s">
        <v>160</v>
      </c>
      <c r="O7" s="29">
        <v>5713600101</v>
      </c>
      <c r="P7" s="28" t="s">
        <v>102</v>
      </c>
    </row>
    <row r="8" spans="6:16" ht="30.75">
      <c r="F8" s="15"/>
      <c r="G8" s="16" t="s">
        <v>87</v>
      </c>
      <c r="H8" s="17" t="s">
        <v>88</v>
      </c>
      <c r="K8" s="42">
        <v>5711100221</v>
      </c>
      <c r="L8" s="43" t="s">
        <v>148</v>
      </c>
    </row>
    <row r="9" spans="6:16" ht="36.75">
      <c r="F9" s="15"/>
      <c r="G9" s="16" t="s">
        <v>91</v>
      </c>
      <c r="H9" s="20" t="s">
        <v>92</v>
      </c>
      <c r="K9" s="48">
        <v>5711100271</v>
      </c>
      <c r="L9" s="48" t="s">
        <v>159</v>
      </c>
    </row>
    <row r="10" spans="6:16" ht="32.25">
      <c r="F10" s="15"/>
      <c r="G10" s="16" t="s">
        <v>93</v>
      </c>
      <c r="H10" s="20" t="s">
        <v>94</v>
      </c>
      <c r="K10" s="44">
        <v>5711100101</v>
      </c>
      <c r="L10" s="45" t="s">
        <v>149</v>
      </c>
    </row>
    <row r="11" spans="6:16" ht="33" thickBot="1">
      <c r="F11" s="15"/>
      <c r="G11" s="16" t="s">
        <v>95</v>
      </c>
      <c r="H11" s="17" t="s">
        <v>96</v>
      </c>
      <c r="K11" s="44">
        <v>5711100131</v>
      </c>
      <c r="L11" s="45" t="s">
        <v>150</v>
      </c>
      <c r="M11" s="38"/>
    </row>
    <row r="12" spans="6:16" ht="23.25">
      <c r="F12" s="15"/>
      <c r="G12" s="16" t="s">
        <v>97</v>
      </c>
      <c r="H12" s="20" t="s">
        <v>98</v>
      </c>
      <c r="K12" s="46">
        <v>5711100192</v>
      </c>
      <c r="L12" s="47" t="s">
        <v>153</v>
      </c>
    </row>
    <row r="13" spans="6:16" ht="23.25">
      <c r="F13" s="15"/>
      <c r="G13" s="16" t="s">
        <v>99</v>
      </c>
      <c r="H13" s="20" t="s">
        <v>100</v>
      </c>
      <c r="K13" s="41">
        <v>5711100211</v>
      </c>
      <c r="L13" s="41" t="s">
        <v>151</v>
      </c>
    </row>
    <row r="14" spans="6:16" ht="47.25" thickBot="1">
      <c r="F14" s="15"/>
      <c r="G14" s="14">
        <v>6866000100</v>
      </c>
      <c r="H14" s="18" t="s">
        <v>108</v>
      </c>
      <c r="M14" s="40"/>
    </row>
    <row r="15" spans="6:16">
      <c r="F15" s="15"/>
    </row>
    <row r="16" spans="6:16" ht="23.25">
      <c r="F16" s="15"/>
      <c r="G16" s="16" t="s">
        <v>103</v>
      </c>
      <c r="H16" s="20" t="s">
        <v>104</v>
      </c>
    </row>
    <row r="17" spans="6:16" ht="24" thickBot="1">
      <c r="F17" s="15"/>
      <c r="G17" s="16" t="s">
        <v>105</v>
      </c>
      <c r="H17" s="20" t="s">
        <v>106</v>
      </c>
      <c r="K17" s="39">
        <v>5712600231</v>
      </c>
      <c r="L17" s="39" t="s">
        <v>152</v>
      </c>
    </row>
    <row r="18" spans="6:16" ht="48.75">
      <c r="F18" s="15"/>
      <c r="G18" s="16" t="s">
        <v>107</v>
      </c>
      <c r="H18" s="17" t="s">
        <v>146</v>
      </c>
      <c r="J18" t="s">
        <v>144</v>
      </c>
      <c r="K18" s="29">
        <v>5712600191</v>
      </c>
      <c r="L18" s="28" t="s">
        <v>112</v>
      </c>
      <c r="N18" t="s">
        <v>144</v>
      </c>
      <c r="O18" s="19">
        <v>5713800031</v>
      </c>
      <c r="P18" s="18" t="s">
        <v>114</v>
      </c>
    </row>
    <row r="19" spans="6:16" ht="23.25">
      <c r="F19" s="15"/>
      <c r="J19" t="s">
        <v>144</v>
      </c>
      <c r="K19" s="29">
        <v>5712600231</v>
      </c>
      <c r="L19" s="28" t="s">
        <v>113</v>
      </c>
      <c r="N19" t="s">
        <v>144</v>
      </c>
      <c r="O19" s="19">
        <v>5714100131</v>
      </c>
      <c r="P19" s="18" t="s">
        <v>127</v>
      </c>
    </row>
    <row r="20" spans="6:16" ht="23.25">
      <c r="F20" s="15"/>
      <c r="J20" t="s">
        <v>144</v>
      </c>
      <c r="K20" s="29">
        <v>3641101001</v>
      </c>
      <c r="L20" s="28" t="s">
        <v>115</v>
      </c>
      <c r="N20" t="s">
        <v>144</v>
      </c>
      <c r="O20" s="19">
        <v>5712300131</v>
      </c>
      <c r="P20" s="18" t="s">
        <v>89</v>
      </c>
    </row>
    <row r="21" spans="6:16">
      <c r="F21" s="15" t="s">
        <v>144</v>
      </c>
      <c r="J21" t="s">
        <v>144</v>
      </c>
    </row>
    <row r="22" spans="6:16" ht="23.25">
      <c r="F22" s="15"/>
      <c r="G22" s="21" t="s">
        <v>117</v>
      </c>
      <c r="H22" s="22" t="s">
        <v>118</v>
      </c>
      <c r="J22" t="s">
        <v>144</v>
      </c>
    </row>
    <row r="23" spans="6:16" ht="23.25">
      <c r="F23" s="15"/>
      <c r="G23" s="21" t="s">
        <v>119</v>
      </c>
      <c r="H23" s="22" t="s">
        <v>92</v>
      </c>
    </row>
    <row r="24" spans="6:16" ht="23.25">
      <c r="F24" s="15"/>
      <c r="G24" s="21" t="s">
        <v>120</v>
      </c>
      <c r="H24" s="22" t="s">
        <v>94</v>
      </c>
    </row>
    <row r="25" spans="6:16" ht="23.25">
      <c r="F25" s="15"/>
      <c r="G25" s="21" t="s">
        <v>121</v>
      </c>
      <c r="H25" s="22" t="s">
        <v>122</v>
      </c>
    </row>
    <row r="26" spans="6:16" ht="23.25">
      <c r="F26" s="15"/>
      <c r="G26" s="21" t="s">
        <v>123</v>
      </c>
      <c r="H26" s="22" t="s">
        <v>96</v>
      </c>
      <c r="K26" s="19">
        <v>5713700011</v>
      </c>
      <c r="L26" s="18" t="s">
        <v>154</v>
      </c>
    </row>
    <row r="27" spans="6:16" ht="23.25">
      <c r="F27" s="15"/>
      <c r="G27" s="21" t="s">
        <v>124</v>
      </c>
      <c r="H27" s="22" t="s">
        <v>98</v>
      </c>
      <c r="K27" s="19">
        <v>5713700031</v>
      </c>
      <c r="L27" s="18" t="s">
        <v>109</v>
      </c>
    </row>
    <row r="28" spans="6:16" ht="23.25">
      <c r="F28" s="15"/>
      <c r="G28" s="21" t="s">
        <v>125</v>
      </c>
      <c r="H28" s="22" t="s">
        <v>126</v>
      </c>
      <c r="K28" s="19">
        <v>5713700041</v>
      </c>
      <c r="L28" s="18" t="s">
        <v>110</v>
      </c>
    </row>
    <row r="29" spans="6:16" ht="23.25">
      <c r="F29" s="15"/>
      <c r="G29" s="21" t="s">
        <v>128</v>
      </c>
      <c r="H29" s="22" t="s">
        <v>100</v>
      </c>
      <c r="K29" s="19">
        <v>5713700051</v>
      </c>
      <c r="L29" s="18" t="s">
        <v>111</v>
      </c>
    </row>
    <row r="30" spans="6:16" ht="23.25">
      <c r="F30" s="15"/>
      <c r="G30" s="21" t="s">
        <v>129</v>
      </c>
      <c r="H30" s="22" t="s">
        <v>130</v>
      </c>
    </row>
    <row r="31" spans="6:16" ht="23.25">
      <c r="F31" s="15"/>
      <c r="G31" s="21" t="s">
        <v>131</v>
      </c>
      <c r="H31" s="23" t="s">
        <v>104</v>
      </c>
    </row>
    <row r="32" spans="6:16" ht="23.25">
      <c r="F32" s="15"/>
      <c r="G32" s="21" t="s">
        <v>132</v>
      </c>
      <c r="H32" s="23" t="s">
        <v>106</v>
      </c>
      <c r="J32" t="s">
        <v>145</v>
      </c>
      <c r="K32" s="19">
        <v>5712200131</v>
      </c>
      <c r="L32" s="18" t="s">
        <v>115</v>
      </c>
    </row>
    <row r="33" spans="6:12" ht="25.5">
      <c r="F33" s="15"/>
      <c r="G33" s="21" t="s">
        <v>133</v>
      </c>
      <c r="H33" s="22" t="s">
        <v>134</v>
      </c>
      <c r="K33" s="14">
        <v>5712600221</v>
      </c>
      <c r="L33" s="18" t="s">
        <v>140</v>
      </c>
    </row>
    <row r="34" spans="6:12" ht="23.25">
      <c r="F34" s="15"/>
      <c r="G34" s="21" t="s">
        <v>135</v>
      </c>
      <c r="H34" s="22" t="s">
        <v>136</v>
      </c>
      <c r="K34" s="49">
        <v>5712600241</v>
      </c>
      <c r="L34" t="s">
        <v>163</v>
      </c>
    </row>
    <row r="35" spans="6:12" ht="23.25">
      <c r="F35" s="15"/>
      <c r="G35" s="21" t="s">
        <v>116</v>
      </c>
      <c r="H35" s="22" t="s">
        <v>167</v>
      </c>
    </row>
    <row r="36" spans="6:12">
      <c r="F36" s="15"/>
    </row>
    <row r="37" spans="6:12">
      <c r="F37" s="15"/>
    </row>
    <row r="38" spans="6:12">
      <c r="F38" s="15"/>
    </row>
    <row r="39" spans="6:12">
      <c r="F39" s="15"/>
    </row>
    <row r="40" spans="6:12">
      <c r="F40" s="15"/>
    </row>
    <row r="41" spans="6:12">
      <c r="F41" s="15"/>
    </row>
    <row r="42" spans="6:12">
      <c r="F42" s="15"/>
    </row>
    <row r="43" spans="6:12">
      <c r="F43" s="15"/>
    </row>
    <row r="44" spans="6:12" ht="25.5">
      <c r="F44" s="15" t="s">
        <v>145</v>
      </c>
      <c r="G44" s="24" t="s">
        <v>137</v>
      </c>
      <c r="H44" s="25" t="s">
        <v>88</v>
      </c>
    </row>
    <row r="45" spans="6:12" ht="25.5">
      <c r="F45" s="15"/>
      <c r="G45" s="24" t="s">
        <v>138</v>
      </c>
      <c r="H45" s="25" t="s">
        <v>139</v>
      </c>
    </row>
    <row r="46" spans="6:12" ht="23.25">
      <c r="F46" s="15"/>
      <c r="G46" s="26" t="s">
        <v>141</v>
      </c>
      <c r="H46" s="25" t="s">
        <v>142</v>
      </c>
    </row>
    <row r="47" spans="6:12" ht="23.25">
      <c r="F47" s="15"/>
      <c r="G47" s="27" t="s">
        <v>103</v>
      </c>
      <c r="H47" s="25" t="s">
        <v>104</v>
      </c>
    </row>
    <row r="48" spans="6:12" ht="25.5">
      <c r="F48" s="15"/>
      <c r="G48" s="24" t="s">
        <v>138</v>
      </c>
      <c r="H48" s="25" t="s">
        <v>106</v>
      </c>
    </row>
    <row r="49" spans="6:6">
      <c r="F49" s="15"/>
    </row>
    <row r="50" spans="6:6">
      <c r="F50" s="15"/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AC92-F992-44B0-9E93-031A11BC7959}">
  <sheetPr codeName="工作表8"/>
  <dimension ref="C3:L61"/>
  <sheetViews>
    <sheetView zoomScale="75" zoomScaleNormal="75" workbookViewId="0">
      <selection activeCell="H20" sqref="H20"/>
    </sheetView>
  </sheetViews>
  <sheetFormatPr defaultColWidth="8.75" defaultRowHeight="16.5"/>
  <cols>
    <col min="2" max="2" width="4" customWidth="1"/>
    <col min="3" max="3" width="13.375" customWidth="1"/>
    <col min="4" max="4" width="11.125" customWidth="1"/>
    <col min="5" max="5" width="15.5" customWidth="1"/>
    <col min="6" max="6" width="12.75" customWidth="1"/>
    <col min="7" max="7" width="14.75" customWidth="1"/>
    <col min="8" max="9" width="9.875" customWidth="1"/>
    <col min="10" max="10" width="10.75" customWidth="1"/>
    <col min="11" max="11" width="76.125" customWidth="1"/>
    <col min="12" max="12" width="15" customWidth="1"/>
  </cols>
  <sheetData>
    <row r="3" spans="3:12" ht="17.25" thickBot="1"/>
    <row r="4" spans="3:12" ht="47.25" customHeight="1">
      <c r="C4" s="54" t="s">
        <v>2</v>
      </c>
      <c r="D4" s="55" t="s">
        <v>245</v>
      </c>
      <c r="E4" s="55" t="s">
        <v>246</v>
      </c>
      <c r="F4" s="55" t="s">
        <v>247</v>
      </c>
      <c r="G4" s="55" t="s">
        <v>248</v>
      </c>
      <c r="H4" s="56" t="s">
        <v>249</v>
      </c>
      <c r="I4" s="57" t="s">
        <v>250</v>
      </c>
      <c r="J4" s="56" t="s">
        <v>251</v>
      </c>
      <c r="K4" s="56" t="s">
        <v>252</v>
      </c>
      <c r="L4" s="58" t="s">
        <v>253</v>
      </c>
    </row>
    <row r="5" spans="3:12">
      <c r="C5" s="59">
        <v>5714600131</v>
      </c>
      <c r="D5" s="2" t="s">
        <v>227</v>
      </c>
      <c r="E5" s="2" t="s">
        <v>254</v>
      </c>
      <c r="F5" s="2" t="s">
        <v>255</v>
      </c>
      <c r="G5" s="2" t="s">
        <v>255</v>
      </c>
      <c r="H5" s="2" t="s">
        <v>255</v>
      </c>
      <c r="I5" s="6" t="s">
        <v>255</v>
      </c>
      <c r="J5" s="2" t="s">
        <v>255</v>
      </c>
      <c r="K5" s="1" t="s">
        <v>51</v>
      </c>
      <c r="L5" s="60" t="s">
        <v>227</v>
      </c>
    </row>
    <row r="6" spans="3:12">
      <c r="C6" s="59">
        <v>3621101701</v>
      </c>
      <c r="D6" s="2" t="s">
        <v>228</v>
      </c>
      <c r="E6" s="2" t="s">
        <v>256</v>
      </c>
      <c r="F6" s="2" t="s">
        <v>257</v>
      </c>
      <c r="G6" s="2" t="s">
        <v>258</v>
      </c>
      <c r="H6" s="2">
        <v>18</v>
      </c>
      <c r="I6" s="6" t="s">
        <v>259</v>
      </c>
      <c r="J6" s="2" t="s">
        <v>260</v>
      </c>
      <c r="K6" s="61" t="s">
        <v>261</v>
      </c>
      <c r="L6" s="60" t="s">
        <v>262</v>
      </c>
    </row>
    <row r="7" spans="3:12">
      <c r="C7" s="59">
        <v>3621101704</v>
      </c>
      <c r="D7" s="12" t="s">
        <v>229</v>
      </c>
      <c r="E7" s="2" t="s">
        <v>256</v>
      </c>
      <c r="F7" s="2" t="s">
        <v>257</v>
      </c>
      <c r="G7" s="62" t="s">
        <v>263</v>
      </c>
      <c r="H7" s="2">
        <v>12</v>
      </c>
      <c r="I7" s="6" t="s">
        <v>264</v>
      </c>
      <c r="J7" s="2" t="s">
        <v>260</v>
      </c>
      <c r="K7" s="1" t="s">
        <v>265</v>
      </c>
      <c r="L7" s="60" t="s">
        <v>266</v>
      </c>
    </row>
    <row r="8" spans="3:12">
      <c r="C8" s="59">
        <v>3621101709</v>
      </c>
      <c r="D8" s="12" t="s">
        <v>230</v>
      </c>
      <c r="E8" s="2" t="s">
        <v>256</v>
      </c>
      <c r="F8" s="2" t="s">
        <v>257</v>
      </c>
      <c r="G8" s="2" t="s">
        <v>258</v>
      </c>
      <c r="H8" s="2">
        <v>15</v>
      </c>
      <c r="I8" s="6" t="s">
        <v>259</v>
      </c>
      <c r="J8" s="2" t="s">
        <v>260</v>
      </c>
      <c r="K8" s="1" t="s">
        <v>267</v>
      </c>
      <c r="L8" s="60" t="s">
        <v>268</v>
      </c>
    </row>
    <row r="9" spans="3:12">
      <c r="C9" s="59">
        <v>3621101705</v>
      </c>
      <c r="D9" s="12" t="s">
        <v>231</v>
      </c>
      <c r="E9" s="2" t="s">
        <v>256</v>
      </c>
      <c r="F9" s="2" t="s">
        <v>257</v>
      </c>
      <c r="G9" s="2" t="s">
        <v>258</v>
      </c>
      <c r="H9" s="2">
        <v>18</v>
      </c>
      <c r="I9" s="6" t="s">
        <v>259</v>
      </c>
      <c r="J9" s="2" t="s">
        <v>269</v>
      </c>
      <c r="K9" s="1" t="s">
        <v>270</v>
      </c>
      <c r="L9" s="60" t="s">
        <v>271</v>
      </c>
    </row>
    <row r="10" spans="3:12">
      <c r="C10" s="59">
        <v>3621101702</v>
      </c>
      <c r="D10" s="2" t="s">
        <v>232</v>
      </c>
      <c r="E10" s="62" t="s">
        <v>272</v>
      </c>
      <c r="F10" s="2" t="s">
        <v>257</v>
      </c>
      <c r="G10" s="2" t="s">
        <v>258</v>
      </c>
      <c r="H10" s="2">
        <v>18</v>
      </c>
      <c r="I10" s="6" t="s">
        <v>259</v>
      </c>
      <c r="J10" s="2" t="s">
        <v>260</v>
      </c>
      <c r="K10" s="61" t="s">
        <v>273</v>
      </c>
      <c r="L10" s="60" t="s">
        <v>262</v>
      </c>
    </row>
    <row r="11" spans="3:12">
      <c r="C11" s="59">
        <v>3621101706</v>
      </c>
      <c r="D11" s="2" t="s">
        <v>233</v>
      </c>
      <c r="E11" s="2" t="s">
        <v>256</v>
      </c>
      <c r="F11" s="62" t="s">
        <v>274</v>
      </c>
      <c r="G11" s="2" t="s">
        <v>258</v>
      </c>
      <c r="H11" s="2">
        <v>18</v>
      </c>
      <c r="I11" s="6" t="s">
        <v>259</v>
      </c>
      <c r="J11" s="2" t="s">
        <v>260</v>
      </c>
      <c r="K11" s="61" t="s">
        <v>275</v>
      </c>
      <c r="L11" s="60"/>
    </row>
    <row r="12" spans="3:12">
      <c r="C12" s="59">
        <v>3621101706</v>
      </c>
      <c r="D12" s="2" t="s">
        <v>276</v>
      </c>
      <c r="E12" s="2" t="s">
        <v>256</v>
      </c>
      <c r="F12" s="7" t="s">
        <v>274</v>
      </c>
      <c r="G12" s="2" t="s">
        <v>258</v>
      </c>
      <c r="H12" s="2">
        <v>18</v>
      </c>
      <c r="I12" s="6" t="s">
        <v>259</v>
      </c>
      <c r="J12" s="2" t="s">
        <v>260</v>
      </c>
      <c r="K12" s="61" t="s">
        <v>275</v>
      </c>
      <c r="L12" s="60"/>
    </row>
    <row r="13" spans="3:12">
      <c r="C13" s="59">
        <v>3621101706</v>
      </c>
      <c r="D13" s="2" t="s">
        <v>277</v>
      </c>
      <c r="E13" s="2" t="s">
        <v>256</v>
      </c>
      <c r="F13" s="7" t="s">
        <v>274</v>
      </c>
      <c r="G13" s="2" t="s">
        <v>258</v>
      </c>
      <c r="H13" s="2">
        <v>18</v>
      </c>
      <c r="I13" s="6" t="s">
        <v>259</v>
      </c>
      <c r="J13" s="2" t="s">
        <v>260</v>
      </c>
      <c r="K13" s="61" t="s">
        <v>275</v>
      </c>
      <c r="L13" s="60" t="s">
        <v>278</v>
      </c>
    </row>
    <row r="14" spans="3:12">
      <c r="C14" s="59">
        <v>3621101703</v>
      </c>
      <c r="D14" s="2" t="s">
        <v>235</v>
      </c>
      <c r="E14" s="62" t="s">
        <v>272</v>
      </c>
      <c r="F14" s="2" t="s">
        <v>257</v>
      </c>
      <c r="G14" s="2" t="s">
        <v>258</v>
      </c>
      <c r="H14" s="2">
        <v>12</v>
      </c>
      <c r="I14" s="6" t="s">
        <v>259</v>
      </c>
      <c r="J14" s="2" t="s">
        <v>260</v>
      </c>
      <c r="K14" s="1" t="s">
        <v>279</v>
      </c>
      <c r="L14" s="60" t="s">
        <v>280</v>
      </c>
    </row>
    <row r="15" spans="3:12" ht="22.5" customHeight="1" thickBot="1">
      <c r="C15" s="63">
        <v>3621101708</v>
      </c>
      <c r="D15" s="220" t="s">
        <v>236</v>
      </c>
      <c r="E15" s="64" t="s">
        <v>256</v>
      </c>
      <c r="F15" s="64" t="s">
        <v>257</v>
      </c>
      <c r="G15" s="65" t="s">
        <v>281</v>
      </c>
      <c r="H15" s="64">
        <v>18</v>
      </c>
      <c r="I15" s="66" t="s">
        <v>236</v>
      </c>
      <c r="J15" s="64" t="s">
        <v>260</v>
      </c>
      <c r="K15" s="67" t="s">
        <v>282</v>
      </c>
      <c r="L15" s="68" t="s">
        <v>280</v>
      </c>
    </row>
    <row r="54" ht="76.5" customHeight="1"/>
    <row r="55" ht="76.5" customHeight="1"/>
    <row r="56" ht="76.5" customHeight="1"/>
    <row r="57" ht="76.5" customHeight="1"/>
    <row r="58" ht="76.5" customHeight="1"/>
    <row r="59" ht="76.5" customHeight="1"/>
    <row r="60" ht="76.5" customHeight="1"/>
    <row r="61" ht="76.5" customHeight="1"/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DCF1-CA1F-4DBF-B1D3-8D6A8D3A8DE5}">
  <sheetPr codeName="工作表9"/>
  <dimension ref="C1:M74"/>
  <sheetViews>
    <sheetView zoomScale="70" zoomScaleNormal="70" workbookViewId="0">
      <selection activeCell="E7" sqref="E7"/>
    </sheetView>
  </sheetViews>
  <sheetFormatPr defaultColWidth="8.75" defaultRowHeight="16.5"/>
  <cols>
    <col min="2" max="2" width="4" customWidth="1"/>
    <col min="3" max="3" width="24.5" customWidth="1"/>
    <col min="4" max="4" width="16.5" customWidth="1"/>
    <col min="5" max="5" width="30.875" style="72" customWidth="1"/>
    <col min="6" max="6" width="14.875" customWidth="1"/>
    <col min="7" max="7" width="10" bestFit="1" customWidth="1"/>
    <col min="8" max="8" width="22.5" customWidth="1"/>
    <col min="9" max="9" width="14.875" customWidth="1"/>
    <col min="10" max="10" width="16.75" customWidth="1"/>
    <col min="11" max="11" width="14.625" customWidth="1"/>
    <col min="12" max="12" width="108.625" customWidth="1"/>
    <col min="13" max="13" width="15" customWidth="1"/>
  </cols>
  <sheetData>
    <row r="1" spans="3:13" ht="17.25" thickBot="1"/>
    <row r="2" spans="3:13" ht="47.25" customHeight="1">
      <c r="C2" s="54" t="s">
        <v>2</v>
      </c>
      <c r="D2" s="55" t="s">
        <v>245</v>
      </c>
      <c r="E2" s="277" t="s">
        <v>246</v>
      </c>
      <c r="F2" s="55" t="s">
        <v>288</v>
      </c>
      <c r="G2" s="55" t="s">
        <v>289</v>
      </c>
      <c r="H2" s="55" t="s">
        <v>248</v>
      </c>
      <c r="I2" s="56" t="s">
        <v>249</v>
      </c>
      <c r="J2" s="71" t="s">
        <v>293</v>
      </c>
      <c r="K2" s="70" t="s">
        <v>294</v>
      </c>
      <c r="L2" s="56" t="s">
        <v>252</v>
      </c>
      <c r="M2" s="58" t="s">
        <v>253</v>
      </c>
    </row>
    <row r="3" spans="3:13" ht="19.5">
      <c r="C3" s="278">
        <v>3630101903</v>
      </c>
      <c r="D3" s="8" t="s">
        <v>283</v>
      </c>
      <c r="E3" s="69" t="s">
        <v>63</v>
      </c>
      <c r="F3" s="5" t="s">
        <v>227</v>
      </c>
      <c r="G3" s="5" t="s">
        <v>290</v>
      </c>
      <c r="H3" s="4" t="s">
        <v>370</v>
      </c>
      <c r="I3" s="4">
        <v>12</v>
      </c>
      <c r="J3" s="5">
        <v>1</v>
      </c>
      <c r="K3" s="5">
        <v>2</v>
      </c>
      <c r="L3" s="83" t="str">
        <f>E3 &amp; ";卡匣"&amp;F3 &amp;";"&amp;G3&amp;"防溢墊;"&amp;H3&amp;";標籤;"&amp;"效期"&amp;I3&amp;"個月;"&amp;"噴碼線別設"&amp;J3&amp;"工廠設"&amp;K3</f>
        <v>肝肾功能十一项;卡匣通用;紅色防溢墊;VB 小張;標籤;效期12個月;噴碼線別設1工廠設2</v>
      </c>
      <c r="M3" s="60"/>
    </row>
    <row r="4" spans="3:13" ht="19.5">
      <c r="C4" s="278">
        <v>3630101904</v>
      </c>
      <c r="D4" s="8" t="s">
        <v>283</v>
      </c>
      <c r="E4" s="69" t="s">
        <v>20</v>
      </c>
      <c r="F4" s="5" t="s">
        <v>227</v>
      </c>
      <c r="G4" s="5" t="s">
        <v>290</v>
      </c>
      <c r="H4" s="4" t="s">
        <v>370</v>
      </c>
      <c r="I4" s="4">
        <v>12</v>
      </c>
      <c r="J4" s="5">
        <v>1</v>
      </c>
      <c r="K4" s="5">
        <v>2</v>
      </c>
      <c r="L4" s="83" t="str">
        <f t="shared" ref="L4:L42" si="0">E4 &amp; ";卡匣"&amp;F4 &amp;";"&amp;G4&amp;"防溢墊;"&amp;H4&amp;";標籤;"&amp;"效期"&amp;I4&amp;"個月;"&amp;"噴碼線別設"&amp;J4&amp;"工廠設"&amp;K4</f>
        <v>急診生化;卡匣通用;紅色防溢墊;VB 小張;標籤;效期12個月;噴碼線別設1工廠設2</v>
      </c>
      <c r="M4" s="60"/>
    </row>
    <row r="5" spans="3:13" ht="19.5">
      <c r="C5" s="278">
        <v>3630101905</v>
      </c>
      <c r="D5" s="8" t="s">
        <v>283</v>
      </c>
      <c r="E5" s="69" t="s">
        <v>40</v>
      </c>
      <c r="F5" s="5" t="s">
        <v>227</v>
      </c>
      <c r="G5" s="5" t="s">
        <v>290</v>
      </c>
      <c r="H5" s="4" t="s">
        <v>370</v>
      </c>
      <c r="I5" s="4">
        <v>12</v>
      </c>
      <c r="J5" s="5">
        <v>1</v>
      </c>
      <c r="K5" s="5">
        <v>2</v>
      </c>
      <c r="L5" s="83" t="str">
        <f t="shared" si="0"/>
        <v>電解質六項;卡匣通用;紅色防溢墊;VB 小張;標籤;效期12個月;噴碼線別設1工廠設2</v>
      </c>
      <c r="M5" s="60"/>
    </row>
    <row r="6" spans="3:13" ht="19.5">
      <c r="C6" s="278">
        <v>3630101908</v>
      </c>
      <c r="D6" s="8" t="s">
        <v>283</v>
      </c>
      <c r="E6" s="69" t="s">
        <v>23</v>
      </c>
      <c r="F6" s="5" t="s">
        <v>227</v>
      </c>
      <c r="G6" s="5" t="s">
        <v>290</v>
      </c>
      <c r="H6" s="4" t="s">
        <v>370</v>
      </c>
      <c r="I6" s="4">
        <v>12</v>
      </c>
      <c r="J6" s="5">
        <v>1</v>
      </c>
      <c r="K6" s="5">
        <v>2</v>
      </c>
      <c r="L6" s="83" t="str">
        <f t="shared" si="0"/>
        <v>糖脂生化;卡匣通用;紅色防溢墊;VB 小張;標籤;效期12個月;噴碼線別設1工廠設2</v>
      </c>
      <c r="M6" s="60"/>
    </row>
    <row r="7" spans="3:13" ht="19.5">
      <c r="C7" s="278">
        <v>3630101910</v>
      </c>
      <c r="D7" s="8" t="s">
        <v>283</v>
      </c>
      <c r="E7" s="69" t="s">
        <v>65</v>
      </c>
      <c r="F7" s="5" t="s">
        <v>227</v>
      </c>
      <c r="G7" s="5" t="s">
        <v>290</v>
      </c>
      <c r="H7" s="10" t="s">
        <v>371</v>
      </c>
      <c r="I7" s="4">
        <v>14</v>
      </c>
      <c r="J7" s="5">
        <v>7</v>
      </c>
      <c r="K7" s="5">
        <v>2</v>
      </c>
      <c r="L7" s="83" t="str">
        <f t="shared" si="0"/>
        <v>干式生化十項;卡匣通用;紅色防溢墊;不需要貼;標籤;效期14個月;噴碼線別設7工廠設2</v>
      </c>
      <c r="M7" s="60"/>
    </row>
    <row r="8" spans="3:13" ht="19.5">
      <c r="C8" s="278">
        <v>3620101005</v>
      </c>
      <c r="D8" s="8" t="s">
        <v>235</v>
      </c>
      <c r="E8" s="69" t="s">
        <v>300</v>
      </c>
      <c r="F8" s="5" t="s">
        <v>227</v>
      </c>
      <c r="G8" s="5" t="s">
        <v>290</v>
      </c>
      <c r="H8" s="4" t="s">
        <v>369</v>
      </c>
      <c r="I8" s="4">
        <v>12</v>
      </c>
      <c r="J8" s="5">
        <v>3</v>
      </c>
      <c r="K8" s="5">
        <v>1</v>
      </c>
      <c r="L8" s="83" t="str">
        <f t="shared" si="0"/>
        <v>HB-GENERAL(義);卡匣通用;紅色防溢墊;義大利特殊 skyla ;標籤;效期12個月;噴碼線別設3工廠設1</v>
      </c>
      <c r="M8" s="60"/>
    </row>
    <row r="9" spans="3:13" ht="19.5">
      <c r="C9" s="278">
        <v>3620101602</v>
      </c>
      <c r="D9" s="8" t="s">
        <v>235</v>
      </c>
      <c r="E9" s="69" t="s">
        <v>301</v>
      </c>
      <c r="F9" s="5" t="s">
        <v>227</v>
      </c>
      <c r="G9" s="5" t="s">
        <v>290</v>
      </c>
      <c r="H9" s="4" t="s">
        <v>369</v>
      </c>
      <c r="I9" s="4">
        <v>12</v>
      </c>
      <c r="J9" s="5">
        <v>3</v>
      </c>
      <c r="K9" s="5">
        <v>1</v>
      </c>
      <c r="L9" s="83" t="str">
        <f t="shared" si="0"/>
        <v>HB-Lipid(義);卡匣通用;紅色防溢墊;義大利特殊 skyla ;標籤;效期12個月;噴碼線別設3工廠設1</v>
      </c>
      <c r="M9" s="60"/>
    </row>
    <row r="10" spans="3:13" ht="19.5">
      <c r="C10" s="278">
        <v>3620101111</v>
      </c>
      <c r="D10" s="8" t="s">
        <v>284</v>
      </c>
      <c r="E10" s="69" t="s">
        <v>57</v>
      </c>
      <c r="F10" s="5" t="s">
        <v>227</v>
      </c>
      <c r="G10" s="5" t="s">
        <v>290</v>
      </c>
      <c r="H10" s="4" t="s">
        <v>264</v>
      </c>
      <c r="I10" s="4">
        <v>12</v>
      </c>
      <c r="J10" s="5">
        <v>3</v>
      </c>
      <c r="K10" s="5">
        <v>1</v>
      </c>
      <c r="L10" s="83" t="str">
        <f t="shared" si="0"/>
        <v>HB-Liver 印度;卡匣通用;紅色防溢墊;Liteon;標籤;效期12個月;噴碼線別設3工廠設1</v>
      </c>
      <c r="M10" s="60"/>
    </row>
    <row r="11" spans="3:13" ht="19.5">
      <c r="C11" s="279">
        <v>3620102401</v>
      </c>
      <c r="D11" s="80" t="s">
        <v>236</v>
      </c>
      <c r="E11" s="81" t="s">
        <v>13</v>
      </c>
      <c r="F11" s="82" t="s">
        <v>291</v>
      </c>
      <c r="G11" s="82" t="s">
        <v>292</v>
      </c>
      <c r="H11" s="79" t="s">
        <v>236</v>
      </c>
      <c r="I11" s="79">
        <v>14</v>
      </c>
      <c r="J11" s="82">
        <v>7</v>
      </c>
      <c r="K11" s="82">
        <v>3</v>
      </c>
      <c r="L11" s="84" t="str">
        <f t="shared" si="0"/>
        <v>HB-ER Panel;卡匣新 184-B;白色防溢墊;Menarini;標籤;效期14個月;噴碼線別設7工廠設3</v>
      </c>
      <c r="M11" s="60"/>
    </row>
    <row r="12" spans="3:13" ht="19.5">
      <c r="C12" s="279">
        <v>3620102201</v>
      </c>
      <c r="D12" s="80" t="s">
        <v>236</v>
      </c>
      <c r="E12" s="81" t="s">
        <v>10</v>
      </c>
      <c r="F12" s="82" t="s">
        <v>291</v>
      </c>
      <c r="G12" s="82" t="s">
        <v>292</v>
      </c>
      <c r="H12" s="79" t="s">
        <v>285</v>
      </c>
      <c r="I12" s="79">
        <v>14</v>
      </c>
      <c r="J12" s="82">
        <v>7</v>
      </c>
      <c r="K12" s="82">
        <v>3</v>
      </c>
      <c r="L12" s="84" t="str">
        <f t="shared" si="0"/>
        <v>HB - Basic;卡匣新 184-B;白色防溢墊;Menarini;標籤;效期14個月;噴碼線別設7工廠設3</v>
      </c>
      <c r="M12" s="60"/>
    </row>
    <row r="13" spans="3:13" ht="19.5">
      <c r="C13" s="279">
        <v>3620102001</v>
      </c>
      <c r="D13" s="80" t="s">
        <v>236</v>
      </c>
      <c r="E13" s="81" t="s">
        <v>11</v>
      </c>
      <c r="F13" s="82" t="s">
        <v>291</v>
      </c>
      <c r="G13" s="82" t="s">
        <v>292</v>
      </c>
      <c r="H13" s="79" t="s">
        <v>285</v>
      </c>
      <c r="I13" s="79">
        <v>14</v>
      </c>
      <c r="J13" s="82">
        <v>7</v>
      </c>
      <c r="K13" s="82">
        <v>3</v>
      </c>
      <c r="L13" s="84" t="str">
        <f t="shared" si="0"/>
        <v>HB-GENERAL;卡匣新 184-B;白色防溢墊;Menarini;標籤;效期14個月;噴碼線別設7工廠設3</v>
      </c>
      <c r="M13" s="60"/>
    </row>
    <row r="14" spans="3:13" ht="19.5">
      <c r="C14" s="279">
        <v>3620102601</v>
      </c>
      <c r="D14" s="80" t="s">
        <v>236</v>
      </c>
      <c r="E14" s="81" t="s">
        <v>9</v>
      </c>
      <c r="F14" s="82" t="s">
        <v>291</v>
      </c>
      <c r="G14" s="82" t="s">
        <v>292</v>
      </c>
      <c r="H14" s="79" t="s">
        <v>285</v>
      </c>
      <c r="I14" s="79">
        <v>14</v>
      </c>
      <c r="J14" s="82">
        <v>7</v>
      </c>
      <c r="K14" s="82">
        <v>3</v>
      </c>
      <c r="L14" s="84" t="str">
        <f t="shared" si="0"/>
        <v>HB-Lipid;卡匣新 184-B;白色防溢墊;Menarini;標籤;效期14個月;噴碼線別設7工廠設3</v>
      </c>
      <c r="M14" s="60"/>
    </row>
    <row r="15" spans="3:13" ht="19.5">
      <c r="C15" s="279">
        <v>3620102802</v>
      </c>
      <c r="D15" s="80" t="s">
        <v>236</v>
      </c>
      <c r="E15" s="81" t="s">
        <v>8</v>
      </c>
      <c r="F15" s="82" t="s">
        <v>291</v>
      </c>
      <c r="G15" s="82" t="s">
        <v>292</v>
      </c>
      <c r="H15" s="79" t="s">
        <v>285</v>
      </c>
      <c r="I15" s="79">
        <v>14</v>
      </c>
      <c r="J15" s="82">
        <v>7</v>
      </c>
      <c r="K15" s="82">
        <v>3</v>
      </c>
      <c r="L15" s="84" t="str">
        <f t="shared" si="0"/>
        <v>HB-RENAL;卡匣新 184-B;白色防溢墊;Menarini;標籤;效期14個月;噴碼線別設7工廠設3</v>
      </c>
      <c r="M15" s="60"/>
    </row>
    <row r="16" spans="3:13" ht="19.5">
      <c r="C16" s="279">
        <v>3620102402</v>
      </c>
      <c r="D16" s="80" t="s">
        <v>236</v>
      </c>
      <c r="E16" s="81" t="s">
        <v>24</v>
      </c>
      <c r="F16" s="82" t="s">
        <v>291</v>
      </c>
      <c r="G16" s="82" t="s">
        <v>292</v>
      </c>
      <c r="H16" s="79" t="s">
        <v>285</v>
      </c>
      <c r="I16" s="79">
        <v>14</v>
      </c>
      <c r="J16" s="82">
        <v>7</v>
      </c>
      <c r="K16" s="82">
        <v>3</v>
      </c>
      <c r="L16" s="84" t="str">
        <f t="shared" si="0"/>
        <v>HB - ER II Plus;卡匣新 184-B;白色防溢墊;Menarini;標籤;效期14個月;噴碼線別設7工廠設3</v>
      </c>
      <c r="M16" s="60"/>
    </row>
    <row r="17" spans="3:13" ht="19.5">
      <c r="C17" s="279">
        <v>3620102403</v>
      </c>
      <c r="D17" s="80" t="s">
        <v>236</v>
      </c>
      <c r="E17" s="81" t="s">
        <v>52</v>
      </c>
      <c r="F17" s="82" t="s">
        <v>291</v>
      </c>
      <c r="G17" s="82" t="s">
        <v>292</v>
      </c>
      <c r="H17" s="79" t="s">
        <v>285</v>
      </c>
      <c r="I17" s="79">
        <v>14</v>
      </c>
      <c r="J17" s="82">
        <v>7</v>
      </c>
      <c r="K17" s="82">
        <v>3</v>
      </c>
      <c r="L17" s="84" t="str">
        <f t="shared" si="0"/>
        <v>HB - ER III;卡匣新 184-B;白色防溢墊;Menarini;標籤;效期14個月;噴碼線別設7工廠設3</v>
      </c>
      <c r="M17" s="60"/>
    </row>
    <row r="18" spans="3:13" ht="19.5">
      <c r="C18" s="279">
        <v>3620102501</v>
      </c>
      <c r="D18" s="80" t="s">
        <v>236</v>
      </c>
      <c r="E18" s="81" t="s">
        <v>286</v>
      </c>
      <c r="F18" s="82" t="s">
        <v>291</v>
      </c>
      <c r="G18" s="82" t="s">
        <v>292</v>
      </c>
      <c r="H18" s="79" t="s">
        <v>285</v>
      </c>
      <c r="I18" s="79">
        <v>14</v>
      </c>
      <c r="J18" s="82">
        <v>7</v>
      </c>
      <c r="K18" s="82">
        <v>3</v>
      </c>
      <c r="L18" s="84" t="str">
        <f t="shared" si="0"/>
        <v>HB-Renal Focus;卡匣新 184-B;白色防溢墊;Menarini;標籤;效期14個月;噴碼線別設7工廠設3</v>
      </c>
      <c r="M18" s="60"/>
    </row>
    <row r="19" spans="3:13" ht="19.5">
      <c r="C19" s="279">
        <v>3620102803</v>
      </c>
      <c r="D19" s="80" t="s">
        <v>236</v>
      </c>
      <c r="E19" s="81" t="s">
        <v>287</v>
      </c>
      <c r="F19" s="82" t="s">
        <v>291</v>
      </c>
      <c r="G19" s="82" t="s">
        <v>292</v>
      </c>
      <c r="H19" s="79" t="s">
        <v>285</v>
      </c>
      <c r="I19" s="79">
        <v>14</v>
      </c>
      <c r="J19" s="82">
        <v>7</v>
      </c>
      <c r="K19" s="82">
        <v>3</v>
      </c>
      <c r="L19" s="84" t="str">
        <f t="shared" si="0"/>
        <v>HB-Liver Focus;卡匣新 184-B;白色防溢墊;Menarini;標籤;效期14個月;噴碼線別設7工廠設3</v>
      </c>
      <c r="M19" s="60"/>
    </row>
    <row r="20" spans="3:13" ht="19.5">
      <c r="C20" s="278">
        <v>3620101412</v>
      </c>
      <c r="D20" s="8" t="s">
        <v>259</v>
      </c>
      <c r="E20" s="76" t="s">
        <v>219</v>
      </c>
      <c r="F20" s="5" t="s">
        <v>291</v>
      </c>
      <c r="G20" s="5" t="s">
        <v>292</v>
      </c>
      <c r="H20" s="4" t="s">
        <v>259</v>
      </c>
      <c r="I20" s="4">
        <v>14</v>
      </c>
      <c r="J20" s="5">
        <v>7</v>
      </c>
      <c r="K20" s="5">
        <v>1</v>
      </c>
      <c r="L20" s="83" t="str">
        <f t="shared" si="0"/>
        <v>HB - ER Panel (for VacuDrop);卡匣新 184-B;白色防溢墊;Skyla;標籤;效期14個月;噴碼線別設7工廠設1</v>
      </c>
      <c r="M20" s="60"/>
    </row>
    <row r="21" spans="3:13" ht="19.5">
      <c r="C21" s="280">
        <v>3620101011</v>
      </c>
      <c r="D21" s="8" t="s">
        <v>259</v>
      </c>
      <c r="E21" s="76" t="s">
        <v>295</v>
      </c>
      <c r="F21" s="5" t="s">
        <v>291</v>
      </c>
      <c r="G21" s="5" t="s">
        <v>292</v>
      </c>
      <c r="H21" s="4" t="s">
        <v>259</v>
      </c>
      <c r="I21" s="4">
        <v>14</v>
      </c>
      <c r="J21" s="5">
        <v>7</v>
      </c>
      <c r="K21" s="5">
        <v>1</v>
      </c>
      <c r="L21" s="83" t="str">
        <f t="shared" si="0"/>
        <v>HB - General  (for VacuDrop);卡匣新 184-B;白色防溢墊;Skyla;標籤;效期14個月;噴碼線別設7工廠設1</v>
      </c>
      <c r="M21" s="60"/>
    </row>
    <row r="22" spans="3:13" ht="19.5">
      <c r="C22" s="278">
        <v>3620101605</v>
      </c>
      <c r="D22" s="8" t="s">
        <v>259</v>
      </c>
      <c r="E22" s="76" t="s">
        <v>221</v>
      </c>
      <c r="F22" s="5" t="s">
        <v>291</v>
      </c>
      <c r="G22" s="5" t="s">
        <v>292</v>
      </c>
      <c r="H22" s="4" t="s">
        <v>259</v>
      </c>
      <c r="I22" s="4">
        <v>14</v>
      </c>
      <c r="J22" s="5">
        <v>7</v>
      </c>
      <c r="K22" s="5">
        <v>1</v>
      </c>
      <c r="L22" s="83" t="str">
        <f t="shared" si="0"/>
        <v>HB - Lipid Panel (for VacuDrop);卡匣新 184-B;白色防溢墊;Skyla;標籤;效期14個月;噴碼線別設7工廠設1</v>
      </c>
      <c r="M22" s="60"/>
    </row>
    <row r="23" spans="3:13" ht="19.5">
      <c r="C23" s="278">
        <v>3620101508</v>
      </c>
      <c r="D23" s="8" t="s">
        <v>259</v>
      </c>
      <c r="E23" s="76" t="s">
        <v>296</v>
      </c>
      <c r="F23" s="5" t="s">
        <v>291</v>
      </c>
      <c r="G23" s="5" t="s">
        <v>292</v>
      </c>
      <c r="H23" s="4" t="s">
        <v>259</v>
      </c>
      <c r="I23" s="4">
        <v>14</v>
      </c>
      <c r="J23" s="5">
        <v>7</v>
      </c>
      <c r="K23" s="5">
        <v>1</v>
      </c>
      <c r="L23" s="83" t="str">
        <f t="shared" si="0"/>
        <v>HB-Renal Panel (for VacuDrop);卡匣新 184-B;白色防溢墊;Skyla;標籤;效期14個月;噴碼線別設7工廠設1</v>
      </c>
      <c r="M23" s="60"/>
    </row>
    <row r="24" spans="3:13" ht="19.5">
      <c r="C24" s="278">
        <v>3620101415</v>
      </c>
      <c r="D24" s="8" t="s">
        <v>259</v>
      </c>
      <c r="E24" s="76" t="s">
        <v>297</v>
      </c>
      <c r="F24" s="5" t="s">
        <v>291</v>
      </c>
      <c r="G24" s="5" t="s">
        <v>292</v>
      </c>
      <c r="H24" s="4" t="s">
        <v>259</v>
      </c>
      <c r="I24" s="4">
        <v>14</v>
      </c>
      <c r="J24" s="5">
        <v>7</v>
      </c>
      <c r="K24" s="5">
        <v>1</v>
      </c>
      <c r="L24" s="83" t="str">
        <f t="shared" si="0"/>
        <v>HB - ER III (for VacuDrop );卡匣新 184-B;白色防溢墊;Skyla;標籤;效期14個月;噴碼線別設7工廠設1</v>
      </c>
      <c r="M24" s="60"/>
    </row>
    <row r="25" spans="3:13" ht="19.5">
      <c r="C25" s="278">
        <v>3620101511</v>
      </c>
      <c r="D25" s="8" t="s">
        <v>259</v>
      </c>
      <c r="E25" s="76" t="s">
        <v>298</v>
      </c>
      <c r="F25" s="5" t="s">
        <v>291</v>
      </c>
      <c r="G25" s="5" t="s">
        <v>292</v>
      </c>
      <c r="H25" s="4" t="s">
        <v>259</v>
      </c>
      <c r="I25" s="4">
        <v>14</v>
      </c>
      <c r="J25" s="5">
        <v>7</v>
      </c>
      <c r="K25" s="5">
        <v>1</v>
      </c>
      <c r="L25" s="83" t="str">
        <f t="shared" si="0"/>
        <v>HB-Renal Focus (for VacuDrop );卡匣新 184-B;白色防溢墊;Skyla;標籤;效期14個月;噴碼線別設7工廠設1</v>
      </c>
      <c r="M25" s="60"/>
    </row>
    <row r="26" spans="3:13" ht="19.5">
      <c r="C26" s="278">
        <v>3620101113</v>
      </c>
      <c r="D26" s="8" t="s">
        <v>259</v>
      </c>
      <c r="E26" s="76" t="s">
        <v>299</v>
      </c>
      <c r="F26" s="5" t="s">
        <v>291</v>
      </c>
      <c r="G26" s="5" t="s">
        <v>292</v>
      </c>
      <c r="H26" s="4" t="s">
        <v>259</v>
      </c>
      <c r="I26" s="4">
        <v>14</v>
      </c>
      <c r="J26" s="5">
        <v>7</v>
      </c>
      <c r="K26" s="5">
        <v>1</v>
      </c>
      <c r="L26" s="83" t="str">
        <f t="shared" si="0"/>
        <v>HB-Liver Focus (for VacuDrop );卡匣新 184-B;白色防溢墊;Skyla;標籤;效期14個月;噴碼線別設7工廠設1</v>
      </c>
      <c r="M26" s="60"/>
    </row>
    <row r="27" spans="3:13" ht="19.5">
      <c r="C27" s="278">
        <v>3620101301</v>
      </c>
      <c r="D27" s="8" t="s">
        <v>259</v>
      </c>
      <c r="E27" s="69" t="s">
        <v>19</v>
      </c>
      <c r="F27" s="5" t="s">
        <v>227</v>
      </c>
      <c r="G27" s="5" t="s">
        <v>290</v>
      </c>
      <c r="H27" s="4" t="s">
        <v>259</v>
      </c>
      <c r="I27" s="4">
        <v>14</v>
      </c>
      <c r="J27" s="5">
        <v>7</v>
      </c>
      <c r="K27" s="5">
        <v>1</v>
      </c>
      <c r="L27" s="83" t="str">
        <f t="shared" si="0"/>
        <v>HB-Metabolic;卡匣通用;紅色防溢墊;Skyla;標籤;效期14個月;噴碼線別設7工廠設1</v>
      </c>
      <c r="M27" s="60"/>
    </row>
    <row r="28" spans="3:13" ht="19.5">
      <c r="C28" s="278">
        <v>3620101102</v>
      </c>
      <c r="D28" s="8" t="s">
        <v>259</v>
      </c>
      <c r="E28" s="69" t="s">
        <v>7</v>
      </c>
      <c r="F28" s="5" t="s">
        <v>227</v>
      </c>
      <c r="G28" s="5" t="s">
        <v>290</v>
      </c>
      <c r="H28" s="4" t="s">
        <v>259</v>
      </c>
      <c r="I28" s="4">
        <v>14</v>
      </c>
      <c r="J28" s="5">
        <v>7</v>
      </c>
      <c r="K28" s="5">
        <v>1</v>
      </c>
      <c r="L28" s="83" t="str">
        <f t="shared" si="0"/>
        <v>HB-Liver;卡匣通用;紅色防溢墊;Skyla;標籤;效期14個月;噴碼線別設7工廠設1</v>
      </c>
      <c r="M28" s="60"/>
    </row>
    <row r="29" spans="3:13" ht="19.5">
      <c r="C29" s="278">
        <v>3620101401</v>
      </c>
      <c r="D29" s="8" t="s">
        <v>259</v>
      </c>
      <c r="E29" s="69" t="s">
        <v>315</v>
      </c>
      <c r="F29" s="5" t="s">
        <v>227</v>
      </c>
      <c r="G29" s="5" t="s">
        <v>290</v>
      </c>
      <c r="H29" s="4" t="s">
        <v>259</v>
      </c>
      <c r="I29" s="4">
        <v>14</v>
      </c>
      <c r="J29" s="5">
        <v>7</v>
      </c>
      <c r="K29" s="5">
        <v>1</v>
      </c>
      <c r="L29" s="83" t="str">
        <f t="shared" si="0"/>
        <v>HB-ER ;卡匣通用;紅色防溢墊;Skyla;標籤;效期14個月;噴碼線別設7工廠設1</v>
      </c>
      <c r="M29" s="60"/>
    </row>
    <row r="30" spans="3:13" ht="19.5">
      <c r="C30" s="281">
        <v>3620101202</v>
      </c>
      <c r="D30" s="8" t="s">
        <v>259</v>
      </c>
      <c r="E30" s="69" t="s">
        <v>316</v>
      </c>
      <c r="F30" s="5" t="s">
        <v>227</v>
      </c>
      <c r="G30" s="5" t="s">
        <v>290</v>
      </c>
      <c r="H30" s="4" t="s">
        <v>259</v>
      </c>
      <c r="I30" s="4">
        <v>14</v>
      </c>
      <c r="J30" s="5">
        <v>7</v>
      </c>
      <c r="K30" s="5">
        <v>1</v>
      </c>
      <c r="L30" s="83" t="str">
        <f t="shared" si="0"/>
        <v>HB-Basic;卡匣通用;紅色防溢墊;Skyla;標籤;效期14個月;噴碼線別設7工廠設1</v>
      </c>
      <c r="M30" s="282"/>
    </row>
    <row r="31" spans="3:13" ht="19.5">
      <c r="C31" s="283">
        <v>3620101002</v>
      </c>
      <c r="D31" s="8" t="s">
        <v>259</v>
      </c>
      <c r="E31" s="76" t="s">
        <v>11</v>
      </c>
      <c r="F31" s="5" t="s">
        <v>227</v>
      </c>
      <c r="G31" s="5" t="s">
        <v>290</v>
      </c>
      <c r="H31" s="4" t="s">
        <v>259</v>
      </c>
      <c r="I31" s="4">
        <v>14</v>
      </c>
      <c r="J31" s="5">
        <v>7</v>
      </c>
      <c r="K31" s="5">
        <v>1</v>
      </c>
      <c r="L31" s="83" t="str">
        <f t="shared" si="0"/>
        <v>HB-GENERAL;卡匣通用;紅色防溢墊;Skyla;標籤;效期14個月;噴碼線別設7工廠設1</v>
      </c>
      <c r="M31" s="282"/>
    </row>
    <row r="32" spans="3:13" ht="19.5">
      <c r="C32" s="281">
        <v>3620101601</v>
      </c>
      <c r="D32" s="8" t="s">
        <v>259</v>
      </c>
      <c r="E32" s="76" t="s">
        <v>9</v>
      </c>
      <c r="F32" s="5" t="s">
        <v>227</v>
      </c>
      <c r="G32" s="5" t="s">
        <v>290</v>
      </c>
      <c r="H32" s="4" t="s">
        <v>259</v>
      </c>
      <c r="I32" s="4">
        <v>14</v>
      </c>
      <c r="J32" s="5">
        <v>7</v>
      </c>
      <c r="K32" s="5">
        <v>1</v>
      </c>
      <c r="L32" s="83" t="str">
        <f t="shared" si="0"/>
        <v>HB-Lipid;卡匣通用;紅色防溢墊;Skyla;標籤;效期14個月;噴碼線別設7工廠設1</v>
      </c>
      <c r="M32" s="282"/>
    </row>
    <row r="33" spans="3:13" ht="19.5">
      <c r="C33" s="281">
        <v>3620101501</v>
      </c>
      <c r="D33" s="8" t="s">
        <v>259</v>
      </c>
      <c r="E33" s="77" t="s">
        <v>8</v>
      </c>
      <c r="F33" s="5" t="s">
        <v>227</v>
      </c>
      <c r="G33" s="5" t="s">
        <v>290</v>
      </c>
      <c r="H33" s="4" t="s">
        <v>259</v>
      </c>
      <c r="I33" s="4">
        <v>14</v>
      </c>
      <c r="J33" s="5">
        <v>7</v>
      </c>
      <c r="K33" s="5">
        <v>1</v>
      </c>
      <c r="L33" s="83" t="str">
        <f t="shared" si="0"/>
        <v>HB-RENAL;卡匣通用;紅色防溢墊;Skyla;標籤;效期14個月;噴碼線別設7工廠設1</v>
      </c>
      <c r="M33" s="282"/>
    </row>
    <row r="34" spans="3:13" ht="19.5">
      <c r="C34" s="281">
        <v>3620101406</v>
      </c>
      <c r="D34" s="8" t="s">
        <v>259</v>
      </c>
      <c r="E34" s="77" t="s">
        <v>318</v>
      </c>
      <c r="F34" s="5" t="s">
        <v>227</v>
      </c>
      <c r="G34" s="5" t="s">
        <v>290</v>
      </c>
      <c r="H34" s="4" t="s">
        <v>259</v>
      </c>
      <c r="I34" s="4">
        <v>14</v>
      </c>
      <c r="J34" s="5">
        <v>7</v>
      </c>
      <c r="K34" s="5">
        <v>1</v>
      </c>
      <c r="L34" s="83" t="str">
        <f t="shared" si="0"/>
        <v>HB-ER III;卡匣通用;紅色防溢墊;Skyla;標籤;效期14個月;噴碼線別設7工廠設1</v>
      </c>
      <c r="M34" s="282"/>
    </row>
    <row r="35" spans="3:13" ht="19.5">
      <c r="C35" s="281">
        <v>3620101411</v>
      </c>
      <c r="D35" s="8" t="s">
        <v>259</v>
      </c>
      <c r="E35" s="76" t="s">
        <v>317</v>
      </c>
      <c r="F35" s="5" t="s">
        <v>227</v>
      </c>
      <c r="G35" s="5" t="s">
        <v>290</v>
      </c>
      <c r="H35" s="4" t="s">
        <v>259</v>
      </c>
      <c r="I35" s="4">
        <v>14</v>
      </c>
      <c r="J35" s="5">
        <v>7</v>
      </c>
      <c r="K35" s="5">
        <v>1</v>
      </c>
      <c r="L35" s="83" t="str">
        <f t="shared" si="0"/>
        <v>HB-ER Panel II L;卡匣通用;紅色防溢墊;Skyla;標籤;效期14個月;噴碼線別設7工廠設1</v>
      </c>
      <c r="M35" s="282"/>
    </row>
    <row r="36" spans="3:13" ht="19.5">
      <c r="C36" s="281">
        <v>3620101504</v>
      </c>
      <c r="D36" s="8" t="s">
        <v>259</v>
      </c>
      <c r="E36" s="76" t="s">
        <v>286</v>
      </c>
      <c r="F36" s="5" t="s">
        <v>227</v>
      </c>
      <c r="G36" s="5" t="s">
        <v>290</v>
      </c>
      <c r="H36" s="4" t="s">
        <v>259</v>
      </c>
      <c r="I36" s="4">
        <v>14</v>
      </c>
      <c r="J36" s="5">
        <v>7</v>
      </c>
      <c r="K36" s="5">
        <v>1</v>
      </c>
      <c r="L36" s="83" t="str">
        <f t="shared" si="0"/>
        <v>HB-Renal Focus;卡匣通用;紅色防溢墊;Skyla;標籤;效期14個月;噴碼線別設7工廠設1</v>
      </c>
      <c r="M36" s="282"/>
    </row>
    <row r="37" spans="3:13" ht="19.5">
      <c r="C37" s="281">
        <v>3620101108</v>
      </c>
      <c r="D37" s="8" t="s">
        <v>259</v>
      </c>
      <c r="E37" s="76" t="s">
        <v>287</v>
      </c>
      <c r="F37" s="5" t="s">
        <v>227</v>
      </c>
      <c r="G37" s="5" t="s">
        <v>290</v>
      </c>
      <c r="H37" s="4" t="s">
        <v>259</v>
      </c>
      <c r="I37" s="4">
        <v>14</v>
      </c>
      <c r="J37" s="5">
        <v>7</v>
      </c>
      <c r="K37" s="5">
        <v>1</v>
      </c>
      <c r="L37" s="83" t="str">
        <f t="shared" si="0"/>
        <v>HB-Liver Focus;卡匣通用;紅色防溢墊;Skyla;標籤;效期14個月;噴碼線別設7工廠設1</v>
      </c>
      <c r="M37" s="282"/>
    </row>
    <row r="38" spans="3:13" ht="19.5">
      <c r="C38" s="59" t="s">
        <v>319</v>
      </c>
      <c r="D38" s="8" t="s">
        <v>259</v>
      </c>
      <c r="E38" s="78" t="s">
        <v>320</v>
      </c>
      <c r="F38" s="5" t="s">
        <v>227</v>
      </c>
      <c r="G38" s="5" t="s">
        <v>290</v>
      </c>
      <c r="H38" s="4" t="s">
        <v>259</v>
      </c>
      <c r="I38" s="4">
        <v>14</v>
      </c>
      <c r="J38" s="5">
        <v>7</v>
      </c>
      <c r="K38" s="5">
        <v>1</v>
      </c>
      <c r="L38" s="83" t="str">
        <f t="shared" si="0"/>
        <v>HB-Electrolyte  II (國際版);卡匣通用;紅色防溢墊;Skyla;標籤;效期14個月;噴碼線別設7工廠設1</v>
      </c>
      <c r="M38" s="282"/>
    </row>
    <row r="39" spans="3:13" ht="19.5">
      <c r="C39" s="281">
        <v>3620101506</v>
      </c>
      <c r="D39" s="8" t="s">
        <v>259</v>
      </c>
      <c r="E39" s="78" t="s">
        <v>321</v>
      </c>
      <c r="F39" s="5" t="s">
        <v>227</v>
      </c>
      <c r="G39" s="5" t="s">
        <v>290</v>
      </c>
      <c r="H39" s="4" t="s">
        <v>259</v>
      </c>
      <c r="I39" s="4">
        <v>14</v>
      </c>
      <c r="J39" s="5">
        <v>7</v>
      </c>
      <c r="K39" s="5">
        <v>1</v>
      </c>
      <c r="L39" s="83" t="str">
        <f t="shared" si="0"/>
        <v>HB-Renal Panel II;卡匣通用;紅色防溢墊;Skyla;標籤;效期14個月;噴碼線別設7工廠設1</v>
      </c>
      <c r="M39" s="282"/>
    </row>
    <row r="40" spans="3:13" ht="19.5">
      <c r="C40" s="281">
        <v>3620101410</v>
      </c>
      <c r="D40" s="8" t="s">
        <v>259</v>
      </c>
      <c r="E40" s="78" t="s">
        <v>322</v>
      </c>
      <c r="F40" s="5" t="s">
        <v>227</v>
      </c>
      <c r="G40" s="5" t="s">
        <v>290</v>
      </c>
      <c r="H40" s="4" t="s">
        <v>259</v>
      </c>
      <c r="I40" s="4">
        <v>14</v>
      </c>
      <c r="J40" s="5">
        <v>7</v>
      </c>
      <c r="K40" s="5">
        <v>1</v>
      </c>
      <c r="L40" s="83" t="str">
        <f t="shared" si="0"/>
        <v>HB-Cardiovascular Panel;卡匣通用;紅色防溢墊;Skyla;標籤;效期14個月;噴碼線別設7工廠設1</v>
      </c>
      <c r="M40" s="282"/>
    </row>
    <row r="41" spans="3:13" ht="19.5">
      <c r="C41" s="281" t="s">
        <v>86</v>
      </c>
      <c r="D41" s="8" t="s">
        <v>259</v>
      </c>
      <c r="E41" s="78" t="s">
        <v>323</v>
      </c>
      <c r="F41" s="5" t="s">
        <v>227</v>
      </c>
      <c r="G41" s="5" t="s">
        <v>290</v>
      </c>
      <c r="H41" s="4" t="s">
        <v>259</v>
      </c>
      <c r="I41" s="4">
        <v>14</v>
      </c>
      <c r="J41" s="5">
        <v>7</v>
      </c>
      <c r="K41" s="5">
        <v>1</v>
      </c>
      <c r="L41" s="83" t="str">
        <f t="shared" si="0"/>
        <v>HB-Urgency;卡匣通用;紅色防溢墊;Skyla;標籤;效期14個月;噴碼線別設7工廠設1</v>
      </c>
      <c r="M41" s="282"/>
    </row>
    <row r="42" spans="3:13" ht="20.25" thickBot="1">
      <c r="C42" s="284">
        <v>3620101013</v>
      </c>
      <c r="D42" s="285" t="s">
        <v>259</v>
      </c>
      <c r="E42" s="286" t="s">
        <v>324</v>
      </c>
      <c r="F42" s="287" t="s">
        <v>227</v>
      </c>
      <c r="G42" s="287" t="s">
        <v>290</v>
      </c>
      <c r="H42" s="288" t="s">
        <v>259</v>
      </c>
      <c r="I42" s="288">
        <v>14</v>
      </c>
      <c r="J42" s="287">
        <v>7</v>
      </c>
      <c r="K42" s="287">
        <v>1</v>
      </c>
      <c r="L42" s="289" t="str">
        <f t="shared" si="0"/>
        <v>HB-General Biochemistry Panel III;卡匣通用;紅色防溢墊;Skyla;標籤;效期14個月;噴碼線別設7工廠設1</v>
      </c>
      <c r="M42" s="290"/>
    </row>
    <row r="43" spans="3:13">
      <c r="L43" s="85"/>
    </row>
    <row r="67" ht="76.5" customHeight="1"/>
    <row r="68" ht="76.5" customHeight="1"/>
    <row r="69" ht="76.5" customHeight="1"/>
    <row r="70" ht="76.5" customHeight="1"/>
    <row r="71" ht="76.5" customHeight="1"/>
    <row r="72" ht="76.5" customHeight="1"/>
    <row r="73" ht="76.5" customHeight="1"/>
    <row r="74" ht="76.5" customHeight="1"/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B827E-9A7A-43BB-8AF4-99F4D07813F9}">
  <sheetPr codeName="工作表10">
    <pageSetUpPr fitToPage="1"/>
  </sheetPr>
  <dimension ref="C1:M74"/>
  <sheetViews>
    <sheetView topLeftCell="A20" zoomScale="70" zoomScaleNormal="70" workbookViewId="0">
      <selection activeCell="N11" sqref="N11"/>
    </sheetView>
  </sheetViews>
  <sheetFormatPr defaultColWidth="8.75" defaultRowHeight="16.5"/>
  <cols>
    <col min="2" max="2" width="4" customWidth="1"/>
    <col min="3" max="3" width="24.5" customWidth="1"/>
    <col min="4" max="4" width="16.5" customWidth="1"/>
    <col min="5" max="5" width="30.875" style="72" customWidth="1"/>
    <col min="6" max="6" width="14.875" customWidth="1"/>
    <col min="7" max="7" width="10" bestFit="1" customWidth="1"/>
    <col min="8" max="8" width="17.875" customWidth="1"/>
    <col min="9" max="9" width="14.875" customWidth="1"/>
    <col min="10" max="10" width="16.75" customWidth="1"/>
    <col min="11" max="11" width="14.625" customWidth="1"/>
    <col min="12" max="12" width="111.125" customWidth="1"/>
    <col min="13" max="13" width="15" customWidth="1"/>
  </cols>
  <sheetData>
    <row r="1" spans="3:13" ht="17.25" thickBot="1"/>
    <row r="2" spans="3:13" ht="47.25" customHeight="1">
      <c r="C2" s="87" t="s">
        <v>2</v>
      </c>
      <c r="D2" s="87" t="s">
        <v>245</v>
      </c>
      <c r="E2" s="69" t="s">
        <v>246</v>
      </c>
      <c r="F2" s="87" t="s">
        <v>288</v>
      </c>
      <c r="G2" s="87" t="s">
        <v>289</v>
      </c>
      <c r="H2" s="87" t="s">
        <v>248</v>
      </c>
      <c r="I2" s="88" t="s">
        <v>249</v>
      </c>
      <c r="J2" s="89" t="s">
        <v>293</v>
      </c>
      <c r="K2" s="90" t="s">
        <v>294</v>
      </c>
      <c r="L2" s="56" t="s">
        <v>252</v>
      </c>
      <c r="M2" s="58" t="s">
        <v>253</v>
      </c>
    </row>
    <row r="3" spans="3:13" ht="19.5">
      <c r="C3" s="8">
        <v>3630101003</v>
      </c>
      <c r="D3" s="8" t="s">
        <v>336</v>
      </c>
      <c r="E3" s="76" t="s">
        <v>325</v>
      </c>
      <c r="F3" s="5" t="s">
        <v>227</v>
      </c>
      <c r="G3" s="5" t="s">
        <v>290</v>
      </c>
      <c r="H3" s="8" t="s">
        <v>259</v>
      </c>
      <c r="I3" s="4">
        <v>14</v>
      </c>
      <c r="J3" s="5">
        <v>7</v>
      </c>
      <c r="K3" s="5">
        <v>1</v>
      </c>
      <c r="L3" s="83" t="str">
        <f t="shared" ref="L3:L42" si="0">E3 &amp; ";卡匣"&amp;F3 &amp;";"&amp;G3&amp;"防溢墊;"&amp;H3&amp;"標籤;"&amp;"效期"&amp;I3&amp;"個月;"&amp;"噴碼線別設"&amp;J3&amp;";工廠設"&amp;K3</f>
        <v>VB-Preanesthetic;卡匣通用;紅色防溢墊;Skyla標籤;效期14個月;噴碼線別設7;工廠設1</v>
      </c>
      <c r="M3" s="60"/>
    </row>
    <row r="4" spans="3:13" ht="19.5">
      <c r="C4" s="8">
        <v>3630101103</v>
      </c>
      <c r="D4" s="8" t="s">
        <v>336</v>
      </c>
      <c r="E4" s="77" t="s">
        <v>306</v>
      </c>
      <c r="F4" s="5" t="s">
        <v>227</v>
      </c>
      <c r="G4" s="5" t="s">
        <v>290</v>
      </c>
      <c r="H4" s="8" t="s">
        <v>259</v>
      </c>
      <c r="I4" s="4">
        <v>14</v>
      </c>
      <c r="J4" s="5">
        <v>7</v>
      </c>
      <c r="K4" s="5">
        <v>1</v>
      </c>
      <c r="L4" s="83" t="str">
        <f t="shared" si="0"/>
        <v>VB-Renal;卡匣通用;紅色防溢墊;Skyla標籤;效期14個月;噴碼線別設7;工廠設1</v>
      </c>
      <c r="M4" s="60"/>
    </row>
    <row r="5" spans="3:13" ht="19.5">
      <c r="C5" s="8">
        <v>3630101204</v>
      </c>
      <c r="D5" s="8" t="s">
        <v>336</v>
      </c>
      <c r="E5" s="77" t="s">
        <v>326</v>
      </c>
      <c r="F5" s="5" t="s">
        <v>227</v>
      </c>
      <c r="G5" s="5" t="s">
        <v>290</v>
      </c>
      <c r="H5" s="8" t="s">
        <v>259</v>
      </c>
      <c r="I5" s="4">
        <v>14</v>
      </c>
      <c r="J5" s="5">
        <v>7</v>
      </c>
      <c r="K5" s="5">
        <v>1</v>
      </c>
      <c r="L5" s="83" t="str">
        <f t="shared" si="0"/>
        <v>VB-Diagnosis Plus;卡匣通用;紅色防溢墊;Skyla標籤;效期14個月;噴碼線別設7;工廠設1</v>
      </c>
      <c r="M5" s="60"/>
    </row>
    <row r="6" spans="3:13" ht="19.5">
      <c r="C6" s="8">
        <v>3630101206</v>
      </c>
      <c r="D6" s="8" t="s">
        <v>336</v>
      </c>
      <c r="E6" s="76" t="s">
        <v>327</v>
      </c>
      <c r="F6" s="5" t="s">
        <v>227</v>
      </c>
      <c r="G6" s="5" t="s">
        <v>290</v>
      </c>
      <c r="H6" s="8" t="s">
        <v>259</v>
      </c>
      <c r="I6" s="4">
        <v>14</v>
      </c>
      <c r="J6" s="5">
        <v>7</v>
      </c>
      <c r="K6" s="5">
        <v>1</v>
      </c>
      <c r="L6" s="83" t="str">
        <f t="shared" si="0"/>
        <v>VB- Diagnosis w CHOL;卡匣通用;紅色防溢墊;Skyla標籤;效期14個月;噴碼線別設7;工廠設1</v>
      </c>
      <c r="M6" s="60"/>
    </row>
    <row r="7" spans="3:13" ht="19.5">
      <c r="C7" s="8">
        <v>3630101208</v>
      </c>
      <c r="D7" s="8" t="s">
        <v>336</v>
      </c>
      <c r="E7" s="77" t="s">
        <v>328</v>
      </c>
      <c r="F7" s="5" t="s">
        <v>227</v>
      </c>
      <c r="G7" s="5" t="s">
        <v>290</v>
      </c>
      <c r="H7" s="8" t="s">
        <v>259</v>
      </c>
      <c r="I7" s="4">
        <v>14</v>
      </c>
      <c r="J7" s="5">
        <v>7</v>
      </c>
      <c r="K7" s="5">
        <v>1</v>
      </c>
      <c r="L7" s="83" t="str">
        <f t="shared" si="0"/>
        <v>VB-Diagnosis II;卡匣通用;紅色防溢墊;Skyla標籤;效期14個月;噴碼線別設7;工廠設1</v>
      </c>
      <c r="M7" s="60"/>
    </row>
    <row r="8" spans="3:13" ht="19.5">
      <c r="C8" s="8">
        <v>3630101303</v>
      </c>
      <c r="D8" s="8" t="s">
        <v>336</v>
      </c>
      <c r="E8" s="76" t="s">
        <v>329</v>
      </c>
      <c r="F8" s="5" t="s">
        <v>227</v>
      </c>
      <c r="G8" s="5" t="s">
        <v>290</v>
      </c>
      <c r="H8" s="8" t="s">
        <v>259</v>
      </c>
      <c r="I8" s="4">
        <v>14</v>
      </c>
      <c r="J8" s="5">
        <v>7</v>
      </c>
      <c r="K8" s="5">
        <v>1</v>
      </c>
      <c r="L8" s="83" t="str">
        <f t="shared" si="0"/>
        <v>VB-Liver;卡匣通用;紅色防溢墊;Skyla標籤;效期14個月;噴碼線別設7;工廠設1</v>
      </c>
      <c r="M8" s="60"/>
    </row>
    <row r="9" spans="3:13" ht="19.5">
      <c r="C9" s="74">
        <v>3630101305</v>
      </c>
      <c r="D9" s="8" t="s">
        <v>336</v>
      </c>
      <c r="E9" s="78" t="s">
        <v>330</v>
      </c>
      <c r="F9" s="5" t="s">
        <v>227</v>
      </c>
      <c r="G9" s="5" t="s">
        <v>290</v>
      </c>
      <c r="H9" s="8" t="s">
        <v>259</v>
      </c>
      <c r="I9" s="4">
        <v>14</v>
      </c>
      <c r="J9" s="5">
        <v>7</v>
      </c>
      <c r="K9" s="5">
        <v>1</v>
      </c>
      <c r="L9" s="83" t="str">
        <f t="shared" si="0"/>
        <v>VB-Liver Plus;卡匣通用;紅色防溢墊;Skyla標籤;效期14個月;噴碼線別設7;工廠設1</v>
      </c>
      <c r="M9" s="60"/>
    </row>
    <row r="10" spans="3:13" ht="19.5">
      <c r="C10" s="74">
        <v>3630101503</v>
      </c>
      <c r="D10" s="8" t="s">
        <v>336</v>
      </c>
      <c r="E10" s="78" t="s">
        <v>331</v>
      </c>
      <c r="F10" s="5" t="s">
        <v>227</v>
      </c>
      <c r="G10" s="5" t="s">
        <v>290</v>
      </c>
      <c r="H10" s="8" t="s">
        <v>259</v>
      </c>
      <c r="I10" s="4">
        <v>14</v>
      </c>
      <c r="J10" s="5">
        <v>7</v>
      </c>
      <c r="K10" s="5">
        <v>1</v>
      </c>
      <c r="L10" s="83" t="str">
        <f t="shared" si="0"/>
        <v>VB-Equine;卡匣通用;紅色防溢墊;Skyla標籤;效期14個月;噴碼線別設7;工廠設1</v>
      </c>
      <c r="M10" s="60"/>
    </row>
    <row r="11" spans="3:13" ht="19.5">
      <c r="C11" s="74">
        <v>3630101601</v>
      </c>
      <c r="D11" s="8" t="s">
        <v>336</v>
      </c>
      <c r="E11" s="78" t="s">
        <v>332</v>
      </c>
      <c r="F11" s="5" t="s">
        <v>227</v>
      </c>
      <c r="G11" s="5" t="s">
        <v>290</v>
      </c>
      <c r="H11" s="8" t="s">
        <v>259</v>
      </c>
      <c r="I11" s="4">
        <v>14</v>
      </c>
      <c r="J11" s="5">
        <v>7</v>
      </c>
      <c r="K11" s="5">
        <v>1</v>
      </c>
      <c r="L11" s="83" t="str">
        <f t="shared" si="0"/>
        <v>VB-Thyroid/T4;卡匣通用;紅色防溢墊;Skyla標籤;效期14個月;噴碼線別設7;工廠設1</v>
      </c>
      <c r="M11" s="60"/>
    </row>
    <row r="12" spans="3:13" ht="19.5">
      <c r="C12" s="8">
        <v>3630101701</v>
      </c>
      <c r="D12" s="8" t="s">
        <v>336</v>
      </c>
      <c r="E12" s="78" t="s">
        <v>333</v>
      </c>
      <c r="F12" s="5" t="s">
        <v>227</v>
      </c>
      <c r="G12" s="5" t="s">
        <v>290</v>
      </c>
      <c r="H12" s="8" t="s">
        <v>259</v>
      </c>
      <c r="I12" s="4">
        <v>14</v>
      </c>
      <c r="J12" s="5">
        <v>7</v>
      </c>
      <c r="K12" s="5">
        <v>1</v>
      </c>
      <c r="L12" s="83" t="str">
        <f t="shared" si="0"/>
        <v>VB-Large Animal;卡匣通用;紅色防溢墊;Skyla標籤;效期14個月;噴碼線別設7;工廠設1</v>
      </c>
      <c r="M12" s="60"/>
    </row>
    <row r="13" spans="3:13" ht="19.5">
      <c r="C13" s="8">
        <v>3630101801</v>
      </c>
      <c r="D13" s="8" t="s">
        <v>336</v>
      </c>
      <c r="E13" s="76" t="s">
        <v>334</v>
      </c>
      <c r="F13" s="5" t="s">
        <v>227</v>
      </c>
      <c r="G13" s="5" t="s">
        <v>290</v>
      </c>
      <c r="H13" s="8" t="s">
        <v>259</v>
      </c>
      <c r="I13" s="4">
        <v>14</v>
      </c>
      <c r="J13" s="5">
        <v>7</v>
      </c>
      <c r="K13" s="5">
        <v>1</v>
      </c>
      <c r="L13" s="83" t="str">
        <f t="shared" si="0"/>
        <v>VB-Avian &amp; Reptile;卡匣通用;紅色防溢墊;Skyla標籤;效期14個月;噴碼線別設7;工廠設1</v>
      </c>
      <c r="M13" s="60"/>
    </row>
    <row r="14" spans="3:13" ht="19.5">
      <c r="C14" s="86" t="s">
        <v>307</v>
      </c>
      <c r="D14" s="8" t="s">
        <v>336</v>
      </c>
      <c r="E14" s="78" t="s">
        <v>335</v>
      </c>
      <c r="F14" s="5" t="s">
        <v>227</v>
      </c>
      <c r="G14" s="5" t="s">
        <v>290</v>
      </c>
      <c r="H14" s="8" t="s">
        <v>259</v>
      </c>
      <c r="I14" s="4">
        <v>14</v>
      </c>
      <c r="J14" s="5">
        <v>7</v>
      </c>
      <c r="K14" s="5">
        <v>1</v>
      </c>
      <c r="L14" s="83" t="str">
        <f t="shared" si="0"/>
        <v>VB-Electrolyte;卡匣通用;紅色防溢墊;Skyla標籤;效期14個月;噴碼線別設7;工廠設1</v>
      </c>
      <c r="M14" s="60"/>
    </row>
    <row r="15" spans="3:13" ht="19.5">
      <c r="C15" s="86" t="s">
        <v>337</v>
      </c>
      <c r="D15" s="8" t="s">
        <v>336</v>
      </c>
      <c r="E15" s="77" t="s">
        <v>344</v>
      </c>
      <c r="F15" s="5" t="s">
        <v>227</v>
      </c>
      <c r="G15" s="5" t="s">
        <v>290</v>
      </c>
      <c r="H15" s="8" t="s">
        <v>259</v>
      </c>
      <c r="I15" s="4">
        <v>14</v>
      </c>
      <c r="J15" s="5">
        <v>7</v>
      </c>
      <c r="K15" s="5">
        <v>1</v>
      </c>
      <c r="L15" s="83" t="str">
        <f t="shared" si="0"/>
        <v>VB-Diabetes ;卡匣通用;紅色防溢墊;Skyla標籤;效期14個月;噴碼線別設7;工廠設1</v>
      </c>
      <c r="M15" s="75"/>
    </row>
    <row r="16" spans="3:13" ht="19.5">
      <c r="C16" s="2" t="s">
        <v>349</v>
      </c>
      <c r="D16" s="8" t="s">
        <v>336</v>
      </c>
      <c r="E16" s="1" t="s">
        <v>350</v>
      </c>
      <c r="F16" s="5" t="s">
        <v>227</v>
      </c>
      <c r="G16" s="5" t="s">
        <v>290</v>
      </c>
      <c r="H16" s="8" t="s">
        <v>259</v>
      </c>
      <c r="I16" s="4">
        <v>14</v>
      </c>
      <c r="J16" s="5">
        <v>7</v>
      </c>
      <c r="K16" s="5">
        <v>0</v>
      </c>
      <c r="L16" s="83" t="str">
        <f t="shared" si="0"/>
        <v>VB-Critical Care;卡匣通用;紅色防溢墊;Skyla標籤;效期14個月;噴碼線別設7;工廠設0</v>
      </c>
      <c r="M16" s="75"/>
    </row>
    <row r="17" spans="3:13" ht="19.5">
      <c r="C17" s="86">
        <v>3630101005</v>
      </c>
      <c r="D17" s="8" t="s">
        <v>338</v>
      </c>
      <c r="E17" s="78" t="s">
        <v>339</v>
      </c>
      <c r="F17" s="5" t="s">
        <v>227</v>
      </c>
      <c r="G17" s="5" t="s">
        <v>290</v>
      </c>
      <c r="H17" s="8" t="s">
        <v>338</v>
      </c>
      <c r="I17" s="4">
        <v>14</v>
      </c>
      <c r="J17" s="5">
        <v>7</v>
      </c>
      <c r="K17" s="5">
        <v>0</v>
      </c>
      <c r="L17" s="83" t="str">
        <f t="shared" si="0"/>
        <v>VB-Preanesthetic - SCIL;卡匣通用;紅色防溢墊;SCIL標籤;效期14個月;噴碼線別設7;工廠設0</v>
      </c>
      <c r="M17" s="75"/>
    </row>
    <row r="18" spans="3:13" ht="19.5">
      <c r="C18" s="8">
        <v>3630101106</v>
      </c>
      <c r="D18" s="8" t="s">
        <v>338</v>
      </c>
      <c r="E18" s="76" t="s">
        <v>345</v>
      </c>
      <c r="F18" s="5" t="s">
        <v>227</v>
      </c>
      <c r="G18" s="5" t="s">
        <v>290</v>
      </c>
      <c r="H18" s="8" t="s">
        <v>338</v>
      </c>
      <c r="I18" s="4">
        <v>14</v>
      </c>
      <c r="J18" s="5">
        <v>7</v>
      </c>
      <c r="K18" s="5">
        <v>0</v>
      </c>
      <c r="L18" s="83" t="str">
        <f t="shared" si="0"/>
        <v>VB-Renal - SCIL;卡匣通用;紅色防溢墊;SCIL標籤;效期14個月;噴碼線別設7;工廠設0</v>
      </c>
      <c r="M18" s="75"/>
    </row>
    <row r="19" spans="3:13" ht="19.5">
      <c r="C19" s="8">
        <v>3630101213</v>
      </c>
      <c r="D19" s="8" t="s">
        <v>338</v>
      </c>
      <c r="E19" s="76" t="s">
        <v>340</v>
      </c>
      <c r="F19" s="5" t="s">
        <v>227</v>
      </c>
      <c r="G19" s="5" t="s">
        <v>290</v>
      </c>
      <c r="H19" s="8" t="s">
        <v>338</v>
      </c>
      <c r="I19" s="4">
        <v>14</v>
      </c>
      <c r="J19" s="5">
        <v>7</v>
      </c>
      <c r="K19" s="5">
        <v>0</v>
      </c>
      <c r="L19" s="83" t="str">
        <f t="shared" si="0"/>
        <v>VB-Diagnosis Plus - SCIL;卡匣通用;紅色防溢墊;SCIL標籤;效期14個月;噴碼線別設7;工廠設0</v>
      </c>
      <c r="M19" s="75"/>
    </row>
    <row r="20" spans="3:13" ht="19.5">
      <c r="C20" s="8">
        <v>3630101214</v>
      </c>
      <c r="D20" s="8" t="s">
        <v>338</v>
      </c>
      <c r="E20" s="78" t="s">
        <v>341</v>
      </c>
      <c r="F20" s="5" t="s">
        <v>227</v>
      </c>
      <c r="G20" s="5" t="s">
        <v>290</v>
      </c>
      <c r="H20" s="8" t="s">
        <v>338</v>
      </c>
      <c r="I20" s="4">
        <v>14</v>
      </c>
      <c r="J20" s="5">
        <v>7</v>
      </c>
      <c r="K20" s="5">
        <v>0</v>
      </c>
      <c r="L20" s="83" t="str">
        <f t="shared" si="0"/>
        <v>VB-Diagnosis II - SCIL;卡匣通用;紅色防溢墊;SCIL標籤;效期14個月;噴碼線別設7;工廠設0</v>
      </c>
      <c r="M20" s="75"/>
    </row>
    <row r="21" spans="3:13" ht="19.5">
      <c r="C21" s="8">
        <v>3630101308</v>
      </c>
      <c r="D21" s="8" t="s">
        <v>338</v>
      </c>
      <c r="E21" s="78" t="s">
        <v>342</v>
      </c>
      <c r="F21" s="5" t="s">
        <v>227</v>
      </c>
      <c r="G21" s="5" t="s">
        <v>290</v>
      </c>
      <c r="H21" s="8" t="s">
        <v>338</v>
      </c>
      <c r="I21" s="4">
        <v>14</v>
      </c>
      <c r="J21" s="5">
        <v>7</v>
      </c>
      <c r="K21" s="5">
        <v>0</v>
      </c>
      <c r="L21" s="83" t="str">
        <f t="shared" si="0"/>
        <v>VB-Liver Plus Panel - SCIL;卡匣通用;紅色防溢墊;SCIL標籤;效期14個月;噴碼線別設7;工廠設0</v>
      </c>
      <c r="M21" s="75"/>
    </row>
    <row r="22" spans="3:13" ht="19.5">
      <c r="C22" s="8">
        <v>3630101506</v>
      </c>
      <c r="D22" s="8" t="s">
        <v>338</v>
      </c>
      <c r="E22" s="76" t="s">
        <v>343</v>
      </c>
      <c r="F22" s="5" t="s">
        <v>227</v>
      </c>
      <c r="G22" s="5" t="s">
        <v>290</v>
      </c>
      <c r="H22" s="8" t="s">
        <v>338</v>
      </c>
      <c r="I22" s="4">
        <v>14</v>
      </c>
      <c r="J22" s="5">
        <v>7</v>
      </c>
      <c r="K22" s="5">
        <v>0</v>
      </c>
      <c r="L22" s="83" t="str">
        <f t="shared" si="0"/>
        <v>VB-Equine Panel - SCIL;卡匣通用;紅色防溢墊;SCIL標籤;效期14個月;噴碼線別設7;工廠設0</v>
      </c>
      <c r="M22" s="75"/>
    </row>
    <row r="23" spans="3:13" ht="19.5">
      <c r="C23" s="8">
        <v>3630101704</v>
      </c>
      <c r="D23" s="8" t="s">
        <v>338</v>
      </c>
      <c r="E23" s="76" t="s">
        <v>346</v>
      </c>
      <c r="F23" s="5" t="s">
        <v>227</v>
      </c>
      <c r="G23" s="5" t="s">
        <v>290</v>
      </c>
      <c r="H23" s="8" t="s">
        <v>338</v>
      </c>
      <c r="I23" s="4">
        <v>14</v>
      </c>
      <c r="J23" s="5">
        <v>7</v>
      </c>
      <c r="K23" s="5">
        <v>0</v>
      </c>
      <c r="L23" s="83" t="str">
        <f t="shared" si="0"/>
        <v>VB-Large Animal  - SCIL;卡匣通用;紅色防溢墊;SCIL標籤;效期14個月;噴碼線別設7;工廠設0</v>
      </c>
      <c r="M23" s="75"/>
    </row>
    <row r="24" spans="3:13" ht="19.5">
      <c r="C24" s="4">
        <v>3630101804</v>
      </c>
      <c r="D24" s="8" t="s">
        <v>338</v>
      </c>
      <c r="E24" s="76" t="s">
        <v>347</v>
      </c>
      <c r="F24" s="5" t="s">
        <v>227</v>
      </c>
      <c r="G24" s="5" t="s">
        <v>290</v>
      </c>
      <c r="H24" s="8" t="s">
        <v>338</v>
      </c>
      <c r="I24" s="4">
        <v>14</v>
      </c>
      <c r="J24" s="5">
        <v>7</v>
      </c>
      <c r="K24" s="5">
        <v>0</v>
      </c>
      <c r="L24" s="83" t="str">
        <f>E24 &amp; ";卡匣"&amp;F24 &amp;";"&amp;G24&amp;"防溢墊;"&amp;H24&amp;"標籤;"&amp;"效期"&amp;I24&amp;"個月;"&amp;"噴碼線別設"&amp;J24&amp;";工廠設"&amp;K24</f>
        <v>VB-Avian &amp; Reptile  - SCIL;卡匣通用;紅色防溢墊;SCIL標籤;效期14個月;噴碼線別設7;工廠設0</v>
      </c>
      <c r="M24" s="75"/>
    </row>
    <row r="25" spans="3:13" ht="19.5">
      <c r="C25" s="4" t="s">
        <v>304</v>
      </c>
      <c r="D25" s="8" t="s">
        <v>338</v>
      </c>
      <c r="E25" s="76" t="s">
        <v>348</v>
      </c>
      <c r="F25" s="5" t="s">
        <v>227</v>
      </c>
      <c r="G25" s="5" t="s">
        <v>290</v>
      </c>
      <c r="H25" s="8" t="s">
        <v>338</v>
      </c>
      <c r="I25" s="4">
        <v>14</v>
      </c>
      <c r="J25" s="5">
        <v>7</v>
      </c>
      <c r="K25" s="5">
        <v>0</v>
      </c>
      <c r="L25" s="83" t="str">
        <f t="shared" si="0"/>
        <v>VB-Diabetes - SCIL;卡匣通用;紅色防溢墊;SCIL標籤;效期14個月;噴碼線別設7;工廠設0</v>
      </c>
      <c r="M25" s="75"/>
    </row>
    <row r="26" spans="3:13" ht="19.5">
      <c r="C26" s="4">
        <v>3630101004</v>
      </c>
      <c r="D26" s="8" t="s">
        <v>351</v>
      </c>
      <c r="E26" s="76" t="s">
        <v>355</v>
      </c>
      <c r="F26" s="5" t="s">
        <v>227</v>
      </c>
      <c r="G26" s="5" t="s">
        <v>290</v>
      </c>
      <c r="H26" s="8" t="s">
        <v>351</v>
      </c>
      <c r="I26" s="4">
        <v>14</v>
      </c>
      <c r="J26" s="5">
        <v>7</v>
      </c>
      <c r="K26" s="5">
        <v>0</v>
      </c>
      <c r="L26" s="83" t="str">
        <f t="shared" si="0"/>
        <v>VB-Preanesthetic - Derry;卡匣通用;紅色防溢墊;Derry標籤;效期14個月;噴碼線別設7;工廠設0</v>
      </c>
      <c r="M26" s="75"/>
    </row>
    <row r="27" spans="3:13" ht="19.5">
      <c r="C27" s="4">
        <v>3630101105</v>
      </c>
      <c r="D27" s="8" t="s">
        <v>351</v>
      </c>
      <c r="E27" s="69" t="s">
        <v>356</v>
      </c>
      <c r="F27" s="5" t="s">
        <v>227</v>
      </c>
      <c r="G27" s="5" t="s">
        <v>290</v>
      </c>
      <c r="H27" s="8" t="s">
        <v>351</v>
      </c>
      <c r="I27" s="4">
        <v>14</v>
      </c>
      <c r="J27" s="5">
        <v>7</v>
      </c>
      <c r="K27" s="5">
        <v>0</v>
      </c>
      <c r="L27" s="83" t="str">
        <f t="shared" si="0"/>
        <v>VB-Renal Panel  - Derry;卡匣通用;紅色防溢墊;Derry標籤;效期14個月;噴碼線別設7;工廠設0</v>
      </c>
      <c r="M27" s="75"/>
    </row>
    <row r="28" spans="3:13" ht="19.5">
      <c r="C28" s="4">
        <v>3630101210</v>
      </c>
      <c r="D28" s="8" t="s">
        <v>351</v>
      </c>
      <c r="E28" s="69" t="s">
        <v>357</v>
      </c>
      <c r="F28" s="5" t="s">
        <v>227</v>
      </c>
      <c r="G28" s="5" t="s">
        <v>290</v>
      </c>
      <c r="H28" s="8" t="s">
        <v>351</v>
      </c>
      <c r="I28" s="4">
        <v>14</v>
      </c>
      <c r="J28" s="5">
        <v>7</v>
      </c>
      <c r="K28" s="5">
        <v>0</v>
      </c>
      <c r="L28" s="83" t="str">
        <f t="shared" si="0"/>
        <v>VB-Diagnosis Plus - Derry;卡匣通用;紅色防溢墊;Derry標籤;效期14個月;噴碼線別設7;工廠設0</v>
      </c>
      <c r="M28" s="75"/>
    </row>
    <row r="29" spans="3:13" ht="20.25" thickBot="1">
      <c r="C29" s="4">
        <v>3630101211</v>
      </c>
      <c r="D29" s="8" t="s">
        <v>351</v>
      </c>
      <c r="E29" s="69" t="s">
        <v>358</v>
      </c>
      <c r="F29" s="5" t="s">
        <v>227</v>
      </c>
      <c r="G29" s="5" t="s">
        <v>290</v>
      </c>
      <c r="H29" s="8" t="s">
        <v>351</v>
      </c>
      <c r="I29" s="4">
        <v>14</v>
      </c>
      <c r="J29" s="5">
        <v>7</v>
      </c>
      <c r="K29" s="5">
        <v>0</v>
      </c>
      <c r="L29" s="83" t="str">
        <f t="shared" si="0"/>
        <v>VB-Diagnosis-II - Derry;卡匣通用;紅色防溢墊;Derry標籤;效期14個月;噴碼線別設7;工廠設0</v>
      </c>
      <c r="M29" s="68"/>
    </row>
    <row r="30" spans="3:13" ht="19.5">
      <c r="C30" s="4">
        <v>3630101212</v>
      </c>
      <c r="D30" s="8" t="s">
        <v>351</v>
      </c>
      <c r="E30" s="69" t="s">
        <v>359</v>
      </c>
      <c r="F30" s="5" t="s">
        <v>227</v>
      </c>
      <c r="G30" s="5" t="s">
        <v>290</v>
      </c>
      <c r="H30" s="8" t="s">
        <v>351</v>
      </c>
      <c r="I30" s="4">
        <v>14</v>
      </c>
      <c r="J30" s="5">
        <v>7</v>
      </c>
      <c r="K30" s="5">
        <v>0</v>
      </c>
      <c r="L30" s="83" t="str">
        <f t="shared" si="0"/>
        <v>VB-Diagnosis - Derry;卡匣通用;紅色防溢墊;Derry標籤;效期14個月;噴碼線別設7;工廠設0</v>
      </c>
    </row>
    <row r="31" spans="3:13" ht="19.5">
      <c r="C31" s="4">
        <v>3630101306</v>
      </c>
      <c r="D31" s="8" t="s">
        <v>351</v>
      </c>
      <c r="E31" s="76" t="s">
        <v>360</v>
      </c>
      <c r="F31" s="5" t="s">
        <v>227</v>
      </c>
      <c r="G31" s="5" t="s">
        <v>290</v>
      </c>
      <c r="H31" s="8" t="s">
        <v>351</v>
      </c>
      <c r="I31" s="4">
        <v>14</v>
      </c>
      <c r="J31" s="5">
        <v>7</v>
      </c>
      <c r="K31" s="5">
        <v>0</v>
      </c>
      <c r="L31" s="83" t="str">
        <f t="shared" si="0"/>
        <v>VB-Liver - Derry;卡匣通用;紅色防溢墊;Derry標籤;效期14個月;噴碼線別設7;工廠設0</v>
      </c>
    </row>
    <row r="32" spans="3:13" ht="19.5">
      <c r="C32" s="4">
        <v>3630101307</v>
      </c>
      <c r="D32" s="8" t="s">
        <v>351</v>
      </c>
      <c r="E32" s="76" t="s">
        <v>361</v>
      </c>
      <c r="F32" s="5" t="s">
        <v>227</v>
      </c>
      <c r="G32" s="5" t="s">
        <v>290</v>
      </c>
      <c r="H32" s="8" t="s">
        <v>351</v>
      </c>
      <c r="I32" s="4">
        <v>14</v>
      </c>
      <c r="J32" s="5">
        <v>7</v>
      </c>
      <c r="K32" s="5">
        <v>0</v>
      </c>
      <c r="L32" s="83" t="str">
        <f t="shared" si="0"/>
        <v>VB-Liver Plus - Derry;卡匣通用;紅色防溢墊;Derry標籤;效期14個月;噴碼線別設7;工廠設0</v>
      </c>
    </row>
    <row r="33" spans="3:12" ht="19.5">
      <c r="C33" s="4">
        <v>3630101505</v>
      </c>
      <c r="D33" s="8" t="s">
        <v>351</v>
      </c>
      <c r="E33" s="77" t="s">
        <v>362</v>
      </c>
      <c r="F33" s="5" t="s">
        <v>227</v>
      </c>
      <c r="G33" s="5" t="s">
        <v>290</v>
      </c>
      <c r="H33" s="8" t="s">
        <v>351</v>
      </c>
      <c r="I33" s="4">
        <v>14</v>
      </c>
      <c r="J33" s="5">
        <v>7</v>
      </c>
      <c r="K33" s="5">
        <v>0</v>
      </c>
      <c r="L33" s="83" t="str">
        <f t="shared" si="0"/>
        <v>VB-Equine - Derry;卡匣通用;紅色防溢墊;Derry標籤;效期14個月;噴碼線別設7;工廠設0</v>
      </c>
    </row>
    <row r="34" spans="3:12" ht="19.5">
      <c r="C34" s="4">
        <v>3630101603</v>
      </c>
      <c r="D34" s="8" t="s">
        <v>351</v>
      </c>
      <c r="E34" s="77" t="s">
        <v>363</v>
      </c>
      <c r="F34" s="5" t="s">
        <v>227</v>
      </c>
      <c r="G34" s="5" t="s">
        <v>290</v>
      </c>
      <c r="H34" s="8" t="s">
        <v>351</v>
      </c>
      <c r="I34" s="4">
        <v>14</v>
      </c>
      <c r="J34" s="5">
        <v>7</v>
      </c>
      <c r="K34" s="5">
        <v>0</v>
      </c>
      <c r="L34" s="83" t="str">
        <f t="shared" si="0"/>
        <v>VB-Thyroid/T4 - Derry;卡匣通用;紅色防溢墊;Derry標籤;效期14個月;噴碼線別設7;工廠設0</v>
      </c>
    </row>
    <row r="35" spans="3:12" ht="19.5">
      <c r="C35" s="4">
        <v>3630101703</v>
      </c>
      <c r="D35" s="8" t="s">
        <v>351</v>
      </c>
      <c r="E35" s="76" t="s">
        <v>364</v>
      </c>
      <c r="F35" s="5" t="s">
        <v>227</v>
      </c>
      <c r="G35" s="5" t="s">
        <v>290</v>
      </c>
      <c r="H35" s="8" t="s">
        <v>351</v>
      </c>
      <c r="I35" s="4">
        <v>14</v>
      </c>
      <c r="J35" s="5">
        <v>7</v>
      </c>
      <c r="K35" s="5">
        <v>0</v>
      </c>
      <c r="L35" s="83" t="str">
        <f t="shared" si="0"/>
        <v>VB-Large Animal - Derry;卡匣通用;紅色防溢墊;Derry標籤;效期14個月;噴碼線別設7;工廠設0</v>
      </c>
    </row>
    <row r="36" spans="3:12" ht="19.5">
      <c r="C36" s="4">
        <v>3630101803</v>
      </c>
      <c r="D36" s="8" t="s">
        <v>351</v>
      </c>
      <c r="E36" s="76" t="s">
        <v>365</v>
      </c>
      <c r="F36" s="5" t="s">
        <v>227</v>
      </c>
      <c r="G36" s="5" t="s">
        <v>290</v>
      </c>
      <c r="H36" s="8" t="s">
        <v>351</v>
      </c>
      <c r="I36" s="4">
        <v>14</v>
      </c>
      <c r="J36" s="5">
        <v>7</v>
      </c>
      <c r="K36" s="5">
        <v>0</v>
      </c>
      <c r="L36" s="83" t="str">
        <f t="shared" si="0"/>
        <v>VB-Avian &amp; Reptile - Derry;卡匣通用;紅色防溢墊;Derry標籤;效期14個月;噴碼線別設7;工廠設0</v>
      </c>
    </row>
    <row r="37" spans="3:12" ht="19.5">
      <c r="C37" s="4" t="s">
        <v>352</v>
      </c>
      <c r="D37" s="8" t="s">
        <v>351</v>
      </c>
      <c r="E37" s="76" t="s">
        <v>366</v>
      </c>
      <c r="F37" s="5" t="s">
        <v>227</v>
      </c>
      <c r="G37" s="5" t="s">
        <v>290</v>
      </c>
      <c r="H37" s="8" t="s">
        <v>351</v>
      </c>
      <c r="I37" s="4">
        <v>14</v>
      </c>
      <c r="J37" s="5">
        <v>7</v>
      </c>
      <c r="K37" s="5">
        <v>0</v>
      </c>
      <c r="L37" s="83" t="str">
        <f t="shared" si="0"/>
        <v>VB-Electrolyte Panel - Derry;卡匣通用;紅色防溢墊;Derry標籤;效期14個月;噴碼線別設7;工廠設0</v>
      </c>
    </row>
    <row r="38" spans="3:12" ht="19.5">
      <c r="C38" s="4" t="s">
        <v>353</v>
      </c>
      <c r="D38" s="8" t="s">
        <v>351</v>
      </c>
      <c r="E38" s="78" t="s">
        <v>367</v>
      </c>
      <c r="F38" s="5" t="s">
        <v>227</v>
      </c>
      <c r="G38" s="5" t="s">
        <v>290</v>
      </c>
      <c r="H38" s="8" t="s">
        <v>351</v>
      </c>
      <c r="I38" s="4">
        <v>14</v>
      </c>
      <c r="J38" s="5">
        <v>7</v>
      </c>
      <c r="K38" s="5">
        <v>0</v>
      </c>
      <c r="L38" s="83" t="str">
        <f t="shared" si="0"/>
        <v>VB-Diabetes Panel - Derry;卡匣通用;紅色防溢墊;Derry標籤;效期14個月;噴碼線別設7;工廠設0</v>
      </c>
    </row>
    <row r="39" spans="3:12" ht="19.5">
      <c r="C39" s="4" t="s">
        <v>354</v>
      </c>
      <c r="D39" s="8" t="s">
        <v>351</v>
      </c>
      <c r="E39" s="78" t="s">
        <v>368</v>
      </c>
      <c r="F39" s="5" t="s">
        <v>227</v>
      </c>
      <c r="G39" s="5" t="s">
        <v>290</v>
      </c>
      <c r="H39" s="8" t="s">
        <v>351</v>
      </c>
      <c r="I39" s="4">
        <v>14</v>
      </c>
      <c r="J39" s="5">
        <v>7</v>
      </c>
      <c r="K39" s="5">
        <v>0</v>
      </c>
      <c r="L39" s="83" t="str">
        <f t="shared" si="0"/>
        <v>VB-Critical Care Panel  - Derry;卡匣通用;紅色防溢墊;Derry標籤;效期14個月;噴碼線別設7;工廠設0</v>
      </c>
    </row>
    <row r="40" spans="3:12" ht="19.5">
      <c r="C40" s="8"/>
      <c r="D40" s="8"/>
      <c r="E40" s="78"/>
      <c r="F40" s="5"/>
      <c r="G40" s="5"/>
      <c r="H40" s="4"/>
      <c r="I40" s="4"/>
      <c r="J40" s="5"/>
      <c r="K40" s="5"/>
      <c r="L40" s="83" t="str">
        <f t="shared" si="0"/>
        <v>;卡匣;防溢墊;標籤;效期個月;噴碼線別設;工廠設</v>
      </c>
    </row>
    <row r="41" spans="3:12" ht="19.5">
      <c r="C41" s="8"/>
      <c r="D41" s="8"/>
      <c r="E41" s="78"/>
      <c r="F41" s="5"/>
      <c r="G41" s="5"/>
      <c r="H41" s="4"/>
      <c r="I41" s="4"/>
      <c r="J41" s="5"/>
      <c r="K41" s="5"/>
      <c r="L41" s="83" t="str">
        <f t="shared" si="0"/>
        <v>;卡匣;防溢墊;標籤;效期個月;噴碼線別設;工廠設</v>
      </c>
    </row>
    <row r="42" spans="3:12" ht="19.5">
      <c r="C42" s="8"/>
      <c r="D42" s="8"/>
      <c r="E42" s="78"/>
      <c r="F42" s="5"/>
      <c r="G42" s="5"/>
      <c r="H42" s="4"/>
      <c r="I42" s="4"/>
      <c r="J42" s="5"/>
      <c r="K42" s="5"/>
      <c r="L42" s="83" t="str">
        <f t="shared" si="0"/>
        <v>;卡匣;防溢墊;標籤;效期個月;噴碼線別設;工廠設</v>
      </c>
    </row>
    <row r="43" spans="3:12">
      <c r="L43" s="85"/>
    </row>
    <row r="67" ht="76.5" customHeight="1"/>
    <row r="68" ht="76.5" customHeight="1"/>
    <row r="69" ht="76.5" customHeight="1"/>
    <row r="70" ht="76.5" customHeight="1"/>
    <row r="71" ht="76.5" customHeight="1"/>
    <row r="72" ht="76.5" customHeight="1"/>
    <row r="73" ht="76.5" customHeight="1"/>
    <row r="74" ht="76.5" customHeight="1"/>
  </sheetData>
  <sortState xmlns:xlrd2="http://schemas.microsoft.com/office/spreadsheetml/2017/richdata2" ref="C3:E22">
    <sortCondition ref="C3:C22"/>
  </sortState>
  <phoneticPr fontId="2" type="noConversion"/>
  <pageMargins left="0.39370078740157483" right="0.39370078740157483" top="0.39370078740157483" bottom="0.39370078740157483" header="0.31496062992125984" footer="0.31496062992125984"/>
  <pageSetup paperSize="9" scale="47"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4BFDC-830E-48C4-8925-D9E8DD6B4296}">
  <sheetPr codeName="工作表11">
    <pageSetUpPr fitToPage="1"/>
  </sheetPr>
  <dimension ref="C2:BT192"/>
  <sheetViews>
    <sheetView zoomScale="70" zoomScaleNormal="70" workbookViewId="0">
      <selection activeCell="H24" sqref="H24"/>
    </sheetView>
  </sheetViews>
  <sheetFormatPr defaultColWidth="8.75" defaultRowHeight="16.5"/>
  <cols>
    <col min="2" max="2" width="4" customWidth="1"/>
    <col min="3" max="3" width="24.5" customWidth="1"/>
    <col min="4" max="4" width="22.25" customWidth="1"/>
    <col min="5" max="5" width="30.875" style="72" customWidth="1"/>
  </cols>
  <sheetData>
    <row r="2" spans="3:22" ht="47.25" customHeight="1">
      <c r="C2" s="87" t="s">
        <v>2</v>
      </c>
      <c r="D2" s="87" t="s">
        <v>245</v>
      </c>
      <c r="E2" s="69" t="s">
        <v>246</v>
      </c>
    </row>
    <row r="3" spans="3:22" ht="19.5">
      <c r="C3" s="8">
        <v>3631101401</v>
      </c>
      <c r="D3" s="5" t="s">
        <v>259</v>
      </c>
      <c r="E3" s="76" t="s">
        <v>376</v>
      </c>
    </row>
    <row r="4" spans="3:22" ht="19.5">
      <c r="C4" s="8">
        <v>3631101411</v>
      </c>
      <c r="D4" s="5" t="s">
        <v>372</v>
      </c>
      <c r="E4" s="77" t="s">
        <v>373</v>
      </c>
    </row>
    <row r="5" spans="3:22" ht="19.5">
      <c r="C5" s="8"/>
      <c r="D5" s="5" t="s">
        <v>351</v>
      </c>
      <c r="E5" s="77" t="s">
        <v>374</v>
      </c>
    </row>
    <row r="6" spans="3:22">
      <c r="C6" s="8">
        <v>5714600141</v>
      </c>
      <c r="D6" s="8" t="s">
        <v>227</v>
      </c>
      <c r="E6" s="77" t="s">
        <v>375</v>
      </c>
    </row>
    <row r="7" spans="3:22" ht="19.5">
      <c r="C7" s="8">
        <v>3631101402</v>
      </c>
      <c r="D7" s="5" t="s">
        <v>259</v>
      </c>
      <c r="E7" s="78" t="s">
        <v>377</v>
      </c>
    </row>
    <row r="8" spans="3:22" ht="19.5">
      <c r="C8" s="8">
        <v>3631101412</v>
      </c>
      <c r="D8" s="5" t="s">
        <v>372</v>
      </c>
      <c r="E8" s="78" t="s">
        <v>380</v>
      </c>
      <c r="I8" s="200"/>
      <c r="V8">
        <f>SUM(M8,N8,O8,P8)</f>
        <v>0</v>
      </c>
    </row>
    <row r="9" spans="3:22" ht="19.5">
      <c r="C9" s="8"/>
      <c r="D9" s="5" t="s">
        <v>351</v>
      </c>
      <c r="E9" s="77" t="s">
        <v>379</v>
      </c>
      <c r="V9">
        <f t="shared" ref="V9:V72" si="0">SUM(M9,N9,O9,P9)</f>
        <v>0</v>
      </c>
    </row>
    <row r="10" spans="3:22">
      <c r="C10" s="74">
        <v>5714600142</v>
      </c>
      <c r="D10" s="8" t="s">
        <v>227</v>
      </c>
      <c r="E10" s="78" t="s">
        <v>378</v>
      </c>
      <c r="V10">
        <f t="shared" si="0"/>
        <v>0</v>
      </c>
    </row>
    <row r="11" spans="3:22" ht="19.5">
      <c r="C11" s="8">
        <v>3631101403</v>
      </c>
      <c r="D11" s="5" t="s">
        <v>259</v>
      </c>
      <c r="E11" s="78" t="s">
        <v>381</v>
      </c>
      <c r="V11">
        <f t="shared" si="0"/>
        <v>0</v>
      </c>
    </row>
    <row r="12" spans="3:22" ht="19.5">
      <c r="C12" s="8">
        <v>3631101413</v>
      </c>
      <c r="D12" s="5" t="s">
        <v>372</v>
      </c>
      <c r="E12" s="78" t="s">
        <v>308</v>
      </c>
      <c r="V12">
        <f t="shared" si="0"/>
        <v>0</v>
      </c>
    </row>
    <row r="13" spans="3:22" ht="19.5">
      <c r="C13" s="8"/>
      <c r="D13" s="5" t="s">
        <v>351</v>
      </c>
      <c r="E13" s="78" t="s">
        <v>382</v>
      </c>
      <c r="V13">
        <f t="shared" si="0"/>
        <v>0</v>
      </c>
    </row>
    <row r="14" spans="3:22">
      <c r="C14" s="86">
        <v>5714600143</v>
      </c>
      <c r="D14" s="8" t="s">
        <v>227</v>
      </c>
      <c r="E14" s="78" t="s">
        <v>383</v>
      </c>
      <c r="V14">
        <f t="shared" si="0"/>
        <v>0</v>
      </c>
    </row>
    <row r="15" spans="3:22">
      <c r="C15" s="86"/>
      <c r="D15" s="8"/>
      <c r="E15" s="78" t="s">
        <v>302</v>
      </c>
      <c r="V15">
        <f t="shared" si="0"/>
        <v>0</v>
      </c>
    </row>
    <row r="16" spans="3:22">
      <c r="C16" s="2"/>
      <c r="D16" s="8" t="s">
        <v>384</v>
      </c>
      <c r="E16" s="78" t="s">
        <v>303</v>
      </c>
      <c r="V16">
        <f t="shared" si="0"/>
        <v>0</v>
      </c>
    </row>
    <row r="17" spans="3:22">
      <c r="C17" s="86"/>
      <c r="D17" s="8"/>
      <c r="E17" s="78" t="s">
        <v>385</v>
      </c>
      <c r="V17">
        <f t="shared" si="0"/>
        <v>0</v>
      </c>
    </row>
    <row r="18" spans="3:22">
      <c r="C18" s="8"/>
      <c r="D18" s="8"/>
      <c r="E18" s="78" t="s">
        <v>386</v>
      </c>
      <c r="V18">
        <f t="shared" si="0"/>
        <v>0</v>
      </c>
    </row>
    <row r="19" spans="3:22">
      <c r="C19" s="8"/>
      <c r="D19" s="8"/>
      <c r="E19" s="78" t="s">
        <v>393</v>
      </c>
      <c r="V19">
        <f t="shared" si="0"/>
        <v>0</v>
      </c>
    </row>
    <row r="20" spans="3:22">
      <c r="C20" s="8"/>
      <c r="D20" s="8"/>
      <c r="E20" s="78" t="s">
        <v>394</v>
      </c>
      <c r="V20">
        <f t="shared" si="0"/>
        <v>0</v>
      </c>
    </row>
    <row r="21" spans="3:22">
      <c r="C21" s="8"/>
      <c r="D21" s="8"/>
      <c r="E21" s="91" t="s">
        <v>311</v>
      </c>
      <c r="V21">
        <f t="shared" si="0"/>
        <v>0</v>
      </c>
    </row>
    <row r="22" spans="3:22">
      <c r="C22" s="8"/>
      <c r="D22" s="8"/>
      <c r="E22" s="91" t="s">
        <v>312</v>
      </c>
      <c r="V22">
        <f t="shared" si="0"/>
        <v>0</v>
      </c>
    </row>
    <row r="23" spans="3:22">
      <c r="C23" s="8"/>
      <c r="D23" s="8"/>
      <c r="E23" s="91" t="s">
        <v>313</v>
      </c>
      <c r="V23">
        <f t="shared" si="0"/>
        <v>0</v>
      </c>
    </row>
    <row r="24" spans="3:22" ht="19.5">
      <c r="C24" s="4"/>
      <c r="D24" s="8"/>
      <c r="E24" s="91" t="s">
        <v>387</v>
      </c>
      <c r="V24">
        <f t="shared" si="0"/>
        <v>0</v>
      </c>
    </row>
    <row r="25" spans="3:22" ht="19.5">
      <c r="C25" s="4"/>
      <c r="D25" s="8"/>
      <c r="E25" s="91" t="s">
        <v>388</v>
      </c>
      <c r="V25">
        <f t="shared" si="0"/>
        <v>0</v>
      </c>
    </row>
    <row r="26" spans="3:22" ht="19.5">
      <c r="C26" s="4"/>
      <c r="D26" s="8"/>
      <c r="E26" s="91" t="s">
        <v>389</v>
      </c>
      <c r="V26">
        <f t="shared" si="0"/>
        <v>0</v>
      </c>
    </row>
    <row r="27" spans="3:22" ht="19.5">
      <c r="C27" s="4"/>
      <c r="D27" s="8"/>
      <c r="E27" s="91" t="s">
        <v>390</v>
      </c>
      <c r="V27">
        <f t="shared" si="0"/>
        <v>0</v>
      </c>
    </row>
    <row r="28" spans="3:22" ht="19.5">
      <c r="C28" s="4"/>
      <c r="D28" s="8"/>
      <c r="E28" s="91" t="s">
        <v>391</v>
      </c>
      <c r="V28">
        <f t="shared" si="0"/>
        <v>0</v>
      </c>
    </row>
    <row r="29" spans="3:22" ht="19.5">
      <c r="C29" s="4"/>
      <c r="D29" s="8"/>
      <c r="E29" s="91" t="s">
        <v>392</v>
      </c>
      <c r="V29">
        <f t="shared" si="0"/>
        <v>0</v>
      </c>
    </row>
    <row r="30" spans="3:22" ht="19.5">
      <c r="C30" s="4"/>
      <c r="D30" s="8"/>
      <c r="E30" s="77"/>
      <c r="V30">
        <f t="shared" si="0"/>
        <v>0</v>
      </c>
    </row>
    <row r="31" spans="3:22" ht="19.5">
      <c r="C31" s="4"/>
      <c r="D31" s="8"/>
      <c r="E31" s="77"/>
      <c r="V31">
        <f t="shared" si="0"/>
        <v>0</v>
      </c>
    </row>
    <row r="32" spans="3:22" ht="19.5">
      <c r="C32" s="4"/>
      <c r="D32" s="8"/>
      <c r="E32" s="78"/>
      <c r="V32">
        <f t="shared" si="0"/>
        <v>0</v>
      </c>
    </row>
    <row r="33" spans="3:22" ht="19.5">
      <c r="C33" s="4"/>
      <c r="D33" s="8"/>
      <c r="E33" s="77"/>
      <c r="V33">
        <f t="shared" si="0"/>
        <v>0</v>
      </c>
    </row>
    <row r="34" spans="3:22" ht="19.5">
      <c r="C34" s="4"/>
      <c r="D34" s="8"/>
      <c r="E34" s="76"/>
      <c r="V34">
        <f t="shared" si="0"/>
        <v>0</v>
      </c>
    </row>
    <row r="35" spans="3:22" ht="19.5">
      <c r="C35" s="4"/>
      <c r="D35" s="8"/>
      <c r="E35" s="76"/>
      <c r="V35">
        <f t="shared" si="0"/>
        <v>0</v>
      </c>
    </row>
    <row r="36" spans="3:22" ht="19.5">
      <c r="C36" s="4"/>
      <c r="D36" s="8"/>
      <c r="E36" s="76"/>
      <c r="V36">
        <f t="shared" si="0"/>
        <v>0</v>
      </c>
    </row>
    <row r="37" spans="3:22" ht="19.5">
      <c r="C37" s="4"/>
      <c r="D37" s="8"/>
      <c r="E37" s="78"/>
      <c r="V37">
        <f t="shared" si="0"/>
        <v>0</v>
      </c>
    </row>
    <row r="38" spans="3:22" ht="19.5">
      <c r="C38" s="4"/>
      <c r="D38" s="8"/>
      <c r="E38" s="78"/>
      <c r="V38">
        <f t="shared" si="0"/>
        <v>0</v>
      </c>
    </row>
    <row r="39" spans="3:22">
      <c r="C39" s="8"/>
      <c r="D39" s="8"/>
      <c r="E39" s="78"/>
      <c r="V39">
        <f t="shared" si="0"/>
        <v>0</v>
      </c>
    </row>
    <row r="40" spans="3:22">
      <c r="C40" s="8"/>
      <c r="D40" s="8"/>
      <c r="E40" s="78"/>
      <c r="V40">
        <f t="shared" si="0"/>
        <v>0</v>
      </c>
    </row>
    <row r="41" spans="3:22">
      <c r="C41" s="8"/>
      <c r="D41" s="8"/>
      <c r="E41" s="78"/>
      <c r="V41">
        <f t="shared" si="0"/>
        <v>0</v>
      </c>
    </row>
    <row r="42" spans="3:22">
      <c r="V42">
        <f t="shared" si="0"/>
        <v>0</v>
      </c>
    </row>
    <row r="43" spans="3:22">
      <c r="V43">
        <f t="shared" si="0"/>
        <v>0</v>
      </c>
    </row>
    <row r="44" spans="3:22">
      <c r="V44">
        <f t="shared" si="0"/>
        <v>0</v>
      </c>
    </row>
    <row r="45" spans="3:22">
      <c r="V45">
        <f t="shared" si="0"/>
        <v>0</v>
      </c>
    </row>
    <row r="46" spans="3:22">
      <c r="V46">
        <f t="shared" si="0"/>
        <v>0</v>
      </c>
    </row>
    <row r="47" spans="3:22">
      <c r="V47">
        <f t="shared" si="0"/>
        <v>0</v>
      </c>
    </row>
    <row r="48" spans="3:22">
      <c r="V48">
        <f t="shared" si="0"/>
        <v>0</v>
      </c>
    </row>
    <row r="49" spans="22:22">
      <c r="V49">
        <f t="shared" si="0"/>
        <v>0</v>
      </c>
    </row>
    <row r="50" spans="22:22">
      <c r="V50">
        <f t="shared" si="0"/>
        <v>0</v>
      </c>
    </row>
    <row r="51" spans="22:22">
      <c r="V51">
        <f t="shared" si="0"/>
        <v>0</v>
      </c>
    </row>
    <row r="52" spans="22:22">
      <c r="V52">
        <f t="shared" si="0"/>
        <v>0</v>
      </c>
    </row>
    <row r="53" spans="22:22">
      <c r="V53">
        <f t="shared" si="0"/>
        <v>0</v>
      </c>
    </row>
    <row r="54" spans="22:22">
      <c r="V54">
        <f t="shared" si="0"/>
        <v>0</v>
      </c>
    </row>
    <row r="55" spans="22:22">
      <c r="V55">
        <f t="shared" si="0"/>
        <v>0</v>
      </c>
    </row>
    <row r="56" spans="22:22">
      <c r="V56">
        <f t="shared" si="0"/>
        <v>0</v>
      </c>
    </row>
    <row r="57" spans="22:22">
      <c r="V57">
        <f t="shared" si="0"/>
        <v>0</v>
      </c>
    </row>
    <row r="58" spans="22:22">
      <c r="V58">
        <f t="shared" si="0"/>
        <v>0</v>
      </c>
    </row>
    <row r="59" spans="22:22">
      <c r="V59">
        <f t="shared" si="0"/>
        <v>0</v>
      </c>
    </row>
    <row r="60" spans="22:22">
      <c r="V60">
        <f t="shared" si="0"/>
        <v>0</v>
      </c>
    </row>
    <row r="61" spans="22:22">
      <c r="V61">
        <f t="shared" si="0"/>
        <v>0</v>
      </c>
    </row>
    <row r="62" spans="22:22">
      <c r="V62">
        <f t="shared" si="0"/>
        <v>0</v>
      </c>
    </row>
    <row r="63" spans="22:22">
      <c r="V63">
        <f t="shared" si="0"/>
        <v>0</v>
      </c>
    </row>
    <row r="64" spans="22:22">
      <c r="V64">
        <f t="shared" si="0"/>
        <v>0</v>
      </c>
    </row>
    <row r="65" spans="22:22">
      <c r="V65">
        <f t="shared" si="0"/>
        <v>0</v>
      </c>
    </row>
    <row r="66" spans="22:22" ht="76.5" customHeight="1">
      <c r="V66">
        <f t="shared" si="0"/>
        <v>0</v>
      </c>
    </row>
    <row r="67" spans="22:22" ht="76.5" customHeight="1">
      <c r="V67">
        <f t="shared" si="0"/>
        <v>0</v>
      </c>
    </row>
    <row r="68" spans="22:22" ht="76.5" customHeight="1">
      <c r="V68">
        <f t="shared" si="0"/>
        <v>0</v>
      </c>
    </row>
    <row r="69" spans="22:22" ht="76.5" customHeight="1">
      <c r="V69">
        <f t="shared" si="0"/>
        <v>0</v>
      </c>
    </row>
    <row r="70" spans="22:22" ht="76.5" customHeight="1">
      <c r="V70">
        <f t="shared" si="0"/>
        <v>0</v>
      </c>
    </row>
    <row r="71" spans="22:22" ht="76.5" customHeight="1">
      <c r="V71">
        <f t="shared" si="0"/>
        <v>0</v>
      </c>
    </row>
    <row r="72" spans="22:22" ht="76.5" customHeight="1">
      <c r="V72">
        <f t="shared" si="0"/>
        <v>0</v>
      </c>
    </row>
    <row r="73" spans="22:22" ht="76.5" customHeight="1">
      <c r="V73">
        <f t="shared" ref="V73:V86" si="1">SUM(M73,N73,O73,P73)</f>
        <v>0</v>
      </c>
    </row>
    <row r="74" spans="22:22">
      <c r="V74">
        <f t="shared" si="1"/>
        <v>0</v>
      </c>
    </row>
    <row r="75" spans="22:22">
      <c r="V75">
        <f t="shared" si="1"/>
        <v>0</v>
      </c>
    </row>
    <row r="76" spans="22:22">
      <c r="V76">
        <f t="shared" si="1"/>
        <v>0</v>
      </c>
    </row>
    <row r="77" spans="22:22">
      <c r="V77">
        <f t="shared" si="1"/>
        <v>0</v>
      </c>
    </row>
    <row r="78" spans="22:22">
      <c r="V78">
        <f t="shared" si="1"/>
        <v>0</v>
      </c>
    </row>
    <row r="79" spans="22:22">
      <c r="V79">
        <f t="shared" si="1"/>
        <v>0</v>
      </c>
    </row>
    <row r="80" spans="22:22">
      <c r="V80">
        <f t="shared" si="1"/>
        <v>0</v>
      </c>
    </row>
    <row r="81" spans="22:22">
      <c r="V81">
        <f t="shared" si="1"/>
        <v>0</v>
      </c>
    </row>
    <row r="82" spans="22:22">
      <c r="V82">
        <f t="shared" si="1"/>
        <v>0</v>
      </c>
    </row>
    <row r="83" spans="22:22">
      <c r="V83">
        <f t="shared" si="1"/>
        <v>0</v>
      </c>
    </row>
    <row r="84" spans="22:22">
      <c r="V84">
        <f t="shared" si="1"/>
        <v>0</v>
      </c>
    </row>
    <row r="85" spans="22:22">
      <c r="V85">
        <f t="shared" si="1"/>
        <v>0</v>
      </c>
    </row>
    <row r="86" spans="22:22">
      <c r="V86">
        <f t="shared" si="1"/>
        <v>0</v>
      </c>
    </row>
    <row r="87" spans="22:22">
      <c r="V87">
        <f>SUM(V8:V86)</f>
        <v>0</v>
      </c>
    </row>
    <row r="92" spans="22:22">
      <c r="V92">
        <f t="shared" ref="V92:V120" si="2">SUM(M92,N92,O92,P92)</f>
        <v>0</v>
      </c>
    </row>
    <row r="93" spans="22:22">
      <c r="V93">
        <f t="shared" si="2"/>
        <v>0</v>
      </c>
    </row>
    <row r="94" spans="22:22">
      <c r="V94">
        <f t="shared" si="2"/>
        <v>0</v>
      </c>
    </row>
    <row r="95" spans="22:22">
      <c r="V95">
        <f t="shared" si="2"/>
        <v>0</v>
      </c>
    </row>
    <row r="96" spans="22:22">
      <c r="V96">
        <f t="shared" si="2"/>
        <v>0</v>
      </c>
    </row>
    <row r="97" spans="22:22">
      <c r="V97">
        <f t="shared" si="2"/>
        <v>0</v>
      </c>
    </row>
    <row r="98" spans="22:22">
      <c r="V98">
        <f t="shared" si="2"/>
        <v>0</v>
      </c>
    </row>
    <row r="99" spans="22:22">
      <c r="V99">
        <f t="shared" si="2"/>
        <v>0</v>
      </c>
    </row>
    <row r="100" spans="22:22">
      <c r="V100">
        <f t="shared" si="2"/>
        <v>0</v>
      </c>
    </row>
    <row r="101" spans="22:22">
      <c r="V101">
        <f t="shared" si="2"/>
        <v>0</v>
      </c>
    </row>
    <row r="102" spans="22:22">
      <c r="V102">
        <f t="shared" si="2"/>
        <v>0</v>
      </c>
    </row>
    <row r="103" spans="22:22">
      <c r="V103">
        <f t="shared" si="2"/>
        <v>0</v>
      </c>
    </row>
    <row r="104" spans="22:22">
      <c r="V104">
        <f t="shared" si="2"/>
        <v>0</v>
      </c>
    </row>
    <row r="105" spans="22:22">
      <c r="V105">
        <f t="shared" si="2"/>
        <v>0</v>
      </c>
    </row>
    <row r="106" spans="22:22">
      <c r="V106">
        <f t="shared" si="2"/>
        <v>0</v>
      </c>
    </row>
    <row r="107" spans="22:22">
      <c r="V107">
        <f t="shared" si="2"/>
        <v>0</v>
      </c>
    </row>
    <row r="108" spans="22:22">
      <c r="V108">
        <f t="shared" si="2"/>
        <v>0</v>
      </c>
    </row>
    <row r="109" spans="22:22">
      <c r="V109">
        <f t="shared" si="2"/>
        <v>0</v>
      </c>
    </row>
    <row r="110" spans="22:22">
      <c r="V110">
        <f t="shared" si="2"/>
        <v>0</v>
      </c>
    </row>
    <row r="111" spans="22:22">
      <c r="V111">
        <f t="shared" si="2"/>
        <v>0</v>
      </c>
    </row>
    <row r="112" spans="22:22">
      <c r="V112">
        <f t="shared" si="2"/>
        <v>0</v>
      </c>
    </row>
    <row r="113" spans="22:22">
      <c r="V113">
        <f t="shared" si="2"/>
        <v>0</v>
      </c>
    </row>
    <row r="114" spans="22:22">
      <c r="V114">
        <f t="shared" si="2"/>
        <v>0</v>
      </c>
    </row>
    <row r="115" spans="22:22">
      <c r="V115">
        <f t="shared" si="2"/>
        <v>0</v>
      </c>
    </row>
    <row r="116" spans="22:22">
      <c r="V116">
        <f t="shared" si="2"/>
        <v>0</v>
      </c>
    </row>
    <row r="117" spans="22:22">
      <c r="V117">
        <f t="shared" si="2"/>
        <v>0</v>
      </c>
    </row>
    <row r="118" spans="22:22">
      <c r="V118">
        <f t="shared" si="2"/>
        <v>0</v>
      </c>
    </row>
    <row r="119" spans="22:22">
      <c r="V119">
        <f t="shared" si="2"/>
        <v>0</v>
      </c>
    </row>
    <row r="120" spans="22:22">
      <c r="V120">
        <f t="shared" si="2"/>
        <v>0</v>
      </c>
    </row>
    <row r="121" spans="22:22">
      <c r="V121">
        <f>SUM(V92:V107)</f>
        <v>0</v>
      </c>
    </row>
    <row r="124" spans="22:22">
      <c r="V124">
        <f>SUM(M124,N124,O124,P124)</f>
        <v>0</v>
      </c>
    </row>
    <row r="125" spans="22:22">
      <c r="V125">
        <f t="shared" ref="V125:V188" si="3">SUM(M125,N125,O125,P125)</f>
        <v>0</v>
      </c>
    </row>
    <row r="126" spans="22:22">
      <c r="V126">
        <f t="shared" si="3"/>
        <v>0</v>
      </c>
    </row>
    <row r="127" spans="22:22">
      <c r="V127">
        <f t="shared" si="3"/>
        <v>0</v>
      </c>
    </row>
    <row r="128" spans="22:22">
      <c r="V128">
        <f t="shared" si="3"/>
        <v>0</v>
      </c>
    </row>
    <row r="129" spans="22:22">
      <c r="V129">
        <f t="shared" si="3"/>
        <v>0</v>
      </c>
    </row>
    <row r="130" spans="22:22">
      <c r="V130">
        <f t="shared" si="3"/>
        <v>0</v>
      </c>
    </row>
    <row r="131" spans="22:22">
      <c r="V131">
        <f t="shared" si="3"/>
        <v>0</v>
      </c>
    </row>
    <row r="132" spans="22:22">
      <c r="V132">
        <f t="shared" si="3"/>
        <v>0</v>
      </c>
    </row>
    <row r="133" spans="22:22">
      <c r="V133">
        <f t="shared" si="3"/>
        <v>0</v>
      </c>
    </row>
    <row r="134" spans="22:22">
      <c r="V134">
        <f t="shared" si="3"/>
        <v>0</v>
      </c>
    </row>
    <row r="135" spans="22:22">
      <c r="V135">
        <f t="shared" si="3"/>
        <v>0</v>
      </c>
    </row>
    <row r="136" spans="22:22">
      <c r="V136">
        <f t="shared" si="3"/>
        <v>0</v>
      </c>
    </row>
    <row r="137" spans="22:22">
      <c r="V137">
        <f t="shared" si="3"/>
        <v>0</v>
      </c>
    </row>
    <row r="138" spans="22:22">
      <c r="V138">
        <f t="shared" si="3"/>
        <v>0</v>
      </c>
    </row>
    <row r="139" spans="22:22">
      <c r="V139">
        <f t="shared" si="3"/>
        <v>0</v>
      </c>
    </row>
    <row r="140" spans="22:22">
      <c r="V140">
        <f t="shared" si="3"/>
        <v>0</v>
      </c>
    </row>
    <row r="141" spans="22:22">
      <c r="V141">
        <f t="shared" si="3"/>
        <v>0</v>
      </c>
    </row>
    <row r="142" spans="22:22">
      <c r="V142">
        <f t="shared" si="3"/>
        <v>0</v>
      </c>
    </row>
    <row r="143" spans="22:22">
      <c r="V143">
        <f t="shared" si="3"/>
        <v>0</v>
      </c>
    </row>
    <row r="144" spans="22:22">
      <c r="V144">
        <f t="shared" si="3"/>
        <v>0</v>
      </c>
    </row>
    <row r="145" spans="14:41">
      <c r="V145">
        <f t="shared" si="3"/>
        <v>0</v>
      </c>
    </row>
    <row r="146" spans="14:41">
      <c r="V146">
        <f t="shared" si="3"/>
        <v>0</v>
      </c>
    </row>
    <row r="147" spans="14:41">
      <c r="V147">
        <f t="shared" si="3"/>
        <v>0</v>
      </c>
    </row>
    <row r="148" spans="14:41">
      <c r="V148">
        <f t="shared" si="3"/>
        <v>0</v>
      </c>
    </row>
    <row r="149" spans="14:41">
      <c r="V149">
        <f t="shared" si="3"/>
        <v>0</v>
      </c>
    </row>
    <row r="150" spans="14:41">
      <c r="V150">
        <f t="shared" si="3"/>
        <v>0</v>
      </c>
    </row>
    <row r="151" spans="14:41">
      <c r="V151">
        <f t="shared" si="3"/>
        <v>0</v>
      </c>
    </row>
    <row r="152" spans="14:41">
      <c r="V152">
        <f t="shared" si="3"/>
        <v>0</v>
      </c>
    </row>
    <row r="153" spans="14:41">
      <c r="V153">
        <f t="shared" si="3"/>
        <v>0</v>
      </c>
    </row>
    <row r="154" spans="14:41">
      <c r="V154">
        <f t="shared" si="3"/>
        <v>0</v>
      </c>
    </row>
    <row r="155" spans="14:41">
      <c r="V155">
        <f t="shared" si="3"/>
        <v>0</v>
      </c>
    </row>
    <row r="156" spans="14:41">
      <c r="V156">
        <f t="shared" si="3"/>
        <v>0</v>
      </c>
    </row>
    <row r="157" spans="14:41">
      <c r="V157">
        <f t="shared" si="3"/>
        <v>0</v>
      </c>
    </row>
    <row r="158" spans="14:41">
      <c r="V158">
        <f t="shared" si="3"/>
        <v>0</v>
      </c>
    </row>
    <row r="159" spans="14:41">
      <c r="N159" s="200"/>
      <c r="O159" s="200"/>
      <c r="P159" s="200"/>
      <c r="V159">
        <f t="shared" si="3"/>
        <v>0</v>
      </c>
      <c r="AN159" s="198"/>
      <c r="AO159" s="198"/>
    </row>
    <row r="160" spans="14:41">
      <c r="V160">
        <f t="shared" si="3"/>
        <v>0</v>
      </c>
    </row>
    <row r="161" spans="6:72">
      <c r="V161">
        <f t="shared" si="3"/>
        <v>0</v>
      </c>
    </row>
    <row r="162" spans="6:72">
      <c r="Q162" s="200"/>
      <c r="V162">
        <f t="shared" si="3"/>
        <v>0</v>
      </c>
      <c r="AP162">
        <v>1000</v>
      </c>
    </row>
    <row r="163" spans="6:72">
      <c r="V163">
        <f t="shared" si="3"/>
        <v>0</v>
      </c>
    </row>
    <row r="164" spans="6:72">
      <c r="V164">
        <f t="shared" si="3"/>
        <v>0</v>
      </c>
    </row>
    <row r="165" spans="6:72">
      <c r="V165">
        <f t="shared" si="3"/>
        <v>0</v>
      </c>
    </row>
    <row r="166" spans="6:72">
      <c r="V166">
        <f t="shared" si="3"/>
        <v>0</v>
      </c>
    </row>
    <row r="167" spans="6:72">
      <c r="F167" s="200"/>
      <c r="G167" s="200"/>
      <c r="H167" s="200"/>
      <c r="Q167" s="200"/>
      <c r="R167" s="200">
        <v>500</v>
      </c>
      <c r="V167">
        <f t="shared" si="3"/>
        <v>0</v>
      </c>
      <c r="W167" s="200">
        <v>500</v>
      </c>
      <c r="BT167" s="199">
        <v>500</v>
      </c>
    </row>
    <row r="168" spans="6:72">
      <c r="V168">
        <f t="shared" si="3"/>
        <v>0</v>
      </c>
    </row>
    <row r="169" spans="6:72">
      <c r="I169" s="200"/>
      <c r="V169">
        <f t="shared" si="3"/>
        <v>0</v>
      </c>
      <c r="X169">
        <v>300</v>
      </c>
    </row>
    <row r="170" spans="6:72">
      <c r="I170" s="200"/>
      <c r="V170">
        <f t="shared" si="3"/>
        <v>0</v>
      </c>
      <c r="X170">
        <v>1200</v>
      </c>
    </row>
    <row r="171" spans="6:72">
      <c r="V171">
        <f t="shared" si="3"/>
        <v>0</v>
      </c>
    </row>
    <row r="172" spans="6:72">
      <c r="V172">
        <f t="shared" si="3"/>
        <v>0</v>
      </c>
    </row>
    <row r="173" spans="6:72">
      <c r="V173">
        <f t="shared" si="3"/>
        <v>0</v>
      </c>
    </row>
    <row r="174" spans="6:72">
      <c r="V174">
        <f t="shared" si="3"/>
        <v>0</v>
      </c>
    </row>
    <row r="175" spans="6:72">
      <c r="V175">
        <f t="shared" si="3"/>
        <v>0</v>
      </c>
    </row>
    <row r="176" spans="6:72">
      <c r="V176">
        <f t="shared" si="3"/>
        <v>0</v>
      </c>
    </row>
    <row r="177" spans="22:22">
      <c r="V177">
        <f t="shared" si="3"/>
        <v>0</v>
      </c>
    </row>
    <row r="178" spans="22:22">
      <c r="V178">
        <f t="shared" si="3"/>
        <v>0</v>
      </c>
    </row>
    <row r="179" spans="22:22">
      <c r="V179">
        <f t="shared" si="3"/>
        <v>0</v>
      </c>
    </row>
    <row r="180" spans="22:22">
      <c r="V180">
        <f t="shared" si="3"/>
        <v>0</v>
      </c>
    </row>
    <row r="181" spans="22:22">
      <c r="V181">
        <f t="shared" si="3"/>
        <v>0</v>
      </c>
    </row>
    <row r="182" spans="22:22">
      <c r="V182">
        <f t="shared" si="3"/>
        <v>0</v>
      </c>
    </row>
    <row r="183" spans="22:22">
      <c r="V183">
        <f t="shared" si="3"/>
        <v>0</v>
      </c>
    </row>
    <row r="184" spans="22:22">
      <c r="V184">
        <f t="shared" si="3"/>
        <v>0</v>
      </c>
    </row>
    <row r="185" spans="22:22">
      <c r="V185">
        <f t="shared" si="3"/>
        <v>0</v>
      </c>
    </row>
    <row r="186" spans="22:22">
      <c r="V186">
        <f t="shared" si="3"/>
        <v>0</v>
      </c>
    </row>
    <row r="187" spans="22:22">
      <c r="V187">
        <f t="shared" si="3"/>
        <v>0</v>
      </c>
    </row>
    <row r="188" spans="22:22">
      <c r="V188">
        <f t="shared" si="3"/>
        <v>0</v>
      </c>
    </row>
    <row r="189" spans="22:22">
      <c r="V189">
        <f>SUM(M189,N189,O189,P189)</f>
        <v>0</v>
      </c>
    </row>
    <row r="190" spans="22:22">
      <c r="V190">
        <f>SUM(M190,N190,O190,P190)</f>
        <v>0</v>
      </c>
    </row>
    <row r="191" spans="22:22">
      <c r="V191">
        <f>SUM(M191,N191,O191,P191)</f>
        <v>0</v>
      </c>
    </row>
    <row r="192" spans="22:22">
      <c r="V192">
        <f>SUM(M192,N192,O192,P192)</f>
        <v>0</v>
      </c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scale="14" orientation="landscape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2</vt:i4>
      </vt:variant>
    </vt:vector>
  </HeadingPairs>
  <TitlesOfParts>
    <vt:vector size="12" baseType="lpstr">
      <vt:lpstr>P_plan Reagent</vt:lpstr>
      <vt:lpstr>P_plan Device</vt:lpstr>
      <vt:lpstr>Hi</vt:lpstr>
      <vt:lpstr>ELISA</vt:lpstr>
      <vt:lpstr>2020 Device AP</vt:lpstr>
      <vt:lpstr>工作表3</vt:lpstr>
      <vt:lpstr>A1C 客戶</vt:lpstr>
      <vt:lpstr>P01 客戶 HB</vt:lpstr>
      <vt:lpstr>P01 客戶  VB</vt:lpstr>
      <vt:lpstr>Vi 客戶</vt:lpstr>
      <vt:lpstr>'P_plan Device'!Print_Area</vt:lpstr>
      <vt:lpstr>'P_plan Reagent'!Print_Area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Jeans Liao</dc:creator>
  <cp:lastModifiedBy>Harry HR Guo (郭鴻儒)</cp:lastModifiedBy>
  <cp:lastPrinted>2025-06-10T01:43:45Z</cp:lastPrinted>
  <dcterms:created xsi:type="dcterms:W3CDTF">2014-08-10T14:10:08Z</dcterms:created>
  <dcterms:modified xsi:type="dcterms:W3CDTF">2026-05-15T03:53:46Z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0e0e53c-4d26-49e4-ad77-afdf409a8d28_Enabled">
    <vt:lpwstr>true</vt:lpwstr>
  </property>
  <property fmtid="{D5CDD505-2E9C-101B-9397-08002B2CF9AE}" pid="3" name="MSIP_Label_50e0e53c-4d26-49e4-ad77-afdf409a8d28_SetDate">
    <vt:lpwstr>2021-07-01T13:05:34Z</vt:lpwstr>
  </property>
  <property fmtid="{D5CDD505-2E9C-101B-9397-08002B2CF9AE}" pid="4" name="MSIP_Label_50e0e53c-4d26-49e4-ad77-afdf409a8d28_Method">
    <vt:lpwstr>Privileged</vt:lpwstr>
  </property>
  <property fmtid="{D5CDD505-2E9C-101B-9397-08002B2CF9AE}" pid="5" name="MSIP_Label_50e0e53c-4d26-49e4-ad77-afdf409a8d28_Name">
    <vt:lpwstr>50e0e53c-4d26-49e4-ad77-afdf409a8d28</vt:lpwstr>
  </property>
  <property fmtid="{D5CDD505-2E9C-101B-9397-08002B2CF9AE}" pid="6" name="MSIP_Label_50e0e53c-4d26-49e4-ad77-afdf409a8d28_SiteId">
    <vt:lpwstr>5a7a259b-6730-404b-bc25-5c6c773229ca</vt:lpwstr>
  </property>
  <property fmtid="{D5CDD505-2E9C-101B-9397-08002B2CF9AE}" pid="7" name="MSIP_Label_50e0e53c-4d26-49e4-ad77-afdf409a8d28_ActionId">
    <vt:lpwstr/>
  </property>
  <property fmtid="{D5CDD505-2E9C-101B-9397-08002B2CF9AE}" pid="8" name="MSIP_Label_50e0e53c-4d26-49e4-ad77-afdf409a8d28_ContentBits">
    <vt:lpwstr>0</vt:lpwstr>
  </property>
  <property fmtid="{D5CDD505-2E9C-101B-9397-08002B2CF9AE}" pid="9" name="MSIP_Label_9c87c5db-6928-42dd-9ad2-c1af6f81a1c0_Enabled">
    <vt:lpwstr>true</vt:lpwstr>
  </property>
  <property fmtid="{D5CDD505-2E9C-101B-9397-08002B2CF9AE}" pid="10" name="MSIP_Label_9c87c5db-6928-42dd-9ad2-c1af6f81a1c0_SetDate">
    <vt:lpwstr>2024-09-25T04:25:58Z</vt:lpwstr>
  </property>
  <property fmtid="{D5CDD505-2E9C-101B-9397-08002B2CF9AE}" pid="11" name="MSIP_Label_9c87c5db-6928-42dd-9ad2-c1af6f81a1c0_Method">
    <vt:lpwstr>Privileged</vt:lpwstr>
  </property>
  <property fmtid="{D5CDD505-2E9C-101B-9397-08002B2CF9AE}" pid="12" name="MSIP_Label_9c87c5db-6928-42dd-9ad2-c1af6f81a1c0_Name">
    <vt:lpwstr>Public</vt:lpwstr>
  </property>
  <property fmtid="{D5CDD505-2E9C-101B-9397-08002B2CF9AE}" pid="13" name="MSIP_Label_9c87c5db-6928-42dd-9ad2-c1af6f81a1c0_SiteId">
    <vt:lpwstr>15d82f97-4f15-4ead-9ab6-18aa0cd45388</vt:lpwstr>
  </property>
  <property fmtid="{D5CDD505-2E9C-101B-9397-08002B2CF9AE}" pid="14" name="MSIP_Label_9c87c5db-6928-42dd-9ad2-c1af6f81a1c0_ActionId">
    <vt:lpwstr>9e69d959-b48e-4e19-90bb-bba29493aeb8</vt:lpwstr>
  </property>
  <property fmtid="{D5CDD505-2E9C-101B-9397-08002B2CF9AE}" pid="15" name="MSIP_Label_9c87c5db-6928-42dd-9ad2-c1af6f81a1c0_ContentBits">
    <vt:lpwstr>0</vt:lpwstr>
  </property>
</Properties>
</file>