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彙總比對_含庫存" sheetId="2" state="visible" r:id="rId2"/>
    <sheet name="系統計算明細" sheetId="3" state="visible" r:id="rId3"/>
    <sheet name="規則說明" sheetId="4" state="visible" r:id="rId4"/>
    <sheet name="T4_DB檢查" sheetId="5" state="visible" r:id="rId5"/>
    <sheet name="AMY檢查" sheetId="6" state="visible" r:id="rId6"/>
  </sheets>
  <definedNames>
    <definedName name="_xlnm._FilterDatabase" localSheetId="1" hidden="1">'彙總比對_含庫存'!$A$1:$P$66</definedName>
    <definedName name="_xlnm._FilterDatabase" localSheetId="2" hidden="1">'系統計算明細'!$A$1:$J$103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3" fontId="0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3" borderId="2" applyAlignment="1" pivotButton="0" quotePrefix="0" xfId="0">
      <alignment vertical="center" wrapText="1"/>
    </xf>
    <xf numFmtId="3" fontId="0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系統-人工需求差異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'Summary'!D14</f>
            </strRef>
          </tx>
          <spPr>
            <a:ln>
              <a:prstDash val="solid"/>
            </a:ln>
          </spPr>
          <cat>
            <numRef>
              <f>'Summary'!$A$15:$A$29</f>
            </numRef>
          </cat>
          <val>
            <numRef>
              <f>'Summary'!$D$15:$D$29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差異數量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1" t="inlineStr">
        <is>
          <t>Bead 人工 vs 系統比較 Summary</t>
        </is>
      </c>
      <c r="B1" s="2" t="n"/>
      <c r="C1" s="2" t="n"/>
      <c r="D1" s="3" t="n"/>
      <c r="E1" s="3" t="n"/>
      <c r="F1" s="3" t="n"/>
    </row>
    <row r="2">
      <c r="A2" s="2" t="n"/>
      <c r="B2" s="2" t="n"/>
      <c r="C2" s="2" t="n"/>
      <c r="D2" s="3" t="n"/>
      <c r="E2" s="3" t="n"/>
      <c r="F2" s="3" t="n"/>
    </row>
    <row r="3">
      <c r="A3" s="4" t="inlineStr">
        <is>
          <t>項目</t>
        </is>
      </c>
      <c r="B3" s="4" t="inlineStr">
        <is>
          <t>數值</t>
        </is>
      </c>
      <c r="C3" s="4" t="inlineStr">
        <is>
          <t>說明</t>
        </is>
      </c>
      <c r="D3" s="3" t="n"/>
      <c r="E3" s="3" t="n"/>
      <c r="F3" s="3" t="n"/>
    </row>
    <row r="4">
      <c r="A4" s="2" t="inlineStr">
        <is>
          <t>人工三周需求合計</t>
        </is>
      </c>
      <c r="B4" s="5" t="n">
        <v>1782600</v>
      </c>
      <c r="C4" s="2" t="inlineStr">
        <is>
          <t>人工計算檔套用規則後合計</t>
        </is>
      </c>
      <c r="D4" s="3" t="n"/>
      <c r="E4" s="3" t="n"/>
      <c r="F4" s="3" t="n"/>
    </row>
    <row r="5">
      <c r="A5" s="2" t="inlineStr">
        <is>
          <t>系統三周需求合計</t>
        </is>
      </c>
      <c r="B5" s="5" t="n">
        <v>2010879</v>
      </c>
      <c r="C5" s="2" t="inlineStr">
        <is>
          <t>Bead's Need 套用規則後合計</t>
        </is>
      </c>
      <c r="D5" s="3" t="n"/>
      <c r="E5" s="3" t="n"/>
      <c r="F5" s="3" t="n"/>
    </row>
    <row r="6">
      <c r="A6" s="2" t="inlineStr">
        <is>
          <t>系統-人工需求差異</t>
        </is>
      </c>
      <c r="B6" s="5" t="n">
        <v>228279</v>
      </c>
      <c r="C6" s="2" t="inlineStr">
        <is>
          <t>正數表示系統計算較高</t>
        </is>
      </c>
      <c r="D6" s="3" t="n"/>
      <c r="E6" s="3" t="n"/>
      <c r="F6" s="3" t="n"/>
    </row>
    <row r="7">
      <c r="A7" s="2" t="inlineStr">
        <is>
          <t>人工有效庫存合計</t>
        </is>
      </c>
      <c r="B7" s="5" t="n">
        <v>1921350</v>
      </c>
      <c r="C7" s="2" t="inlineStr">
        <is>
          <t>人工檔有效庫存合計</t>
        </is>
      </c>
      <c r="D7" s="3" t="n"/>
      <c r="E7" s="3" t="n"/>
      <c r="F7" s="3" t="n"/>
    </row>
    <row r="8">
      <c r="A8" s="2" t="inlineStr">
        <is>
          <t>系統有效庫存合計</t>
        </is>
      </c>
      <c r="B8" s="5" t="n">
        <v>2435053</v>
      </c>
      <c r="C8" s="2" t="inlineStr">
        <is>
          <t>系統檔有效庫存合計</t>
        </is>
      </c>
      <c r="D8" s="3" t="n"/>
      <c r="E8" s="3" t="n"/>
      <c r="F8" s="3" t="n"/>
    </row>
    <row r="9">
      <c r="A9" s="2" t="inlineStr">
        <is>
          <t>系統-人工庫存差異</t>
        </is>
      </c>
      <c r="B9" s="5" t="n">
        <v>513703</v>
      </c>
      <c r="C9" s="2" t="inlineStr">
        <is>
          <t>正數表示系統庫存較高</t>
        </is>
      </c>
      <c r="D9" s="3" t="n"/>
      <c r="E9" s="3" t="n"/>
      <c r="F9" s="3" t="n"/>
    </row>
    <row r="10">
      <c r="A10" s="2" t="inlineStr">
        <is>
          <t>CREA 說明</t>
        </is>
      </c>
      <c r="B10" s="2" t="inlineStr">
        <is>
          <t>不單獨列 tCREA-U</t>
        </is>
      </c>
      <c r="C10" s="2" t="inlineStr">
        <is>
          <t>CREA 需求看 CREA 列；tCREA-U 只作搭配/庫存判斷</t>
        </is>
      </c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6" t="inlineStr">
        <is>
          <t>Top 15 需求差異品項</t>
        </is>
      </c>
      <c r="B13" s="3" t="n"/>
      <c r="C13" s="3" t="n"/>
      <c r="D13" s="3" t="n"/>
      <c r="E13" s="3" t="n"/>
      <c r="F13" s="3" t="n"/>
    </row>
    <row r="14">
      <c r="A14" s="7" t="inlineStr">
        <is>
          <t>品項</t>
        </is>
      </c>
      <c r="B14" s="7" t="inlineStr">
        <is>
          <t>人工三周需求</t>
        </is>
      </c>
      <c r="C14" s="7" t="inlineStr">
        <is>
          <t>系統三周需求</t>
        </is>
      </c>
      <c r="D14" s="7" t="inlineStr">
        <is>
          <t>系統-人工差異</t>
        </is>
      </c>
      <c r="E14" s="7" t="inlineStr">
        <is>
          <t>人工庫存</t>
        </is>
      </c>
      <c r="F14" s="7" t="inlineStr">
        <is>
          <t>系統庫存</t>
        </is>
      </c>
    </row>
    <row r="15">
      <c r="A15" s="3" t="inlineStr">
        <is>
          <t>TC</t>
        </is>
      </c>
      <c r="B15" s="8" t="n">
        <v>60400</v>
      </c>
      <c r="C15" s="8" t="n">
        <v>33920</v>
      </c>
      <c r="D15" s="8" t="n">
        <v>-26480</v>
      </c>
      <c r="E15" s="8" t="n">
        <v>80000</v>
      </c>
      <c r="F15" s="8" t="n">
        <v>64140</v>
      </c>
    </row>
    <row r="16">
      <c r="A16" s="3" t="inlineStr">
        <is>
          <t>TP</t>
        </is>
      </c>
      <c r="B16" s="8" t="n">
        <v>123500</v>
      </c>
      <c r="C16" s="8" t="n">
        <v>144790</v>
      </c>
      <c r="D16" s="8" t="n">
        <v>21290</v>
      </c>
      <c r="E16" s="8" t="n">
        <v>160000</v>
      </c>
      <c r="F16" s="8" t="n">
        <v>168705</v>
      </c>
    </row>
    <row r="17">
      <c r="A17" s="3" t="inlineStr">
        <is>
          <t>AST</t>
        </is>
      </c>
      <c r="B17" s="8" t="n">
        <v>174400</v>
      </c>
      <c r="C17" s="8" t="n">
        <v>188460</v>
      </c>
      <c r="D17" s="8" t="n">
        <v>14060</v>
      </c>
      <c r="E17" s="8" t="n">
        <v>204000</v>
      </c>
      <c r="F17" s="8" t="n">
        <v>217400</v>
      </c>
    </row>
    <row r="18">
      <c r="A18" s="3" t="inlineStr">
        <is>
          <t>BCL</t>
        </is>
      </c>
      <c r="B18" s="8" t="n">
        <v>0</v>
      </c>
      <c r="C18" s="8" t="n">
        <v>12600</v>
      </c>
      <c r="D18" s="8" t="n">
        <v>12600</v>
      </c>
      <c r="E18" s="8" t="n">
        <v>0</v>
      </c>
      <c r="F18" s="8" t="n">
        <v>11430</v>
      </c>
    </row>
    <row r="19">
      <c r="A19" s="3" t="inlineStr">
        <is>
          <t>ALT</t>
        </is>
      </c>
      <c r="B19" s="8" t="n">
        <v>118500</v>
      </c>
      <c r="C19" s="8" t="n">
        <v>131060</v>
      </c>
      <c r="D19" s="8" t="n">
        <v>12560</v>
      </c>
      <c r="E19" s="8" t="n">
        <v>200000</v>
      </c>
      <c r="F19" s="8" t="n">
        <v>209160</v>
      </c>
    </row>
    <row r="20">
      <c r="A20" s="3" t="inlineStr">
        <is>
          <t>ALP</t>
        </is>
      </c>
      <c r="B20" s="8" t="n">
        <v>127500</v>
      </c>
      <c r="C20" s="8" t="n">
        <v>139970</v>
      </c>
      <c r="D20" s="8" t="n">
        <v>12470</v>
      </c>
      <c r="E20" s="8" t="n">
        <v>180000</v>
      </c>
      <c r="F20" s="8" t="n">
        <v>212140</v>
      </c>
    </row>
    <row r="21">
      <c r="A21" s="3" t="inlineStr">
        <is>
          <t>GLU</t>
        </is>
      </c>
      <c r="B21" s="8" t="n">
        <v>133400</v>
      </c>
      <c r="C21" s="8" t="n">
        <v>143930</v>
      </c>
      <c r="D21" s="8" t="n">
        <v>10530</v>
      </c>
      <c r="E21" s="8" t="n">
        <v>144000</v>
      </c>
      <c r="F21" s="8" t="n">
        <v>99250</v>
      </c>
    </row>
    <row r="22">
      <c r="A22" s="3" t="inlineStr">
        <is>
          <t>CREA</t>
        </is>
      </c>
      <c r="B22" s="8" t="n">
        <v>136400</v>
      </c>
      <c r="C22" s="8" t="n">
        <v>146220</v>
      </c>
      <c r="D22" s="8" t="n">
        <v>9820</v>
      </c>
      <c r="E22" s="8" t="n">
        <v>150000</v>
      </c>
      <c r="F22" s="8" t="n">
        <v>215950</v>
      </c>
    </row>
    <row r="23">
      <c r="A23" s="3" t="inlineStr">
        <is>
          <t>BUN</t>
        </is>
      </c>
      <c r="B23" s="8" t="n">
        <v>128000</v>
      </c>
      <c r="C23" s="8" t="n">
        <v>137560</v>
      </c>
      <c r="D23" s="8" t="n">
        <v>9560</v>
      </c>
      <c r="E23" s="8" t="n">
        <v>140000</v>
      </c>
      <c r="F23" s="8" t="n">
        <v>150050</v>
      </c>
    </row>
    <row r="24">
      <c r="A24" s="3" t="inlineStr">
        <is>
          <t>QALB</t>
        </is>
      </c>
      <c r="B24" s="8" t="n">
        <v>0</v>
      </c>
      <c r="C24" s="8" t="n">
        <v>9370</v>
      </c>
      <c r="D24" s="8" t="n">
        <v>9370</v>
      </c>
      <c r="E24" s="8" t="n">
        <v>0</v>
      </c>
      <c r="F24" s="8" t="n">
        <v>24330</v>
      </c>
    </row>
    <row r="25">
      <c r="A25" s="3" t="inlineStr">
        <is>
          <t>ALB</t>
        </is>
      </c>
      <c r="B25" s="8" t="n">
        <v>129500</v>
      </c>
      <c r="C25" s="8" t="n">
        <v>138640</v>
      </c>
      <c r="D25" s="8" t="n">
        <v>9140</v>
      </c>
      <c r="E25" s="8" t="n">
        <v>72000</v>
      </c>
      <c r="F25" s="8" t="n">
        <v>145930</v>
      </c>
    </row>
    <row r="26">
      <c r="A26" s="3" t="inlineStr">
        <is>
          <t>HDL</t>
        </is>
      </c>
      <c r="B26" s="8" t="n">
        <v>9400</v>
      </c>
      <c r="C26" s="8" t="n">
        <v>420</v>
      </c>
      <c r="D26" s="8" t="n">
        <v>-8980</v>
      </c>
      <c r="E26" s="8" t="n">
        <v>20000</v>
      </c>
      <c r="F26" s="8" t="n">
        <v>22000</v>
      </c>
    </row>
    <row r="27">
      <c r="A27" s="3" t="inlineStr">
        <is>
          <t>UA</t>
        </is>
      </c>
      <c r="B27" s="8" t="n">
        <v>9000</v>
      </c>
      <c r="C27" s="8" t="n">
        <v>17550</v>
      </c>
      <c r="D27" s="8" t="n">
        <v>8550</v>
      </c>
      <c r="E27" s="8" t="n">
        <v>4100</v>
      </c>
      <c r="F27" s="8" t="n">
        <v>4520</v>
      </c>
    </row>
    <row r="28">
      <c r="A28" s="3" t="inlineStr">
        <is>
          <t>TG</t>
        </is>
      </c>
      <c r="B28" s="8" t="n">
        <v>9400</v>
      </c>
      <c r="C28" s="8" t="n">
        <v>920</v>
      </c>
      <c r="D28" s="8" t="n">
        <v>-8480</v>
      </c>
      <c r="E28" s="8" t="n">
        <v>20000</v>
      </c>
      <c r="F28" s="8" t="n">
        <v>23710</v>
      </c>
    </row>
    <row r="29">
      <c r="A29" s="3" t="inlineStr">
        <is>
          <t>QCA</t>
        </is>
      </c>
      <c r="B29" s="8" t="n">
        <v>0</v>
      </c>
      <c r="C29" s="8" t="n">
        <v>7860</v>
      </c>
      <c r="D29" s="8" t="n">
        <v>7860</v>
      </c>
      <c r="E29" s="8" t="n">
        <v>0</v>
      </c>
      <c r="F29" s="8" t="n">
        <v>57920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42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TBIL</t>
        </is>
      </c>
      <c r="B2" s="5" t="n">
        <v>22000</v>
      </c>
      <c r="C2" s="5" t="n">
        <v>36500</v>
      </c>
      <c r="D2" s="5" t="n">
        <v>42500</v>
      </c>
      <c r="E2" s="5" t="n">
        <v>101000</v>
      </c>
      <c r="F2" s="5" t="n">
        <v>32500</v>
      </c>
      <c r="G2" s="5" t="n">
        <v>39500</v>
      </c>
      <c r="H2" s="5" t="n">
        <v>31840</v>
      </c>
      <c r="I2" s="5" t="n">
        <v>103840</v>
      </c>
      <c r="J2" s="9" t="n">
        <v>2840</v>
      </c>
      <c r="K2" s="5" t="n">
        <v>150000</v>
      </c>
      <c r="L2" s="5" t="n">
        <v>145970</v>
      </c>
      <c r="M2" s="5" t="n">
        <v>-4030</v>
      </c>
      <c r="N2" s="2" t="inlineStr">
        <is>
          <t>系統計算較高</t>
        </is>
      </c>
      <c r="O2" s="2" t="inlineStr">
        <is>
          <t>TBIL(工作表3!C2: header R14, data R15-18)</t>
        </is>
      </c>
      <c r="P2" s="2" t="inlineStr">
        <is>
          <t>D:TBIL-D(Bead's Need!R47)；只有單側資料，直接採用</t>
        </is>
      </c>
    </row>
    <row r="3">
      <c r="A3" s="2" t="inlineStr">
        <is>
          <t>TP</t>
        </is>
      </c>
      <c r="B3" s="5" t="n">
        <v>45000</v>
      </c>
      <c r="C3" s="5" t="n">
        <v>36500</v>
      </c>
      <c r="D3" s="5" t="n">
        <v>42000</v>
      </c>
      <c r="E3" s="5" t="n">
        <v>123500</v>
      </c>
      <c r="F3" s="5" t="n">
        <v>60350</v>
      </c>
      <c r="G3" s="5" t="n">
        <v>39820</v>
      </c>
      <c r="H3" s="5" t="n">
        <v>44620</v>
      </c>
      <c r="I3" s="5" t="n">
        <v>144790</v>
      </c>
      <c r="J3" s="9" t="n">
        <v>21290</v>
      </c>
      <c r="K3" s="5" t="n">
        <v>160000</v>
      </c>
      <c r="L3" s="5" t="n">
        <v>168705</v>
      </c>
      <c r="M3" s="5" t="n">
        <v>8705</v>
      </c>
      <c r="N3" s="2" t="inlineStr">
        <is>
          <t>系統計算較高</t>
        </is>
      </c>
      <c r="O3" s="2" t="inlineStr">
        <is>
          <t>TP(工作表3!C3: header R14, data R15-18)</t>
        </is>
      </c>
      <c r="P3" s="2" t="inlineStr">
        <is>
          <t>TP(Bead's Need!R92)</t>
        </is>
      </c>
    </row>
    <row r="4">
      <c r="A4" s="2" t="inlineStr">
        <is>
          <t>ALP</t>
        </is>
      </c>
      <c r="B4" s="5" t="n">
        <v>46000</v>
      </c>
      <c r="C4" s="5" t="n">
        <v>36500</v>
      </c>
      <c r="D4" s="5" t="n">
        <v>45000</v>
      </c>
      <c r="E4" s="5" t="n">
        <v>127500</v>
      </c>
      <c r="F4" s="5" t="n">
        <v>60950</v>
      </c>
      <c r="G4" s="5" t="n">
        <v>39220</v>
      </c>
      <c r="H4" s="5" t="n">
        <v>39800</v>
      </c>
      <c r="I4" s="5" t="n">
        <v>139970</v>
      </c>
      <c r="J4" s="9" t="n">
        <v>12470</v>
      </c>
      <c r="K4" s="5" t="n">
        <v>180000</v>
      </c>
      <c r="L4" s="5" t="n">
        <v>212140</v>
      </c>
      <c r="M4" s="5" t="n">
        <v>32140</v>
      </c>
      <c r="N4" s="2" t="inlineStr">
        <is>
          <t>系統計算較高</t>
        </is>
      </c>
      <c r="O4" s="2" t="inlineStr">
        <is>
          <t>ALP(工作表3!C4: header R14, data R15-18)</t>
        </is>
      </c>
      <c r="P4" s="2" t="inlineStr">
        <is>
          <t>D:ALP-D(Bead's Need!R67)；U:ALP-U(Bead's Need!R68)；規則=兩劑需求取大/庫存取小；D需求=[60950.0, 39220.0, 39800.0], U需求=[60950.0, 39220.0, 39800.0], D庫存=225890, U庫存=212140</t>
        </is>
      </c>
    </row>
    <row r="5">
      <c r="A5" s="2" t="inlineStr">
        <is>
          <t>BUN</t>
        </is>
      </c>
      <c r="B5" s="5" t="n">
        <v>46000</v>
      </c>
      <c r="C5" s="5" t="n">
        <v>36500</v>
      </c>
      <c r="D5" s="5" t="n">
        <v>45500</v>
      </c>
      <c r="E5" s="5" t="n">
        <v>128000</v>
      </c>
      <c r="F5" s="5" t="n">
        <v>56500</v>
      </c>
      <c r="G5" s="5" t="n">
        <v>39500</v>
      </c>
      <c r="H5" s="5" t="n">
        <v>41560</v>
      </c>
      <c r="I5" s="5" t="n">
        <v>137560</v>
      </c>
      <c r="J5" s="9" t="n">
        <v>9560</v>
      </c>
      <c r="K5" s="5" t="n">
        <v>140000</v>
      </c>
      <c r="L5" s="5" t="n">
        <v>150050</v>
      </c>
      <c r="M5" s="5" t="n">
        <v>10050</v>
      </c>
      <c r="N5" s="2" t="inlineStr">
        <is>
          <t>系統計算較高</t>
        </is>
      </c>
      <c r="O5" s="2" t="inlineStr">
        <is>
          <t>BUN(工作表3!C5: header R14, data R15-18)</t>
        </is>
      </c>
      <c r="P5" s="2" t="inlineStr">
        <is>
          <t>BUN(Bead's Need!R93)</t>
        </is>
      </c>
    </row>
    <row r="6">
      <c r="A6" s="2" t="inlineStr">
        <is>
          <t>UA</t>
        </is>
      </c>
      <c r="B6" s="5" t="n">
        <v>0</v>
      </c>
      <c r="C6" s="5" t="n">
        <v>9000</v>
      </c>
      <c r="D6" s="5" t="n">
        <v>0</v>
      </c>
      <c r="E6" s="5" t="n">
        <v>9000</v>
      </c>
      <c r="F6" s="5" t="n">
        <v>10130</v>
      </c>
      <c r="G6" s="5" t="n">
        <v>0</v>
      </c>
      <c r="H6" s="5" t="n">
        <v>7420</v>
      </c>
      <c r="I6" s="5" t="n">
        <v>17550</v>
      </c>
      <c r="J6" s="9" t="n">
        <v>8550</v>
      </c>
      <c r="K6" s="5" t="n">
        <v>4100</v>
      </c>
      <c r="L6" s="5" t="n">
        <v>4520</v>
      </c>
      <c r="M6" s="5" t="n">
        <v>420</v>
      </c>
      <c r="N6" s="2" t="inlineStr">
        <is>
          <t>系統計算較高</t>
        </is>
      </c>
      <c r="O6" s="2" t="inlineStr">
        <is>
          <t>UA(工作表3!C6: header R14, data R15-18)</t>
        </is>
      </c>
      <c r="P6" s="2" t="inlineStr">
        <is>
          <t>D:UA-D(Bead's Need!R12)；U:UA-U(Bead's Need!R13)；規則=兩劑需求取大/庫存取小；D需求=[10130.0, 0.0, 7420.0], U需求=[10130.0, 0.0, 7420.0], D庫存=4580, U庫存=4520</t>
        </is>
      </c>
    </row>
    <row r="7">
      <c r="A7" s="2" t="inlineStr">
        <is>
          <t>GLU</t>
        </is>
      </c>
      <c r="B7" s="5" t="n">
        <v>54400</v>
      </c>
      <c r="C7" s="5" t="n">
        <v>36500</v>
      </c>
      <c r="D7" s="5" t="n">
        <v>42500</v>
      </c>
      <c r="E7" s="5" t="n">
        <v>133400</v>
      </c>
      <c r="F7" s="5" t="n">
        <v>59850</v>
      </c>
      <c r="G7" s="5" t="n">
        <v>38320</v>
      </c>
      <c r="H7" s="5" t="n">
        <v>45760</v>
      </c>
      <c r="I7" s="5" t="n">
        <v>143930</v>
      </c>
      <c r="J7" s="9" t="n">
        <v>10530</v>
      </c>
      <c r="K7" s="5" t="n">
        <v>144000</v>
      </c>
      <c r="L7" s="5" t="n">
        <v>99250</v>
      </c>
      <c r="M7" s="5" t="n">
        <v>-44750</v>
      </c>
      <c r="N7" s="2" t="inlineStr">
        <is>
          <t>系統計算較高</t>
        </is>
      </c>
      <c r="O7" s="2" t="inlineStr">
        <is>
          <t>GLU-B(工作表3!C7: header R14, data R15-18)</t>
        </is>
      </c>
      <c r="P7" s="2" t="inlineStr">
        <is>
          <t>GLU-B(Bead's Need!R84)</t>
        </is>
      </c>
    </row>
    <row r="8">
      <c r="A8" s="2" t="inlineStr">
        <is>
          <t>ALB</t>
        </is>
      </c>
      <c r="B8" s="5" t="n">
        <v>48000</v>
      </c>
      <c r="C8" s="5" t="n">
        <v>36500</v>
      </c>
      <c r="D8" s="5" t="n">
        <v>45000</v>
      </c>
      <c r="E8" s="5" t="n">
        <v>129500</v>
      </c>
      <c r="F8" s="5" t="n">
        <v>59000</v>
      </c>
      <c r="G8" s="5" t="n">
        <v>39000</v>
      </c>
      <c r="H8" s="5" t="n">
        <v>40640</v>
      </c>
      <c r="I8" s="5" t="n">
        <v>138640</v>
      </c>
      <c r="J8" s="9" t="n">
        <v>9140</v>
      </c>
      <c r="K8" s="5" t="n">
        <v>72000</v>
      </c>
      <c r="L8" s="5" t="n">
        <v>145930</v>
      </c>
      <c r="M8" s="5" t="n">
        <v>73930</v>
      </c>
      <c r="N8" s="2" t="inlineStr">
        <is>
          <t>系統計算較高</t>
        </is>
      </c>
      <c r="O8" s="2" t="inlineStr">
        <is>
          <t>ALB(工作表3!C8: header R14, data R15-18)</t>
        </is>
      </c>
      <c r="P8" s="2" t="inlineStr">
        <is>
          <t>ALB(Bead's Need!R87)</t>
        </is>
      </c>
    </row>
    <row r="9">
      <c r="A9" s="2" t="inlineStr">
        <is>
          <t>TG</t>
        </is>
      </c>
      <c r="B9" s="5" t="n">
        <v>9400</v>
      </c>
      <c r="C9" s="5" t="n">
        <v>0</v>
      </c>
      <c r="D9" s="5" t="n">
        <v>0</v>
      </c>
      <c r="E9" s="5" t="n">
        <v>9400</v>
      </c>
      <c r="F9" s="5" t="n">
        <v>500</v>
      </c>
      <c r="G9" s="5" t="n">
        <v>0</v>
      </c>
      <c r="H9" s="5" t="n">
        <v>420</v>
      </c>
      <c r="I9" s="5" t="n">
        <v>920</v>
      </c>
      <c r="J9" s="10" t="n">
        <v>-8480</v>
      </c>
      <c r="K9" s="5" t="n">
        <v>20000</v>
      </c>
      <c r="L9" s="5" t="n">
        <v>23710</v>
      </c>
      <c r="M9" s="5" t="n">
        <v>3710</v>
      </c>
      <c r="N9" s="2" t="inlineStr">
        <is>
          <t>系統計算較低</t>
        </is>
      </c>
      <c r="O9" s="2" t="inlineStr">
        <is>
          <t>TG(工作表3!C9: header R14, data R15-18)</t>
        </is>
      </c>
      <c r="P9" s="2" t="inlineStr">
        <is>
          <t>D:TG-D(Bead's Need!R50)；U:TG-U(Bead's Need!R49)；規則=兩劑需求取大/庫存取小；D需求=[500.0, 0.0, 420.0], U需求=[500.0, 0.0, 420.0], D庫存=23710, U庫存=24340</t>
        </is>
      </c>
    </row>
    <row r="10">
      <c r="A10" s="2" t="inlineStr">
        <is>
          <t>ALT</t>
        </is>
      </c>
      <c r="B10" s="5" t="n">
        <v>42000</v>
      </c>
      <c r="C10" s="5" t="n">
        <v>35000</v>
      </c>
      <c r="D10" s="5" t="n">
        <v>41500</v>
      </c>
      <c r="E10" s="5" t="n">
        <v>118500</v>
      </c>
      <c r="F10" s="5" t="n">
        <v>51000</v>
      </c>
      <c r="G10" s="5" t="n">
        <v>39500</v>
      </c>
      <c r="H10" s="5" t="n">
        <v>40560</v>
      </c>
      <c r="I10" s="5" t="n">
        <v>131060</v>
      </c>
      <c r="J10" s="9" t="n">
        <v>12560</v>
      </c>
      <c r="K10" s="5" t="n">
        <v>200000</v>
      </c>
      <c r="L10" s="5" t="n">
        <v>209160</v>
      </c>
      <c r="M10" s="5" t="n">
        <v>9160</v>
      </c>
      <c r="N10" s="2" t="inlineStr">
        <is>
          <t>系統計算較高</t>
        </is>
      </c>
      <c r="O10" s="2" t="inlineStr">
        <is>
          <t>ALT(工作表3!C10: header R14, data R15-18)</t>
        </is>
      </c>
      <c r="P10" s="2" t="inlineStr">
        <is>
          <t>ALT-A(Bead's Need!R103)</t>
        </is>
      </c>
    </row>
    <row r="11">
      <c r="A11" s="2" t="inlineStr">
        <is>
          <t>K</t>
        </is>
      </c>
      <c r="B11" s="5" t="n">
        <v>27400</v>
      </c>
      <c r="C11" s="5" t="n">
        <v>17500</v>
      </c>
      <c r="D11" s="5" t="n">
        <v>25500</v>
      </c>
      <c r="E11" s="5" t="n">
        <v>70400</v>
      </c>
      <c r="F11" s="5" t="n">
        <v>19500</v>
      </c>
      <c r="G11" s="5" t="n">
        <v>27500</v>
      </c>
      <c r="H11" s="5" t="n">
        <v>22920</v>
      </c>
      <c r="I11" s="5" t="n">
        <v>69920</v>
      </c>
      <c r="J11" s="10" t="n">
        <v>-480</v>
      </c>
      <c r="K11" s="5" t="n">
        <v>30000</v>
      </c>
      <c r="L11" s="5" t="n">
        <v>62230</v>
      </c>
      <c r="M11" s="5" t="n">
        <v>32230</v>
      </c>
      <c r="N11" s="2" t="inlineStr">
        <is>
          <t>系統計算較低</t>
        </is>
      </c>
      <c r="O11" s="2" t="inlineStr">
        <is>
          <t>K(工作表3!C11: header R14, data R15-18)</t>
        </is>
      </c>
      <c r="P11" s="2" t="inlineStr">
        <is>
          <t>D:K-D(Bead's Need!R3)；U:K-AU(Bead's Need!R2)；規則=兩劑需求取大/庫存取小；D需求=[18500.0, 27500.0, 22920.0], U需求=[19500.0, 27500.0, 22500.0], D庫存=62230, U庫存=68320</t>
        </is>
      </c>
    </row>
    <row r="12">
      <c r="A12" s="2" t="inlineStr">
        <is>
          <t>HDL</t>
        </is>
      </c>
      <c r="B12" s="5" t="n">
        <v>9400</v>
      </c>
      <c r="C12" s="5" t="n">
        <v>0</v>
      </c>
      <c r="D12" s="5" t="n">
        <v>0</v>
      </c>
      <c r="E12" s="5" t="n">
        <v>9400</v>
      </c>
      <c r="F12" s="5" t="n">
        <v>0</v>
      </c>
      <c r="G12" s="5" t="n">
        <v>0</v>
      </c>
      <c r="H12" s="5" t="n">
        <v>420</v>
      </c>
      <c r="I12" s="5" t="n">
        <v>420</v>
      </c>
      <c r="J12" s="10" t="n">
        <v>-8980</v>
      </c>
      <c r="K12" s="5" t="n">
        <v>20000</v>
      </c>
      <c r="L12" s="5" t="n">
        <v>22000</v>
      </c>
      <c r="M12" s="5" t="n">
        <v>2000</v>
      </c>
      <c r="N12" s="2" t="inlineStr">
        <is>
          <t>系統計算較低</t>
        </is>
      </c>
      <c r="O12" s="2" t="inlineStr">
        <is>
          <t>HDL(工作表3!C12: header R14, data R15-18)</t>
        </is>
      </c>
      <c r="P12" s="2" t="inlineStr">
        <is>
          <t>D:HDL-D(Bead's Need!R77)；U:HDL-U(Bead's Need!R78)；規則=兩劑需求取大/庫存取小；D需求=[0.0, 0.0, 420.0], U需求=[0.0, 0.0, 420.0], D庫存=22570, U庫存=22000</t>
        </is>
      </c>
    </row>
    <row r="13">
      <c r="A13" s="2" t="inlineStr">
        <is>
          <t>CREA</t>
        </is>
      </c>
      <c r="B13" s="5" t="n">
        <v>54400</v>
      </c>
      <c r="C13" s="5" t="n">
        <v>36500</v>
      </c>
      <c r="D13" s="5" t="n">
        <v>45500</v>
      </c>
      <c r="E13" s="5" t="n">
        <v>136400</v>
      </c>
      <c r="F13" s="5" t="n">
        <v>61720</v>
      </c>
      <c r="G13" s="5" t="n">
        <v>38320</v>
      </c>
      <c r="H13" s="5" t="n">
        <v>46180</v>
      </c>
      <c r="I13" s="5" t="n">
        <v>146220</v>
      </c>
      <c r="J13" s="9" t="n">
        <v>9820</v>
      </c>
      <c r="K13" s="5" t="n">
        <v>150000</v>
      </c>
      <c r="L13" s="5" t="n">
        <v>215950</v>
      </c>
      <c r="M13" s="5" t="n">
        <v>65950</v>
      </c>
      <c r="N13" s="2" t="inlineStr">
        <is>
          <t>系統計算較高</t>
        </is>
      </c>
      <c r="O13" s="2" t="inlineStr">
        <is>
          <t>tCREA(工作表3!C13: header R14, data R15-18)；人工彙總 CREA，直接採用</t>
        </is>
      </c>
      <c r="P13" s="2" t="inlineStr">
        <is>
          <t>D替代:tCRE-D(Bead's Need!R43)；D替代:tCREA-D(Bead's Need!R44)；U搭配:tCREA-U(Bead's Need!R42)；規則=CREA需求取 MAX(tCRE-D,tCREA-D)；tCREA-U 不單獨列需求，只用於庫存/搭配判斷；D庫存取大=252920；U庫存/2=215950；CREA有效庫存=215950</t>
        </is>
      </c>
    </row>
    <row r="14">
      <c r="A14" s="2" t="inlineStr">
        <is>
          <t>AST</t>
        </is>
      </c>
      <c r="B14" s="5" t="n">
        <v>70400</v>
      </c>
      <c r="C14" s="5" t="n">
        <v>47000</v>
      </c>
      <c r="D14" s="5" t="n">
        <v>57000</v>
      </c>
      <c r="E14" s="5" t="n">
        <v>174400</v>
      </c>
      <c r="F14" s="5" t="n">
        <v>82000</v>
      </c>
      <c r="G14" s="5" t="n">
        <v>42500</v>
      </c>
      <c r="H14" s="5" t="n">
        <v>63960</v>
      </c>
      <c r="I14" s="5" t="n">
        <v>188460</v>
      </c>
      <c r="J14" s="9" t="n">
        <v>14060</v>
      </c>
      <c r="K14" s="5" t="n">
        <v>204000</v>
      </c>
      <c r="L14" s="5" t="n">
        <v>217400</v>
      </c>
      <c r="M14" s="5" t="n">
        <v>13400</v>
      </c>
      <c r="N14" s="2" t="inlineStr">
        <is>
          <t>系統計算較高</t>
        </is>
      </c>
      <c r="O14" s="2" t="inlineStr">
        <is>
          <t>tAST(工作表3!C14: header R14, data R15-18)；tASTi(工作表3!C23: header R14, data R15-18)</t>
        </is>
      </c>
      <c r="P14" s="2" t="inlineStr">
        <is>
          <t>tAsti(Bead's Need!R100)；AST(Bead's Need!R102)</t>
        </is>
      </c>
    </row>
    <row r="15">
      <c r="A15" s="2" t="inlineStr">
        <is>
          <t>CPK</t>
        </is>
      </c>
      <c r="B15" s="5" t="n">
        <v>3000</v>
      </c>
      <c r="C15" s="5" t="n">
        <v>1500</v>
      </c>
      <c r="D15" s="5" t="n">
        <v>1000</v>
      </c>
      <c r="E15" s="5" t="n">
        <v>5500</v>
      </c>
      <c r="F15" s="5" t="n">
        <v>6740</v>
      </c>
      <c r="G15" s="5" t="n">
        <v>1210</v>
      </c>
      <c r="H15" s="5" t="n">
        <v>4900</v>
      </c>
      <c r="I15" s="5" t="n">
        <v>12850</v>
      </c>
      <c r="J15" s="9" t="n">
        <v>7350</v>
      </c>
      <c r="K15" s="5" t="n">
        <v>7800</v>
      </c>
      <c r="L15" s="5" t="n">
        <v>11560</v>
      </c>
      <c r="M15" s="5" t="n">
        <v>3760</v>
      </c>
      <c r="N15" s="2" t="inlineStr">
        <is>
          <t>系統計算較高</t>
        </is>
      </c>
      <c r="O15" s="2" t="inlineStr">
        <is>
          <t>CK(工作表3!C15: header R14, data R15-18)</t>
        </is>
      </c>
      <c r="P15" s="2" t="inlineStr">
        <is>
          <t>D:CK-AD(Bead's Need!R23)；U:CK-U(Bead's Need!R22)；規則=兩劑需求取大/庫存取小；D需求=[6740.0, 1210.0, 4900.0], U需求=[6740.0, 1210.0, 4900.0], D庫存=11960, U庫存=11560</t>
        </is>
      </c>
    </row>
    <row r="16">
      <c r="A16" s="2" t="inlineStr">
        <is>
          <t>CA</t>
        </is>
      </c>
      <c r="B16" s="5" t="n">
        <v>28000</v>
      </c>
      <c r="C16" s="5" t="n">
        <v>27500</v>
      </c>
      <c r="D16" s="5" t="n">
        <v>45000</v>
      </c>
      <c r="E16" s="5" t="n">
        <v>100500</v>
      </c>
      <c r="F16" s="5" t="n">
        <v>30500</v>
      </c>
      <c r="G16" s="5" t="n">
        <v>37000</v>
      </c>
      <c r="H16" s="5" t="n">
        <v>40500</v>
      </c>
      <c r="I16" s="5" t="n">
        <v>108000</v>
      </c>
      <c r="J16" s="9" t="n">
        <v>7500</v>
      </c>
      <c r="K16" s="5" t="n">
        <v>85000</v>
      </c>
      <c r="L16" s="5" t="n">
        <v>13403</v>
      </c>
      <c r="M16" s="5" t="n">
        <v>-71597</v>
      </c>
      <c r="N16" s="2" t="inlineStr">
        <is>
          <t>系統計算較高</t>
        </is>
      </c>
      <c r="O16" s="2" t="inlineStr">
        <is>
          <t>Ca(工作表3!C16: header R14, data R15-18)</t>
        </is>
      </c>
      <c r="P16" s="2" t="inlineStr">
        <is>
          <t>Ca-B(Bead's Need!R14)</t>
        </is>
      </c>
    </row>
    <row r="17">
      <c r="A17" s="2" t="inlineStr">
        <is>
          <t>NA</t>
        </is>
      </c>
      <c r="B17" s="5" t="n">
        <v>27400</v>
      </c>
      <c r="C17" s="5" t="n">
        <v>17500</v>
      </c>
      <c r="D17" s="5" t="n">
        <v>25500</v>
      </c>
      <c r="E17" s="5" t="n">
        <v>70400</v>
      </c>
      <c r="F17" s="5" t="n">
        <v>19500</v>
      </c>
      <c r="G17" s="5" t="n">
        <v>27500</v>
      </c>
      <c r="H17" s="5" t="n">
        <v>22920</v>
      </c>
      <c r="I17" s="5" t="n">
        <v>69920</v>
      </c>
      <c r="J17" s="10" t="n">
        <v>-480</v>
      </c>
      <c r="K17" s="5" t="n">
        <v>60000</v>
      </c>
      <c r="L17" s="5" t="n">
        <v>68650</v>
      </c>
      <c r="M17" s="5" t="n">
        <v>8650</v>
      </c>
      <c r="N17" s="2" t="inlineStr">
        <is>
          <t>系統計算較低</t>
        </is>
      </c>
      <c r="O17" s="2" t="inlineStr">
        <is>
          <t>Na(工作表3!C17: header R14, data R15-18)</t>
        </is>
      </c>
      <c r="P17" s="2" t="inlineStr">
        <is>
          <t>D:Na-BD(Bead's Need!R40)；U:Na-BU(Bead's Need!R41)；規則=兩劑需求取大/庫存取小；D需求=[19500.0, 27500.0, 22920.0], U需求=[19500.0, 27500.0, 22920.0], D庫存=68650, U庫存=90620</t>
        </is>
      </c>
    </row>
    <row r="18">
      <c r="A18" s="2" t="inlineStr">
        <is>
          <t>AMY</t>
        </is>
      </c>
      <c r="B18" s="5" t="n">
        <v>22000</v>
      </c>
      <c r="C18" s="5" t="n">
        <v>26000</v>
      </c>
      <c r="D18" s="5" t="n">
        <v>41500</v>
      </c>
      <c r="E18" s="5" t="n">
        <v>89500</v>
      </c>
      <c r="F18" s="5" t="n">
        <v>23000</v>
      </c>
      <c r="G18" s="5" t="n">
        <v>37500</v>
      </c>
      <c r="H18" s="5" t="n">
        <v>31560</v>
      </c>
      <c r="I18" s="5" t="n">
        <v>92060</v>
      </c>
      <c r="J18" s="9" t="n">
        <v>2560</v>
      </c>
      <c r="K18" s="5" t="n">
        <v>75000</v>
      </c>
      <c r="L18" s="5" t="n">
        <v>64360</v>
      </c>
      <c r="M18" s="5" t="n">
        <v>-10640</v>
      </c>
      <c r="N18" s="2" t="inlineStr">
        <is>
          <t>系統計算較高</t>
        </is>
      </c>
      <c r="O18" s="2" t="inlineStr">
        <is>
          <t>AMY(工作表3!C18: header R14, data R15-18)</t>
        </is>
      </c>
      <c r="P18" s="2" t="inlineStr">
        <is>
          <t>AMY(Bead's Need!R16)；AMY-A(Bead's Need!R96)</t>
        </is>
      </c>
    </row>
    <row r="19">
      <c r="A19" s="2" t="inlineStr">
        <is>
          <t>GGT</t>
        </is>
      </c>
      <c r="B19" s="5" t="n">
        <v>10400</v>
      </c>
      <c r="C19" s="5" t="n">
        <v>20500</v>
      </c>
      <c r="D19" s="5" t="n">
        <v>11500</v>
      </c>
      <c r="E19" s="5" t="n">
        <v>42400</v>
      </c>
      <c r="F19" s="5" t="n">
        <v>11500</v>
      </c>
      <c r="G19" s="5" t="n">
        <v>12500</v>
      </c>
      <c r="H19" s="5" t="n">
        <v>11640</v>
      </c>
      <c r="I19" s="5" t="n">
        <v>35640</v>
      </c>
      <c r="J19" s="10" t="n">
        <v>-6760</v>
      </c>
      <c r="K19" s="5" t="n">
        <v>59000</v>
      </c>
      <c r="L19" s="5" t="n">
        <v>48200</v>
      </c>
      <c r="M19" s="5" t="n">
        <v>-10800</v>
      </c>
      <c r="N19" s="2" t="inlineStr">
        <is>
          <t>系統計算較低</t>
        </is>
      </c>
      <c r="O19" s="2" t="inlineStr">
        <is>
          <t>GGT(工作表3!C19: header R14, data R15-18)</t>
        </is>
      </c>
      <c r="P19" s="2" t="inlineStr">
        <is>
          <t>D:RGT-D(Bead's Need!R73)；U:GGT-U(Bead's Need!R74)；規則=兩劑需求取大/庫存取小；D需求=[11500.0, 12500.0, 11640.0], U需求=[11500.0, 12500.0, 11640.0], D庫存=59020, U庫存=48200</t>
        </is>
      </c>
    </row>
    <row r="20">
      <c r="A20" s="2" t="inlineStr">
        <is>
          <t>PHOS</t>
        </is>
      </c>
      <c r="B20" s="5" t="n">
        <v>26000</v>
      </c>
      <c r="C20" s="5" t="n">
        <v>26000</v>
      </c>
      <c r="D20" s="5" t="n">
        <v>44000</v>
      </c>
      <c r="E20" s="5" t="n">
        <v>96000</v>
      </c>
      <c r="F20" s="5" t="n">
        <v>27000</v>
      </c>
      <c r="G20" s="5" t="n">
        <v>37000</v>
      </c>
      <c r="H20" s="5" t="n">
        <v>37500</v>
      </c>
      <c r="I20" s="5" t="n">
        <v>101500</v>
      </c>
      <c r="J20" s="9" t="n">
        <v>5500</v>
      </c>
      <c r="K20" s="5" t="n">
        <v>30000</v>
      </c>
      <c r="L20" s="5" t="n">
        <v>69840</v>
      </c>
      <c r="M20" s="5" t="n">
        <v>39840</v>
      </c>
      <c r="N20" s="2" t="inlineStr">
        <is>
          <t>系統計算較高</t>
        </is>
      </c>
      <c r="O20" s="2" t="inlineStr">
        <is>
          <t>PHOS(工作表3!C20: header R14, data R15-18)</t>
        </is>
      </c>
      <c r="P20" s="2" t="inlineStr">
        <is>
          <t>PHOS-C(Bead's Need!R39)；PHOS-B(Bead's Need!R83)</t>
        </is>
      </c>
    </row>
    <row r="21">
      <c r="A21" s="2" t="inlineStr">
        <is>
          <t>CL</t>
        </is>
      </c>
      <c r="B21" s="5" t="n">
        <v>6000</v>
      </c>
      <c r="C21" s="5" t="n">
        <v>0</v>
      </c>
      <c r="D21" s="5" t="n">
        <v>3000</v>
      </c>
      <c r="E21" s="5" t="n">
        <v>9000</v>
      </c>
      <c r="F21" s="5" t="n">
        <v>8600</v>
      </c>
      <c r="G21" s="5" t="n">
        <v>0</v>
      </c>
      <c r="H21" s="5" t="n">
        <v>4000</v>
      </c>
      <c r="I21" s="5" t="n">
        <v>12600</v>
      </c>
      <c r="J21" s="9" t="n">
        <v>3600</v>
      </c>
      <c r="K21" s="5" t="n">
        <v>1000</v>
      </c>
      <c r="L21" s="5" t="n">
        <v>5560</v>
      </c>
      <c r="M21" s="5" t="n">
        <v>4560</v>
      </c>
      <c r="N21" s="2" t="inlineStr">
        <is>
          <t>系統計算較高</t>
        </is>
      </c>
      <c r="O21" s="2" t="inlineStr">
        <is>
          <t>CL(工作表3!C21: header R14, data R15-18)</t>
        </is>
      </c>
      <c r="P21" s="2" t="inlineStr">
        <is>
          <t>D:CL-D(Bead's Need!R5)；U:CL-U(Bead's Need!R4)；規則=兩劑需求取大/庫存取小；D需求=[8600.0, 0.0, 4000.0], U需求=[8600.0, 0.0, 4000.0], D庫存=6020, U庫存=5560</t>
        </is>
      </c>
    </row>
    <row r="22">
      <c r="A22" s="2" t="inlineStr">
        <is>
          <t>LIPA</t>
        </is>
      </c>
      <c r="B22" s="5" t="n">
        <v>0</v>
      </c>
      <c r="C22" s="5" t="n">
        <v>10000</v>
      </c>
      <c r="D22" s="5" t="n">
        <v>10500</v>
      </c>
      <c r="E22" s="5" t="n">
        <v>20500</v>
      </c>
      <c r="F22" s="5" t="n">
        <v>2000</v>
      </c>
      <c r="G22" s="5" t="n">
        <v>10610</v>
      </c>
      <c r="H22" s="5" t="n">
        <v>11520</v>
      </c>
      <c r="I22" s="5" t="n">
        <v>24130</v>
      </c>
      <c r="J22" s="9" t="n">
        <v>3630</v>
      </c>
      <c r="K22" s="5" t="n">
        <v>15000</v>
      </c>
      <c r="L22" s="5" t="n">
        <v>1970</v>
      </c>
      <c r="M22" s="5" t="n">
        <v>-13030</v>
      </c>
      <c r="N22" s="2" t="inlineStr">
        <is>
          <t>系統計算較高</t>
        </is>
      </c>
      <c r="O22" s="2" t="inlineStr">
        <is>
          <t>GLIPA AD(工作表3!C22: header R14, data R15-18)；GLIPA AD(工作表3!C24: header R14, data R15-18)</t>
        </is>
      </c>
      <c r="P22" s="2" t="inlineStr">
        <is>
          <t>D:GLIPA-AD(Bead's Need!R9)；U:GLIPA-AU(Bead's Need!R8)；規則=兩劑需求取大/庫存取小；D需求=[2000.0, 10610.0, 11520.0], U需求=[2000.0, 10610.0, 11520.0], D庫存=5780, U庫存=1970</t>
        </is>
      </c>
    </row>
    <row r="23">
      <c r="A23" s="2" t="inlineStr">
        <is>
          <t>A1C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2" t="inlineStr">
        <is>
          <t>需求一致</t>
        </is>
      </c>
      <c r="O23" s="2" t="inlineStr">
        <is>
          <t>A1C(工作表3!C34: header R14, data R15-18)</t>
        </is>
      </c>
      <c r="P23" s="2" t="inlineStr"/>
    </row>
    <row r="24">
      <c r="A24" s="2" t="inlineStr">
        <is>
          <t>BCL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8600</v>
      </c>
      <c r="G24" s="5" t="n">
        <v>0</v>
      </c>
      <c r="H24" s="5" t="n">
        <v>4000</v>
      </c>
      <c r="I24" s="5" t="n">
        <v>12600</v>
      </c>
      <c r="J24" s="9" t="n">
        <v>12600</v>
      </c>
      <c r="K24" s="5" t="n">
        <v>0</v>
      </c>
      <c r="L24" s="5" t="n">
        <v>11430</v>
      </c>
      <c r="M24" s="5" t="n">
        <v>11430</v>
      </c>
      <c r="N24" s="2" t="inlineStr">
        <is>
          <t>系統計算較高</t>
        </is>
      </c>
      <c r="O24" s="2" t="inlineStr"/>
      <c r="P24" s="2" t="inlineStr">
        <is>
          <t>D:BCl-D(Bead's Need!R25)；U:BCl-U(Bead's Need!R24)；規則=兩劑需求取大/庫存取小；D需求=[8600.0, 0.0, 4000.0], U需求=[8600.0, 0.0, 4000.0], D庫存=11430, U庫存=12480</t>
        </is>
      </c>
    </row>
    <row r="25">
      <c r="A25" s="2" t="inlineStr">
        <is>
          <t>BNH3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300</v>
      </c>
      <c r="I25" s="5" t="n">
        <v>300</v>
      </c>
      <c r="J25" s="9" t="n">
        <v>300</v>
      </c>
      <c r="K25" s="5" t="n">
        <v>0</v>
      </c>
      <c r="L25" s="5" t="n">
        <v>1500</v>
      </c>
      <c r="M25" s="5" t="n">
        <v>1500</v>
      </c>
      <c r="N25" s="2" t="inlineStr">
        <is>
          <t>系統計算較高</t>
        </is>
      </c>
      <c r="O25" s="2" t="inlineStr"/>
      <c r="P25" s="2" t="inlineStr">
        <is>
          <t>BNH3(Bead's Need!R88)</t>
        </is>
      </c>
    </row>
    <row r="26">
      <c r="A26" s="2" t="inlineStr">
        <is>
          <t>CCOR 半品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1000</v>
      </c>
      <c r="G26" s="5" t="n">
        <v>0</v>
      </c>
      <c r="H26" s="5" t="n">
        <v>0</v>
      </c>
      <c r="I26" s="5" t="n">
        <v>1000</v>
      </c>
      <c r="J26" s="9" t="n">
        <v>1000</v>
      </c>
      <c r="K26" s="5" t="n">
        <v>0</v>
      </c>
      <c r="L26" s="5" t="n">
        <v>0</v>
      </c>
      <c r="M26" s="5" t="n">
        <v>0</v>
      </c>
      <c r="N26" s="2" t="inlineStr">
        <is>
          <t>系統計算較高</t>
        </is>
      </c>
      <c r="O26" s="2" t="inlineStr"/>
      <c r="P26" s="2" t="inlineStr">
        <is>
          <t>cCOR 半品(Bead's Need!R17)</t>
        </is>
      </c>
    </row>
    <row r="27">
      <c r="A27" s="2" t="inlineStr">
        <is>
          <t>CCRP RSB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3000</v>
      </c>
      <c r="I27" s="5" t="n">
        <v>3000</v>
      </c>
      <c r="J27" s="9" t="n">
        <v>3000</v>
      </c>
      <c r="K27" s="5" t="n">
        <v>0</v>
      </c>
      <c r="L27" s="5" t="n">
        <v>0</v>
      </c>
      <c r="M27" s="5" t="n">
        <v>0</v>
      </c>
      <c r="N27" s="2" t="inlineStr">
        <is>
          <t>系統計算較高</t>
        </is>
      </c>
      <c r="O27" s="2" t="inlineStr"/>
      <c r="P27" s="2" t="inlineStr">
        <is>
          <t>cCRP RSB(Bead's Need!R37)</t>
        </is>
      </c>
    </row>
    <row r="28">
      <c r="A28" s="2" t="inlineStr">
        <is>
          <t>CLH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7500</v>
      </c>
      <c r="I28" s="5" t="n">
        <v>7500</v>
      </c>
      <c r="J28" s="9" t="n">
        <v>7500</v>
      </c>
      <c r="K28" s="5" t="n">
        <v>0</v>
      </c>
      <c r="L28" s="5" t="n">
        <v>11850</v>
      </c>
      <c r="M28" s="5" t="n">
        <v>11850</v>
      </c>
      <c r="N28" s="2" t="inlineStr">
        <is>
          <t>系統計算較高</t>
        </is>
      </c>
      <c r="O28" s="2" t="inlineStr"/>
      <c r="P28" s="2" t="inlineStr">
        <is>
          <t>D:CLH-D(Bead's Need!R61)；U:CLH-U(Bead's Need!R62)；規則=兩劑需求取大/庫存取小；D需求=[0.0, 0.0, 7500.0], U需求=[0.0, 0.0, 7500.0], D庫存=12400, U庫存=11850</t>
        </is>
      </c>
    </row>
    <row r="29">
      <c r="A29" s="2" t="inlineStr">
        <is>
          <t>CPL 半品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500</v>
      </c>
      <c r="H29" s="5" t="n">
        <v>0</v>
      </c>
      <c r="I29" s="5" t="n">
        <v>500</v>
      </c>
      <c r="J29" s="9" t="n">
        <v>500</v>
      </c>
      <c r="K29" s="5" t="n">
        <v>0</v>
      </c>
      <c r="L29" s="5" t="n">
        <v>0</v>
      </c>
      <c r="M29" s="5" t="n">
        <v>0</v>
      </c>
      <c r="N29" s="2" t="inlineStr">
        <is>
          <t>系統計算較高</t>
        </is>
      </c>
      <c r="O29" s="2" t="inlineStr"/>
      <c r="P29" s="2" t="inlineStr">
        <is>
          <t>cPL 半品(Bead's Need!R34)</t>
        </is>
      </c>
    </row>
    <row r="30">
      <c r="A30" s="2" t="inlineStr">
        <is>
          <t>CPROG 半品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5000</v>
      </c>
      <c r="G30" s="5" t="n">
        <v>0</v>
      </c>
      <c r="H30" s="5" t="n">
        <v>0</v>
      </c>
      <c r="I30" s="5" t="n">
        <v>5000</v>
      </c>
      <c r="J30" s="9" t="n">
        <v>5000</v>
      </c>
      <c r="K30" s="5" t="n">
        <v>0</v>
      </c>
      <c r="L30" s="5" t="n">
        <v>0</v>
      </c>
      <c r="M30" s="5" t="n">
        <v>0</v>
      </c>
      <c r="N30" s="2" t="inlineStr">
        <is>
          <t>系統計算較高</t>
        </is>
      </c>
      <c r="O30" s="2" t="inlineStr"/>
      <c r="P30" s="2" t="inlineStr">
        <is>
          <t>cPROG 半品(Bead's Need!R15)</t>
        </is>
      </c>
    </row>
    <row r="31">
      <c r="A31" s="2" t="inlineStr">
        <is>
          <t>CRP</t>
        </is>
      </c>
      <c r="B31" s="5" t="n">
        <v>0</v>
      </c>
      <c r="C31" s="5" t="n">
        <v>0</v>
      </c>
      <c r="D31" s="5" t="n">
        <v>500</v>
      </c>
      <c r="E31" s="5" t="n">
        <v>500</v>
      </c>
      <c r="F31" s="5" t="n">
        <v>0</v>
      </c>
      <c r="G31" s="5" t="n">
        <v>500</v>
      </c>
      <c r="H31" s="5" t="n">
        <v>640</v>
      </c>
      <c r="I31" s="5" t="n">
        <v>1140</v>
      </c>
      <c r="J31" s="9" t="n">
        <v>640</v>
      </c>
      <c r="K31" s="5" t="n">
        <v>1450</v>
      </c>
      <c r="L31" s="5" t="n">
        <v>1855</v>
      </c>
      <c r="M31" s="5" t="n">
        <v>405</v>
      </c>
      <c r="N31" s="2" t="inlineStr">
        <is>
          <t>系統計算較高</t>
        </is>
      </c>
      <c r="O31" s="2" t="inlineStr">
        <is>
          <t>CRP(工作表3!C31: header R14, data R15-18)</t>
        </is>
      </c>
      <c r="P31" s="2" t="inlineStr">
        <is>
          <t>D:CRP-D(Bead's Need!R31)；U:CRP-U(Bead's Need!R30)；規則=兩劑需求取大/庫存取小；D需求=[0.0, 500.0, 640.0], U需求=[0.0, 500.0, 640.0], D庫存=1935, U庫存=1855</t>
        </is>
      </c>
    </row>
    <row r="32">
      <c r="A32" s="2" t="inlineStr">
        <is>
          <t>CTSH 半品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500</v>
      </c>
      <c r="G32" s="5" t="n">
        <v>0</v>
      </c>
      <c r="H32" s="5" t="n">
        <v>0</v>
      </c>
      <c r="I32" s="5" t="n">
        <v>500</v>
      </c>
      <c r="J32" s="9" t="n">
        <v>500</v>
      </c>
      <c r="K32" s="5" t="n">
        <v>0</v>
      </c>
      <c r="L32" s="5" t="n">
        <v>0</v>
      </c>
      <c r="M32" s="5" t="n">
        <v>0</v>
      </c>
      <c r="N32" s="2" t="inlineStr">
        <is>
          <t>系統計算較高</t>
        </is>
      </c>
      <c r="O32" s="2" t="inlineStr"/>
      <c r="P32" s="2" t="inlineStr">
        <is>
          <t>cTSH 半品(Bead's Need!R18)</t>
        </is>
      </c>
    </row>
    <row r="33">
      <c r="A33" s="2" t="inlineStr">
        <is>
          <t>DBIL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1000</v>
      </c>
      <c r="L33" s="5" t="n">
        <v>1290</v>
      </c>
      <c r="M33" s="5" t="n">
        <v>290</v>
      </c>
      <c r="N33" s="2" t="inlineStr">
        <is>
          <t>需求一致</t>
        </is>
      </c>
      <c r="O33" s="2" t="inlineStr">
        <is>
          <t>U:DBil-U(工作表3!C26: header R14, data R15-18)；只有單側資料，直接採用</t>
        </is>
      </c>
      <c r="P33" s="2" t="inlineStr">
        <is>
          <t>D:DBIL-D(Bead's Need!R27)；U:DBIL-U(Bead's Need!R26)；規則=兩劑需求取大/庫存取小；D需求=[0.0, 0.0, 0.0], U需求=[0.0, 0.0, 0.0], D庫存=1330, U庫存=1290</t>
        </is>
      </c>
    </row>
    <row r="34">
      <c r="A34" s="2" t="inlineStr">
        <is>
          <t>FPL 半品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500</v>
      </c>
      <c r="I34" s="5" t="n">
        <v>500</v>
      </c>
      <c r="J34" s="9" t="n">
        <v>500</v>
      </c>
      <c r="K34" s="5" t="n">
        <v>0</v>
      </c>
      <c r="L34" s="5" t="n">
        <v>0</v>
      </c>
      <c r="M34" s="5" t="n">
        <v>0</v>
      </c>
      <c r="N34" s="2" t="inlineStr">
        <is>
          <t>系統計算較高</t>
        </is>
      </c>
      <c r="O34" s="2" t="inlineStr"/>
      <c r="P34" s="2" t="inlineStr">
        <is>
          <t>fPL 半品(Bead's Need!R38)</t>
        </is>
      </c>
    </row>
    <row r="35">
      <c r="A35" s="2" t="inlineStr">
        <is>
          <t>FRU</t>
        </is>
      </c>
      <c r="B35" s="5" t="n">
        <v>2000</v>
      </c>
      <c r="C35" s="5" t="n">
        <v>0</v>
      </c>
      <c r="D35" s="5" t="n">
        <v>0</v>
      </c>
      <c r="E35" s="5" t="n">
        <v>2000</v>
      </c>
      <c r="F35" s="5" t="n">
        <v>2000</v>
      </c>
      <c r="G35" s="5" t="n">
        <v>0</v>
      </c>
      <c r="H35" s="5" t="n">
        <v>0</v>
      </c>
      <c r="I35" s="5" t="n">
        <v>2000</v>
      </c>
      <c r="J35" s="5" t="n">
        <v>0</v>
      </c>
      <c r="K35" s="5" t="n">
        <v>0</v>
      </c>
      <c r="L35" s="5" t="n">
        <v>0</v>
      </c>
      <c r="M35" s="5" t="n">
        <v>0</v>
      </c>
      <c r="N35" s="2" t="inlineStr">
        <is>
          <t>需求一致</t>
        </is>
      </c>
      <c r="O35" s="2" t="inlineStr">
        <is>
          <t>Fru(工作表3!C35: header R14, data R15-18)</t>
        </is>
      </c>
      <c r="P35" s="2" t="inlineStr">
        <is>
          <t>D:Fru-D(Bead's Need!R6)；U:Fru-U(Bead's Need!R7)；規則=兩劑需求取大/庫存取小；D需求=[2000.0, 0.0, 0.0], U需求=[2000.0, 0.0, 0.0], D庫存=0, U庫存=0</t>
        </is>
      </c>
    </row>
    <row r="36">
      <c r="A36" s="2" t="inlineStr">
        <is>
          <t>LAC</t>
        </is>
      </c>
      <c r="B36" s="5" t="n">
        <v>2000</v>
      </c>
      <c r="C36" s="5" t="n">
        <v>0</v>
      </c>
      <c r="D36" s="5" t="n">
        <v>0</v>
      </c>
      <c r="E36" s="5" t="n">
        <v>2000</v>
      </c>
      <c r="F36" s="5" t="n">
        <v>2000</v>
      </c>
      <c r="G36" s="5" t="n">
        <v>0</v>
      </c>
      <c r="H36" s="5" t="n">
        <v>2300</v>
      </c>
      <c r="I36" s="5" t="n">
        <v>4300</v>
      </c>
      <c r="J36" s="9" t="n">
        <v>2300</v>
      </c>
      <c r="K36" s="5" t="n">
        <v>2000</v>
      </c>
      <c r="L36" s="5" t="n">
        <v>3120</v>
      </c>
      <c r="M36" s="5" t="n">
        <v>1120</v>
      </c>
      <c r="N36" s="2" t="inlineStr">
        <is>
          <t>系統計算較高</t>
        </is>
      </c>
      <c r="O36" s="2" t="inlineStr">
        <is>
          <t>LAC(工作表3!C33: header R14, data R15-18)</t>
        </is>
      </c>
      <c r="P36" s="2" t="inlineStr">
        <is>
          <t>D:LAC-D(Bead's Need!R20)；U:LAC-U(Bead's Need!R21)；規則=兩劑需求取大/庫存取小；D需求=[2000.0, 0.0, 2300.0], U需求=[2000.0, 0.0, 2300.0], D庫存=3160, U庫存=3120</t>
        </is>
      </c>
    </row>
    <row r="37">
      <c r="A37" s="2" t="inlineStr">
        <is>
          <t>MG</t>
        </is>
      </c>
      <c r="B37" s="5" t="n">
        <v>1000</v>
      </c>
      <c r="C37" s="5" t="n">
        <v>0</v>
      </c>
      <c r="D37" s="5" t="n">
        <v>0</v>
      </c>
      <c r="E37" s="5" t="n">
        <v>1000</v>
      </c>
      <c r="F37" s="5" t="n">
        <v>1000</v>
      </c>
      <c r="G37" s="5" t="n">
        <v>110</v>
      </c>
      <c r="H37" s="5" t="n">
        <v>600</v>
      </c>
      <c r="I37" s="5" t="n">
        <v>1710</v>
      </c>
      <c r="J37" s="9" t="n">
        <v>710</v>
      </c>
      <c r="K37" s="5" t="n">
        <v>8500</v>
      </c>
      <c r="L37" s="5" t="n">
        <v>10000</v>
      </c>
      <c r="M37" s="5" t="n">
        <v>1500</v>
      </c>
      <c r="N37" s="2" t="inlineStr">
        <is>
          <t>系統計算較高</t>
        </is>
      </c>
      <c r="O37" s="2" t="inlineStr">
        <is>
          <t>Mg(工作表3!C29: header R14, data R15-18)</t>
        </is>
      </c>
      <c r="P37" s="2" t="inlineStr">
        <is>
          <t>D:Mg-AD(Bead's Need!R57)；U:MG-U(Bead's Need!R58)；規則=兩劑需求取大/庫存取小；D需求=[1000.0, 110.0, 600.0], U需求=[1000.0, 110.0, 600.0], D庫存=10060, U庫存=10000</t>
        </is>
      </c>
    </row>
    <row r="38">
      <c r="A38" s="2" t="inlineStr">
        <is>
          <t>NH3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300</v>
      </c>
      <c r="I38" s="5" t="n">
        <v>300</v>
      </c>
      <c r="J38" s="9" t="n">
        <v>300</v>
      </c>
      <c r="K38" s="5" t="n">
        <v>1500</v>
      </c>
      <c r="L38" s="5" t="n">
        <v>1500</v>
      </c>
      <c r="M38" s="5" t="n">
        <v>0</v>
      </c>
      <c r="N38" s="2" t="inlineStr">
        <is>
          <t>系統計算較高</t>
        </is>
      </c>
      <c r="O38" s="2" t="inlineStr">
        <is>
          <t>NH3(工作表3!C37: header R14, data R15-18)</t>
        </is>
      </c>
      <c r="P38" s="2" t="inlineStr">
        <is>
          <t>NH3(Bead's Need!R89)</t>
        </is>
      </c>
    </row>
    <row r="39">
      <c r="A39" s="2" t="inlineStr">
        <is>
          <t>PHBR RSB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999</v>
      </c>
      <c r="I39" s="5" t="n">
        <v>999</v>
      </c>
      <c r="J39" s="9" t="n">
        <v>999</v>
      </c>
      <c r="K39" s="5" t="n">
        <v>0</v>
      </c>
      <c r="L39" s="5" t="n">
        <v>0</v>
      </c>
      <c r="M39" s="5" t="n">
        <v>0</v>
      </c>
      <c r="N39" s="2" t="inlineStr">
        <is>
          <t>系統計算較高</t>
        </is>
      </c>
      <c r="O39" s="2" t="inlineStr"/>
      <c r="P39" s="2" t="inlineStr">
        <is>
          <t>PHBR RSB(Bead's Need!R35)</t>
        </is>
      </c>
    </row>
    <row r="40">
      <c r="A40" s="2" t="inlineStr">
        <is>
          <t>QALB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4350</v>
      </c>
      <c r="G40" s="5" t="n">
        <v>820</v>
      </c>
      <c r="H40" s="5" t="n">
        <v>4200</v>
      </c>
      <c r="I40" s="5" t="n">
        <v>9370</v>
      </c>
      <c r="J40" s="9" t="n">
        <v>9370</v>
      </c>
      <c r="K40" s="5" t="n">
        <v>0</v>
      </c>
      <c r="L40" s="5" t="n">
        <v>24330</v>
      </c>
      <c r="M40" s="5" t="n">
        <v>24330</v>
      </c>
      <c r="N40" s="2" t="inlineStr">
        <is>
          <t>系統計算較高</t>
        </is>
      </c>
      <c r="O40" s="2" t="inlineStr"/>
      <c r="P40" s="2" t="inlineStr">
        <is>
          <t>QALB-A(Bead's Need!R95)</t>
        </is>
      </c>
    </row>
    <row r="41">
      <c r="A41" s="2" t="inlineStr">
        <is>
          <t>QALT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2220</v>
      </c>
      <c r="G41" s="5" t="n">
        <v>220</v>
      </c>
      <c r="H41" s="5" t="n">
        <v>4800</v>
      </c>
      <c r="I41" s="5" t="n">
        <v>7240</v>
      </c>
      <c r="J41" s="9" t="n">
        <v>7240</v>
      </c>
      <c r="K41" s="5" t="n">
        <v>0</v>
      </c>
      <c r="L41" s="5" t="n">
        <v>16300</v>
      </c>
      <c r="M41" s="5" t="n">
        <v>16300</v>
      </c>
      <c r="N41" s="2" t="inlineStr">
        <is>
          <t>系統計算較高</t>
        </is>
      </c>
      <c r="O41" s="2" t="inlineStr"/>
      <c r="P41" s="2" t="inlineStr">
        <is>
          <t>QALT-A(Bead's Need!R99)</t>
        </is>
      </c>
    </row>
    <row r="42">
      <c r="A42" s="2" t="inlineStr">
        <is>
          <t>QAMY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3220</v>
      </c>
      <c r="G42" s="5" t="n">
        <v>110</v>
      </c>
      <c r="H42" s="5" t="n">
        <v>3400</v>
      </c>
      <c r="I42" s="5" t="n">
        <v>6730</v>
      </c>
      <c r="J42" s="9" t="n">
        <v>6730</v>
      </c>
      <c r="K42" s="5" t="n">
        <v>0</v>
      </c>
      <c r="L42" s="5" t="n">
        <v>8560</v>
      </c>
      <c r="M42" s="5" t="n">
        <v>8560</v>
      </c>
      <c r="N42" s="2" t="inlineStr">
        <is>
          <t>系統計算較高</t>
        </is>
      </c>
      <c r="O42" s="2" t="inlineStr"/>
      <c r="P42" s="2" t="inlineStr">
        <is>
          <t>QAMY-A(Bead's Need!R101)</t>
        </is>
      </c>
    </row>
    <row r="43">
      <c r="A43" s="2" t="inlineStr">
        <is>
          <t>QAST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1240</v>
      </c>
      <c r="G43" s="5" t="n">
        <v>110</v>
      </c>
      <c r="H43" s="5" t="n">
        <v>2000</v>
      </c>
      <c r="I43" s="5" t="n">
        <v>3350</v>
      </c>
      <c r="J43" s="9" t="n">
        <v>3350</v>
      </c>
      <c r="K43" s="5" t="n">
        <v>0</v>
      </c>
      <c r="L43" s="5" t="n">
        <v>25130</v>
      </c>
      <c r="M43" s="5" t="n">
        <v>25130</v>
      </c>
      <c r="N43" s="2" t="inlineStr">
        <is>
          <t>系統計算較高</t>
        </is>
      </c>
      <c r="O43" s="2" t="inlineStr"/>
      <c r="P43" s="2" t="inlineStr">
        <is>
          <t>QAST(Bead's Need!R98)</t>
        </is>
      </c>
    </row>
    <row r="44">
      <c r="A44" s="2" t="inlineStr">
        <is>
          <t>QBNH3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105</v>
      </c>
      <c r="H44" s="5" t="n">
        <v>1000</v>
      </c>
      <c r="I44" s="5" t="n">
        <v>1105</v>
      </c>
      <c r="J44" s="9" t="n">
        <v>1105</v>
      </c>
      <c r="K44" s="5" t="n">
        <v>0</v>
      </c>
      <c r="L44" s="5" t="n">
        <v>740</v>
      </c>
      <c r="M44" s="5" t="n">
        <v>740</v>
      </c>
      <c r="N44" s="2" t="inlineStr">
        <is>
          <t>系統計算較高</t>
        </is>
      </c>
      <c r="O44" s="2" t="inlineStr"/>
      <c r="P44" s="2" t="inlineStr">
        <is>
          <t>QBNH3(Bead's Need!R85)</t>
        </is>
      </c>
    </row>
    <row r="45">
      <c r="A45" s="2" t="inlineStr">
        <is>
          <t>QBUN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2850</v>
      </c>
      <c r="G45" s="5" t="n">
        <v>110</v>
      </c>
      <c r="H45" s="5" t="n">
        <v>4200</v>
      </c>
      <c r="I45" s="5" t="n">
        <v>7160</v>
      </c>
      <c r="J45" s="9" t="n">
        <v>7160</v>
      </c>
      <c r="K45" s="5" t="n">
        <v>0</v>
      </c>
      <c r="L45" s="5" t="n">
        <v>56470</v>
      </c>
      <c r="M45" s="5" t="n">
        <v>56470</v>
      </c>
      <c r="N45" s="2" t="inlineStr">
        <is>
          <t>系統計算較高</t>
        </is>
      </c>
      <c r="O45" s="2" t="inlineStr"/>
      <c r="P45" s="2" t="inlineStr">
        <is>
          <t>QBUN(Bead's Need!R90)</t>
        </is>
      </c>
    </row>
    <row r="46">
      <c r="A46" s="2" t="inlineStr">
        <is>
          <t>QCA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4350</v>
      </c>
      <c r="G46" s="5" t="n">
        <v>110</v>
      </c>
      <c r="H46" s="5" t="n">
        <v>3400</v>
      </c>
      <c r="I46" s="5" t="n">
        <v>7860</v>
      </c>
      <c r="J46" s="9" t="n">
        <v>7860</v>
      </c>
      <c r="K46" s="5" t="n">
        <v>0</v>
      </c>
      <c r="L46" s="5" t="n">
        <v>57920</v>
      </c>
      <c r="M46" s="5" t="n">
        <v>57920</v>
      </c>
      <c r="N46" s="2" t="inlineStr">
        <is>
          <t>系統計算較高</t>
        </is>
      </c>
      <c r="O46" s="2" t="inlineStr"/>
      <c r="P46" s="2" t="inlineStr">
        <is>
          <t>QCa-B(Bead's Need!R97)</t>
        </is>
      </c>
    </row>
    <row r="47">
      <c r="A47" s="2" t="inlineStr">
        <is>
          <t>QFRU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1000</v>
      </c>
      <c r="G47" s="5" t="n">
        <v>0</v>
      </c>
      <c r="H47" s="5" t="n">
        <v>0</v>
      </c>
      <c r="I47" s="5" t="n">
        <v>1000</v>
      </c>
      <c r="J47" s="9" t="n">
        <v>1000</v>
      </c>
      <c r="K47" s="5" t="n">
        <v>0</v>
      </c>
      <c r="L47" s="5" t="n">
        <v>5000</v>
      </c>
      <c r="M47" s="5" t="n">
        <v>5000</v>
      </c>
      <c r="N47" s="2" t="inlineStr">
        <is>
          <t>系統計算較高</t>
        </is>
      </c>
      <c r="O47" s="2" t="inlineStr"/>
      <c r="P47" s="2" t="inlineStr">
        <is>
          <t>D:QFRU-D(Bead's Need!R46)；U:QFRU-AU(Bead's Need!R45)；規則=兩劑需求取大/庫存取小；D需求=[1000.0, 0.0, 0.0], U需求=[1000.0, 0.0, 0.0], D庫存=5000, U庫存=6000</t>
        </is>
      </c>
    </row>
    <row r="48">
      <c r="A48" s="2" t="inlineStr">
        <is>
          <t>QGGT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2850</v>
      </c>
      <c r="G48" s="5" t="n">
        <v>710</v>
      </c>
      <c r="H48" s="5" t="n">
        <v>2800</v>
      </c>
      <c r="I48" s="5" t="n">
        <v>6360</v>
      </c>
      <c r="J48" s="9" t="n">
        <v>6360</v>
      </c>
      <c r="K48" s="5" t="n">
        <v>0</v>
      </c>
      <c r="L48" s="5" t="n">
        <v>21230</v>
      </c>
      <c r="M48" s="5" t="n">
        <v>21230</v>
      </c>
      <c r="N48" s="2" t="inlineStr">
        <is>
          <t>系統計算較高</t>
        </is>
      </c>
      <c r="O48" s="2" t="inlineStr"/>
      <c r="P48" s="2" t="inlineStr">
        <is>
          <t>D:QGGT-AD(Bead's Need!R52)；U:QGGT-AU(Bead's Need!R51)；規則=兩劑需求取大/庫存取小；D需求=[2850.0, 710.0, 2800.0], U需求=[2850.0, 710.0, 2800.0], D庫存=21230, U庫存=26020</t>
        </is>
      </c>
    </row>
    <row r="49">
      <c r="A49" s="2" t="inlineStr">
        <is>
          <t>QK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5340</v>
      </c>
      <c r="G49" s="5" t="n">
        <v>0</v>
      </c>
      <c r="H49" s="5" t="n">
        <v>1400</v>
      </c>
      <c r="I49" s="5" t="n">
        <v>6740</v>
      </c>
      <c r="J49" s="9" t="n">
        <v>6740</v>
      </c>
      <c r="K49" s="5" t="n">
        <v>0</v>
      </c>
      <c r="L49" s="5" t="n">
        <v>19480</v>
      </c>
      <c r="M49" s="5" t="n">
        <v>19480</v>
      </c>
      <c r="N49" s="2" t="inlineStr">
        <is>
          <t>系統計算較高</t>
        </is>
      </c>
      <c r="O49" s="2" t="inlineStr"/>
      <c r="P49" s="2" t="inlineStr">
        <is>
          <t>D:QK-AD(Bead's Need!R72)；U:QK-AU(Bead's Need!R71)；規則=兩劑需求取大/庫存取小；D需求=[5340.0, 0.0, 1400.0], U需求=[5340.0, 0.0, 1400.0], D庫存=20840, U庫存=19480</t>
        </is>
      </c>
    </row>
    <row r="50">
      <c r="A50" s="2" t="inlineStr">
        <is>
          <t>QLAC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1000</v>
      </c>
      <c r="G50" s="5" t="n">
        <v>710</v>
      </c>
      <c r="H50" s="5" t="n">
        <v>0</v>
      </c>
      <c r="I50" s="5" t="n">
        <v>1710</v>
      </c>
      <c r="J50" s="9" t="n">
        <v>1710</v>
      </c>
      <c r="K50" s="5" t="n">
        <v>0</v>
      </c>
      <c r="L50" s="5" t="n">
        <v>3000</v>
      </c>
      <c r="M50" s="5" t="n">
        <v>3000</v>
      </c>
      <c r="N50" s="2" t="inlineStr">
        <is>
          <t>系統計算較高</t>
        </is>
      </c>
      <c r="O50" s="2" t="inlineStr"/>
      <c r="P50" s="2" t="inlineStr">
        <is>
          <t>D:QLAC-D(Bead's Need!R59)；U:QLAC-U(Bead's Need!R60)；規則=兩劑需求取大/庫存取小；D需求=[1000.0, 710.0, 0.0], U需求=[1000.0, 710.0, 0.0], D庫存=3000, U庫存=3000</t>
        </is>
      </c>
    </row>
    <row r="51">
      <c r="A51" s="2" t="inlineStr">
        <is>
          <t>QLDH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630</v>
      </c>
      <c r="G51" s="5" t="n">
        <v>710</v>
      </c>
      <c r="H51" s="5" t="n">
        <v>0</v>
      </c>
      <c r="I51" s="5" t="n">
        <v>1340</v>
      </c>
      <c r="J51" s="9" t="n">
        <v>1340</v>
      </c>
      <c r="K51" s="5" t="n">
        <v>0</v>
      </c>
      <c r="L51" s="5" t="n">
        <v>13440</v>
      </c>
      <c r="M51" s="5" t="n">
        <v>13440</v>
      </c>
      <c r="N51" s="2" t="inlineStr">
        <is>
          <t>系統計算較高</t>
        </is>
      </c>
      <c r="O51" s="2" t="inlineStr"/>
      <c r="P51" s="2" t="inlineStr">
        <is>
          <t>D:QLDH-D(Bead's Need!R69)；U:QLDH-U(Bead's Need!R70)；規則=兩劑需求取大/庫存取小；D需求=[630.0, 710.0, 0.0], U需求=[630.0, 710.0, 0.0], D庫存=14170, U庫存=13440</t>
        </is>
      </c>
    </row>
    <row r="52">
      <c r="A52" s="2" t="inlineStr">
        <is>
          <t>QNA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5340</v>
      </c>
      <c r="G52" s="5" t="n">
        <v>0</v>
      </c>
      <c r="H52" s="5" t="n">
        <v>1400</v>
      </c>
      <c r="I52" s="5" t="n">
        <v>6740</v>
      </c>
      <c r="J52" s="9" t="n">
        <v>6740</v>
      </c>
      <c r="K52" s="5" t="n">
        <v>0</v>
      </c>
      <c r="L52" s="5" t="n">
        <v>20330</v>
      </c>
      <c r="M52" s="5" t="n">
        <v>20330</v>
      </c>
      <c r="N52" s="2" t="inlineStr">
        <is>
          <t>系統計算較高</t>
        </is>
      </c>
      <c r="O52" s="2" t="inlineStr"/>
      <c r="P52" s="2" t="inlineStr">
        <is>
          <t>D:QNA-BD(Bead's Need!R55)；U:QNA-BU(Bead's Need!R56)；規則=兩劑需求取大/庫存取小；D需求=[5340.0, 0.0, 1400.0], U需求=[5340.0, 0.0, 1400.0], D庫存=20330, U庫存=24980</t>
        </is>
      </c>
    </row>
    <row r="53">
      <c r="A53" s="2" t="inlineStr">
        <is>
          <t>QNH3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105</v>
      </c>
      <c r="H53" s="5" t="n">
        <v>1000</v>
      </c>
      <c r="I53" s="5" t="n">
        <v>1105</v>
      </c>
      <c r="J53" s="9" t="n">
        <v>1105</v>
      </c>
      <c r="K53" s="5" t="n">
        <v>0</v>
      </c>
      <c r="L53" s="5" t="n">
        <v>740</v>
      </c>
      <c r="M53" s="5" t="n">
        <v>740</v>
      </c>
      <c r="N53" s="2" t="inlineStr">
        <is>
          <t>系統計算較高</t>
        </is>
      </c>
      <c r="O53" s="2" t="inlineStr"/>
      <c r="P53" s="2" t="inlineStr">
        <is>
          <t>QNH3(Bead's Need!R86)</t>
        </is>
      </c>
    </row>
    <row r="54">
      <c r="A54" s="2" t="inlineStr">
        <is>
          <t>QPHOS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3350</v>
      </c>
      <c r="G54" s="5" t="n">
        <v>110</v>
      </c>
      <c r="H54" s="5" t="n">
        <v>3400</v>
      </c>
      <c r="I54" s="5" t="n">
        <v>6860</v>
      </c>
      <c r="J54" s="9" t="n">
        <v>6860</v>
      </c>
      <c r="K54" s="5" t="n">
        <v>0</v>
      </c>
      <c r="L54" s="5" t="n">
        <v>18150</v>
      </c>
      <c r="M54" s="5" t="n">
        <v>18150</v>
      </c>
      <c r="N54" s="2" t="inlineStr">
        <is>
          <t>系統計算較高</t>
        </is>
      </c>
      <c r="O54" s="2" t="inlineStr"/>
      <c r="P54" s="2" t="inlineStr">
        <is>
          <t>QPHOS-B(Bead's Need!R94)</t>
        </is>
      </c>
    </row>
    <row r="55">
      <c r="A55" s="2" t="inlineStr">
        <is>
          <t>QTBIL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2220</v>
      </c>
      <c r="G55" s="5" t="n">
        <v>710</v>
      </c>
      <c r="H55" s="5" t="n">
        <v>2800</v>
      </c>
      <c r="I55" s="5" t="n">
        <v>5730</v>
      </c>
      <c r="J55" s="9" t="n">
        <v>5730</v>
      </c>
      <c r="K55" s="5" t="n">
        <v>0</v>
      </c>
      <c r="L55" s="5" t="n">
        <v>19620</v>
      </c>
      <c r="M55" s="5" t="n">
        <v>19620</v>
      </c>
      <c r="N55" s="2" t="inlineStr">
        <is>
          <t>系統計算較高</t>
        </is>
      </c>
      <c r="O55" s="2" t="inlineStr"/>
      <c r="P55" s="2" t="inlineStr">
        <is>
          <t>D:QTBIL-D(Bead's Need!R80)；U:QTBIL-U(Bead's Need!R79)；規則=兩劑需求取大/庫存取小；D需求=[2220.0, 710.0, 2800.0], U需求=[2220.0, 710.0, 2800.0], D庫存=20650, U庫存=19620</t>
        </is>
      </c>
    </row>
    <row r="56">
      <c r="A56" s="2" t="inlineStr">
        <is>
          <t>QTC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3850</v>
      </c>
      <c r="G56" s="5" t="n">
        <v>0</v>
      </c>
      <c r="H56" s="5" t="n">
        <v>2800</v>
      </c>
      <c r="I56" s="5" t="n">
        <v>6650</v>
      </c>
      <c r="J56" s="9" t="n">
        <v>6650</v>
      </c>
      <c r="K56" s="5" t="n">
        <v>0</v>
      </c>
      <c r="L56" s="5" t="n">
        <v>16440</v>
      </c>
      <c r="M56" s="5" t="n">
        <v>16440</v>
      </c>
      <c r="N56" s="2" t="inlineStr">
        <is>
          <t>系統計算較高</t>
        </is>
      </c>
      <c r="O56" s="2" t="inlineStr"/>
      <c r="P56" s="2" t="inlineStr">
        <is>
          <t>D:QTC-D(Bead's Need!R63)；U:QTC-U(Bead's Need!R64)；規則=兩劑需求取大/庫存取小；D需求=[3850.0, 0.0, 2800.0], U需求=[3850.0, 0.0, 2800.0], D庫存=16440, U庫存=16690</t>
        </is>
      </c>
    </row>
    <row r="57">
      <c r="A57" s="2" t="inlineStr">
        <is>
          <t>QTCO-2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2600</v>
      </c>
      <c r="G57" s="5" t="n">
        <v>0</v>
      </c>
      <c r="H57" s="5" t="n">
        <v>0</v>
      </c>
      <c r="I57" s="5" t="n">
        <v>2600</v>
      </c>
      <c r="J57" s="9" t="n">
        <v>2600</v>
      </c>
      <c r="K57" s="5" t="n">
        <v>0</v>
      </c>
      <c r="L57" s="5" t="n">
        <v>9960</v>
      </c>
      <c r="M57" s="5" t="n">
        <v>9960</v>
      </c>
      <c r="N57" s="2" t="inlineStr">
        <is>
          <t>系統計算較高</t>
        </is>
      </c>
      <c r="O57" s="2" t="inlineStr"/>
      <c r="P57" s="2" t="inlineStr">
        <is>
          <t>D:QtCO2-D(Bead's Need!R65)；U:QtCO2-U(Bead's Need!R66)；規則=兩劑需求取大/庫存取小；D需求=[2600.0, 0.0, 0.0], U需求=[2600.0, 0.0, 0.0], D庫存=10200, U庫存=9960</t>
        </is>
      </c>
    </row>
    <row r="58">
      <c r="A58" s="2" t="inlineStr">
        <is>
          <t>QTG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1000</v>
      </c>
      <c r="G58" s="5" t="n">
        <v>0</v>
      </c>
      <c r="H58" s="5" t="n">
        <v>0</v>
      </c>
      <c r="I58" s="5" t="n">
        <v>1000</v>
      </c>
      <c r="J58" s="9" t="n">
        <v>1000</v>
      </c>
      <c r="K58" s="5" t="n">
        <v>0</v>
      </c>
      <c r="L58" s="5" t="n">
        <v>8150</v>
      </c>
      <c r="M58" s="5" t="n">
        <v>8150</v>
      </c>
      <c r="N58" s="2" t="inlineStr">
        <is>
          <t>系統計算較高</t>
        </is>
      </c>
      <c r="O58" s="2" t="inlineStr"/>
      <c r="P58" s="2" t="inlineStr">
        <is>
          <t>D:QTG-D(Bead's Need!R76)；U:QTG-U(Bead's Need!R75)；規則=兩劑需求取大/庫存取小；D需求=[1000.0, 0.0, 0.0], U需求=[1000.0, 0.0, 0.0], D庫存=8150, U庫存=8240</t>
        </is>
      </c>
    </row>
    <row r="59">
      <c r="A59" s="2" t="inlineStr">
        <is>
          <t>SAA RSB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2350</v>
      </c>
      <c r="I59" s="5" t="n">
        <v>2350</v>
      </c>
      <c r="J59" s="9" t="n">
        <v>2350</v>
      </c>
      <c r="K59" s="5" t="n">
        <v>0</v>
      </c>
      <c r="L59" s="5" t="n">
        <v>0</v>
      </c>
      <c r="M59" s="5" t="n">
        <v>0</v>
      </c>
      <c r="N59" s="2" t="inlineStr">
        <is>
          <t>系統計算較高</t>
        </is>
      </c>
      <c r="O59" s="2" t="inlineStr"/>
      <c r="P59" s="2" t="inlineStr">
        <is>
          <t>SAA RSB(Bead's Need!R36)</t>
        </is>
      </c>
    </row>
    <row r="60">
      <c r="A60" s="2" t="inlineStr">
        <is>
          <t>T4</t>
        </is>
      </c>
      <c r="B60" s="5" t="n">
        <v>2000</v>
      </c>
      <c r="C60" s="5" t="n">
        <v>0</v>
      </c>
      <c r="D60" s="5" t="n">
        <v>0</v>
      </c>
      <c r="E60" s="5" t="n">
        <v>2000</v>
      </c>
      <c r="F60" s="5" t="n">
        <v>4000</v>
      </c>
      <c r="G60" s="5" t="n">
        <v>0</v>
      </c>
      <c r="H60" s="5" t="n">
        <v>0</v>
      </c>
      <c r="I60" s="5" t="n">
        <v>4000</v>
      </c>
      <c r="J60" s="9" t="n">
        <v>2000</v>
      </c>
      <c r="K60" s="5" t="n">
        <v>2000</v>
      </c>
      <c r="L60" s="5" t="n">
        <v>8290</v>
      </c>
      <c r="M60" s="5" t="n">
        <v>6290</v>
      </c>
      <c r="N60" s="2" t="inlineStr">
        <is>
          <t>系統計算較高</t>
        </is>
      </c>
      <c r="O60" s="2" t="inlineStr">
        <is>
          <t>T4(工作表3!C28: header R14, data R15-18)</t>
        </is>
      </c>
      <c r="P60" s="2" t="inlineStr">
        <is>
          <t>D:NT4-D(Bead's Need!R29)；U:NT4-U(Bead's Need!R28)；規則=兩劑需求取大/庫存取小；D需求=[4000.0, 0.0, 0.0], U需求=[4000.0, 0.0, 0.0], D庫存=8290, U庫存=8300</t>
        </is>
      </c>
    </row>
    <row r="61">
      <c r="A61" s="2" t="inlineStr">
        <is>
          <t>T4 DB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2000</v>
      </c>
      <c r="G61" s="5" t="n">
        <v>0</v>
      </c>
      <c r="H61" s="5" t="n">
        <v>0</v>
      </c>
      <c r="I61" s="5" t="n">
        <v>2000</v>
      </c>
      <c r="J61" s="9" t="n">
        <v>2000</v>
      </c>
      <c r="K61" s="5" t="n">
        <v>0</v>
      </c>
      <c r="L61" s="5" t="n">
        <v>0</v>
      </c>
      <c r="M61" s="5" t="n">
        <v>0</v>
      </c>
      <c r="N61" s="2" t="inlineStr">
        <is>
          <t>系統計算較高</t>
        </is>
      </c>
      <c r="O61" s="2" t="inlineStr"/>
      <c r="P61" s="2" t="inlineStr">
        <is>
          <t>T4 DB(Bead's Need!R19)</t>
        </is>
      </c>
    </row>
    <row r="62">
      <c r="A62" s="2" t="inlineStr">
        <is>
          <t>TBA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630</v>
      </c>
      <c r="G62" s="5" t="n">
        <v>2500</v>
      </c>
      <c r="H62" s="5" t="n">
        <v>0</v>
      </c>
      <c r="I62" s="5" t="n">
        <v>3130</v>
      </c>
      <c r="J62" s="9" t="n">
        <v>3130</v>
      </c>
      <c r="K62" s="5" t="n">
        <v>4000</v>
      </c>
      <c r="L62" s="5" t="n">
        <v>5140</v>
      </c>
      <c r="M62" s="5" t="n">
        <v>1140</v>
      </c>
      <c r="N62" s="2" t="inlineStr">
        <is>
          <t>系統計算較高</t>
        </is>
      </c>
      <c r="O62" s="2" t="inlineStr">
        <is>
          <t>TBA(工作表3!C27: header R14, data R15-18)</t>
        </is>
      </c>
      <c r="P62" s="2" t="inlineStr">
        <is>
          <t>D:TBA-D(Bead's Need!R53)；U:TBA-U(Bead's Need!R54)；規則=兩劑需求取大/庫存取小；D需求=[630.0, 2500.0, 0.0], U需求=[630.0, 2500.0, 0.0], D庫存=5140, U庫存=5180</t>
        </is>
      </c>
    </row>
    <row r="63">
      <c r="A63" s="2" t="inlineStr">
        <is>
          <t>TC</t>
        </is>
      </c>
      <c r="B63" s="5" t="n">
        <v>21400</v>
      </c>
      <c r="C63" s="5" t="n">
        <v>19000</v>
      </c>
      <c r="D63" s="5" t="n">
        <v>20000</v>
      </c>
      <c r="E63" s="5" t="n">
        <v>60400</v>
      </c>
      <c r="F63" s="5" t="n">
        <v>21500</v>
      </c>
      <c r="G63" s="5" t="n">
        <v>2000</v>
      </c>
      <c r="H63" s="5" t="n">
        <v>10420</v>
      </c>
      <c r="I63" s="5" t="n">
        <v>33920</v>
      </c>
      <c r="J63" s="10" t="n">
        <v>-26480</v>
      </c>
      <c r="K63" s="5" t="n">
        <v>80000</v>
      </c>
      <c r="L63" s="5" t="n">
        <v>64140</v>
      </c>
      <c r="M63" s="5" t="n">
        <v>-15860</v>
      </c>
      <c r="N63" s="2" t="inlineStr">
        <is>
          <t>系統計算較低</t>
        </is>
      </c>
      <c r="O63" s="2" t="inlineStr">
        <is>
          <t>TC(工作表3!C25: header R14, data R15-18)</t>
        </is>
      </c>
      <c r="P63" s="2" t="inlineStr">
        <is>
          <t>D:TC-D(Bead's Need!R81)；U:TC-U(Bead's Need!R82)；規則=兩劑需求取大/庫存取小；D需求=[21500.0, 2000.0, 10420.0], U需求=[21500.0, 2000.0, 10420.0], D庫存=64240, U庫存=64140</t>
        </is>
      </c>
    </row>
    <row r="64">
      <c r="A64" s="2" t="inlineStr">
        <is>
          <t>TCO-2</t>
        </is>
      </c>
      <c r="B64" s="5" t="n">
        <v>5000</v>
      </c>
      <c r="C64" s="5" t="n">
        <v>1500</v>
      </c>
      <c r="D64" s="5" t="n">
        <v>4000</v>
      </c>
      <c r="E64" s="5" t="n">
        <v>10500</v>
      </c>
      <c r="F64" s="5" t="n">
        <v>6500</v>
      </c>
      <c r="G64" s="5" t="n">
        <v>0</v>
      </c>
      <c r="H64" s="5" t="n">
        <v>5000</v>
      </c>
      <c r="I64" s="5" t="n">
        <v>11500</v>
      </c>
      <c r="J64" s="9" t="n">
        <v>1000</v>
      </c>
      <c r="K64" s="5" t="n">
        <v>12000</v>
      </c>
      <c r="L64" s="5" t="n">
        <v>5110</v>
      </c>
      <c r="M64" s="5" t="n">
        <v>-6890</v>
      </c>
      <c r="N64" s="2" t="inlineStr">
        <is>
          <t>系統計算較高</t>
        </is>
      </c>
      <c r="O64" s="2" t="inlineStr">
        <is>
          <t>TCO-2(工作表3!C30: header R14, data R15-18)</t>
        </is>
      </c>
      <c r="P64" s="2" t="inlineStr">
        <is>
          <t>D:TCO2-D(Bead's Need!R11)；U:TCO2-U(Bead's Need!R10)；規則=兩劑需求取大/庫存取小；D需求=[6500.0, 0.0, 5000.0], U需求=[6500.0, 0.0, 5000.0], D庫存=5110, U庫存=5270</t>
        </is>
      </c>
    </row>
    <row r="65">
      <c r="A65" s="2" t="inlineStr">
        <is>
          <t>UCRE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1000</v>
      </c>
      <c r="H65" s="5" t="n">
        <v>0</v>
      </c>
      <c r="I65" s="5" t="n">
        <v>1000</v>
      </c>
      <c r="J65" s="9" t="n">
        <v>1000</v>
      </c>
      <c r="K65" s="5" t="n">
        <v>1000</v>
      </c>
      <c r="L65" s="5" t="n">
        <v>1980</v>
      </c>
      <c r="M65" s="5" t="n">
        <v>980</v>
      </c>
      <c r="N65" s="2" t="inlineStr">
        <is>
          <t>系統計算較高</t>
        </is>
      </c>
      <c r="O65" s="2" t="inlineStr">
        <is>
          <t>uCRE(工作表3!C36: header R14, data R15-18)</t>
        </is>
      </c>
      <c r="P65" s="2" t="inlineStr">
        <is>
          <t>D:UCRE-D(Bead's Need!R33)；U:UCRE-U(Bead's Need!R32)；規則=兩劑需求取大/庫存取小；D需求=[0.0, 1000.0, 0.0], U需求=[0.0, 1000.0, 0.0], D庫存=1980, U庫存=2110</t>
        </is>
      </c>
    </row>
    <row r="66">
      <c r="A66" s="2" t="inlineStr">
        <is>
          <t>UPRO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1000</v>
      </c>
      <c r="H66" s="5" t="n">
        <v>0</v>
      </c>
      <c r="I66" s="5" t="n">
        <v>1000</v>
      </c>
      <c r="J66" s="9" t="n">
        <v>1000</v>
      </c>
      <c r="K66" s="5" t="n">
        <v>1000</v>
      </c>
      <c r="L66" s="5" t="n">
        <v>2300</v>
      </c>
      <c r="M66" s="5" t="n">
        <v>1300</v>
      </c>
      <c r="N66" s="2" t="inlineStr">
        <is>
          <t>系統計算較高</t>
        </is>
      </c>
      <c r="O66" s="2" t="inlineStr">
        <is>
          <t>UPRO(工作表3!C32: header R14, data R15-18)</t>
        </is>
      </c>
      <c r="P66" s="2" t="inlineStr">
        <is>
          <t>UPRO(Bead's Need!R91)</t>
        </is>
      </c>
    </row>
  </sheetData>
  <autoFilter ref="A1:P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4" t="inlineStr">
        <is>
          <t>來源</t>
        </is>
      </c>
      <c r="B1" s="4" t="inlineStr">
        <is>
          <t>Sheet</t>
        </is>
      </c>
      <c r="C1" s="4" t="inlineStr">
        <is>
          <t>Row</t>
        </is>
      </c>
      <c r="D1" s="4" t="inlineStr">
        <is>
          <t>原始品名</t>
        </is>
      </c>
      <c r="E1" s="4" t="inlineStr">
        <is>
          <t>正規化品名</t>
        </is>
      </c>
      <c r="F1" s="4" t="inlineStr">
        <is>
          <t>第一周需求</t>
        </is>
      </c>
      <c r="G1" s="4" t="inlineStr">
        <is>
          <t>第二周需求</t>
        </is>
      </c>
      <c r="H1" s="4" t="inlineStr">
        <is>
          <t>第三周需求</t>
        </is>
      </c>
      <c r="I1" s="4" t="inlineStr">
        <is>
          <t>庫存+滴定</t>
        </is>
      </c>
      <c r="J1" s="4" t="inlineStr">
        <is>
          <t>位置</t>
        </is>
      </c>
    </row>
    <row r="2">
      <c r="A2" s="2" t="inlineStr">
        <is>
          <t>系統</t>
        </is>
      </c>
      <c r="B2" s="2" t="inlineStr">
        <is>
          <t>Bead's Need</t>
        </is>
      </c>
      <c r="C2" s="5" t="n">
        <v>2</v>
      </c>
      <c r="D2" s="2" t="inlineStr">
        <is>
          <t>K-AU</t>
        </is>
      </c>
      <c r="E2" s="2" t="inlineStr">
        <is>
          <t>K-AU</t>
        </is>
      </c>
      <c r="F2" s="5" t="n">
        <v>19500</v>
      </c>
      <c r="G2" s="5" t="n">
        <v>27500</v>
      </c>
      <c r="H2" s="5" t="n">
        <v>22500</v>
      </c>
      <c r="I2" s="5" t="n">
        <v>68320</v>
      </c>
      <c r="J2" s="2" t="inlineStr">
        <is>
          <t>Bead's Need!R2</t>
        </is>
      </c>
    </row>
    <row r="3">
      <c r="A3" s="2" t="inlineStr">
        <is>
          <t>系統</t>
        </is>
      </c>
      <c r="B3" s="2" t="inlineStr">
        <is>
          <t>Bead's Need</t>
        </is>
      </c>
      <c r="C3" s="5" t="n">
        <v>3</v>
      </c>
      <c r="D3" s="2" t="inlineStr">
        <is>
          <t>K-D</t>
        </is>
      </c>
      <c r="E3" s="2" t="inlineStr">
        <is>
          <t>K-D</t>
        </is>
      </c>
      <c r="F3" s="5" t="n">
        <v>18500</v>
      </c>
      <c r="G3" s="5" t="n">
        <v>27500</v>
      </c>
      <c r="H3" s="5" t="n">
        <v>22920</v>
      </c>
      <c r="I3" s="5" t="n">
        <v>62230</v>
      </c>
      <c r="J3" s="2" t="inlineStr">
        <is>
          <t>Bead's Need!R3</t>
        </is>
      </c>
    </row>
    <row r="4">
      <c r="A4" s="2" t="inlineStr">
        <is>
          <t>系統</t>
        </is>
      </c>
      <c r="B4" s="2" t="inlineStr">
        <is>
          <t>Bead's Need</t>
        </is>
      </c>
      <c r="C4" s="5" t="n">
        <v>4</v>
      </c>
      <c r="D4" s="2" t="inlineStr">
        <is>
          <t>CL-U</t>
        </is>
      </c>
      <c r="E4" s="2" t="inlineStr">
        <is>
          <t>CL-U</t>
        </is>
      </c>
      <c r="F4" s="5" t="n">
        <v>8600</v>
      </c>
      <c r="G4" s="5" t="n">
        <v>0</v>
      </c>
      <c r="H4" s="5" t="n">
        <v>4000</v>
      </c>
      <c r="I4" s="5" t="n">
        <v>5560</v>
      </c>
      <c r="J4" s="2" t="inlineStr">
        <is>
          <t>Bead's Need!R4</t>
        </is>
      </c>
    </row>
    <row r="5">
      <c r="A5" s="2" t="inlineStr">
        <is>
          <t>系統</t>
        </is>
      </c>
      <c r="B5" s="2" t="inlineStr">
        <is>
          <t>Bead's Need</t>
        </is>
      </c>
      <c r="C5" s="5" t="n">
        <v>5</v>
      </c>
      <c r="D5" s="2" t="inlineStr">
        <is>
          <t>CL-D</t>
        </is>
      </c>
      <c r="E5" s="2" t="inlineStr">
        <is>
          <t>CL-D</t>
        </is>
      </c>
      <c r="F5" s="5" t="n">
        <v>8600</v>
      </c>
      <c r="G5" s="5" t="n">
        <v>0</v>
      </c>
      <c r="H5" s="5" t="n">
        <v>4000</v>
      </c>
      <c r="I5" s="5" t="n">
        <v>6020</v>
      </c>
      <c r="J5" s="2" t="inlineStr">
        <is>
          <t>Bead's Need!R5</t>
        </is>
      </c>
    </row>
    <row r="6">
      <c r="A6" s="2" t="inlineStr">
        <is>
          <t>系統</t>
        </is>
      </c>
      <c r="B6" s="2" t="inlineStr">
        <is>
          <t>Bead's Need</t>
        </is>
      </c>
      <c r="C6" s="5" t="n">
        <v>6</v>
      </c>
      <c r="D6" s="2" t="inlineStr">
        <is>
          <t>Fru-D</t>
        </is>
      </c>
      <c r="E6" s="2" t="inlineStr">
        <is>
          <t>FRU-D</t>
        </is>
      </c>
      <c r="F6" s="5" t="n">
        <v>2000</v>
      </c>
      <c r="G6" s="5" t="n">
        <v>0</v>
      </c>
      <c r="H6" s="5" t="n">
        <v>0</v>
      </c>
      <c r="I6" s="5" t="n">
        <v>0</v>
      </c>
      <c r="J6" s="2" t="inlineStr">
        <is>
          <t>Bead's Need!R6</t>
        </is>
      </c>
    </row>
    <row r="7">
      <c r="A7" s="2" t="inlineStr">
        <is>
          <t>系統</t>
        </is>
      </c>
      <c r="B7" s="2" t="inlineStr">
        <is>
          <t>Bead's Need</t>
        </is>
      </c>
      <c r="C7" s="5" t="n">
        <v>7</v>
      </c>
      <c r="D7" s="2" t="inlineStr">
        <is>
          <t>Fru-U</t>
        </is>
      </c>
      <c r="E7" s="2" t="inlineStr">
        <is>
          <t>FRU-U</t>
        </is>
      </c>
      <c r="F7" s="5" t="n">
        <v>2000</v>
      </c>
      <c r="G7" s="5" t="n">
        <v>0</v>
      </c>
      <c r="H7" s="5" t="n">
        <v>0</v>
      </c>
      <c r="I7" s="5" t="n">
        <v>0</v>
      </c>
      <c r="J7" s="2" t="inlineStr">
        <is>
          <t>Bead's Need!R7</t>
        </is>
      </c>
    </row>
    <row r="8">
      <c r="A8" s="2" t="inlineStr">
        <is>
          <t>系統</t>
        </is>
      </c>
      <c r="B8" s="2" t="inlineStr">
        <is>
          <t>Bead's Need</t>
        </is>
      </c>
      <c r="C8" s="5" t="n">
        <v>8</v>
      </c>
      <c r="D8" s="2" t="inlineStr">
        <is>
          <t>GLIPA-AU</t>
        </is>
      </c>
      <c r="E8" s="2" t="inlineStr">
        <is>
          <t>LIPA-AU</t>
        </is>
      </c>
      <c r="F8" s="5" t="n">
        <v>2000</v>
      </c>
      <c r="G8" s="5" t="n">
        <v>10610</v>
      </c>
      <c r="H8" s="5" t="n">
        <v>11520</v>
      </c>
      <c r="I8" s="5" t="n">
        <v>1970</v>
      </c>
      <c r="J8" s="2" t="inlineStr">
        <is>
          <t>Bead's Need!R8</t>
        </is>
      </c>
    </row>
    <row r="9">
      <c r="A9" s="2" t="inlineStr">
        <is>
          <t>系統</t>
        </is>
      </c>
      <c r="B9" s="2" t="inlineStr">
        <is>
          <t>Bead's Need</t>
        </is>
      </c>
      <c r="C9" s="5" t="n">
        <v>9</v>
      </c>
      <c r="D9" s="2" t="inlineStr">
        <is>
          <t>GLIPA-AD</t>
        </is>
      </c>
      <c r="E9" s="2" t="inlineStr">
        <is>
          <t>LIPA-AD</t>
        </is>
      </c>
      <c r="F9" s="5" t="n">
        <v>2000</v>
      </c>
      <c r="G9" s="5" t="n">
        <v>10610</v>
      </c>
      <c r="H9" s="5" t="n">
        <v>11520</v>
      </c>
      <c r="I9" s="5" t="n">
        <v>5780</v>
      </c>
      <c r="J9" s="2" t="inlineStr">
        <is>
          <t>Bead's Need!R9</t>
        </is>
      </c>
    </row>
    <row r="10">
      <c r="A10" s="2" t="inlineStr">
        <is>
          <t>系統</t>
        </is>
      </c>
      <c r="B10" s="2" t="inlineStr">
        <is>
          <t>Bead's Need</t>
        </is>
      </c>
      <c r="C10" s="5" t="n">
        <v>10</v>
      </c>
      <c r="D10" s="2" t="inlineStr">
        <is>
          <t>TCO2-U</t>
        </is>
      </c>
      <c r="E10" s="2" t="inlineStr">
        <is>
          <t>TCO-2-U</t>
        </is>
      </c>
      <c r="F10" s="5" t="n">
        <v>6500</v>
      </c>
      <c r="G10" s="5" t="n">
        <v>0</v>
      </c>
      <c r="H10" s="5" t="n">
        <v>5000</v>
      </c>
      <c r="I10" s="5" t="n">
        <v>5270</v>
      </c>
      <c r="J10" s="2" t="inlineStr">
        <is>
          <t>Bead's Need!R10</t>
        </is>
      </c>
    </row>
    <row r="11">
      <c r="A11" s="2" t="inlineStr">
        <is>
          <t>系統</t>
        </is>
      </c>
      <c r="B11" s="2" t="inlineStr">
        <is>
          <t>Bead's Need</t>
        </is>
      </c>
      <c r="C11" s="5" t="n">
        <v>11</v>
      </c>
      <c r="D11" s="2" t="inlineStr">
        <is>
          <t>TCO2-D</t>
        </is>
      </c>
      <c r="E11" s="2" t="inlineStr">
        <is>
          <t>TCO-2-D</t>
        </is>
      </c>
      <c r="F11" s="5" t="n">
        <v>6500</v>
      </c>
      <c r="G11" s="5" t="n">
        <v>0</v>
      </c>
      <c r="H11" s="5" t="n">
        <v>5000</v>
      </c>
      <c r="I11" s="5" t="n">
        <v>5110</v>
      </c>
      <c r="J11" s="2" t="inlineStr">
        <is>
          <t>Bead's Need!R11</t>
        </is>
      </c>
    </row>
    <row r="12">
      <c r="A12" s="2" t="inlineStr">
        <is>
          <t>系統</t>
        </is>
      </c>
      <c r="B12" s="2" t="inlineStr">
        <is>
          <t>Bead's Need</t>
        </is>
      </c>
      <c r="C12" s="5" t="n">
        <v>12</v>
      </c>
      <c r="D12" s="2" t="inlineStr">
        <is>
          <t>UA-D</t>
        </is>
      </c>
      <c r="E12" s="2" t="inlineStr">
        <is>
          <t>UA-D</t>
        </is>
      </c>
      <c r="F12" s="5" t="n">
        <v>10130</v>
      </c>
      <c r="G12" s="5" t="n">
        <v>0</v>
      </c>
      <c r="H12" s="5" t="n">
        <v>7420</v>
      </c>
      <c r="I12" s="5" t="n">
        <v>4580</v>
      </c>
      <c r="J12" s="2" t="inlineStr">
        <is>
          <t>Bead's Need!R12</t>
        </is>
      </c>
    </row>
    <row r="13">
      <c r="A13" s="2" t="inlineStr">
        <is>
          <t>系統</t>
        </is>
      </c>
      <c r="B13" s="2" t="inlineStr">
        <is>
          <t>Bead's Need</t>
        </is>
      </c>
      <c r="C13" s="5" t="n">
        <v>13</v>
      </c>
      <c r="D13" s="2" t="inlineStr">
        <is>
          <t>UA-U</t>
        </is>
      </c>
      <c r="E13" s="2" t="inlineStr">
        <is>
          <t>UA-U</t>
        </is>
      </c>
      <c r="F13" s="5" t="n">
        <v>10130</v>
      </c>
      <c r="G13" s="5" t="n">
        <v>0</v>
      </c>
      <c r="H13" s="5" t="n">
        <v>7420</v>
      </c>
      <c r="I13" s="5" t="n">
        <v>4520</v>
      </c>
      <c r="J13" s="2" t="inlineStr">
        <is>
          <t>Bead's Need!R13</t>
        </is>
      </c>
    </row>
    <row r="14">
      <c r="A14" s="2" t="inlineStr">
        <is>
          <t>系統</t>
        </is>
      </c>
      <c r="B14" s="2" t="inlineStr">
        <is>
          <t>Bead's Need</t>
        </is>
      </c>
      <c r="C14" s="5" t="n">
        <v>14</v>
      </c>
      <c r="D14" s="2" t="inlineStr">
        <is>
          <t>Ca-B</t>
        </is>
      </c>
      <c r="E14" s="2" t="inlineStr">
        <is>
          <t>CA-B</t>
        </is>
      </c>
      <c r="F14" s="5" t="n">
        <v>30500</v>
      </c>
      <c r="G14" s="5" t="n">
        <v>37000</v>
      </c>
      <c r="H14" s="5" t="n">
        <v>40500</v>
      </c>
      <c r="I14" s="5" t="n">
        <v>13403</v>
      </c>
      <c r="J14" s="2" t="inlineStr">
        <is>
          <t>Bead's Need!R14</t>
        </is>
      </c>
    </row>
    <row r="15">
      <c r="A15" s="2" t="inlineStr">
        <is>
          <t>系統</t>
        </is>
      </c>
      <c r="B15" s="2" t="inlineStr">
        <is>
          <t>Bead's Need</t>
        </is>
      </c>
      <c r="C15" s="5" t="n">
        <v>15</v>
      </c>
      <c r="D15" s="2" t="inlineStr">
        <is>
          <t>cPROG 半品</t>
        </is>
      </c>
      <c r="E15" s="2" t="inlineStr">
        <is>
          <t>CPROG 半品</t>
        </is>
      </c>
      <c r="F15" s="5" t="n">
        <v>5000</v>
      </c>
      <c r="G15" s="5" t="n">
        <v>0</v>
      </c>
      <c r="H15" s="5" t="n">
        <v>0</v>
      </c>
      <c r="I15" s="5" t="n">
        <v>0</v>
      </c>
      <c r="J15" s="2" t="inlineStr">
        <is>
          <t>Bead's Need!R15</t>
        </is>
      </c>
    </row>
    <row r="16">
      <c r="A16" s="2" t="inlineStr">
        <is>
          <t>系統</t>
        </is>
      </c>
      <c r="B16" s="2" t="inlineStr">
        <is>
          <t>Bead's Need</t>
        </is>
      </c>
      <c r="C16" s="5" t="n">
        <v>16</v>
      </c>
      <c r="D16" s="2" t="inlineStr">
        <is>
          <t>AMY</t>
        </is>
      </c>
      <c r="E16" s="2" t="inlineStr">
        <is>
          <t>AMY</t>
        </is>
      </c>
      <c r="F16" s="5" t="n">
        <v>23000</v>
      </c>
      <c r="G16" s="5" t="n">
        <v>27500</v>
      </c>
      <c r="H16" s="5" t="n">
        <v>20420</v>
      </c>
      <c r="I16" s="5" t="n">
        <v>870</v>
      </c>
      <c r="J16" s="2" t="inlineStr">
        <is>
          <t>Bead's Need!R16</t>
        </is>
      </c>
    </row>
    <row r="17">
      <c r="A17" s="2" t="inlineStr">
        <is>
          <t>系統</t>
        </is>
      </c>
      <c r="B17" s="2" t="inlineStr">
        <is>
          <t>Bead's Need</t>
        </is>
      </c>
      <c r="C17" s="5" t="n">
        <v>17</v>
      </c>
      <c r="D17" s="2" t="inlineStr">
        <is>
          <t>cCOR 半品</t>
        </is>
      </c>
      <c r="E17" s="2" t="inlineStr">
        <is>
          <t>CCOR 半品</t>
        </is>
      </c>
      <c r="F17" s="5" t="n">
        <v>1000</v>
      </c>
      <c r="G17" s="5" t="n">
        <v>0</v>
      </c>
      <c r="H17" s="5" t="n">
        <v>0</v>
      </c>
      <c r="I17" s="5" t="n">
        <v>0</v>
      </c>
      <c r="J17" s="2" t="inlineStr">
        <is>
          <t>Bead's Need!R17</t>
        </is>
      </c>
    </row>
    <row r="18">
      <c r="A18" s="2" t="inlineStr">
        <is>
          <t>系統</t>
        </is>
      </c>
      <c r="B18" s="2" t="inlineStr">
        <is>
          <t>Bead's Need</t>
        </is>
      </c>
      <c r="C18" s="5" t="n">
        <v>18</v>
      </c>
      <c r="D18" s="2" t="inlineStr">
        <is>
          <t>cTSH 半品</t>
        </is>
      </c>
      <c r="E18" s="2" t="inlineStr">
        <is>
          <t>CTSH 半品</t>
        </is>
      </c>
      <c r="F18" s="5" t="n">
        <v>500</v>
      </c>
      <c r="G18" s="5" t="n">
        <v>0</v>
      </c>
      <c r="H18" s="5" t="n">
        <v>0</v>
      </c>
      <c r="I18" s="5" t="n">
        <v>0</v>
      </c>
      <c r="J18" s="2" t="inlineStr">
        <is>
          <t>Bead's Need!R18</t>
        </is>
      </c>
    </row>
    <row r="19">
      <c r="A19" s="2" t="inlineStr">
        <is>
          <t>系統</t>
        </is>
      </c>
      <c r="B19" s="2" t="inlineStr">
        <is>
          <t>Bead's Need</t>
        </is>
      </c>
      <c r="C19" s="5" t="n">
        <v>19</v>
      </c>
      <c r="D19" s="2" t="inlineStr">
        <is>
          <t>T4 DB</t>
        </is>
      </c>
      <c r="E19" s="2" t="inlineStr">
        <is>
          <t>T4 DB</t>
        </is>
      </c>
      <c r="F19" s="5" t="n">
        <v>2000</v>
      </c>
      <c r="G19" s="5" t="n">
        <v>0</v>
      </c>
      <c r="H19" s="5" t="n">
        <v>0</v>
      </c>
      <c r="I19" s="5" t="n">
        <v>0</v>
      </c>
      <c r="J19" s="2" t="inlineStr">
        <is>
          <t>Bead's Need!R19</t>
        </is>
      </c>
    </row>
    <row r="20">
      <c r="A20" s="2" t="inlineStr">
        <is>
          <t>系統</t>
        </is>
      </c>
      <c r="B20" s="2" t="inlineStr">
        <is>
          <t>Bead's Need</t>
        </is>
      </c>
      <c r="C20" s="5" t="n">
        <v>20</v>
      </c>
      <c r="D20" s="2" t="inlineStr">
        <is>
          <t>LAC-D</t>
        </is>
      </c>
      <c r="E20" s="2" t="inlineStr">
        <is>
          <t>LAC-D</t>
        </is>
      </c>
      <c r="F20" s="5" t="n">
        <v>2000</v>
      </c>
      <c r="G20" s="5" t="n">
        <v>0</v>
      </c>
      <c r="H20" s="5" t="n">
        <v>2300</v>
      </c>
      <c r="I20" s="5" t="n">
        <v>3160</v>
      </c>
      <c r="J20" s="2" t="inlineStr">
        <is>
          <t>Bead's Need!R20</t>
        </is>
      </c>
    </row>
    <row r="21">
      <c r="A21" s="2" t="inlineStr">
        <is>
          <t>系統</t>
        </is>
      </c>
      <c r="B21" s="2" t="inlineStr">
        <is>
          <t>Bead's Need</t>
        </is>
      </c>
      <c r="C21" s="5" t="n">
        <v>21</v>
      </c>
      <c r="D21" s="2" t="inlineStr">
        <is>
          <t>LAC-U</t>
        </is>
      </c>
      <c r="E21" s="2" t="inlineStr">
        <is>
          <t>LAC-U</t>
        </is>
      </c>
      <c r="F21" s="5" t="n">
        <v>2000</v>
      </c>
      <c r="G21" s="5" t="n">
        <v>0</v>
      </c>
      <c r="H21" s="5" t="n">
        <v>2300</v>
      </c>
      <c r="I21" s="5" t="n">
        <v>3120</v>
      </c>
      <c r="J21" s="2" t="inlineStr">
        <is>
          <t>Bead's Need!R21</t>
        </is>
      </c>
    </row>
    <row r="22">
      <c r="A22" s="2" t="inlineStr">
        <is>
          <t>系統</t>
        </is>
      </c>
      <c r="B22" s="2" t="inlineStr">
        <is>
          <t>Bead's Need</t>
        </is>
      </c>
      <c r="C22" s="5" t="n">
        <v>22</v>
      </c>
      <c r="D22" s="2" t="inlineStr">
        <is>
          <t>CK-U</t>
        </is>
      </c>
      <c r="E22" s="2" t="inlineStr">
        <is>
          <t>CPK-U</t>
        </is>
      </c>
      <c r="F22" s="5" t="n">
        <v>6740</v>
      </c>
      <c r="G22" s="5" t="n">
        <v>1210</v>
      </c>
      <c r="H22" s="5" t="n">
        <v>4900</v>
      </c>
      <c r="I22" s="5" t="n">
        <v>11560</v>
      </c>
      <c r="J22" s="2" t="inlineStr">
        <is>
          <t>Bead's Need!R22</t>
        </is>
      </c>
    </row>
    <row r="23">
      <c r="A23" s="2" t="inlineStr">
        <is>
          <t>系統</t>
        </is>
      </c>
      <c r="B23" s="2" t="inlineStr">
        <is>
          <t>Bead's Need</t>
        </is>
      </c>
      <c r="C23" s="5" t="n">
        <v>23</v>
      </c>
      <c r="D23" s="2" t="inlineStr">
        <is>
          <t>CK-AD</t>
        </is>
      </c>
      <c r="E23" s="2" t="inlineStr">
        <is>
          <t>CPK-AD</t>
        </is>
      </c>
      <c r="F23" s="5" t="n">
        <v>6740</v>
      </c>
      <c r="G23" s="5" t="n">
        <v>1210</v>
      </c>
      <c r="H23" s="5" t="n">
        <v>4900</v>
      </c>
      <c r="I23" s="5" t="n">
        <v>11960</v>
      </c>
      <c r="J23" s="2" t="inlineStr">
        <is>
          <t>Bead's Need!R23</t>
        </is>
      </c>
    </row>
    <row r="24">
      <c r="A24" s="2" t="inlineStr">
        <is>
          <t>系統</t>
        </is>
      </c>
      <c r="B24" s="2" t="inlineStr">
        <is>
          <t>Bead's Need</t>
        </is>
      </c>
      <c r="C24" s="5" t="n">
        <v>24</v>
      </c>
      <c r="D24" s="2" t="inlineStr">
        <is>
          <t>BCl-U</t>
        </is>
      </c>
      <c r="E24" s="2" t="inlineStr">
        <is>
          <t>BCL-U</t>
        </is>
      </c>
      <c r="F24" s="5" t="n">
        <v>8600</v>
      </c>
      <c r="G24" s="5" t="n">
        <v>0</v>
      </c>
      <c r="H24" s="5" t="n">
        <v>4000</v>
      </c>
      <c r="I24" s="5" t="n">
        <v>12480</v>
      </c>
      <c r="J24" s="2" t="inlineStr">
        <is>
          <t>Bead's Need!R24</t>
        </is>
      </c>
    </row>
    <row r="25">
      <c r="A25" s="2" t="inlineStr">
        <is>
          <t>系統</t>
        </is>
      </c>
      <c r="B25" s="2" t="inlineStr">
        <is>
          <t>Bead's Need</t>
        </is>
      </c>
      <c r="C25" s="5" t="n">
        <v>25</v>
      </c>
      <c r="D25" s="2" t="inlineStr">
        <is>
          <t>BCl-D</t>
        </is>
      </c>
      <c r="E25" s="2" t="inlineStr">
        <is>
          <t>BCL-D</t>
        </is>
      </c>
      <c r="F25" s="5" t="n">
        <v>8600</v>
      </c>
      <c r="G25" s="5" t="n">
        <v>0</v>
      </c>
      <c r="H25" s="5" t="n">
        <v>4000</v>
      </c>
      <c r="I25" s="5" t="n">
        <v>11430</v>
      </c>
      <c r="J25" s="2" t="inlineStr">
        <is>
          <t>Bead's Need!R25</t>
        </is>
      </c>
    </row>
    <row r="26">
      <c r="A26" s="2" t="inlineStr">
        <is>
          <t>系統</t>
        </is>
      </c>
      <c r="B26" s="2" t="inlineStr">
        <is>
          <t>Bead's Need</t>
        </is>
      </c>
      <c r="C26" s="5" t="n">
        <v>26</v>
      </c>
      <c r="D26" s="2" t="inlineStr">
        <is>
          <t>DBIL-U</t>
        </is>
      </c>
      <c r="E26" s="2" t="inlineStr">
        <is>
          <t>DBIL-U</t>
        </is>
      </c>
      <c r="F26" s="5" t="n">
        <v>0</v>
      </c>
      <c r="G26" s="5" t="n">
        <v>0</v>
      </c>
      <c r="H26" s="5" t="n">
        <v>0</v>
      </c>
      <c r="I26" s="5" t="n">
        <v>1290</v>
      </c>
      <c r="J26" s="2" t="inlineStr">
        <is>
          <t>Bead's Need!R26</t>
        </is>
      </c>
    </row>
    <row r="27">
      <c r="A27" s="2" t="inlineStr">
        <is>
          <t>系統</t>
        </is>
      </c>
      <c r="B27" s="2" t="inlineStr">
        <is>
          <t>Bead's Need</t>
        </is>
      </c>
      <c r="C27" s="5" t="n">
        <v>27</v>
      </c>
      <c r="D27" s="2" t="inlineStr">
        <is>
          <t>DBIL-D</t>
        </is>
      </c>
      <c r="E27" s="2" t="inlineStr">
        <is>
          <t>DBIL-D</t>
        </is>
      </c>
      <c r="F27" s="5" t="n">
        <v>0</v>
      </c>
      <c r="G27" s="5" t="n">
        <v>0</v>
      </c>
      <c r="H27" s="5" t="n">
        <v>0</v>
      </c>
      <c r="I27" s="5" t="n">
        <v>1330</v>
      </c>
      <c r="J27" s="2" t="inlineStr">
        <is>
          <t>Bead's Need!R27</t>
        </is>
      </c>
    </row>
    <row r="28">
      <c r="A28" s="2" t="inlineStr">
        <is>
          <t>系統</t>
        </is>
      </c>
      <c r="B28" s="2" t="inlineStr">
        <is>
          <t>Bead's Need</t>
        </is>
      </c>
      <c r="C28" s="5" t="n">
        <v>28</v>
      </c>
      <c r="D28" s="2" t="inlineStr">
        <is>
          <t>NT4-U</t>
        </is>
      </c>
      <c r="E28" s="2" t="inlineStr">
        <is>
          <t>T4-U</t>
        </is>
      </c>
      <c r="F28" s="5" t="n">
        <v>4000</v>
      </c>
      <c r="G28" s="5" t="n">
        <v>0</v>
      </c>
      <c r="H28" s="5" t="n">
        <v>0</v>
      </c>
      <c r="I28" s="5" t="n">
        <v>8300</v>
      </c>
      <c r="J28" s="2" t="inlineStr">
        <is>
          <t>Bead's Need!R28</t>
        </is>
      </c>
    </row>
    <row r="29">
      <c r="A29" s="2" t="inlineStr">
        <is>
          <t>系統</t>
        </is>
      </c>
      <c r="B29" s="2" t="inlineStr">
        <is>
          <t>Bead's Need</t>
        </is>
      </c>
      <c r="C29" s="5" t="n">
        <v>29</v>
      </c>
      <c r="D29" s="2" t="inlineStr">
        <is>
          <t>NT4-D</t>
        </is>
      </c>
      <c r="E29" s="2" t="inlineStr">
        <is>
          <t>T4-D</t>
        </is>
      </c>
      <c r="F29" s="5" t="n">
        <v>4000</v>
      </c>
      <c r="G29" s="5" t="n">
        <v>0</v>
      </c>
      <c r="H29" s="5" t="n">
        <v>0</v>
      </c>
      <c r="I29" s="5" t="n">
        <v>8290</v>
      </c>
      <c r="J29" s="2" t="inlineStr">
        <is>
          <t>Bead's Need!R29</t>
        </is>
      </c>
    </row>
    <row r="30">
      <c r="A30" s="2" t="inlineStr">
        <is>
          <t>系統</t>
        </is>
      </c>
      <c r="B30" s="2" t="inlineStr">
        <is>
          <t>Bead's Need</t>
        </is>
      </c>
      <c r="C30" s="5" t="n">
        <v>30</v>
      </c>
      <c r="D30" s="2" t="inlineStr">
        <is>
          <t>CRP-U</t>
        </is>
      </c>
      <c r="E30" s="2" t="inlineStr">
        <is>
          <t>CRP-U</t>
        </is>
      </c>
      <c r="F30" s="5" t="n">
        <v>0</v>
      </c>
      <c r="G30" s="5" t="n">
        <v>500</v>
      </c>
      <c r="H30" s="5" t="n">
        <v>640</v>
      </c>
      <c r="I30" s="5" t="n">
        <v>1855</v>
      </c>
      <c r="J30" s="2" t="inlineStr">
        <is>
          <t>Bead's Need!R30</t>
        </is>
      </c>
    </row>
    <row r="31">
      <c r="A31" s="2" t="inlineStr">
        <is>
          <t>系統</t>
        </is>
      </c>
      <c r="B31" s="2" t="inlineStr">
        <is>
          <t>Bead's Need</t>
        </is>
      </c>
      <c r="C31" s="5" t="n">
        <v>31</v>
      </c>
      <c r="D31" s="2" t="inlineStr">
        <is>
          <t>CRP-D</t>
        </is>
      </c>
      <c r="E31" s="2" t="inlineStr">
        <is>
          <t>CRP-D</t>
        </is>
      </c>
      <c r="F31" s="5" t="n">
        <v>0</v>
      </c>
      <c r="G31" s="5" t="n">
        <v>500</v>
      </c>
      <c r="H31" s="5" t="n">
        <v>640</v>
      </c>
      <c r="I31" s="5" t="n">
        <v>1935</v>
      </c>
      <c r="J31" s="2" t="inlineStr">
        <is>
          <t>Bead's Need!R31</t>
        </is>
      </c>
    </row>
    <row r="32">
      <c r="A32" s="2" t="inlineStr">
        <is>
          <t>系統</t>
        </is>
      </c>
      <c r="B32" s="2" t="inlineStr">
        <is>
          <t>Bead's Need</t>
        </is>
      </c>
      <c r="C32" s="5" t="n">
        <v>32</v>
      </c>
      <c r="D32" s="2" t="inlineStr">
        <is>
          <t>UCRE-U</t>
        </is>
      </c>
      <c r="E32" s="2" t="inlineStr">
        <is>
          <t>UCRE-U</t>
        </is>
      </c>
      <c r="F32" s="5" t="n">
        <v>0</v>
      </c>
      <c r="G32" s="5" t="n">
        <v>1000</v>
      </c>
      <c r="H32" s="5" t="n">
        <v>0</v>
      </c>
      <c r="I32" s="5" t="n">
        <v>2110</v>
      </c>
      <c r="J32" s="2" t="inlineStr">
        <is>
          <t>Bead's Need!R32</t>
        </is>
      </c>
    </row>
    <row r="33">
      <c r="A33" s="2" t="inlineStr">
        <is>
          <t>系統</t>
        </is>
      </c>
      <c r="B33" s="2" t="inlineStr">
        <is>
          <t>Bead's Need</t>
        </is>
      </c>
      <c r="C33" s="5" t="n">
        <v>33</v>
      </c>
      <c r="D33" s="2" t="inlineStr">
        <is>
          <t>UCRE-D</t>
        </is>
      </c>
      <c r="E33" s="2" t="inlineStr">
        <is>
          <t>UCRE-D</t>
        </is>
      </c>
      <c r="F33" s="5" t="n">
        <v>0</v>
      </c>
      <c r="G33" s="5" t="n">
        <v>1000</v>
      </c>
      <c r="H33" s="5" t="n">
        <v>0</v>
      </c>
      <c r="I33" s="5" t="n">
        <v>1980</v>
      </c>
      <c r="J33" s="2" t="inlineStr">
        <is>
          <t>Bead's Need!R33</t>
        </is>
      </c>
    </row>
    <row r="34">
      <c r="A34" s="2" t="inlineStr">
        <is>
          <t>系統</t>
        </is>
      </c>
      <c r="B34" s="2" t="inlineStr">
        <is>
          <t>Bead's Need</t>
        </is>
      </c>
      <c r="C34" s="5" t="n">
        <v>34</v>
      </c>
      <c r="D34" s="2" t="inlineStr">
        <is>
          <t>cPL 半品</t>
        </is>
      </c>
      <c r="E34" s="2" t="inlineStr">
        <is>
          <t>CPL 半品</t>
        </is>
      </c>
      <c r="F34" s="5" t="n">
        <v>0</v>
      </c>
      <c r="G34" s="5" t="n">
        <v>500</v>
      </c>
      <c r="H34" s="5" t="n">
        <v>0</v>
      </c>
      <c r="I34" s="5" t="n">
        <v>0</v>
      </c>
      <c r="J34" s="2" t="inlineStr">
        <is>
          <t>Bead's Need!R34</t>
        </is>
      </c>
    </row>
    <row r="35">
      <c r="A35" s="2" t="inlineStr">
        <is>
          <t>系統</t>
        </is>
      </c>
      <c r="B35" s="2" t="inlineStr">
        <is>
          <t>Bead's Need</t>
        </is>
      </c>
      <c r="C35" s="5" t="n">
        <v>35</v>
      </c>
      <c r="D35" s="2" t="inlineStr">
        <is>
          <t>PHBR RSB</t>
        </is>
      </c>
      <c r="E35" s="2" t="inlineStr">
        <is>
          <t>PHBR RSB</t>
        </is>
      </c>
      <c r="F35" s="5" t="n">
        <v>0</v>
      </c>
      <c r="G35" s="5" t="n">
        <v>0</v>
      </c>
      <c r="H35" s="5" t="n">
        <v>999</v>
      </c>
      <c r="I35" s="5" t="n">
        <v>0</v>
      </c>
      <c r="J35" s="2" t="inlineStr">
        <is>
          <t>Bead's Need!R35</t>
        </is>
      </c>
    </row>
    <row r="36">
      <c r="A36" s="2" t="inlineStr">
        <is>
          <t>系統</t>
        </is>
      </c>
      <c r="B36" s="2" t="inlineStr">
        <is>
          <t>Bead's Need</t>
        </is>
      </c>
      <c r="C36" s="5" t="n">
        <v>36</v>
      </c>
      <c r="D36" s="2" t="inlineStr">
        <is>
          <t>SAA RSB</t>
        </is>
      </c>
      <c r="E36" s="2" t="inlineStr">
        <is>
          <t>SAA RSB</t>
        </is>
      </c>
      <c r="F36" s="5" t="n">
        <v>0</v>
      </c>
      <c r="G36" s="5" t="n">
        <v>0</v>
      </c>
      <c r="H36" s="5" t="n">
        <v>2350</v>
      </c>
      <c r="I36" s="5" t="n">
        <v>0</v>
      </c>
      <c r="J36" s="2" t="inlineStr">
        <is>
          <t>Bead's Need!R36</t>
        </is>
      </c>
    </row>
    <row r="37">
      <c r="A37" s="2" t="inlineStr">
        <is>
          <t>系統</t>
        </is>
      </c>
      <c r="B37" s="2" t="inlineStr">
        <is>
          <t>Bead's Need</t>
        </is>
      </c>
      <c r="C37" s="5" t="n">
        <v>37</v>
      </c>
      <c r="D37" s="2" t="inlineStr">
        <is>
          <t>cCRP RSB</t>
        </is>
      </c>
      <c r="E37" s="2" t="inlineStr">
        <is>
          <t>CCRP RSB</t>
        </is>
      </c>
      <c r="F37" s="5" t="n">
        <v>0</v>
      </c>
      <c r="G37" s="5" t="n">
        <v>0</v>
      </c>
      <c r="H37" s="5" t="n">
        <v>3000</v>
      </c>
      <c r="I37" s="5" t="n">
        <v>0</v>
      </c>
      <c r="J37" s="2" t="inlineStr">
        <is>
          <t>Bead's Need!R37</t>
        </is>
      </c>
    </row>
    <row r="38">
      <c r="A38" s="2" t="inlineStr">
        <is>
          <t>系統</t>
        </is>
      </c>
      <c r="B38" s="2" t="inlineStr">
        <is>
          <t>Bead's Need</t>
        </is>
      </c>
      <c r="C38" s="5" t="n">
        <v>38</v>
      </c>
      <c r="D38" s="2" t="inlineStr">
        <is>
          <t>fPL 半品</t>
        </is>
      </c>
      <c r="E38" s="2" t="inlineStr">
        <is>
          <t>FPL 半品</t>
        </is>
      </c>
      <c r="F38" s="5" t="n">
        <v>0</v>
      </c>
      <c r="G38" s="5" t="n">
        <v>0</v>
      </c>
      <c r="H38" s="5" t="n">
        <v>500</v>
      </c>
      <c r="I38" s="5" t="n">
        <v>0</v>
      </c>
      <c r="J38" s="2" t="inlineStr">
        <is>
          <t>Bead's Need!R38</t>
        </is>
      </c>
    </row>
    <row r="39">
      <c r="A39" s="2" t="inlineStr">
        <is>
          <t>系統</t>
        </is>
      </c>
      <c r="B39" s="2" t="inlineStr">
        <is>
          <t>Bead's Need</t>
        </is>
      </c>
      <c r="C39" s="5" t="n">
        <v>39</v>
      </c>
      <c r="D39" s="2" t="inlineStr">
        <is>
          <t>PHOS-C</t>
        </is>
      </c>
      <c r="E39" s="2" t="inlineStr">
        <is>
          <t>PHOS-C</t>
        </is>
      </c>
      <c r="F39" s="5" t="n">
        <v>0</v>
      </c>
      <c r="G39" s="5" t="n">
        <v>0</v>
      </c>
      <c r="H39" s="5" t="n">
        <v>7500</v>
      </c>
      <c r="I39" s="5" t="n">
        <v>7050</v>
      </c>
      <c r="J39" s="2" t="inlineStr">
        <is>
          <t>Bead's Need!R39</t>
        </is>
      </c>
    </row>
    <row r="40">
      <c r="A40" s="2" t="inlineStr">
        <is>
          <t>系統</t>
        </is>
      </c>
      <c r="B40" s="2" t="inlineStr">
        <is>
          <t>Bead's Need</t>
        </is>
      </c>
      <c r="C40" s="5" t="n">
        <v>40</v>
      </c>
      <c r="D40" s="2" t="inlineStr">
        <is>
          <t>Na-BD</t>
        </is>
      </c>
      <c r="E40" s="2" t="inlineStr">
        <is>
          <t>NA-BD</t>
        </is>
      </c>
      <c r="F40" s="5" t="n">
        <v>19500</v>
      </c>
      <c r="G40" s="5" t="n">
        <v>27500</v>
      </c>
      <c r="H40" s="5" t="n">
        <v>22920</v>
      </c>
      <c r="I40" s="5" t="n">
        <v>68650</v>
      </c>
      <c r="J40" s="2" t="inlineStr">
        <is>
          <t>Bead's Need!R40</t>
        </is>
      </c>
    </row>
    <row r="41">
      <c r="A41" s="2" t="inlineStr">
        <is>
          <t>系統</t>
        </is>
      </c>
      <c r="B41" s="2" t="inlineStr">
        <is>
          <t>Bead's Need</t>
        </is>
      </c>
      <c r="C41" s="5" t="n">
        <v>41</v>
      </c>
      <c r="D41" s="2" t="inlineStr">
        <is>
          <t>Na-BU</t>
        </is>
      </c>
      <c r="E41" s="2" t="inlineStr">
        <is>
          <t>NA-BU</t>
        </is>
      </c>
      <c r="F41" s="5" t="n">
        <v>19500</v>
      </c>
      <c r="G41" s="5" t="n">
        <v>27500</v>
      </c>
      <c r="H41" s="5" t="n">
        <v>22920</v>
      </c>
      <c r="I41" s="5" t="n">
        <v>90620</v>
      </c>
      <c r="J41" s="2" t="inlineStr">
        <is>
          <t>Bead's Need!R41</t>
        </is>
      </c>
    </row>
    <row r="42">
      <c r="A42" s="2" t="inlineStr">
        <is>
          <t>系統</t>
        </is>
      </c>
      <c r="B42" s="2" t="inlineStr">
        <is>
          <t>Bead's Need</t>
        </is>
      </c>
      <c r="C42" s="5" t="n">
        <v>42</v>
      </c>
      <c r="D42" s="2" t="inlineStr">
        <is>
          <t>tCREA-U</t>
        </is>
      </c>
      <c r="E42" s="2" t="inlineStr">
        <is>
          <t>TCREA-U</t>
        </is>
      </c>
      <c r="F42" s="5" t="n">
        <v>123440</v>
      </c>
      <c r="G42" s="5" t="n">
        <v>76640</v>
      </c>
      <c r="H42" s="5" t="n">
        <v>92360</v>
      </c>
      <c r="I42" s="5" t="n">
        <v>431900</v>
      </c>
      <c r="J42" s="2" t="inlineStr">
        <is>
          <t>Bead's Need!R42</t>
        </is>
      </c>
    </row>
    <row r="43">
      <c r="A43" s="2" t="inlineStr">
        <is>
          <t>系統</t>
        </is>
      </c>
      <c r="B43" s="2" t="inlineStr">
        <is>
          <t>Bead's Need</t>
        </is>
      </c>
      <c r="C43" s="5" t="n">
        <v>43</v>
      </c>
      <c r="D43" s="2" t="inlineStr">
        <is>
          <t>tCRE-D</t>
        </is>
      </c>
      <c r="E43" s="2" t="inlineStr">
        <is>
          <t>TCRE-D</t>
        </is>
      </c>
      <c r="F43" s="5" t="n">
        <v>61720</v>
      </c>
      <c r="G43" s="5" t="n">
        <v>38320</v>
      </c>
      <c r="H43" s="5" t="n">
        <v>46180</v>
      </c>
      <c r="I43" s="5" t="n">
        <v>252530</v>
      </c>
      <c r="J43" s="2" t="inlineStr">
        <is>
          <t>Bead's Need!R43</t>
        </is>
      </c>
    </row>
    <row r="44">
      <c r="A44" s="2" t="inlineStr">
        <is>
          <t>系統</t>
        </is>
      </c>
      <c r="B44" s="2" t="inlineStr">
        <is>
          <t>Bead's Need</t>
        </is>
      </c>
      <c r="C44" s="5" t="n">
        <v>44</v>
      </c>
      <c r="D44" s="2" t="inlineStr">
        <is>
          <t>tCREA-D</t>
        </is>
      </c>
      <c r="E44" s="2" t="inlineStr">
        <is>
          <t>TCREA-D</t>
        </is>
      </c>
      <c r="F44" s="5" t="n">
        <v>61720</v>
      </c>
      <c r="G44" s="5" t="n">
        <v>38320</v>
      </c>
      <c r="H44" s="5" t="n">
        <v>46180</v>
      </c>
      <c r="I44" s="5" t="n">
        <v>252920</v>
      </c>
      <c r="J44" s="2" t="inlineStr">
        <is>
          <t>Bead's Need!R44</t>
        </is>
      </c>
    </row>
    <row r="45">
      <c r="A45" s="2" t="inlineStr">
        <is>
          <t>系統</t>
        </is>
      </c>
      <c r="B45" s="2" t="inlineStr">
        <is>
          <t>Bead's Need</t>
        </is>
      </c>
      <c r="C45" s="5" t="n">
        <v>45</v>
      </c>
      <c r="D45" s="2" t="inlineStr">
        <is>
          <t>QFRU-AU</t>
        </is>
      </c>
      <c r="E45" s="2" t="inlineStr">
        <is>
          <t>QFRU-AU</t>
        </is>
      </c>
      <c r="F45" s="5" t="n">
        <v>1000</v>
      </c>
      <c r="G45" s="5" t="n">
        <v>0</v>
      </c>
      <c r="H45" s="5" t="n">
        <v>0</v>
      </c>
      <c r="I45" s="5" t="n">
        <v>6000</v>
      </c>
      <c r="J45" s="2" t="inlineStr">
        <is>
          <t>Bead's Need!R45</t>
        </is>
      </c>
    </row>
    <row r="46">
      <c r="A46" s="2" t="inlineStr">
        <is>
          <t>系統</t>
        </is>
      </c>
      <c r="B46" s="2" t="inlineStr">
        <is>
          <t>Bead's Need</t>
        </is>
      </c>
      <c r="C46" s="5" t="n">
        <v>46</v>
      </c>
      <c r="D46" s="2" t="inlineStr">
        <is>
          <t>QFRU-D</t>
        </is>
      </c>
      <c r="E46" s="2" t="inlineStr">
        <is>
          <t>QFRU-D</t>
        </is>
      </c>
      <c r="F46" s="5" t="n">
        <v>1000</v>
      </c>
      <c r="G46" s="5" t="n">
        <v>0</v>
      </c>
      <c r="H46" s="5" t="n">
        <v>0</v>
      </c>
      <c r="I46" s="5" t="n">
        <v>5000</v>
      </c>
      <c r="J46" s="2" t="inlineStr">
        <is>
          <t>Bead's Need!R46</t>
        </is>
      </c>
    </row>
    <row r="47">
      <c r="A47" s="2" t="inlineStr">
        <is>
          <t>系統</t>
        </is>
      </c>
      <c r="B47" s="2" t="inlineStr">
        <is>
          <t>Bead's Need</t>
        </is>
      </c>
      <c r="C47" s="5" t="n">
        <v>47</v>
      </c>
      <c r="D47" s="2" t="inlineStr">
        <is>
          <t>TBIL-D</t>
        </is>
      </c>
      <c r="E47" s="2" t="inlineStr">
        <is>
          <t>TBIL-D</t>
        </is>
      </c>
      <c r="F47" s="5" t="n">
        <v>32500</v>
      </c>
      <c r="G47" s="5" t="n">
        <v>39500</v>
      </c>
      <c r="H47" s="5" t="n">
        <v>31840</v>
      </c>
      <c r="I47" s="5" t="n">
        <v>145970</v>
      </c>
      <c r="J47" s="2" t="inlineStr">
        <is>
          <t>Bead's Need!R47</t>
        </is>
      </c>
    </row>
    <row r="48">
      <c r="A48" s="2" t="inlineStr">
        <is>
          <t>系統</t>
        </is>
      </c>
      <c r="B48" s="2" t="inlineStr">
        <is>
          <t>Bead's Need</t>
        </is>
      </c>
      <c r="C48" s="5" t="n">
        <v>48</v>
      </c>
      <c r="D48" s="2" t="inlineStr">
        <is>
          <t>TBIL-U</t>
        </is>
      </c>
      <c r="E48" s="2" t="inlineStr">
        <is>
          <t>TBIL</t>
        </is>
      </c>
      <c r="F48" s="5" t="n">
        <v>32500</v>
      </c>
      <c r="G48" s="5" t="n">
        <v>39500</v>
      </c>
      <c r="H48" s="5" t="n">
        <v>31840</v>
      </c>
      <c r="I48" s="5" t="n">
        <v>146960</v>
      </c>
      <c r="J48" s="2" t="inlineStr">
        <is>
          <t>Bead's Need!R48</t>
        </is>
      </c>
    </row>
    <row r="49">
      <c r="A49" s="2" t="inlineStr">
        <is>
          <t>系統</t>
        </is>
      </c>
      <c r="B49" s="2" t="inlineStr">
        <is>
          <t>Bead's Need</t>
        </is>
      </c>
      <c r="C49" s="5" t="n">
        <v>49</v>
      </c>
      <c r="D49" s="2" t="inlineStr">
        <is>
          <t>TG-U</t>
        </is>
      </c>
      <c r="E49" s="2" t="inlineStr">
        <is>
          <t>TG-U</t>
        </is>
      </c>
      <c r="F49" s="5" t="n">
        <v>500</v>
      </c>
      <c r="G49" s="5" t="n">
        <v>0</v>
      </c>
      <c r="H49" s="5" t="n">
        <v>420</v>
      </c>
      <c r="I49" s="5" t="n">
        <v>24340</v>
      </c>
      <c r="J49" s="2" t="inlineStr">
        <is>
          <t>Bead's Need!R49</t>
        </is>
      </c>
    </row>
    <row r="50">
      <c r="A50" s="2" t="inlineStr">
        <is>
          <t>系統</t>
        </is>
      </c>
      <c r="B50" s="2" t="inlineStr">
        <is>
          <t>Bead's Need</t>
        </is>
      </c>
      <c r="C50" s="5" t="n">
        <v>50</v>
      </c>
      <c r="D50" s="2" t="inlineStr">
        <is>
          <t>TG-D</t>
        </is>
      </c>
      <c r="E50" s="2" t="inlineStr">
        <is>
          <t>TG-D</t>
        </is>
      </c>
      <c r="F50" s="5" t="n">
        <v>500</v>
      </c>
      <c r="G50" s="5" t="n">
        <v>0</v>
      </c>
      <c r="H50" s="5" t="n">
        <v>420</v>
      </c>
      <c r="I50" s="5" t="n">
        <v>23710</v>
      </c>
      <c r="J50" s="2" t="inlineStr">
        <is>
          <t>Bead's Need!R50</t>
        </is>
      </c>
    </row>
    <row r="51">
      <c r="A51" s="2" t="inlineStr">
        <is>
          <t>系統</t>
        </is>
      </c>
      <c r="B51" s="2" t="inlineStr">
        <is>
          <t>Bead's Need</t>
        </is>
      </c>
      <c r="C51" s="5" t="n">
        <v>51</v>
      </c>
      <c r="D51" s="2" t="inlineStr">
        <is>
          <t>QGGT-AU</t>
        </is>
      </c>
      <c r="E51" s="2" t="inlineStr">
        <is>
          <t>QGGT-AU</t>
        </is>
      </c>
      <c r="F51" s="5" t="n">
        <v>2850</v>
      </c>
      <c r="G51" s="5" t="n">
        <v>710</v>
      </c>
      <c r="H51" s="5" t="n">
        <v>2800</v>
      </c>
      <c r="I51" s="5" t="n">
        <v>26020</v>
      </c>
      <c r="J51" s="2" t="inlineStr">
        <is>
          <t>Bead's Need!R51</t>
        </is>
      </c>
    </row>
    <row r="52">
      <c r="A52" s="2" t="inlineStr">
        <is>
          <t>系統</t>
        </is>
      </c>
      <c r="B52" s="2" t="inlineStr">
        <is>
          <t>Bead's Need</t>
        </is>
      </c>
      <c r="C52" s="5" t="n">
        <v>52</v>
      </c>
      <c r="D52" s="2" t="inlineStr">
        <is>
          <t>QGGT-AD</t>
        </is>
      </c>
      <c r="E52" s="2" t="inlineStr">
        <is>
          <t>QGGT-AD</t>
        </is>
      </c>
      <c r="F52" s="5" t="n">
        <v>2850</v>
      </c>
      <c r="G52" s="5" t="n">
        <v>710</v>
      </c>
      <c r="H52" s="5" t="n">
        <v>2800</v>
      </c>
      <c r="I52" s="5" t="n">
        <v>21230</v>
      </c>
      <c r="J52" s="2" t="inlineStr">
        <is>
          <t>Bead's Need!R52</t>
        </is>
      </c>
    </row>
    <row r="53">
      <c r="A53" s="2" t="inlineStr">
        <is>
          <t>系統</t>
        </is>
      </c>
      <c r="B53" s="2" t="inlineStr">
        <is>
          <t>Bead's Need</t>
        </is>
      </c>
      <c r="C53" s="5" t="n">
        <v>53</v>
      </c>
      <c r="D53" s="2" t="inlineStr">
        <is>
          <t>TBA-D</t>
        </is>
      </c>
      <c r="E53" s="2" t="inlineStr">
        <is>
          <t>TBA-D</t>
        </is>
      </c>
      <c r="F53" s="5" t="n">
        <v>630</v>
      </c>
      <c r="G53" s="5" t="n">
        <v>2500</v>
      </c>
      <c r="H53" s="5" t="n">
        <v>0</v>
      </c>
      <c r="I53" s="5" t="n">
        <v>5140</v>
      </c>
      <c r="J53" s="2" t="inlineStr">
        <is>
          <t>Bead's Need!R53</t>
        </is>
      </c>
    </row>
    <row r="54">
      <c r="A54" s="2" t="inlineStr">
        <is>
          <t>系統</t>
        </is>
      </c>
      <c r="B54" s="2" t="inlineStr">
        <is>
          <t>Bead's Need</t>
        </is>
      </c>
      <c r="C54" s="5" t="n">
        <v>54</v>
      </c>
      <c r="D54" s="2" t="inlineStr">
        <is>
          <t>TBA-U</t>
        </is>
      </c>
      <c r="E54" s="2" t="inlineStr">
        <is>
          <t>TBA-U</t>
        </is>
      </c>
      <c r="F54" s="5" t="n">
        <v>630</v>
      </c>
      <c r="G54" s="5" t="n">
        <v>2500</v>
      </c>
      <c r="H54" s="5" t="n">
        <v>0</v>
      </c>
      <c r="I54" s="5" t="n">
        <v>5180</v>
      </c>
      <c r="J54" s="2" t="inlineStr">
        <is>
          <t>Bead's Need!R54</t>
        </is>
      </c>
    </row>
    <row r="55">
      <c r="A55" s="2" t="inlineStr">
        <is>
          <t>系統</t>
        </is>
      </c>
      <c r="B55" s="2" t="inlineStr">
        <is>
          <t>Bead's Need</t>
        </is>
      </c>
      <c r="C55" s="5" t="n">
        <v>55</v>
      </c>
      <c r="D55" s="2" t="inlineStr">
        <is>
          <t>QNA-BD</t>
        </is>
      </c>
      <c r="E55" s="2" t="inlineStr">
        <is>
          <t>QNA-BD</t>
        </is>
      </c>
      <c r="F55" s="5" t="n">
        <v>5340</v>
      </c>
      <c r="G55" s="5" t="n">
        <v>0</v>
      </c>
      <c r="H55" s="5" t="n">
        <v>1400</v>
      </c>
      <c r="I55" s="5" t="n">
        <v>20330</v>
      </c>
      <c r="J55" s="2" t="inlineStr">
        <is>
          <t>Bead's Need!R55</t>
        </is>
      </c>
    </row>
    <row r="56">
      <c r="A56" s="2" t="inlineStr">
        <is>
          <t>系統</t>
        </is>
      </c>
      <c r="B56" s="2" t="inlineStr">
        <is>
          <t>Bead's Need</t>
        </is>
      </c>
      <c r="C56" s="5" t="n">
        <v>56</v>
      </c>
      <c r="D56" s="2" t="inlineStr">
        <is>
          <t>QNA-BU</t>
        </is>
      </c>
      <c r="E56" s="2" t="inlineStr">
        <is>
          <t>QNA-BU</t>
        </is>
      </c>
      <c r="F56" s="5" t="n">
        <v>5340</v>
      </c>
      <c r="G56" s="5" t="n">
        <v>0</v>
      </c>
      <c r="H56" s="5" t="n">
        <v>1400</v>
      </c>
      <c r="I56" s="5" t="n">
        <v>24980</v>
      </c>
      <c r="J56" s="2" t="inlineStr">
        <is>
          <t>Bead's Need!R56</t>
        </is>
      </c>
    </row>
    <row r="57">
      <c r="A57" s="2" t="inlineStr">
        <is>
          <t>系統</t>
        </is>
      </c>
      <c r="B57" s="2" t="inlineStr">
        <is>
          <t>Bead's Need</t>
        </is>
      </c>
      <c r="C57" s="5" t="n">
        <v>57</v>
      </c>
      <c r="D57" s="2" t="inlineStr">
        <is>
          <t>Mg-AD</t>
        </is>
      </c>
      <c r="E57" s="2" t="inlineStr">
        <is>
          <t>MG-AD</t>
        </is>
      </c>
      <c r="F57" s="5" t="n">
        <v>1000</v>
      </c>
      <c r="G57" s="5" t="n">
        <v>110</v>
      </c>
      <c r="H57" s="5" t="n">
        <v>600</v>
      </c>
      <c r="I57" s="5" t="n">
        <v>10060</v>
      </c>
      <c r="J57" s="2" t="inlineStr">
        <is>
          <t>Bead's Need!R57</t>
        </is>
      </c>
    </row>
    <row r="58">
      <c r="A58" s="2" t="inlineStr">
        <is>
          <t>系統</t>
        </is>
      </c>
      <c r="B58" s="2" t="inlineStr">
        <is>
          <t>Bead's Need</t>
        </is>
      </c>
      <c r="C58" s="5" t="n">
        <v>58</v>
      </c>
      <c r="D58" s="2" t="inlineStr">
        <is>
          <t>MG-U</t>
        </is>
      </c>
      <c r="E58" s="2" t="inlineStr">
        <is>
          <t>MG-U</t>
        </is>
      </c>
      <c r="F58" s="5" t="n">
        <v>1000</v>
      </c>
      <c r="G58" s="5" t="n">
        <v>110</v>
      </c>
      <c r="H58" s="5" t="n">
        <v>600</v>
      </c>
      <c r="I58" s="5" t="n">
        <v>10000</v>
      </c>
      <c r="J58" s="2" t="inlineStr">
        <is>
          <t>Bead's Need!R58</t>
        </is>
      </c>
    </row>
    <row r="59">
      <c r="A59" s="2" t="inlineStr">
        <is>
          <t>系統</t>
        </is>
      </c>
      <c r="B59" s="2" t="inlineStr">
        <is>
          <t>Bead's Need</t>
        </is>
      </c>
      <c r="C59" s="5" t="n">
        <v>59</v>
      </c>
      <c r="D59" s="2" t="inlineStr">
        <is>
          <t>QLAC-D</t>
        </is>
      </c>
      <c r="E59" s="2" t="inlineStr">
        <is>
          <t>QLAC-D</t>
        </is>
      </c>
      <c r="F59" s="5" t="n">
        <v>1000</v>
      </c>
      <c r="G59" s="5" t="n">
        <v>710</v>
      </c>
      <c r="H59" s="5" t="n">
        <v>0</v>
      </c>
      <c r="I59" s="5" t="n">
        <v>3000</v>
      </c>
      <c r="J59" s="2" t="inlineStr">
        <is>
          <t>Bead's Need!R59</t>
        </is>
      </c>
    </row>
    <row r="60">
      <c r="A60" s="2" t="inlineStr">
        <is>
          <t>系統</t>
        </is>
      </c>
      <c r="B60" s="2" t="inlineStr">
        <is>
          <t>Bead's Need</t>
        </is>
      </c>
      <c r="C60" s="5" t="n">
        <v>60</v>
      </c>
      <c r="D60" s="2" t="inlineStr">
        <is>
          <t>QLAC-U</t>
        </is>
      </c>
      <c r="E60" s="2" t="inlineStr">
        <is>
          <t>QLAC-U</t>
        </is>
      </c>
      <c r="F60" s="5" t="n">
        <v>1000</v>
      </c>
      <c r="G60" s="5" t="n">
        <v>710</v>
      </c>
      <c r="H60" s="5" t="n">
        <v>0</v>
      </c>
      <c r="I60" s="5" t="n">
        <v>3000</v>
      </c>
      <c r="J60" s="2" t="inlineStr">
        <is>
          <t>Bead's Need!R60</t>
        </is>
      </c>
    </row>
    <row r="61">
      <c r="A61" s="2" t="inlineStr">
        <is>
          <t>系統</t>
        </is>
      </c>
      <c r="B61" s="2" t="inlineStr">
        <is>
          <t>Bead's Need</t>
        </is>
      </c>
      <c r="C61" s="5" t="n">
        <v>61</v>
      </c>
      <c r="D61" s="2" t="inlineStr">
        <is>
          <t>CLH-D</t>
        </is>
      </c>
      <c r="E61" s="2" t="inlineStr">
        <is>
          <t>CLH-D</t>
        </is>
      </c>
      <c r="F61" s="5" t="n">
        <v>0</v>
      </c>
      <c r="G61" s="5" t="n">
        <v>0</v>
      </c>
      <c r="H61" s="5" t="n">
        <v>7500</v>
      </c>
      <c r="I61" s="5" t="n">
        <v>12400</v>
      </c>
      <c r="J61" s="2" t="inlineStr">
        <is>
          <t>Bead's Need!R61</t>
        </is>
      </c>
    </row>
    <row r="62">
      <c r="A62" s="2" t="inlineStr">
        <is>
          <t>系統</t>
        </is>
      </c>
      <c r="B62" s="2" t="inlineStr">
        <is>
          <t>Bead's Need</t>
        </is>
      </c>
      <c r="C62" s="5" t="n">
        <v>62</v>
      </c>
      <c r="D62" s="2" t="inlineStr">
        <is>
          <t>CLH-U</t>
        </is>
      </c>
      <c r="E62" s="2" t="inlineStr">
        <is>
          <t>CLH-U</t>
        </is>
      </c>
      <c r="F62" s="5" t="n">
        <v>0</v>
      </c>
      <c r="G62" s="5" t="n">
        <v>0</v>
      </c>
      <c r="H62" s="5" t="n">
        <v>7500</v>
      </c>
      <c r="I62" s="5" t="n">
        <v>11850</v>
      </c>
      <c r="J62" s="2" t="inlineStr">
        <is>
          <t>Bead's Need!R62</t>
        </is>
      </c>
    </row>
    <row r="63">
      <c r="A63" s="2" t="inlineStr">
        <is>
          <t>系統</t>
        </is>
      </c>
      <c r="B63" s="2" t="inlineStr">
        <is>
          <t>Bead's Need</t>
        </is>
      </c>
      <c r="C63" s="5" t="n">
        <v>63</v>
      </c>
      <c r="D63" s="2" t="inlineStr">
        <is>
          <t>QTC-D</t>
        </is>
      </c>
      <c r="E63" s="2" t="inlineStr">
        <is>
          <t>QTC-D</t>
        </is>
      </c>
      <c r="F63" s="5" t="n">
        <v>3850</v>
      </c>
      <c r="G63" s="5" t="n">
        <v>0</v>
      </c>
      <c r="H63" s="5" t="n">
        <v>2800</v>
      </c>
      <c r="I63" s="5" t="n">
        <v>16440</v>
      </c>
      <c r="J63" s="2" t="inlineStr">
        <is>
          <t>Bead's Need!R63</t>
        </is>
      </c>
    </row>
    <row r="64">
      <c r="A64" s="2" t="inlineStr">
        <is>
          <t>系統</t>
        </is>
      </c>
      <c r="B64" s="2" t="inlineStr">
        <is>
          <t>Bead's Need</t>
        </is>
      </c>
      <c r="C64" s="5" t="n">
        <v>64</v>
      </c>
      <c r="D64" s="2" t="inlineStr">
        <is>
          <t>QTC-U</t>
        </is>
      </c>
      <c r="E64" s="2" t="inlineStr">
        <is>
          <t>QTC-U</t>
        </is>
      </c>
      <c r="F64" s="5" t="n">
        <v>3850</v>
      </c>
      <c r="G64" s="5" t="n">
        <v>0</v>
      </c>
      <c r="H64" s="5" t="n">
        <v>2800</v>
      </c>
      <c r="I64" s="5" t="n">
        <v>16690</v>
      </c>
      <c r="J64" s="2" t="inlineStr">
        <is>
          <t>Bead's Need!R64</t>
        </is>
      </c>
    </row>
    <row r="65">
      <c r="A65" s="2" t="inlineStr">
        <is>
          <t>系統</t>
        </is>
      </c>
      <c r="B65" s="2" t="inlineStr">
        <is>
          <t>Bead's Need</t>
        </is>
      </c>
      <c r="C65" s="5" t="n">
        <v>65</v>
      </c>
      <c r="D65" s="2" t="inlineStr">
        <is>
          <t>QtCO2-D</t>
        </is>
      </c>
      <c r="E65" s="2" t="inlineStr">
        <is>
          <t>QTCO-2-D</t>
        </is>
      </c>
      <c r="F65" s="5" t="n">
        <v>2600</v>
      </c>
      <c r="G65" s="5" t="n">
        <v>0</v>
      </c>
      <c r="H65" s="5" t="n">
        <v>0</v>
      </c>
      <c r="I65" s="5" t="n">
        <v>10200</v>
      </c>
      <c r="J65" s="2" t="inlineStr">
        <is>
          <t>Bead's Need!R65</t>
        </is>
      </c>
    </row>
    <row r="66">
      <c r="A66" s="2" t="inlineStr">
        <is>
          <t>系統</t>
        </is>
      </c>
      <c r="B66" s="2" t="inlineStr">
        <is>
          <t>Bead's Need</t>
        </is>
      </c>
      <c r="C66" s="5" t="n">
        <v>66</v>
      </c>
      <c r="D66" s="2" t="inlineStr">
        <is>
          <t>QtCO2-U</t>
        </is>
      </c>
      <c r="E66" s="2" t="inlineStr">
        <is>
          <t>QTCO-2-U</t>
        </is>
      </c>
      <c r="F66" s="5" t="n">
        <v>2600</v>
      </c>
      <c r="G66" s="5" t="n">
        <v>0</v>
      </c>
      <c r="H66" s="5" t="n">
        <v>0</v>
      </c>
      <c r="I66" s="5" t="n">
        <v>9960</v>
      </c>
      <c r="J66" s="2" t="inlineStr">
        <is>
          <t>Bead's Need!R66</t>
        </is>
      </c>
    </row>
    <row r="67">
      <c r="A67" s="2" t="inlineStr">
        <is>
          <t>系統</t>
        </is>
      </c>
      <c r="B67" s="2" t="inlineStr">
        <is>
          <t>Bead's Need</t>
        </is>
      </c>
      <c r="C67" s="5" t="n">
        <v>67</v>
      </c>
      <c r="D67" s="2" t="inlineStr">
        <is>
          <t>ALP-D</t>
        </is>
      </c>
      <c r="E67" s="2" t="inlineStr">
        <is>
          <t>ALP-D</t>
        </is>
      </c>
      <c r="F67" s="5" t="n">
        <v>60950</v>
      </c>
      <c r="G67" s="5" t="n">
        <v>39220</v>
      </c>
      <c r="H67" s="5" t="n">
        <v>39800</v>
      </c>
      <c r="I67" s="5" t="n">
        <v>225890</v>
      </c>
      <c r="J67" s="2" t="inlineStr">
        <is>
          <t>Bead's Need!R67</t>
        </is>
      </c>
    </row>
    <row r="68">
      <c r="A68" s="2" t="inlineStr">
        <is>
          <t>系統</t>
        </is>
      </c>
      <c r="B68" s="2" t="inlineStr">
        <is>
          <t>Bead's Need</t>
        </is>
      </c>
      <c r="C68" s="5" t="n">
        <v>68</v>
      </c>
      <c r="D68" s="2" t="inlineStr">
        <is>
          <t>ALP-U</t>
        </is>
      </c>
      <c r="E68" s="2" t="inlineStr">
        <is>
          <t>ALP-U</t>
        </is>
      </c>
      <c r="F68" s="5" t="n">
        <v>60950</v>
      </c>
      <c r="G68" s="5" t="n">
        <v>39220</v>
      </c>
      <c r="H68" s="5" t="n">
        <v>39800</v>
      </c>
      <c r="I68" s="5" t="n">
        <v>212140</v>
      </c>
      <c r="J68" s="2" t="inlineStr">
        <is>
          <t>Bead's Need!R68</t>
        </is>
      </c>
    </row>
    <row r="69">
      <c r="A69" s="2" t="inlineStr">
        <is>
          <t>系統</t>
        </is>
      </c>
      <c r="B69" s="2" t="inlineStr">
        <is>
          <t>Bead's Need</t>
        </is>
      </c>
      <c r="C69" s="5" t="n">
        <v>69</v>
      </c>
      <c r="D69" s="2" t="inlineStr">
        <is>
          <t>QLDH-D</t>
        </is>
      </c>
      <c r="E69" s="2" t="inlineStr">
        <is>
          <t>QLDH-D</t>
        </is>
      </c>
      <c r="F69" s="5" t="n">
        <v>630</v>
      </c>
      <c r="G69" s="5" t="n">
        <v>710</v>
      </c>
      <c r="H69" s="5" t="n">
        <v>0</v>
      </c>
      <c r="I69" s="5" t="n">
        <v>14170</v>
      </c>
      <c r="J69" s="2" t="inlineStr">
        <is>
          <t>Bead's Need!R69</t>
        </is>
      </c>
    </row>
    <row r="70">
      <c r="A70" s="2" t="inlineStr">
        <is>
          <t>系統</t>
        </is>
      </c>
      <c r="B70" s="2" t="inlineStr">
        <is>
          <t>Bead's Need</t>
        </is>
      </c>
      <c r="C70" s="5" t="n">
        <v>70</v>
      </c>
      <c r="D70" s="2" t="inlineStr">
        <is>
          <t>QLDH-U</t>
        </is>
      </c>
      <c r="E70" s="2" t="inlineStr">
        <is>
          <t>QLDH-U</t>
        </is>
      </c>
      <c r="F70" s="5" t="n">
        <v>630</v>
      </c>
      <c r="G70" s="5" t="n">
        <v>710</v>
      </c>
      <c r="H70" s="5" t="n">
        <v>0</v>
      </c>
      <c r="I70" s="5" t="n">
        <v>13440</v>
      </c>
      <c r="J70" s="2" t="inlineStr">
        <is>
          <t>Bead's Need!R70</t>
        </is>
      </c>
    </row>
    <row r="71">
      <c r="A71" s="2" t="inlineStr">
        <is>
          <t>系統</t>
        </is>
      </c>
      <c r="B71" s="2" t="inlineStr">
        <is>
          <t>Bead's Need</t>
        </is>
      </c>
      <c r="C71" s="5" t="n">
        <v>71</v>
      </c>
      <c r="D71" s="2" t="inlineStr">
        <is>
          <t>QK-AU</t>
        </is>
      </c>
      <c r="E71" s="2" t="inlineStr">
        <is>
          <t>QK-AU</t>
        </is>
      </c>
      <c r="F71" s="5" t="n">
        <v>5340</v>
      </c>
      <c r="G71" s="5" t="n">
        <v>0</v>
      </c>
      <c r="H71" s="5" t="n">
        <v>1400</v>
      </c>
      <c r="I71" s="5" t="n">
        <v>19480</v>
      </c>
      <c r="J71" s="2" t="inlineStr">
        <is>
          <t>Bead's Need!R71</t>
        </is>
      </c>
    </row>
    <row r="72">
      <c r="A72" s="2" t="inlineStr">
        <is>
          <t>系統</t>
        </is>
      </c>
      <c r="B72" s="2" t="inlineStr">
        <is>
          <t>Bead's Need</t>
        </is>
      </c>
      <c r="C72" s="5" t="n">
        <v>72</v>
      </c>
      <c r="D72" s="2" t="inlineStr">
        <is>
          <t>QK-AD</t>
        </is>
      </c>
      <c r="E72" s="2" t="inlineStr">
        <is>
          <t>QK-AD</t>
        </is>
      </c>
      <c r="F72" s="5" t="n">
        <v>5340</v>
      </c>
      <c r="G72" s="5" t="n">
        <v>0</v>
      </c>
      <c r="H72" s="5" t="n">
        <v>1400</v>
      </c>
      <c r="I72" s="5" t="n">
        <v>20840</v>
      </c>
      <c r="J72" s="2" t="inlineStr">
        <is>
          <t>Bead's Need!R72</t>
        </is>
      </c>
    </row>
    <row r="73">
      <c r="A73" s="2" t="inlineStr">
        <is>
          <t>系統</t>
        </is>
      </c>
      <c r="B73" s="2" t="inlineStr">
        <is>
          <t>Bead's Need</t>
        </is>
      </c>
      <c r="C73" s="5" t="n">
        <v>73</v>
      </c>
      <c r="D73" s="2" t="inlineStr">
        <is>
          <t>RGT-D</t>
        </is>
      </c>
      <c r="E73" s="2" t="inlineStr">
        <is>
          <t>GGT-D</t>
        </is>
      </c>
      <c r="F73" s="5" t="n">
        <v>11500</v>
      </c>
      <c r="G73" s="5" t="n">
        <v>12500</v>
      </c>
      <c r="H73" s="5" t="n">
        <v>11640</v>
      </c>
      <c r="I73" s="5" t="n">
        <v>59020</v>
      </c>
      <c r="J73" s="2" t="inlineStr">
        <is>
          <t>Bead's Need!R73</t>
        </is>
      </c>
    </row>
    <row r="74">
      <c r="A74" s="2" t="inlineStr">
        <is>
          <t>系統</t>
        </is>
      </c>
      <c r="B74" s="2" t="inlineStr">
        <is>
          <t>Bead's Need</t>
        </is>
      </c>
      <c r="C74" s="5" t="n">
        <v>74</v>
      </c>
      <c r="D74" s="2" t="inlineStr">
        <is>
          <t>GGT-U</t>
        </is>
      </c>
      <c r="E74" s="2" t="inlineStr">
        <is>
          <t>GGT-U</t>
        </is>
      </c>
      <c r="F74" s="5" t="n">
        <v>11500</v>
      </c>
      <c r="G74" s="5" t="n">
        <v>12500</v>
      </c>
      <c r="H74" s="5" t="n">
        <v>11640</v>
      </c>
      <c r="I74" s="5" t="n">
        <v>48200</v>
      </c>
      <c r="J74" s="2" t="inlineStr">
        <is>
          <t>Bead's Need!R74</t>
        </is>
      </c>
    </row>
    <row r="75">
      <c r="A75" s="2" t="inlineStr">
        <is>
          <t>系統</t>
        </is>
      </c>
      <c r="B75" s="2" t="inlineStr">
        <is>
          <t>Bead's Need</t>
        </is>
      </c>
      <c r="C75" s="5" t="n">
        <v>75</v>
      </c>
      <c r="D75" s="2" t="inlineStr">
        <is>
          <t>QTG-U</t>
        </is>
      </c>
      <c r="E75" s="2" t="inlineStr">
        <is>
          <t>QTG-U</t>
        </is>
      </c>
      <c r="F75" s="5" t="n">
        <v>1000</v>
      </c>
      <c r="G75" s="5" t="n">
        <v>0</v>
      </c>
      <c r="H75" s="5" t="n">
        <v>0</v>
      </c>
      <c r="I75" s="5" t="n">
        <v>8240</v>
      </c>
      <c r="J75" s="2" t="inlineStr">
        <is>
          <t>Bead's Need!R75</t>
        </is>
      </c>
    </row>
    <row r="76">
      <c r="A76" s="2" t="inlineStr">
        <is>
          <t>系統</t>
        </is>
      </c>
      <c r="B76" s="2" t="inlineStr">
        <is>
          <t>Bead's Need</t>
        </is>
      </c>
      <c r="C76" s="5" t="n">
        <v>76</v>
      </c>
      <c r="D76" s="2" t="inlineStr">
        <is>
          <t>QTG-D</t>
        </is>
      </c>
      <c r="E76" s="2" t="inlineStr">
        <is>
          <t>QTG-D</t>
        </is>
      </c>
      <c r="F76" s="5" t="n">
        <v>1000</v>
      </c>
      <c r="G76" s="5" t="n">
        <v>0</v>
      </c>
      <c r="H76" s="5" t="n">
        <v>0</v>
      </c>
      <c r="I76" s="5" t="n">
        <v>8150</v>
      </c>
      <c r="J76" s="2" t="inlineStr">
        <is>
          <t>Bead's Need!R76</t>
        </is>
      </c>
    </row>
    <row r="77">
      <c r="A77" s="2" t="inlineStr">
        <is>
          <t>系統</t>
        </is>
      </c>
      <c r="B77" s="2" t="inlineStr">
        <is>
          <t>Bead's Need</t>
        </is>
      </c>
      <c r="C77" s="5" t="n">
        <v>77</v>
      </c>
      <c r="D77" s="2" t="inlineStr">
        <is>
          <t>HDL-D</t>
        </is>
      </c>
      <c r="E77" s="2" t="inlineStr">
        <is>
          <t>HDL-D</t>
        </is>
      </c>
      <c r="F77" s="5" t="n">
        <v>0</v>
      </c>
      <c r="G77" s="5" t="n">
        <v>0</v>
      </c>
      <c r="H77" s="5" t="n">
        <v>420</v>
      </c>
      <c r="I77" s="5" t="n">
        <v>22570</v>
      </c>
      <c r="J77" s="2" t="inlineStr">
        <is>
          <t>Bead's Need!R77</t>
        </is>
      </c>
    </row>
    <row r="78">
      <c r="A78" s="2" t="inlineStr">
        <is>
          <t>系統</t>
        </is>
      </c>
      <c r="B78" s="2" t="inlineStr">
        <is>
          <t>Bead's Need</t>
        </is>
      </c>
      <c r="C78" s="5" t="n">
        <v>78</v>
      </c>
      <c r="D78" s="2" t="inlineStr">
        <is>
          <t>HDL-U</t>
        </is>
      </c>
      <c r="E78" s="2" t="inlineStr">
        <is>
          <t>HDL-U</t>
        </is>
      </c>
      <c r="F78" s="5" t="n">
        <v>0</v>
      </c>
      <c r="G78" s="5" t="n">
        <v>0</v>
      </c>
      <c r="H78" s="5" t="n">
        <v>420</v>
      </c>
      <c r="I78" s="5" t="n">
        <v>22000</v>
      </c>
      <c r="J78" s="2" t="inlineStr">
        <is>
          <t>Bead's Need!R78</t>
        </is>
      </c>
    </row>
    <row r="79">
      <c r="A79" s="2" t="inlineStr">
        <is>
          <t>系統</t>
        </is>
      </c>
      <c r="B79" s="2" t="inlineStr">
        <is>
          <t>Bead's Need</t>
        </is>
      </c>
      <c r="C79" s="5" t="n">
        <v>79</v>
      </c>
      <c r="D79" s="2" t="inlineStr">
        <is>
          <t>QTBIL-U</t>
        </is>
      </c>
      <c r="E79" s="2" t="inlineStr">
        <is>
          <t>QTBIL-U</t>
        </is>
      </c>
      <c r="F79" s="5" t="n">
        <v>2220</v>
      </c>
      <c r="G79" s="5" t="n">
        <v>710</v>
      </c>
      <c r="H79" s="5" t="n">
        <v>2800</v>
      </c>
      <c r="I79" s="5" t="n">
        <v>19620</v>
      </c>
      <c r="J79" s="2" t="inlineStr">
        <is>
          <t>Bead's Need!R79</t>
        </is>
      </c>
    </row>
    <row r="80">
      <c r="A80" s="2" t="inlineStr">
        <is>
          <t>系統</t>
        </is>
      </c>
      <c r="B80" s="2" t="inlineStr">
        <is>
          <t>Bead's Need</t>
        </is>
      </c>
      <c r="C80" s="5" t="n">
        <v>80</v>
      </c>
      <c r="D80" s="2" t="inlineStr">
        <is>
          <t>QTBIL-D</t>
        </is>
      </c>
      <c r="E80" s="2" t="inlineStr">
        <is>
          <t>QTBIL-D</t>
        </is>
      </c>
      <c r="F80" s="5" t="n">
        <v>2220</v>
      </c>
      <c r="G80" s="5" t="n">
        <v>710</v>
      </c>
      <c r="H80" s="5" t="n">
        <v>2800</v>
      </c>
      <c r="I80" s="5" t="n">
        <v>20650</v>
      </c>
      <c r="J80" s="2" t="inlineStr">
        <is>
          <t>Bead's Need!R80</t>
        </is>
      </c>
    </row>
    <row r="81">
      <c r="A81" s="2" t="inlineStr">
        <is>
          <t>系統</t>
        </is>
      </c>
      <c r="B81" s="2" t="inlineStr">
        <is>
          <t>Bead's Need</t>
        </is>
      </c>
      <c r="C81" s="5" t="n">
        <v>81</v>
      </c>
      <c r="D81" s="2" t="inlineStr">
        <is>
          <t>TC-D</t>
        </is>
      </c>
      <c r="E81" s="2" t="inlineStr">
        <is>
          <t>TC-D</t>
        </is>
      </c>
      <c r="F81" s="5" t="n">
        <v>21500</v>
      </c>
      <c r="G81" s="5" t="n">
        <v>2000</v>
      </c>
      <c r="H81" s="5" t="n">
        <v>10420</v>
      </c>
      <c r="I81" s="5" t="n">
        <v>64240</v>
      </c>
      <c r="J81" s="2" t="inlineStr">
        <is>
          <t>Bead's Need!R81</t>
        </is>
      </c>
    </row>
    <row r="82">
      <c r="A82" s="2" t="inlineStr">
        <is>
          <t>系統</t>
        </is>
      </c>
      <c r="B82" s="2" t="inlineStr">
        <is>
          <t>Bead's Need</t>
        </is>
      </c>
      <c r="C82" s="5" t="n">
        <v>82</v>
      </c>
      <c r="D82" s="2" t="inlineStr">
        <is>
          <t>TC-U</t>
        </is>
      </c>
      <c r="E82" s="2" t="inlineStr">
        <is>
          <t>TC-U</t>
        </is>
      </c>
      <c r="F82" s="5" t="n">
        <v>21500</v>
      </c>
      <c r="G82" s="5" t="n">
        <v>2000</v>
      </c>
      <c r="H82" s="5" t="n">
        <v>10420</v>
      </c>
      <c r="I82" s="5" t="n">
        <v>64140</v>
      </c>
      <c r="J82" s="2" t="inlineStr">
        <is>
          <t>Bead's Need!R82</t>
        </is>
      </c>
    </row>
    <row r="83">
      <c r="A83" s="2" t="inlineStr">
        <is>
          <t>系統</t>
        </is>
      </c>
      <c r="B83" s="2" t="inlineStr">
        <is>
          <t>Bead's Need</t>
        </is>
      </c>
      <c r="C83" s="5" t="n">
        <v>83</v>
      </c>
      <c r="D83" s="2" t="inlineStr">
        <is>
          <t>PHOS-B</t>
        </is>
      </c>
      <c r="E83" s="2" t="inlineStr">
        <is>
          <t>PHOS-B</t>
        </is>
      </c>
      <c r="F83" s="5" t="n">
        <v>27000</v>
      </c>
      <c r="G83" s="5" t="n">
        <v>37000</v>
      </c>
      <c r="H83" s="5" t="n">
        <v>30000</v>
      </c>
      <c r="I83" s="5" t="n">
        <v>62790</v>
      </c>
      <c r="J83" s="2" t="inlineStr">
        <is>
          <t>Bead's Need!R83</t>
        </is>
      </c>
    </row>
    <row r="84">
      <c r="A84" s="2" t="inlineStr">
        <is>
          <t>系統</t>
        </is>
      </c>
      <c r="B84" s="2" t="inlineStr">
        <is>
          <t>Bead's Need</t>
        </is>
      </c>
      <c r="C84" s="5" t="n">
        <v>84</v>
      </c>
      <c r="D84" s="2" t="inlineStr">
        <is>
          <t>GLU-B</t>
        </is>
      </c>
      <c r="E84" s="2" t="inlineStr">
        <is>
          <t>GLU</t>
        </is>
      </c>
      <c r="F84" s="5" t="n">
        <v>59850</v>
      </c>
      <c r="G84" s="5" t="n">
        <v>38320</v>
      </c>
      <c r="H84" s="5" t="n">
        <v>45760</v>
      </c>
      <c r="I84" s="5" t="n">
        <v>99250</v>
      </c>
      <c r="J84" s="2" t="inlineStr">
        <is>
          <t>Bead's Need!R84</t>
        </is>
      </c>
    </row>
    <row r="85">
      <c r="A85" s="2" t="inlineStr">
        <is>
          <t>系統</t>
        </is>
      </c>
      <c r="B85" s="2" t="inlineStr">
        <is>
          <t>Bead's Need</t>
        </is>
      </c>
      <c r="C85" s="5" t="n">
        <v>85</v>
      </c>
      <c r="D85" s="2" t="inlineStr">
        <is>
          <t>QBNH3</t>
        </is>
      </c>
      <c r="E85" s="2" t="inlineStr">
        <is>
          <t>QBNH3</t>
        </is>
      </c>
      <c r="F85" s="5" t="n">
        <v>0</v>
      </c>
      <c r="G85" s="5" t="n">
        <v>105</v>
      </c>
      <c r="H85" s="5" t="n">
        <v>1000</v>
      </c>
      <c r="I85" s="5" t="n">
        <v>740</v>
      </c>
      <c r="J85" s="2" t="inlineStr">
        <is>
          <t>Bead's Need!R85</t>
        </is>
      </c>
    </row>
    <row r="86">
      <c r="A86" s="2" t="inlineStr">
        <is>
          <t>系統</t>
        </is>
      </c>
      <c r="B86" s="2" t="inlineStr">
        <is>
          <t>Bead's Need</t>
        </is>
      </c>
      <c r="C86" s="5" t="n">
        <v>86</v>
      </c>
      <c r="D86" s="2" t="inlineStr">
        <is>
          <t>QNH3</t>
        </is>
      </c>
      <c r="E86" s="2" t="inlineStr">
        <is>
          <t>QNH3</t>
        </is>
      </c>
      <c r="F86" s="5" t="n">
        <v>0</v>
      </c>
      <c r="G86" s="5" t="n">
        <v>105</v>
      </c>
      <c r="H86" s="5" t="n">
        <v>1000</v>
      </c>
      <c r="I86" s="5" t="n">
        <v>740</v>
      </c>
      <c r="J86" s="2" t="inlineStr">
        <is>
          <t>Bead's Need!R86</t>
        </is>
      </c>
    </row>
    <row r="87">
      <c r="A87" s="2" t="inlineStr">
        <is>
          <t>系統</t>
        </is>
      </c>
      <c r="B87" s="2" t="inlineStr">
        <is>
          <t>Bead's Need</t>
        </is>
      </c>
      <c r="C87" s="5" t="n">
        <v>87</v>
      </c>
      <c r="D87" s="2" t="inlineStr">
        <is>
          <t>ALB</t>
        </is>
      </c>
      <c r="E87" s="2" t="inlineStr">
        <is>
          <t>ALB</t>
        </is>
      </c>
      <c r="F87" s="5" t="n">
        <v>59000</v>
      </c>
      <c r="G87" s="5" t="n">
        <v>39000</v>
      </c>
      <c r="H87" s="5" t="n">
        <v>40640</v>
      </c>
      <c r="I87" s="5" t="n">
        <v>145930</v>
      </c>
      <c r="J87" s="2" t="inlineStr">
        <is>
          <t>Bead's Need!R87</t>
        </is>
      </c>
    </row>
    <row r="88">
      <c r="A88" s="2" t="inlineStr">
        <is>
          <t>系統</t>
        </is>
      </c>
      <c r="B88" s="2" t="inlineStr">
        <is>
          <t>Bead's Need</t>
        </is>
      </c>
      <c r="C88" s="5" t="n">
        <v>88</v>
      </c>
      <c r="D88" s="2" t="inlineStr">
        <is>
          <t>BNH3</t>
        </is>
      </c>
      <c r="E88" s="2" t="inlineStr">
        <is>
          <t>BNH3</t>
        </is>
      </c>
      <c r="F88" s="5" t="n">
        <v>0</v>
      </c>
      <c r="G88" s="5" t="n">
        <v>0</v>
      </c>
      <c r="H88" s="5" t="n">
        <v>300</v>
      </c>
      <c r="I88" s="5" t="n">
        <v>1500</v>
      </c>
      <c r="J88" s="2" t="inlineStr">
        <is>
          <t>Bead's Need!R88</t>
        </is>
      </c>
    </row>
    <row r="89">
      <c r="A89" s="2" t="inlineStr">
        <is>
          <t>系統</t>
        </is>
      </c>
      <c r="B89" s="2" t="inlineStr">
        <is>
          <t>Bead's Need</t>
        </is>
      </c>
      <c r="C89" s="5" t="n">
        <v>89</v>
      </c>
      <c r="D89" s="2" t="inlineStr">
        <is>
          <t>NH3</t>
        </is>
      </c>
      <c r="E89" s="2" t="inlineStr">
        <is>
          <t>NH3</t>
        </is>
      </c>
      <c r="F89" s="5" t="n">
        <v>0</v>
      </c>
      <c r="G89" s="5" t="n">
        <v>0</v>
      </c>
      <c r="H89" s="5" t="n">
        <v>300</v>
      </c>
      <c r="I89" s="5" t="n">
        <v>1500</v>
      </c>
      <c r="J89" s="2" t="inlineStr">
        <is>
          <t>Bead's Need!R89</t>
        </is>
      </c>
    </row>
    <row r="90">
      <c r="A90" s="2" t="inlineStr">
        <is>
          <t>系統</t>
        </is>
      </c>
      <c r="B90" s="2" t="inlineStr">
        <is>
          <t>Bead's Need</t>
        </is>
      </c>
      <c r="C90" s="5" t="n">
        <v>90</v>
      </c>
      <c r="D90" s="2" t="inlineStr">
        <is>
          <t>QBUN</t>
        </is>
      </c>
      <c r="E90" s="2" t="inlineStr">
        <is>
          <t>QBUN</t>
        </is>
      </c>
      <c r="F90" s="5" t="n">
        <v>2850</v>
      </c>
      <c r="G90" s="5" t="n">
        <v>110</v>
      </c>
      <c r="H90" s="5" t="n">
        <v>4200</v>
      </c>
      <c r="I90" s="5" t="n">
        <v>56470</v>
      </c>
      <c r="J90" s="2" t="inlineStr">
        <is>
          <t>Bead's Need!R90</t>
        </is>
      </c>
    </row>
    <row r="91">
      <c r="A91" s="2" t="inlineStr">
        <is>
          <t>系統</t>
        </is>
      </c>
      <c r="B91" s="2" t="inlineStr">
        <is>
          <t>Bead's Need</t>
        </is>
      </c>
      <c r="C91" s="5" t="n">
        <v>91</v>
      </c>
      <c r="D91" s="2" t="inlineStr">
        <is>
          <t>UPRO</t>
        </is>
      </c>
      <c r="E91" s="2" t="inlineStr">
        <is>
          <t>UPRO</t>
        </is>
      </c>
      <c r="F91" s="5" t="n">
        <v>0</v>
      </c>
      <c r="G91" s="5" t="n">
        <v>1000</v>
      </c>
      <c r="H91" s="5" t="n">
        <v>0</v>
      </c>
      <c r="I91" s="5" t="n">
        <v>2300</v>
      </c>
      <c r="J91" s="2" t="inlineStr">
        <is>
          <t>Bead's Need!R91</t>
        </is>
      </c>
    </row>
    <row r="92">
      <c r="A92" s="2" t="inlineStr">
        <is>
          <t>系統</t>
        </is>
      </c>
      <c r="B92" s="2" t="inlineStr">
        <is>
          <t>Bead's Need</t>
        </is>
      </c>
      <c r="C92" s="5" t="n">
        <v>92</v>
      </c>
      <c r="D92" s="2" t="inlineStr">
        <is>
          <t>TP</t>
        </is>
      </c>
      <c r="E92" s="2" t="inlineStr">
        <is>
          <t>TP</t>
        </is>
      </c>
      <c r="F92" s="5" t="n">
        <v>60350</v>
      </c>
      <c r="G92" s="5" t="n">
        <v>39820</v>
      </c>
      <c r="H92" s="5" t="n">
        <v>44620</v>
      </c>
      <c r="I92" s="5" t="n">
        <v>168705</v>
      </c>
      <c r="J92" s="2" t="inlineStr">
        <is>
          <t>Bead's Need!R92</t>
        </is>
      </c>
    </row>
    <row r="93">
      <c r="A93" s="2" t="inlineStr">
        <is>
          <t>系統</t>
        </is>
      </c>
      <c r="B93" s="2" t="inlineStr">
        <is>
          <t>Bead's Need</t>
        </is>
      </c>
      <c r="C93" s="5" t="n">
        <v>93</v>
      </c>
      <c r="D93" s="2" t="inlineStr">
        <is>
          <t>BUN</t>
        </is>
      </c>
      <c r="E93" s="2" t="inlineStr">
        <is>
          <t>BUN</t>
        </is>
      </c>
      <c r="F93" s="5" t="n">
        <v>56500</v>
      </c>
      <c r="G93" s="5" t="n">
        <v>39500</v>
      </c>
      <c r="H93" s="5" t="n">
        <v>41560</v>
      </c>
      <c r="I93" s="5" t="n">
        <v>150050</v>
      </c>
      <c r="J93" s="2" t="inlineStr">
        <is>
          <t>Bead's Need!R93</t>
        </is>
      </c>
    </row>
    <row r="94">
      <c r="A94" s="2" t="inlineStr">
        <is>
          <t>系統</t>
        </is>
      </c>
      <c r="B94" s="2" t="inlineStr">
        <is>
          <t>Bead's Need</t>
        </is>
      </c>
      <c r="C94" s="5" t="n">
        <v>94</v>
      </c>
      <c r="D94" s="2" t="inlineStr">
        <is>
          <t>QPHOS-B</t>
        </is>
      </c>
      <c r="E94" s="2" t="inlineStr">
        <is>
          <t>QPHOS-B</t>
        </is>
      </c>
      <c r="F94" s="5" t="n">
        <v>3350</v>
      </c>
      <c r="G94" s="5" t="n">
        <v>110</v>
      </c>
      <c r="H94" s="5" t="n">
        <v>3400</v>
      </c>
      <c r="I94" s="5" t="n">
        <v>18150</v>
      </c>
      <c r="J94" s="2" t="inlineStr">
        <is>
          <t>Bead's Need!R94</t>
        </is>
      </c>
    </row>
    <row r="95">
      <c r="A95" s="2" t="inlineStr">
        <is>
          <t>系統</t>
        </is>
      </c>
      <c r="B95" s="2" t="inlineStr">
        <is>
          <t>Bead's Need</t>
        </is>
      </c>
      <c r="C95" s="5" t="n">
        <v>95</v>
      </c>
      <c r="D95" s="2" t="inlineStr">
        <is>
          <t>QALB-A</t>
        </is>
      </c>
      <c r="E95" s="2" t="inlineStr">
        <is>
          <t>QALB-A</t>
        </is>
      </c>
      <c r="F95" s="5" t="n">
        <v>4350</v>
      </c>
      <c r="G95" s="5" t="n">
        <v>820</v>
      </c>
      <c r="H95" s="5" t="n">
        <v>4200</v>
      </c>
      <c r="I95" s="5" t="n">
        <v>24330</v>
      </c>
      <c r="J95" s="2" t="inlineStr">
        <is>
          <t>Bead's Need!R95</t>
        </is>
      </c>
    </row>
    <row r="96">
      <c r="A96" s="2" t="inlineStr">
        <is>
          <t>系統</t>
        </is>
      </c>
      <c r="B96" s="2" t="inlineStr">
        <is>
          <t>Bead's Need</t>
        </is>
      </c>
      <c r="C96" s="5" t="n">
        <v>96</v>
      </c>
      <c r="D96" s="2" t="inlineStr">
        <is>
          <t>AMY-A</t>
        </is>
      </c>
      <c r="E96" s="2" t="inlineStr">
        <is>
          <t>AMY</t>
        </is>
      </c>
      <c r="F96" s="5" t="n">
        <v>0</v>
      </c>
      <c r="G96" s="5" t="n">
        <v>10000</v>
      </c>
      <c r="H96" s="5" t="n">
        <v>11140</v>
      </c>
      <c r="I96" s="5" t="n">
        <v>63490</v>
      </c>
      <c r="J96" s="2" t="inlineStr">
        <is>
          <t>Bead's Need!R96</t>
        </is>
      </c>
    </row>
    <row r="97">
      <c r="A97" s="2" t="inlineStr">
        <is>
          <t>系統</t>
        </is>
      </c>
      <c r="B97" s="2" t="inlineStr">
        <is>
          <t>Bead's Need</t>
        </is>
      </c>
      <c r="C97" s="5" t="n">
        <v>97</v>
      </c>
      <c r="D97" s="2" t="inlineStr">
        <is>
          <t>QCa-B</t>
        </is>
      </c>
      <c r="E97" s="2" t="inlineStr">
        <is>
          <t>QCA-B</t>
        </is>
      </c>
      <c r="F97" s="5" t="n">
        <v>4350</v>
      </c>
      <c r="G97" s="5" t="n">
        <v>110</v>
      </c>
      <c r="H97" s="5" t="n">
        <v>3400</v>
      </c>
      <c r="I97" s="5" t="n">
        <v>57920</v>
      </c>
      <c r="J97" s="2" t="inlineStr">
        <is>
          <t>Bead's Need!R97</t>
        </is>
      </c>
    </row>
    <row r="98">
      <c r="A98" s="2" t="inlineStr">
        <is>
          <t>系統</t>
        </is>
      </c>
      <c r="B98" s="2" t="inlineStr">
        <is>
          <t>Bead's Need</t>
        </is>
      </c>
      <c r="C98" s="5" t="n">
        <v>98</v>
      </c>
      <c r="D98" s="2" t="inlineStr">
        <is>
          <t>QAST</t>
        </is>
      </c>
      <c r="E98" s="2" t="inlineStr">
        <is>
          <t>QAST</t>
        </is>
      </c>
      <c r="F98" s="5" t="n">
        <v>1240</v>
      </c>
      <c r="G98" s="5" t="n">
        <v>110</v>
      </c>
      <c r="H98" s="5" t="n">
        <v>2000</v>
      </c>
      <c r="I98" s="5" t="n">
        <v>25130</v>
      </c>
      <c r="J98" s="2" t="inlineStr">
        <is>
          <t>Bead's Need!R98</t>
        </is>
      </c>
    </row>
    <row r="99">
      <c r="A99" s="2" t="inlineStr">
        <is>
          <t>系統</t>
        </is>
      </c>
      <c r="B99" s="2" t="inlineStr">
        <is>
          <t>Bead's Need</t>
        </is>
      </c>
      <c r="C99" s="5" t="n">
        <v>99</v>
      </c>
      <c r="D99" s="2" t="inlineStr">
        <is>
          <t>QALT-A</t>
        </is>
      </c>
      <c r="E99" s="2" t="inlineStr">
        <is>
          <t>QALT-A</t>
        </is>
      </c>
      <c r="F99" s="5" t="n">
        <v>2220</v>
      </c>
      <c r="G99" s="5" t="n">
        <v>220</v>
      </c>
      <c r="H99" s="5" t="n">
        <v>4800</v>
      </c>
      <c r="I99" s="5" t="n">
        <v>16300</v>
      </c>
      <c r="J99" s="2" t="inlineStr">
        <is>
          <t>Bead's Need!R99</t>
        </is>
      </c>
    </row>
    <row r="100">
      <c r="A100" s="2" t="inlineStr">
        <is>
          <t>系統</t>
        </is>
      </c>
      <c r="B100" s="2" t="inlineStr">
        <is>
          <t>Bead's Need</t>
        </is>
      </c>
      <c r="C100" s="5" t="n">
        <v>100</v>
      </c>
      <c r="D100" s="2" t="inlineStr">
        <is>
          <t>tAsti</t>
        </is>
      </c>
      <c r="E100" s="2" t="inlineStr">
        <is>
          <t>AST</t>
        </is>
      </c>
      <c r="F100" s="5" t="n">
        <v>60500</v>
      </c>
      <c r="G100" s="5" t="n">
        <v>39500</v>
      </c>
      <c r="H100" s="5" t="n">
        <v>44400</v>
      </c>
      <c r="I100" s="5" t="n">
        <v>161510</v>
      </c>
      <c r="J100" s="2" t="inlineStr">
        <is>
          <t>Bead's Need!R100</t>
        </is>
      </c>
    </row>
    <row r="101">
      <c r="A101" s="2" t="inlineStr">
        <is>
          <t>系統</t>
        </is>
      </c>
      <c r="B101" s="2" t="inlineStr">
        <is>
          <t>Bead's Need</t>
        </is>
      </c>
      <c r="C101" s="5" t="n">
        <v>101</v>
      </c>
      <c r="D101" s="2" t="inlineStr">
        <is>
          <t>QAMY-A</t>
        </is>
      </c>
      <c r="E101" s="2" t="inlineStr">
        <is>
          <t>QAMY-A</t>
        </is>
      </c>
      <c r="F101" s="5" t="n">
        <v>3220</v>
      </c>
      <c r="G101" s="5" t="n">
        <v>110</v>
      </c>
      <c r="H101" s="5" t="n">
        <v>3400</v>
      </c>
      <c r="I101" s="5" t="n">
        <v>8560</v>
      </c>
      <c r="J101" s="2" t="inlineStr">
        <is>
          <t>Bead's Need!R101</t>
        </is>
      </c>
    </row>
    <row r="102">
      <c r="A102" s="2" t="inlineStr">
        <is>
          <t>系統</t>
        </is>
      </c>
      <c r="B102" s="2" t="inlineStr">
        <is>
          <t>Bead's Need</t>
        </is>
      </c>
      <c r="C102" s="5" t="n">
        <v>102</v>
      </c>
      <c r="D102" s="2" t="inlineStr">
        <is>
          <t>AST</t>
        </is>
      </c>
      <c r="E102" s="2" t="inlineStr">
        <is>
          <t>AST</t>
        </is>
      </c>
      <c r="F102" s="5" t="n">
        <v>21500</v>
      </c>
      <c r="G102" s="5" t="n">
        <v>3000</v>
      </c>
      <c r="H102" s="5" t="n">
        <v>19560</v>
      </c>
      <c r="I102" s="5" t="n">
        <v>55890</v>
      </c>
      <c r="J102" s="2" t="inlineStr">
        <is>
          <t>Bead's Need!R102</t>
        </is>
      </c>
    </row>
    <row r="103">
      <c r="A103" s="2" t="inlineStr">
        <is>
          <t>系統</t>
        </is>
      </c>
      <c r="B103" s="2" t="inlineStr">
        <is>
          <t>Bead's Need</t>
        </is>
      </c>
      <c r="C103" s="5" t="n">
        <v>103</v>
      </c>
      <c r="D103" s="2" t="inlineStr">
        <is>
          <t>ALT-A</t>
        </is>
      </c>
      <c r="E103" s="2" t="inlineStr">
        <is>
          <t>ALT-A</t>
        </is>
      </c>
      <c r="F103" s="5" t="n">
        <v>51000</v>
      </c>
      <c r="G103" s="5" t="n">
        <v>39500</v>
      </c>
      <c r="H103" s="5" t="n">
        <v>40560</v>
      </c>
      <c r="I103" s="5" t="n">
        <v>209160</v>
      </c>
      <c r="J103" s="2" t="inlineStr">
        <is>
          <t>Bead's Need!R103</t>
        </is>
      </c>
    </row>
  </sheetData>
  <autoFilter ref="A1:J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規則</t>
        </is>
      </c>
      <c r="B1" s="4" t="inlineStr">
        <is>
          <t>說明</t>
        </is>
      </c>
    </row>
    <row r="2">
      <c r="A2" s="2" t="inlineStr">
        <is>
          <t>人工/系統</t>
        </is>
      </c>
      <c r="B2" s="2" t="inlineStr">
        <is>
          <t>人工計算檔稱為人工；Bead's Need 檔稱為系統。差異欄位皆為 系統 - 人工。</t>
        </is>
      </c>
    </row>
    <row r="3">
      <c r="A3" s="2" t="inlineStr">
        <is>
          <t>三周需求</t>
        </is>
      </c>
      <c r="B3" s="2" t="inlineStr">
        <is>
          <t>人工：下週/下下週/下下下週需求；系統：第一周/第二周/第三周需求。</t>
        </is>
      </c>
    </row>
    <row r="4">
      <c r="A4" s="2" t="inlineStr">
        <is>
          <t>兩劑需求</t>
        </is>
      </c>
      <c r="B4" s="2" t="inlineStr">
        <is>
          <t>同一品項的 -D / -U / -AU 每周需求取 MAX，不相加。</t>
        </is>
      </c>
    </row>
    <row r="5">
      <c r="A5" s="2" t="inlineStr">
        <is>
          <t>兩劑庫存</t>
        </is>
      </c>
      <c r="B5" s="2" t="inlineStr">
        <is>
          <t>同一品項的 -D / -U / -AU 庫存取 MIN，避免其中一劑不足時高估可用量。</t>
        </is>
      </c>
    </row>
    <row r="6">
      <c r="A6" s="2" t="inlineStr">
        <is>
          <t>Q 品項</t>
        </is>
      </c>
      <c r="B6" s="2" t="inlineStr">
        <is>
          <t>保留 Q 前綴，例如 QTG 不等於 TG。</t>
        </is>
      </c>
    </row>
    <row r="7">
      <c r="A7" s="2" t="inlineStr">
        <is>
          <t>T4 DB</t>
        </is>
      </c>
      <c r="B7" s="2" t="inlineStr">
        <is>
          <t>T4 DB 不等於 T4，兩者分開列。</t>
        </is>
      </c>
    </row>
    <row r="8">
      <c r="A8" s="2" t="inlineStr">
        <is>
          <t>AMY</t>
        </is>
      </c>
      <c r="B8" s="2" t="inlineStr">
        <is>
          <t>Bead's Need 內 AMY-A 視為 AMY。</t>
        </is>
      </c>
    </row>
    <row r="9">
      <c r="A9" s="2" t="inlineStr">
        <is>
          <t>CREA</t>
        </is>
      </c>
      <c r="B9" s="2" t="inlineStr">
        <is>
          <t>CREA 為組合測試；需求取 MAX(tCRE-D,tCREA-D)。tCREA-U 不單獨列需求，只用於搭配與庫存判斷。</t>
        </is>
      </c>
    </row>
    <row r="10">
      <c r="A10" s="2" t="inlineStr">
        <is>
          <t>CREA庫存</t>
        </is>
      </c>
      <c r="B10" s="2" t="inlineStr">
        <is>
          <t>若有 tCREA-U，CREA有效庫存 = MIN(D側庫存取大, tCREA-U庫存/2)。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39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T4</t>
        </is>
      </c>
      <c r="B2" s="5" t="n">
        <v>2000</v>
      </c>
      <c r="C2" s="5" t="n">
        <v>0</v>
      </c>
      <c r="D2" s="5" t="n">
        <v>0</v>
      </c>
      <c r="E2" s="5" t="n">
        <v>2000</v>
      </c>
      <c r="F2" s="5" t="n">
        <v>4000</v>
      </c>
      <c r="G2" s="5" t="n">
        <v>0</v>
      </c>
      <c r="H2" s="5" t="n">
        <v>0</v>
      </c>
      <c r="I2" s="5" t="n">
        <v>4000</v>
      </c>
      <c r="J2" s="5" t="n">
        <v>2000</v>
      </c>
      <c r="K2" s="5" t="n">
        <v>2000</v>
      </c>
      <c r="L2" s="5" t="n">
        <v>8290</v>
      </c>
      <c r="M2" s="5" t="n">
        <v>6290</v>
      </c>
      <c r="N2" s="2" t="inlineStr">
        <is>
          <t>系統計算較高</t>
        </is>
      </c>
      <c r="O2" s="2" t="inlineStr">
        <is>
          <t>T4(工作表3!C28: header R14, data R15-18)</t>
        </is>
      </c>
      <c r="P2" s="2" t="inlineStr">
        <is>
          <t>D:NT4-D(Bead's Need!R29)；U:NT4-U(Bead's Need!R28)；規則=兩劑需求取大/庫存取小；D需求=[4000.0, 0.0, 0.0], U需求=[4000.0, 0.0, 0.0], D庫存=8290, U庫存=8300</t>
        </is>
      </c>
    </row>
    <row r="3">
      <c r="A3" s="2" t="inlineStr">
        <is>
          <t>T4 DB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2000</v>
      </c>
      <c r="G3" s="5" t="n">
        <v>0</v>
      </c>
      <c r="H3" s="5" t="n">
        <v>0</v>
      </c>
      <c r="I3" s="5" t="n">
        <v>2000</v>
      </c>
      <c r="J3" s="5" t="n">
        <v>2000</v>
      </c>
      <c r="K3" s="5" t="n">
        <v>0</v>
      </c>
      <c r="L3" s="5" t="n">
        <v>0</v>
      </c>
      <c r="M3" s="5" t="n">
        <v>0</v>
      </c>
      <c r="N3" s="2" t="inlineStr">
        <is>
          <t>系統計算較高</t>
        </is>
      </c>
      <c r="O3" s="2" t="inlineStr"/>
      <c r="P3" s="2" t="inlineStr">
        <is>
          <t>T4 DB(Bead's Need!R19)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11" customWidth="1" min="13" max="13"/>
    <col width="10" customWidth="1" min="14" max="14"/>
    <col width="40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AMY</t>
        </is>
      </c>
      <c r="B2" s="5" t="n">
        <v>22000</v>
      </c>
      <c r="C2" s="5" t="n">
        <v>26000</v>
      </c>
      <c r="D2" s="5" t="n">
        <v>41500</v>
      </c>
      <c r="E2" s="5" t="n">
        <v>89500</v>
      </c>
      <c r="F2" s="5" t="n">
        <v>23000</v>
      </c>
      <c r="G2" s="5" t="n">
        <v>37500</v>
      </c>
      <c r="H2" s="5" t="n">
        <v>31560</v>
      </c>
      <c r="I2" s="5" t="n">
        <v>92060</v>
      </c>
      <c r="J2" s="5" t="n">
        <v>2560</v>
      </c>
      <c r="K2" s="5" t="n">
        <v>75000</v>
      </c>
      <c r="L2" s="5" t="n">
        <v>64360</v>
      </c>
      <c r="M2" s="5" t="n">
        <v>-10640</v>
      </c>
      <c r="N2" s="2" t="inlineStr">
        <is>
          <t>系統計算較高</t>
        </is>
      </c>
      <c r="O2" s="2" t="inlineStr">
        <is>
          <t>AMY(工作表3!C18: header R14, data R15-18)</t>
        </is>
      </c>
      <c r="P2" s="2" t="inlineStr">
        <is>
          <t>AMY(Bead's Need!R16)；AMY-A(Bead's Need!R96)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原始 AMY/AMY-A 明細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11" t="inlineStr">
        <is>
          <t>來源</t>
        </is>
      </c>
      <c r="B5" s="11" t="inlineStr">
        <is>
          <t>Sheet</t>
        </is>
      </c>
      <c r="C5" s="11" t="inlineStr">
        <is>
          <t>Row</t>
        </is>
      </c>
      <c r="D5" s="11" t="inlineStr">
        <is>
          <t>原始品名</t>
        </is>
      </c>
      <c r="E5" s="11" t="inlineStr">
        <is>
          <t>正規化品名</t>
        </is>
      </c>
      <c r="F5" s="11" t="inlineStr">
        <is>
          <t>第一周需求</t>
        </is>
      </c>
      <c r="G5" s="11" t="inlineStr">
        <is>
          <t>第二周需求</t>
        </is>
      </c>
      <c r="H5" s="11" t="inlineStr">
        <is>
          <t>第三周需求</t>
        </is>
      </c>
      <c r="I5" s="11" t="inlineStr">
        <is>
          <t>庫存+滴定</t>
        </is>
      </c>
      <c r="J5" s="11" t="inlineStr">
        <is>
          <t>位置</t>
        </is>
      </c>
      <c r="K5" s="11" t="n"/>
      <c r="L5" s="11" t="n"/>
      <c r="M5" s="11" t="n"/>
      <c r="N5" s="11" t="n"/>
      <c r="O5" s="11" t="n"/>
      <c r="P5" s="11" t="n"/>
    </row>
    <row r="6">
      <c r="A6" s="2" t="inlineStr">
        <is>
          <t>人工</t>
        </is>
      </c>
      <c r="B6" s="2" t="inlineStr">
        <is>
          <t>工作表3</t>
        </is>
      </c>
      <c r="C6" s="5" t="n">
        <v>15</v>
      </c>
      <c r="D6" s="2" t="inlineStr">
        <is>
          <t>AMY</t>
        </is>
      </c>
      <c r="E6" s="2" t="inlineStr">
        <is>
          <t>AMY</t>
        </is>
      </c>
      <c r="F6" s="5" t="n">
        <v>22000</v>
      </c>
      <c r="G6" s="5" t="n">
        <v>26000</v>
      </c>
      <c r="H6" s="5" t="n">
        <v>41500</v>
      </c>
      <c r="I6" s="5" t="n">
        <v>75000</v>
      </c>
      <c r="J6" s="2" t="inlineStr">
        <is>
          <t>工作表3!C18: header R14, data R15-18</t>
        </is>
      </c>
      <c r="K6" s="2" t="n"/>
      <c r="L6" s="2" t="n"/>
      <c r="M6" s="2" t="n"/>
      <c r="N6" s="2" t="n"/>
      <c r="O6" s="2" t="n"/>
      <c r="P6" s="2" t="n"/>
    </row>
    <row r="7">
      <c r="A7" s="2" t="inlineStr">
        <is>
          <t>系統</t>
        </is>
      </c>
      <c r="B7" s="2" t="inlineStr">
        <is>
          <t>Bead's Need</t>
        </is>
      </c>
      <c r="C7" s="5" t="n">
        <v>16</v>
      </c>
      <c r="D7" s="2" t="inlineStr">
        <is>
          <t>AMY</t>
        </is>
      </c>
      <c r="E7" s="2" t="inlineStr">
        <is>
          <t>AMY</t>
        </is>
      </c>
      <c r="F7" s="5" t="n">
        <v>23000</v>
      </c>
      <c r="G7" s="5" t="n">
        <v>27500</v>
      </c>
      <c r="H7" s="5" t="n">
        <v>20420</v>
      </c>
      <c r="I7" s="5" t="n">
        <v>870</v>
      </c>
      <c r="J7" s="2" t="inlineStr">
        <is>
          <t>Bead's Need!R16</t>
        </is>
      </c>
      <c r="K7" s="2" t="n"/>
      <c r="L7" s="2" t="n"/>
      <c r="M7" s="2" t="n"/>
      <c r="N7" s="2" t="n"/>
      <c r="O7" s="2" t="n"/>
      <c r="P7" s="2" t="n"/>
    </row>
    <row r="8">
      <c r="A8" s="2" t="inlineStr">
        <is>
          <t>系統</t>
        </is>
      </c>
      <c r="B8" s="2" t="inlineStr">
        <is>
          <t>Bead's Need</t>
        </is>
      </c>
      <c r="C8" s="5" t="n">
        <v>96</v>
      </c>
      <c r="D8" s="2" t="inlineStr">
        <is>
          <t>AMY-A</t>
        </is>
      </c>
      <c r="E8" s="2" t="inlineStr">
        <is>
          <t>AMY</t>
        </is>
      </c>
      <c r="F8" s="5" t="n">
        <v>0</v>
      </c>
      <c r="G8" s="5" t="n">
        <v>10000</v>
      </c>
      <c r="H8" s="5" t="n">
        <v>11140</v>
      </c>
      <c r="I8" s="5" t="n">
        <v>63490</v>
      </c>
      <c r="J8" s="2" t="inlineStr">
        <is>
          <t>Bead's Need!R96</t>
        </is>
      </c>
      <c r="K8" s="2" t="n"/>
      <c r="L8" s="2" t="n"/>
      <c r="M8" s="2" t="n"/>
      <c r="N8" s="2" t="n"/>
      <c r="O8" s="2" t="n"/>
      <c r="P8" s="2" t="n"/>
    </row>
    <row r="9">
      <c r="A9" s="2" t="inlineStr">
        <is>
          <t>系統</t>
        </is>
      </c>
      <c r="B9" s="2" t="inlineStr">
        <is>
          <t>Bead's Need</t>
        </is>
      </c>
      <c r="C9" s="5" t="n">
        <v>101</v>
      </c>
      <c r="D9" s="2" t="inlineStr">
        <is>
          <t>QAMY-A</t>
        </is>
      </c>
      <c r="E9" s="2" t="inlineStr">
        <is>
          <t>QAMY-A</t>
        </is>
      </c>
      <c r="F9" s="5" t="n">
        <v>3220</v>
      </c>
      <c r="G9" s="5" t="n">
        <v>110</v>
      </c>
      <c r="H9" s="5" t="n">
        <v>3400</v>
      </c>
      <c r="I9" s="5" t="n">
        <v>8560</v>
      </c>
      <c r="J9" s="2" t="inlineStr">
        <is>
          <t>Bead's Need!R101</t>
        </is>
      </c>
      <c r="K9" s="2" t="n"/>
      <c r="L9" s="2" t="n"/>
      <c r="M9" s="2" t="n"/>
      <c r="N9" s="2" t="n"/>
      <c r="O9" s="2" t="n"/>
      <c r="P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2026-06-09T07:57:42Z</dcterms:created>
  <dcterms:modified xsi:type="dcterms:W3CDTF">2026-06-09T07:57:42Z</dcterms:modified>
</cp:coreProperties>
</file>